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summerIntern\代码\mutual-fund-analysis\"/>
    </mc:Choice>
  </mc:AlternateContent>
  <bookViews>
    <workbookView xWindow="0" yWindow="0" windowWidth="17835" windowHeight="6510" activeTab="3"/>
  </bookViews>
  <sheets>
    <sheet name="Sheet1" sheetId="1" r:id="rId1"/>
    <sheet name="Sheet2" sheetId="5" r:id="rId2"/>
    <sheet name="Sheet3" sheetId="3" r:id="rId3"/>
    <sheet name="category" sheetId="2" r:id="rId4"/>
    <sheet name="category2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O3" i="1"/>
  <c r="P3" i="1"/>
  <c r="N4" i="1"/>
  <c r="O4" i="1"/>
  <c r="P4" i="1"/>
  <c r="N5" i="1"/>
  <c r="O5" i="1"/>
  <c r="P5" i="1"/>
  <c r="N6" i="1"/>
  <c r="O6" i="1"/>
  <c r="P6" i="1"/>
  <c r="N7" i="1"/>
  <c r="O7" i="1"/>
  <c r="P7" i="1"/>
  <c r="N8" i="1"/>
  <c r="O8" i="1"/>
  <c r="P8" i="1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7" i="1"/>
  <c r="O117" i="1"/>
  <c r="P117" i="1"/>
  <c r="N118" i="1"/>
  <c r="O118" i="1"/>
  <c r="P118" i="1"/>
  <c r="N119" i="1"/>
  <c r="O119" i="1"/>
  <c r="P119" i="1"/>
  <c r="N120" i="1"/>
  <c r="O120" i="1"/>
  <c r="P120" i="1"/>
  <c r="N121" i="1"/>
  <c r="O121" i="1"/>
  <c r="P121" i="1"/>
  <c r="N122" i="1"/>
  <c r="O122" i="1"/>
  <c r="P122" i="1"/>
  <c r="N123" i="1"/>
  <c r="O123" i="1"/>
  <c r="P123" i="1"/>
  <c r="N124" i="1"/>
  <c r="O124" i="1"/>
  <c r="P124" i="1"/>
  <c r="N125" i="1"/>
  <c r="O125" i="1"/>
  <c r="P125" i="1"/>
  <c r="N126" i="1"/>
  <c r="O126" i="1"/>
  <c r="P126" i="1"/>
  <c r="N127" i="1"/>
  <c r="O127" i="1"/>
  <c r="P127" i="1"/>
  <c r="N128" i="1"/>
  <c r="O128" i="1"/>
  <c r="P128" i="1"/>
  <c r="N129" i="1"/>
  <c r="O129" i="1"/>
  <c r="P129" i="1"/>
  <c r="N130" i="1"/>
  <c r="O130" i="1"/>
  <c r="P130" i="1"/>
  <c r="N131" i="1"/>
  <c r="O131" i="1"/>
  <c r="P131" i="1"/>
  <c r="N132" i="1"/>
  <c r="O132" i="1"/>
  <c r="P132" i="1"/>
  <c r="N133" i="1"/>
  <c r="O133" i="1"/>
  <c r="P133" i="1"/>
  <c r="N134" i="1"/>
  <c r="O134" i="1"/>
  <c r="P134" i="1"/>
  <c r="N135" i="1"/>
  <c r="O135" i="1"/>
  <c r="P135" i="1"/>
  <c r="N136" i="1"/>
  <c r="O136" i="1"/>
  <c r="P136" i="1"/>
  <c r="N137" i="1"/>
  <c r="O137" i="1"/>
  <c r="P137" i="1"/>
  <c r="N138" i="1"/>
  <c r="O138" i="1"/>
  <c r="P138" i="1"/>
  <c r="N139" i="1"/>
  <c r="O139" i="1"/>
  <c r="P139" i="1"/>
  <c r="N140" i="1"/>
  <c r="O140" i="1"/>
  <c r="P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P150" i="1"/>
  <c r="N151" i="1"/>
  <c r="O151" i="1"/>
  <c r="P151" i="1"/>
  <c r="N152" i="1"/>
  <c r="O152" i="1"/>
  <c r="P152" i="1"/>
  <c r="N153" i="1"/>
  <c r="O153" i="1"/>
  <c r="P153" i="1"/>
  <c r="N154" i="1"/>
  <c r="O154" i="1"/>
  <c r="P154" i="1"/>
  <c r="N155" i="1"/>
  <c r="O155" i="1"/>
  <c r="P155" i="1"/>
  <c r="N156" i="1"/>
  <c r="O156" i="1"/>
  <c r="P156" i="1"/>
  <c r="N157" i="1"/>
  <c r="O157" i="1"/>
  <c r="P157" i="1"/>
  <c r="N158" i="1"/>
  <c r="O158" i="1"/>
  <c r="P158" i="1"/>
  <c r="N159" i="1"/>
  <c r="O159" i="1"/>
  <c r="P159" i="1"/>
  <c r="N160" i="1"/>
  <c r="O160" i="1"/>
  <c r="P160" i="1"/>
  <c r="N161" i="1"/>
  <c r="O161" i="1"/>
  <c r="P161" i="1"/>
  <c r="N162" i="1"/>
  <c r="O162" i="1"/>
  <c r="P162" i="1"/>
  <c r="N163" i="1"/>
  <c r="O163" i="1"/>
  <c r="P163" i="1"/>
  <c r="N164" i="1"/>
  <c r="O164" i="1"/>
  <c r="P164" i="1"/>
  <c r="N165" i="1"/>
  <c r="O165" i="1"/>
  <c r="P165" i="1"/>
  <c r="N166" i="1"/>
  <c r="O166" i="1"/>
  <c r="P166" i="1"/>
  <c r="N167" i="1"/>
  <c r="O167" i="1"/>
  <c r="P167" i="1"/>
  <c r="N168" i="1"/>
  <c r="O168" i="1"/>
  <c r="P168" i="1"/>
  <c r="N169" i="1"/>
  <c r="O169" i="1"/>
  <c r="P169" i="1"/>
  <c r="N170" i="1"/>
  <c r="O170" i="1"/>
  <c r="P170" i="1"/>
  <c r="N171" i="1"/>
  <c r="O171" i="1"/>
  <c r="P171" i="1"/>
  <c r="N172" i="1"/>
  <c r="O172" i="1"/>
  <c r="P172" i="1"/>
  <c r="N173" i="1"/>
  <c r="O173" i="1"/>
  <c r="P173" i="1"/>
  <c r="N174" i="1"/>
  <c r="O174" i="1"/>
  <c r="P174" i="1"/>
  <c r="N175" i="1"/>
  <c r="O175" i="1"/>
  <c r="P175" i="1"/>
  <c r="N176" i="1"/>
  <c r="O176" i="1"/>
  <c r="P176" i="1"/>
  <c r="N177" i="1"/>
  <c r="O177" i="1"/>
  <c r="P177" i="1"/>
  <c r="N178" i="1"/>
  <c r="O178" i="1"/>
  <c r="P178" i="1"/>
  <c r="N179" i="1"/>
  <c r="O179" i="1"/>
  <c r="P179" i="1"/>
  <c r="N180" i="1"/>
  <c r="O180" i="1"/>
  <c r="P180" i="1"/>
  <c r="N181" i="1"/>
  <c r="O181" i="1"/>
  <c r="P181" i="1"/>
  <c r="N182" i="1"/>
  <c r="O182" i="1"/>
  <c r="P182" i="1"/>
  <c r="N183" i="1"/>
  <c r="O183" i="1"/>
  <c r="P183" i="1"/>
  <c r="N184" i="1"/>
  <c r="O184" i="1"/>
  <c r="P184" i="1"/>
  <c r="N185" i="1"/>
  <c r="O185" i="1"/>
  <c r="P185" i="1"/>
  <c r="N186" i="1"/>
  <c r="O186" i="1"/>
  <c r="P186" i="1"/>
  <c r="N187" i="1"/>
  <c r="O187" i="1"/>
  <c r="P187" i="1"/>
  <c r="N188" i="1"/>
  <c r="O188" i="1"/>
  <c r="P188" i="1"/>
  <c r="N189" i="1"/>
  <c r="O189" i="1"/>
  <c r="P189" i="1"/>
  <c r="N190" i="1"/>
  <c r="O190" i="1"/>
  <c r="P190" i="1"/>
  <c r="N191" i="1"/>
  <c r="O191" i="1"/>
  <c r="P191" i="1"/>
  <c r="N192" i="1"/>
  <c r="O192" i="1"/>
  <c r="P192" i="1"/>
  <c r="N193" i="1"/>
  <c r="O193" i="1"/>
  <c r="P193" i="1"/>
  <c r="N194" i="1"/>
  <c r="O194" i="1"/>
  <c r="P194" i="1"/>
  <c r="N195" i="1"/>
  <c r="O195" i="1"/>
  <c r="P195" i="1"/>
  <c r="N196" i="1"/>
  <c r="O196" i="1"/>
  <c r="P196" i="1"/>
  <c r="N197" i="1"/>
  <c r="O197" i="1"/>
  <c r="P197" i="1"/>
  <c r="N198" i="1"/>
  <c r="O198" i="1"/>
  <c r="P198" i="1"/>
  <c r="N199" i="1"/>
  <c r="O199" i="1"/>
  <c r="P199" i="1"/>
  <c r="N200" i="1"/>
  <c r="O200" i="1"/>
  <c r="P200" i="1"/>
  <c r="N201" i="1"/>
  <c r="O201" i="1"/>
  <c r="P201" i="1"/>
  <c r="N202" i="1"/>
  <c r="O202" i="1"/>
  <c r="P202" i="1"/>
  <c r="N203" i="1"/>
  <c r="O203" i="1"/>
  <c r="P203" i="1"/>
  <c r="N204" i="1"/>
  <c r="O204" i="1"/>
  <c r="P204" i="1"/>
  <c r="N205" i="1"/>
  <c r="O205" i="1"/>
  <c r="P205" i="1"/>
  <c r="N206" i="1"/>
  <c r="O206" i="1"/>
  <c r="P206" i="1"/>
  <c r="N207" i="1"/>
  <c r="O207" i="1"/>
  <c r="P207" i="1"/>
  <c r="N208" i="1"/>
  <c r="O208" i="1"/>
  <c r="P208" i="1"/>
  <c r="N209" i="1"/>
  <c r="O209" i="1"/>
  <c r="P209" i="1"/>
  <c r="N210" i="1"/>
  <c r="O210" i="1"/>
  <c r="P210" i="1"/>
  <c r="N211" i="1"/>
  <c r="O211" i="1"/>
  <c r="P211" i="1"/>
  <c r="N212" i="1"/>
  <c r="O212" i="1"/>
  <c r="P212" i="1"/>
  <c r="N213" i="1"/>
  <c r="O213" i="1"/>
  <c r="P213" i="1"/>
  <c r="N214" i="1"/>
  <c r="O214" i="1"/>
  <c r="P214" i="1"/>
  <c r="N215" i="1"/>
  <c r="O215" i="1"/>
  <c r="P215" i="1"/>
  <c r="N216" i="1"/>
  <c r="O216" i="1"/>
  <c r="P216" i="1"/>
  <c r="N217" i="1"/>
  <c r="O217" i="1"/>
  <c r="P217" i="1"/>
  <c r="N218" i="1"/>
  <c r="O218" i="1"/>
  <c r="P218" i="1"/>
  <c r="N219" i="1"/>
  <c r="O219" i="1"/>
  <c r="P219" i="1"/>
  <c r="N220" i="1"/>
  <c r="O220" i="1"/>
  <c r="P220" i="1"/>
  <c r="N221" i="1"/>
  <c r="O221" i="1"/>
  <c r="P221" i="1"/>
  <c r="N222" i="1"/>
  <c r="O222" i="1"/>
  <c r="P222" i="1"/>
  <c r="N223" i="1"/>
  <c r="O223" i="1"/>
  <c r="P223" i="1"/>
  <c r="N224" i="1"/>
  <c r="O224" i="1"/>
  <c r="P224" i="1"/>
  <c r="N225" i="1"/>
  <c r="O225" i="1"/>
  <c r="P225" i="1"/>
  <c r="N226" i="1"/>
  <c r="O226" i="1"/>
  <c r="P226" i="1"/>
  <c r="N227" i="1"/>
  <c r="O227" i="1"/>
  <c r="P227" i="1"/>
  <c r="N228" i="1"/>
  <c r="O228" i="1"/>
  <c r="P228" i="1"/>
  <c r="N229" i="1"/>
  <c r="O229" i="1"/>
  <c r="P229" i="1"/>
  <c r="N230" i="1"/>
  <c r="O230" i="1"/>
  <c r="P230" i="1"/>
  <c r="N231" i="1"/>
  <c r="O231" i="1"/>
  <c r="P231" i="1"/>
  <c r="N232" i="1"/>
  <c r="O232" i="1"/>
  <c r="P232" i="1"/>
  <c r="N233" i="1"/>
  <c r="O233" i="1"/>
  <c r="P233" i="1"/>
  <c r="N234" i="1"/>
  <c r="O234" i="1"/>
  <c r="P234" i="1"/>
  <c r="N235" i="1"/>
  <c r="O235" i="1"/>
  <c r="P235" i="1"/>
  <c r="N236" i="1"/>
  <c r="O236" i="1"/>
  <c r="P236" i="1"/>
  <c r="N237" i="1"/>
  <c r="O237" i="1"/>
  <c r="P237" i="1"/>
  <c r="N238" i="1"/>
  <c r="O238" i="1"/>
  <c r="P238" i="1"/>
  <c r="N239" i="1"/>
  <c r="O239" i="1"/>
  <c r="P239" i="1"/>
  <c r="N240" i="1"/>
  <c r="O240" i="1"/>
  <c r="P240" i="1"/>
  <c r="N241" i="1"/>
  <c r="O241" i="1"/>
  <c r="P241" i="1"/>
  <c r="N242" i="1"/>
  <c r="O242" i="1"/>
  <c r="P242" i="1"/>
  <c r="N243" i="1"/>
  <c r="O243" i="1"/>
  <c r="P243" i="1"/>
  <c r="N244" i="1"/>
  <c r="O244" i="1"/>
  <c r="P244" i="1"/>
  <c r="N245" i="1"/>
  <c r="O245" i="1"/>
  <c r="P245" i="1"/>
  <c r="N246" i="1"/>
  <c r="O246" i="1"/>
  <c r="P246" i="1"/>
  <c r="N247" i="1"/>
  <c r="O247" i="1"/>
  <c r="P247" i="1"/>
  <c r="N248" i="1"/>
  <c r="O248" i="1"/>
  <c r="P248" i="1"/>
  <c r="N249" i="1"/>
  <c r="O249" i="1"/>
  <c r="P249" i="1"/>
  <c r="N250" i="1"/>
  <c r="O250" i="1"/>
  <c r="P250" i="1"/>
  <c r="N251" i="1"/>
  <c r="O251" i="1"/>
  <c r="P251" i="1"/>
  <c r="N252" i="1"/>
  <c r="O252" i="1"/>
  <c r="P252" i="1"/>
  <c r="N253" i="1"/>
  <c r="O253" i="1"/>
  <c r="P253" i="1"/>
  <c r="N254" i="1"/>
  <c r="O254" i="1"/>
  <c r="P254" i="1"/>
  <c r="N255" i="1"/>
  <c r="O255" i="1"/>
  <c r="P255" i="1"/>
  <c r="N256" i="1"/>
  <c r="O256" i="1"/>
  <c r="P256" i="1"/>
  <c r="N257" i="1"/>
  <c r="O257" i="1"/>
  <c r="P257" i="1"/>
  <c r="N258" i="1"/>
  <c r="O258" i="1"/>
  <c r="P258" i="1"/>
  <c r="N259" i="1"/>
  <c r="O259" i="1"/>
  <c r="P259" i="1"/>
  <c r="N260" i="1"/>
  <c r="O260" i="1"/>
  <c r="P260" i="1"/>
  <c r="N261" i="1"/>
  <c r="O261" i="1"/>
  <c r="P261" i="1"/>
  <c r="N262" i="1"/>
  <c r="O262" i="1"/>
  <c r="P262" i="1"/>
  <c r="N263" i="1"/>
  <c r="O263" i="1"/>
  <c r="P263" i="1"/>
  <c r="N264" i="1"/>
  <c r="O264" i="1"/>
  <c r="P264" i="1"/>
  <c r="N265" i="1"/>
  <c r="O265" i="1"/>
  <c r="P265" i="1"/>
  <c r="N266" i="1"/>
  <c r="O266" i="1"/>
  <c r="P266" i="1"/>
  <c r="N267" i="1"/>
  <c r="O267" i="1"/>
  <c r="P267" i="1"/>
  <c r="N268" i="1"/>
  <c r="O268" i="1"/>
  <c r="P268" i="1"/>
  <c r="N269" i="1"/>
  <c r="O269" i="1"/>
  <c r="P269" i="1"/>
  <c r="N270" i="1"/>
  <c r="O270" i="1"/>
  <c r="P270" i="1"/>
  <c r="N271" i="1"/>
  <c r="O271" i="1"/>
  <c r="P271" i="1"/>
  <c r="N272" i="1"/>
  <c r="O272" i="1"/>
  <c r="P272" i="1"/>
  <c r="N273" i="1"/>
  <c r="O273" i="1"/>
  <c r="P273" i="1"/>
  <c r="N274" i="1"/>
  <c r="O274" i="1"/>
  <c r="P274" i="1"/>
  <c r="N275" i="1"/>
  <c r="O275" i="1"/>
  <c r="P275" i="1"/>
  <c r="N276" i="1"/>
  <c r="O276" i="1"/>
  <c r="P276" i="1"/>
  <c r="N277" i="1"/>
  <c r="O277" i="1"/>
  <c r="P277" i="1"/>
  <c r="N278" i="1"/>
  <c r="O278" i="1"/>
  <c r="P278" i="1"/>
  <c r="N279" i="1"/>
  <c r="O279" i="1"/>
  <c r="P279" i="1"/>
  <c r="N280" i="1"/>
  <c r="O280" i="1"/>
  <c r="P280" i="1"/>
  <c r="N281" i="1"/>
  <c r="O281" i="1"/>
  <c r="P281" i="1"/>
  <c r="N282" i="1"/>
  <c r="O282" i="1"/>
  <c r="P282" i="1"/>
  <c r="N283" i="1"/>
  <c r="O283" i="1"/>
  <c r="P283" i="1"/>
  <c r="N284" i="1"/>
  <c r="O284" i="1"/>
  <c r="P284" i="1"/>
  <c r="N285" i="1"/>
  <c r="O285" i="1"/>
  <c r="P285" i="1"/>
  <c r="N286" i="1"/>
  <c r="O286" i="1"/>
  <c r="P286" i="1"/>
  <c r="N287" i="1"/>
  <c r="O287" i="1"/>
  <c r="P287" i="1"/>
  <c r="N288" i="1"/>
  <c r="O288" i="1"/>
  <c r="P288" i="1"/>
  <c r="N289" i="1"/>
  <c r="O289" i="1"/>
  <c r="P289" i="1"/>
  <c r="N290" i="1"/>
  <c r="O290" i="1"/>
  <c r="P290" i="1"/>
  <c r="N291" i="1"/>
  <c r="O291" i="1"/>
  <c r="P291" i="1"/>
  <c r="N292" i="1"/>
  <c r="O292" i="1"/>
  <c r="P292" i="1"/>
  <c r="N293" i="1"/>
  <c r="O293" i="1"/>
  <c r="P293" i="1"/>
  <c r="N294" i="1"/>
  <c r="O294" i="1"/>
  <c r="P294" i="1"/>
  <c r="N295" i="1"/>
  <c r="O295" i="1"/>
  <c r="P295" i="1"/>
  <c r="N296" i="1"/>
  <c r="O296" i="1"/>
  <c r="P296" i="1"/>
  <c r="N297" i="1"/>
  <c r="O297" i="1"/>
  <c r="P297" i="1"/>
  <c r="N298" i="1"/>
  <c r="O298" i="1"/>
  <c r="P298" i="1"/>
  <c r="N299" i="1"/>
  <c r="O299" i="1"/>
  <c r="P299" i="1"/>
  <c r="N300" i="1"/>
  <c r="O300" i="1"/>
  <c r="P300" i="1"/>
  <c r="N301" i="1"/>
  <c r="O301" i="1"/>
  <c r="P301" i="1"/>
  <c r="N302" i="1"/>
  <c r="O302" i="1"/>
  <c r="P302" i="1"/>
  <c r="N303" i="1"/>
  <c r="O303" i="1"/>
  <c r="P303" i="1"/>
  <c r="N304" i="1"/>
  <c r="O304" i="1"/>
  <c r="P304" i="1"/>
  <c r="N305" i="1"/>
  <c r="O305" i="1"/>
  <c r="P305" i="1"/>
  <c r="N306" i="1"/>
  <c r="O306" i="1"/>
  <c r="P306" i="1"/>
  <c r="N307" i="1"/>
  <c r="O307" i="1"/>
  <c r="P307" i="1"/>
  <c r="N308" i="1"/>
  <c r="O308" i="1"/>
  <c r="P308" i="1"/>
  <c r="N309" i="1"/>
  <c r="O309" i="1"/>
  <c r="P309" i="1"/>
  <c r="N310" i="1"/>
  <c r="O310" i="1"/>
  <c r="P310" i="1"/>
  <c r="N311" i="1"/>
  <c r="O311" i="1"/>
  <c r="P311" i="1"/>
  <c r="N312" i="1"/>
  <c r="O312" i="1"/>
  <c r="P312" i="1"/>
  <c r="N313" i="1"/>
  <c r="O313" i="1"/>
  <c r="P313" i="1"/>
  <c r="N314" i="1"/>
  <c r="O314" i="1"/>
  <c r="P314" i="1"/>
  <c r="N315" i="1"/>
  <c r="O315" i="1"/>
  <c r="P315" i="1"/>
  <c r="N316" i="1"/>
  <c r="O316" i="1"/>
  <c r="P316" i="1"/>
  <c r="N317" i="1"/>
  <c r="O317" i="1"/>
  <c r="P317" i="1"/>
  <c r="N318" i="1"/>
  <c r="O318" i="1"/>
  <c r="P318" i="1"/>
  <c r="N319" i="1"/>
  <c r="O319" i="1"/>
  <c r="P319" i="1"/>
  <c r="N320" i="1"/>
  <c r="O320" i="1"/>
  <c r="P320" i="1"/>
  <c r="N321" i="1"/>
  <c r="O321" i="1"/>
  <c r="P321" i="1"/>
  <c r="N322" i="1"/>
  <c r="O322" i="1"/>
  <c r="P322" i="1"/>
  <c r="N323" i="1"/>
  <c r="O323" i="1"/>
  <c r="P323" i="1"/>
  <c r="N324" i="1"/>
  <c r="O324" i="1"/>
  <c r="P324" i="1"/>
  <c r="N325" i="1"/>
  <c r="O325" i="1"/>
  <c r="P325" i="1"/>
  <c r="N326" i="1"/>
  <c r="O326" i="1"/>
  <c r="P326" i="1"/>
  <c r="N327" i="1"/>
  <c r="O327" i="1"/>
  <c r="P327" i="1"/>
  <c r="N328" i="1"/>
  <c r="O328" i="1"/>
  <c r="P328" i="1"/>
  <c r="N329" i="1"/>
  <c r="O329" i="1"/>
  <c r="P329" i="1"/>
  <c r="N330" i="1"/>
  <c r="O330" i="1"/>
  <c r="P330" i="1"/>
  <c r="N331" i="1"/>
  <c r="O331" i="1"/>
  <c r="P331" i="1"/>
  <c r="N332" i="1"/>
  <c r="O332" i="1"/>
  <c r="P332" i="1"/>
  <c r="N333" i="1"/>
  <c r="O333" i="1"/>
  <c r="P333" i="1"/>
  <c r="N334" i="1"/>
  <c r="O334" i="1"/>
  <c r="P334" i="1"/>
  <c r="N335" i="1"/>
  <c r="O335" i="1"/>
  <c r="P335" i="1"/>
  <c r="N336" i="1"/>
  <c r="O336" i="1"/>
  <c r="P336" i="1"/>
  <c r="N337" i="1"/>
  <c r="O337" i="1"/>
  <c r="P337" i="1"/>
  <c r="N338" i="1"/>
  <c r="O338" i="1"/>
  <c r="P338" i="1"/>
  <c r="N339" i="1"/>
  <c r="O339" i="1"/>
  <c r="P339" i="1"/>
  <c r="N340" i="1"/>
  <c r="O340" i="1"/>
  <c r="P340" i="1"/>
  <c r="N341" i="1"/>
  <c r="O341" i="1"/>
  <c r="P341" i="1"/>
  <c r="N342" i="1"/>
  <c r="O342" i="1"/>
  <c r="P342" i="1"/>
  <c r="N343" i="1"/>
  <c r="O343" i="1"/>
  <c r="P343" i="1"/>
  <c r="N344" i="1"/>
  <c r="O344" i="1"/>
  <c r="P344" i="1"/>
  <c r="N345" i="1"/>
  <c r="O345" i="1"/>
  <c r="P345" i="1"/>
  <c r="N346" i="1"/>
  <c r="O346" i="1"/>
  <c r="P346" i="1"/>
  <c r="N347" i="1"/>
  <c r="O347" i="1"/>
  <c r="P347" i="1"/>
  <c r="N348" i="1"/>
  <c r="O348" i="1"/>
  <c r="P348" i="1"/>
  <c r="N349" i="1"/>
  <c r="O349" i="1"/>
  <c r="P349" i="1"/>
  <c r="N350" i="1"/>
  <c r="O350" i="1"/>
  <c r="P350" i="1"/>
  <c r="N351" i="1"/>
  <c r="O351" i="1"/>
  <c r="P351" i="1"/>
  <c r="N352" i="1"/>
  <c r="O352" i="1"/>
  <c r="P352" i="1"/>
  <c r="N353" i="1"/>
  <c r="O353" i="1"/>
  <c r="P353" i="1"/>
  <c r="N354" i="1"/>
  <c r="O354" i="1"/>
  <c r="P354" i="1"/>
  <c r="N355" i="1"/>
  <c r="O355" i="1"/>
  <c r="P355" i="1"/>
  <c r="N356" i="1"/>
  <c r="O356" i="1"/>
  <c r="P356" i="1"/>
  <c r="N357" i="1"/>
  <c r="O357" i="1"/>
  <c r="P357" i="1"/>
  <c r="N358" i="1"/>
  <c r="O358" i="1"/>
  <c r="P358" i="1"/>
  <c r="N359" i="1"/>
  <c r="O359" i="1"/>
  <c r="P359" i="1"/>
  <c r="N360" i="1"/>
  <c r="O360" i="1"/>
  <c r="P360" i="1"/>
  <c r="N361" i="1"/>
  <c r="O361" i="1"/>
  <c r="P361" i="1"/>
  <c r="N362" i="1"/>
  <c r="O362" i="1"/>
  <c r="P362" i="1"/>
  <c r="N363" i="1"/>
  <c r="O363" i="1"/>
  <c r="P363" i="1"/>
  <c r="N364" i="1"/>
  <c r="O364" i="1"/>
  <c r="P364" i="1"/>
  <c r="N365" i="1"/>
  <c r="O365" i="1"/>
  <c r="P365" i="1"/>
  <c r="N366" i="1"/>
  <c r="O366" i="1"/>
  <c r="P366" i="1"/>
  <c r="N367" i="1"/>
  <c r="O367" i="1"/>
  <c r="P367" i="1"/>
  <c r="N368" i="1"/>
  <c r="O368" i="1"/>
  <c r="P368" i="1"/>
  <c r="N369" i="1"/>
  <c r="O369" i="1"/>
  <c r="P369" i="1"/>
  <c r="N370" i="1"/>
  <c r="O370" i="1"/>
  <c r="P370" i="1"/>
  <c r="N371" i="1"/>
  <c r="O371" i="1"/>
  <c r="P371" i="1"/>
  <c r="N372" i="1"/>
  <c r="O372" i="1"/>
  <c r="P372" i="1"/>
  <c r="N373" i="1"/>
  <c r="O373" i="1"/>
  <c r="P373" i="1"/>
  <c r="N374" i="1"/>
  <c r="O374" i="1"/>
  <c r="P374" i="1"/>
  <c r="N375" i="1"/>
  <c r="O375" i="1"/>
  <c r="P375" i="1"/>
  <c r="N376" i="1"/>
  <c r="O376" i="1"/>
  <c r="P376" i="1"/>
  <c r="N377" i="1"/>
  <c r="O377" i="1"/>
  <c r="P377" i="1"/>
  <c r="N378" i="1"/>
  <c r="O378" i="1"/>
  <c r="P378" i="1"/>
  <c r="N379" i="1"/>
  <c r="O379" i="1"/>
  <c r="P379" i="1"/>
  <c r="N380" i="1"/>
  <c r="O380" i="1"/>
  <c r="P380" i="1"/>
  <c r="N381" i="1"/>
  <c r="O381" i="1"/>
  <c r="P381" i="1"/>
  <c r="N382" i="1"/>
  <c r="O382" i="1"/>
  <c r="P382" i="1"/>
  <c r="N383" i="1"/>
  <c r="O383" i="1"/>
  <c r="P383" i="1"/>
  <c r="N384" i="1"/>
  <c r="O384" i="1"/>
  <c r="P384" i="1"/>
  <c r="N385" i="1"/>
  <c r="O385" i="1"/>
  <c r="P385" i="1"/>
  <c r="N386" i="1"/>
  <c r="O386" i="1"/>
  <c r="P386" i="1"/>
  <c r="N387" i="1"/>
  <c r="O387" i="1"/>
  <c r="P387" i="1"/>
  <c r="N388" i="1"/>
  <c r="O388" i="1"/>
  <c r="P388" i="1"/>
  <c r="N389" i="1"/>
  <c r="O389" i="1"/>
  <c r="P389" i="1"/>
  <c r="N390" i="1"/>
  <c r="O390" i="1"/>
  <c r="P390" i="1"/>
  <c r="N391" i="1"/>
  <c r="O391" i="1"/>
  <c r="P391" i="1"/>
  <c r="N392" i="1"/>
  <c r="O392" i="1"/>
  <c r="P392" i="1"/>
  <c r="N393" i="1"/>
  <c r="O393" i="1"/>
  <c r="P393" i="1"/>
  <c r="N394" i="1"/>
  <c r="O394" i="1"/>
  <c r="P394" i="1"/>
  <c r="N395" i="1"/>
  <c r="O395" i="1"/>
  <c r="P395" i="1"/>
  <c r="N396" i="1"/>
  <c r="O396" i="1"/>
  <c r="P396" i="1"/>
  <c r="N397" i="1"/>
  <c r="O397" i="1"/>
  <c r="P397" i="1"/>
  <c r="N398" i="1"/>
  <c r="O398" i="1"/>
  <c r="P398" i="1"/>
  <c r="N399" i="1"/>
  <c r="O399" i="1"/>
  <c r="P399" i="1"/>
  <c r="N400" i="1"/>
  <c r="O400" i="1"/>
  <c r="P400" i="1"/>
  <c r="N401" i="1"/>
  <c r="O401" i="1"/>
  <c r="P401" i="1"/>
  <c r="N402" i="1"/>
  <c r="O402" i="1"/>
  <c r="P402" i="1"/>
  <c r="N403" i="1"/>
  <c r="O403" i="1"/>
  <c r="P403" i="1"/>
  <c r="N404" i="1"/>
  <c r="O404" i="1"/>
  <c r="P404" i="1"/>
  <c r="N405" i="1"/>
  <c r="O405" i="1"/>
  <c r="P405" i="1"/>
  <c r="N406" i="1"/>
  <c r="O406" i="1"/>
  <c r="P406" i="1"/>
  <c r="N407" i="1"/>
  <c r="O407" i="1"/>
  <c r="P407" i="1"/>
  <c r="N408" i="1"/>
  <c r="O408" i="1"/>
  <c r="P408" i="1"/>
  <c r="N409" i="1"/>
  <c r="O409" i="1"/>
  <c r="P409" i="1"/>
  <c r="N410" i="1"/>
  <c r="O410" i="1"/>
  <c r="P410" i="1"/>
  <c r="N411" i="1"/>
  <c r="O411" i="1"/>
  <c r="P411" i="1"/>
  <c r="N412" i="1"/>
  <c r="O412" i="1"/>
  <c r="P412" i="1"/>
  <c r="N413" i="1"/>
  <c r="O413" i="1"/>
  <c r="P413" i="1"/>
  <c r="N414" i="1"/>
  <c r="O414" i="1"/>
  <c r="P414" i="1"/>
  <c r="N415" i="1"/>
  <c r="O415" i="1"/>
  <c r="P415" i="1"/>
  <c r="N416" i="1"/>
  <c r="O416" i="1"/>
  <c r="P416" i="1"/>
  <c r="N417" i="1"/>
  <c r="O417" i="1"/>
  <c r="P417" i="1"/>
  <c r="N418" i="1"/>
  <c r="O418" i="1"/>
  <c r="P418" i="1"/>
  <c r="N419" i="1"/>
  <c r="O419" i="1"/>
  <c r="P419" i="1"/>
  <c r="N420" i="1"/>
  <c r="O420" i="1"/>
  <c r="P420" i="1"/>
  <c r="N421" i="1"/>
  <c r="O421" i="1"/>
  <c r="P421" i="1"/>
  <c r="N422" i="1"/>
  <c r="O422" i="1"/>
  <c r="P422" i="1"/>
  <c r="N423" i="1"/>
  <c r="O423" i="1"/>
  <c r="P423" i="1"/>
  <c r="N424" i="1"/>
  <c r="O424" i="1"/>
  <c r="P424" i="1"/>
  <c r="N425" i="1"/>
  <c r="O425" i="1"/>
  <c r="P425" i="1"/>
  <c r="N426" i="1"/>
  <c r="O426" i="1"/>
  <c r="P426" i="1"/>
  <c r="N427" i="1"/>
  <c r="O427" i="1"/>
  <c r="P427" i="1"/>
  <c r="N428" i="1"/>
  <c r="O428" i="1"/>
  <c r="P428" i="1"/>
  <c r="N429" i="1"/>
  <c r="O429" i="1"/>
  <c r="P429" i="1"/>
  <c r="N430" i="1"/>
  <c r="O430" i="1"/>
  <c r="P430" i="1"/>
  <c r="N431" i="1"/>
  <c r="O431" i="1"/>
  <c r="P431" i="1"/>
  <c r="N432" i="1"/>
  <c r="O432" i="1"/>
  <c r="P432" i="1"/>
  <c r="N433" i="1"/>
  <c r="O433" i="1"/>
  <c r="P433" i="1"/>
  <c r="N434" i="1"/>
  <c r="O434" i="1"/>
  <c r="P434" i="1"/>
  <c r="N435" i="1"/>
  <c r="O435" i="1"/>
  <c r="P435" i="1"/>
  <c r="N436" i="1"/>
  <c r="O436" i="1"/>
  <c r="P436" i="1"/>
  <c r="N437" i="1"/>
  <c r="O437" i="1"/>
  <c r="P437" i="1"/>
  <c r="N438" i="1"/>
  <c r="O438" i="1"/>
  <c r="P438" i="1"/>
  <c r="N439" i="1"/>
  <c r="O439" i="1"/>
  <c r="P439" i="1"/>
  <c r="N440" i="1"/>
  <c r="O440" i="1"/>
  <c r="P440" i="1"/>
  <c r="N441" i="1"/>
  <c r="O441" i="1"/>
  <c r="P441" i="1"/>
  <c r="N442" i="1"/>
  <c r="O442" i="1"/>
  <c r="P442" i="1"/>
  <c r="N443" i="1"/>
  <c r="O443" i="1"/>
  <c r="P443" i="1"/>
  <c r="N444" i="1"/>
  <c r="O444" i="1"/>
  <c r="P444" i="1"/>
  <c r="N445" i="1"/>
  <c r="O445" i="1"/>
  <c r="P445" i="1"/>
  <c r="N446" i="1"/>
  <c r="O446" i="1"/>
  <c r="P446" i="1"/>
  <c r="N447" i="1"/>
  <c r="O447" i="1"/>
  <c r="P447" i="1"/>
  <c r="N448" i="1"/>
  <c r="O448" i="1"/>
  <c r="P448" i="1"/>
  <c r="N449" i="1"/>
  <c r="O449" i="1"/>
  <c r="P449" i="1"/>
  <c r="N450" i="1"/>
  <c r="O450" i="1"/>
  <c r="P450" i="1"/>
  <c r="N451" i="1"/>
  <c r="O451" i="1"/>
  <c r="P451" i="1"/>
  <c r="N452" i="1"/>
  <c r="O452" i="1"/>
  <c r="P452" i="1"/>
  <c r="N453" i="1"/>
  <c r="O453" i="1"/>
  <c r="P453" i="1"/>
  <c r="N454" i="1"/>
  <c r="O454" i="1"/>
  <c r="P454" i="1"/>
  <c r="N455" i="1"/>
  <c r="O455" i="1"/>
  <c r="P455" i="1"/>
  <c r="N456" i="1"/>
  <c r="O456" i="1"/>
  <c r="P456" i="1"/>
  <c r="N457" i="1"/>
  <c r="O457" i="1"/>
  <c r="P457" i="1"/>
  <c r="N458" i="1"/>
  <c r="O458" i="1"/>
  <c r="P458" i="1"/>
  <c r="N459" i="1"/>
  <c r="O459" i="1"/>
  <c r="P459" i="1"/>
  <c r="N460" i="1"/>
  <c r="O460" i="1"/>
  <c r="P460" i="1"/>
  <c r="N461" i="1"/>
  <c r="O461" i="1"/>
  <c r="P461" i="1"/>
  <c r="N462" i="1"/>
  <c r="O462" i="1"/>
  <c r="P462" i="1"/>
  <c r="N463" i="1"/>
  <c r="O463" i="1"/>
  <c r="P463" i="1"/>
  <c r="N464" i="1"/>
  <c r="O464" i="1"/>
  <c r="P464" i="1"/>
  <c r="N465" i="1"/>
  <c r="O465" i="1"/>
  <c r="P465" i="1"/>
  <c r="N466" i="1"/>
  <c r="O466" i="1"/>
  <c r="P466" i="1"/>
  <c r="N467" i="1"/>
  <c r="O467" i="1"/>
  <c r="P467" i="1"/>
  <c r="N468" i="1"/>
  <c r="O468" i="1"/>
  <c r="P468" i="1"/>
  <c r="N469" i="1"/>
  <c r="O469" i="1"/>
  <c r="P469" i="1"/>
  <c r="N470" i="1"/>
  <c r="O470" i="1"/>
  <c r="P470" i="1"/>
  <c r="N471" i="1"/>
  <c r="O471" i="1"/>
  <c r="P471" i="1"/>
  <c r="N472" i="1"/>
  <c r="O472" i="1"/>
  <c r="P472" i="1"/>
  <c r="N473" i="1"/>
  <c r="O473" i="1"/>
  <c r="P473" i="1"/>
  <c r="N474" i="1"/>
  <c r="O474" i="1"/>
  <c r="P474" i="1"/>
  <c r="N475" i="1"/>
  <c r="O475" i="1"/>
  <c r="P475" i="1"/>
  <c r="N476" i="1"/>
  <c r="O476" i="1"/>
  <c r="P476" i="1"/>
  <c r="N477" i="1"/>
  <c r="O477" i="1"/>
  <c r="P477" i="1"/>
  <c r="N478" i="1"/>
  <c r="O478" i="1"/>
  <c r="P478" i="1"/>
  <c r="N479" i="1"/>
  <c r="O479" i="1"/>
  <c r="P479" i="1"/>
  <c r="N480" i="1"/>
  <c r="O480" i="1"/>
  <c r="P480" i="1"/>
  <c r="N481" i="1"/>
  <c r="O481" i="1"/>
  <c r="P481" i="1"/>
  <c r="N482" i="1"/>
  <c r="O482" i="1"/>
  <c r="P482" i="1"/>
  <c r="N483" i="1"/>
  <c r="O483" i="1"/>
  <c r="P483" i="1"/>
  <c r="N484" i="1"/>
  <c r="O484" i="1"/>
  <c r="P484" i="1"/>
  <c r="N485" i="1"/>
  <c r="O485" i="1"/>
  <c r="P485" i="1"/>
  <c r="N486" i="1"/>
  <c r="O486" i="1"/>
  <c r="P486" i="1"/>
  <c r="N487" i="1"/>
  <c r="O487" i="1"/>
  <c r="P487" i="1"/>
  <c r="N488" i="1"/>
  <c r="O488" i="1"/>
  <c r="P488" i="1"/>
  <c r="N489" i="1"/>
  <c r="O489" i="1"/>
  <c r="P489" i="1"/>
  <c r="N490" i="1"/>
  <c r="O490" i="1"/>
  <c r="P490" i="1"/>
  <c r="N491" i="1"/>
  <c r="O491" i="1"/>
  <c r="P491" i="1"/>
  <c r="N492" i="1"/>
  <c r="O492" i="1"/>
  <c r="P492" i="1"/>
  <c r="N493" i="1"/>
  <c r="O493" i="1"/>
  <c r="P493" i="1"/>
  <c r="N494" i="1"/>
  <c r="O494" i="1"/>
  <c r="P494" i="1"/>
  <c r="N495" i="1"/>
  <c r="O495" i="1"/>
  <c r="P495" i="1"/>
  <c r="N496" i="1"/>
  <c r="O496" i="1"/>
  <c r="P496" i="1"/>
  <c r="N497" i="1"/>
  <c r="O497" i="1"/>
  <c r="P497" i="1"/>
  <c r="N498" i="1"/>
  <c r="O498" i="1"/>
  <c r="P498" i="1"/>
  <c r="N499" i="1"/>
  <c r="O499" i="1"/>
  <c r="P499" i="1"/>
  <c r="N500" i="1"/>
  <c r="O500" i="1"/>
  <c r="P500" i="1"/>
  <c r="N501" i="1"/>
  <c r="O501" i="1"/>
  <c r="P501" i="1"/>
  <c r="N502" i="1"/>
  <c r="O502" i="1"/>
  <c r="P502" i="1"/>
  <c r="N503" i="1"/>
  <c r="O503" i="1"/>
  <c r="P503" i="1"/>
  <c r="N504" i="1"/>
  <c r="O504" i="1"/>
  <c r="P504" i="1"/>
  <c r="N505" i="1"/>
  <c r="O505" i="1"/>
  <c r="P505" i="1"/>
  <c r="N506" i="1"/>
  <c r="O506" i="1"/>
  <c r="P506" i="1"/>
  <c r="N507" i="1"/>
  <c r="O507" i="1"/>
  <c r="P507" i="1"/>
  <c r="N508" i="1"/>
  <c r="O508" i="1"/>
  <c r="P508" i="1"/>
  <c r="N509" i="1"/>
  <c r="O509" i="1"/>
  <c r="P509" i="1"/>
  <c r="N510" i="1"/>
  <c r="O510" i="1"/>
  <c r="P510" i="1"/>
  <c r="N511" i="1"/>
  <c r="O511" i="1"/>
  <c r="P511" i="1"/>
  <c r="N512" i="1"/>
  <c r="O512" i="1"/>
  <c r="P512" i="1"/>
  <c r="N513" i="1"/>
  <c r="O513" i="1"/>
  <c r="P513" i="1"/>
  <c r="N514" i="1"/>
  <c r="O514" i="1"/>
  <c r="P514" i="1"/>
  <c r="N515" i="1"/>
  <c r="O515" i="1"/>
  <c r="P515" i="1"/>
  <c r="N516" i="1"/>
  <c r="O516" i="1"/>
  <c r="P516" i="1"/>
  <c r="N517" i="1"/>
  <c r="O517" i="1"/>
  <c r="P517" i="1"/>
  <c r="N518" i="1"/>
  <c r="O518" i="1"/>
  <c r="P518" i="1"/>
  <c r="N519" i="1"/>
  <c r="O519" i="1"/>
  <c r="P519" i="1"/>
  <c r="N520" i="1"/>
  <c r="O520" i="1"/>
  <c r="P520" i="1"/>
  <c r="N521" i="1"/>
  <c r="O521" i="1"/>
  <c r="P521" i="1"/>
  <c r="N522" i="1"/>
  <c r="O522" i="1"/>
  <c r="P522" i="1"/>
  <c r="N523" i="1"/>
  <c r="O523" i="1"/>
  <c r="P523" i="1"/>
  <c r="N524" i="1"/>
  <c r="O524" i="1"/>
  <c r="P524" i="1"/>
  <c r="N525" i="1"/>
  <c r="O525" i="1"/>
  <c r="P525" i="1"/>
  <c r="N526" i="1"/>
  <c r="O526" i="1"/>
  <c r="P526" i="1"/>
  <c r="N527" i="1"/>
  <c r="O527" i="1"/>
  <c r="P527" i="1"/>
  <c r="N528" i="1"/>
  <c r="O528" i="1"/>
  <c r="P528" i="1"/>
  <c r="N529" i="1"/>
  <c r="O529" i="1"/>
  <c r="P529" i="1"/>
  <c r="N530" i="1"/>
  <c r="O530" i="1"/>
  <c r="P530" i="1"/>
  <c r="N531" i="1"/>
  <c r="O531" i="1"/>
  <c r="P531" i="1"/>
  <c r="N532" i="1"/>
  <c r="O532" i="1"/>
  <c r="P532" i="1"/>
  <c r="N533" i="1"/>
  <c r="O533" i="1"/>
  <c r="P533" i="1"/>
  <c r="N534" i="1"/>
  <c r="O534" i="1"/>
  <c r="P534" i="1"/>
  <c r="N535" i="1"/>
  <c r="O535" i="1"/>
  <c r="P535" i="1"/>
  <c r="N536" i="1"/>
  <c r="O536" i="1"/>
  <c r="P536" i="1"/>
  <c r="N537" i="1"/>
  <c r="O537" i="1"/>
  <c r="P537" i="1"/>
  <c r="N538" i="1"/>
  <c r="O538" i="1"/>
  <c r="P538" i="1"/>
  <c r="N539" i="1"/>
  <c r="O539" i="1"/>
  <c r="P539" i="1"/>
  <c r="N540" i="1"/>
  <c r="O540" i="1"/>
  <c r="P540" i="1"/>
  <c r="N541" i="1"/>
  <c r="O541" i="1"/>
  <c r="P541" i="1"/>
  <c r="N542" i="1"/>
  <c r="O542" i="1"/>
  <c r="P542" i="1"/>
  <c r="N543" i="1"/>
  <c r="O543" i="1"/>
  <c r="P543" i="1"/>
  <c r="N544" i="1"/>
  <c r="O544" i="1"/>
  <c r="P544" i="1"/>
  <c r="N545" i="1"/>
  <c r="O545" i="1"/>
  <c r="P545" i="1"/>
  <c r="N546" i="1"/>
  <c r="O546" i="1"/>
  <c r="P546" i="1"/>
  <c r="N547" i="1"/>
  <c r="O547" i="1"/>
  <c r="P547" i="1"/>
  <c r="N548" i="1"/>
  <c r="O548" i="1"/>
  <c r="P548" i="1"/>
  <c r="N549" i="1"/>
  <c r="O549" i="1"/>
  <c r="P549" i="1"/>
  <c r="N550" i="1"/>
  <c r="O550" i="1"/>
  <c r="P550" i="1"/>
  <c r="N551" i="1"/>
  <c r="O551" i="1"/>
  <c r="P551" i="1"/>
  <c r="N552" i="1"/>
  <c r="O552" i="1"/>
  <c r="P552" i="1"/>
  <c r="N553" i="1"/>
  <c r="O553" i="1"/>
  <c r="P553" i="1"/>
  <c r="N554" i="1"/>
  <c r="O554" i="1"/>
  <c r="P554" i="1"/>
  <c r="N555" i="1"/>
  <c r="O555" i="1"/>
  <c r="P555" i="1"/>
  <c r="N556" i="1"/>
  <c r="O556" i="1"/>
  <c r="P556" i="1"/>
  <c r="N557" i="1"/>
  <c r="O557" i="1"/>
  <c r="P557" i="1"/>
  <c r="N558" i="1"/>
  <c r="O558" i="1"/>
  <c r="P558" i="1"/>
  <c r="N559" i="1"/>
  <c r="O559" i="1"/>
  <c r="P559" i="1"/>
  <c r="A3" i="3" l="1"/>
  <c r="A4" i="3"/>
  <c r="A5" i="3"/>
  <c r="A6" i="3"/>
  <c r="A7" i="3"/>
  <c r="A8" i="3"/>
  <c r="A9" i="3"/>
  <c r="A10" i="3"/>
  <c r="D2" i="3"/>
  <c r="D3" i="3"/>
  <c r="D4" i="3"/>
  <c r="D5" i="3"/>
  <c r="D6" i="3"/>
  <c r="D7" i="3"/>
  <c r="D8" i="3"/>
  <c r="D9" i="3"/>
  <c r="D10" i="3"/>
  <c r="G2" i="3"/>
  <c r="G3" i="3"/>
  <c r="G4" i="3"/>
  <c r="G5" i="3"/>
  <c r="G6" i="3"/>
  <c r="G7" i="3"/>
  <c r="G8" i="3"/>
  <c r="G9" i="3"/>
  <c r="G10" i="3"/>
  <c r="A2" i="3"/>
  <c r="O2" i="1" l="1"/>
  <c r="P2" i="1"/>
  <c r="N2" i="1"/>
  <c r="T5" i="1"/>
  <c r="B4" i="3" l="1"/>
  <c r="T16" i="1"/>
  <c r="T4" i="1"/>
  <c r="T29" i="1"/>
  <c r="T13" i="1"/>
  <c r="T12" i="1"/>
  <c r="T9" i="1"/>
  <c r="T24" i="1"/>
  <c r="T25" i="1"/>
  <c r="T8" i="1"/>
  <c r="T21" i="1"/>
  <c r="T28" i="1"/>
  <c r="T27" i="1"/>
  <c r="T17" i="1"/>
  <c r="V35" i="1"/>
  <c r="T37" i="1"/>
  <c r="U37" i="1"/>
  <c r="V37" i="1"/>
  <c r="T35" i="1"/>
  <c r="V36" i="1"/>
  <c r="U35" i="1"/>
  <c r="T36" i="1"/>
  <c r="U36" i="1"/>
  <c r="T20" i="1"/>
  <c r="T6" i="1"/>
  <c r="T22" i="1"/>
  <c r="T10" i="1"/>
  <c r="T14" i="1"/>
  <c r="T18" i="1"/>
  <c r="T26" i="1"/>
  <c r="T3" i="1"/>
  <c r="T7" i="1"/>
  <c r="T11" i="1"/>
  <c r="T15" i="1"/>
  <c r="T19" i="1"/>
  <c r="T23" i="1"/>
  <c r="B8" i="3" l="1"/>
  <c r="B9" i="3"/>
  <c r="H2" i="3"/>
  <c r="E5" i="3"/>
  <c r="H7" i="3"/>
  <c r="H3" i="3"/>
  <c r="E7" i="3"/>
  <c r="B7" i="3"/>
  <c r="E2" i="3"/>
  <c r="E6" i="3"/>
  <c r="E9" i="3"/>
  <c r="B3" i="3"/>
  <c r="B10" i="3"/>
  <c r="E8" i="3"/>
  <c r="B5" i="3"/>
  <c r="H8" i="3"/>
  <c r="H6" i="3"/>
  <c r="E3" i="3"/>
  <c r="B2" i="3"/>
  <c r="H4" i="3"/>
  <c r="B6" i="3"/>
  <c r="E4" i="3"/>
  <c r="E10" i="3"/>
  <c r="H9" i="3"/>
  <c r="H5" i="3"/>
  <c r="H10" i="3"/>
  <c r="T30" i="1"/>
  <c r="U9" i="1" s="1"/>
  <c r="C8" i="3" s="1"/>
  <c r="B13" i="3" l="1"/>
  <c r="B14" i="3"/>
  <c r="U11" i="1"/>
  <c r="C10" i="3" s="1"/>
  <c r="U29" i="1"/>
  <c r="I10" i="3" s="1"/>
  <c r="U28" i="1"/>
  <c r="I9" i="3" s="1"/>
  <c r="U13" i="1"/>
  <c r="F3" i="3" s="1"/>
  <c r="U18" i="1"/>
  <c r="F8" i="3" s="1"/>
  <c r="U4" i="1"/>
  <c r="C3" i="3" s="1"/>
  <c r="U16" i="1"/>
  <c r="F6" i="3" s="1"/>
  <c r="U8" i="1"/>
  <c r="C7" i="3" s="1"/>
  <c r="U22" i="1"/>
  <c r="I3" i="3" s="1"/>
  <c r="U10" i="1"/>
  <c r="C9" i="3" s="1"/>
  <c r="U14" i="1"/>
  <c r="F4" i="3" s="1"/>
  <c r="U23" i="1"/>
  <c r="I4" i="3" s="1"/>
  <c r="U27" i="1"/>
  <c r="I8" i="3" s="1"/>
  <c r="U15" i="1"/>
  <c r="F5" i="3" s="1"/>
  <c r="U24" i="1"/>
  <c r="I5" i="3" s="1"/>
  <c r="U20" i="1"/>
  <c r="F10" i="3" s="1"/>
  <c r="U3" i="1"/>
  <c r="C2" i="3" s="1"/>
  <c r="U25" i="1"/>
  <c r="I6" i="3" s="1"/>
  <c r="U6" i="1"/>
  <c r="C5" i="3" s="1"/>
  <c r="U12" i="1"/>
  <c r="F2" i="3" s="1"/>
  <c r="U17" i="1"/>
  <c r="F7" i="3" s="1"/>
  <c r="U26" i="1"/>
  <c r="I7" i="3" s="1"/>
  <c r="U21" i="1"/>
  <c r="I2" i="3" s="1"/>
  <c r="V43" i="1"/>
  <c r="U5" i="1"/>
  <c r="C4" i="3" s="1"/>
  <c r="U7" i="1"/>
  <c r="C6" i="3" s="1"/>
  <c r="U19" i="1"/>
  <c r="F9" i="3" s="1"/>
  <c r="T42" i="1"/>
  <c r="U42" i="1"/>
  <c r="U43" i="1"/>
  <c r="T41" i="1"/>
  <c r="T43" i="1"/>
  <c r="U41" i="1"/>
  <c r="V41" i="1"/>
  <c r="V42" i="1"/>
  <c r="C13" i="3" l="1"/>
  <c r="C14" i="3"/>
</calcChain>
</file>

<file path=xl/sharedStrings.xml><?xml version="1.0" encoding="utf-8"?>
<sst xmlns="http://schemas.openxmlformats.org/spreadsheetml/2006/main" count="3656" uniqueCount="1199">
  <si>
    <t>震荡市经历平均排名</t>
    <phoneticPr fontId="1" type="noConversion"/>
  </si>
  <si>
    <t>牛市平均排名</t>
    <phoneticPr fontId="1" type="noConversion"/>
  </si>
  <si>
    <t>熊高震荡高牛高</t>
    <phoneticPr fontId="1" type="noConversion"/>
  </si>
  <si>
    <t>熊高震荡高牛中</t>
    <phoneticPr fontId="1" type="noConversion"/>
  </si>
  <si>
    <t>熊高震荡高牛低</t>
    <phoneticPr fontId="1" type="noConversion"/>
  </si>
  <si>
    <t>熊高震荡中牛高</t>
    <phoneticPr fontId="1" type="noConversion"/>
  </si>
  <si>
    <t>熊高震荡中牛中</t>
    <phoneticPr fontId="1" type="noConversion"/>
  </si>
  <si>
    <t>熊高震荡中牛低</t>
    <phoneticPr fontId="1" type="noConversion"/>
  </si>
  <si>
    <t>熊高震荡低牛高</t>
    <phoneticPr fontId="1" type="noConversion"/>
  </si>
  <si>
    <t>熊高震荡低牛中</t>
    <phoneticPr fontId="1" type="noConversion"/>
  </si>
  <si>
    <t>熊高震荡低牛低</t>
    <phoneticPr fontId="1" type="noConversion"/>
  </si>
  <si>
    <t>熊中震荡高牛高</t>
  </si>
  <si>
    <t>熊中震荡高牛中</t>
  </si>
  <si>
    <t>熊中震荡高牛低</t>
  </si>
  <si>
    <t>熊中震荡中牛高</t>
  </si>
  <si>
    <t>熊中震荡中牛中</t>
  </si>
  <si>
    <t>熊中震荡中牛低</t>
  </si>
  <si>
    <t>熊中震荡低牛高</t>
  </si>
  <si>
    <t>熊中震荡低牛中</t>
  </si>
  <si>
    <t>熊中震荡低牛低</t>
  </si>
  <si>
    <t>熊低震荡高牛高</t>
  </si>
  <si>
    <t>熊低震荡高牛中</t>
  </si>
  <si>
    <t>熊低震荡高牛低</t>
  </si>
  <si>
    <t>熊低震荡中牛高</t>
  </si>
  <si>
    <t>熊低震荡中牛中</t>
  </si>
  <si>
    <t>熊低震荡中牛低</t>
  </si>
  <si>
    <t>熊低震荡低牛高</t>
  </si>
  <si>
    <t>熊低震荡低牛中</t>
  </si>
  <si>
    <t>熊低震荡低牛低</t>
  </si>
  <si>
    <t>表现</t>
    <phoneticPr fontId="1" type="noConversion"/>
  </si>
  <si>
    <t>高</t>
    <phoneticPr fontId="1" type="noConversion"/>
  </si>
  <si>
    <t>中</t>
    <phoneticPr fontId="1" type="noConversion"/>
  </si>
  <si>
    <t>低</t>
    <phoneticPr fontId="1" type="noConversion"/>
  </si>
  <si>
    <t>熊</t>
    <phoneticPr fontId="1" type="noConversion"/>
  </si>
  <si>
    <t>震荡</t>
    <phoneticPr fontId="1" type="noConversion"/>
  </si>
  <si>
    <t>牛</t>
    <phoneticPr fontId="1" type="noConversion"/>
  </si>
  <si>
    <t>熊市经历平均排名(1:x&lt;30,     2: 30=&lt;x&lt;50,    3:50=&lt;x)</t>
    <phoneticPr fontId="1" type="noConversion"/>
  </si>
  <si>
    <t>熊强震荡强牛强</t>
  </si>
  <si>
    <t>000127.OF</t>
  </si>
  <si>
    <t>农银汇理行业领先</t>
  </si>
  <si>
    <t>偏股混合型基金</t>
  </si>
  <si>
    <t>450009.OF</t>
  </si>
  <si>
    <t>国富中小盘</t>
  </si>
  <si>
    <t>普通股票型基金</t>
  </si>
  <si>
    <t>519069.OF</t>
  </si>
  <si>
    <t>汇添富价值精选A</t>
  </si>
  <si>
    <t>519712.OF</t>
  </si>
  <si>
    <t>交银阿尔法</t>
  </si>
  <si>
    <t>570005.OF</t>
  </si>
  <si>
    <t>诺德成长优势</t>
  </si>
  <si>
    <t>熊强震荡强牛中</t>
  </si>
  <si>
    <t>040016.OF</t>
  </si>
  <si>
    <t>华安行业轮动</t>
  </si>
  <si>
    <t>070099.OF</t>
  </si>
  <si>
    <t>嘉实优质企业</t>
  </si>
  <si>
    <t>257020.OF</t>
  </si>
  <si>
    <t>国联安精选</t>
  </si>
  <si>
    <t>320011.OF</t>
  </si>
  <si>
    <t>诺安中小盘精选</t>
  </si>
  <si>
    <t>399011.OF</t>
  </si>
  <si>
    <t>中海医疗保健</t>
  </si>
  <si>
    <t>690007.OF</t>
  </si>
  <si>
    <t>民生加银景气行业</t>
  </si>
  <si>
    <t>熊强震荡中牛强</t>
  </si>
  <si>
    <t>灵活配置型基金</t>
  </si>
  <si>
    <t>110011.OF</t>
  </si>
  <si>
    <t>易方达中小盘</t>
  </si>
  <si>
    <t>160916.OF</t>
  </si>
  <si>
    <t>大成优选</t>
  </si>
  <si>
    <t>161005.OF</t>
  </si>
  <si>
    <t>富国天惠精选成长A</t>
  </si>
  <si>
    <t>481013.OF</t>
  </si>
  <si>
    <t>工银瑞信消费服务</t>
  </si>
  <si>
    <t>熊中震荡强牛强</t>
  </si>
  <si>
    <t>233001.OF</t>
  </si>
  <si>
    <t>大摩基础行业混合</t>
  </si>
  <si>
    <t>340007.OF</t>
  </si>
  <si>
    <t>兴全社会责任</t>
  </si>
  <si>
    <t>450002.OF</t>
  </si>
  <si>
    <t>国富弹性市值</t>
  </si>
  <si>
    <t>519181.OF</t>
  </si>
  <si>
    <t>万家和谐增长</t>
  </si>
  <si>
    <t>519704.OF</t>
  </si>
  <si>
    <t>交银先进制造</t>
  </si>
  <si>
    <t>540006.OF</t>
  </si>
  <si>
    <t>汇丰晋信大盘A</t>
  </si>
  <si>
    <t>570008.OF</t>
  </si>
  <si>
    <t>诺德周期策略</t>
  </si>
  <si>
    <t>熊中震荡中牛强</t>
  </si>
  <si>
    <t>090007.OF</t>
  </si>
  <si>
    <t>大成策略回报</t>
  </si>
  <si>
    <t>100026.OF</t>
  </si>
  <si>
    <t>富国天合稳健优选</t>
  </si>
  <si>
    <t>160607.OF</t>
  </si>
  <si>
    <t>鹏华价值优势</t>
  </si>
  <si>
    <t>460009.OF</t>
  </si>
  <si>
    <t>华泰柏瑞量化先行</t>
  </si>
  <si>
    <t>熊中震荡强牛中</t>
  </si>
  <si>
    <t>110013.OF</t>
  </si>
  <si>
    <t>易方达科翔</t>
  </si>
  <si>
    <t>160613.OF</t>
  </si>
  <si>
    <t>鹏华盛世创新</t>
  </si>
  <si>
    <t>161903.OF</t>
  </si>
  <si>
    <t>万家行业优选</t>
  </si>
  <si>
    <t>163110.OF</t>
  </si>
  <si>
    <t>申万菱信量化小盘</t>
  </si>
  <si>
    <t>540002.OF</t>
  </si>
  <si>
    <t>汇丰晋信龙腾</t>
  </si>
  <si>
    <t>660015.OF</t>
  </si>
  <si>
    <t>农银汇理行业轮动</t>
  </si>
  <si>
    <t>熊强震荡中牛中</t>
  </si>
  <si>
    <t>166009.OF</t>
  </si>
  <si>
    <t>中欧新动力A</t>
  </si>
  <si>
    <t>260112.OF</t>
  </si>
  <si>
    <t>景顺长城能源基建</t>
  </si>
  <si>
    <t>360010.OF</t>
  </si>
  <si>
    <t>光大精选</t>
  </si>
  <si>
    <t>基金代码</t>
  </si>
  <si>
    <t>基金名称</t>
  </si>
  <si>
    <t>基金投资类型</t>
  </si>
  <si>
    <t>成立日期</t>
  </si>
  <si>
    <t>熊市经历平均排名</t>
  </si>
  <si>
    <t>震荡市经历平均排名</t>
  </si>
  <si>
    <t>牛市平均排名</t>
  </si>
  <si>
    <t>000056.OF</t>
  </si>
  <si>
    <t>建信消费升级</t>
  </si>
  <si>
    <t>210003.OF</t>
  </si>
  <si>
    <t>金鹰行业优势</t>
  </si>
  <si>
    <t>690003.OF</t>
  </si>
  <si>
    <t>民生加银精选</t>
  </si>
  <si>
    <t>040035.OF</t>
  </si>
  <si>
    <t>华安逆向策略</t>
  </si>
  <si>
    <t>090015.OF</t>
  </si>
  <si>
    <t>大成内需增长A</t>
  </si>
  <si>
    <t>202005.OF</t>
  </si>
  <si>
    <t>南方成份精选</t>
  </si>
  <si>
    <t>519008.OF</t>
  </si>
  <si>
    <t>汇添富优势精选</t>
  </si>
  <si>
    <t>519700.OF</t>
  </si>
  <si>
    <t>交银主题优选</t>
  </si>
  <si>
    <t>000308.OF</t>
  </si>
  <si>
    <t>建信创新中国</t>
  </si>
  <si>
    <t>110025.OF</t>
  </si>
  <si>
    <t>易方达资源行业</t>
  </si>
  <si>
    <t>210004.OF</t>
  </si>
  <si>
    <t>金鹰稳健成长</t>
  </si>
  <si>
    <t>基金涨跌风格</t>
    <phoneticPr fontId="1" type="noConversion"/>
  </si>
  <si>
    <t>基金个数</t>
    <phoneticPr fontId="1" type="noConversion"/>
  </si>
  <si>
    <t>基金个数</t>
    <phoneticPr fontId="1" type="noConversion"/>
  </si>
  <si>
    <t>占样本量比例</t>
    <phoneticPr fontId="1" type="noConversion"/>
  </si>
  <si>
    <t>占样本量比例</t>
    <phoneticPr fontId="1" type="noConversion"/>
  </si>
  <si>
    <t>基金涨跌风格</t>
    <phoneticPr fontId="1" type="noConversion"/>
  </si>
  <si>
    <t>至少两个好一个中</t>
    <phoneticPr fontId="1" type="noConversion"/>
  </si>
  <si>
    <t>基金代码</t>
    <phoneticPr fontId="1" type="noConversion"/>
  </si>
  <si>
    <t>基金名称</t>
    <phoneticPr fontId="1" type="noConversion"/>
  </si>
  <si>
    <t>基金投资类型</t>
    <phoneticPr fontId="1" type="noConversion"/>
  </si>
  <si>
    <t>成立日期</t>
    <phoneticPr fontId="1" type="noConversion"/>
  </si>
  <si>
    <t>熊市经历几次</t>
    <phoneticPr fontId="1" type="noConversion"/>
  </si>
  <si>
    <t>震荡市经历几次</t>
    <phoneticPr fontId="1" type="noConversion"/>
  </si>
  <si>
    <t>牛市经历几次</t>
    <phoneticPr fontId="1" type="noConversion"/>
  </si>
  <si>
    <t>熊市经历总天数</t>
    <phoneticPr fontId="1" type="noConversion"/>
  </si>
  <si>
    <t>震荡市经历总天数</t>
    <phoneticPr fontId="1" type="noConversion"/>
  </si>
  <si>
    <t>牛市经历总天数</t>
    <phoneticPr fontId="1" type="noConversion"/>
  </si>
  <si>
    <t>熊市经历平均排名</t>
    <phoneticPr fontId="1" type="noConversion"/>
  </si>
  <si>
    <t>震荡市经历平均排名</t>
    <phoneticPr fontId="1" type="noConversion"/>
  </si>
  <si>
    <t>牛市平均排名</t>
    <phoneticPr fontId="1" type="noConversion"/>
  </si>
  <si>
    <t>熊市经历几次</t>
  </si>
  <si>
    <t>震荡市经历几次</t>
  </si>
  <si>
    <t>牛市经历几次</t>
  </si>
  <si>
    <t>熊市经历总天数</t>
  </si>
  <si>
    <t>震荡市经历总天数</t>
  </si>
  <si>
    <t>牛市经历总天数</t>
  </si>
  <si>
    <t>熊市经历平均排名(1:x&lt;30,     2: 30=&lt;x&lt;50,    3:50=&lt;x)</t>
  </si>
  <si>
    <t>202019.OF</t>
  </si>
  <si>
    <t>南方策略优化</t>
  </si>
  <si>
    <t>519983.OF</t>
  </si>
  <si>
    <t>长信量化先锋A</t>
  </si>
  <si>
    <t>166011.OF</t>
  </si>
  <si>
    <t>中欧盛世成长A</t>
  </si>
  <si>
    <t>590008.OF</t>
  </si>
  <si>
    <t>中邮战略新兴产业</t>
  </si>
  <si>
    <t>000251.OF</t>
  </si>
  <si>
    <t>工银瑞信金融地产</t>
  </si>
  <si>
    <t>519158.OF</t>
  </si>
  <si>
    <t>新华趋势领航</t>
  </si>
  <si>
    <t>530003.OF</t>
  </si>
  <si>
    <t>建信优选成长A</t>
  </si>
  <si>
    <t>200010.OF</t>
  </si>
  <si>
    <t>长城双动力</t>
  </si>
  <si>
    <t>160211.OF</t>
  </si>
  <si>
    <t>国泰中小盘成长</t>
  </si>
  <si>
    <t>519097.OF</t>
  </si>
  <si>
    <t>新华中小市值优选</t>
  </si>
  <si>
    <t>080012.OF</t>
  </si>
  <si>
    <t>长盛电子信息产业A</t>
  </si>
  <si>
    <t>233015.OF</t>
  </si>
  <si>
    <t>大摩量化配置</t>
  </si>
  <si>
    <t>163415.OF</t>
  </si>
  <si>
    <t>兴全商业模式优选</t>
  </si>
  <si>
    <t>000172.OF</t>
  </si>
  <si>
    <t>华泰柏瑞量化A</t>
  </si>
  <si>
    <t>519732.OF</t>
  </si>
  <si>
    <t>交银定期支付双息平衡</t>
  </si>
  <si>
    <t>平衡混合型基金</t>
  </si>
  <si>
    <t>519068.OF</t>
  </si>
  <si>
    <t>汇添富成长焦点</t>
  </si>
  <si>
    <t>460002.OF</t>
  </si>
  <si>
    <t>华泰柏瑞积极成长A</t>
  </si>
  <si>
    <t>180013.OF</t>
  </si>
  <si>
    <t>银华领先策略</t>
  </si>
  <si>
    <t>080005.OF</t>
  </si>
  <si>
    <t>长盛量化红利策略</t>
  </si>
  <si>
    <t>470009.OF</t>
  </si>
  <si>
    <t>汇添富民营活力A</t>
  </si>
  <si>
    <t>233009.OF</t>
  </si>
  <si>
    <t>大摩多因子策略</t>
  </si>
  <si>
    <t>519150.OF</t>
  </si>
  <si>
    <t>新华优选消费</t>
  </si>
  <si>
    <t>180031.OF</t>
  </si>
  <si>
    <t>银华中小盘精选</t>
  </si>
  <si>
    <t>762001.OF</t>
  </si>
  <si>
    <t>国金国鑫灵活配置</t>
  </si>
  <si>
    <t>519679.OF</t>
  </si>
  <si>
    <t>银河主题策略</t>
  </si>
  <si>
    <t>000220.OF</t>
  </si>
  <si>
    <t>富国医疗保健行业</t>
  </si>
  <si>
    <t>070001.OF</t>
  </si>
  <si>
    <t>嘉实成长收益A</t>
  </si>
  <si>
    <t>090001.OF</t>
  </si>
  <si>
    <t>大成价值增长</t>
  </si>
  <si>
    <t>070003.OF</t>
  </si>
  <si>
    <t>嘉实稳健</t>
  </si>
  <si>
    <t>240001.OF</t>
  </si>
  <si>
    <t>华宝宝康消费品</t>
  </si>
  <si>
    <t>519011.OF</t>
  </si>
  <si>
    <t>海富通精选</t>
  </si>
  <si>
    <t>002001.OF</t>
  </si>
  <si>
    <t>华夏回报A</t>
  </si>
  <si>
    <t>260101.OF</t>
  </si>
  <si>
    <t>景顺长城优选</t>
  </si>
  <si>
    <t>200001.OF</t>
  </si>
  <si>
    <t>长城久恒</t>
  </si>
  <si>
    <t>020003.OF</t>
  </si>
  <si>
    <t>国泰金龙行业精选</t>
  </si>
  <si>
    <t>161606.OF</t>
  </si>
  <si>
    <t>融通行业景气</t>
  </si>
  <si>
    <t>217005.OF</t>
  </si>
  <si>
    <t>招商先锋</t>
  </si>
  <si>
    <t>050004.OF</t>
  </si>
  <si>
    <t>博时精选A</t>
  </si>
  <si>
    <t>519688.OF</t>
  </si>
  <si>
    <t>交银精选</t>
  </si>
  <si>
    <t>360005.OF</t>
  </si>
  <si>
    <t>光大红利</t>
  </si>
  <si>
    <t>200006.OF</t>
  </si>
  <si>
    <t>长城消费增值</t>
  </si>
  <si>
    <t>550001.OF</t>
  </si>
  <si>
    <t>信诚四季红</t>
  </si>
  <si>
    <t>240008.OF</t>
  </si>
  <si>
    <t>华宝收益增长</t>
  </si>
  <si>
    <t>002021.OF</t>
  </si>
  <si>
    <t>华夏回报2号</t>
  </si>
  <si>
    <t>040005.OF</t>
  </si>
  <si>
    <t>华安宏利</t>
  </si>
  <si>
    <t>020009.OF</t>
  </si>
  <si>
    <t>国泰金鹏蓝筹价值</t>
  </si>
  <si>
    <t>180012.OF</t>
  </si>
  <si>
    <t>银华富裕主题</t>
  </si>
  <si>
    <t>320005.OF</t>
  </si>
  <si>
    <t>诺安价值增长</t>
  </si>
  <si>
    <t>519015.OF</t>
  </si>
  <si>
    <t>海富通精选2号</t>
  </si>
  <si>
    <t>160311.OF</t>
  </si>
  <si>
    <t>华夏蓝筹核心</t>
  </si>
  <si>
    <t>270007.OF</t>
  </si>
  <si>
    <t>广发大盘成长</t>
  </si>
  <si>
    <t>040008.OF</t>
  </si>
  <si>
    <t>华安策略优选</t>
  </si>
  <si>
    <t>200008.OF</t>
  </si>
  <si>
    <t>长城品牌优选</t>
  </si>
  <si>
    <t>360007.OF</t>
  </si>
  <si>
    <t>光大优势</t>
  </si>
  <si>
    <t>000031.OF</t>
  </si>
  <si>
    <t>华夏复兴</t>
  </si>
  <si>
    <t>050010.OF</t>
  </si>
  <si>
    <t>博时特许价值A</t>
  </si>
  <si>
    <t>217010.OF</t>
  </si>
  <si>
    <t>招商大盘蓝筹</t>
  </si>
  <si>
    <t>257040.OF</t>
  </si>
  <si>
    <t>国联安红利</t>
  </si>
  <si>
    <t>519185.OF</t>
  </si>
  <si>
    <t>万家精选</t>
  </si>
  <si>
    <t>398041.OF</t>
  </si>
  <si>
    <t>中海量化策略</t>
  </si>
  <si>
    <t>400011.OF</t>
  </si>
  <si>
    <t>东方核心动力</t>
  </si>
  <si>
    <t>161810.OF</t>
  </si>
  <si>
    <t>银华内需精选</t>
  </si>
  <si>
    <t>580006.OF</t>
  </si>
  <si>
    <t>东吴新经济</t>
  </si>
  <si>
    <t>620005.OF</t>
  </si>
  <si>
    <t>金元顺安核心动力</t>
  </si>
  <si>
    <t>360012.OF</t>
  </si>
  <si>
    <t>光大中小盘</t>
  </si>
  <si>
    <t>090011.OF</t>
  </si>
  <si>
    <t>大成核心双动力</t>
  </si>
  <si>
    <t>110022.OF</t>
  </si>
  <si>
    <t>易方达消费行业</t>
  </si>
  <si>
    <t>519702.OF</t>
  </si>
  <si>
    <t>交银趋势优先</t>
  </si>
  <si>
    <t>165310.OF</t>
  </si>
  <si>
    <t>建信双利策略主题</t>
  </si>
  <si>
    <t>688888.OF</t>
  </si>
  <si>
    <t>浙商聚潮产业成长</t>
  </si>
  <si>
    <t>206009.OF</t>
  </si>
  <si>
    <t>鹏华新兴产业</t>
  </si>
  <si>
    <t>740001.OF</t>
  </si>
  <si>
    <t>长安宏观策略</t>
  </si>
  <si>
    <t>200015.OF</t>
  </si>
  <si>
    <t>长城优化升级</t>
  </si>
  <si>
    <t>100060.OF</t>
  </si>
  <si>
    <t>富国高新技术产业</t>
  </si>
  <si>
    <t>240022.OF</t>
  </si>
  <si>
    <t>华宝资源优选</t>
  </si>
  <si>
    <t>160212.OF</t>
  </si>
  <si>
    <t>国泰估值优势</t>
  </si>
  <si>
    <t>165313.OF</t>
  </si>
  <si>
    <t>建信优势动力</t>
  </si>
  <si>
    <t>000423.OF</t>
  </si>
  <si>
    <t>前海开源事件驱动A</t>
  </si>
  <si>
    <t>020001.OF</t>
  </si>
  <si>
    <t>国泰金鹰增长</t>
  </si>
  <si>
    <t>100016.OF</t>
  </si>
  <si>
    <t>富国天源沪港深</t>
  </si>
  <si>
    <t>310308.OF</t>
  </si>
  <si>
    <t>申万菱信盛利精选</t>
  </si>
  <si>
    <t>320001.OF</t>
  </si>
  <si>
    <t>诺安平衡</t>
  </si>
  <si>
    <t>040004.OF</t>
  </si>
  <si>
    <t>华安宝利配置</t>
  </si>
  <si>
    <t>519996.OF</t>
  </si>
  <si>
    <t>长信银利精选</t>
  </si>
  <si>
    <t>580001.OF</t>
  </si>
  <si>
    <t>东吴嘉禾优势</t>
  </si>
  <si>
    <t>519005.OF</t>
  </si>
  <si>
    <t>海富通股票</t>
  </si>
  <si>
    <t>240004.OF</t>
  </si>
  <si>
    <t>华宝动力组合</t>
  </si>
  <si>
    <t>530001.OF</t>
  </si>
  <si>
    <t>建信恒久价值</t>
  </si>
  <si>
    <t>320003.OF</t>
  </si>
  <si>
    <t>诺安先锋</t>
  </si>
  <si>
    <t>162207.OF</t>
  </si>
  <si>
    <t>泰达宏利效率优选</t>
  </si>
  <si>
    <t>360006.OF</t>
  </si>
  <si>
    <t>光大新增长</t>
  </si>
  <si>
    <t>340006.OF</t>
  </si>
  <si>
    <t>兴全全球视野</t>
  </si>
  <si>
    <t>519013.OF</t>
  </si>
  <si>
    <t>海富通风格优势</t>
  </si>
  <si>
    <t>530005.OF</t>
  </si>
  <si>
    <t>建信优化配置</t>
  </si>
  <si>
    <t>630001.OF</t>
  </si>
  <si>
    <t>华商领先企业</t>
  </si>
  <si>
    <t>121008.OF</t>
  </si>
  <si>
    <t>国投瑞银成长优选</t>
  </si>
  <si>
    <t>320006.OF</t>
  </si>
  <si>
    <t>诺安灵活配置</t>
  </si>
  <si>
    <t>080002.OF</t>
  </si>
  <si>
    <t>长盛创新先锋</t>
  </si>
  <si>
    <t>290005.OF</t>
  </si>
  <si>
    <t>泰信优势增长</t>
  </si>
  <si>
    <t>166002.OF</t>
  </si>
  <si>
    <t>中欧新蓝筹A</t>
  </si>
  <si>
    <t>530006.OF</t>
  </si>
  <si>
    <t>建信核心精选</t>
  </si>
  <si>
    <t>398031.OF</t>
  </si>
  <si>
    <t>中海蓝筹配置</t>
  </si>
  <si>
    <t>210002.OF</t>
  </si>
  <si>
    <t>金鹰红利价值</t>
  </si>
  <si>
    <t>340008.OF</t>
  </si>
  <si>
    <t>兴全有机增长</t>
  </si>
  <si>
    <t>660003.OF</t>
  </si>
  <si>
    <t>农银汇理平衡双利</t>
  </si>
  <si>
    <t>162211.OF</t>
  </si>
  <si>
    <t>泰达宏利品质生活</t>
  </si>
  <si>
    <t>550008.OF</t>
  </si>
  <si>
    <t>信诚优胜精选</t>
  </si>
  <si>
    <t>217013.OF</t>
  </si>
  <si>
    <t>招商中小盘精选</t>
  </si>
  <si>
    <t>100039.OF</t>
  </si>
  <si>
    <t>富国通胀通缩主题</t>
  </si>
  <si>
    <t>519095.OF</t>
  </si>
  <si>
    <t>新华行业周期轮换</t>
  </si>
  <si>
    <t>530011.OF</t>
  </si>
  <si>
    <t>建信内生动力</t>
  </si>
  <si>
    <t>240017.OF</t>
  </si>
  <si>
    <t>华宝新兴产业</t>
  </si>
  <si>
    <t>160512.OF</t>
  </si>
  <si>
    <t>博时卓越品牌</t>
  </si>
  <si>
    <t>163409.OF</t>
  </si>
  <si>
    <t>兴全绿色投资</t>
  </si>
  <si>
    <t>519099.OF</t>
  </si>
  <si>
    <t>新华灵活主题</t>
  </si>
  <si>
    <t>320016.OF</t>
  </si>
  <si>
    <t>诺安多策略</t>
  </si>
  <si>
    <t>217020.OF</t>
  </si>
  <si>
    <t>招商安达</t>
  </si>
  <si>
    <t>700001.OF</t>
  </si>
  <si>
    <t>平安大华行业先锋</t>
  </si>
  <si>
    <t>519979.OF</t>
  </si>
  <si>
    <t>长信内需成长</t>
  </si>
  <si>
    <t>070027.OF</t>
  </si>
  <si>
    <t>嘉实周期优选</t>
  </si>
  <si>
    <t>350009.OF</t>
  </si>
  <si>
    <t>天治研究驱动A</t>
  </si>
  <si>
    <t>400015.OF</t>
  </si>
  <si>
    <t>东方新能源汽车主题</t>
  </si>
  <si>
    <t>217021.OF</t>
  </si>
  <si>
    <t>招商优势企业</t>
  </si>
  <si>
    <t>320018.OF</t>
  </si>
  <si>
    <t>诺安新动力</t>
  </si>
  <si>
    <t>660012.OF</t>
  </si>
  <si>
    <t>农银汇理消费主题A</t>
  </si>
  <si>
    <t>530019.OF</t>
  </si>
  <si>
    <t>建信社会责任</t>
  </si>
  <si>
    <t>050026.OF</t>
  </si>
  <si>
    <t>博时医疗保健行业A</t>
  </si>
  <si>
    <t>610007.OF</t>
  </si>
  <si>
    <t>信达澳银消费优选</t>
  </si>
  <si>
    <t>000057.OF</t>
  </si>
  <si>
    <t>中银消费主题</t>
  </si>
  <si>
    <t>000062.OF</t>
  </si>
  <si>
    <t>银华量化智慧动力</t>
  </si>
  <si>
    <t>519156.OF</t>
  </si>
  <si>
    <t>新华行业轮换配置A</t>
  </si>
  <si>
    <t>000120.OF</t>
  </si>
  <si>
    <t>中银美丽中国</t>
  </si>
  <si>
    <t>000273.OF</t>
  </si>
  <si>
    <t>华润元大安鑫</t>
  </si>
  <si>
    <t>000390.OF</t>
  </si>
  <si>
    <t>华商优势行业</t>
  </si>
  <si>
    <t>000418.OF</t>
  </si>
  <si>
    <t>景顺长城成长之星</t>
  </si>
  <si>
    <t>519056.OF</t>
  </si>
  <si>
    <t>海富通内需热点</t>
  </si>
  <si>
    <t>000433.OF</t>
  </si>
  <si>
    <t>安信鑫发优选</t>
  </si>
  <si>
    <t>162201.OF</t>
  </si>
  <si>
    <t>泰达宏利成长</t>
  </si>
  <si>
    <t>255010.OF</t>
  </si>
  <si>
    <t>国联安稳健</t>
  </si>
  <si>
    <t>161605.OF</t>
  </si>
  <si>
    <t>融通蓝筹成长</t>
  </si>
  <si>
    <t>375010.OF</t>
  </si>
  <si>
    <t>上投摩根中国优势</t>
  </si>
  <si>
    <t>398001.OF</t>
  </si>
  <si>
    <t>中海优质成长</t>
  </si>
  <si>
    <t>400001.OF</t>
  </si>
  <si>
    <t>东方龙混合</t>
  </si>
  <si>
    <t>090004.OF</t>
  </si>
  <si>
    <t>大成精选增值</t>
  </si>
  <si>
    <t>162703.OF</t>
  </si>
  <si>
    <t>广发小盘成长</t>
  </si>
  <si>
    <t>410001.OF</t>
  </si>
  <si>
    <t>华富竞争力优选</t>
  </si>
  <si>
    <t>213002.OF</t>
  </si>
  <si>
    <t>宝盈泛沿海增长</t>
  </si>
  <si>
    <t>519001.OF</t>
  </si>
  <si>
    <t>银华核心价值优选</t>
  </si>
  <si>
    <t>377010.OF</t>
  </si>
  <si>
    <t>上投摩根阿尔法</t>
  </si>
  <si>
    <t>161706.OF</t>
  </si>
  <si>
    <t>招商优质成长</t>
  </si>
  <si>
    <t>163803.OF</t>
  </si>
  <si>
    <t>中银持续增长A</t>
  </si>
  <si>
    <t>373010.OF</t>
  </si>
  <si>
    <t>上投摩根双息平衡A</t>
  </si>
  <si>
    <t>110009.OF</t>
  </si>
  <si>
    <t>易方达价值精选</t>
  </si>
  <si>
    <t>519690.OF</t>
  </si>
  <si>
    <t>交银稳健配置混合A</t>
  </si>
  <si>
    <t>202002.OF</t>
  </si>
  <si>
    <t>南方稳健成长2号</t>
  </si>
  <si>
    <t>519018.OF</t>
  </si>
  <si>
    <t>汇添富均衡增长</t>
  </si>
  <si>
    <t>240009.OF</t>
  </si>
  <si>
    <t>华宝先进成长</t>
  </si>
  <si>
    <t>162208.OF</t>
  </si>
  <si>
    <t>泰达宏利首选企业</t>
  </si>
  <si>
    <t>070011.OF</t>
  </si>
  <si>
    <t>嘉实策略增长</t>
  </si>
  <si>
    <t>290004.OF</t>
  </si>
  <si>
    <t>泰信优质生活</t>
  </si>
  <si>
    <t>110010.OF</t>
  </si>
  <si>
    <t>易方达价值成长</t>
  </si>
  <si>
    <t>540003.OF</t>
  </si>
  <si>
    <t>汇丰晋信动态策略A</t>
  </si>
  <si>
    <t>161610.OF</t>
  </si>
  <si>
    <t>融通领先成长</t>
  </si>
  <si>
    <t>202007.OF</t>
  </si>
  <si>
    <t>南方隆元产业主题</t>
  </si>
  <si>
    <t>519019.OF</t>
  </si>
  <si>
    <t>大成景阳领先</t>
  </si>
  <si>
    <t>110029.OF</t>
  </si>
  <si>
    <t>易方达科讯</t>
  </si>
  <si>
    <t>202009.OF</t>
  </si>
  <si>
    <t>南方盛元红利</t>
  </si>
  <si>
    <t>163805.OF</t>
  </si>
  <si>
    <t>中银动态策略</t>
  </si>
  <si>
    <t>519668.OF</t>
  </si>
  <si>
    <t>银河竞争优势成长</t>
  </si>
  <si>
    <t>519066.OF</t>
  </si>
  <si>
    <t>汇添富蓝筹稳健</t>
  </si>
  <si>
    <t>660001.OF</t>
  </si>
  <si>
    <t>农银汇理行业成长A</t>
  </si>
  <si>
    <t>630002.OF</t>
  </si>
  <si>
    <t>华商盛世成长</t>
  </si>
  <si>
    <t>571002.OF</t>
  </si>
  <si>
    <t>诺德主题灵活配置</t>
  </si>
  <si>
    <t>410006.OF</t>
  </si>
  <si>
    <t>华富策略精选</t>
  </si>
  <si>
    <t>379010.OF</t>
  </si>
  <si>
    <t>上投摩根中小盘</t>
  </si>
  <si>
    <t>320007.OF</t>
  </si>
  <si>
    <t>诺安成长</t>
  </si>
  <si>
    <t>070017.OF</t>
  </si>
  <si>
    <t>嘉实量化阿尔法</t>
  </si>
  <si>
    <t>450007.OF</t>
  </si>
  <si>
    <t>国富成长动力</t>
  </si>
  <si>
    <t>161611.OF</t>
  </si>
  <si>
    <t>融通内需驱动</t>
  </si>
  <si>
    <t>310388.OF</t>
  </si>
  <si>
    <t>申万菱信消费增长</t>
  </si>
  <si>
    <t>217012.OF</t>
  </si>
  <si>
    <t>招商行业领先A</t>
  </si>
  <si>
    <t>410007.OF</t>
  </si>
  <si>
    <t>华富价值增长</t>
  </si>
  <si>
    <t>460007.OF</t>
  </si>
  <si>
    <t>华泰柏瑞行业领先</t>
  </si>
  <si>
    <t>630005.OF</t>
  </si>
  <si>
    <t>华商动态阿尔法</t>
  </si>
  <si>
    <t>377530.OF</t>
  </si>
  <si>
    <t>上投摩根行业轮动A</t>
  </si>
  <si>
    <t>481010.OF</t>
  </si>
  <si>
    <t>工银瑞信中小盘成长</t>
  </si>
  <si>
    <t>550009.OF</t>
  </si>
  <si>
    <t>信诚中小盘</t>
  </si>
  <si>
    <t>163001.OF</t>
  </si>
  <si>
    <t>长信医疗保健行业</t>
  </si>
  <si>
    <t>270022.OF</t>
  </si>
  <si>
    <t>广发内需增长</t>
  </si>
  <si>
    <t>233007.OF</t>
  </si>
  <si>
    <t>大摩卓越成长</t>
  </si>
  <si>
    <t>570006.OF</t>
  </si>
  <si>
    <t>诺德中小盘</t>
  </si>
  <si>
    <t>519672.OF</t>
  </si>
  <si>
    <t>银河蓝筹精选</t>
  </si>
  <si>
    <t>160215.OF</t>
  </si>
  <si>
    <t>国泰价值经典</t>
  </si>
  <si>
    <t>163810.OF</t>
  </si>
  <si>
    <t>中银价值精选</t>
  </si>
  <si>
    <t>233008.OF</t>
  </si>
  <si>
    <t>大摩消费领航</t>
  </si>
  <si>
    <t>290008.OF</t>
  </si>
  <si>
    <t>泰信发展主题</t>
  </si>
  <si>
    <t>210005.OF</t>
  </si>
  <si>
    <t>金鹰主题优势</t>
  </si>
  <si>
    <t>206007.OF</t>
  </si>
  <si>
    <t>鹏华消费优选</t>
  </si>
  <si>
    <t>519674.OF</t>
  </si>
  <si>
    <t>银河创新成长</t>
  </si>
  <si>
    <t>690005.OF</t>
  </si>
  <si>
    <t>民生加银内需增长</t>
  </si>
  <si>
    <t>470028.OF</t>
  </si>
  <si>
    <t>汇添富社会责任</t>
  </si>
  <si>
    <t>257070.OF</t>
  </si>
  <si>
    <t>国联安优选行业</t>
  </si>
  <si>
    <t>070022.OF</t>
  </si>
  <si>
    <t>嘉实领先成长</t>
  </si>
  <si>
    <t>540010.OF</t>
  </si>
  <si>
    <t>汇丰晋信科技先锋</t>
  </si>
  <si>
    <t>100056.OF</t>
  </si>
  <si>
    <t>富国低碳环保</t>
  </si>
  <si>
    <t>673010.OF</t>
  </si>
  <si>
    <t>西部利得新动向</t>
  </si>
  <si>
    <t>210008.OF</t>
  </si>
  <si>
    <t>金鹰策略配置</t>
  </si>
  <si>
    <t>398061.OF</t>
  </si>
  <si>
    <t>中海消费主题精选</t>
  </si>
  <si>
    <t>720001.OF</t>
  </si>
  <si>
    <t>财通价值动量</t>
  </si>
  <si>
    <t>260116.OF</t>
  </si>
  <si>
    <t>景顺长城核心竞争力A</t>
  </si>
  <si>
    <t>377150.OF</t>
  </si>
  <si>
    <t>上投摩根健康品质生活</t>
  </si>
  <si>
    <t>710002.OF</t>
  </si>
  <si>
    <t>富安达策略精选</t>
  </si>
  <si>
    <t>481017.OF</t>
  </si>
  <si>
    <t>工银瑞信量化策略</t>
  </si>
  <si>
    <t>450011.OF</t>
  </si>
  <si>
    <t>国富研究精选</t>
  </si>
  <si>
    <t>210009.OF</t>
  </si>
  <si>
    <t>金鹰核心资源</t>
  </si>
  <si>
    <t>229002.OF</t>
  </si>
  <si>
    <t>泰达宏利逆向策略</t>
  </si>
  <si>
    <t>163822.OF</t>
  </si>
  <si>
    <t>中银主题策略</t>
  </si>
  <si>
    <t>620008.OF</t>
  </si>
  <si>
    <t>金元顺安新经济主题</t>
  </si>
  <si>
    <t>690009.OF</t>
  </si>
  <si>
    <t>民生加银红利回报</t>
  </si>
  <si>
    <t>260117.OF</t>
  </si>
  <si>
    <t>景顺长城支柱产业</t>
  </si>
  <si>
    <t>730002.OF</t>
  </si>
  <si>
    <t>方正富邦红利精选</t>
  </si>
  <si>
    <t>370024.OF</t>
  </si>
  <si>
    <t>上投摩根核心优选</t>
  </si>
  <si>
    <t>630016.OF</t>
  </si>
  <si>
    <t>华商价值共享灵活配置</t>
  </si>
  <si>
    <t>000020.OF</t>
  </si>
  <si>
    <t>景顺长城品质投资</t>
  </si>
  <si>
    <t>000039.OF</t>
  </si>
  <si>
    <t>农银汇理低估值高增长</t>
  </si>
  <si>
    <t>000073.OF</t>
  </si>
  <si>
    <t>上投摩根成长动力</t>
  </si>
  <si>
    <t>000136.OF</t>
  </si>
  <si>
    <t>民生加银策略精选</t>
  </si>
  <si>
    <t>000124.OF</t>
  </si>
  <si>
    <t>华宝服务优选</t>
  </si>
  <si>
    <t>000209.OF</t>
  </si>
  <si>
    <t>信诚新兴产业</t>
  </si>
  <si>
    <t>000167.OF</t>
  </si>
  <si>
    <t>广发聚优A</t>
  </si>
  <si>
    <t>000309.OF</t>
  </si>
  <si>
    <t>大摩品质生活精选</t>
  </si>
  <si>
    <t>000336.OF</t>
  </si>
  <si>
    <t>农银汇理研究精选</t>
  </si>
  <si>
    <t>000328.OF</t>
  </si>
  <si>
    <t>上投摩根转型动力</t>
  </si>
  <si>
    <t>000404.OF</t>
  </si>
  <si>
    <t>易方达新兴成长</t>
  </si>
  <si>
    <t>519125.OF</t>
  </si>
  <si>
    <t>浦银安盛消费升级A</t>
  </si>
  <si>
    <t>000410.OF</t>
  </si>
  <si>
    <t>益民服务领先</t>
  </si>
  <si>
    <t>160624.OF</t>
  </si>
  <si>
    <t>鹏华消费领先</t>
  </si>
  <si>
    <t>160805.OF</t>
  </si>
  <si>
    <t>长盛同智</t>
  </si>
  <si>
    <t>519035.OF</t>
  </si>
  <si>
    <t>富国天博创新主题</t>
  </si>
  <si>
    <t>070013.OF</t>
  </si>
  <si>
    <t>嘉实研究精选A</t>
  </si>
  <si>
    <t>660005.OF</t>
  </si>
  <si>
    <t>农银汇理中小盘</t>
  </si>
  <si>
    <t>290014.OF</t>
  </si>
  <si>
    <t>泰信现代服务业</t>
  </si>
  <si>
    <t>040001.OF</t>
  </si>
  <si>
    <t>华安创新</t>
  </si>
  <si>
    <t>202001.OF</t>
  </si>
  <si>
    <t>南方稳健成长</t>
  </si>
  <si>
    <t>000001.OF</t>
  </si>
  <si>
    <t>华夏成长</t>
  </si>
  <si>
    <t>161601.OF</t>
  </si>
  <si>
    <t>融通新蓝筹</t>
  </si>
  <si>
    <t>080001.OF</t>
  </si>
  <si>
    <t>长盛成长价值</t>
  </si>
  <si>
    <t>213001.OF</t>
  </si>
  <si>
    <t>宝盈鸿利收益</t>
  </si>
  <si>
    <t>050001.OF</t>
  </si>
  <si>
    <t>博时价值增长</t>
  </si>
  <si>
    <t>162202.OF</t>
  </si>
  <si>
    <t>泰达宏利周期</t>
  </si>
  <si>
    <t>162203.OF</t>
  </si>
  <si>
    <t>泰达宏利稳定</t>
  </si>
  <si>
    <t>217001.OF</t>
  </si>
  <si>
    <t>招商安泰</t>
  </si>
  <si>
    <t>210001.OF</t>
  </si>
  <si>
    <t>金鹰成份股优选</t>
  </si>
  <si>
    <t>070002.OF</t>
  </si>
  <si>
    <t>嘉实增长</t>
  </si>
  <si>
    <t>160603.OF</t>
  </si>
  <si>
    <t>鹏华普天收益</t>
  </si>
  <si>
    <t>240002.OF</t>
  </si>
  <si>
    <t>华宝宝康灵活</t>
  </si>
  <si>
    <t>151001.OF</t>
  </si>
  <si>
    <t>银河稳健</t>
  </si>
  <si>
    <t>260103.OF</t>
  </si>
  <si>
    <t>景顺长城动力平衡</t>
  </si>
  <si>
    <t>270001.OF</t>
  </si>
  <si>
    <t>广发聚富</t>
  </si>
  <si>
    <t>110002.OF</t>
  </si>
  <si>
    <t>易方达策略成长</t>
  </si>
  <si>
    <t>519003.OF</t>
  </si>
  <si>
    <t>海富通收益增长</t>
  </si>
  <si>
    <t>288001.OF</t>
  </si>
  <si>
    <t>华夏经典配置</t>
  </si>
  <si>
    <t>070006.OF</t>
  </si>
  <si>
    <t>嘉实服务增值行业</t>
  </si>
  <si>
    <t>257010.OF</t>
  </si>
  <si>
    <t>国联安小盘精选</t>
  </si>
  <si>
    <t>121002.OF</t>
  </si>
  <si>
    <t>国投瑞银景气行业</t>
  </si>
  <si>
    <t>240005.OF</t>
  </si>
  <si>
    <t>华宝多策略</t>
  </si>
  <si>
    <t>160605.OF</t>
  </si>
  <si>
    <t>鹏华中国50</t>
  </si>
  <si>
    <t>162102.OF</t>
  </si>
  <si>
    <t>金鹰中小盘精选</t>
  </si>
  <si>
    <t>090003.OF</t>
  </si>
  <si>
    <t>大成蓝筹稳健</t>
  </si>
  <si>
    <t>100020.OF</t>
  </si>
  <si>
    <t>富国天益价值</t>
  </si>
  <si>
    <t>020005.OF</t>
  </si>
  <si>
    <t>国泰金马稳健回报</t>
  </si>
  <si>
    <t>260104.OF</t>
  </si>
  <si>
    <t>景顺长城内需增长</t>
  </si>
  <si>
    <t>162204.OF</t>
  </si>
  <si>
    <t>泰达宏利行业精选</t>
  </si>
  <si>
    <t>000011.OF</t>
  </si>
  <si>
    <t>华夏大盘精选</t>
  </si>
  <si>
    <t>360001.OF</t>
  </si>
  <si>
    <t>光大核心</t>
  </si>
  <si>
    <t>110005.OF</t>
  </si>
  <si>
    <t>易方达积极成长</t>
  </si>
  <si>
    <t>160105.OF</t>
  </si>
  <si>
    <t>南方积极配置</t>
  </si>
  <si>
    <t>163801.OF</t>
  </si>
  <si>
    <t>中银中国精选</t>
  </si>
  <si>
    <t>160505.OF</t>
  </si>
  <si>
    <t>博时主题行业</t>
  </si>
  <si>
    <t>350002.OF</t>
  </si>
  <si>
    <t>天治低碳经济</t>
  </si>
  <si>
    <t>162605.OF</t>
  </si>
  <si>
    <t>景顺长城鼎益</t>
  </si>
  <si>
    <t>100022.OF</t>
  </si>
  <si>
    <t>富国天瑞强势精选</t>
  </si>
  <si>
    <t>460001.OF</t>
  </si>
  <si>
    <t>华泰柏瑞盛世中国</t>
  </si>
  <si>
    <t>398011.OF</t>
  </si>
  <si>
    <t>中海分红增利</t>
  </si>
  <si>
    <t>002011.OF</t>
  </si>
  <si>
    <t>华夏红利</t>
  </si>
  <si>
    <t>160106.OF</t>
  </si>
  <si>
    <t>南方高增长</t>
  </si>
  <si>
    <t>481001.OF</t>
  </si>
  <si>
    <t>工银瑞信核心价值A</t>
  </si>
  <si>
    <t>519087.OF</t>
  </si>
  <si>
    <t>新华优选分红</t>
  </si>
  <si>
    <t>163302.OF</t>
  </si>
  <si>
    <t>大摩资源优选混合</t>
  </si>
  <si>
    <t>420001.OF</t>
  </si>
  <si>
    <t>天弘精选</t>
  </si>
  <si>
    <t>163402.OF</t>
  </si>
  <si>
    <t>兴全趋势投资</t>
  </si>
  <si>
    <t>310328.OF</t>
  </si>
  <si>
    <t>申万菱信新动力</t>
  </si>
  <si>
    <t>288002.OF</t>
  </si>
  <si>
    <t>华夏收入</t>
  </si>
  <si>
    <t>270005.OF</t>
  </si>
  <si>
    <t>广发聚丰</t>
  </si>
  <si>
    <t>400003.OF</t>
  </si>
  <si>
    <t>东方精选</t>
  </si>
  <si>
    <t>163503.OF</t>
  </si>
  <si>
    <t>天治核心成长</t>
  </si>
  <si>
    <t>162607.OF</t>
  </si>
  <si>
    <t>景顺长城资源垄断</t>
  </si>
  <si>
    <t>121003.OF</t>
  </si>
  <si>
    <t>国投瑞银核心企业</t>
  </si>
  <si>
    <t>519994.OF</t>
  </si>
  <si>
    <t>长信金利趋势</t>
  </si>
  <si>
    <t>270006.OF</t>
  </si>
  <si>
    <t>广发策略优选</t>
  </si>
  <si>
    <t>180010.OF</t>
  </si>
  <si>
    <t>银华优质增长</t>
  </si>
  <si>
    <t>260108.OF</t>
  </si>
  <si>
    <t>景顺长城新兴成长</t>
  </si>
  <si>
    <t>483003.OF</t>
  </si>
  <si>
    <t>工银瑞信精选平衡</t>
  </si>
  <si>
    <t>070010.OF</t>
  </si>
  <si>
    <t>嘉实主题精选</t>
  </si>
  <si>
    <t>519029.OF</t>
  </si>
  <si>
    <t>华夏平稳增长</t>
  </si>
  <si>
    <t>112002.OF</t>
  </si>
  <si>
    <t>易方达策略2号</t>
  </si>
  <si>
    <t>200007.OF</t>
  </si>
  <si>
    <t>长城安心回报</t>
  </si>
  <si>
    <t>378010.OF</t>
  </si>
  <si>
    <t>上投摩根成长先锋</t>
  </si>
  <si>
    <t>050201.OF</t>
  </si>
  <si>
    <t>博时价值增长2号</t>
  </si>
  <si>
    <t>590001.OF</t>
  </si>
  <si>
    <t>中邮核心优选</t>
  </si>
  <si>
    <t>163804.OF</t>
  </si>
  <si>
    <t>中银收益A</t>
  </si>
  <si>
    <t>260109.OF</t>
  </si>
  <si>
    <t>景顺长城内需增长贰号</t>
  </si>
  <si>
    <t>519692.OF</t>
  </si>
  <si>
    <t>交银成长A</t>
  </si>
  <si>
    <t>519993.OF</t>
  </si>
  <si>
    <t>长信增利策略</t>
  </si>
  <si>
    <t>121005.OF</t>
  </si>
  <si>
    <t>国投瑞银创新动力</t>
  </si>
  <si>
    <t>161609.OF</t>
  </si>
  <si>
    <t>融通动力先锋</t>
  </si>
  <si>
    <t>202003.OF</t>
  </si>
  <si>
    <t>南方绩优成长A</t>
  </si>
  <si>
    <t>560002.OF</t>
  </si>
  <si>
    <t>益民红利成长</t>
  </si>
  <si>
    <t>000021.OF</t>
  </si>
  <si>
    <t>华夏优势增长</t>
  </si>
  <si>
    <t>550002.OF</t>
  </si>
  <si>
    <t>信诚精萃成长</t>
  </si>
  <si>
    <t>310358.OF</t>
  </si>
  <si>
    <t>申万菱信新经济</t>
  </si>
  <si>
    <t>481004.OF</t>
  </si>
  <si>
    <t>工银瑞信稳健成长A</t>
  </si>
  <si>
    <t>580002.OF</t>
  </si>
  <si>
    <t>东吴价值成长</t>
  </si>
  <si>
    <t>160610.OF</t>
  </si>
  <si>
    <t>鹏华动力增长</t>
  </si>
  <si>
    <t>519017.OF</t>
  </si>
  <si>
    <t>大成积极成长</t>
  </si>
  <si>
    <t>213003.OF</t>
  </si>
  <si>
    <t>宝盈策略增长</t>
  </si>
  <si>
    <t>257030.OF</t>
  </si>
  <si>
    <t>国联安优势</t>
  </si>
  <si>
    <t>166001.OF</t>
  </si>
  <si>
    <t>中欧新趋势A</t>
  </si>
  <si>
    <t>162006.OF</t>
  </si>
  <si>
    <t>长城久富</t>
  </si>
  <si>
    <t>610001.OF</t>
  </si>
  <si>
    <t>信达澳银领先增长</t>
  </si>
  <si>
    <t>398021.OF</t>
  </si>
  <si>
    <t>中海能源策略</t>
  </si>
  <si>
    <t>410003.OF</t>
  </si>
  <si>
    <t>华富成长趋势</t>
  </si>
  <si>
    <t>450003.OF</t>
  </si>
  <si>
    <t>国富潜力组合A人民币</t>
  </si>
  <si>
    <t>217009.OF</t>
  </si>
  <si>
    <t>招商核心价值</t>
  </si>
  <si>
    <t>040007.OF</t>
  </si>
  <si>
    <t>华安中小盘成长</t>
  </si>
  <si>
    <t>519021.OF</t>
  </si>
  <si>
    <t>国泰金鼎价值精选</t>
  </si>
  <si>
    <t>050008.OF</t>
  </si>
  <si>
    <t>博时第三产业成长</t>
  </si>
  <si>
    <t>377020.OF</t>
  </si>
  <si>
    <t>上投摩根内需动力</t>
  </si>
  <si>
    <t>570001.OF</t>
  </si>
  <si>
    <t>诺德价值优势</t>
  </si>
  <si>
    <t>160611.OF</t>
  </si>
  <si>
    <t>鹏华优质治理</t>
  </si>
  <si>
    <t>020010.OF</t>
  </si>
  <si>
    <t>国泰金牛创新成长</t>
  </si>
  <si>
    <t>160910.OF</t>
  </si>
  <si>
    <t>大成创新成长</t>
  </si>
  <si>
    <t>240010.OF</t>
  </si>
  <si>
    <t>华宝行业精选</t>
  </si>
  <si>
    <t>260110.OF</t>
  </si>
  <si>
    <t>景顺长城精选蓝筹</t>
  </si>
  <si>
    <t>050009.OF</t>
  </si>
  <si>
    <t>博时新兴成长</t>
  </si>
  <si>
    <t>560003.OF</t>
  </si>
  <si>
    <t>益民创新优势</t>
  </si>
  <si>
    <t>481006.OF</t>
  </si>
  <si>
    <t>工银瑞信红利</t>
  </si>
  <si>
    <t>162209.OF</t>
  </si>
  <si>
    <t>泰达宏利市值优选</t>
  </si>
  <si>
    <t>519694.OF</t>
  </si>
  <si>
    <t>交银蓝筹</t>
  </si>
  <si>
    <t>590002.OF</t>
  </si>
  <si>
    <t>中邮核心成长</t>
  </si>
  <si>
    <t>519039.OF</t>
  </si>
  <si>
    <t>长盛同德</t>
  </si>
  <si>
    <t>160314.OF</t>
  </si>
  <si>
    <t>华夏行业精选</t>
  </si>
  <si>
    <t>213008.OF</t>
  </si>
  <si>
    <t>宝盈资源优选</t>
  </si>
  <si>
    <t>519110.OF</t>
  </si>
  <si>
    <t>浦银安盛价值成长A</t>
  </si>
  <si>
    <t>580003.OF</t>
  </si>
  <si>
    <t>东吴行业轮动</t>
  </si>
  <si>
    <t>350005.OF</t>
  </si>
  <si>
    <t>天治中国制造2025</t>
  </si>
  <si>
    <t>100029.OF</t>
  </si>
  <si>
    <t>富国天成红利</t>
  </si>
  <si>
    <t>400007.OF</t>
  </si>
  <si>
    <t>东方策略成长</t>
  </si>
  <si>
    <t>550003.OF</t>
  </si>
  <si>
    <t>信诚盛世蓝筹</t>
  </si>
  <si>
    <t>121006.OF</t>
  </si>
  <si>
    <t>国投瑞银稳健增长</t>
  </si>
  <si>
    <t>202011.OF</t>
  </si>
  <si>
    <t>南方优选价值A</t>
  </si>
  <si>
    <t>519991.OF</t>
  </si>
  <si>
    <t>长信双利优选</t>
  </si>
  <si>
    <t>450004.OF</t>
  </si>
  <si>
    <t>国富深化价值</t>
  </si>
  <si>
    <t>310368.OF</t>
  </si>
  <si>
    <t>申万菱信竞争优势</t>
  </si>
  <si>
    <t>270008.OF</t>
  </si>
  <si>
    <t>广发核心精选</t>
  </si>
  <si>
    <t>460005.OF</t>
  </si>
  <si>
    <t>华泰柏瑞价值增长</t>
  </si>
  <si>
    <t>519089.OF</t>
  </si>
  <si>
    <t>新华优选成长</t>
  </si>
  <si>
    <t>610002.OF</t>
  </si>
  <si>
    <t>信达澳银精华</t>
  </si>
  <si>
    <t>481008.OF</t>
  </si>
  <si>
    <t>工银瑞信大盘蓝筹</t>
  </si>
  <si>
    <t>620002.OF</t>
  </si>
  <si>
    <t>金元顺安成长动力</t>
  </si>
  <si>
    <t>240011.OF</t>
  </si>
  <si>
    <t>华宝大盘精选</t>
  </si>
  <si>
    <t>110012.OF</t>
  </si>
  <si>
    <t>易方达科汇</t>
  </si>
  <si>
    <t>040011.OF</t>
  </si>
  <si>
    <t>华安核心优选</t>
  </si>
  <si>
    <t>260111.OF</t>
  </si>
  <si>
    <t>景顺长城公司治理</t>
  </si>
  <si>
    <t>002031.OF</t>
  </si>
  <si>
    <t>华夏策略精选</t>
  </si>
  <si>
    <t>420003.OF</t>
  </si>
  <si>
    <t>天弘永定成长</t>
  </si>
  <si>
    <t>213006.OF</t>
  </si>
  <si>
    <t>宝盈核心优势A</t>
  </si>
  <si>
    <t>110015.OF</t>
  </si>
  <si>
    <t>易方达行业领先</t>
  </si>
  <si>
    <t>690001.OF</t>
  </si>
  <si>
    <t>民生加银品牌蓝筹</t>
  </si>
  <si>
    <t>163807.OF</t>
  </si>
  <si>
    <t>中银行业优选</t>
  </si>
  <si>
    <t>519698.OF</t>
  </si>
  <si>
    <t>交银先锋</t>
  </si>
  <si>
    <t>290006.OF</t>
  </si>
  <si>
    <t>泰信蓝筹精选</t>
  </si>
  <si>
    <t>519670.OF</t>
  </si>
  <si>
    <t>银河行业优选</t>
  </si>
  <si>
    <t>180018.OF</t>
  </si>
  <si>
    <t>银华和谐主题</t>
  </si>
  <si>
    <t>519025.OF</t>
  </si>
  <si>
    <t>海富通领先成长</t>
  </si>
  <si>
    <t>580005.OF</t>
  </si>
  <si>
    <t>东吴进取策略</t>
  </si>
  <si>
    <t>020015.OF</t>
  </si>
  <si>
    <t>国泰区位优势</t>
  </si>
  <si>
    <t>519113.OF</t>
  </si>
  <si>
    <t>浦银安盛精致生活</t>
  </si>
  <si>
    <t>270021.OF</t>
  </si>
  <si>
    <t>广发聚瑞</t>
  </si>
  <si>
    <t>200011.OF</t>
  </si>
  <si>
    <t>长城景气行业龙头</t>
  </si>
  <si>
    <t>519091.OF</t>
  </si>
  <si>
    <t>新华泛资源优势</t>
  </si>
  <si>
    <t>166005.OF</t>
  </si>
  <si>
    <t>中欧价值发现A</t>
  </si>
  <si>
    <t>519987.OF</t>
  </si>
  <si>
    <t>长信恒利优势</t>
  </si>
  <si>
    <t>050012.OF</t>
  </si>
  <si>
    <t>博时策略灵活配置</t>
  </si>
  <si>
    <t>070018.OF</t>
  </si>
  <si>
    <t>嘉实回报灵活配置</t>
  </si>
  <si>
    <t>257050.OF</t>
  </si>
  <si>
    <t>国联安主题驱动</t>
  </si>
  <si>
    <t>090009.OF</t>
  </si>
  <si>
    <t>大成行业轮动</t>
  </si>
  <si>
    <t>206002.OF</t>
  </si>
  <si>
    <t>鹏华精选成长</t>
  </si>
  <si>
    <t>620004.OF</t>
  </si>
  <si>
    <t>金元顺安价值增长</t>
  </si>
  <si>
    <t>233006.OF</t>
  </si>
  <si>
    <t>大摩领先优势</t>
  </si>
  <si>
    <t>660004.OF</t>
  </si>
  <si>
    <t>农银汇理策略价值</t>
  </si>
  <si>
    <t>360011.OF</t>
  </si>
  <si>
    <t>光大动态优选</t>
  </si>
  <si>
    <t>610004.OF</t>
  </si>
  <si>
    <t>信达澳银中小盘</t>
  </si>
  <si>
    <t>162212.OF</t>
  </si>
  <si>
    <t>泰达宏利红利先锋</t>
  </si>
  <si>
    <t>519115.OF</t>
  </si>
  <si>
    <t>浦银安盛红利精选</t>
  </si>
  <si>
    <t>000061.OF</t>
  </si>
  <si>
    <t>华夏盛世精选</t>
  </si>
  <si>
    <t>540007.OF</t>
  </si>
  <si>
    <t>汇丰晋信中小盘</t>
  </si>
  <si>
    <t>420005.OF</t>
  </si>
  <si>
    <t>天弘周期策略</t>
  </si>
  <si>
    <t>040015.OF</t>
  </si>
  <si>
    <t>华安动态灵活配置</t>
  </si>
  <si>
    <t>470008.OF</t>
  </si>
  <si>
    <t>汇添富策略回报</t>
  </si>
  <si>
    <t>166006.OF</t>
  </si>
  <si>
    <t>中欧行业成长A</t>
  </si>
  <si>
    <t>519093.OF</t>
  </si>
  <si>
    <t>新华钻石品质企业</t>
  </si>
  <si>
    <t>163809.OF</t>
  </si>
  <si>
    <t>中银蓝筹精选</t>
  </si>
  <si>
    <t>519026.OF</t>
  </si>
  <si>
    <t>海富通中小盘</t>
  </si>
  <si>
    <t>163406.OF</t>
  </si>
  <si>
    <t>兴全合润分级</t>
  </si>
  <si>
    <t>590005.OF</t>
  </si>
  <si>
    <t>中邮核心主题</t>
  </si>
  <si>
    <t>050014.OF</t>
  </si>
  <si>
    <t>博时创业成长A</t>
  </si>
  <si>
    <t>070019.OF</t>
  </si>
  <si>
    <t>嘉实价值优势</t>
  </si>
  <si>
    <t>540008.OF</t>
  </si>
  <si>
    <t>汇丰晋信低碳先锋</t>
  </si>
  <si>
    <t>630006.OF</t>
  </si>
  <si>
    <t>华商产业升级</t>
  </si>
  <si>
    <t>690004.OF</t>
  </si>
  <si>
    <t>民生加银稳健成长</t>
  </si>
  <si>
    <t>610005.OF</t>
  </si>
  <si>
    <t>信达澳银红利回报</t>
  </si>
  <si>
    <t>165508.OF</t>
  </si>
  <si>
    <t>信诚深度价值</t>
  </si>
  <si>
    <t>660006.OF</t>
  </si>
  <si>
    <t>农银汇理大盘蓝筹</t>
  </si>
  <si>
    <t>320012.OF</t>
  </si>
  <si>
    <t>诺安主题精选</t>
  </si>
  <si>
    <t>620006.OF</t>
  </si>
  <si>
    <t>金元顺安消费主题</t>
  </si>
  <si>
    <t>470006.OF</t>
  </si>
  <si>
    <t>汇添富医药保健A</t>
  </si>
  <si>
    <t>630008.OF</t>
  </si>
  <si>
    <t>华商策略精选</t>
  </si>
  <si>
    <t>270025.OF</t>
  </si>
  <si>
    <t>广发行业领先A</t>
  </si>
  <si>
    <t>070021.OF</t>
  </si>
  <si>
    <t>嘉实主题新动力</t>
  </si>
  <si>
    <t>540009.OF</t>
  </si>
  <si>
    <t>汇丰晋信消费红利</t>
  </si>
  <si>
    <t>398051.OF</t>
  </si>
  <si>
    <t>中海环保新能源</t>
  </si>
  <si>
    <t>050018.OF</t>
  </si>
  <si>
    <t>博时行业轮动</t>
  </si>
  <si>
    <t>376510.OF</t>
  </si>
  <si>
    <t>上投摩根大盘蓝筹</t>
  </si>
  <si>
    <t>671010.OF</t>
  </si>
  <si>
    <t>西部利得策略优选</t>
  </si>
  <si>
    <t>162214.OF</t>
  </si>
  <si>
    <t>泰达宏利领先中小盘</t>
  </si>
  <si>
    <t>200012.OF</t>
  </si>
  <si>
    <t>长城中小盘成长</t>
  </si>
  <si>
    <t>110023.OF</t>
  </si>
  <si>
    <t>易方达医疗保健</t>
  </si>
  <si>
    <t>202023.OF</t>
  </si>
  <si>
    <t>南方优选成长A</t>
  </si>
  <si>
    <t>260115.OF</t>
  </si>
  <si>
    <t>景顺长城中小盘</t>
  </si>
  <si>
    <t>410009.OF</t>
  </si>
  <si>
    <t>华富量子生命力</t>
  </si>
  <si>
    <t>040020.OF</t>
  </si>
  <si>
    <t>华安升级主题</t>
  </si>
  <si>
    <t>570007.OF</t>
  </si>
  <si>
    <t>诺德优选30</t>
  </si>
  <si>
    <t>590006.OF</t>
  </si>
  <si>
    <t>中邮中小盘灵活配置</t>
  </si>
  <si>
    <t>630010.OF</t>
  </si>
  <si>
    <t>华商价值精选</t>
  </si>
  <si>
    <t>610006.OF</t>
  </si>
  <si>
    <t>信达澳银产业升级</t>
  </si>
  <si>
    <t>377240.OF</t>
  </si>
  <si>
    <t>上投摩根新兴动力A</t>
  </si>
  <si>
    <t>519678.OF</t>
  </si>
  <si>
    <t>银河消费驱动</t>
  </si>
  <si>
    <t>165512.OF</t>
  </si>
  <si>
    <t>信诚新机遇</t>
  </si>
  <si>
    <t>450010.OF</t>
  </si>
  <si>
    <t>国富策略回报</t>
  </si>
  <si>
    <t>163411.OF</t>
  </si>
  <si>
    <t>兴全精选</t>
  </si>
  <si>
    <t>350008.OF</t>
  </si>
  <si>
    <t>天治新消费</t>
  </si>
  <si>
    <t>020023.OF</t>
  </si>
  <si>
    <t>国泰事件驱动</t>
  </si>
  <si>
    <t>660010.OF</t>
  </si>
  <si>
    <t>农银汇理策略精选</t>
  </si>
  <si>
    <t>270028.OF</t>
  </si>
  <si>
    <t>广发制造业精选</t>
  </si>
  <si>
    <t>710001.OF</t>
  </si>
  <si>
    <t>富安达优势成长</t>
  </si>
  <si>
    <t>161818.OF</t>
  </si>
  <si>
    <t>银华消费主题分级</t>
  </si>
  <si>
    <t>580008.OF</t>
  </si>
  <si>
    <t>东吴新产业精选</t>
  </si>
  <si>
    <t>481015.OF</t>
  </si>
  <si>
    <t>工银瑞信主题策略</t>
  </si>
  <si>
    <t>290011.OF</t>
  </si>
  <si>
    <t>泰信中小盘精选</t>
  </si>
  <si>
    <t>090016.OF</t>
  </si>
  <si>
    <t>大成消费主题</t>
  </si>
  <si>
    <t>519033.OF</t>
  </si>
  <si>
    <t>海富通国策导向</t>
  </si>
  <si>
    <t>530016.OF</t>
  </si>
  <si>
    <t>建信恒稳价值</t>
  </si>
  <si>
    <t>163818.OF</t>
  </si>
  <si>
    <t>中银中小盘成长</t>
  </si>
  <si>
    <t>161219.OF</t>
  </si>
  <si>
    <t>国投瑞银新兴产业</t>
  </si>
  <si>
    <t>040025.OF</t>
  </si>
  <si>
    <t>华安科技动力</t>
  </si>
  <si>
    <t>730001.OF</t>
  </si>
  <si>
    <t>方正富邦创新动力</t>
  </si>
  <si>
    <t>360016.OF</t>
  </si>
  <si>
    <t>光大行业轮动</t>
  </si>
  <si>
    <t>240020.OF</t>
  </si>
  <si>
    <t>华宝医药生物</t>
  </si>
  <si>
    <t>470098.OF</t>
  </si>
  <si>
    <t>汇添富逆向投资</t>
  </si>
  <si>
    <t>160127.OF</t>
  </si>
  <si>
    <t>南方新兴消费增长</t>
  </si>
  <si>
    <t>233011.OF</t>
  </si>
  <si>
    <t>大摩主题优选</t>
  </si>
  <si>
    <t>020026.OF</t>
  </si>
  <si>
    <t>国泰成长优选</t>
  </si>
  <si>
    <t>090018.OF</t>
  </si>
  <si>
    <t>大成新锐产业</t>
  </si>
  <si>
    <t>163412.OF</t>
  </si>
  <si>
    <t>兴全轻资产</t>
  </si>
  <si>
    <t>206012.OF</t>
  </si>
  <si>
    <t>鹏华价值精选</t>
  </si>
  <si>
    <t>165516.OF</t>
  </si>
  <si>
    <t>信诚周期轮动</t>
  </si>
  <si>
    <t>630011.OF</t>
  </si>
  <si>
    <t>华商主题精选</t>
  </si>
  <si>
    <t>270041.OF</t>
  </si>
  <si>
    <t>广发消费品精选</t>
  </si>
  <si>
    <t>750001.OF</t>
  </si>
  <si>
    <t>安信灵活配置</t>
  </si>
  <si>
    <t>070032.OF</t>
  </si>
  <si>
    <t>嘉实优化红利</t>
  </si>
  <si>
    <t>161616.OF</t>
  </si>
  <si>
    <t>融通医疗保健行业A</t>
  </si>
  <si>
    <t>560006.OF</t>
  </si>
  <si>
    <t>益民核心增长</t>
  </si>
  <si>
    <t>202027.OF</t>
  </si>
  <si>
    <t>南方高端装备A</t>
  </si>
  <si>
    <t>770001.OF</t>
  </si>
  <si>
    <t>德邦优化</t>
  </si>
  <si>
    <t>519020.OF</t>
  </si>
  <si>
    <t>国泰金泰A</t>
  </si>
  <si>
    <t>580009.OF</t>
  </si>
  <si>
    <t>东吴多策略</t>
  </si>
  <si>
    <t>690011.OF</t>
  </si>
  <si>
    <t>民生加银积极成长</t>
  </si>
  <si>
    <t>270050.OF</t>
  </si>
  <si>
    <t>广发新经济</t>
  </si>
  <si>
    <t>370027.OF</t>
  </si>
  <si>
    <t>上投摩根智选30</t>
  </si>
  <si>
    <t>519120.OF</t>
  </si>
  <si>
    <t>浦银安盛战略新兴产业</t>
  </si>
  <si>
    <t>000017.OF</t>
  </si>
  <si>
    <t>财通可持续发展主题</t>
  </si>
  <si>
    <t>630015.OF</t>
  </si>
  <si>
    <t>华商大盘量化精选</t>
  </si>
  <si>
    <t>000029.OF</t>
  </si>
  <si>
    <t>富国宏观策略</t>
  </si>
  <si>
    <t>519908.OF</t>
  </si>
  <si>
    <t>华夏兴华A</t>
  </si>
  <si>
    <t>000083.OF</t>
  </si>
  <si>
    <t>汇添富消费行业</t>
  </si>
  <si>
    <t>000063.OF</t>
  </si>
  <si>
    <t>长盛电子信息主题</t>
  </si>
  <si>
    <t>519002.OF</t>
  </si>
  <si>
    <t>华安安信消费服务</t>
  </si>
  <si>
    <t>000082.OF</t>
  </si>
  <si>
    <t>嘉实研究阿尔法</t>
  </si>
  <si>
    <t>000117.OF</t>
  </si>
  <si>
    <t>广发轮动配置</t>
  </si>
  <si>
    <t>519727.OF</t>
  </si>
  <si>
    <t>交银成长30</t>
  </si>
  <si>
    <t>000173.OF</t>
  </si>
  <si>
    <t>汇添富美丽30</t>
  </si>
  <si>
    <t>000264.OF</t>
  </si>
  <si>
    <t>博时内需增长灵活配置</t>
  </si>
  <si>
    <t>000219.OF</t>
  </si>
  <si>
    <t>博时裕益灵活配置</t>
  </si>
  <si>
    <t>000259.OF</t>
  </si>
  <si>
    <t>农银汇理区间收益</t>
  </si>
  <si>
    <t>000279.OF</t>
  </si>
  <si>
    <t>华商红利优选</t>
  </si>
  <si>
    <t>000263.OF</t>
  </si>
  <si>
    <t>工银瑞信信息产业</t>
  </si>
  <si>
    <t>000354.OF</t>
  </si>
  <si>
    <t>长盛城镇化主题</t>
  </si>
  <si>
    <t>000294.OF</t>
  </si>
  <si>
    <t>华安生态优先</t>
  </si>
  <si>
    <t>000214.OF</t>
  </si>
  <si>
    <t>广发成长优选</t>
  </si>
  <si>
    <t>000408.OF</t>
  </si>
  <si>
    <t>民生加银城镇化</t>
  </si>
  <si>
    <t>000362.OF</t>
  </si>
  <si>
    <t>国泰聚信价值优势A</t>
  </si>
  <si>
    <t>所有都中且至少一个好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</si>
</sst>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0" fontId="0" fillId="0" borderId="0" xfId="0" applyNumberFormat="1">
      <alignment vertical="center"/>
    </xf>
    <xf numFmtId="10" fontId="2" fillId="0" borderId="0" xfId="0" applyNumberFormat="1" applyFont="1">
      <alignment vertical="center"/>
    </xf>
    <xf numFmtId="0" fontId="0" fillId="0" borderId="0" xfId="0" applyFont="1">
      <alignment vertical="center"/>
    </xf>
    <xf numFmtId="10" fontId="0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0</xdr:row>
          <xdr:rowOff>161925</xdr:rowOff>
        </xdr:from>
        <xdr:to>
          <xdr:col>23</xdr:col>
          <xdr:colOff>400050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33338</xdr:colOff>
          <xdr:row>3</xdr:row>
          <xdr:rowOff>166688</xdr:rowOff>
        </xdr:from>
        <xdr:to>
          <xdr:col>23</xdr:col>
          <xdr:colOff>400050</xdr:colOff>
          <xdr:row>5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762"/>
  <sheetViews>
    <sheetView topLeftCell="M1" workbookViewId="0">
      <selection activeCell="S9" sqref="S9"/>
    </sheetView>
  </sheetViews>
  <sheetFormatPr defaultRowHeight="13.9" x14ac:dyDescent="0.4"/>
  <cols>
    <col min="2" max="2" width="22" customWidth="1"/>
    <col min="3" max="3" width="12" customWidth="1"/>
    <col min="4" max="4" width="15.1328125" customWidth="1"/>
    <col min="5" max="5" width="18.73046875" customWidth="1"/>
    <col min="6" max="6" width="14.1328125" customWidth="1"/>
    <col min="7" max="7" width="17.265625" customWidth="1"/>
    <col min="8" max="8" width="15.46484375" customWidth="1"/>
    <col min="9" max="11" width="16.1328125" customWidth="1"/>
    <col min="12" max="12" width="20" customWidth="1"/>
    <col min="13" max="13" width="18.86328125" customWidth="1"/>
    <col min="14" max="14" width="24.46484375" customWidth="1"/>
    <col min="15" max="15" width="14.3984375" customWidth="1"/>
    <col min="16" max="17" width="13.86328125" customWidth="1"/>
    <col min="19" max="19" width="15.59765625" customWidth="1"/>
  </cols>
  <sheetData>
    <row r="1" spans="1:21" x14ac:dyDescent="0.4">
      <c r="A1" t="s">
        <v>153</v>
      </c>
      <c r="B1" t="s">
        <v>154</v>
      </c>
      <c r="C1" t="s">
        <v>155</v>
      </c>
      <c r="D1" t="s">
        <v>156</v>
      </c>
      <c r="E1" t="s">
        <v>157</v>
      </c>
      <c r="F1" t="s">
        <v>158</v>
      </c>
      <c r="G1" t="s">
        <v>159</v>
      </c>
      <c r="H1" t="s">
        <v>160</v>
      </c>
      <c r="I1" t="s">
        <v>161</v>
      </c>
      <c r="J1" t="s">
        <v>162</v>
      </c>
      <c r="K1" t="s">
        <v>163</v>
      </c>
      <c r="L1" t="s">
        <v>164</v>
      </c>
      <c r="M1" t="s">
        <v>165</v>
      </c>
      <c r="N1" t="s">
        <v>36</v>
      </c>
      <c r="O1" t="s">
        <v>0</v>
      </c>
      <c r="P1" t="s">
        <v>1</v>
      </c>
    </row>
    <row r="2" spans="1:21" x14ac:dyDescent="0.4">
      <c r="A2" t="s">
        <v>658</v>
      </c>
      <c r="B2" t="s">
        <v>659</v>
      </c>
      <c r="C2" t="s">
        <v>203</v>
      </c>
      <c r="D2" s="1">
        <v>37155</v>
      </c>
      <c r="E2">
        <v>2</v>
      </c>
      <c r="F2">
        <v>1</v>
      </c>
      <c r="G2">
        <v>3</v>
      </c>
      <c r="H2">
        <v>323</v>
      </c>
      <c r="I2">
        <v>160</v>
      </c>
      <c r="J2">
        <v>836</v>
      </c>
      <c r="K2">
        <v>43.965600275197801</v>
      </c>
      <c r="L2">
        <v>81.818181818181813</v>
      </c>
      <c r="M2">
        <v>71.422961674157847</v>
      </c>
      <c r="N2">
        <f>IF(AND(K2&gt;0,K2&lt;30),1,IF(AND(K2&gt;=30,K2&lt;50),2,IF(K2&gt;=50,3,0)))</f>
        <v>2</v>
      </c>
      <c r="O2">
        <f t="shared" ref="O2:P2" si="0">IF(AND(L2&gt;0,L2&lt;30),1,IF(AND(L2&gt;=30,L2&lt;50),2,IF(L2&gt;=50,3,0)))</f>
        <v>3</v>
      </c>
      <c r="P2">
        <f t="shared" si="0"/>
        <v>3</v>
      </c>
      <c r="S2" t="s">
        <v>29</v>
      </c>
    </row>
    <row r="3" spans="1:21" x14ac:dyDescent="0.4">
      <c r="A3" t="s">
        <v>660</v>
      </c>
      <c r="B3" t="s">
        <v>661</v>
      </c>
      <c r="C3" t="s">
        <v>40</v>
      </c>
      <c r="D3" s="1">
        <v>37162</v>
      </c>
      <c r="E3">
        <v>2</v>
      </c>
      <c r="F3">
        <v>1</v>
      </c>
      <c r="G3">
        <v>3</v>
      </c>
      <c r="H3">
        <v>323</v>
      </c>
      <c r="I3">
        <v>160</v>
      </c>
      <c r="J3">
        <v>836</v>
      </c>
      <c r="K3">
        <v>38.401368504052805</v>
      </c>
      <c r="L3">
        <v>27.4703557312253</v>
      </c>
      <c r="M3">
        <v>53.023085334830064</v>
      </c>
      <c r="N3">
        <f t="shared" ref="N3:N66" si="1">IF(AND(K3&gt;0,K3&lt;30),1,IF(AND(K3&gt;=30,K3&lt;50),2,IF(K3&gt;=50,3,0)))</f>
        <v>2</v>
      </c>
      <c r="O3">
        <f t="shared" ref="O3:O66" si="2">IF(AND(L3&gt;0,L3&lt;30),1,IF(AND(L3&gt;=30,L3&lt;50),2,IF(L3&gt;=50,3,0)))</f>
        <v>1</v>
      </c>
      <c r="P3">
        <f t="shared" ref="P3:P66" si="3">IF(AND(M3&gt;0,M3&lt;30),1,IF(AND(M3&gt;=30,M3&lt;50),2,IF(M3&gt;=50,3,0)))</f>
        <v>3</v>
      </c>
      <c r="S3" s="2" t="s">
        <v>2</v>
      </c>
      <c r="T3" s="3">
        <f>COUNTIFS(N2:N762,"=1",O2:O762,"=1",P2:P762,"=1")</f>
        <v>3</v>
      </c>
      <c r="U3" s="4">
        <f>T3/$T$30</f>
        <v>5.3763440860215058E-3</v>
      </c>
    </row>
    <row r="4" spans="1:21" x14ac:dyDescent="0.4">
      <c r="A4" t="s">
        <v>662</v>
      </c>
      <c r="B4" t="s">
        <v>663</v>
      </c>
      <c r="C4" t="s">
        <v>40</v>
      </c>
      <c r="D4" s="1">
        <v>37243</v>
      </c>
      <c r="E4">
        <v>2</v>
      </c>
      <c r="F4">
        <v>1</v>
      </c>
      <c r="G4">
        <v>3</v>
      </c>
      <c r="H4">
        <v>323</v>
      </c>
      <c r="I4">
        <v>160</v>
      </c>
      <c r="J4">
        <v>836</v>
      </c>
      <c r="K4">
        <v>46.605801023106253</v>
      </c>
      <c r="L4">
        <v>27.272727272727273</v>
      </c>
      <c r="M4">
        <v>81.807705710798345</v>
      </c>
      <c r="N4">
        <f t="shared" si="1"/>
        <v>2</v>
      </c>
      <c r="O4">
        <f t="shared" si="2"/>
        <v>1</v>
      </c>
      <c r="P4">
        <f t="shared" si="3"/>
        <v>3</v>
      </c>
      <c r="S4" s="2" t="s">
        <v>3</v>
      </c>
      <c r="T4" s="3">
        <f>COUNTIFS(N2:N762,"=1",O2:O762,"=1",P2:P762,"=2")</f>
        <v>15</v>
      </c>
      <c r="U4" s="4">
        <f t="shared" ref="U4:U29" si="4">T4/$T$30</f>
        <v>2.6881720430107527E-2</v>
      </c>
    </row>
    <row r="5" spans="1:21" x14ac:dyDescent="0.4">
      <c r="A5" t="s">
        <v>330</v>
      </c>
      <c r="B5" t="s">
        <v>331</v>
      </c>
      <c r="C5" t="s">
        <v>64</v>
      </c>
      <c r="D5" s="1">
        <v>37384</v>
      </c>
      <c r="E5">
        <v>2</v>
      </c>
      <c r="F5">
        <v>1</v>
      </c>
      <c r="G5">
        <v>3</v>
      </c>
      <c r="H5">
        <v>323</v>
      </c>
      <c r="I5">
        <v>160</v>
      </c>
      <c r="J5">
        <v>836</v>
      </c>
      <c r="K5">
        <v>58.252738734790952</v>
      </c>
      <c r="L5">
        <v>6.4039408866995071</v>
      </c>
      <c r="M5">
        <v>22.000995072934188</v>
      </c>
      <c r="N5">
        <f t="shared" si="1"/>
        <v>3</v>
      </c>
      <c r="O5">
        <f t="shared" si="2"/>
        <v>1</v>
      </c>
      <c r="P5">
        <f t="shared" si="3"/>
        <v>1</v>
      </c>
      <c r="S5" t="s">
        <v>4</v>
      </c>
      <c r="T5">
        <f>COUNTIFS(N2:N762,"=1",O2:O762,"=1",P2:P762,"=3")</f>
        <v>15</v>
      </c>
      <c r="U5" s="4">
        <f t="shared" si="4"/>
        <v>2.6881720430107527E-2</v>
      </c>
    </row>
    <row r="6" spans="1:21" x14ac:dyDescent="0.4">
      <c r="A6" t="s">
        <v>332</v>
      </c>
      <c r="B6" t="s">
        <v>333</v>
      </c>
      <c r="C6" t="s">
        <v>203</v>
      </c>
      <c r="D6" s="1">
        <v>37484</v>
      </c>
      <c r="E6">
        <v>2</v>
      </c>
      <c r="F6">
        <v>1</v>
      </c>
      <c r="G6">
        <v>3</v>
      </c>
      <c r="H6">
        <v>323</v>
      </c>
      <c r="I6">
        <v>160</v>
      </c>
      <c r="J6">
        <v>836</v>
      </c>
      <c r="K6">
        <v>55.332645338837288</v>
      </c>
      <c r="L6">
        <v>45.454545454545453</v>
      </c>
      <c r="M6">
        <v>45.360301580397284</v>
      </c>
      <c r="N6">
        <f t="shared" si="1"/>
        <v>3</v>
      </c>
      <c r="O6">
        <f t="shared" si="2"/>
        <v>2</v>
      </c>
      <c r="P6">
        <f t="shared" si="3"/>
        <v>2</v>
      </c>
      <c r="S6" s="2" t="s">
        <v>5</v>
      </c>
      <c r="T6" s="3">
        <f>COUNTIFS(N2:N762,"=1",O2:O762,"=2",P2:P762,"=1")</f>
        <v>1</v>
      </c>
      <c r="U6" s="4">
        <f t="shared" si="4"/>
        <v>1.7921146953405018E-3</v>
      </c>
    </row>
    <row r="7" spans="1:21" x14ac:dyDescent="0.4">
      <c r="A7" t="s">
        <v>664</v>
      </c>
      <c r="B7" t="s">
        <v>665</v>
      </c>
      <c r="C7" t="s">
        <v>40</v>
      </c>
      <c r="D7" s="1">
        <v>37512</v>
      </c>
      <c r="E7">
        <v>2</v>
      </c>
      <c r="F7">
        <v>1</v>
      </c>
      <c r="G7">
        <v>3</v>
      </c>
      <c r="H7">
        <v>323</v>
      </c>
      <c r="I7">
        <v>160</v>
      </c>
      <c r="J7">
        <v>836</v>
      </c>
      <c r="K7">
        <v>47.97437739970799</v>
      </c>
      <c r="L7">
        <v>61.660079051383399</v>
      </c>
      <c r="M7">
        <v>65.020114164975851</v>
      </c>
      <c r="N7">
        <f t="shared" si="1"/>
        <v>2</v>
      </c>
      <c r="O7">
        <f t="shared" si="2"/>
        <v>3</v>
      </c>
      <c r="P7">
        <f t="shared" si="3"/>
        <v>3</v>
      </c>
      <c r="S7" t="s">
        <v>6</v>
      </c>
      <c r="T7">
        <f>COUNTIFS(N2:N762,"=1",O2:O762,"=2",P2:P762,"=2")</f>
        <v>10</v>
      </c>
      <c r="U7" s="4">
        <f t="shared" si="4"/>
        <v>1.7921146953405017E-2</v>
      </c>
    </row>
    <row r="8" spans="1:21" x14ac:dyDescent="0.4">
      <c r="A8" t="s">
        <v>666</v>
      </c>
      <c r="B8" t="s">
        <v>667</v>
      </c>
      <c r="C8" t="s">
        <v>40</v>
      </c>
      <c r="D8" s="1">
        <v>37517</v>
      </c>
      <c r="E8">
        <v>2</v>
      </c>
      <c r="F8">
        <v>1</v>
      </c>
      <c r="G8">
        <v>3</v>
      </c>
      <c r="H8">
        <v>323</v>
      </c>
      <c r="I8">
        <v>160</v>
      </c>
      <c r="J8">
        <v>836</v>
      </c>
      <c r="K8">
        <v>27.114092688459891</v>
      </c>
      <c r="L8">
        <v>33.201581027667984</v>
      </c>
      <c r="M8">
        <v>58.816299896784152</v>
      </c>
      <c r="N8">
        <f t="shared" si="1"/>
        <v>1</v>
      </c>
      <c r="O8">
        <f t="shared" si="2"/>
        <v>2</v>
      </c>
      <c r="P8">
        <f t="shared" si="3"/>
        <v>3</v>
      </c>
      <c r="S8" t="s">
        <v>7</v>
      </c>
      <c r="T8">
        <f>COUNTIFS(N2:N762,"=1",O2:O762,"=2",P2:P762,"=3")</f>
        <v>9</v>
      </c>
      <c r="U8" s="4">
        <f t="shared" si="4"/>
        <v>1.6129032258064516E-2</v>
      </c>
    </row>
    <row r="9" spans="1:21" x14ac:dyDescent="0.4">
      <c r="A9" t="s">
        <v>668</v>
      </c>
      <c r="B9" t="s">
        <v>669</v>
      </c>
      <c r="C9" t="s">
        <v>64</v>
      </c>
      <c r="D9" s="1">
        <v>37537</v>
      </c>
      <c r="E9">
        <v>2</v>
      </c>
      <c r="F9">
        <v>1</v>
      </c>
      <c r="G9">
        <v>3</v>
      </c>
      <c r="H9">
        <v>323</v>
      </c>
      <c r="I9">
        <v>160</v>
      </c>
      <c r="J9">
        <v>836</v>
      </c>
      <c r="K9">
        <v>56.577149126254483</v>
      </c>
      <c r="L9">
        <v>91.871921182266007</v>
      </c>
      <c r="M9">
        <v>32.59856960247572</v>
      </c>
      <c r="N9">
        <f t="shared" si="1"/>
        <v>3</v>
      </c>
      <c r="O9">
        <f t="shared" si="2"/>
        <v>3</v>
      </c>
      <c r="P9">
        <f t="shared" si="3"/>
        <v>2</v>
      </c>
      <c r="S9" t="s">
        <v>8</v>
      </c>
      <c r="T9">
        <f>COUNTIFS(N2:N762,"=1",O2:O762,"=3",P2:P762,"=1")</f>
        <v>3</v>
      </c>
      <c r="U9" s="4">
        <f t="shared" si="4"/>
        <v>5.3763440860215058E-3</v>
      </c>
    </row>
    <row r="10" spans="1:21" x14ac:dyDescent="0.4">
      <c r="A10" t="s">
        <v>670</v>
      </c>
      <c r="B10" t="s">
        <v>671</v>
      </c>
      <c r="C10" t="s">
        <v>203</v>
      </c>
      <c r="D10" s="1">
        <v>37538</v>
      </c>
      <c r="E10">
        <v>2</v>
      </c>
      <c r="F10">
        <v>1</v>
      </c>
      <c r="G10">
        <v>3</v>
      </c>
      <c r="H10">
        <v>323</v>
      </c>
      <c r="I10">
        <v>160</v>
      </c>
      <c r="J10">
        <v>836</v>
      </c>
      <c r="K10">
        <v>50.074991400068804</v>
      </c>
      <c r="L10">
        <v>68.181818181818187</v>
      </c>
      <c r="M10">
        <v>68.795611618578121</v>
      </c>
      <c r="N10">
        <f t="shared" si="1"/>
        <v>3</v>
      </c>
      <c r="O10">
        <f t="shared" si="2"/>
        <v>3</v>
      </c>
      <c r="P10">
        <f t="shared" si="3"/>
        <v>3</v>
      </c>
      <c r="S10" t="s">
        <v>9</v>
      </c>
      <c r="T10">
        <f>COUNTIFS(N2:N762,"=1",O2:O762,"=3",P2:P762,"=2")</f>
        <v>18</v>
      </c>
      <c r="U10" s="4">
        <f t="shared" si="4"/>
        <v>3.2258064516129031E-2</v>
      </c>
    </row>
    <row r="11" spans="1:21" x14ac:dyDescent="0.4">
      <c r="A11" t="s">
        <v>226</v>
      </c>
      <c r="B11" t="s">
        <v>227</v>
      </c>
      <c r="C11" t="s">
        <v>40</v>
      </c>
      <c r="D11" s="1">
        <v>37565</v>
      </c>
      <c r="E11">
        <v>2</v>
      </c>
      <c r="F11">
        <v>1</v>
      </c>
      <c r="G11">
        <v>3</v>
      </c>
      <c r="H11">
        <v>323</v>
      </c>
      <c r="I11">
        <v>160</v>
      </c>
      <c r="J11">
        <v>836</v>
      </c>
      <c r="K11">
        <v>15.856190667577946</v>
      </c>
      <c r="L11">
        <v>50.59288537549407</v>
      </c>
      <c r="M11">
        <v>45.893878168171589</v>
      </c>
      <c r="N11">
        <f t="shared" si="1"/>
        <v>1</v>
      </c>
      <c r="O11">
        <f t="shared" si="2"/>
        <v>3</v>
      </c>
      <c r="P11">
        <f t="shared" si="3"/>
        <v>2</v>
      </c>
      <c r="S11" t="s">
        <v>10</v>
      </c>
      <c r="T11">
        <f>COUNTIFS(N2:N762,"=1",O2:O762,"=3",P2:P762,"=3")</f>
        <v>23</v>
      </c>
      <c r="U11" s="4">
        <f t="shared" si="4"/>
        <v>4.1218637992831542E-2</v>
      </c>
    </row>
    <row r="12" spans="1:21" x14ac:dyDescent="0.4">
      <c r="A12" t="s">
        <v>228</v>
      </c>
      <c r="B12" t="s">
        <v>229</v>
      </c>
      <c r="C12" t="s">
        <v>203</v>
      </c>
      <c r="D12" s="1">
        <v>37571</v>
      </c>
      <c r="E12">
        <v>2</v>
      </c>
      <c r="F12">
        <v>1</v>
      </c>
      <c r="G12">
        <v>3</v>
      </c>
      <c r="H12">
        <v>323</v>
      </c>
      <c r="I12">
        <v>160</v>
      </c>
      <c r="J12">
        <v>836</v>
      </c>
      <c r="K12">
        <v>25.037495700034402</v>
      </c>
      <c r="L12">
        <v>77.272727272727266</v>
      </c>
      <c r="M12">
        <v>41.70291431056981</v>
      </c>
      <c r="N12">
        <f t="shared" si="1"/>
        <v>1</v>
      </c>
      <c r="O12">
        <f t="shared" si="2"/>
        <v>3</v>
      </c>
      <c r="P12">
        <f t="shared" si="3"/>
        <v>2</v>
      </c>
      <c r="S12" s="2" t="s">
        <v>11</v>
      </c>
      <c r="T12" s="3">
        <f>COUNTIFS(N2:N762,"=2",O2:O762,"=1",P2:P762,"=1")</f>
        <v>5</v>
      </c>
      <c r="U12" s="4">
        <f t="shared" si="4"/>
        <v>8.9605734767025085E-3</v>
      </c>
    </row>
    <row r="13" spans="1:21" x14ac:dyDescent="0.4">
      <c r="A13" t="s">
        <v>448</v>
      </c>
      <c r="B13" t="s">
        <v>449</v>
      </c>
      <c r="C13" t="s">
        <v>40</v>
      </c>
      <c r="D13" s="1">
        <v>37736</v>
      </c>
      <c r="E13">
        <v>2</v>
      </c>
      <c r="F13">
        <v>1</v>
      </c>
      <c r="G13">
        <v>3</v>
      </c>
      <c r="H13">
        <v>323</v>
      </c>
      <c r="I13">
        <v>160</v>
      </c>
      <c r="J13">
        <v>836</v>
      </c>
      <c r="K13">
        <v>66.914372237166276</v>
      </c>
      <c r="L13">
        <v>82.411067193675891</v>
      </c>
      <c r="M13">
        <v>61.370614363806546</v>
      </c>
      <c r="N13">
        <f t="shared" si="1"/>
        <v>3</v>
      </c>
      <c r="O13">
        <f t="shared" si="2"/>
        <v>3</v>
      </c>
      <c r="P13">
        <f t="shared" si="3"/>
        <v>3</v>
      </c>
      <c r="S13" t="s">
        <v>12</v>
      </c>
      <c r="T13">
        <f>COUNTIFS(N2:N762,"=2",O2:O762,"=1",P2:P762,"=2")</f>
        <v>20</v>
      </c>
      <c r="U13" s="4">
        <f t="shared" si="4"/>
        <v>3.5842293906810034E-2</v>
      </c>
    </row>
    <row r="14" spans="1:21" x14ac:dyDescent="0.4">
      <c r="A14" t="s">
        <v>672</v>
      </c>
      <c r="B14" t="s">
        <v>673</v>
      </c>
      <c r="C14" t="s">
        <v>40</v>
      </c>
      <c r="D14" s="1">
        <v>37736</v>
      </c>
      <c r="E14">
        <v>2</v>
      </c>
      <c r="F14">
        <v>1</v>
      </c>
      <c r="G14">
        <v>3</v>
      </c>
      <c r="H14">
        <v>323</v>
      </c>
      <c r="I14">
        <v>160</v>
      </c>
      <c r="J14">
        <v>836</v>
      </c>
      <c r="K14">
        <v>48.774901988336239</v>
      </c>
      <c r="L14">
        <v>46.640316205533594</v>
      </c>
      <c r="M14">
        <v>63.81145940246887</v>
      </c>
      <c r="N14">
        <f t="shared" si="1"/>
        <v>2</v>
      </c>
      <c r="O14">
        <f t="shared" si="2"/>
        <v>2</v>
      </c>
      <c r="P14">
        <f t="shared" si="3"/>
        <v>3</v>
      </c>
      <c r="S14" t="s">
        <v>13</v>
      </c>
      <c r="T14">
        <f>COUNTIFS(N2:N762,"=2",O2:O762,"=1",P2:P762,"=3")</f>
        <v>10</v>
      </c>
      <c r="U14" s="4">
        <f t="shared" si="4"/>
        <v>1.7921146953405017E-2</v>
      </c>
    </row>
    <row r="15" spans="1:21" x14ac:dyDescent="0.4">
      <c r="A15" t="s">
        <v>674</v>
      </c>
      <c r="B15" t="s">
        <v>675</v>
      </c>
      <c r="C15" t="s">
        <v>40</v>
      </c>
      <c r="D15" s="1">
        <v>37736</v>
      </c>
      <c r="E15">
        <v>2</v>
      </c>
      <c r="F15">
        <v>1</v>
      </c>
      <c r="G15">
        <v>3</v>
      </c>
      <c r="H15">
        <v>323</v>
      </c>
      <c r="I15">
        <v>160</v>
      </c>
      <c r="J15">
        <v>836</v>
      </c>
      <c r="K15">
        <v>75.749895345739617</v>
      </c>
      <c r="L15">
        <v>33.399209486166008</v>
      </c>
      <c r="M15">
        <v>49.062221407200703</v>
      </c>
      <c r="N15">
        <f t="shared" si="1"/>
        <v>3</v>
      </c>
      <c r="O15">
        <f t="shared" si="2"/>
        <v>2</v>
      </c>
      <c r="P15">
        <f t="shared" si="3"/>
        <v>2</v>
      </c>
      <c r="S15" t="s">
        <v>14</v>
      </c>
      <c r="T15">
        <f>COUNTIFS(N2:N762,"=2",O2:O762,"=2",P2:P762,"=1")</f>
        <v>5</v>
      </c>
      <c r="U15" s="4">
        <f t="shared" si="4"/>
        <v>8.9605734767025085E-3</v>
      </c>
    </row>
    <row r="16" spans="1:21" x14ac:dyDescent="0.4">
      <c r="A16" t="s">
        <v>676</v>
      </c>
      <c r="B16" t="s">
        <v>677</v>
      </c>
      <c r="C16" t="s">
        <v>40</v>
      </c>
      <c r="D16" s="1">
        <v>37739</v>
      </c>
      <c r="E16">
        <v>2</v>
      </c>
      <c r="F16">
        <v>1</v>
      </c>
      <c r="G16">
        <v>3</v>
      </c>
      <c r="H16">
        <v>323</v>
      </c>
      <c r="I16">
        <v>160</v>
      </c>
      <c r="J16">
        <v>836</v>
      </c>
      <c r="K16">
        <v>30.208996839622152</v>
      </c>
      <c r="L16">
        <v>55.13833992094861</v>
      </c>
      <c r="M16">
        <v>46.348347503651162</v>
      </c>
      <c r="N16">
        <f t="shared" si="1"/>
        <v>2</v>
      </c>
      <c r="O16">
        <f t="shared" si="2"/>
        <v>3</v>
      </c>
      <c r="P16">
        <f t="shared" si="3"/>
        <v>2</v>
      </c>
      <c r="S16" t="s">
        <v>15</v>
      </c>
      <c r="T16">
        <f>COUNTIFS(N2:N762,"=2",O2:O762,"=2",P2:P762,"=2")</f>
        <v>12</v>
      </c>
      <c r="U16" s="4">
        <f t="shared" si="4"/>
        <v>2.1505376344086023E-2</v>
      </c>
    </row>
    <row r="17" spans="1:21" x14ac:dyDescent="0.4">
      <c r="A17" t="s">
        <v>678</v>
      </c>
      <c r="B17" t="s">
        <v>679</v>
      </c>
      <c r="C17" t="s">
        <v>64</v>
      </c>
      <c r="D17" s="1">
        <v>37788</v>
      </c>
      <c r="E17">
        <v>2</v>
      </c>
      <c r="F17">
        <v>1</v>
      </c>
      <c r="G17">
        <v>3</v>
      </c>
      <c r="H17">
        <v>323</v>
      </c>
      <c r="I17">
        <v>160</v>
      </c>
      <c r="J17">
        <v>836</v>
      </c>
      <c r="K17">
        <v>50.086403544162408</v>
      </c>
      <c r="L17">
        <v>55.911330049261082</v>
      </c>
      <c r="M17">
        <v>55.863493545603689</v>
      </c>
      <c r="N17">
        <f t="shared" si="1"/>
        <v>3</v>
      </c>
      <c r="O17">
        <f t="shared" si="2"/>
        <v>3</v>
      </c>
      <c r="P17">
        <f t="shared" si="3"/>
        <v>3</v>
      </c>
      <c r="S17" t="s">
        <v>16</v>
      </c>
      <c r="T17">
        <f>COUNTIFS(N2:N762,"=2",O2:O762,"=2",P2:P762,"=3")</f>
        <v>9</v>
      </c>
      <c r="U17" s="4">
        <f t="shared" si="4"/>
        <v>1.6129032258064516E-2</v>
      </c>
    </row>
    <row r="18" spans="1:21" x14ac:dyDescent="0.4">
      <c r="A18" t="s">
        <v>680</v>
      </c>
      <c r="B18" t="s">
        <v>681</v>
      </c>
      <c r="C18" t="s">
        <v>40</v>
      </c>
      <c r="D18" s="1">
        <v>37811</v>
      </c>
      <c r="E18">
        <v>2</v>
      </c>
      <c r="F18">
        <v>1</v>
      </c>
      <c r="G18">
        <v>3</v>
      </c>
      <c r="H18">
        <v>323</v>
      </c>
      <c r="I18">
        <v>160</v>
      </c>
      <c r="J18">
        <v>836</v>
      </c>
      <c r="K18">
        <v>22.333713377681597</v>
      </c>
      <c r="L18">
        <v>88.339920948616594</v>
      </c>
      <c r="M18">
        <v>46.115653875982112</v>
      </c>
      <c r="N18">
        <f t="shared" si="1"/>
        <v>1</v>
      </c>
      <c r="O18">
        <f t="shared" si="2"/>
        <v>3</v>
      </c>
      <c r="P18">
        <f t="shared" si="3"/>
        <v>2</v>
      </c>
      <c r="S18" t="s">
        <v>17</v>
      </c>
      <c r="T18">
        <f>COUNTIFS(N2:N762,"=2",O2:O762,"=3",P2:P762,"=1")</f>
        <v>5</v>
      </c>
      <c r="U18" s="4">
        <f t="shared" si="4"/>
        <v>8.9605734767025085E-3</v>
      </c>
    </row>
    <row r="19" spans="1:21" x14ac:dyDescent="0.4">
      <c r="A19" t="s">
        <v>230</v>
      </c>
      <c r="B19" t="s">
        <v>231</v>
      </c>
      <c r="C19" t="s">
        <v>40</v>
      </c>
      <c r="D19" s="1">
        <v>37811</v>
      </c>
      <c r="E19">
        <v>2</v>
      </c>
      <c r="F19">
        <v>1</v>
      </c>
      <c r="G19">
        <v>3</v>
      </c>
      <c r="H19">
        <v>323</v>
      </c>
      <c r="I19">
        <v>160</v>
      </c>
      <c r="J19">
        <v>836</v>
      </c>
      <c r="K19">
        <v>29.623632111560493</v>
      </c>
      <c r="L19">
        <v>26.284584980237149</v>
      </c>
      <c r="M19">
        <v>64.003187407206624</v>
      </c>
      <c r="N19">
        <f t="shared" si="1"/>
        <v>1</v>
      </c>
      <c r="O19">
        <f t="shared" si="2"/>
        <v>1</v>
      </c>
      <c r="P19">
        <f t="shared" si="3"/>
        <v>3</v>
      </c>
      <c r="S19" t="s">
        <v>18</v>
      </c>
      <c r="T19">
        <f>COUNTIFS(N2:N762,"=2",O2:O762,"=3",P2:P762,"=2")</f>
        <v>22</v>
      </c>
      <c r="U19" s="4">
        <f t="shared" si="4"/>
        <v>3.9426523297491037E-2</v>
      </c>
    </row>
    <row r="20" spans="1:21" x14ac:dyDescent="0.4">
      <c r="A20" t="s">
        <v>682</v>
      </c>
      <c r="B20" t="s">
        <v>683</v>
      </c>
      <c r="C20" t="s">
        <v>40</v>
      </c>
      <c r="D20" s="1">
        <v>37814</v>
      </c>
      <c r="E20">
        <v>2</v>
      </c>
      <c r="F20">
        <v>1</v>
      </c>
      <c r="G20">
        <v>3</v>
      </c>
      <c r="H20">
        <v>323</v>
      </c>
      <c r="I20">
        <v>160</v>
      </c>
      <c r="J20">
        <v>836</v>
      </c>
      <c r="K20">
        <v>30.660514322092666</v>
      </c>
      <c r="L20">
        <v>47.233201581027672</v>
      </c>
      <c r="M20">
        <v>59.000173641140378</v>
      </c>
      <c r="N20">
        <f t="shared" si="1"/>
        <v>2</v>
      </c>
      <c r="O20">
        <f t="shared" si="2"/>
        <v>2</v>
      </c>
      <c r="P20">
        <f t="shared" si="3"/>
        <v>3</v>
      </c>
      <c r="S20" t="s">
        <v>19</v>
      </c>
      <c r="T20">
        <f>COUNTIFS(N2:N762,"=2",O2:O762,"=3",P2:P762,"=3")</f>
        <v>42</v>
      </c>
      <c r="U20" s="4">
        <f t="shared" si="4"/>
        <v>7.5268817204301078E-2</v>
      </c>
    </row>
    <row r="21" spans="1:21" x14ac:dyDescent="0.4">
      <c r="A21" t="s">
        <v>232</v>
      </c>
      <c r="B21" t="s">
        <v>233</v>
      </c>
      <c r="C21" t="s">
        <v>40</v>
      </c>
      <c r="D21" s="1">
        <v>37817</v>
      </c>
      <c r="E21">
        <v>2</v>
      </c>
      <c r="F21">
        <v>1</v>
      </c>
      <c r="G21">
        <v>3</v>
      </c>
      <c r="H21">
        <v>323</v>
      </c>
      <c r="I21">
        <v>160</v>
      </c>
      <c r="J21">
        <v>836</v>
      </c>
      <c r="K21">
        <v>21.999691074054919</v>
      </c>
      <c r="L21">
        <v>45.454545454545453</v>
      </c>
      <c r="M21">
        <v>76.467946126279188</v>
      </c>
      <c r="N21">
        <f t="shared" si="1"/>
        <v>1</v>
      </c>
      <c r="O21">
        <f t="shared" si="2"/>
        <v>2</v>
      </c>
      <c r="P21">
        <f t="shared" si="3"/>
        <v>3</v>
      </c>
      <c r="S21" t="s">
        <v>20</v>
      </c>
      <c r="T21">
        <f>COUNTIFS(N2:N762,"=3",O2:O762,"=1",P2:P762,"=1")</f>
        <v>28</v>
      </c>
      <c r="U21" s="4">
        <f t="shared" si="4"/>
        <v>5.0179211469534052E-2</v>
      </c>
    </row>
    <row r="22" spans="1:21" x14ac:dyDescent="0.4">
      <c r="A22" t="s">
        <v>684</v>
      </c>
      <c r="B22" t="s">
        <v>685</v>
      </c>
      <c r="C22" t="s">
        <v>64</v>
      </c>
      <c r="D22" s="1">
        <v>37817</v>
      </c>
      <c r="E22">
        <v>2</v>
      </c>
      <c r="F22">
        <v>1</v>
      </c>
      <c r="G22">
        <v>3</v>
      </c>
      <c r="H22">
        <v>323</v>
      </c>
      <c r="I22">
        <v>160</v>
      </c>
      <c r="J22">
        <v>836</v>
      </c>
      <c r="K22">
        <v>61.8871484524877</v>
      </c>
      <c r="L22">
        <v>85.221674876847288</v>
      </c>
      <c r="M22">
        <v>42.089450326901684</v>
      </c>
      <c r="N22">
        <f t="shared" si="1"/>
        <v>3</v>
      </c>
      <c r="O22">
        <f t="shared" si="2"/>
        <v>3</v>
      </c>
      <c r="P22">
        <f t="shared" si="3"/>
        <v>2</v>
      </c>
      <c r="S22" t="s">
        <v>21</v>
      </c>
      <c r="T22">
        <f>COUNTIFS(N2:N762,"=3",O2:O762,"=1",P2:P762,"=2")</f>
        <v>34</v>
      </c>
      <c r="U22" s="4">
        <f t="shared" si="4"/>
        <v>6.093189964157706E-2</v>
      </c>
    </row>
    <row r="23" spans="1:21" x14ac:dyDescent="0.4">
      <c r="A23" t="s">
        <v>686</v>
      </c>
      <c r="B23" t="s">
        <v>687</v>
      </c>
      <c r="C23" t="s">
        <v>40</v>
      </c>
      <c r="D23" s="1">
        <v>37837</v>
      </c>
      <c r="E23">
        <v>2</v>
      </c>
      <c r="F23">
        <v>1</v>
      </c>
      <c r="G23">
        <v>3</v>
      </c>
      <c r="H23">
        <v>323</v>
      </c>
      <c r="I23">
        <v>160</v>
      </c>
      <c r="J23">
        <v>836</v>
      </c>
      <c r="K23">
        <v>25.863214686139678</v>
      </c>
      <c r="L23">
        <v>57.509881422924899</v>
      </c>
      <c r="M23">
        <v>52.093109161836487</v>
      </c>
      <c r="N23">
        <f t="shared" si="1"/>
        <v>1</v>
      </c>
      <c r="O23">
        <f t="shared" si="2"/>
        <v>3</v>
      </c>
      <c r="P23">
        <f t="shared" si="3"/>
        <v>3</v>
      </c>
      <c r="S23" t="s">
        <v>22</v>
      </c>
      <c r="T23">
        <f>COUNTIFS(N2:N762,"=3",O2:O762,"=1",P2:P762,"=3")</f>
        <v>22</v>
      </c>
      <c r="U23" s="4">
        <f t="shared" si="4"/>
        <v>3.9426523297491037E-2</v>
      </c>
    </row>
    <row r="24" spans="1:21" x14ac:dyDescent="0.4">
      <c r="A24" t="s">
        <v>450</v>
      </c>
      <c r="B24" t="s">
        <v>451</v>
      </c>
      <c r="C24" t="s">
        <v>203</v>
      </c>
      <c r="D24" s="1">
        <v>37841</v>
      </c>
      <c r="E24">
        <v>2</v>
      </c>
      <c r="F24">
        <v>1</v>
      </c>
      <c r="G24">
        <v>3</v>
      </c>
      <c r="H24">
        <v>323</v>
      </c>
      <c r="I24">
        <v>160</v>
      </c>
      <c r="J24">
        <v>836</v>
      </c>
      <c r="K24">
        <v>65.398004815961471</v>
      </c>
      <c r="L24">
        <v>31.81818181818182</v>
      </c>
      <c r="M24">
        <v>23.327171233869802</v>
      </c>
      <c r="N24">
        <f t="shared" si="1"/>
        <v>3</v>
      </c>
      <c r="O24">
        <f t="shared" si="2"/>
        <v>2</v>
      </c>
      <c r="P24">
        <f t="shared" si="3"/>
        <v>1</v>
      </c>
      <c r="S24" t="s">
        <v>23</v>
      </c>
      <c r="T24">
        <f>COUNTIFS(N2:N762,"=3",O2:O762,"=2",P2:P762,"=1")</f>
        <v>9</v>
      </c>
      <c r="U24" s="4">
        <f t="shared" si="4"/>
        <v>1.6129032258064516E-2</v>
      </c>
    </row>
    <row r="25" spans="1:21" x14ac:dyDescent="0.4">
      <c r="A25" t="s">
        <v>234</v>
      </c>
      <c r="B25" t="s">
        <v>235</v>
      </c>
      <c r="C25" t="s">
        <v>40</v>
      </c>
      <c r="D25" s="1">
        <v>37855</v>
      </c>
      <c r="E25">
        <v>2</v>
      </c>
      <c r="F25">
        <v>1</v>
      </c>
      <c r="G25">
        <v>3</v>
      </c>
      <c r="H25">
        <v>323</v>
      </c>
      <c r="I25">
        <v>160</v>
      </c>
      <c r="J25">
        <v>836</v>
      </c>
      <c r="K25">
        <v>22.879200140101535</v>
      </c>
      <c r="L25">
        <v>36.56126482213439</v>
      </c>
      <c r="M25">
        <v>69.085073465906163</v>
      </c>
      <c r="N25">
        <f t="shared" si="1"/>
        <v>1</v>
      </c>
      <c r="O25">
        <f t="shared" si="2"/>
        <v>2</v>
      </c>
      <c r="P25">
        <f t="shared" si="3"/>
        <v>3</v>
      </c>
      <c r="S25" t="s">
        <v>24</v>
      </c>
      <c r="T25">
        <f>COUNTIFS(N2:N762,"=3",O2:O762,"=2",P2:P762,"=2")</f>
        <v>19</v>
      </c>
      <c r="U25" s="4">
        <f t="shared" si="4"/>
        <v>3.4050179211469536E-2</v>
      </c>
    </row>
    <row r="26" spans="1:21" x14ac:dyDescent="0.4">
      <c r="A26" t="s">
        <v>236</v>
      </c>
      <c r="B26" t="s">
        <v>237</v>
      </c>
      <c r="C26" t="s">
        <v>203</v>
      </c>
      <c r="D26" s="1">
        <v>37869</v>
      </c>
      <c r="E26">
        <v>2</v>
      </c>
      <c r="F26">
        <v>1</v>
      </c>
      <c r="G26">
        <v>3</v>
      </c>
      <c r="H26">
        <v>323</v>
      </c>
      <c r="I26">
        <v>160</v>
      </c>
      <c r="J26">
        <v>836</v>
      </c>
      <c r="K26">
        <v>17.776401788785687</v>
      </c>
      <c r="L26">
        <v>18.181818181818183</v>
      </c>
      <c r="M26">
        <v>52.615267507612003</v>
      </c>
      <c r="N26">
        <f t="shared" si="1"/>
        <v>1</v>
      </c>
      <c r="O26">
        <f t="shared" si="2"/>
        <v>1</v>
      </c>
      <c r="P26">
        <f t="shared" si="3"/>
        <v>3</v>
      </c>
      <c r="S26" t="s">
        <v>25</v>
      </c>
      <c r="T26">
        <f>COUNTIFS(N2:N762,"=3",O2:O762,"=2",P2:P762,"=3")</f>
        <v>23</v>
      </c>
      <c r="U26" s="4">
        <f t="shared" si="4"/>
        <v>4.1218637992831542E-2</v>
      </c>
    </row>
    <row r="27" spans="1:21" x14ac:dyDescent="0.4">
      <c r="A27" t="s">
        <v>452</v>
      </c>
      <c r="B27" t="s">
        <v>453</v>
      </c>
      <c r="C27" t="s">
        <v>203</v>
      </c>
      <c r="D27" s="1">
        <v>37894</v>
      </c>
      <c r="E27">
        <v>2</v>
      </c>
      <c r="F27">
        <v>1</v>
      </c>
      <c r="G27">
        <v>3</v>
      </c>
      <c r="H27">
        <v>323</v>
      </c>
      <c r="I27">
        <v>160</v>
      </c>
      <c r="J27">
        <v>836</v>
      </c>
      <c r="K27">
        <v>64.747162022703833</v>
      </c>
      <c r="L27">
        <v>90.909090909090907</v>
      </c>
      <c r="M27">
        <v>53.995094485525108</v>
      </c>
      <c r="N27">
        <f t="shared" si="1"/>
        <v>3</v>
      </c>
      <c r="O27">
        <f t="shared" si="2"/>
        <v>3</v>
      </c>
      <c r="P27">
        <f t="shared" si="3"/>
        <v>3</v>
      </c>
      <c r="S27" t="s">
        <v>26</v>
      </c>
      <c r="T27">
        <f>COUNTIFS(N2:N762,"=3",O2:O762,"=3",P2:P762,"=1")</f>
        <v>31</v>
      </c>
      <c r="U27" s="4">
        <f t="shared" si="4"/>
        <v>5.5555555555555552E-2</v>
      </c>
    </row>
    <row r="28" spans="1:21" x14ac:dyDescent="0.4">
      <c r="A28" t="s">
        <v>238</v>
      </c>
      <c r="B28" t="s">
        <v>239</v>
      </c>
      <c r="C28" t="s">
        <v>40</v>
      </c>
      <c r="D28" s="1">
        <v>37918</v>
      </c>
      <c r="E28">
        <v>2</v>
      </c>
      <c r="F28">
        <v>1</v>
      </c>
      <c r="G28">
        <v>3</v>
      </c>
      <c r="H28">
        <v>323</v>
      </c>
      <c r="I28">
        <v>160</v>
      </c>
      <c r="J28">
        <v>836</v>
      </c>
      <c r="K28">
        <v>20.658742388996309</v>
      </c>
      <c r="L28">
        <v>13.24110671936759</v>
      </c>
      <c r="M28">
        <v>50.368758002722736</v>
      </c>
      <c r="N28">
        <f t="shared" si="1"/>
        <v>1</v>
      </c>
      <c r="O28">
        <f t="shared" si="2"/>
        <v>1</v>
      </c>
      <c r="P28">
        <f t="shared" si="3"/>
        <v>3</v>
      </c>
      <c r="S28" t="s">
        <v>27</v>
      </c>
      <c r="T28">
        <f>COUNTIFS(N2:N762,"=3",O2:O762,"=3",P2:P762,"=2")</f>
        <v>80</v>
      </c>
      <c r="U28" s="4">
        <f t="shared" si="4"/>
        <v>0.14336917562724014</v>
      </c>
    </row>
    <row r="29" spans="1:21" x14ac:dyDescent="0.4">
      <c r="A29" t="s">
        <v>688</v>
      </c>
      <c r="B29" t="s">
        <v>689</v>
      </c>
      <c r="C29" t="s">
        <v>64</v>
      </c>
      <c r="D29" s="1">
        <v>37918</v>
      </c>
      <c r="E29">
        <v>2</v>
      </c>
      <c r="F29">
        <v>1</v>
      </c>
      <c r="G29">
        <v>3</v>
      </c>
      <c r="H29">
        <v>323</v>
      </c>
      <c r="I29">
        <v>160</v>
      </c>
      <c r="J29">
        <v>836</v>
      </c>
      <c r="K29">
        <v>82.812100716350741</v>
      </c>
      <c r="L29">
        <v>2.5451559934318553</v>
      </c>
      <c r="M29">
        <v>22.418421552595014</v>
      </c>
      <c r="N29">
        <f t="shared" si="1"/>
        <v>3</v>
      </c>
      <c r="O29">
        <f t="shared" si="2"/>
        <v>1</v>
      </c>
      <c r="P29">
        <f t="shared" si="3"/>
        <v>1</v>
      </c>
      <c r="S29" t="s">
        <v>28</v>
      </c>
      <c r="T29">
        <f>COUNTIFS(N2:N762,"=3",O2:O762,"=3",P2:P762,"=3")</f>
        <v>85</v>
      </c>
      <c r="U29" s="4">
        <f t="shared" si="4"/>
        <v>0.15232974910394265</v>
      </c>
    </row>
    <row r="30" spans="1:21" x14ac:dyDescent="0.4">
      <c r="A30" t="s">
        <v>240</v>
      </c>
      <c r="B30" t="s">
        <v>241</v>
      </c>
      <c r="C30" t="s">
        <v>64</v>
      </c>
      <c r="D30" s="1">
        <v>37925</v>
      </c>
      <c r="E30">
        <v>2</v>
      </c>
      <c r="F30">
        <v>1</v>
      </c>
      <c r="G30">
        <v>3</v>
      </c>
      <c r="H30">
        <v>323</v>
      </c>
      <c r="I30">
        <v>160</v>
      </c>
      <c r="J30">
        <v>836</v>
      </c>
      <c r="K30">
        <v>25.318222923357645</v>
      </c>
      <c r="L30">
        <v>80.706075533661746</v>
      </c>
      <c r="M30">
        <v>88.650257742170268</v>
      </c>
      <c r="N30">
        <f t="shared" si="1"/>
        <v>1</v>
      </c>
      <c r="O30">
        <f t="shared" si="2"/>
        <v>3</v>
      </c>
      <c r="P30">
        <f t="shared" si="3"/>
        <v>3</v>
      </c>
      <c r="T30">
        <f>SUM(T3:T29)</f>
        <v>558</v>
      </c>
    </row>
    <row r="31" spans="1:21" x14ac:dyDescent="0.4">
      <c r="A31" t="s">
        <v>690</v>
      </c>
      <c r="B31" t="s">
        <v>691</v>
      </c>
      <c r="C31" t="s">
        <v>203</v>
      </c>
      <c r="D31" s="1">
        <v>37958</v>
      </c>
      <c r="E31">
        <v>2</v>
      </c>
      <c r="F31">
        <v>1</v>
      </c>
      <c r="G31">
        <v>3</v>
      </c>
      <c r="H31">
        <v>323</v>
      </c>
      <c r="I31">
        <v>160</v>
      </c>
      <c r="J31">
        <v>836</v>
      </c>
      <c r="K31">
        <v>96.04403164774682</v>
      </c>
      <c r="L31">
        <v>36.363636363636367</v>
      </c>
      <c r="M31">
        <v>45.392320332511723</v>
      </c>
      <c r="N31">
        <f t="shared" si="1"/>
        <v>3</v>
      </c>
      <c r="O31">
        <f t="shared" si="2"/>
        <v>2</v>
      </c>
      <c r="P31">
        <f t="shared" si="3"/>
        <v>2</v>
      </c>
    </row>
    <row r="32" spans="1:21" x14ac:dyDescent="0.4">
      <c r="A32" t="s">
        <v>242</v>
      </c>
      <c r="B32" t="s">
        <v>243</v>
      </c>
      <c r="C32" t="s">
        <v>40</v>
      </c>
      <c r="D32" s="1">
        <v>37960</v>
      </c>
      <c r="E32">
        <v>2</v>
      </c>
      <c r="F32">
        <v>1</v>
      </c>
      <c r="G32">
        <v>3</v>
      </c>
      <c r="H32">
        <v>323</v>
      </c>
      <c r="I32">
        <v>160</v>
      </c>
      <c r="J32">
        <v>836</v>
      </c>
      <c r="K32">
        <v>22.397916248006574</v>
      </c>
      <c r="L32">
        <v>1.7786561264822134</v>
      </c>
      <c r="M32">
        <v>51.095027872439459</v>
      </c>
      <c r="N32">
        <f t="shared" si="1"/>
        <v>1</v>
      </c>
      <c r="O32">
        <f t="shared" si="2"/>
        <v>1</v>
      </c>
      <c r="P32">
        <f t="shared" si="3"/>
        <v>3</v>
      </c>
    </row>
    <row r="33" spans="1:22" x14ac:dyDescent="0.4">
      <c r="A33" t="s">
        <v>692</v>
      </c>
      <c r="B33" t="s">
        <v>693</v>
      </c>
      <c r="C33" t="s">
        <v>40</v>
      </c>
      <c r="D33" s="1">
        <v>37964</v>
      </c>
      <c r="E33">
        <v>2</v>
      </c>
      <c r="F33">
        <v>1</v>
      </c>
      <c r="G33">
        <v>3</v>
      </c>
      <c r="H33">
        <v>323</v>
      </c>
      <c r="I33">
        <v>160</v>
      </c>
      <c r="J33">
        <v>836</v>
      </c>
      <c r="K33">
        <v>47.667008138321677</v>
      </c>
      <c r="L33">
        <v>48.616600790513836</v>
      </c>
      <c r="M33">
        <v>78.821940740613144</v>
      </c>
      <c r="N33">
        <f t="shared" si="1"/>
        <v>2</v>
      </c>
      <c r="O33">
        <f t="shared" si="2"/>
        <v>2</v>
      </c>
      <c r="P33">
        <f t="shared" si="3"/>
        <v>3</v>
      </c>
    </row>
    <row r="34" spans="1:22" x14ac:dyDescent="0.4">
      <c r="A34" t="s">
        <v>694</v>
      </c>
      <c r="B34" t="s">
        <v>695</v>
      </c>
      <c r="C34" t="s">
        <v>64</v>
      </c>
      <c r="D34" s="1">
        <v>38058</v>
      </c>
      <c r="E34">
        <v>2</v>
      </c>
      <c r="F34">
        <v>1</v>
      </c>
      <c r="G34">
        <v>3</v>
      </c>
      <c r="H34">
        <v>323</v>
      </c>
      <c r="I34">
        <v>160</v>
      </c>
      <c r="J34">
        <v>836</v>
      </c>
      <c r="K34">
        <v>65.841468650498356</v>
      </c>
      <c r="L34">
        <v>76.436781609195407</v>
      </c>
      <c r="M34">
        <v>35.802118015186068</v>
      </c>
      <c r="N34">
        <f t="shared" si="1"/>
        <v>3</v>
      </c>
      <c r="O34">
        <f t="shared" si="2"/>
        <v>3</v>
      </c>
      <c r="P34">
        <f t="shared" si="3"/>
        <v>2</v>
      </c>
      <c r="T34" t="s">
        <v>33</v>
      </c>
      <c r="U34" t="s">
        <v>34</v>
      </c>
      <c r="V34" t="s">
        <v>35</v>
      </c>
    </row>
    <row r="35" spans="1:22" x14ac:dyDescent="0.4">
      <c r="A35" t="s">
        <v>696</v>
      </c>
      <c r="B35" t="s">
        <v>697</v>
      </c>
      <c r="C35" t="s">
        <v>40</v>
      </c>
      <c r="D35" s="1">
        <v>38061</v>
      </c>
      <c r="E35">
        <v>2</v>
      </c>
      <c r="F35">
        <v>1</v>
      </c>
      <c r="G35">
        <v>3</v>
      </c>
      <c r="H35">
        <v>323</v>
      </c>
      <c r="I35">
        <v>160</v>
      </c>
      <c r="J35">
        <v>836</v>
      </c>
      <c r="K35">
        <v>57.150717805103547</v>
      </c>
      <c r="L35">
        <v>48.814229249011859</v>
      </c>
      <c r="M35">
        <v>89.631776483313928</v>
      </c>
      <c r="N35">
        <f t="shared" si="1"/>
        <v>3</v>
      </c>
      <c r="O35">
        <f t="shared" si="2"/>
        <v>2</v>
      </c>
      <c r="P35">
        <f t="shared" si="3"/>
        <v>3</v>
      </c>
      <c r="S35" t="s">
        <v>30</v>
      </c>
      <c r="T35">
        <f>COUNTIFS(N2:N762,"=1",O2:O762,"&gt;0",P2:P762,"&gt;0")</f>
        <v>97</v>
      </c>
      <c r="U35">
        <f>COUNTIFS(N2:N762,"&gt;0",O2:O762,"=1",P2:P762,"&gt;0")</f>
        <v>152</v>
      </c>
      <c r="V35">
        <f>COUNTIFS(N2:N762,"&gt;0",O2:O762,"&gt;0",P2:P762,"=1")</f>
        <v>90</v>
      </c>
    </row>
    <row r="36" spans="1:22" x14ac:dyDescent="0.4">
      <c r="A36" t="s">
        <v>74</v>
      </c>
      <c r="B36" t="s">
        <v>75</v>
      </c>
      <c r="C36" t="s">
        <v>40</v>
      </c>
      <c r="D36" s="1">
        <v>38072</v>
      </c>
      <c r="E36">
        <v>2</v>
      </c>
      <c r="F36">
        <v>1</v>
      </c>
      <c r="G36">
        <v>3</v>
      </c>
      <c r="H36">
        <v>323</v>
      </c>
      <c r="I36">
        <v>160</v>
      </c>
      <c r="J36">
        <v>836</v>
      </c>
      <c r="K36">
        <v>25.040125071957878</v>
      </c>
      <c r="L36">
        <v>36.363636363636367</v>
      </c>
      <c r="M36">
        <v>40.892890962661369</v>
      </c>
      <c r="N36">
        <f t="shared" si="1"/>
        <v>1</v>
      </c>
      <c r="O36">
        <f t="shared" si="2"/>
        <v>2</v>
      </c>
      <c r="P36">
        <f t="shared" si="3"/>
        <v>2</v>
      </c>
      <c r="S36" t="s">
        <v>31</v>
      </c>
      <c r="T36">
        <f>COUNTIFS(N2:N762,"=2",O2:O762,"&gt;0",P2:P762,"&gt;0")</f>
        <v>130</v>
      </c>
      <c r="U36">
        <f>COUNTIFS(N2:N762,"&gt;0",O2:O762,"=2",P2:P762,"&gt;0")</f>
        <v>97</v>
      </c>
      <c r="V36">
        <f>COUNTIFS(N2:N762,"&gt;0",O2:O762,"&gt;0",P2:P762,"=2")</f>
        <v>230</v>
      </c>
    </row>
    <row r="37" spans="1:22" x14ac:dyDescent="0.4">
      <c r="A37" t="s">
        <v>698</v>
      </c>
      <c r="B37" t="s">
        <v>699</v>
      </c>
      <c r="C37" t="s">
        <v>40</v>
      </c>
      <c r="D37" s="1">
        <v>38078</v>
      </c>
      <c r="E37">
        <v>2</v>
      </c>
      <c r="F37">
        <v>1</v>
      </c>
      <c r="G37">
        <v>3</v>
      </c>
      <c r="H37">
        <v>323</v>
      </c>
      <c r="I37">
        <v>160</v>
      </c>
      <c r="J37">
        <v>836</v>
      </c>
      <c r="K37">
        <v>58.266205654102478</v>
      </c>
      <c r="L37">
        <v>98.221343873517782</v>
      </c>
      <c r="M37">
        <v>48.073950991685713</v>
      </c>
      <c r="N37">
        <f t="shared" si="1"/>
        <v>3</v>
      </c>
      <c r="O37">
        <f t="shared" si="2"/>
        <v>3</v>
      </c>
      <c r="P37">
        <f t="shared" si="3"/>
        <v>2</v>
      </c>
      <c r="S37" t="s">
        <v>32</v>
      </c>
      <c r="T37">
        <f>COUNTIFS(N2:N762,"=3",O2:O762,"&gt;0",P2:P762,"&gt;0")</f>
        <v>331</v>
      </c>
      <c r="U37">
        <f>COUNTIFS(N2:N762,"&gt;0",O2:O762,"=3",P2:P762,"&gt;0")</f>
        <v>309</v>
      </c>
      <c r="V37">
        <f>COUNTIFS(N2:N762,"&gt;0",O2:O762,"&gt;0",P2:P762,"=3")</f>
        <v>238</v>
      </c>
    </row>
    <row r="38" spans="1:22" x14ac:dyDescent="0.4">
      <c r="A38" t="s">
        <v>334</v>
      </c>
      <c r="B38" t="s">
        <v>335</v>
      </c>
      <c r="C38" t="s">
        <v>40</v>
      </c>
      <c r="D38" s="1">
        <v>38086</v>
      </c>
      <c r="E38">
        <v>2</v>
      </c>
      <c r="F38">
        <v>1</v>
      </c>
      <c r="G38">
        <v>3</v>
      </c>
      <c r="H38">
        <v>323</v>
      </c>
      <c r="I38">
        <v>160</v>
      </c>
      <c r="J38">
        <v>836</v>
      </c>
      <c r="K38">
        <v>62.771892285065292</v>
      </c>
      <c r="L38">
        <v>10.474308300395258</v>
      </c>
      <c r="M38">
        <v>67.23642721539899</v>
      </c>
      <c r="N38">
        <f t="shared" si="1"/>
        <v>3</v>
      </c>
      <c r="O38">
        <f t="shared" si="2"/>
        <v>1</v>
      </c>
      <c r="P38">
        <f t="shared" si="3"/>
        <v>3</v>
      </c>
    </row>
    <row r="39" spans="1:22" x14ac:dyDescent="0.4">
      <c r="A39" t="s">
        <v>700</v>
      </c>
      <c r="B39" t="s">
        <v>701</v>
      </c>
      <c r="C39" t="s">
        <v>40</v>
      </c>
      <c r="D39" s="1">
        <v>38089</v>
      </c>
      <c r="E39">
        <v>2</v>
      </c>
      <c r="F39">
        <v>1</v>
      </c>
      <c r="G39">
        <v>3</v>
      </c>
      <c r="H39">
        <v>323</v>
      </c>
      <c r="I39">
        <v>160</v>
      </c>
      <c r="J39">
        <v>836</v>
      </c>
      <c r="K39">
        <v>25.622769047548942</v>
      </c>
      <c r="L39">
        <v>69.762845849802375</v>
      </c>
      <c r="M39">
        <v>60.837610795165979</v>
      </c>
      <c r="N39">
        <f t="shared" si="1"/>
        <v>1</v>
      </c>
      <c r="O39">
        <f t="shared" si="2"/>
        <v>3</v>
      </c>
      <c r="P39">
        <f t="shared" si="3"/>
        <v>3</v>
      </c>
    </row>
    <row r="40" spans="1:22" x14ac:dyDescent="0.4">
      <c r="A40" t="s">
        <v>702</v>
      </c>
      <c r="B40" t="s">
        <v>703</v>
      </c>
      <c r="C40" t="s">
        <v>203</v>
      </c>
      <c r="D40" s="1">
        <v>38106</v>
      </c>
      <c r="E40">
        <v>2</v>
      </c>
      <c r="F40">
        <v>1</v>
      </c>
      <c r="G40">
        <v>3</v>
      </c>
      <c r="H40">
        <v>323</v>
      </c>
      <c r="I40">
        <v>160</v>
      </c>
      <c r="J40">
        <v>836</v>
      </c>
      <c r="K40">
        <v>27.190918472652221</v>
      </c>
      <c r="L40">
        <v>86.36363636363636</v>
      </c>
      <c r="M40">
        <v>52.622517036392644</v>
      </c>
      <c r="N40">
        <f t="shared" si="1"/>
        <v>1</v>
      </c>
      <c r="O40">
        <f t="shared" si="2"/>
        <v>3</v>
      </c>
      <c r="P40">
        <f t="shared" si="3"/>
        <v>3</v>
      </c>
      <c r="T40" t="s">
        <v>33</v>
      </c>
      <c r="U40" t="s">
        <v>34</v>
      </c>
      <c r="V40" t="s">
        <v>35</v>
      </c>
    </row>
    <row r="41" spans="1:22" x14ac:dyDescent="0.4">
      <c r="A41" t="s">
        <v>244</v>
      </c>
      <c r="B41" t="s">
        <v>245</v>
      </c>
      <c r="C41" t="s">
        <v>40</v>
      </c>
      <c r="D41" s="1">
        <v>38106</v>
      </c>
      <c r="E41">
        <v>2</v>
      </c>
      <c r="F41">
        <v>1</v>
      </c>
      <c r="G41">
        <v>3</v>
      </c>
      <c r="H41">
        <v>323</v>
      </c>
      <c r="I41">
        <v>160</v>
      </c>
      <c r="J41">
        <v>836</v>
      </c>
      <c r="K41">
        <v>18.444321953183426</v>
      </c>
      <c r="L41">
        <v>96.442687747035578</v>
      </c>
      <c r="M41">
        <v>53.006942402256279</v>
      </c>
      <c r="N41">
        <f t="shared" si="1"/>
        <v>1</v>
      </c>
      <c r="O41">
        <f t="shared" si="2"/>
        <v>3</v>
      </c>
      <c r="P41">
        <f t="shared" si="3"/>
        <v>3</v>
      </c>
      <c r="S41" t="s">
        <v>30</v>
      </c>
      <c r="T41" s="4">
        <f>T35/$T$30</f>
        <v>0.17383512544802868</v>
      </c>
      <c r="U41" s="4">
        <f t="shared" ref="U41:V41" si="5">U35/$T$30</f>
        <v>0.27240143369175629</v>
      </c>
      <c r="V41" s="4">
        <f t="shared" si="5"/>
        <v>0.16129032258064516</v>
      </c>
    </row>
    <row r="42" spans="1:22" x14ac:dyDescent="0.4">
      <c r="A42" t="s">
        <v>704</v>
      </c>
      <c r="B42" t="s">
        <v>705</v>
      </c>
      <c r="C42" t="s">
        <v>40</v>
      </c>
      <c r="D42" s="1">
        <v>38118</v>
      </c>
      <c r="E42">
        <v>2</v>
      </c>
      <c r="F42">
        <v>1</v>
      </c>
      <c r="G42">
        <v>3</v>
      </c>
      <c r="H42">
        <v>323</v>
      </c>
      <c r="I42">
        <v>160</v>
      </c>
      <c r="J42">
        <v>836</v>
      </c>
      <c r="K42">
        <v>59.69371903960193</v>
      </c>
      <c r="L42">
        <v>45.059288537549406</v>
      </c>
      <c r="M42">
        <v>52.427953117334695</v>
      </c>
      <c r="N42">
        <f t="shared" si="1"/>
        <v>3</v>
      </c>
      <c r="O42">
        <f t="shared" si="2"/>
        <v>2</v>
      </c>
      <c r="P42">
        <f t="shared" si="3"/>
        <v>3</v>
      </c>
      <c r="S42" t="s">
        <v>31</v>
      </c>
      <c r="T42" s="4">
        <f t="shared" ref="T42:V42" si="6">T36/$T$30</f>
        <v>0.23297491039426524</v>
      </c>
      <c r="U42" s="4">
        <f t="shared" si="6"/>
        <v>0.17383512544802868</v>
      </c>
      <c r="V42" s="4">
        <f t="shared" si="6"/>
        <v>0.41218637992831542</v>
      </c>
    </row>
    <row r="43" spans="1:22" x14ac:dyDescent="0.4">
      <c r="A43" t="s">
        <v>706</v>
      </c>
      <c r="B43" t="s">
        <v>707</v>
      </c>
      <c r="C43" t="s">
        <v>40</v>
      </c>
      <c r="D43" s="1">
        <v>38119</v>
      </c>
      <c r="E43">
        <v>2</v>
      </c>
      <c r="F43">
        <v>1</v>
      </c>
      <c r="G43">
        <v>3</v>
      </c>
      <c r="H43">
        <v>323</v>
      </c>
      <c r="I43">
        <v>160</v>
      </c>
      <c r="J43">
        <v>836</v>
      </c>
      <c r="K43">
        <v>90.19763167107412</v>
      </c>
      <c r="L43">
        <v>78.656126482213438</v>
      </c>
      <c r="M43">
        <v>45.656888059681101</v>
      </c>
      <c r="N43">
        <f t="shared" si="1"/>
        <v>3</v>
      </c>
      <c r="O43">
        <f t="shared" si="2"/>
        <v>3</v>
      </c>
      <c r="P43">
        <f t="shared" si="3"/>
        <v>2</v>
      </c>
      <c r="S43" t="s">
        <v>32</v>
      </c>
      <c r="T43" s="4">
        <f t="shared" ref="T43:V43" si="7">T37/$T$30</f>
        <v>0.59318996415770608</v>
      </c>
      <c r="U43" s="4">
        <f t="shared" si="7"/>
        <v>0.55376344086021501</v>
      </c>
      <c r="V43" s="4">
        <f t="shared" si="7"/>
        <v>0.4265232974910394</v>
      </c>
    </row>
    <row r="44" spans="1:22" x14ac:dyDescent="0.4">
      <c r="A44" t="s">
        <v>336</v>
      </c>
      <c r="B44" t="s">
        <v>337</v>
      </c>
      <c r="C44" t="s">
        <v>40</v>
      </c>
      <c r="D44" s="1">
        <v>38128</v>
      </c>
      <c r="E44">
        <v>2</v>
      </c>
      <c r="F44">
        <v>1</v>
      </c>
      <c r="G44">
        <v>3</v>
      </c>
      <c r="H44">
        <v>323</v>
      </c>
      <c r="I44">
        <v>160</v>
      </c>
      <c r="J44">
        <v>836</v>
      </c>
      <c r="K44">
        <v>69.554834957949737</v>
      </c>
      <c r="L44">
        <v>44.861660079051383</v>
      </c>
      <c r="M44">
        <v>62.696143470997264</v>
      </c>
      <c r="N44">
        <f t="shared" si="1"/>
        <v>3</v>
      </c>
      <c r="O44">
        <f t="shared" si="2"/>
        <v>2</v>
      </c>
      <c r="P44">
        <f t="shared" si="3"/>
        <v>3</v>
      </c>
    </row>
    <row r="45" spans="1:22" x14ac:dyDescent="0.4">
      <c r="A45" t="s">
        <v>708</v>
      </c>
      <c r="B45" t="s">
        <v>709</v>
      </c>
      <c r="C45" t="s">
        <v>40</v>
      </c>
      <c r="D45" s="1">
        <v>38134</v>
      </c>
      <c r="E45">
        <v>2</v>
      </c>
      <c r="F45">
        <v>1</v>
      </c>
      <c r="G45">
        <v>3</v>
      </c>
      <c r="H45">
        <v>323</v>
      </c>
      <c r="I45">
        <v>160</v>
      </c>
      <c r="J45">
        <v>836</v>
      </c>
      <c r="K45">
        <v>19.987977029272368</v>
      </c>
      <c r="L45">
        <v>83.003952569169954</v>
      </c>
      <c r="M45">
        <v>76.176704909075056</v>
      </c>
      <c r="N45">
        <f t="shared" si="1"/>
        <v>1</v>
      </c>
      <c r="O45">
        <f t="shared" si="2"/>
        <v>3</v>
      </c>
      <c r="P45">
        <f t="shared" si="3"/>
        <v>3</v>
      </c>
    </row>
    <row r="46" spans="1:22" x14ac:dyDescent="0.4">
      <c r="A46" t="s">
        <v>246</v>
      </c>
      <c r="B46" t="s">
        <v>247</v>
      </c>
      <c r="C46" t="s">
        <v>40</v>
      </c>
      <c r="D46" s="1">
        <v>38139</v>
      </c>
      <c r="E46">
        <v>2</v>
      </c>
      <c r="F46">
        <v>1</v>
      </c>
      <c r="G46">
        <v>3</v>
      </c>
      <c r="H46">
        <v>323</v>
      </c>
      <c r="I46">
        <v>160</v>
      </c>
      <c r="J46">
        <v>836</v>
      </c>
      <c r="K46">
        <v>25.784040789245523</v>
      </c>
      <c r="L46">
        <v>22.134387351778656</v>
      </c>
      <c r="M46">
        <v>64.801167522768324</v>
      </c>
      <c r="N46">
        <f t="shared" si="1"/>
        <v>1</v>
      </c>
      <c r="O46">
        <f t="shared" si="2"/>
        <v>1</v>
      </c>
      <c r="P46">
        <f t="shared" si="3"/>
        <v>3</v>
      </c>
    </row>
    <row r="47" spans="1:22" x14ac:dyDescent="0.4">
      <c r="A47" t="s">
        <v>710</v>
      </c>
      <c r="B47" t="s">
        <v>711</v>
      </c>
      <c r="C47" t="s">
        <v>40</v>
      </c>
      <c r="D47" s="1">
        <v>38141</v>
      </c>
      <c r="E47">
        <v>2</v>
      </c>
      <c r="F47">
        <v>1</v>
      </c>
      <c r="G47">
        <v>3</v>
      </c>
      <c r="H47">
        <v>323</v>
      </c>
      <c r="I47">
        <v>160</v>
      </c>
      <c r="J47">
        <v>836</v>
      </c>
      <c r="K47">
        <v>67.955153044909466</v>
      </c>
      <c r="L47">
        <v>21.739130434782609</v>
      </c>
      <c r="M47">
        <v>44.211091834320527</v>
      </c>
      <c r="N47">
        <f t="shared" si="1"/>
        <v>3</v>
      </c>
      <c r="O47">
        <f t="shared" si="2"/>
        <v>1</v>
      </c>
      <c r="P47">
        <f t="shared" si="3"/>
        <v>2</v>
      </c>
    </row>
    <row r="48" spans="1:22" x14ac:dyDescent="0.4">
      <c r="A48" t="s">
        <v>712</v>
      </c>
      <c r="B48" t="s">
        <v>713</v>
      </c>
      <c r="C48" t="s">
        <v>40</v>
      </c>
      <c r="D48" s="1">
        <v>38153</v>
      </c>
      <c r="E48">
        <v>2</v>
      </c>
      <c r="F48">
        <v>1</v>
      </c>
      <c r="G48">
        <v>3</v>
      </c>
      <c r="H48">
        <v>323</v>
      </c>
      <c r="I48">
        <v>160</v>
      </c>
      <c r="J48">
        <v>836</v>
      </c>
      <c r="K48">
        <v>50.808788443758864</v>
      </c>
      <c r="L48">
        <v>34.189723320158102</v>
      </c>
      <c r="M48">
        <v>31.02975445138966</v>
      </c>
      <c r="N48">
        <f t="shared" si="1"/>
        <v>3</v>
      </c>
      <c r="O48">
        <f t="shared" si="2"/>
        <v>2</v>
      </c>
      <c r="P48">
        <f t="shared" si="3"/>
        <v>2</v>
      </c>
    </row>
    <row r="49" spans="1:16" x14ac:dyDescent="0.4">
      <c r="A49" t="s">
        <v>714</v>
      </c>
      <c r="B49" t="s">
        <v>715</v>
      </c>
      <c r="C49" t="s">
        <v>40</v>
      </c>
      <c r="D49" s="1">
        <v>38156</v>
      </c>
      <c r="E49">
        <v>2</v>
      </c>
      <c r="F49">
        <v>1</v>
      </c>
      <c r="G49">
        <v>3</v>
      </c>
      <c r="H49">
        <v>323</v>
      </c>
      <c r="I49">
        <v>160</v>
      </c>
      <c r="J49">
        <v>836</v>
      </c>
      <c r="K49">
        <v>64.806563970314869</v>
      </c>
      <c r="L49">
        <v>5.7312252964426875</v>
      </c>
      <c r="M49">
        <v>37.656636210044553</v>
      </c>
      <c r="N49">
        <f t="shared" si="1"/>
        <v>3</v>
      </c>
      <c r="O49">
        <f t="shared" si="2"/>
        <v>1</v>
      </c>
      <c r="P49">
        <f t="shared" si="3"/>
        <v>2</v>
      </c>
    </row>
    <row r="50" spans="1:16" x14ac:dyDescent="0.4">
      <c r="A50" t="s">
        <v>248</v>
      </c>
      <c r="B50" t="s">
        <v>249</v>
      </c>
      <c r="C50" t="s">
        <v>40</v>
      </c>
      <c r="D50" s="1">
        <v>38160</v>
      </c>
      <c r="E50">
        <v>2</v>
      </c>
      <c r="F50">
        <v>1</v>
      </c>
      <c r="G50">
        <v>3</v>
      </c>
      <c r="H50">
        <v>323</v>
      </c>
      <c r="I50">
        <v>160</v>
      </c>
      <c r="J50">
        <v>836</v>
      </c>
      <c r="K50">
        <v>33.528197758065524</v>
      </c>
      <c r="L50">
        <v>44.071146245059289</v>
      </c>
      <c r="M50">
        <v>53.734521291419547</v>
      </c>
      <c r="N50">
        <f t="shared" si="1"/>
        <v>2</v>
      </c>
      <c r="O50">
        <f t="shared" si="2"/>
        <v>2</v>
      </c>
      <c r="P50">
        <f t="shared" si="3"/>
        <v>3</v>
      </c>
    </row>
    <row r="51" spans="1:16" x14ac:dyDescent="0.4">
      <c r="A51" t="s">
        <v>716</v>
      </c>
      <c r="B51" t="s">
        <v>717</v>
      </c>
      <c r="C51" t="s">
        <v>40</v>
      </c>
      <c r="D51" s="1">
        <v>38163</v>
      </c>
      <c r="E51">
        <v>2</v>
      </c>
      <c r="F51">
        <v>1</v>
      </c>
      <c r="G51">
        <v>3</v>
      </c>
      <c r="H51">
        <v>323</v>
      </c>
      <c r="I51">
        <v>160</v>
      </c>
      <c r="J51">
        <v>836</v>
      </c>
      <c r="K51">
        <v>51.869995558974288</v>
      </c>
      <c r="L51">
        <v>58.300395256916985</v>
      </c>
      <c r="M51">
        <v>57.899445568670025</v>
      </c>
      <c r="N51">
        <f t="shared" si="1"/>
        <v>3</v>
      </c>
      <c r="O51">
        <f t="shared" si="2"/>
        <v>3</v>
      </c>
      <c r="P51">
        <f t="shared" si="3"/>
        <v>3</v>
      </c>
    </row>
    <row r="52" spans="1:16" x14ac:dyDescent="0.4">
      <c r="A52" t="s">
        <v>718</v>
      </c>
      <c r="B52" t="s">
        <v>719</v>
      </c>
      <c r="C52" t="s">
        <v>40</v>
      </c>
      <c r="D52" s="1">
        <v>38177</v>
      </c>
      <c r="E52">
        <v>2</v>
      </c>
      <c r="F52">
        <v>1</v>
      </c>
      <c r="G52">
        <v>3</v>
      </c>
      <c r="H52">
        <v>323</v>
      </c>
      <c r="I52">
        <v>160</v>
      </c>
      <c r="J52">
        <v>836</v>
      </c>
      <c r="K52">
        <v>89.811277932269448</v>
      </c>
      <c r="L52">
        <v>31.42292490118577</v>
      </c>
      <c r="M52">
        <v>67.4699874393051</v>
      </c>
      <c r="N52">
        <f t="shared" si="1"/>
        <v>3</v>
      </c>
      <c r="O52">
        <f t="shared" si="2"/>
        <v>2</v>
      </c>
      <c r="P52">
        <f t="shared" si="3"/>
        <v>3</v>
      </c>
    </row>
    <row r="53" spans="1:16" x14ac:dyDescent="0.4">
      <c r="A53" t="s">
        <v>720</v>
      </c>
      <c r="B53" t="s">
        <v>721</v>
      </c>
      <c r="C53" t="s">
        <v>40</v>
      </c>
      <c r="D53" s="1">
        <v>38210</v>
      </c>
      <c r="E53">
        <v>2</v>
      </c>
      <c r="F53">
        <v>1</v>
      </c>
      <c r="G53">
        <v>3</v>
      </c>
      <c r="H53">
        <v>323</v>
      </c>
      <c r="I53">
        <v>160</v>
      </c>
      <c r="J53">
        <v>836</v>
      </c>
      <c r="K53">
        <v>46.593158134094175</v>
      </c>
      <c r="L53">
        <v>12.450592885375494</v>
      </c>
      <c r="M53">
        <v>44.644992029225854</v>
      </c>
      <c r="N53">
        <f t="shared" si="1"/>
        <v>2</v>
      </c>
      <c r="O53">
        <f t="shared" si="2"/>
        <v>1</v>
      </c>
      <c r="P53">
        <f t="shared" si="3"/>
        <v>2</v>
      </c>
    </row>
    <row r="54" spans="1:16" x14ac:dyDescent="0.4">
      <c r="A54" t="s">
        <v>338</v>
      </c>
      <c r="B54" t="s">
        <v>339</v>
      </c>
      <c r="C54" t="s">
        <v>203</v>
      </c>
      <c r="D54" s="1">
        <v>38223</v>
      </c>
      <c r="E54">
        <v>2</v>
      </c>
      <c r="F54">
        <v>1</v>
      </c>
      <c r="G54">
        <v>3</v>
      </c>
      <c r="H54">
        <v>323</v>
      </c>
      <c r="I54">
        <v>160</v>
      </c>
      <c r="J54">
        <v>836</v>
      </c>
      <c r="K54">
        <v>65.748882008943923</v>
      </c>
      <c r="L54">
        <v>100</v>
      </c>
      <c r="M54">
        <v>40.068749697936305</v>
      </c>
      <c r="N54">
        <f t="shared" si="1"/>
        <v>3</v>
      </c>
      <c r="O54">
        <f t="shared" si="2"/>
        <v>3</v>
      </c>
      <c r="P54">
        <f t="shared" si="3"/>
        <v>2</v>
      </c>
    </row>
    <row r="55" spans="1:16" x14ac:dyDescent="0.4">
      <c r="A55" t="s">
        <v>722</v>
      </c>
      <c r="B55" t="s">
        <v>723</v>
      </c>
      <c r="C55" t="s">
        <v>43</v>
      </c>
      <c r="D55" s="1">
        <v>38226</v>
      </c>
      <c r="E55">
        <v>2</v>
      </c>
      <c r="F55">
        <v>1</v>
      </c>
      <c r="G55">
        <v>3</v>
      </c>
      <c r="H55">
        <v>323</v>
      </c>
      <c r="I55">
        <v>160</v>
      </c>
      <c r="J55">
        <v>836</v>
      </c>
      <c r="K55">
        <v>48.153946258286503</v>
      </c>
      <c r="L55">
        <v>96.954314720812178</v>
      </c>
      <c r="M55">
        <v>57.501213477493046</v>
      </c>
      <c r="N55">
        <f t="shared" si="1"/>
        <v>2</v>
      </c>
      <c r="O55">
        <f t="shared" si="2"/>
        <v>3</v>
      </c>
      <c r="P55">
        <f t="shared" si="3"/>
        <v>3</v>
      </c>
    </row>
    <row r="56" spans="1:16" x14ac:dyDescent="0.4">
      <c r="A56" t="s">
        <v>724</v>
      </c>
      <c r="B56" t="s">
        <v>725</v>
      </c>
      <c r="C56" t="s">
        <v>40</v>
      </c>
      <c r="D56" s="1">
        <v>38239</v>
      </c>
      <c r="E56">
        <v>2</v>
      </c>
      <c r="F56">
        <v>1</v>
      </c>
      <c r="G56">
        <v>3</v>
      </c>
      <c r="H56">
        <v>323</v>
      </c>
      <c r="I56">
        <v>160</v>
      </c>
      <c r="J56">
        <v>836</v>
      </c>
      <c r="K56">
        <v>38.012876047166827</v>
      </c>
      <c r="L56">
        <v>56.126482213438734</v>
      </c>
      <c r="M56">
        <v>51.359434640058716</v>
      </c>
      <c r="N56">
        <f t="shared" si="1"/>
        <v>2</v>
      </c>
      <c r="O56">
        <f t="shared" si="2"/>
        <v>3</v>
      </c>
      <c r="P56">
        <f t="shared" si="3"/>
        <v>3</v>
      </c>
    </row>
    <row r="57" spans="1:16" x14ac:dyDescent="0.4">
      <c r="A57" t="s">
        <v>454</v>
      </c>
      <c r="B57" t="s">
        <v>455</v>
      </c>
      <c r="C57" t="s">
        <v>40</v>
      </c>
      <c r="D57" s="1">
        <v>38245</v>
      </c>
      <c r="E57">
        <v>2</v>
      </c>
      <c r="F57">
        <v>1</v>
      </c>
      <c r="G57">
        <v>3</v>
      </c>
      <c r="H57">
        <v>323</v>
      </c>
      <c r="I57">
        <v>160</v>
      </c>
      <c r="J57">
        <v>836</v>
      </c>
      <c r="K57">
        <v>76.326502006038339</v>
      </c>
      <c r="L57">
        <v>10.079051383399209</v>
      </c>
      <c r="M57">
        <v>50.807578274232732</v>
      </c>
      <c r="N57">
        <f t="shared" si="1"/>
        <v>3</v>
      </c>
      <c r="O57">
        <f t="shared" si="2"/>
        <v>1</v>
      </c>
      <c r="P57">
        <f t="shared" si="3"/>
        <v>3</v>
      </c>
    </row>
    <row r="58" spans="1:16" x14ac:dyDescent="0.4">
      <c r="A58" t="s">
        <v>456</v>
      </c>
      <c r="B58" t="s">
        <v>457</v>
      </c>
      <c r="C58" t="s">
        <v>40</v>
      </c>
      <c r="D58" s="1">
        <v>38258</v>
      </c>
      <c r="E58">
        <v>2</v>
      </c>
      <c r="F58">
        <v>1</v>
      </c>
      <c r="G58">
        <v>3</v>
      </c>
      <c r="H58">
        <v>323</v>
      </c>
      <c r="I58">
        <v>160</v>
      </c>
      <c r="J58">
        <v>836</v>
      </c>
      <c r="K58">
        <v>98.939185499698056</v>
      </c>
      <c r="L58">
        <v>75.098814229249015</v>
      </c>
      <c r="M58">
        <v>29.681410748662213</v>
      </c>
      <c r="N58">
        <f t="shared" si="1"/>
        <v>3</v>
      </c>
      <c r="O58">
        <f t="shared" si="2"/>
        <v>3</v>
      </c>
      <c r="P58">
        <f t="shared" si="3"/>
        <v>1</v>
      </c>
    </row>
    <row r="59" spans="1:16" x14ac:dyDescent="0.4">
      <c r="A59" t="s">
        <v>726</v>
      </c>
      <c r="B59" t="s">
        <v>727</v>
      </c>
      <c r="C59" t="s">
        <v>40</v>
      </c>
      <c r="D59" s="1">
        <v>38274</v>
      </c>
      <c r="E59">
        <v>2</v>
      </c>
      <c r="F59">
        <v>1</v>
      </c>
      <c r="G59">
        <v>3</v>
      </c>
      <c r="H59">
        <v>323</v>
      </c>
      <c r="I59">
        <v>160</v>
      </c>
      <c r="J59">
        <v>836</v>
      </c>
      <c r="K59">
        <v>34.024655872167344</v>
      </c>
      <c r="L59">
        <v>53.754940711462453</v>
      </c>
      <c r="M59">
        <v>41.954076567135147</v>
      </c>
      <c r="N59">
        <f t="shared" si="1"/>
        <v>2</v>
      </c>
      <c r="O59">
        <f t="shared" si="2"/>
        <v>3</v>
      </c>
      <c r="P59">
        <f t="shared" si="3"/>
        <v>2</v>
      </c>
    </row>
    <row r="60" spans="1:16" x14ac:dyDescent="0.4">
      <c r="A60" t="s">
        <v>458</v>
      </c>
      <c r="B60" t="s">
        <v>459</v>
      </c>
      <c r="C60" t="s">
        <v>64</v>
      </c>
      <c r="D60" s="1">
        <v>38316</v>
      </c>
      <c r="E60">
        <v>2</v>
      </c>
      <c r="F60">
        <v>1</v>
      </c>
      <c r="G60">
        <v>3</v>
      </c>
      <c r="H60">
        <v>323</v>
      </c>
      <c r="I60">
        <v>160</v>
      </c>
      <c r="J60">
        <v>836</v>
      </c>
      <c r="K60">
        <v>85.073386217680152</v>
      </c>
      <c r="L60">
        <v>95.402298850574709</v>
      </c>
      <c r="M60">
        <v>29.575912572200707</v>
      </c>
      <c r="N60">
        <f t="shared" si="1"/>
        <v>3</v>
      </c>
      <c r="O60">
        <f t="shared" si="2"/>
        <v>3</v>
      </c>
      <c r="P60">
        <f t="shared" si="3"/>
        <v>1</v>
      </c>
    </row>
    <row r="61" spans="1:16" x14ac:dyDescent="0.4">
      <c r="A61" t="s">
        <v>460</v>
      </c>
      <c r="B61" t="s">
        <v>461</v>
      </c>
      <c r="C61" t="s">
        <v>40</v>
      </c>
      <c r="D61" s="1">
        <v>38336</v>
      </c>
      <c r="E61">
        <v>2</v>
      </c>
      <c r="F61">
        <v>1</v>
      </c>
      <c r="G61">
        <v>3</v>
      </c>
      <c r="H61">
        <v>323</v>
      </c>
      <c r="I61">
        <v>160</v>
      </c>
      <c r="J61">
        <v>836</v>
      </c>
      <c r="K61">
        <v>79.058592093252244</v>
      </c>
      <c r="L61">
        <v>7.9051383399209483</v>
      </c>
      <c r="M61">
        <v>17.913900122306973</v>
      </c>
      <c r="N61">
        <f t="shared" si="1"/>
        <v>3</v>
      </c>
      <c r="O61">
        <f t="shared" si="2"/>
        <v>1</v>
      </c>
      <c r="P61">
        <f t="shared" si="3"/>
        <v>1</v>
      </c>
    </row>
    <row r="62" spans="1:16" x14ac:dyDescent="0.4">
      <c r="A62" t="s">
        <v>728</v>
      </c>
      <c r="B62" t="s">
        <v>729</v>
      </c>
      <c r="C62" t="s">
        <v>40</v>
      </c>
      <c r="D62" s="1">
        <v>38356</v>
      </c>
      <c r="E62">
        <v>2</v>
      </c>
      <c r="F62">
        <v>1</v>
      </c>
      <c r="G62">
        <v>3</v>
      </c>
      <c r="H62">
        <v>323</v>
      </c>
      <c r="I62">
        <v>160</v>
      </c>
      <c r="J62">
        <v>836</v>
      </c>
      <c r="K62">
        <v>51.927768499093453</v>
      </c>
      <c r="L62">
        <v>70.553359683794469</v>
      </c>
      <c r="M62">
        <v>54.160730148335155</v>
      </c>
      <c r="N62">
        <f t="shared" si="1"/>
        <v>3</v>
      </c>
      <c r="O62">
        <f t="shared" si="2"/>
        <v>3</v>
      </c>
      <c r="P62">
        <f t="shared" si="3"/>
        <v>3</v>
      </c>
    </row>
    <row r="63" spans="1:16" x14ac:dyDescent="0.4">
      <c r="A63" t="s">
        <v>730</v>
      </c>
      <c r="B63" t="s">
        <v>731</v>
      </c>
      <c r="C63" t="s">
        <v>40</v>
      </c>
      <c r="D63" s="1">
        <v>38358</v>
      </c>
      <c r="E63">
        <v>2</v>
      </c>
      <c r="F63">
        <v>1</v>
      </c>
      <c r="G63">
        <v>3</v>
      </c>
      <c r="H63">
        <v>323</v>
      </c>
      <c r="I63">
        <v>160</v>
      </c>
      <c r="J63">
        <v>836</v>
      </c>
      <c r="K63">
        <v>18.440626551410084</v>
      </c>
      <c r="L63">
        <v>16.403162055335969</v>
      </c>
      <c r="M63">
        <v>32.24611244324506</v>
      </c>
      <c r="N63">
        <f t="shared" si="1"/>
        <v>1</v>
      </c>
      <c r="O63">
        <f t="shared" si="2"/>
        <v>1</v>
      </c>
      <c r="P63">
        <f t="shared" si="3"/>
        <v>2</v>
      </c>
    </row>
    <row r="64" spans="1:16" x14ac:dyDescent="0.4">
      <c r="A64" t="s">
        <v>732</v>
      </c>
      <c r="B64" t="s">
        <v>733</v>
      </c>
      <c r="C64" t="s">
        <v>64</v>
      </c>
      <c r="D64" s="1">
        <v>38364</v>
      </c>
      <c r="E64">
        <v>2</v>
      </c>
      <c r="F64">
        <v>1</v>
      </c>
      <c r="G64">
        <v>3</v>
      </c>
      <c r="H64">
        <v>323</v>
      </c>
      <c r="I64">
        <v>160</v>
      </c>
      <c r="J64">
        <v>836</v>
      </c>
      <c r="K64">
        <v>97.262415628726572</v>
      </c>
      <c r="L64">
        <v>63.628899835796389</v>
      </c>
      <c r="M64">
        <v>53.756474889204846</v>
      </c>
      <c r="N64">
        <f t="shared" si="1"/>
        <v>3</v>
      </c>
      <c r="O64">
        <f t="shared" si="2"/>
        <v>3</v>
      </c>
      <c r="P64">
        <f t="shared" si="3"/>
        <v>3</v>
      </c>
    </row>
    <row r="65" spans="1:16" x14ac:dyDescent="0.4">
      <c r="A65" t="s">
        <v>340</v>
      </c>
      <c r="B65" t="s">
        <v>341</v>
      </c>
      <c r="C65" t="s">
        <v>40</v>
      </c>
      <c r="D65" s="1">
        <v>38369</v>
      </c>
      <c r="E65">
        <v>2</v>
      </c>
      <c r="F65">
        <v>1</v>
      </c>
      <c r="G65">
        <v>3</v>
      </c>
      <c r="H65">
        <v>323</v>
      </c>
      <c r="I65">
        <v>160</v>
      </c>
      <c r="J65">
        <v>836</v>
      </c>
      <c r="K65">
        <v>59.952452267583588</v>
      </c>
      <c r="L65">
        <v>17.391304347826086</v>
      </c>
      <c r="M65">
        <v>37.058112835713061</v>
      </c>
      <c r="N65">
        <f t="shared" si="1"/>
        <v>3</v>
      </c>
      <c r="O65">
        <f t="shared" si="2"/>
        <v>1</v>
      </c>
      <c r="P65">
        <f t="shared" si="3"/>
        <v>2</v>
      </c>
    </row>
    <row r="66" spans="1:16" x14ac:dyDescent="0.4">
      <c r="A66" t="s">
        <v>342</v>
      </c>
      <c r="B66" t="s">
        <v>343</v>
      </c>
      <c r="C66" t="s">
        <v>40</v>
      </c>
      <c r="D66" s="1">
        <v>38384</v>
      </c>
      <c r="E66">
        <v>2</v>
      </c>
      <c r="F66">
        <v>1</v>
      </c>
      <c r="G66">
        <v>3</v>
      </c>
      <c r="H66">
        <v>323</v>
      </c>
      <c r="I66">
        <v>160</v>
      </c>
      <c r="J66">
        <v>836</v>
      </c>
      <c r="K66">
        <v>77.116129808822365</v>
      </c>
      <c r="L66">
        <v>67.193675889328063</v>
      </c>
      <c r="M66">
        <v>63.461819363452797</v>
      </c>
      <c r="N66">
        <f t="shared" si="1"/>
        <v>3</v>
      </c>
      <c r="O66">
        <f t="shared" si="2"/>
        <v>3</v>
      </c>
      <c r="P66">
        <f t="shared" si="3"/>
        <v>3</v>
      </c>
    </row>
    <row r="67" spans="1:16" x14ac:dyDescent="0.4">
      <c r="A67" t="s">
        <v>462</v>
      </c>
      <c r="B67" t="s">
        <v>463</v>
      </c>
      <c r="C67" t="s">
        <v>40</v>
      </c>
      <c r="D67" s="1">
        <v>38385</v>
      </c>
      <c r="E67">
        <v>2</v>
      </c>
      <c r="F67">
        <v>1</v>
      </c>
      <c r="G67">
        <v>3</v>
      </c>
      <c r="H67">
        <v>323</v>
      </c>
      <c r="I67">
        <v>160</v>
      </c>
      <c r="J67">
        <v>836</v>
      </c>
      <c r="K67">
        <v>71.633080010614378</v>
      </c>
      <c r="L67">
        <v>8.3003952569169961</v>
      </c>
      <c r="M67">
        <v>41.8454615793908</v>
      </c>
      <c r="N67">
        <f t="shared" ref="N67:N130" si="8">IF(AND(K67&gt;0,K67&lt;30),1,IF(AND(K67&gt;=30,K67&lt;50),2,IF(K67&gt;=50,3,0)))</f>
        <v>3</v>
      </c>
      <c r="O67">
        <f t="shared" ref="O67:O130" si="9">IF(AND(L67&gt;0,L67&lt;30),1,IF(AND(L67&gt;=30,L67&lt;50),2,IF(L67&gt;=50,3,0)))</f>
        <v>1</v>
      </c>
      <c r="P67">
        <f t="shared" ref="P67:P130" si="10">IF(AND(M67&gt;0,M67&lt;30),1,IF(AND(M67&gt;=30,M67&lt;50),2,IF(M67&gt;=50,3,0)))</f>
        <v>2</v>
      </c>
    </row>
    <row r="68" spans="1:16" x14ac:dyDescent="0.4">
      <c r="A68" t="s">
        <v>464</v>
      </c>
      <c r="B68" t="s">
        <v>465</v>
      </c>
      <c r="C68" t="s">
        <v>40</v>
      </c>
      <c r="D68" s="1">
        <v>38413</v>
      </c>
      <c r="E68">
        <v>2</v>
      </c>
      <c r="F68">
        <v>1</v>
      </c>
      <c r="G68">
        <v>3</v>
      </c>
      <c r="H68">
        <v>323</v>
      </c>
      <c r="I68">
        <v>160</v>
      </c>
      <c r="J68">
        <v>836</v>
      </c>
      <c r="K68">
        <v>66.991217996503309</v>
      </c>
      <c r="L68">
        <v>78.260869565217391</v>
      </c>
      <c r="M68">
        <v>41.978556168442651</v>
      </c>
      <c r="N68">
        <f t="shared" si="8"/>
        <v>3</v>
      </c>
      <c r="O68">
        <f t="shared" si="9"/>
        <v>3</v>
      </c>
      <c r="P68">
        <f t="shared" si="10"/>
        <v>2</v>
      </c>
    </row>
    <row r="69" spans="1:16" x14ac:dyDescent="0.4">
      <c r="A69" t="s">
        <v>466</v>
      </c>
      <c r="B69" t="s">
        <v>467</v>
      </c>
      <c r="C69" t="s">
        <v>40</v>
      </c>
      <c r="D69" s="1">
        <v>38419</v>
      </c>
      <c r="E69">
        <v>2</v>
      </c>
      <c r="F69">
        <v>1</v>
      </c>
      <c r="G69">
        <v>3</v>
      </c>
      <c r="H69">
        <v>323</v>
      </c>
      <c r="I69">
        <v>160</v>
      </c>
      <c r="J69">
        <v>836</v>
      </c>
      <c r="K69">
        <v>87.509507566188759</v>
      </c>
      <c r="L69">
        <v>72.529644268774703</v>
      </c>
      <c r="M69">
        <v>57.988735410032177</v>
      </c>
      <c r="N69">
        <f t="shared" si="8"/>
        <v>3</v>
      </c>
      <c r="O69">
        <f t="shared" si="9"/>
        <v>3</v>
      </c>
      <c r="P69">
        <f t="shared" si="10"/>
        <v>3</v>
      </c>
    </row>
    <row r="70" spans="1:16" x14ac:dyDescent="0.4">
      <c r="A70" t="s">
        <v>734</v>
      </c>
      <c r="B70" t="s">
        <v>735</v>
      </c>
      <c r="C70" t="s">
        <v>40</v>
      </c>
      <c r="D70" s="1">
        <v>38427</v>
      </c>
      <c r="E70">
        <v>2</v>
      </c>
      <c r="F70">
        <v>1</v>
      </c>
      <c r="G70">
        <v>3</v>
      </c>
      <c r="H70">
        <v>323</v>
      </c>
      <c r="I70">
        <v>160</v>
      </c>
      <c r="J70">
        <v>836</v>
      </c>
      <c r="K70">
        <v>65.369553092298773</v>
      </c>
      <c r="L70">
        <v>2.3715415019762847</v>
      </c>
      <c r="M70">
        <v>18.406970388838406</v>
      </c>
      <c r="N70">
        <f t="shared" si="8"/>
        <v>3</v>
      </c>
      <c r="O70">
        <f t="shared" si="9"/>
        <v>1</v>
      </c>
      <c r="P70">
        <f t="shared" si="10"/>
        <v>1</v>
      </c>
    </row>
    <row r="71" spans="1:16" x14ac:dyDescent="0.4">
      <c r="A71" t="s">
        <v>736</v>
      </c>
      <c r="B71" t="s">
        <v>737</v>
      </c>
      <c r="C71" t="s">
        <v>40</v>
      </c>
      <c r="D71" s="1">
        <v>38447</v>
      </c>
      <c r="E71">
        <v>2</v>
      </c>
      <c r="F71">
        <v>1</v>
      </c>
      <c r="G71">
        <v>3</v>
      </c>
      <c r="H71">
        <v>323</v>
      </c>
      <c r="I71">
        <v>160</v>
      </c>
      <c r="J71">
        <v>836</v>
      </c>
      <c r="K71">
        <v>44.799324702348819</v>
      </c>
      <c r="L71">
        <v>30.039525691699605</v>
      </c>
      <c r="M71">
        <v>31.003356066191046</v>
      </c>
      <c r="N71">
        <f t="shared" si="8"/>
        <v>2</v>
      </c>
      <c r="O71">
        <f t="shared" si="9"/>
        <v>2</v>
      </c>
      <c r="P71">
        <f t="shared" si="10"/>
        <v>2</v>
      </c>
    </row>
    <row r="72" spans="1:16" x14ac:dyDescent="0.4">
      <c r="A72" t="s">
        <v>738</v>
      </c>
      <c r="B72" t="s">
        <v>739</v>
      </c>
      <c r="C72" t="s">
        <v>40</v>
      </c>
      <c r="D72" s="1">
        <v>38469</v>
      </c>
      <c r="E72">
        <v>2</v>
      </c>
      <c r="F72">
        <v>1</v>
      </c>
      <c r="G72">
        <v>3</v>
      </c>
      <c r="H72">
        <v>323</v>
      </c>
      <c r="I72">
        <v>160</v>
      </c>
      <c r="J72">
        <v>836</v>
      </c>
      <c r="K72">
        <v>58.236046629564562</v>
      </c>
      <c r="L72">
        <v>34.387351778656125</v>
      </c>
      <c r="M72">
        <v>53.031257033415336</v>
      </c>
      <c r="N72">
        <f t="shared" si="8"/>
        <v>3</v>
      </c>
      <c r="O72">
        <f t="shared" si="9"/>
        <v>2</v>
      </c>
      <c r="P72">
        <f t="shared" si="10"/>
        <v>3</v>
      </c>
    </row>
    <row r="73" spans="1:16" x14ac:dyDescent="0.4">
      <c r="A73" t="s">
        <v>740</v>
      </c>
      <c r="B73" t="s">
        <v>741</v>
      </c>
      <c r="C73" t="s">
        <v>40</v>
      </c>
      <c r="D73" s="1">
        <v>38519</v>
      </c>
      <c r="E73">
        <v>2</v>
      </c>
      <c r="F73">
        <v>1</v>
      </c>
      <c r="G73">
        <v>3</v>
      </c>
      <c r="H73">
        <v>323</v>
      </c>
      <c r="I73">
        <v>160</v>
      </c>
      <c r="J73">
        <v>836</v>
      </c>
      <c r="K73">
        <v>86.962856734990268</v>
      </c>
      <c r="L73">
        <v>30.237154150197632</v>
      </c>
      <c r="M73">
        <v>71.36403867237118</v>
      </c>
      <c r="N73">
        <f t="shared" si="8"/>
        <v>3</v>
      </c>
      <c r="O73">
        <f t="shared" si="9"/>
        <v>2</v>
      </c>
      <c r="P73">
        <f t="shared" si="10"/>
        <v>3</v>
      </c>
    </row>
    <row r="74" spans="1:16" x14ac:dyDescent="0.4">
      <c r="A74" t="s">
        <v>742</v>
      </c>
      <c r="B74" t="s">
        <v>743</v>
      </c>
      <c r="C74" t="s">
        <v>40</v>
      </c>
      <c r="D74" s="1">
        <v>38533</v>
      </c>
      <c r="E74">
        <v>2</v>
      </c>
      <c r="F74">
        <v>1</v>
      </c>
      <c r="G74">
        <v>3</v>
      </c>
      <c r="H74">
        <v>323</v>
      </c>
      <c r="I74">
        <v>160</v>
      </c>
      <c r="J74">
        <v>836</v>
      </c>
      <c r="K74">
        <v>36.957313632330255</v>
      </c>
      <c r="L74">
        <v>54.545454545454547</v>
      </c>
      <c r="M74">
        <v>72.533800896096565</v>
      </c>
      <c r="N74">
        <f t="shared" si="8"/>
        <v>2</v>
      </c>
      <c r="O74">
        <f t="shared" si="9"/>
        <v>3</v>
      </c>
      <c r="P74">
        <f t="shared" si="10"/>
        <v>3</v>
      </c>
    </row>
    <row r="75" spans="1:16" x14ac:dyDescent="0.4">
      <c r="A75" t="s">
        <v>744</v>
      </c>
      <c r="B75" t="s">
        <v>745</v>
      </c>
      <c r="C75" t="s">
        <v>40</v>
      </c>
      <c r="D75" s="1">
        <v>38546</v>
      </c>
      <c r="E75">
        <v>2</v>
      </c>
      <c r="F75">
        <v>1</v>
      </c>
      <c r="G75">
        <v>3</v>
      </c>
      <c r="H75">
        <v>323</v>
      </c>
      <c r="I75">
        <v>160</v>
      </c>
      <c r="J75">
        <v>836</v>
      </c>
      <c r="K75">
        <v>57.978477470361447</v>
      </c>
      <c r="L75">
        <v>67.78656126482214</v>
      </c>
      <c r="M75">
        <v>47.941773546126768</v>
      </c>
      <c r="N75">
        <f t="shared" si="8"/>
        <v>3</v>
      </c>
      <c r="O75">
        <f t="shared" si="9"/>
        <v>3</v>
      </c>
      <c r="P75">
        <f t="shared" si="10"/>
        <v>2</v>
      </c>
    </row>
    <row r="76" spans="1:16" x14ac:dyDescent="0.4">
      <c r="A76" t="s">
        <v>102</v>
      </c>
      <c r="B76" t="s">
        <v>103</v>
      </c>
      <c r="C76" t="s">
        <v>40</v>
      </c>
      <c r="D76" s="1">
        <v>38548</v>
      </c>
      <c r="E76">
        <v>2</v>
      </c>
      <c r="F76">
        <v>1</v>
      </c>
      <c r="G76">
        <v>3</v>
      </c>
      <c r="H76">
        <v>323</v>
      </c>
      <c r="I76">
        <v>160</v>
      </c>
      <c r="J76">
        <v>836</v>
      </c>
      <c r="K76">
        <v>14.488006905889687</v>
      </c>
      <c r="L76">
        <v>37.351778656126484</v>
      </c>
      <c r="M76">
        <v>44.682223011089931</v>
      </c>
      <c r="N76">
        <f t="shared" si="8"/>
        <v>1</v>
      </c>
      <c r="O76">
        <f t="shared" si="9"/>
        <v>2</v>
      </c>
      <c r="P76">
        <f t="shared" si="10"/>
        <v>2</v>
      </c>
    </row>
    <row r="77" spans="1:16" x14ac:dyDescent="0.4">
      <c r="A77" t="s">
        <v>344</v>
      </c>
      <c r="B77" t="s">
        <v>345</v>
      </c>
      <c r="C77" t="s">
        <v>40</v>
      </c>
      <c r="D77" s="1">
        <v>38562</v>
      </c>
      <c r="E77">
        <v>2</v>
      </c>
      <c r="F77">
        <v>1</v>
      </c>
      <c r="G77">
        <v>3</v>
      </c>
      <c r="H77">
        <v>323</v>
      </c>
      <c r="I77">
        <v>160</v>
      </c>
      <c r="J77">
        <v>836</v>
      </c>
      <c r="K77">
        <v>64.806360774877191</v>
      </c>
      <c r="L77">
        <v>47.628458498023718</v>
      </c>
      <c r="M77">
        <v>75.056814217433185</v>
      </c>
      <c r="N77">
        <f t="shared" si="8"/>
        <v>3</v>
      </c>
      <c r="O77">
        <f t="shared" si="9"/>
        <v>2</v>
      </c>
      <c r="P77">
        <f t="shared" si="10"/>
        <v>3</v>
      </c>
    </row>
    <row r="78" spans="1:16" x14ac:dyDescent="0.4">
      <c r="A78" t="s">
        <v>136</v>
      </c>
      <c r="B78" t="s">
        <v>137</v>
      </c>
      <c r="C78" t="s">
        <v>40</v>
      </c>
      <c r="D78" s="1">
        <v>38589</v>
      </c>
      <c r="E78">
        <v>2</v>
      </c>
      <c r="F78">
        <v>1</v>
      </c>
      <c r="G78">
        <v>3</v>
      </c>
      <c r="H78">
        <v>323</v>
      </c>
      <c r="I78">
        <v>160</v>
      </c>
      <c r="J78">
        <v>836</v>
      </c>
      <c r="K78">
        <v>33.386959708927698</v>
      </c>
      <c r="L78">
        <v>38.537549407114625</v>
      </c>
      <c r="M78">
        <v>35.795474178770334</v>
      </c>
      <c r="N78">
        <f t="shared" si="8"/>
        <v>2</v>
      </c>
      <c r="O78">
        <f t="shared" si="9"/>
        <v>2</v>
      </c>
      <c r="P78">
        <f t="shared" si="10"/>
        <v>2</v>
      </c>
    </row>
    <row r="79" spans="1:16" x14ac:dyDescent="0.4">
      <c r="A79" t="s">
        <v>746</v>
      </c>
      <c r="B79" t="s">
        <v>747</v>
      </c>
      <c r="C79" t="s">
        <v>40</v>
      </c>
      <c r="D79" s="1">
        <v>38595</v>
      </c>
      <c r="E79">
        <v>2</v>
      </c>
      <c r="F79">
        <v>1</v>
      </c>
      <c r="G79">
        <v>3</v>
      </c>
      <c r="H79">
        <v>323</v>
      </c>
      <c r="I79">
        <v>160</v>
      </c>
      <c r="J79">
        <v>836</v>
      </c>
      <c r="K79">
        <v>77.889811935734429</v>
      </c>
      <c r="L79">
        <v>56.719367588932798</v>
      </c>
      <c r="M79">
        <v>39.400334322352364</v>
      </c>
      <c r="N79">
        <f t="shared" si="8"/>
        <v>3</v>
      </c>
      <c r="O79">
        <f t="shared" si="9"/>
        <v>3</v>
      </c>
      <c r="P79">
        <f t="shared" si="10"/>
        <v>2</v>
      </c>
    </row>
    <row r="80" spans="1:16" x14ac:dyDescent="0.4">
      <c r="A80" t="s">
        <v>748</v>
      </c>
      <c r="B80" t="s">
        <v>749</v>
      </c>
      <c r="C80" t="s">
        <v>40</v>
      </c>
      <c r="D80" s="1">
        <v>38611</v>
      </c>
      <c r="E80">
        <v>2</v>
      </c>
      <c r="F80">
        <v>1</v>
      </c>
      <c r="G80">
        <v>3</v>
      </c>
      <c r="H80">
        <v>323</v>
      </c>
      <c r="I80">
        <v>160</v>
      </c>
      <c r="J80">
        <v>836</v>
      </c>
      <c r="K80">
        <v>33.249620257000899</v>
      </c>
      <c r="L80">
        <v>66.205533596837938</v>
      </c>
      <c r="M80">
        <v>70.820779938510213</v>
      </c>
      <c r="N80">
        <f t="shared" si="8"/>
        <v>2</v>
      </c>
      <c r="O80">
        <f t="shared" si="9"/>
        <v>3</v>
      </c>
      <c r="P80">
        <f t="shared" si="10"/>
        <v>3</v>
      </c>
    </row>
    <row r="81" spans="1:16" x14ac:dyDescent="0.4">
      <c r="A81" t="s">
        <v>750</v>
      </c>
      <c r="B81" t="s">
        <v>751</v>
      </c>
      <c r="C81" t="s">
        <v>40</v>
      </c>
      <c r="D81" s="1">
        <v>38622</v>
      </c>
      <c r="E81">
        <v>2</v>
      </c>
      <c r="F81">
        <v>1</v>
      </c>
      <c r="G81">
        <v>3</v>
      </c>
      <c r="H81">
        <v>323</v>
      </c>
      <c r="I81">
        <v>160</v>
      </c>
      <c r="J81">
        <v>836</v>
      </c>
      <c r="K81">
        <v>77.836505851253705</v>
      </c>
      <c r="L81">
        <v>26.48221343873518</v>
      </c>
      <c r="M81">
        <v>48.367006413490429</v>
      </c>
      <c r="N81">
        <f t="shared" si="8"/>
        <v>3</v>
      </c>
      <c r="O81">
        <f t="shared" si="9"/>
        <v>1</v>
      </c>
      <c r="P81">
        <f t="shared" si="10"/>
        <v>2</v>
      </c>
    </row>
    <row r="82" spans="1:16" x14ac:dyDescent="0.4">
      <c r="A82" t="s">
        <v>468</v>
      </c>
      <c r="B82" t="s">
        <v>469</v>
      </c>
      <c r="C82" t="s">
        <v>40</v>
      </c>
      <c r="D82" s="1">
        <v>38622</v>
      </c>
      <c r="E82">
        <v>2</v>
      </c>
      <c r="F82">
        <v>1</v>
      </c>
      <c r="G82">
        <v>3</v>
      </c>
      <c r="H82">
        <v>323</v>
      </c>
      <c r="I82">
        <v>160</v>
      </c>
      <c r="J82">
        <v>836</v>
      </c>
      <c r="K82">
        <v>60.910945811048563</v>
      </c>
      <c r="L82">
        <v>68.379446640316203</v>
      </c>
      <c r="M82">
        <v>40.204106355886822</v>
      </c>
      <c r="N82">
        <f t="shared" si="8"/>
        <v>3</v>
      </c>
      <c r="O82">
        <f t="shared" si="9"/>
        <v>3</v>
      </c>
      <c r="P82">
        <f t="shared" si="10"/>
        <v>2</v>
      </c>
    </row>
    <row r="83" spans="1:16" x14ac:dyDescent="0.4">
      <c r="A83" t="s">
        <v>250</v>
      </c>
      <c r="B83" t="s">
        <v>251</v>
      </c>
      <c r="C83" t="s">
        <v>40</v>
      </c>
      <c r="D83" s="1">
        <v>38624</v>
      </c>
      <c r="E83">
        <v>2</v>
      </c>
      <c r="F83">
        <v>1</v>
      </c>
      <c r="G83">
        <v>3</v>
      </c>
      <c r="H83">
        <v>323</v>
      </c>
      <c r="I83">
        <v>160</v>
      </c>
      <c r="J83">
        <v>836</v>
      </c>
      <c r="K83">
        <v>24.945966372532659</v>
      </c>
      <c r="L83">
        <v>62.450592885375485</v>
      </c>
      <c r="M83">
        <v>26.858654068281556</v>
      </c>
      <c r="N83">
        <f t="shared" si="8"/>
        <v>1</v>
      </c>
      <c r="O83">
        <f t="shared" si="9"/>
        <v>3</v>
      </c>
      <c r="P83">
        <f t="shared" si="10"/>
        <v>1</v>
      </c>
    </row>
    <row r="84" spans="1:16" x14ac:dyDescent="0.4">
      <c r="A84" t="s">
        <v>752</v>
      </c>
      <c r="B84" t="s">
        <v>753</v>
      </c>
      <c r="C84" t="s">
        <v>64</v>
      </c>
      <c r="D84" s="1">
        <v>38633</v>
      </c>
      <c r="E84">
        <v>2</v>
      </c>
      <c r="F84">
        <v>1</v>
      </c>
      <c r="G84">
        <v>3</v>
      </c>
      <c r="H84">
        <v>323</v>
      </c>
      <c r="I84">
        <v>160</v>
      </c>
      <c r="J84">
        <v>836</v>
      </c>
      <c r="K84">
        <v>75.20454136236836</v>
      </c>
      <c r="L84">
        <v>53.119868637110017</v>
      </c>
      <c r="M84">
        <v>39.582928290620899</v>
      </c>
      <c r="N84">
        <f t="shared" si="8"/>
        <v>3</v>
      </c>
      <c r="O84">
        <f t="shared" si="9"/>
        <v>3</v>
      </c>
      <c r="P84">
        <f t="shared" si="10"/>
        <v>2</v>
      </c>
    </row>
    <row r="85" spans="1:16" x14ac:dyDescent="0.4">
      <c r="A85" t="s">
        <v>470</v>
      </c>
      <c r="B85" t="s">
        <v>471</v>
      </c>
      <c r="C85" t="s">
        <v>40</v>
      </c>
      <c r="D85" s="1">
        <v>38636</v>
      </c>
      <c r="E85">
        <v>2</v>
      </c>
      <c r="F85">
        <v>1</v>
      </c>
      <c r="G85">
        <v>3</v>
      </c>
      <c r="H85">
        <v>323</v>
      </c>
      <c r="I85">
        <v>160</v>
      </c>
      <c r="J85">
        <v>836</v>
      </c>
      <c r="K85">
        <v>87.045143999268504</v>
      </c>
      <c r="L85">
        <v>0.59288537549407117</v>
      </c>
      <c r="M85">
        <v>47.018899136840261</v>
      </c>
      <c r="N85">
        <f t="shared" si="8"/>
        <v>3</v>
      </c>
      <c r="O85">
        <f t="shared" si="9"/>
        <v>1</v>
      </c>
      <c r="P85">
        <f t="shared" si="10"/>
        <v>2</v>
      </c>
    </row>
    <row r="86" spans="1:16" x14ac:dyDescent="0.4">
      <c r="A86" t="s">
        <v>754</v>
      </c>
      <c r="B86" t="s">
        <v>755</v>
      </c>
      <c r="C86" t="s">
        <v>64</v>
      </c>
      <c r="D86" s="1">
        <v>38659</v>
      </c>
      <c r="E86">
        <v>2</v>
      </c>
      <c r="F86">
        <v>1</v>
      </c>
      <c r="G86">
        <v>3</v>
      </c>
      <c r="H86">
        <v>323</v>
      </c>
      <c r="I86">
        <v>160</v>
      </c>
      <c r="J86">
        <v>836</v>
      </c>
      <c r="K86">
        <v>58.425856291205669</v>
      </c>
      <c r="L86">
        <v>72.249589490968802</v>
      </c>
      <c r="M86">
        <v>26.138071235746832</v>
      </c>
      <c r="N86">
        <f t="shared" si="8"/>
        <v>3</v>
      </c>
      <c r="O86">
        <f t="shared" si="9"/>
        <v>3</v>
      </c>
      <c r="P86">
        <f t="shared" si="10"/>
        <v>1</v>
      </c>
    </row>
    <row r="87" spans="1:16" x14ac:dyDescent="0.4">
      <c r="A87" t="s">
        <v>756</v>
      </c>
      <c r="B87" t="s">
        <v>757</v>
      </c>
      <c r="C87" t="s">
        <v>40</v>
      </c>
      <c r="D87" s="1">
        <v>38666</v>
      </c>
      <c r="E87">
        <v>2</v>
      </c>
      <c r="F87">
        <v>1</v>
      </c>
      <c r="G87">
        <v>3</v>
      </c>
      <c r="H87">
        <v>323</v>
      </c>
      <c r="I87">
        <v>160</v>
      </c>
      <c r="J87">
        <v>836</v>
      </c>
      <c r="K87">
        <v>50.390732772686121</v>
      </c>
      <c r="L87">
        <v>76.086956521739125</v>
      </c>
      <c r="M87">
        <v>51.49535017553815</v>
      </c>
      <c r="N87">
        <f t="shared" si="8"/>
        <v>3</v>
      </c>
      <c r="O87">
        <f t="shared" si="9"/>
        <v>3</v>
      </c>
      <c r="P87">
        <f t="shared" si="10"/>
        <v>3</v>
      </c>
    </row>
    <row r="88" spans="1:16" x14ac:dyDescent="0.4">
      <c r="A88" t="s">
        <v>69</v>
      </c>
      <c r="B88" t="s">
        <v>70</v>
      </c>
      <c r="C88" t="s">
        <v>40</v>
      </c>
      <c r="D88" s="1">
        <v>38672</v>
      </c>
      <c r="E88">
        <v>2</v>
      </c>
      <c r="F88">
        <v>1</v>
      </c>
      <c r="G88">
        <v>3</v>
      </c>
      <c r="H88">
        <v>323</v>
      </c>
      <c r="I88">
        <v>160</v>
      </c>
      <c r="J88">
        <v>836</v>
      </c>
      <c r="K88">
        <v>28.506980193783011</v>
      </c>
      <c r="L88">
        <v>26.877470355731226</v>
      </c>
      <c r="M88">
        <v>32.999705026764296</v>
      </c>
      <c r="N88">
        <f t="shared" si="8"/>
        <v>1</v>
      </c>
      <c r="O88">
        <f t="shared" si="9"/>
        <v>1</v>
      </c>
      <c r="P88">
        <f t="shared" si="10"/>
        <v>2</v>
      </c>
    </row>
    <row r="89" spans="1:16" x14ac:dyDescent="0.4">
      <c r="A89" t="s">
        <v>472</v>
      </c>
      <c r="B89" t="s">
        <v>473</v>
      </c>
      <c r="C89" t="s">
        <v>40</v>
      </c>
      <c r="D89" s="1">
        <v>38673</v>
      </c>
      <c r="E89">
        <v>2</v>
      </c>
      <c r="F89">
        <v>1</v>
      </c>
      <c r="G89">
        <v>3</v>
      </c>
      <c r="H89">
        <v>323</v>
      </c>
      <c r="I89">
        <v>160</v>
      </c>
      <c r="J89">
        <v>836</v>
      </c>
      <c r="K89">
        <v>88.175995489750079</v>
      </c>
      <c r="L89">
        <v>63.833992094861649</v>
      </c>
      <c r="M89">
        <v>34.818115108737295</v>
      </c>
      <c r="N89">
        <f t="shared" si="8"/>
        <v>3</v>
      </c>
      <c r="O89">
        <f t="shared" si="9"/>
        <v>3</v>
      </c>
      <c r="P89">
        <f t="shared" si="10"/>
        <v>2</v>
      </c>
    </row>
    <row r="90" spans="1:16" x14ac:dyDescent="0.4">
      <c r="A90" t="s">
        <v>346</v>
      </c>
      <c r="B90" t="s">
        <v>347</v>
      </c>
      <c r="C90" t="s">
        <v>40</v>
      </c>
      <c r="D90" s="1">
        <v>38673</v>
      </c>
      <c r="E90">
        <v>2</v>
      </c>
      <c r="F90">
        <v>1</v>
      </c>
      <c r="G90">
        <v>3</v>
      </c>
      <c r="H90">
        <v>323</v>
      </c>
      <c r="I90">
        <v>160</v>
      </c>
      <c r="J90">
        <v>836</v>
      </c>
      <c r="K90">
        <v>72.078384534278641</v>
      </c>
      <c r="L90">
        <v>83.992094861660078</v>
      </c>
      <c r="M90">
        <v>48.342942255300635</v>
      </c>
      <c r="N90">
        <f t="shared" si="8"/>
        <v>3</v>
      </c>
      <c r="O90">
        <f t="shared" si="9"/>
        <v>3</v>
      </c>
      <c r="P90">
        <f t="shared" si="10"/>
        <v>2</v>
      </c>
    </row>
    <row r="91" spans="1:16" x14ac:dyDescent="0.4">
      <c r="A91" t="s">
        <v>758</v>
      </c>
      <c r="B91" t="s">
        <v>759</v>
      </c>
      <c r="C91" t="s">
        <v>40</v>
      </c>
      <c r="D91" s="1">
        <v>38673</v>
      </c>
      <c r="E91">
        <v>2</v>
      </c>
      <c r="F91">
        <v>1</v>
      </c>
      <c r="G91">
        <v>3</v>
      </c>
      <c r="H91">
        <v>323</v>
      </c>
      <c r="I91">
        <v>160</v>
      </c>
      <c r="J91">
        <v>836</v>
      </c>
      <c r="K91">
        <v>24.761547570893249</v>
      </c>
      <c r="L91">
        <v>26.679841897233199</v>
      </c>
      <c r="M91">
        <v>55.346113952980581</v>
      </c>
      <c r="N91">
        <f t="shared" si="8"/>
        <v>1</v>
      </c>
      <c r="O91">
        <f t="shared" si="9"/>
        <v>1</v>
      </c>
      <c r="P91">
        <f t="shared" si="10"/>
        <v>3</v>
      </c>
    </row>
    <row r="92" spans="1:16" x14ac:dyDescent="0.4">
      <c r="A92" t="s">
        <v>348</v>
      </c>
      <c r="B92" t="s">
        <v>349</v>
      </c>
      <c r="C92" t="s">
        <v>40</v>
      </c>
      <c r="D92" s="1">
        <v>38687</v>
      </c>
      <c r="E92">
        <v>2</v>
      </c>
      <c r="F92">
        <v>1</v>
      </c>
      <c r="G92">
        <v>3</v>
      </c>
      <c r="H92">
        <v>323</v>
      </c>
      <c r="I92">
        <v>160</v>
      </c>
      <c r="J92">
        <v>836</v>
      </c>
      <c r="K92">
        <v>50.047762981820725</v>
      </c>
      <c r="L92">
        <v>89.920948616600796</v>
      </c>
      <c r="M92">
        <v>68.448286717037334</v>
      </c>
      <c r="N92">
        <f t="shared" si="8"/>
        <v>3</v>
      </c>
      <c r="O92">
        <f t="shared" si="9"/>
        <v>3</v>
      </c>
      <c r="P92">
        <f t="shared" si="10"/>
        <v>3</v>
      </c>
    </row>
    <row r="93" spans="1:16" x14ac:dyDescent="0.4">
      <c r="A93" t="s">
        <v>350</v>
      </c>
      <c r="B93" t="s">
        <v>351</v>
      </c>
      <c r="C93" t="s">
        <v>40</v>
      </c>
      <c r="D93" s="1">
        <v>38705</v>
      </c>
      <c r="E93">
        <v>2</v>
      </c>
      <c r="F93">
        <v>1</v>
      </c>
      <c r="G93">
        <v>3</v>
      </c>
      <c r="H93">
        <v>323</v>
      </c>
      <c r="I93">
        <v>160</v>
      </c>
      <c r="J93">
        <v>836</v>
      </c>
      <c r="K93">
        <v>42.925924758795823</v>
      </c>
      <c r="L93">
        <v>61.857707509881422</v>
      </c>
      <c r="M93">
        <v>63.336812802368684</v>
      </c>
      <c r="N93">
        <f t="shared" si="8"/>
        <v>2</v>
      </c>
      <c r="O93">
        <f t="shared" si="9"/>
        <v>3</v>
      </c>
      <c r="P93">
        <f t="shared" si="10"/>
        <v>3</v>
      </c>
    </row>
    <row r="94" spans="1:16" x14ac:dyDescent="0.4">
      <c r="A94" t="s">
        <v>760</v>
      </c>
      <c r="B94" t="s">
        <v>761</v>
      </c>
      <c r="C94" t="s">
        <v>40</v>
      </c>
      <c r="D94" s="1">
        <v>38709</v>
      </c>
      <c r="E94">
        <v>2</v>
      </c>
      <c r="F94">
        <v>1</v>
      </c>
      <c r="G94">
        <v>3</v>
      </c>
      <c r="H94">
        <v>323</v>
      </c>
      <c r="I94">
        <v>160</v>
      </c>
      <c r="J94">
        <v>836</v>
      </c>
      <c r="K94">
        <v>54.940385385977486</v>
      </c>
      <c r="L94">
        <v>51.581027667984188</v>
      </c>
      <c r="M94">
        <v>63.253394633711338</v>
      </c>
      <c r="N94">
        <f t="shared" si="8"/>
        <v>3</v>
      </c>
      <c r="O94">
        <f t="shared" si="9"/>
        <v>3</v>
      </c>
      <c r="P94">
        <f t="shared" si="10"/>
        <v>3</v>
      </c>
    </row>
    <row r="95" spans="1:16" x14ac:dyDescent="0.4">
      <c r="A95" t="s">
        <v>55</v>
      </c>
      <c r="B95" t="s">
        <v>56</v>
      </c>
      <c r="C95" t="s">
        <v>40</v>
      </c>
      <c r="D95" s="1">
        <v>38714</v>
      </c>
      <c r="E95">
        <v>2</v>
      </c>
      <c r="F95">
        <v>1</v>
      </c>
      <c r="G95">
        <v>3</v>
      </c>
      <c r="H95">
        <v>323</v>
      </c>
      <c r="I95">
        <v>160</v>
      </c>
      <c r="J95">
        <v>836</v>
      </c>
      <c r="K95">
        <v>5.2972637323523468</v>
      </c>
      <c r="L95">
        <v>29.446640316205539</v>
      </c>
      <c r="M95">
        <v>57.043577959720302</v>
      </c>
      <c r="N95">
        <f t="shared" si="8"/>
        <v>1</v>
      </c>
      <c r="O95">
        <f t="shared" si="9"/>
        <v>1</v>
      </c>
      <c r="P95">
        <f t="shared" si="10"/>
        <v>3</v>
      </c>
    </row>
    <row r="96" spans="1:16" x14ac:dyDescent="0.4">
      <c r="A96" t="s">
        <v>762</v>
      </c>
      <c r="B96" t="s">
        <v>763</v>
      </c>
      <c r="C96" t="s">
        <v>40</v>
      </c>
      <c r="D96" s="1">
        <v>38728</v>
      </c>
      <c r="E96">
        <v>2</v>
      </c>
      <c r="F96">
        <v>1</v>
      </c>
      <c r="G96">
        <v>3</v>
      </c>
      <c r="H96">
        <v>323</v>
      </c>
      <c r="I96">
        <v>160</v>
      </c>
      <c r="J96">
        <v>836</v>
      </c>
      <c r="K96">
        <v>75.680250970473452</v>
      </c>
      <c r="L96">
        <v>89.723320158102766</v>
      </c>
      <c r="M96">
        <v>51.352963621320313</v>
      </c>
      <c r="N96">
        <f t="shared" si="8"/>
        <v>3</v>
      </c>
      <c r="O96">
        <f t="shared" si="9"/>
        <v>3</v>
      </c>
      <c r="P96">
        <f t="shared" si="10"/>
        <v>3</v>
      </c>
    </row>
    <row r="97" spans="1:16" x14ac:dyDescent="0.4">
      <c r="A97" t="s">
        <v>764</v>
      </c>
      <c r="B97" t="s">
        <v>765</v>
      </c>
      <c r="C97" t="s">
        <v>40</v>
      </c>
      <c r="D97" s="1">
        <v>38737</v>
      </c>
      <c r="E97">
        <v>2</v>
      </c>
      <c r="F97">
        <v>1</v>
      </c>
      <c r="G97">
        <v>3</v>
      </c>
      <c r="H97">
        <v>323</v>
      </c>
      <c r="I97">
        <v>160</v>
      </c>
      <c r="J97">
        <v>836</v>
      </c>
      <c r="K97">
        <v>54.320976812128769</v>
      </c>
      <c r="L97">
        <v>90.909090909090907</v>
      </c>
      <c r="M97">
        <v>68.663046774696085</v>
      </c>
      <c r="N97">
        <f t="shared" si="8"/>
        <v>3</v>
      </c>
      <c r="O97">
        <f t="shared" si="9"/>
        <v>3</v>
      </c>
      <c r="P97">
        <f t="shared" si="10"/>
        <v>3</v>
      </c>
    </row>
    <row r="98" spans="1:16" x14ac:dyDescent="0.4">
      <c r="A98" t="s">
        <v>766</v>
      </c>
      <c r="B98" t="s">
        <v>767</v>
      </c>
      <c r="C98" t="s">
        <v>40</v>
      </c>
      <c r="D98" s="1">
        <v>38743</v>
      </c>
      <c r="E98">
        <v>2</v>
      </c>
      <c r="F98">
        <v>1</v>
      </c>
      <c r="G98">
        <v>3</v>
      </c>
      <c r="H98">
        <v>323</v>
      </c>
      <c r="I98">
        <v>160</v>
      </c>
      <c r="J98">
        <v>836</v>
      </c>
      <c r="K98">
        <v>67.81235831207961</v>
      </c>
      <c r="L98">
        <v>16.798418972332016</v>
      </c>
      <c r="M98">
        <v>39.444982889477274</v>
      </c>
      <c r="N98">
        <f t="shared" si="8"/>
        <v>3</v>
      </c>
      <c r="O98">
        <f t="shared" si="9"/>
        <v>1</v>
      </c>
      <c r="P98">
        <f t="shared" si="10"/>
        <v>2</v>
      </c>
    </row>
    <row r="99" spans="1:16" x14ac:dyDescent="0.4">
      <c r="A99" t="s">
        <v>474</v>
      </c>
      <c r="B99" t="s">
        <v>475</v>
      </c>
      <c r="C99" t="s">
        <v>40</v>
      </c>
      <c r="D99" s="1">
        <v>38793</v>
      </c>
      <c r="E99">
        <v>2</v>
      </c>
      <c r="F99">
        <v>1</v>
      </c>
      <c r="G99">
        <v>3</v>
      </c>
      <c r="H99">
        <v>323</v>
      </c>
      <c r="I99">
        <v>160</v>
      </c>
      <c r="J99">
        <v>836</v>
      </c>
      <c r="K99">
        <v>79.16325496360821</v>
      </c>
      <c r="L99">
        <v>95.652173913043484</v>
      </c>
      <c r="M99">
        <v>28.18926207895548</v>
      </c>
      <c r="N99">
        <f t="shared" si="8"/>
        <v>3</v>
      </c>
      <c r="O99">
        <f t="shared" si="9"/>
        <v>3</v>
      </c>
      <c r="P99">
        <f t="shared" si="10"/>
        <v>1</v>
      </c>
    </row>
    <row r="100" spans="1:16" x14ac:dyDescent="0.4">
      <c r="A100" t="s">
        <v>252</v>
      </c>
      <c r="B100" t="s">
        <v>253</v>
      </c>
      <c r="C100" t="s">
        <v>40</v>
      </c>
      <c r="D100" s="1">
        <v>38800</v>
      </c>
      <c r="E100">
        <v>2</v>
      </c>
      <c r="F100">
        <v>1</v>
      </c>
      <c r="G100">
        <v>3</v>
      </c>
      <c r="H100">
        <v>323</v>
      </c>
      <c r="I100">
        <v>160</v>
      </c>
      <c r="J100">
        <v>836</v>
      </c>
      <c r="K100">
        <v>44.683968241586285</v>
      </c>
      <c r="L100">
        <v>66.996047430830046</v>
      </c>
      <c r="M100">
        <v>49.542701958172948</v>
      </c>
      <c r="N100">
        <f t="shared" si="8"/>
        <v>2</v>
      </c>
      <c r="O100">
        <f t="shared" si="9"/>
        <v>3</v>
      </c>
      <c r="P100">
        <f t="shared" si="10"/>
        <v>2</v>
      </c>
    </row>
    <row r="101" spans="1:16" x14ac:dyDescent="0.4">
      <c r="A101" t="s">
        <v>254</v>
      </c>
      <c r="B101" t="s">
        <v>255</v>
      </c>
      <c r="C101" t="s">
        <v>40</v>
      </c>
      <c r="D101" s="1">
        <v>38813</v>
      </c>
      <c r="E101">
        <v>2</v>
      </c>
      <c r="F101">
        <v>1</v>
      </c>
      <c r="G101">
        <v>3</v>
      </c>
      <c r="H101">
        <v>323</v>
      </c>
      <c r="I101">
        <v>160</v>
      </c>
      <c r="J101">
        <v>836</v>
      </c>
      <c r="K101">
        <v>24.689371862632306</v>
      </c>
      <c r="L101">
        <v>79.644268774703562</v>
      </c>
      <c r="M101">
        <v>68.444032053561898</v>
      </c>
      <c r="N101">
        <f t="shared" si="8"/>
        <v>1</v>
      </c>
      <c r="O101">
        <f t="shared" si="9"/>
        <v>3</v>
      </c>
      <c r="P101">
        <f t="shared" si="10"/>
        <v>3</v>
      </c>
    </row>
    <row r="102" spans="1:16" x14ac:dyDescent="0.4">
      <c r="A102" t="s">
        <v>768</v>
      </c>
      <c r="B102" t="s">
        <v>769</v>
      </c>
      <c r="C102" t="s">
        <v>40</v>
      </c>
      <c r="D102" s="1">
        <v>38826</v>
      </c>
      <c r="E102">
        <v>2</v>
      </c>
      <c r="F102">
        <v>1</v>
      </c>
      <c r="G102">
        <v>3</v>
      </c>
      <c r="H102">
        <v>323</v>
      </c>
      <c r="I102">
        <v>160</v>
      </c>
      <c r="J102">
        <v>836</v>
      </c>
      <c r="K102">
        <v>58.451395909606951</v>
      </c>
      <c r="L102">
        <v>97.826086956521735</v>
      </c>
      <c r="M102">
        <v>72.204559279417523</v>
      </c>
      <c r="N102">
        <f t="shared" si="8"/>
        <v>3</v>
      </c>
      <c r="O102">
        <f t="shared" si="9"/>
        <v>3</v>
      </c>
      <c r="P102">
        <f t="shared" si="10"/>
        <v>3</v>
      </c>
    </row>
    <row r="103" spans="1:16" x14ac:dyDescent="0.4">
      <c r="A103" t="s">
        <v>476</v>
      </c>
      <c r="B103" t="s">
        <v>477</v>
      </c>
      <c r="C103" t="s">
        <v>203</v>
      </c>
      <c r="D103" s="1">
        <v>38833</v>
      </c>
      <c r="E103">
        <v>2</v>
      </c>
      <c r="F103">
        <v>1</v>
      </c>
      <c r="G103">
        <v>3</v>
      </c>
      <c r="H103">
        <v>323</v>
      </c>
      <c r="I103">
        <v>160</v>
      </c>
      <c r="J103">
        <v>836</v>
      </c>
      <c r="K103">
        <v>96.544891640866879</v>
      </c>
      <c r="L103">
        <v>4.5454545454545459</v>
      </c>
      <c r="M103">
        <v>59.562732589048387</v>
      </c>
      <c r="N103">
        <f t="shared" si="8"/>
        <v>3</v>
      </c>
      <c r="O103">
        <f t="shared" si="9"/>
        <v>1</v>
      </c>
      <c r="P103">
        <f t="shared" si="10"/>
        <v>3</v>
      </c>
    </row>
    <row r="104" spans="1:16" x14ac:dyDescent="0.4">
      <c r="A104" t="s">
        <v>256</v>
      </c>
      <c r="B104" t="s">
        <v>257</v>
      </c>
      <c r="C104" t="s">
        <v>40</v>
      </c>
      <c r="D104" s="1">
        <v>38836</v>
      </c>
      <c r="E104">
        <v>2</v>
      </c>
      <c r="F104">
        <v>1</v>
      </c>
      <c r="G104">
        <v>3</v>
      </c>
      <c r="H104">
        <v>323</v>
      </c>
      <c r="I104">
        <v>160</v>
      </c>
      <c r="J104">
        <v>836</v>
      </c>
      <c r="K104">
        <v>41.250764350634732</v>
      </c>
      <c r="L104">
        <v>50</v>
      </c>
      <c r="M104">
        <v>59.60547128181981</v>
      </c>
      <c r="N104">
        <f t="shared" si="8"/>
        <v>2</v>
      </c>
      <c r="O104">
        <f t="shared" si="9"/>
        <v>3</v>
      </c>
      <c r="P104">
        <f t="shared" si="10"/>
        <v>3</v>
      </c>
    </row>
    <row r="105" spans="1:16" x14ac:dyDescent="0.4">
      <c r="A105" t="s">
        <v>770</v>
      </c>
      <c r="B105" t="s">
        <v>771</v>
      </c>
      <c r="C105" t="s">
        <v>40</v>
      </c>
      <c r="D105" s="1">
        <v>38837</v>
      </c>
      <c r="E105">
        <v>2</v>
      </c>
      <c r="F105">
        <v>1</v>
      </c>
      <c r="G105">
        <v>3</v>
      </c>
      <c r="H105">
        <v>323</v>
      </c>
      <c r="I105">
        <v>160</v>
      </c>
      <c r="J105">
        <v>836</v>
      </c>
      <c r="K105">
        <v>38.267331838985868</v>
      </c>
      <c r="L105">
        <v>96.047430830039531</v>
      </c>
      <c r="M105">
        <v>50.718898700272909</v>
      </c>
      <c r="N105">
        <f t="shared" si="8"/>
        <v>2</v>
      </c>
      <c r="O105">
        <f t="shared" si="9"/>
        <v>3</v>
      </c>
      <c r="P105">
        <f t="shared" si="10"/>
        <v>3</v>
      </c>
    </row>
    <row r="106" spans="1:16" x14ac:dyDescent="0.4">
      <c r="A106" t="s">
        <v>352</v>
      </c>
      <c r="B106" t="s">
        <v>353</v>
      </c>
      <c r="C106" t="s">
        <v>40</v>
      </c>
      <c r="D106" s="1">
        <v>38849</v>
      </c>
      <c r="E106">
        <v>2</v>
      </c>
      <c r="F106">
        <v>1</v>
      </c>
      <c r="G106">
        <v>3</v>
      </c>
      <c r="H106">
        <v>323</v>
      </c>
      <c r="I106">
        <v>160</v>
      </c>
      <c r="J106">
        <v>836</v>
      </c>
      <c r="K106">
        <v>60.456504380669777</v>
      </c>
      <c r="L106">
        <v>38.339920948616601</v>
      </c>
      <c r="M106">
        <v>58.735829132507895</v>
      </c>
      <c r="N106">
        <f t="shared" si="8"/>
        <v>3</v>
      </c>
      <c r="O106">
        <f t="shared" si="9"/>
        <v>2</v>
      </c>
      <c r="P106">
        <f t="shared" si="10"/>
        <v>3</v>
      </c>
    </row>
    <row r="107" spans="1:16" x14ac:dyDescent="0.4">
      <c r="A107" t="s">
        <v>772</v>
      </c>
      <c r="B107" t="s">
        <v>773</v>
      </c>
      <c r="C107" t="s">
        <v>40</v>
      </c>
      <c r="D107" s="1">
        <v>38854</v>
      </c>
      <c r="E107">
        <v>2</v>
      </c>
      <c r="F107">
        <v>1</v>
      </c>
      <c r="G107">
        <v>3</v>
      </c>
      <c r="H107">
        <v>323</v>
      </c>
      <c r="I107">
        <v>160</v>
      </c>
      <c r="J107">
        <v>836</v>
      </c>
      <c r="K107">
        <v>83.981955556336203</v>
      </c>
      <c r="L107">
        <v>64.822134387351781</v>
      </c>
      <c r="M107">
        <v>47.044945343823471</v>
      </c>
      <c r="N107">
        <f t="shared" si="8"/>
        <v>3</v>
      </c>
      <c r="O107">
        <f t="shared" si="9"/>
        <v>3</v>
      </c>
      <c r="P107">
        <f t="shared" si="10"/>
        <v>2</v>
      </c>
    </row>
    <row r="108" spans="1:16" x14ac:dyDescent="0.4">
      <c r="A108" t="s">
        <v>774</v>
      </c>
      <c r="B108" t="s">
        <v>775</v>
      </c>
      <c r="C108" t="s">
        <v>40</v>
      </c>
      <c r="D108" s="1">
        <v>38877</v>
      </c>
      <c r="E108">
        <v>2</v>
      </c>
      <c r="F108">
        <v>1</v>
      </c>
      <c r="G108">
        <v>3</v>
      </c>
      <c r="H108">
        <v>323</v>
      </c>
      <c r="I108">
        <v>160</v>
      </c>
      <c r="J108">
        <v>836</v>
      </c>
      <c r="K108">
        <v>47.901619657057758</v>
      </c>
      <c r="L108">
        <v>44.466403162055336</v>
      </c>
      <c r="M108">
        <v>51.702144747297162</v>
      </c>
      <c r="N108">
        <f t="shared" si="8"/>
        <v>2</v>
      </c>
      <c r="O108">
        <f t="shared" si="9"/>
        <v>2</v>
      </c>
      <c r="P108">
        <f t="shared" si="10"/>
        <v>3</v>
      </c>
    </row>
    <row r="109" spans="1:16" x14ac:dyDescent="0.4">
      <c r="A109" t="s">
        <v>478</v>
      </c>
      <c r="B109" t="s">
        <v>479</v>
      </c>
      <c r="C109" t="s">
        <v>40</v>
      </c>
      <c r="D109" s="1">
        <v>38881</v>
      </c>
      <c r="E109">
        <v>2</v>
      </c>
      <c r="F109">
        <v>1</v>
      </c>
      <c r="G109">
        <v>3</v>
      </c>
      <c r="H109">
        <v>323</v>
      </c>
      <c r="I109">
        <v>160</v>
      </c>
      <c r="J109">
        <v>836</v>
      </c>
      <c r="K109">
        <v>55.343659449956839</v>
      </c>
      <c r="L109">
        <v>51.185770750988141</v>
      </c>
      <c r="M109">
        <v>42.935117647297375</v>
      </c>
      <c r="N109">
        <f t="shared" si="8"/>
        <v>3</v>
      </c>
      <c r="O109">
        <f t="shared" si="9"/>
        <v>3</v>
      </c>
      <c r="P109">
        <f t="shared" si="10"/>
        <v>2</v>
      </c>
    </row>
    <row r="110" spans="1:16" x14ac:dyDescent="0.4">
      <c r="A110" t="s">
        <v>78</v>
      </c>
      <c r="B110" t="s">
        <v>79</v>
      </c>
      <c r="C110" t="s">
        <v>40</v>
      </c>
      <c r="D110" s="1">
        <v>38882</v>
      </c>
      <c r="E110">
        <v>2</v>
      </c>
      <c r="F110">
        <v>1</v>
      </c>
      <c r="G110">
        <v>3</v>
      </c>
      <c r="H110">
        <v>323</v>
      </c>
      <c r="I110">
        <v>160</v>
      </c>
      <c r="J110">
        <v>836</v>
      </c>
      <c r="K110">
        <v>24.447369540349538</v>
      </c>
      <c r="L110">
        <v>24.505928853754941</v>
      </c>
      <c r="M110">
        <v>36.784567936154211</v>
      </c>
      <c r="N110">
        <f t="shared" si="8"/>
        <v>1</v>
      </c>
      <c r="O110">
        <f t="shared" si="9"/>
        <v>1</v>
      </c>
      <c r="P110">
        <f t="shared" si="10"/>
        <v>2</v>
      </c>
    </row>
    <row r="111" spans="1:16" x14ac:dyDescent="0.4">
      <c r="A111" t="s">
        <v>480</v>
      </c>
      <c r="B111" t="s">
        <v>481</v>
      </c>
      <c r="C111" t="s">
        <v>64</v>
      </c>
      <c r="D111" s="1">
        <v>38882</v>
      </c>
      <c r="E111">
        <v>2</v>
      </c>
      <c r="F111">
        <v>1</v>
      </c>
      <c r="G111">
        <v>3</v>
      </c>
      <c r="H111">
        <v>323</v>
      </c>
      <c r="I111">
        <v>160</v>
      </c>
      <c r="J111">
        <v>836</v>
      </c>
      <c r="K111">
        <v>92.861985755629846</v>
      </c>
      <c r="L111">
        <v>1.4778325123152709</v>
      </c>
      <c r="M111">
        <v>16.289416766771605</v>
      </c>
      <c r="N111">
        <f t="shared" si="8"/>
        <v>3</v>
      </c>
      <c r="O111">
        <f t="shared" si="9"/>
        <v>1</v>
      </c>
      <c r="P111">
        <f t="shared" si="10"/>
        <v>1</v>
      </c>
    </row>
    <row r="112" spans="1:16" x14ac:dyDescent="0.4">
      <c r="A112" t="s">
        <v>258</v>
      </c>
      <c r="B112" t="s">
        <v>259</v>
      </c>
      <c r="C112" t="s">
        <v>40</v>
      </c>
      <c r="D112" s="1">
        <v>38883</v>
      </c>
      <c r="E112">
        <v>2</v>
      </c>
      <c r="F112">
        <v>1</v>
      </c>
      <c r="G112">
        <v>3</v>
      </c>
      <c r="H112">
        <v>323</v>
      </c>
      <c r="I112">
        <v>160</v>
      </c>
      <c r="J112">
        <v>836</v>
      </c>
      <c r="K112">
        <v>32.470496625147639</v>
      </c>
      <c r="L112">
        <v>74.901185770750985</v>
      </c>
      <c r="M112">
        <v>73.760965043408987</v>
      </c>
      <c r="N112">
        <f t="shared" si="8"/>
        <v>2</v>
      </c>
      <c r="O112">
        <f t="shared" si="9"/>
        <v>3</v>
      </c>
      <c r="P112">
        <f t="shared" si="10"/>
        <v>3</v>
      </c>
    </row>
    <row r="113" spans="1:16" x14ac:dyDescent="0.4">
      <c r="A113" t="s">
        <v>776</v>
      </c>
      <c r="B113" t="s">
        <v>777</v>
      </c>
      <c r="C113" t="s">
        <v>40</v>
      </c>
      <c r="D113" s="1">
        <v>38896</v>
      </c>
      <c r="E113">
        <v>2</v>
      </c>
      <c r="F113">
        <v>1</v>
      </c>
      <c r="G113">
        <v>3</v>
      </c>
      <c r="H113">
        <v>323</v>
      </c>
      <c r="I113">
        <v>160</v>
      </c>
      <c r="J113">
        <v>836</v>
      </c>
      <c r="K113">
        <v>54.029363807138594</v>
      </c>
      <c r="L113">
        <v>1.5810276679841897</v>
      </c>
      <c r="M113">
        <v>38.00460682444659</v>
      </c>
      <c r="N113">
        <f t="shared" si="8"/>
        <v>3</v>
      </c>
      <c r="O113">
        <f t="shared" si="9"/>
        <v>1</v>
      </c>
      <c r="P113">
        <f t="shared" si="10"/>
        <v>2</v>
      </c>
    </row>
    <row r="114" spans="1:16" x14ac:dyDescent="0.4">
      <c r="A114" t="s">
        <v>778</v>
      </c>
      <c r="B114" t="s">
        <v>779</v>
      </c>
      <c r="C114" t="s">
        <v>40</v>
      </c>
      <c r="D114" s="1">
        <v>38911</v>
      </c>
      <c r="E114">
        <v>2</v>
      </c>
      <c r="F114">
        <v>1</v>
      </c>
      <c r="G114">
        <v>3</v>
      </c>
      <c r="H114">
        <v>323</v>
      </c>
      <c r="I114">
        <v>160</v>
      </c>
      <c r="J114">
        <v>836</v>
      </c>
      <c r="K114">
        <v>60.720489694116822</v>
      </c>
      <c r="L114">
        <v>73.122529644268781</v>
      </c>
      <c r="M114">
        <v>68.599415539504534</v>
      </c>
      <c r="N114">
        <f t="shared" si="8"/>
        <v>3</v>
      </c>
      <c r="O114">
        <f t="shared" si="9"/>
        <v>3</v>
      </c>
      <c r="P114">
        <f t="shared" si="10"/>
        <v>3</v>
      </c>
    </row>
    <row r="115" spans="1:16" x14ac:dyDescent="0.4">
      <c r="A115" t="s">
        <v>93</v>
      </c>
      <c r="B115" t="s">
        <v>94</v>
      </c>
      <c r="C115" t="s">
        <v>40</v>
      </c>
      <c r="D115" s="1">
        <v>38916</v>
      </c>
      <c r="E115">
        <v>2</v>
      </c>
      <c r="F115">
        <v>1</v>
      </c>
      <c r="G115">
        <v>3</v>
      </c>
      <c r="H115">
        <v>323</v>
      </c>
      <c r="I115">
        <v>160</v>
      </c>
      <c r="J115">
        <v>836</v>
      </c>
      <c r="K115">
        <v>27.020326603948153</v>
      </c>
      <c r="L115">
        <v>18.972332015810277</v>
      </c>
      <c r="M115">
        <v>43.409638148699592</v>
      </c>
      <c r="N115">
        <f t="shared" si="8"/>
        <v>1</v>
      </c>
      <c r="O115">
        <f t="shared" si="9"/>
        <v>1</v>
      </c>
      <c r="P115">
        <f t="shared" si="10"/>
        <v>2</v>
      </c>
    </row>
    <row r="116" spans="1:16" x14ac:dyDescent="0.4">
      <c r="A116" t="s">
        <v>780</v>
      </c>
      <c r="B116" t="s">
        <v>781</v>
      </c>
      <c r="C116" t="s">
        <v>40</v>
      </c>
      <c r="D116" s="1">
        <v>38919</v>
      </c>
      <c r="E116">
        <v>2</v>
      </c>
      <c r="F116">
        <v>1</v>
      </c>
      <c r="G116">
        <v>3</v>
      </c>
      <c r="H116">
        <v>323</v>
      </c>
      <c r="I116">
        <v>160</v>
      </c>
      <c r="J116">
        <v>836</v>
      </c>
      <c r="K116">
        <v>60.011010437529713</v>
      </c>
      <c r="L116">
        <v>81.22529644268775</v>
      </c>
      <c r="M116">
        <v>57.049608674856962</v>
      </c>
      <c r="N116">
        <f t="shared" si="8"/>
        <v>3</v>
      </c>
      <c r="O116">
        <f t="shared" si="9"/>
        <v>3</v>
      </c>
      <c r="P116">
        <f t="shared" si="10"/>
        <v>3</v>
      </c>
    </row>
    <row r="117" spans="1:16" x14ac:dyDescent="0.4">
      <c r="A117" t="s">
        <v>482</v>
      </c>
      <c r="B117" t="s">
        <v>483</v>
      </c>
      <c r="C117" t="s">
        <v>203</v>
      </c>
      <c r="D117" s="1">
        <v>38923</v>
      </c>
      <c r="E117">
        <v>2</v>
      </c>
      <c r="F117">
        <v>1</v>
      </c>
      <c r="G117">
        <v>3</v>
      </c>
      <c r="H117">
        <v>323</v>
      </c>
      <c r="I117">
        <v>160</v>
      </c>
      <c r="J117">
        <v>836</v>
      </c>
      <c r="K117">
        <v>89.784657722738217</v>
      </c>
      <c r="L117">
        <v>50</v>
      </c>
      <c r="M117">
        <v>25.381204388381423</v>
      </c>
      <c r="N117">
        <f t="shared" si="8"/>
        <v>3</v>
      </c>
      <c r="O117">
        <f t="shared" si="9"/>
        <v>3</v>
      </c>
      <c r="P117">
        <f t="shared" si="10"/>
        <v>1</v>
      </c>
    </row>
    <row r="118" spans="1:16" x14ac:dyDescent="0.4">
      <c r="A118" t="s">
        <v>484</v>
      </c>
      <c r="B118" t="s">
        <v>485</v>
      </c>
      <c r="C118" t="s">
        <v>40</v>
      </c>
      <c r="D118" s="1">
        <v>38936</v>
      </c>
      <c r="E118">
        <v>2</v>
      </c>
      <c r="F118">
        <v>1</v>
      </c>
      <c r="G118">
        <v>3</v>
      </c>
      <c r="H118">
        <v>323</v>
      </c>
      <c r="I118">
        <v>160</v>
      </c>
      <c r="J118">
        <v>836</v>
      </c>
      <c r="K118">
        <v>74.944700706035263</v>
      </c>
      <c r="L118">
        <v>59.090909090909101</v>
      </c>
      <c r="M118">
        <v>43.437671290351695</v>
      </c>
      <c r="N118">
        <f t="shared" si="8"/>
        <v>3</v>
      </c>
      <c r="O118">
        <f t="shared" si="9"/>
        <v>3</v>
      </c>
      <c r="P118">
        <f t="shared" si="10"/>
        <v>2</v>
      </c>
    </row>
    <row r="119" spans="1:16" x14ac:dyDescent="0.4">
      <c r="A119" t="s">
        <v>782</v>
      </c>
      <c r="B119" t="s">
        <v>783</v>
      </c>
      <c r="C119" t="s">
        <v>64</v>
      </c>
      <c r="D119" s="1">
        <v>38938</v>
      </c>
      <c r="E119">
        <v>2</v>
      </c>
      <c r="F119">
        <v>1</v>
      </c>
      <c r="G119">
        <v>3</v>
      </c>
      <c r="H119">
        <v>323</v>
      </c>
      <c r="I119">
        <v>160</v>
      </c>
      <c r="J119">
        <v>836</v>
      </c>
      <c r="K119">
        <v>80.909053000655248</v>
      </c>
      <c r="L119">
        <v>87.684729064039402</v>
      </c>
      <c r="M119">
        <v>49.883632884848964</v>
      </c>
      <c r="N119">
        <f t="shared" si="8"/>
        <v>3</v>
      </c>
      <c r="O119">
        <f t="shared" si="9"/>
        <v>3</v>
      </c>
      <c r="P119">
        <f t="shared" si="10"/>
        <v>2</v>
      </c>
    </row>
    <row r="120" spans="1:16" x14ac:dyDescent="0.4">
      <c r="A120" t="s">
        <v>260</v>
      </c>
      <c r="B120" t="s">
        <v>261</v>
      </c>
      <c r="C120" t="s">
        <v>203</v>
      </c>
      <c r="D120" s="1">
        <v>38943</v>
      </c>
      <c r="E120">
        <v>2</v>
      </c>
      <c r="F120">
        <v>1</v>
      </c>
      <c r="G120">
        <v>3</v>
      </c>
      <c r="H120">
        <v>323</v>
      </c>
      <c r="I120">
        <v>160</v>
      </c>
      <c r="J120">
        <v>836</v>
      </c>
      <c r="K120">
        <v>24.03577571379429</v>
      </c>
      <c r="L120">
        <v>22.727272727272727</v>
      </c>
      <c r="M120">
        <v>46.336571456188679</v>
      </c>
      <c r="N120">
        <f t="shared" si="8"/>
        <v>1</v>
      </c>
      <c r="O120">
        <f t="shared" si="9"/>
        <v>1</v>
      </c>
      <c r="P120">
        <f t="shared" si="10"/>
        <v>2</v>
      </c>
    </row>
    <row r="121" spans="1:16" x14ac:dyDescent="0.4">
      <c r="A121" t="s">
        <v>784</v>
      </c>
      <c r="B121" t="s">
        <v>785</v>
      </c>
      <c r="C121" t="s">
        <v>40</v>
      </c>
      <c r="D121" s="1">
        <v>38945</v>
      </c>
      <c r="E121">
        <v>2</v>
      </c>
      <c r="F121">
        <v>1</v>
      </c>
      <c r="G121">
        <v>3</v>
      </c>
      <c r="H121">
        <v>323</v>
      </c>
      <c r="I121">
        <v>160</v>
      </c>
      <c r="J121">
        <v>836</v>
      </c>
      <c r="K121">
        <v>44.669376053968712</v>
      </c>
      <c r="L121">
        <v>47.035573122529641</v>
      </c>
      <c r="M121">
        <v>77.78067319788083</v>
      </c>
      <c r="N121">
        <f t="shared" si="8"/>
        <v>2</v>
      </c>
      <c r="O121">
        <f t="shared" si="9"/>
        <v>2</v>
      </c>
      <c r="P121">
        <f t="shared" si="10"/>
        <v>3</v>
      </c>
    </row>
    <row r="122" spans="1:16" x14ac:dyDescent="0.4">
      <c r="A122" t="s">
        <v>786</v>
      </c>
      <c r="B122" t="s">
        <v>787</v>
      </c>
      <c r="C122" t="s">
        <v>64</v>
      </c>
      <c r="D122" s="1">
        <v>38951</v>
      </c>
      <c r="E122">
        <v>2</v>
      </c>
      <c r="F122">
        <v>1</v>
      </c>
      <c r="G122">
        <v>3</v>
      </c>
      <c r="H122">
        <v>323</v>
      </c>
      <c r="I122">
        <v>160</v>
      </c>
      <c r="J122">
        <v>836</v>
      </c>
      <c r="K122">
        <v>68.461159927780812</v>
      </c>
      <c r="L122">
        <v>78.899835796387521</v>
      </c>
      <c r="M122">
        <v>36.875753480754746</v>
      </c>
      <c r="N122">
        <f t="shared" si="8"/>
        <v>3</v>
      </c>
      <c r="O122">
        <f t="shared" si="9"/>
        <v>3</v>
      </c>
      <c r="P122">
        <f t="shared" si="10"/>
        <v>2</v>
      </c>
    </row>
    <row r="123" spans="1:16" x14ac:dyDescent="0.4">
      <c r="A123" t="s">
        <v>262</v>
      </c>
      <c r="B123" t="s">
        <v>263</v>
      </c>
      <c r="C123" t="s">
        <v>40</v>
      </c>
      <c r="D123" s="1">
        <v>38966</v>
      </c>
      <c r="E123">
        <v>2</v>
      </c>
      <c r="F123">
        <v>1</v>
      </c>
      <c r="G123">
        <v>3</v>
      </c>
      <c r="H123">
        <v>323</v>
      </c>
      <c r="I123">
        <v>160</v>
      </c>
      <c r="J123">
        <v>836</v>
      </c>
      <c r="K123">
        <v>35.311527018880135</v>
      </c>
      <c r="L123">
        <v>72.727272727272734</v>
      </c>
      <c r="M123">
        <v>59.596799750988204</v>
      </c>
      <c r="N123">
        <f t="shared" si="8"/>
        <v>2</v>
      </c>
      <c r="O123">
        <f t="shared" si="9"/>
        <v>3</v>
      </c>
      <c r="P123">
        <f t="shared" si="10"/>
        <v>3</v>
      </c>
    </row>
    <row r="124" spans="1:16" x14ac:dyDescent="0.4">
      <c r="A124" t="s">
        <v>185</v>
      </c>
      <c r="B124" t="s">
        <v>186</v>
      </c>
      <c r="C124" t="s">
        <v>40</v>
      </c>
      <c r="D124" s="1">
        <v>38968</v>
      </c>
      <c r="E124">
        <v>2</v>
      </c>
      <c r="F124">
        <v>1</v>
      </c>
      <c r="G124">
        <v>3</v>
      </c>
      <c r="H124">
        <v>323</v>
      </c>
      <c r="I124">
        <v>160</v>
      </c>
      <c r="J124">
        <v>836</v>
      </c>
      <c r="K124">
        <v>25.556427459142654</v>
      </c>
      <c r="L124">
        <v>62.055335968379453</v>
      </c>
      <c r="M124">
        <v>39.553817993096935</v>
      </c>
      <c r="N124">
        <f t="shared" si="8"/>
        <v>1</v>
      </c>
      <c r="O124">
        <f t="shared" si="9"/>
        <v>3</v>
      </c>
      <c r="P124">
        <f t="shared" si="10"/>
        <v>2</v>
      </c>
    </row>
    <row r="125" spans="1:16" x14ac:dyDescent="0.4">
      <c r="A125" t="s">
        <v>354</v>
      </c>
      <c r="B125" t="s">
        <v>355</v>
      </c>
      <c r="C125" t="s">
        <v>40</v>
      </c>
      <c r="D125" s="1">
        <v>38974</v>
      </c>
      <c r="E125">
        <v>2</v>
      </c>
      <c r="F125">
        <v>1</v>
      </c>
      <c r="G125">
        <v>3</v>
      </c>
      <c r="H125">
        <v>323</v>
      </c>
      <c r="I125">
        <v>160</v>
      </c>
      <c r="J125">
        <v>836</v>
      </c>
      <c r="K125">
        <v>65.10984521501436</v>
      </c>
      <c r="L125">
        <v>41.10671936758893</v>
      </c>
      <c r="M125">
        <v>52.108274560059471</v>
      </c>
      <c r="N125">
        <f t="shared" si="8"/>
        <v>3</v>
      </c>
      <c r="O125">
        <f t="shared" si="9"/>
        <v>2</v>
      </c>
      <c r="P125">
        <f t="shared" si="10"/>
        <v>3</v>
      </c>
    </row>
    <row r="126" spans="1:16" x14ac:dyDescent="0.4">
      <c r="A126" t="s">
        <v>356</v>
      </c>
      <c r="B126" t="s">
        <v>357</v>
      </c>
      <c r="C126" t="s">
        <v>43</v>
      </c>
      <c r="D126" s="1">
        <v>38980</v>
      </c>
      <c r="E126">
        <v>2</v>
      </c>
      <c r="F126">
        <v>1</v>
      </c>
      <c r="G126">
        <v>3</v>
      </c>
      <c r="H126">
        <v>323</v>
      </c>
      <c r="I126">
        <v>160</v>
      </c>
      <c r="J126">
        <v>836</v>
      </c>
      <c r="K126">
        <v>36.911923725155489</v>
      </c>
      <c r="L126">
        <v>90.35532994923858</v>
      </c>
      <c r="M126">
        <v>58.811359753235664</v>
      </c>
      <c r="N126">
        <f t="shared" si="8"/>
        <v>2</v>
      </c>
      <c r="O126">
        <f t="shared" si="9"/>
        <v>3</v>
      </c>
      <c r="P126">
        <f t="shared" si="10"/>
        <v>3</v>
      </c>
    </row>
    <row r="127" spans="1:16" x14ac:dyDescent="0.4">
      <c r="A127" t="s">
        <v>788</v>
      </c>
      <c r="B127" t="s">
        <v>789</v>
      </c>
      <c r="C127" t="s">
        <v>40</v>
      </c>
      <c r="D127" s="1">
        <v>38980</v>
      </c>
      <c r="E127">
        <v>2</v>
      </c>
      <c r="F127">
        <v>1</v>
      </c>
      <c r="G127">
        <v>3</v>
      </c>
      <c r="H127">
        <v>323</v>
      </c>
      <c r="I127">
        <v>160</v>
      </c>
      <c r="J127">
        <v>836</v>
      </c>
      <c r="K127">
        <v>77.656553905252721</v>
      </c>
      <c r="L127">
        <v>34.782608695652172</v>
      </c>
      <c r="M127">
        <v>73.643210881883931</v>
      </c>
      <c r="N127">
        <f t="shared" si="8"/>
        <v>3</v>
      </c>
      <c r="O127">
        <f t="shared" si="9"/>
        <v>2</v>
      </c>
      <c r="P127">
        <f t="shared" si="10"/>
        <v>3</v>
      </c>
    </row>
    <row r="128" spans="1:16" x14ac:dyDescent="0.4">
      <c r="A128" t="s">
        <v>790</v>
      </c>
      <c r="B128" t="s">
        <v>791</v>
      </c>
      <c r="C128" t="s">
        <v>203</v>
      </c>
      <c r="D128" s="1">
        <v>38987</v>
      </c>
      <c r="E128">
        <v>2</v>
      </c>
      <c r="F128">
        <v>1</v>
      </c>
      <c r="G128">
        <v>3</v>
      </c>
      <c r="H128">
        <v>323</v>
      </c>
      <c r="I128">
        <v>160</v>
      </c>
      <c r="J128">
        <v>836</v>
      </c>
      <c r="K128">
        <v>59.138630890952868</v>
      </c>
      <c r="L128">
        <v>72.727272727272734</v>
      </c>
      <c r="M128">
        <v>75.340727852689568</v>
      </c>
      <c r="N128">
        <f t="shared" si="8"/>
        <v>3</v>
      </c>
      <c r="O128">
        <f t="shared" si="9"/>
        <v>3</v>
      </c>
      <c r="P128">
        <f t="shared" si="10"/>
        <v>3</v>
      </c>
    </row>
    <row r="129" spans="1:16" x14ac:dyDescent="0.4">
      <c r="A129" t="s">
        <v>106</v>
      </c>
      <c r="B129" t="s">
        <v>107</v>
      </c>
      <c r="C129" t="s">
        <v>40</v>
      </c>
      <c r="D129" s="1">
        <v>38987</v>
      </c>
      <c r="E129">
        <v>2</v>
      </c>
      <c r="F129">
        <v>1</v>
      </c>
      <c r="G129">
        <v>3</v>
      </c>
      <c r="H129">
        <v>323</v>
      </c>
      <c r="I129">
        <v>160</v>
      </c>
      <c r="J129">
        <v>836</v>
      </c>
      <c r="K129">
        <v>20.20780694091507</v>
      </c>
      <c r="L129">
        <v>21.146245059288539</v>
      </c>
      <c r="M129">
        <v>38.806830718040587</v>
      </c>
      <c r="N129">
        <f t="shared" si="8"/>
        <v>1</v>
      </c>
      <c r="O129">
        <f t="shared" si="9"/>
        <v>1</v>
      </c>
      <c r="P129">
        <f t="shared" si="10"/>
        <v>2</v>
      </c>
    </row>
    <row r="130" spans="1:16" x14ac:dyDescent="0.4">
      <c r="A130" t="s">
        <v>792</v>
      </c>
      <c r="B130" t="s">
        <v>793</v>
      </c>
      <c r="C130" t="s">
        <v>40</v>
      </c>
      <c r="D130" s="1">
        <v>38988</v>
      </c>
      <c r="E130">
        <v>2</v>
      </c>
      <c r="F130">
        <v>1</v>
      </c>
      <c r="G130">
        <v>3</v>
      </c>
      <c r="H130">
        <v>323</v>
      </c>
      <c r="I130">
        <v>160</v>
      </c>
      <c r="J130">
        <v>836</v>
      </c>
      <c r="K130">
        <v>83.542688347964273</v>
      </c>
      <c r="L130">
        <v>88.537549407114625</v>
      </c>
      <c r="M130">
        <v>65.042347089852001</v>
      </c>
      <c r="N130">
        <f t="shared" si="8"/>
        <v>3</v>
      </c>
      <c r="O130">
        <f t="shared" si="9"/>
        <v>3</v>
      </c>
      <c r="P130">
        <f t="shared" si="10"/>
        <v>3</v>
      </c>
    </row>
    <row r="131" spans="1:16" x14ac:dyDescent="0.4">
      <c r="A131" t="s">
        <v>264</v>
      </c>
      <c r="B131" t="s">
        <v>265</v>
      </c>
      <c r="C131" t="s">
        <v>40</v>
      </c>
      <c r="D131" s="1">
        <v>38989</v>
      </c>
      <c r="E131">
        <v>2</v>
      </c>
      <c r="F131">
        <v>1</v>
      </c>
      <c r="G131">
        <v>3</v>
      </c>
      <c r="H131">
        <v>323</v>
      </c>
      <c r="I131">
        <v>160</v>
      </c>
      <c r="J131">
        <v>836</v>
      </c>
      <c r="K131">
        <v>46.673117260815296</v>
      </c>
      <c r="L131">
        <v>11.660079051383399</v>
      </c>
      <c r="M131">
        <v>41.787904457406334</v>
      </c>
      <c r="N131">
        <f t="shared" ref="N131:N194" si="11">IF(AND(K131&gt;0,K131&lt;30),1,IF(AND(K131&gt;=30,K131&lt;50),2,IF(K131&gt;=50,3,0)))</f>
        <v>2</v>
      </c>
      <c r="O131">
        <f t="shared" ref="O131:O194" si="12">IF(AND(L131&gt;0,L131&lt;30),1,IF(AND(L131&gt;=30,L131&lt;50),2,IF(L131&gt;=50,3,0)))</f>
        <v>1</v>
      </c>
      <c r="P131">
        <f t="shared" ref="P131:P194" si="13">IF(AND(M131&gt;0,M131&lt;30),1,IF(AND(M131&gt;=30,M131&lt;50),2,IF(M131&gt;=50,3,0)))</f>
        <v>2</v>
      </c>
    </row>
    <row r="132" spans="1:16" x14ac:dyDescent="0.4">
      <c r="A132" t="s">
        <v>794</v>
      </c>
      <c r="B132" t="s">
        <v>795</v>
      </c>
      <c r="C132" t="s">
        <v>40</v>
      </c>
      <c r="D132" s="1">
        <v>39001</v>
      </c>
      <c r="E132">
        <v>2</v>
      </c>
      <c r="F132">
        <v>1</v>
      </c>
      <c r="G132">
        <v>3</v>
      </c>
      <c r="H132">
        <v>323</v>
      </c>
      <c r="I132">
        <v>160</v>
      </c>
      <c r="J132">
        <v>836</v>
      </c>
      <c r="K132">
        <v>36.882024556685238</v>
      </c>
      <c r="L132">
        <v>74.703557312252968</v>
      </c>
      <c r="M132">
        <v>48.889824979519489</v>
      </c>
      <c r="N132">
        <f t="shared" si="11"/>
        <v>2</v>
      </c>
      <c r="O132">
        <f t="shared" si="12"/>
        <v>3</v>
      </c>
      <c r="P132">
        <f t="shared" si="13"/>
        <v>2</v>
      </c>
    </row>
    <row r="133" spans="1:16" x14ac:dyDescent="0.4">
      <c r="A133" t="s">
        <v>796</v>
      </c>
      <c r="B133" t="s">
        <v>797</v>
      </c>
      <c r="C133" t="s">
        <v>40</v>
      </c>
      <c r="D133" s="1">
        <v>39001</v>
      </c>
      <c r="E133">
        <v>2</v>
      </c>
      <c r="F133">
        <v>1</v>
      </c>
      <c r="G133">
        <v>3</v>
      </c>
      <c r="H133">
        <v>323</v>
      </c>
      <c r="I133">
        <v>160</v>
      </c>
      <c r="J133">
        <v>836</v>
      </c>
      <c r="K133">
        <v>52.399333450084612</v>
      </c>
      <c r="L133">
        <v>63.241106719367586</v>
      </c>
      <c r="M133">
        <v>59.014957222565116</v>
      </c>
      <c r="N133">
        <f t="shared" si="11"/>
        <v>3</v>
      </c>
      <c r="O133">
        <f t="shared" si="12"/>
        <v>3</v>
      </c>
      <c r="P133">
        <f t="shared" si="13"/>
        <v>3</v>
      </c>
    </row>
    <row r="134" spans="1:16" x14ac:dyDescent="0.4">
      <c r="A134" t="s">
        <v>358</v>
      </c>
      <c r="B134" t="s">
        <v>359</v>
      </c>
      <c r="C134" t="s">
        <v>40</v>
      </c>
      <c r="D134" s="1">
        <v>39009</v>
      </c>
      <c r="E134">
        <v>2</v>
      </c>
      <c r="F134">
        <v>1</v>
      </c>
      <c r="G134">
        <v>3</v>
      </c>
      <c r="H134">
        <v>323</v>
      </c>
      <c r="I134">
        <v>160</v>
      </c>
      <c r="J134">
        <v>836</v>
      </c>
      <c r="K134">
        <v>56.772932714585998</v>
      </c>
      <c r="L134">
        <v>59.683794466403164</v>
      </c>
      <c r="M134">
        <v>86.914827244482026</v>
      </c>
      <c r="N134">
        <f t="shared" si="11"/>
        <v>3</v>
      </c>
      <c r="O134">
        <f t="shared" si="12"/>
        <v>3</v>
      </c>
      <c r="P134">
        <f t="shared" si="13"/>
        <v>3</v>
      </c>
    </row>
    <row r="135" spans="1:16" x14ac:dyDescent="0.4">
      <c r="A135" t="s">
        <v>798</v>
      </c>
      <c r="B135" t="s">
        <v>799</v>
      </c>
      <c r="C135" t="s">
        <v>40</v>
      </c>
      <c r="D135" s="1">
        <v>39013</v>
      </c>
      <c r="E135">
        <v>2</v>
      </c>
      <c r="F135">
        <v>1</v>
      </c>
      <c r="G135">
        <v>3</v>
      </c>
      <c r="H135">
        <v>323</v>
      </c>
      <c r="I135">
        <v>160</v>
      </c>
      <c r="J135">
        <v>836</v>
      </c>
      <c r="K135">
        <v>52.40633163871783</v>
      </c>
      <c r="L135">
        <v>89.525691699604749</v>
      </c>
      <c r="M135">
        <v>43.313288432827477</v>
      </c>
      <c r="N135">
        <f t="shared" si="11"/>
        <v>3</v>
      </c>
      <c r="O135">
        <f t="shared" si="12"/>
        <v>3</v>
      </c>
      <c r="P135">
        <f t="shared" si="13"/>
        <v>2</v>
      </c>
    </row>
    <row r="136" spans="1:16" x14ac:dyDescent="0.4">
      <c r="A136" t="s">
        <v>486</v>
      </c>
      <c r="B136" t="s">
        <v>487</v>
      </c>
      <c r="C136" t="s">
        <v>40</v>
      </c>
      <c r="D136" s="1">
        <v>39028</v>
      </c>
      <c r="E136">
        <v>2</v>
      </c>
      <c r="F136">
        <v>1</v>
      </c>
      <c r="G136">
        <v>3</v>
      </c>
      <c r="H136">
        <v>323</v>
      </c>
      <c r="I136">
        <v>160</v>
      </c>
      <c r="J136">
        <v>836</v>
      </c>
      <c r="K136">
        <v>53.546130616438134</v>
      </c>
      <c r="L136">
        <v>79.051383399209485</v>
      </c>
      <c r="M136">
        <v>60.891770617044429</v>
      </c>
      <c r="N136">
        <f t="shared" si="11"/>
        <v>3</v>
      </c>
      <c r="O136">
        <f t="shared" si="12"/>
        <v>3</v>
      </c>
      <c r="P136">
        <f t="shared" si="13"/>
        <v>3</v>
      </c>
    </row>
    <row r="137" spans="1:16" x14ac:dyDescent="0.4">
      <c r="A137" t="s">
        <v>800</v>
      </c>
      <c r="B137" t="s">
        <v>801</v>
      </c>
      <c r="C137" t="s">
        <v>40</v>
      </c>
      <c r="D137" s="1">
        <v>39030</v>
      </c>
      <c r="E137">
        <v>2</v>
      </c>
      <c r="F137">
        <v>1</v>
      </c>
      <c r="G137">
        <v>3</v>
      </c>
      <c r="H137">
        <v>323</v>
      </c>
      <c r="I137">
        <v>160</v>
      </c>
      <c r="J137">
        <v>836</v>
      </c>
      <c r="K137">
        <v>15.270825939516294</v>
      </c>
      <c r="L137">
        <v>68.577075098814234</v>
      </c>
      <c r="M137">
        <v>46.585892518263762</v>
      </c>
      <c r="N137">
        <f t="shared" si="11"/>
        <v>1</v>
      </c>
      <c r="O137">
        <f t="shared" si="12"/>
        <v>3</v>
      </c>
      <c r="P137">
        <f t="shared" si="13"/>
        <v>2</v>
      </c>
    </row>
    <row r="138" spans="1:16" x14ac:dyDescent="0.4">
      <c r="A138" t="s">
        <v>91</v>
      </c>
      <c r="B138" t="s">
        <v>92</v>
      </c>
      <c r="C138" t="s">
        <v>40</v>
      </c>
      <c r="D138" s="1">
        <v>39036</v>
      </c>
      <c r="E138">
        <v>2</v>
      </c>
      <c r="F138">
        <v>1</v>
      </c>
      <c r="G138">
        <v>3</v>
      </c>
      <c r="H138">
        <v>323</v>
      </c>
      <c r="I138">
        <v>160</v>
      </c>
      <c r="J138">
        <v>836</v>
      </c>
      <c r="K138">
        <v>42.375578525823983</v>
      </c>
      <c r="L138">
        <v>32.806324110671937</v>
      </c>
      <c r="M138">
        <v>15.844958727960824</v>
      </c>
      <c r="N138">
        <f t="shared" si="11"/>
        <v>2</v>
      </c>
      <c r="O138">
        <f t="shared" si="12"/>
        <v>2</v>
      </c>
      <c r="P138">
        <f t="shared" si="13"/>
        <v>1</v>
      </c>
    </row>
    <row r="139" spans="1:16" x14ac:dyDescent="0.4">
      <c r="A139" t="s">
        <v>802</v>
      </c>
      <c r="B139" t="s">
        <v>803</v>
      </c>
      <c r="C139" t="s">
        <v>40</v>
      </c>
      <c r="D139" s="1">
        <v>39036</v>
      </c>
      <c r="E139">
        <v>2</v>
      </c>
      <c r="F139">
        <v>1</v>
      </c>
      <c r="G139">
        <v>3</v>
      </c>
      <c r="H139">
        <v>323</v>
      </c>
      <c r="I139">
        <v>160</v>
      </c>
      <c r="J139">
        <v>836</v>
      </c>
      <c r="K139">
        <v>39.820516436702817</v>
      </c>
      <c r="L139">
        <v>50.197628458498023</v>
      </c>
      <c r="M139">
        <v>55.835295781143955</v>
      </c>
      <c r="N139">
        <f t="shared" si="11"/>
        <v>2</v>
      </c>
      <c r="O139">
        <f t="shared" si="12"/>
        <v>3</v>
      </c>
      <c r="P139">
        <f t="shared" si="13"/>
        <v>3</v>
      </c>
    </row>
    <row r="140" spans="1:16" x14ac:dyDescent="0.4">
      <c r="A140" t="s">
        <v>804</v>
      </c>
      <c r="B140" t="s">
        <v>805</v>
      </c>
      <c r="C140" t="s">
        <v>40</v>
      </c>
      <c r="D140" s="1">
        <v>39036</v>
      </c>
      <c r="E140">
        <v>2</v>
      </c>
      <c r="F140">
        <v>1</v>
      </c>
      <c r="G140">
        <v>3</v>
      </c>
      <c r="H140">
        <v>323</v>
      </c>
      <c r="I140">
        <v>160</v>
      </c>
      <c r="J140">
        <v>836</v>
      </c>
      <c r="K140">
        <v>60.579251644979003</v>
      </c>
      <c r="L140">
        <v>77.470355731225297</v>
      </c>
      <c r="M140">
        <v>50.663961557161507</v>
      </c>
      <c r="N140">
        <f t="shared" si="11"/>
        <v>3</v>
      </c>
      <c r="O140">
        <f t="shared" si="12"/>
        <v>3</v>
      </c>
      <c r="P140">
        <f t="shared" si="13"/>
        <v>3</v>
      </c>
    </row>
    <row r="141" spans="1:16" x14ac:dyDescent="0.4">
      <c r="A141" t="s">
        <v>266</v>
      </c>
      <c r="B141" t="s">
        <v>267</v>
      </c>
      <c r="C141" t="s">
        <v>40</v>
      </c>
      <c r="D141" s="1">
        <v>39037</v>
      </c>
      <c r="E141">
        <v>2</v>
      </c>
      <c r="F141">
        <v>1</v>
      </c>
      <c r="G141">
        <v>3</v>
      </c>
      <c r="H141">
        <v>323</v>
      </c>
      <c r="I141">
        <v>160</v>
      </c>
      <c r="J141">
        <v>836</v>
      </c>
      <c r="K141">
        <v>33.795107019420833</v>
      </c>
      <c r="L141">
        <v>0.79051383399209485</v>
      </c>
      <c r="M141">
        <v>32.231674106403624</v>
      </c>
      <c r="N141">
        <f t="shared" si="11"/>
        <v>2</v>
      </c>
      <c r="O141">
        <f t="shared" si="12"/>
        <v>1</v>
      </c>
      <c r="P141">
        <f t="shared" si="13"/>
        <v>2</v>
      </c>
    </row>
    <row r="142" spans="1:16" x14ac:dyDescent="0.4">
      <c r="A142" t="s">
        <v>806</v>
      </c>
      <c r="B142" t="s">
        <v>807</v>
      </c>
      <c r="C142" t="s">
        <v>40</v>
      </c>
      <c r="D142" s="1">
        <v>39037</v>
      </c>
      <c r="E142">
        <v>2</v>
      </c>
      <c r="F142">
        <v>1</v>
      </c>
      <c r="G142">
        <v>3</v>
      </c>
      <c r="H142">
        <v>323</v>
      </c>
      <c r="I142">
        <v>160</v>
      </c>
      <c r="J142">
        <v>836</v>
      </c>
      <c r="K142">
        <v>61.535213855449172</v>
      </c>
      <c r="L142">
        <v>21.343873517786562</v>
      </c>
      <c r="M142">
        <v>26.134427751908358</v>
      </c>
      <c r="N142">
        <f t="shared" si="11"/>
        <v>3</v>
      </c>
      <c r="O142">
        <f t="shared" si="12"/>
        <v>1</v>
      </c>
      <c r="P142">
        <f t="shared" si="13"/>
        <v>1</v>
      </c>
    </row>
    <row r="143" spans="1:16" x14ac:dyDescent="0.4">
      <c r="A143" t="s">
        <v>268</v>
      </c>
      <c r="B143" t="s">
        <v>269</v>
      </c>
      <c r="C143" t="s">
        <v>40</v>
      </c>
      <c r="D143" s="1">
        <v>39042</v>
      </c>
      <c r="E143">
        <v>2</v>
      </c>
      <c r="F143">
        <v>1</v>
      </c>
      <c r="G143">
        <v>3</v>
      </c>
      <c r="H143">
        <v>323</v>
      </c>
      <c r="I143">
        <v>160</v>
      </c>
      <c r="J143">
        <v>836</v>
      </c>
      <c r="K143">
        <v>24.002457631598752</v>
      </c>
      <c r="L143">
        <v>77.667984189723313</v>
      </c>
      <c r="M143">
        <v>60.545887672567424</v>
      </c>
      <c r="N143">
        <f t="shared" si="11"/>
        <v>1</v>
      </c>
      <c r="O143">
        <f t="shared" si="12"/>
        <v>3</v>
      </c>
      <c r="P143">
        <f t="shared" si="13"/>
        <v>3</v>
      </c>
    </row>
    <row r="144" spans="1:16" x14ac:dyDescent="0.4">
      <c r="A144" t="s">
        <v>808</v>
      </c>
      <c r="B144" t="s">
        <v>809</v>
      </c>
      <c r="C144" t="s">
        <v>40</v>
      </c>
      <c r="D144" s="1">
        <v>39042</v>
      </c>
      <c r="E144">
        <v>2</v>
      </c>
      <c r="F144">
        <v>1</v>
      </c>
      <c r="G144">
        <v>3</v>
      </c>
      <c r="H144">
        <v>323</v>
      </c>
      <c r="I144">
        <v>160</v>
      </c>
      <c r="J144">
        <v>836</v>
      </c>
      <c r="K144">
        <v>51.439486418365277</v>
      </c>
      <c r="L144">
        <v>86.166007905138343</v>
      </c>
      <c r="M144">
        <v>86.611998275446908</v>
      </c>
      <c r="N144">
        <f t="shared" si="11"/>
        <v>3</v>
      </c>
      <c r="O144">
        <f t="shared" si="12"/>
        <v>3</v>
      </c>
      <c r="P144">
        <f t="shared" si="13"/>
        <v>3</v>
      </c>
    </row>
    <row r="145" spans="1:16" x14ac:dyDescent="0.4">
      <c r="A145" t="s">
        <v>810</v>
      </c>
      <c r="B145" t="s">
        <v>811</v>
      </c>
      <c r="C145" t="s">
        <v>40</v>
      </c>
      <c r="D145" s="1">
        <v>39045</v>
      </c>
      <c r="E145">
        <v>2</v>
      </c>
      <c r="F145">
        <v>1</v>
      </c>
      <c r="G145">
        <v>3</v>
      </c>
      <c r="H145">
        <v>323</v>
      </c>
      <c r="I145">
        <v>160</v>
      </c>
      <c r="J145">
        <v>836</v>
      </c>
      <c r="K145">
        <v>56.175114516988089</v>
      </c>
      <c r="L145">
        <v>36.758893280632414</v>
      </c>
      <c r="M145">
        <v>64.230031671940509</v>
      </c>
      <c r="N145">
        <f t="shared" si="11"/>
        <v>3</v>
      </c>
      <c r="O145">
        <f t="shared" si="12"/>
        <v>2</v>
      </c>
      <c r="P145">
        <f t="shared" si="13"/>
        <v>3</v>
      </c>
    </row>
    <row r="146" spans="1:16" x14ac:dyDescent="0.4">
      <c r="A146" t="s">
        <v>812</v>
      </c>
      <c r="B146" t="s">
        <v>813</v>
      </c>
      <c r="C146" t="s">
        <v>40</v>
      </c>
      <c r="D146" s="1">
        <v>39048</v>
      </c>
      <c r="E146">
        <v>2</v>
      </c>
      <c r="F146">
        <v>1</v>
      </c>
      <c r="G146">
        <v>3</v>
      </c>
      <c r="H146">
        <v>323</v>
      </c>
      <c r="I146">
        <v>160</v>
      </c>
      <c r="J146">
        <v>836</v>
      </c>
      <c r="K146">
        <v>44.840569932206769</v>
      </c>
      <c r="L146">
        <v>31.225296442687743</v>
      </c>
      <c r="M146">
        <v>39.672839967456966</v>
      </c>
      <c r="N146">
        <f t="shared" si="11"/>
        <v>2</v>
      </c>
      <c r="O146">
        <f t="shared" si="12"/>
        <v>2</v>
      </c>
      <c r="P146">
        <f t="shared" si="13"/>
        <v>2</v>
      </c>
    </row>
    <row r="147" spans="1:16" x14ac:dyDescent="0.4">
      <c r="A147" t="s">
        <v>80</v>
      </c>
      <c r="B147" t="s">
        <v>81</v>
      </c>
      <c r="C147" t="s">
        <v>40</v>
      </c>
      <c r="D147" s="1">
        <v>39051</v>
      </c>
      <c r="E147">
        <v>2</v>
      </c>
      <c r="F147">
        <v>1</v>
      </c>
      <c r="G147">
        <v>3</v>
      </c>
      <c r="H147">
        <v>323</v>
      </c>
      <c r="I147">
        <v>160</v>
      </c>
      <c r="J147">
        <v>836</v>
      </c>
      <c r="K147">
        <v>17.320089812383451</v>
      </c>
      <c r="L147">
        <v>61.067193675889328</v>
      </c>
      <c r="M147">
        <v>43.990087376324155</v>
      </c>
      <c r="N147">
        <f t="shared" si="11"/>
        <v>1</v>
      </c>
      <c r="O147">
        <f t="shared" si="12"/>
        <v>3</v>
      </c>
      <c r="P147">
        <f t="shared" si="13"/>
        <v>2</v>
      </c>
    </row>
    <row r="148" spans="1:16" x14ac:dyDescent="0.4">
      <c r="A148" t="s">
        <v>488</v>
      </c>
      <c r="B148" t="s">
        <v>489</v>
      </c>
      <c r="C148" t="s">
        <v>43</v>
      </c>
      <c r="D148" s="1">
        <v>39052</v>
      </c>
      <c r="E148">
        <v>2</v>
      </c>
      <c r="F148">
        <v>1</v>
      </c>
      <c r="G148">
        <v>3</v>
      </c>
      <c r="H148">
        <v>323</v>
      </c>
      <c r="I148">
        <v>160</v>
      </c>
      <c r="J148">
        <v>836</v>
      </c>
      <c r="K148">
        <v>90.999799175660101</v>
      </c>
      <c r="L148">
        <v>48.730964467005073</v>
      </c>
      <c r="M148">
        <v>37.932426397841652</v>
      </c>
      <c r="N148">
        <f t="shared" si="11"/>
        <v>3</v>
      </c>
      <c r="O148">
        <f t="shared" si="12"/>
        <v>2</v>
      </c>
      <c r="P148">
        <f t="shared" si="13"/>
        <v>2</v>
      </c>
    </row>
    <row r="149" spans="1:16" x14ac:dyDescent="0.4">
      <c r="A149" t="s">
        <v>814</v>
      </c>
      <c r="B149" t="s">
        <v>815</v>
      </c>
      <c r="C149" t="s">
        <v>40</v>
      </c>
      <c r="D149" s="1">
        <v>39057</v>
      </c>
      <c r="E149">
        <v>2</v>
      </c>
      <c r="F149">
        <v>1</v>
      </c>
      <c r="G149">
        <v>3</v>
      </c>
      <c r="H149">
        <v>323</v>
      </c>
      <c r="I149">
        <v>160</v>
      </c>
      <c r="J149">
        <v>836</v>
      </c>
      <c r="K149">
        <v>93.804750192734303</v>
      </c>
      <c r="L149">
        <v>1.383399209486166</v>
      </c>
      <c r="M149">
        <v>43.174364096193493</v>
      </c>
      <c r="N149">
        <f t="shared" si="11"/>
        <v>3</v>
      </c>
      <c r="O149">
        <f t="shared" si="12"/>
        <v>1</v>
      </c>
      <c r="P149">
        <f t="shared" si="13"/>
        <v>2</v>
      </c>
    </row>
    <row r="150" spans="1:16" x14ac:dyDescent="0.4">
      <c r="A150" t="s">
        <v>816</v>
      </c>
      <c r="B150" t="s">
        <v>817</v>
      </c>
      <c r="C150" t="s">
        <v>40</v>
      </c>
      <c r="D150" s="1">
        <v>39057</v>
      </c>
      <c r="E150">
        <v>2</v>
      </c>
      <c r="F150">
        <v>1</v>
      </c>
      <c r="G150">
        <v>3</v>
      </c>
      <c r="H150">
        <v>323</v>
      </c>
      <c r="I150">
        <v>160</v>
      </c>
      <c r="J150">
        <v>836</v>
      </c>
      <c r="K150">
        <v>80.948912361979922</v>
      </c>
      <c r="L150">
        <v>97.035573122529641</v>
      </c>
      <c r="M150">
        <v>80.827774622508116</v>
      </c>
      <c r="N150">
        <f t="shared" si="11"/>
        <v>3</v>
      </c>
      <c r="O150">
        <f t="shared" si="12"/>
        <v>3</v>
      </c>
      <c r="P150">
        <f t="shared" si="13"/>
        <v>3</v>
      </c>
    </row>
    <row r="151" spans="1:16" x14ac:dyDescent="0.4">
      <c r="A151" t="s">
        <v>490</v>
      </c>
      <c r="B151" t="s">
        <v>491</v>
      </c>
      <c r="C151" t="s">
        <v>40</v>
      </c>
      <c r="D151" s="1">
        <v>39063</v>
      </c>
      <c r="E151">
        <v>2</v>
      </c>
      <c r="F151">
        <v>1</v>
      </c>
      <c r="G151">
        <v>3</v>
      </c>
      <c r="H151">
        <v>323</v>
      </c>
      <c r="I151">
        <v>160</v>
      </c>
      <c r="J151">
        <v>836</v>
      </c>
      <c r="K151">
        <v>64.663376622571533</v>
      </c>
      <c r="L151">
        <v>82.015810276679844</v>
      </c>
      <c r="M151">
        <v>47.648838906037888</v>
      </c>
      <c r="N151">
        <f t="shared" si="11"/>
        <v>3</v>
      </c>
      <c r="O151">
        <f t="shared" si="12"/>
        <v>3</v>
      </c>
      <c r="P151">
        <f t="shared" si="13"/>
        <v>2</v>
      </c>
    </row>
    <row r="152" spans="1:16" x14ac:dyDescent="0.4">
      <c r="A152" t="s">
        <v>492</v>
      </c>
      <c r="B152" t="s">
        <v>493</v>
      </c>
      <c r="C152" t="s">
        <v>40</v>
      </c>
      <c r="D152" s="1">
        <v>39066</v>
      </c>
      <c r="E152">
        <v>2</v>
      </c>
      <c r="F152">
        <v>1</v>
      </c>
      <c r="G152">
        <v>3</v>
      </c>
      <c r="H152">
        <v>323</v>
      </c>
      <c r="I152">
        <v>160</v>
      </c>
      <c r="J152">
        <v>836</v>
      </c>
      <c r="K152">
        <v>71.429209550805496</v>
      </c>
      <c r="L152">
        <v>72.134387351778656</v>
      </c>
      <c r="M152">
        <v>65.934684274453687</v>
      </c>
      <c r="N152">
        <f t="shared" si="11"/>
        <v>3</v>
      </c>
      <c r="O152">
        <f t="shared" si="12"/>
        <v>3</v>
      </c>
      <c r="P152">
        <f t="shared" si="13"/>
        <v>3</v>
      </c>
    </row>
    <row r="153" spans="1:16" x14ac:dyDescent="0.4">
      <c r="A153" t="s">
        <v>818</v>
      </c>
      <c r="B153" t="s">
        <v>819</v>
      </c>
      <c r="C153" t="s">
        <v>40</v>
      </c>
      <c r="D153" s="1">
        <v>39066</v>
      </c>
      <c r="E153">
        <v>2</v>
      </c>
      <c r="F153">
        <v>1</v>
      </c>
      <c r="G153">
        <v>3</v>
      </c>
      <c r="H153">
        <v>323</v>
      </c>
      <c r="I153">
        <v>160</v>
      </c>
      <c r="J153">
        <v>836</v>
      </c>
      <c r="K153">
        <v>76.393615048309712</v>
      </c>
      <c r="L153">
        <v>94.466403162055343</v>
      </c>
      <c r="M153">
        <v>85.250648911084795</v>
      </c>
      <c r="N153">
        <f t="shared" si="11"/>
        <v>3</v>
      </c>
      <c r="O153">
        <f t="shared" si="12"/>
        <v>3</v>
      </c>
      <c r="P153">
        <f t="shared" si="13"/>
        <v>3</v>
      </c>
    </row>
    <row r="154" spans="1:16" x14ac:dyDescent="0.4">
      <c r="A154" t="s">
        <v>648</v>
      </c>
      <c r="B154" t="s">
        <v>649</v>
      </c>
      <c r="C154" t="s">
        <v>40</v>
      </c>
      <c r="D154" s="1">
        <v>39087</v>
      </c>
      <c r="E154">
        <v>2</v>
      </c>
      <c r="F154">
        <v>1</v>
      </c>
      <c r="G154">
        <v>3</v>
      </c>
      <c r="H154">
        <v>323</v>
      </c>
      <c r="I154">
        <v>160</v>
      </c>
      <c r="J154">
        <v>836</v>
      </c>
      <c r="K154">
        <v>51.813968722022963</v>
      </c>
      <c r="L154">
        <v>50.395256916996047</v>
      </c>
      <c r="M154">
        <v>76.950755695054767</v>
      </c>
      <c r="N154">
        <f t="shared" si="11"/>
        <v>3</v>
      </c>
      <c r="O154">
        <f t="shared" si="12"/>
        <v>3</v>
      </c>
      <c r="P154">
        <f t="shared" si="13"/>
        <v>3</v>
      </c>
    </row>
    <row r="155" spans="1:16" x14ac:dyDescent="0.4">
      <c r="A155" t="s">
        <v>820</v>
      </c>
      <c r="B155" t="s">
        <v>821</v>
      </c>
      <c r="C155" t="s">
        <v>40</v>
      </c>
      <c r="D155" s="1">
        <v>39091</v>
      </c>
      <c r="E155">
        <v>2</v>
      </c>
      <c r="F155">
        <v>1</v>
      </c>
      <c r="G155">
        <v>3</v>
      </c>
      <c r="H155">
        <v>323</v>
      </c>
      <c r="I155">
        <v>160</v>
      </c>
      <c r="J155">
        <v>836</v>
      </c>
      <c r="K155">
        <v>86.032383497981911</v>
      </c>
      <c r="L155">
        <v>23.715415019762847</v>
      </c>
      <c r="M155">
        <v>54.947752358895649</v>
      </c>
      <c r="N155">
        <f t="shared" si="11"/>
        <v>3</v>
      </c>
      <c r="O155">
        <f t="shared" si="12"/>
        <v>1</v>
      </c>
      <c r="P155">
        <f t="shared" si="13"/>
        <v>3</v>
      </c>
    </row>
    <row r="156" spans="1:16" x14ac:dyDescent="0.4">
      <c r="A156" t="s">
        <v>822</v>
      </c>
      <c r="B156" t="s">
        <v>823</v>
      </c>
      <c r="C156" t="s">
        <v>40</v>
      </c>
      <c r="D156" s="1">
        <v>39098</v>
      </c>
      <c r="E156">
        <v>2</v>
      </c>
      <c r="F156">
        <v>1</v>
      </c>
      <c r="G156">
        <v>3</v>
      </c>
      <c r="H156">
        <v>323</v>
      </c>
      <c r="I156">
        <v>160</v>
      </c>
      <c r="J156">
        <v>836</v>
      </c>
      <c r="K156">
        <v>38.985176548422416</v>
      </c>
      <c r="L156">
        <v>24.110671936758894</v>
      </c>
      <c r="M156">
        <v>33.255357598849947</v>
      </c>
      <c r="N156">
        <f t="shared" si="11"/>
        <v>2</v>
      </c>
      <c r="O156">
        <f t="shared" si="12"/>
        <v>1</v>
      </c>
      <c r="P156">
        <f t="shared" si="13"/>
        <v>2</v>
      </c>
    </row>
    <row r="157" spans="1:16" x14ac:dyDescent="0.4">
      <c r="A157" t="s">
        <v>824</v>
      </c>
      <c r="B157" t="s">
        <v>825</v>
      </c>
      <c r="C157" t="s">
        <v>40</v>
      </c>
      <c r="D157" s="1">
        <v>39101</v>
      </c>
      <c r="E157">
        <v>2</v>
      </c>
      <c r="F157">
        <v>1</v>
      </c>
      <c r="G157">
        <v>3</v>
      </c>
      <c r="H157">
        <v>323</v>
      </c>
      <c r="I157">
        <v>160</v>
      </c>
      <c r="J157">
        <v>836</v>
      </c>
      <c r="K157">
        <v>81.929578316084971</v>
      </c>
      <c r="L157">
        <v>99.407114624505923</v>
      </c>
      <c r="M157">
        <v>41.009093391690456</v>
      </c>
      <c r="N157">
        <f t="shared" si="11"/>
        <v>3</v>
      </c>
      <c r="O157">
        <f t="shared" si="12"/>
        <v>3</v>
      </c>
      <c r="P157">
        <f t="shared" si="13"/>
        <v>2</v>
      </c>
    </row>
    <row r="158" spans="1:16" x14ac:dyDescent="0.4">
      <c r="A158" t="s">
        <v>826</v>
      </c>
      <c r="B158" t="s">
        <v>827</v>
      </c>
      <c r="C158" t="s">
        <v>40</v>
      </c>
      <c r="D158" s="1">
        <v>39106</v>
      </c>
      <c r="E158">
        <v>2</v>
      </c>
      <c r="F158">
        <v>1</v>
      </c>
      <c r="G158">
        <v>3</v>
      </c>
      <c r="H158">
        <v>323</v>
      </c>
      <c r="I158">
        <v>160</v>
      </c>
      <c r="J158">
        <v>836</v>
      </c>
      <c r="K158">
        <v>42.066070546356372</v>
      </c>
      <c r="L158">
        <v>22.92490118577075</v>
      </c>
      <c r="M158">
        <v>44.8892170056046</v>
      </c>
      <c r="N158">
        <f t="shared" si="11"/>
        <v>2</v>
      </c>
      <c r="O158">
        <f t="shared" si="12"/>
        <v>1</v>
      </c>
      <c r="P158">
        <f t="shared" si="13"/>
        <v>2</v>
      </c>
    </row>
    <row r="159" spans="1:16" x14ac:dyDescent="0.4">
      <c r="A159" t="s">
        <v>828</v>
      </c>
      <c r="B159" t="s">
        <v>829</v>
      </c>
      <c r="C159" t="s">
        <v>40</v>
      </c>
      <c r="D159" s="1">
        <v>39111</v>
      </c>
      <c r="E159">
        <v>2</v>
      </c>
      <c r="F159">
        <v>1</v>
      </c>
      <c r="G159">
        <v>3</v>
      </c>
      <c r="H159">
        <v>323</v>
      </c>
      <c r="I159">
        <v>160</v>
      </c>
      <c r="J159">
        <v>836</v>
      </c>
      <c r="K159">
        <v>19.677887015415472</v>
      </c>
      <c r="L159">
        <v>20.553359683794465</v>
      </c>
      <c r="M159">
        <v>50.018757666315842</v>
      </c>
      <c r="N159">
        <f t="shared" si="11"/>
        <v>1</v>
      </c>
      <c r="O159">
        <f t="shared" si="12"/>
        <v>1</v>
      </c>
      <c r="P159">
        <f t="shared" si="13"/>
        <v>3</v>
      </c>
    </row>
    <row r="160" spans="1:16" x14ac:dyDescent="0.4">
      <c r="A160" t="s">
        <v>830</v>
      </c>
      <c r="B160" t="s">
        <v>831</v>
      </c>
      <c r="C160" t="s">
        <v>40</v>
      </c>
      <c r="D160" s="1">
        <v>39125</v>
      </c>
      <c r="E160">
        <v>2</v>
      </c>
      <c r="F160">
        <v>1</v>
      </c>
      <c r="G160">
        <v>3</v>
      </c>
      <c r="H160">
        <v>323</v>
      </c>
      <c r="I160">
        <v>160</v>
      </c>
      <c r="J160">
        <v>836</v>
      </c>
      <c r="K160">
        <v>59.313010001176124</v>
      </c>
      <c r="L160">
        <v>13.438735177865613</v>
      </c>
      <c r="M160">
        <v>63.978510323123437</v>
      </c>
      <c r="N160">
        <f t="shared" si="11"/>
        <v>3</v>
      </c>
      <c r="O160">
        <f t="shared" si="12"/>
        <v>1</v>
      </c>
      <c r="P160">
        <f t="shared" si="13"/>
        <v>3</v>
      </c>
    </row>
    <row r="161" spans="1:16" x14ac:dyDescent="0.4">
      <c r="A161" t="s">
        <v>360</v>
      </c>
      <c r="B161" t="s">
        <v>361</v>
      </c>
      <c r="C161" t="s">
        <v>40</v>
      </c>
      <c r="D161" s="1">
        <v>39142</v>
      </c>
      <c r="E161">
        <v>2</v>
      </c>
      <c r="F161">
        <v>1</v>
      </c>
      <c r="G161">
        <v>3</v>
      </c>
      <c r="H161">
        <v>323</v>
      </c>
      <c r="I161">
        <v>160</v>
      </c>
      <c r="J161">
        <v>836</v>
      </c>
      <c r="K161">
        <v>44.230108845596781</v>
      </c>
      <c r="L161">
        <v>49.209486166007906</v>
      </c>
      <c r="M161">
        <v>62.902744763270519</v>
      </c>
      <c r="N161">
        <f t="shared" si="11"/>
        <v>2</v>
      </c>
      <c r="O161">
        <f t="shared" si="12"/>
        <v>2</v>
      </c>
      <c r="P161">
        <f t="shared" si="13"/>
        <v>3</v>
      </c>
    </row>
    <row r="162" spans="1:16" x14ac:dyDescent="0.4">
      <c r="A162" t="s">
        <v>832</v>
      </c>
      <c r="B162" t="s">
        <v>833</v>
      </c>
      <c r="C162" t="s">
        <v>40</v>
      </c>
      <c r="D162" s="1">
        <v>39149</v>
      </c>
      <c r="E162">
        <v>2</v>
      </c>
      <c r="F162">
        <v>1</v>
      </c>
      <c r="G162">
        <v>3</v>
      </c>
      <c r="H162">
        <v>323</v>
      </c>
      <c r="I162">
        <v>160</v>
      </c>
      <c r="J162">
        <v>836</v>
      </c>
      <c r="K162">
        <v>64.58322807637461</v>
      </c>
      <c r="L162">
        <v>24.901185770750988</v>
      </c>
      <c r="M162">
        <v>64.482165156288801</v>
      </c>
      <c r="N162">
        <f t="shared" si="11"/>
        <v>3</v>
      </c>
      <c r="O162">
        <f t="shared" si="12"/>
        <v>1</v>
      </c>
      <c r="P162">
        <f t="shared" si="13"/>
        <v>3</v>
      </c>
    </row>
    <row r="163" spans="1:16" x14ac:dyDescent="0.4">
      <c r="A163" t="s">
        <v>204</v>
      </c>
      <c r="B163" t="s">
        <v>205</v>
      </c>
      <c r="C163" t="s">
        <v>40</v>
      </c>
      <c r="D163" s="1">
        <v>39153</v>
      </c>
      <c r="E163">
        <v>2</v>
      </c>
      <c r="F163">
        <v>1</v>
      </c>
      <c r="G163">
        <v>3</v>
      </c>
      <c r="H163">
        <v>323</v>
      </c>
      <c r="I163">
        <v>160</v>
      </c>
      <c r="J163">
        <v>836</v>
      </c>
      <c r="K163">
        <v>34.965443860630657</v>
      </c>
      <c r="L163">
        <v>2.5691699604743081</v>
      </c>
      <c r="M163">
        <v>23.717005025470684</v>
      </c>
      <c r="N163">
        <f t="shared" si="11"/>
        <v>2</v>
      </c>
      <c r="O163">
        <f t="shared" si="12"/>
        <v>1</v>
      </c>
      <c r="P163">
        <f t="shared" si="13"/>
        <v>1</v>
      </c>
    </row>
    <row r="164" spans="1:16" x14ac:dyDescent="0.4">
      <c r="A164" t="s">
        <v>834</v>
      </c>
      <c r="B164" t="s">
        <v>835</v>
      </c>
      <c r="C164" t="s">
        <v>40</v>
      </c>
      <c r="D164" s="1">
        <v>39154</v>
      </c>
      <c r="E164">
        <v>2</v>
      </c>
      <c r="F164">
        <v>1</v>
      </c>
      <c r="G164">
        <v>3</v>
      </c>
      <c r="H164">
        <v>323</v>
      </c>
      <c r="I164">
        <v>160</v>
      </c>
      <c r="J164">
        <v>836</v>
      </c>
      <c r="K164">
        <v>98.153253098687387</v>
      </c>
      <c r="L164">
        <v>76.877470355731219</v>
      </c>
      <c r="M164">
        <v>30.073976724442232</v>
      </c>
      <c r="N164">
        <f t="shared" si="11"/>
        <v>3</v>
      </c>
      <c r="O164">
        <f t="shared" si="12"/>
        <v>3</v>
      </c>
      <c r="P164">
        <f t="shared" si="13"/>
        <v>2</v>
      </c>
    </row>
    <row r="165" spans="1:16" x14ac:dyDescent="0.4">
      <c r="A165" t="s">
        <v>836</v>
      </c>
      <c r="B165" t="s">
        <v>837</v>
      </c>
      <c r="C165" t="s">
        <v>40</v>
      </c>
      <c r="D165" s="1">
        <v>39160</v>
      </c>
      <c r="E165">
        <v>2</v>
      </c>
      <c r="F165">
        <v>1</v>
      </c>
      <c r="G165">
        <v>3</v>
      </c>
      <c r="H165">
        <v>323</v>
      </c>
      <c r="I165">
        <v>160</v>
      </c>
      <c r="J165">
        <v>836</v>
      </c>
      <c r="K165">
        <v>45.2988961838347</v>
      </c>
      <c r="L165">
        <v>93.873517786561266</v>
      </c>
      <c r="M165">
        <v>58.245117199032663</v>
      </c>
      <c r="N165">
        <f t="shared" si="11"/>
        <v>2</v>
      </c>
      <c r="O165">
        <f t="shared" si="12"/>
        <v>3</v>
      </c>
      <c r="P165">
        <f t="shared" si="13"/>
        <v>3</v>
      </c>
    </row>
    <row r="166" spans="1:16" x14ac:dyDescent="0.4">
      <c r="A166" t="s">
        <v>838</v>
      </c>
      <c r="B166" t="s">
        <v>839</v>
      </c>
      <c r="C166" t="s">
        <v>40</v>
      </c>
      <c r="D166" s="1">
        <v>39163</v>
      </c>
      <c r="E166">
        <v>2</v>
      </c>
      <c r="F166">
        <v>1</v>
      </c>
      <c r="G166">
        <v>3</v>
      </c>
      <c r="H166">
        <v>323</v>
      </c>
      <c r="I166">
        <v>160</v>
      </c>
      <c r="J166">
        <v>836</v>
      </c>
      <c r="K166">
        <v>51.492007273019077</v>
      </c>
      <c r="L166">
        <v>59.28853754940711</v>
      </c>
      <c r="M166">
        <v>48.774533945894511</v>
      </c>
      <c r="N166">
        <f t="shared" si="11"/>
        <v>3</v>
      </c>
      <c r="O166">
        <f t="shared" si="12"/>
        <v>3</v>
      </c>
      <c r="P166">
        <f t="shared" si="13"/>
        <v>2</v>
      </c>
    </row>
    <row r="167" spans="1:16" x14ac:dyDescent="0.4">
      <c r="A167" t="s">
        <v>840</v>
      </c>
      <c r="B167" t="s">
        <v>841</v>
      </c>
      <c r="C167" t="s">
        <v>40</v>
      </c>
      <c r="D167" s="1">
        <v>39171</v>
      </c>
      <c r="E167">
        <v>2</v>
      </c>
      <c r="F167">
        <v>1</v>
      </c>
      <c r="G167">
        <v>3</v>
      </c>
      <c r="H167">
        <v>323</v>
      </c>
      <c r="I167">
        <v>160</v>
      </c>
      <c r="J167">
        <v>836</v>
      </c>
      <c r="K167">
        <v>32.636627837396126</v>
      </c>
      <c r="L167">
        <v>58.102766798418976</v>
      </c>
      <c r="M167">
        <v>72.142016229286114</v>
      </c>
      <c r="N167">
        <f t="shared" si="11"/>
        <v>2</v>
      </c>
      <c r="O167">
        <f t="shared" si="12"/>
        <v>3</v>
      </c>
      <c r="P167">
        <f t="shared" si="13"/>
        <v>3</v>
      </c>
    </row>
    <row r="168" spans="1:16" x14ac:dyDescent="0.4">
      <c r="A168" t="s">
        <v>494</v>
      </c>
      <c r="B168" t="s">
        <v>495</v>
      </c>
      <c r="C168" t="s">
        <v>64</v>
      </c>
      <c r="D168" s="1">
        <v>39174</v>
      </c>
      <c r="E168">
        <v>2</v>
      </c>
      <c r="F168">
        <v>1</v>
      </c>
      <c r="G168">
        <v>3</v>
      </c>
      <c r="H168">
        <v>323</v>
      </c>
      <c r="I168">
        <v>160</v>
      </c>
      <c r="J168">
        <v>836</v>
      </c>
      <c r="K168">
        <v>90.080036240064857</v>
      </c>
      <c r="L168">
        <v>31.116584564860425</v>
      </c>
      <c r="M168">
        <v>20.134000050522079</v>
      </c>
      <c r="N168">
        <f t="shared" si="11"/>
        <v>3</v>
      </c>
      <c r="O168">
        <f t="shared" si="12"/>
        <v>2</v>
      </c>
      <c r="P168">
        <f t="shared" si="13"/>
        <v>1</v>
      </c>
    </row>
    <row r="169" spans="1:16" x14ac:dyDescent="0.4">
      <c r="A169" t="s">
        <v>270</v>
      </c>
      <c r="B169" t="s">
        <v>271</v>
      </c>
      <c r="C169" t="s">
        <v>40</v>
      </c>
      <c r="D169" s="1">
        <v>39181</v>
      </c>
      <c r="E169">
        <v>2</v>
      </c>
      <c r="F169">
        <v>1</v>
      </c>
      <c r="G169">
        <v>3</v>
      </c>
      <c r="H169">
        <v>323</v>
      </c>
      <c r="I169">
        <v>160</v>
      </c>
      <c r="J169">
        <v>836</v>
      </c>
      <c r="K169">
        <v>24.05887708346356</v>
      </c>
      <c r="L169">
        <v>35.573122529644266</v>
      </c>
      <c r="M169">
        <v>67.669609581790411</v>
      </c>
      <c r="N169">
        <f t="shared" si="11"/>
        <v>1</v>
      </c>
      <c r="O169">
        <f t="shared" si="12"/>
        <v>2</v>
      </c>
      <c r="P169">
        <f t="shared" si="13"/>
        <v>3</v>
      </c>
    </row>
    <row r="170" spans="1:16" x14ac:dyDescent="0.4">
      <c r="A170" t="s">
        <v>496</v>
      </c>
      <c r="B170" t="s">
        <v>497</v>
      </c>
      <c r="C170" t="s">
        <v>64</v>
      </c>
      <c r="D170" s="1">
        <v>39181</v>
      </c>
      <c r="E170">
        <v>2</v>
      </c>
      <c r="F170">
        <v>1</v>
      </c>
      <c r="G170">
        <v>3</v>
      </c>
      <c r="H170">
        <v>323</v>
      </c>
      <c r="I170">
        <v>160</v>
      </c>
      <c r="J170">
        <v>836</v>
      </c>
      <c r="K170">
        <v>61.224487480964989</v>
      </c>
      <c r="L170">
        <v>43.02134646962233</v>
      </c>
      <c r="M170">
        <v>16.52479307701606</v>
      </c>
      <c r="N170">
        <f t="shared" si="11"/>
        <v>3</v>
      </c>
      <c r="O170">
        <f t="shared" si="12"/>
        <v>2</v>
      </c>
      <c r="P170">
        <f t="shared" si="13"/>
        <v>1</v>
      </c>
    </row>
    <row r="171" spans="1:16" x14ac:dyDescent="0.4">
      <c r="A171" t="s">
        <v>842</v>
      </c>
      <c r="B171" t="s">
        <v>843</v>
      </c>
      <c r="C171" t="s">
        <v>40</v>
      </c>
      <c r="D171" s="1">
        <v>39182</v>
      </c>
      <c r="E171">
        <v>2</v>
      </c>
      <c r="F171">
        <v>1</v>
      </c>
      <c r="G171">
        <v>3</v>
      </c>
      <c r="H171">
        <v>323</v>
      </c>
      <c r="I171">
        <v>160</v>
      </c>
      <c r="J171">
        <v>836</v>
      </c>
      <c r="K171">
        <v>31.668997387216628</v>
      </c>
      <c r="L171">
        <v>82.21343873517786</v>
      </c>
      <c r="M171">
        <v>44.934139936192814</v>
      </c>
      <c r="N171">
        <f t="shared" si="11"/>
        <v>2</v>
      </c>
      <c r="O171">
        <f t="shared" si="12"/>
        <v>3</v>
      </c>
      <c r="P171">
        <f t="shared" si="13"/>
        <v>2</v>
      </c>
    </row>
    <row r="172" spans="1:16" x14ac:dyDescent="0.4">
      <c r="A172" t="s">
        <v>844</v>
      </c>
      <c r="B172" t="s">
        <v>845</v>
      </c>
      <c r="C172" t="s">
        <v>40</v>
      </c>
      <c r="D172" s="1">
        <v>39183</v>
      </c>
      <c r="E172">
        <v>2</v>
      </c>
      <c r="F172">
        <v>1</v>
      </c>
      <c r="G172">
        <v>3</v>
      </c>
      <c r="H172">
        <v>323</v>
      </c>
      <c r="I172">
        <v>160</v>
      </c>
      <c r="J172">
        <v>836</v>
      </c>
      <c r="K172">
        <v>56.327438771445941</v>
      </c>
      <c r="L172">
        <v>54.940711462450601</v>
      </c>
      <c r="M172">
        <v>57.939628553386228</v>
      </c>
      <c r="N172">
        <f t="shared" si="11"/>
        <v>3</v>
      </c>
      <c r="O172">
        <f t="shared" si="12"/>
        <v>3</v>
      </c>
      <c r="P172">
        <f t="shared" si="13"/>
        <v>3</v>
      </c>
    </row>
    <row r="173" spans="1:16" x14ac:dyDescent="0.4">
      <c r="A173" t="s">
        <v>846</v>
      </c>
      <c r="B173" t="s">
        <v>847</v>
      </c>
      <c r="C173" t="s">
        <v>40</v>
      </c>
      <c r="D173" s="1">
        <v>39184</v>
      </c>
      <c r="E173">
        <v>2</v>
      </c>
      <c r="F173">
        <v>1</v>
      </c>
      <c r="G173">
        <v>3</v>
      </c>
      <c r="H173">
        <v>323</v>
      </c>
      <c r="I173">
        <v>160</v>
      </c>
      <c r="J173">
        <v>836</v>
      </c>
      <c r="K173">
        <v>68.562690183611181</v>
      </c>
      <c r="L173">
        <v>91.501976284584984</v>
      </c>
      <c r="M173">
        <v>59.814616283012917</v>
      </c>
      <c r="N173">
        <f t="shared" si="11"/>
        <v>3</v>
      </c>
      <c r="O173">
        <f t="shared" si="12"/>
        <v>3</v>
      </c>
      <c r="P173">
        <f t="shared" si="13"/>
        <v>3</v>
      </c>
    </row>
    <row r="174" spans="1:16" x14ac:dyDescent="0.4">
      <c r="A174" t="s">
        <v>848</v>
      </c>
      <c r="B174" t="s">
        <v>849</v>
      </c>
      <c r="C174" t="s">
        <v>40</v>
      </c>
      <c r="D174" s="1">
        <v>39185</v>
      </c>
      <c r="E174">
        <v>2</v>
      </c>
      <c r="F174">
        <v>1</v>
      </c>
      <c r="G174">
        <v>3</v>
      </c>
      <c r="H174">
        <v>323</v>
      </c>
      <c r="I174">
        <v>160</v>
      </c>
      <c r="J174">
        <v>836</v>
      </c>
      <c r="K174">
        <v>67.789793286526063</v>
      </c>
      <c r="L174">
        <v>7.1146245059288535</v>
      </c>
      <c r="M174">
        <v>74.249055525063383</v>
      </c>
      <c r="N174">
        <f t="shared" si="11"/>
        <v>3</v>
      </c>
      <c r="O174">
        <f t="shared" si="12"/>
        <v>1</v>
      </c>
      <c r="P174">
        <f t="shared" si="13"/>
        <v>3</v>
      </c>
    </row>
    <row r="175" spans="1:16" x14ac:dyDescent="0.4">
      <c r="A175" t="s">
        <v>850</v>
      </c>
      <c r="B175" t="s">
        <v>851</v>
      </c>
      <c r="C175" t="s">
        <v>40</v>
      </c>
      <c r="D175" s="1">
        <v>39191</v>
      </c>
      <c r="E175">
        <v>2</v>
      </c>
      <c r="F175">
        <v>1</v>
      </c>
      <c r="G175">
        <v>3</v>
      </c>
      <c r="H175">
        <v>323</v>
      </c>
      <c r="I175">
        <v>160</v>
      </c>
      <c r="J175">
        <v>836</v>
      </c>
      <c r="K175">
        <v>38.090885875282432</v>
      </c>
      <c r="L175">
        <v>5.9288537549407119</v>
      </c>
      <c r="M175">
        <v>37.080930413070853</v>
      </c>
      <c r="N175">
        <f t="shared" si="11"/>
        <v>2</v>
      </c>
      <c r="O175">
        <f t="shared" si="12"/>
        <v>1</v>
      </c>
      <c r="P175">
        <f t="shared" si="13"/>
        <v>2</v>
      </c>
    </row>
    <row r="176" spans="1:16" x14ac:dyDescent="0.4">
      <c r="A176" t="s">
        <v>272</v>
      </c>
      <c r="B176" t="s">
        <v>273</v>
      </c>
      <c r="C176" t="s">
        <v>40</v>
      </c>
      <c r="D176" s="1">
        <v>39196</v>
      </c>
      <c r="E176">
        <v>2</v>
      </c>
      <c r="F176">
        <v>1</v>
      </c>
      <c r="G176">
        <v>3</v>
      </c>
      <c r="H176">
        <v>323</v>
      </c>
      <c r="I176">
        <v>160</v>
      </c>
      <c r="J176">
        <v>836</v>
      </c>
      <c r="K176">
        <v>39.744848522106203</v>
      </c>
      <c r="L176">
        <v>18.774703557312254</v>
      </c>
      <c r="M176">
        <v>59.392646210477473</v>
      </c>
      <c r="N176">
        <f t="shared" si="11"/>
        <v>2</v>
      </c>
      <c r="O176">
        <f t="shared" si="12"/>
        <v>1</v>
      </c>
      <c r="P176">
        <f t="shared" si="13"/>
        <v>3</v>
      </c>
    </row>
    <row r="177" spans="1:16" x14ac:dyDescent="0.4">
      <c r="A177" t="s">
        <v>852</v>
      </c>
      <c r="B177" t="s">
        <v>853</v>
      </c>
      <c r="C177" t="s">
        <v>40</v>
      </c>
      <c r="D177" s="1">
        <v>39197</v>
      </c>
      <c r="E177">
        <v>2</v>
      </c>
      <c r="F177">
        <v>1</v>
      </c>
      <c r="G177">
        <v>3</v>
      </c>
      <c r="H177">
        <v>323</v>
      </c>
      <c r="I177">
        <v>160</v>
      </c>
      <c r="J177">
        <v>836</v>
      </c>
      <c r="K177">
        <v>43.990245241395321</v>
      </c>
      <c r="L177">
        <v>91.304347826086953</v>
      </c>
      <c r="M177">
        <v>82.038821775497425</v>
      </c>
      <c r="N177">
        <f t="shared" si="11"/>
        <v>2</v>
      </c>
      <c r="O177">
        <f t="shared" si="12"/>
        <v>3</v>
      </c>
      <c r="P177">
        <f t="shared" si="13"/>
        <v>3</v>
      </c>
    </row>
    <row r="178" spans="1:16" x14ac:dyDescent="0.4">
      <c r="A178" t="s">
        <v>650</v>
      </c>
      <c r="B178" t="s">
        <v>651</v>
      </c>
      <c r="C178" t="s">
        <v>40</v>
      </c>
      <c r="D178" s="1">
        <v>39199</v>
      </c>
      <c r="E178">
        <v>2</v>
      </c>
      <c r="F178">
        <v>1</v>
      </c>
      <c r="G178">
        <v>3</v>
      </c>
      <c r="H178">
        <v>323</v>
      </c>
      <c r="I178">
        <v>160</v>
      </c>
      <c r="J178">
        <v>836</v>
      </c>
      <c r="K178">
        <v>55.028317350634566</v>
      </c>
      <c r="L178">
        <v>47.826086956521742</v>
      </c>
      <c r="M178">
        <v>40.549524028501352</v>
      </c>
      <c r="N178">
        <f t="shared" si="11"/>
        <v>3</v>
      </c>
      <c r="O178">
        <f t="shared" si="12"/>
        <v>2</v>
      </c>
      <c r="P178">
        <f t="shared" si="13"/>
        <v>2</v>
      </c>
    </row>
    <row r="179" spans="1:16" x14ac:dyDescent="0.4">
      <c r="A179" t="s">
        <v>498</v>
      </c>
      <c r="B179" t="s">
        <v>499</v>
      </c>
      <c r="C179" t="s">
        <v>40</v>
      </c>
      <c r="D179" s="1">
        <v>39202</v>
      </c>
      <c r="E179">
        <v>2</v>
      </c>
      <c r="F179">
        <v>1</v>
      </c>
      <c r="G179">
        <v>3</v>
      </c>
      <c r="H179">
        <v>323</v>
      </c>
      <c r="I179">
        <v>160</v>
      </c>
      <c r="J179">
        <v>836</v>
      </c>
      <c r="K179">
        <v>81.459962663699329</v>
      </c>
      <c r="L179">
        <v>75.691699604743079</v>
      </c>
      <c r="M179">
        <v>38.331330023796482</v>
      </c>
      <c r="N179">
        <f t="shared" si="11"/>
        <v>3</v>
      </c>
      <c r="O179">
        <f t="shared" si="12"/>
        <v>3</v>
      </c>
      <c r="P179">
        <f t="shared" si="13"/>
        <v>2</v>
      </c>
    </row>
    <row r="180" spans="1:16" x14ac:dyDescent="0.4">
      <c r="A180" t="s">
        <v>134</v>
      </c>
      <c r="B180" t="s">
        <v>135</v>
      </c>
      <c r="C180" t="s">
        <v>40</v>
      </c>
      <c r="D180" s="1">
        <v>39216</v>
      </c>
      <c r="E180">
        <v>2</v>
      </c>
      <c r="F180">
        <v>1</v>
      </c>
      <c r="G180">
        <v>3</v>
      </c>
      <c r="H180">
        <v>323</v>
      </c>
      <c r="I180">
        <v>160</v>
      </c>
      <c r="J180">
        <v>836</v>
      </c>
      <c r="K180">
        <v>25.743188174301046</v>
      </c>
      <c r="L180">
        <v>23.913043478260871</v>
      </c>
      <c r="M180">
        <v>34.485924075846064</v>
      </c>
      <c r="N180">
        <f t="shared" si="11"/>
        <v>1</v>
      </c>
      <c r="O180">
        <f t="shared" si="12"/>
        <v>1</v>
      </c>
      <c r="P180">
        <f t="shared" si="13"/>
        <v>2</v>
      </c>
    </row>
    <row r="181" spans="1:16" x14ac:dyDescent="0.4">
      <c r="A181" t="s">
        <v>362</v>
      </c>
      <c r="B181" t="s">
        <v>363</v>
      </c>
      <c r="C181" t="s">
        <v>40</v>
      </c>
      <c r="D181" s="1">
        <v>39217</v>
      </c>
      <c r="E181">
        <v>2</v>
      </c>
      <c r="F181">
        <v>1</v>
      </c>
      <c r="G181">
        <v>3</v>
      </c>
      <c r="H181">
        <v>323</v>
      </c>
      <c r="I181">
        <v>160</v>
      </c>
      <c r="J181">
        <v>836</v>
      </c>
      <c r="K181">
        <v>68.509005260178839</v>
      </c>
      <c r="L181">
        <v>56.916996047430828</v>
      </c>
      <c r="M181">
        <v>62.847818182272285</v>
      </c>
      <c r="N181">
        <f t="shared" si="11"/>
        <v>3</v>
      </c>
      <c r="O181">
        <f t="shared" si="12"/>
        <v>3</v>
      </c>
      <c r="P181">
        <f t="shared" si="13"/>
        <v>3</v>
      </c>
    </row>
    <row r="182" spans="1:16" x14ac:dyDescent="0.4">
      <c r="A182" t="s">
        <v>854</v>
      </c>
      <c r="B182" t="s">
        <v>855</v>
      </c>
      <c r="C182" t="s">
        <v>40</v>
      </c>
      <c r="D182" s="1">
        <v>39220</v>
      </c>
      <c r="E182">
        <v>2</v>
      </c>
      <c r="F182">
        <v>1</v>
      </c>
      <c r="G182">
        <v>3</v>
      </c>
      <c r="H182">
        <v>323</v>
      </c>
      <c r="I182">
        <v>160</v>
      </c>
      <c r="J182">
        <v>836</v>
      </c>
      <c r="K182">
        <v>48.209963567746826</v>
      </c>
      <c r="L182">
        <v>54.347826086956523</v>
      </c>
      <c r="M182">
        <v>40.65866140974056</v>
      </c>
      <c r="N182">
        <f t="shared" si="11"/>
        <v>2</v>
      </c>
      <c r="O182">
        <f t="shared" si="12"/>
        <v>3</v>
      </c>
      <c r="P182">
        <f t="shared" si="13"/>
        <v>2</v>
      </c>
    </row>
    <row r="183" spans="1:16" x14ac:dyDescent="0.4">
      <c r="A183" t="s">
        <v>206</v>
      </c>
      <c r="B183" t="s">
        <v>207</v>
      </c>
      <c r="C183" t="s">
        <v>40</v>
      </c>
      <c r="D183" s="1">
        <v>39231</v>
      </c>
      <c r="E183">
        <v>2</v>
      </c>
      <c r="F183">
        <v>1</v>
      </c>
      <c r="G183">
        <v>3</v>
      </c>
      <c r="H183">
        <v>323</v>
      </c>
      <c r="I183">
        <v>160</v>
      </c>
      <c r="J183">
        <v>836</v>
      </c>
      <c r="K183">
        <v>37.750636836887622</v>
      </c>
      <c r="L183">
        <v>77.272727272727266</v>
      </c>
      <c r="M183">
        <v>48.10284674183827</v>
      </c>
      <c r="N183">
        <f t="shared" si="11"/>
        <v>2</v>
      </c>
      <c r="O183">
        <f t="shared" si="12"/>
        <v>3</v>
      </c>
      <c r="P183">
        <f t="shared" si="13"/>
        <v>2</v>
      </c>
    </row>
    <row r="184" spans="1:16" x14ac:dyDescent="0.4">
      <c r="A184" t="s">
        <v>856</v>
      </c>
      <c r="B184" t="s">
        <v>857</v>
      </c>
      <c r="C184" t="s">
        <v>40</v>
      </c>
      <c r="D184" s="1">
        <v>39245</v>
      </c>
      <c r="E184">
        <v>2</v>
      </c>
      <c r="F184">
        <v>1</v>
      </c>
      <c r="G184">
        <v>3</v>
      </c>
      <c r="H184">
        <v>323</v>
      </c>
      <c r="I184">
        <v>160</v>
      </c>
      <c r="J184">
        <v>836</v>
      </c>
      <c r="K184">
        <v>51.463215512697388</v>
      </c>
      <c r="L184">
        <v>8.1027667984189726</v>
      </c>
      <c r="M184">
        <v>61.750510474114243</v>
      </c>
      <c r="N184">
        <f t="shared" si="11"/>
        <v>3</v>
      </c>
      <c r="O184">
        <f t="shared" si="12"/>
        <v>1</v>
      </c>
      <c r="P184">
        <f t="shared" si="13"/>
        <v>3</v>
      </c>
    </row>
    <row r="185" spans="1:16" x14ac:dyDescent="0.4">
      <c r="A185" t="s">
        <v>274</v>
      </c>
      <c r="B185" t="s">
        <v>275</v>
      </c>
      <c r="C185" t="s">
        <v>40</v>
      </c>
      <c r="D185" s="1">
        <v>39246</v>
      </c>
      <c r="E185">
        <v>2</v>
      </c>
      <c r="F185">
        <v>1</v>
      </c>
      <c r="G185">
        <v>3</v>
      </c>
      <c r="H185">
        <v>323</v>
      </c>
      <c r="I185">
        <v>160</v>
      </c>
      <c r="J185">
        <v>836</v>
      </c>
      <c r="K185">
        <v>31.055626128660254</v>
      </c>
      <c r="L185">
        <v>57.114624505928852</v>
      </c>
      <c r="M185">
        <v>62.823399798110444</v>
      </c>
      <c r="N185">
        <f t="shared" si="11"/>
        <v>2</v>
      </c>
      <c r="O185">
        <f t="shared" si="12"/>
        <v>3</v>
      </c>
      <c r="P185">
        <f t="shared" si="13"/>
        <v>3</v>
      </c>
    </row>
    <row r="186" spans="1:16" x14ac:dyDescent="0.4">
      <c r="A186" t="s">
        <v>858</v>
      </c>
      <c r="B186" t="s">
        <v>859</v>
      </c>
      <c r="C186" t="s">
        <v>40</v>
      </c>
      <c r="D186" s="1">
        <v>39247</v>
      </c>
      <c r="E186">
        <v>2</v>
      </c>
      <c r="F186">
        <v>1</v>
      </c>
      <c r="G186">
        <v>3</v>
      </c>
      <c r="H186">
        <v>323</v>
      </c>
      <c r="I186">
        <v>160</v>
      </c>
      <c r="J186">
        <v>836</v>
      </c>
      <c r="K186">
        <v>45.140155775132904</v>
      </c>
      <c r="L186">
        <v>55.731225296442688</v>
      </c>
      <c r="M186">
        <v>73.489011214828764</v>
      </c>
      <c r="N186">
        <f t="shared" si="11"/>
        <v>2</v>
      </c>
      <c r="O186">
        <f t="shared" si="12"/>
        <v>3</v>
      </c>
      <c r="P186">
        <f t="shared" si="13"/>
        <v>3</v>
      </c>
    </row>
    <row r="187" spans="1:16" x14ac:dyDescent="0.4">
      <c r="A187" t="s">
        <v>860</v>
      </c>
      <c r="B187" t="s">
        <v>861</v>
      </c>
      <c r="C187" t="s">
        <v>40</v>
      </c>
      <c r="D187" s="1">
        <v>39251</v>
      </c>
      <c r="E187">
        <v>2</v>
      </c>
      <c r="F187">
        <v>1</v>
      </c>
      <c r="G187">
        <v>3</v>
      </c>
      <c r="H187">
        <v>323</v>
      </c>
      <c r="I187">
        <v>160</v>
      </c>
      <c r="J187">
        <v>836</v>
      </c>
      <c r="K187">
        <v>85.278938259066265</v>
      </c>
      <c r="L187">
        <v>6.7193675889328066</v>
      </c>
      <c r="M187">
        <v>25.204976343496266</v>
      </c>
      <c r="N187">
        <f t="shared" si="11"/>
        <v>3</v>
      </c>
      <c r="O187">
        <f t="shared" si="12"/>
        <v>1</v>
      </c>
      <c r="P187">
        <f t="shared" si="13"/>
        <v>1</v>
      </c>
    </row>
    <row r="188" spans="1:16" x14ac:dyDescent="0.4">
      <c r="A188" t="s">
        <v>862</v>
      </c>
      <c r="B188" t="s">
        <v>863</v>
      </c>
      <c r="C188" t="s">
        <v>40</v>
      </c>
      <c r="D188" s="1">
        <v>39269</v>
      </c>
      <c r="E188">
        <v>2</v>
      </c>
      <c r="F188">
        <v>1</v>
      </c>
      <c r="G188">
        <v>3</v>
      </c>
      <c r="H188">
        <v>323</v>
      </c>
      <c r="I188">
        <v>160</v>
      </c>
      <c r="J188">
        <v>836</v>
      </c>
      <c r="K188">
        <v>66.642603505259061</v>
      </c>
      <c r="L188">
        <v>87.944664031620547</v>
      </c>
      <c r="M188">
        <v>60.752908719024994</v>
      </c>
      <c r="N188">
        <f t="shared" si="11"/>
        <v>3</v>
      </c>
      <c r="O188">
        <f t="shared" si="12"/>
        <v>3</v>
      </c>
      <c r="P188">
        <f t="shared" si="13"/>
        <v>3</v>
      </c>
    </row>
    <row r="189" spans="1:16" x14ac:dyDescent="0.4">
      <c r="A189" t="s">
        <v>864</v>
      </c>
      <c r="B189" t="s">
        <v>865</v>
      </c>
      <c r="C189" t="s">
        <v>40</v>
      </c>
      <c r="D189" s="1">
        <v>39274</v>
      </c>
      <c r="E189">
        <v>2</v>
      </c>
      <c r="F189">
        <v>1</v>
      </c>
      <c r="G189">
        <v>3</v>
      </c>
      <c r="H189">
        <v>323</v>
      </c>
      <c r="I189">
        <v>160</v>
      </c>
      <c r="J189">
        <v>836</v>
      </c>
      <c r="K189">
        <v>86.750228207418459</v>
      </c>
      <c r="L189">
        <v>78.853754940711468</v>
      </c>
      <c r="M189">
        <v>75.604076818470318</v>
      </c>
      <c r="N189">
        <f t="shared" si="11"/>
        <v>3</v>
      </c>
      <c r="O189">
        <f t="shared" si="12"/>
        <v>3</v>
      </c>
      <c r="P189">
        <f t="shared" si="13"/>
        <v>3</v>
      </c>
    </row>
    <row r="190" spans="1:16" x14ac:dyDescent="0.4">
      <c r="A190" t="s">
        <v>866</v>
      </c>
      <c r="B190" t="s">
        <v>867</v>
      </c>
      <c r="C190" t="s">
        <v>40</v>
      </c>
      <c r="D190" s="1">
        <v>39281</v>
      </c>
      <c r="E190">
        <v>2</v>
      </c>
      <c r="F190">
        <v>1</v>
      </c>
      <c r="G190">
        <v>3</v>
      </c>
      <c r="H190">
        <v>323</v>
      </c>
      <c r="I190">
        <v>160</v>
      </c>
      <c r="J190">
        <v>836</v>
      </c>
      <c r="K190">
        <v>93.058113722976088</v>
      </c>
      <c r="L190">
        <v>63.43873517786561</v>
      </c>
      <c r="M190">
        <v>55.272860920102836</v>
      </c>
      <c r="N190">
        <f t="shared" si="11"/>
        <v>3</v>
      </c>
      <c r="O190">
        <f t="shared" si="12"/>
        <v>3</v>
      </c>
      <c r="P190">
        <f t="shared" si="13"/>
        <v>3</v>
      </c>
    </row>
    <row r="191" spans="1:16" x14ac:dyDescent="0.4">
      <c r="A191" t="s">
        <v>276</v>
      </c>
      <c r="B191" t="s">
        <v>277</v>
      </c>
      <c r="C191" t="s">
        <v>40</v>
      </c>
      <c r="D191" s="1">
        <v>39296</v>
      </c>
      <c r="E191">
        <v>2</v>
      </c>
      <c r="F191">
        <v>1</v>
      </c>
      <c r="G191">
        <v>3</v>
      </c>
      <c r="H191">
        <v>323</v>
      </c>
      <c r="I191">
        <v>160</v>
      </c>
      <c r="J191">
        <v>836</v>
      </c>
      <c r="K191">
        <v>32.727483749961472</v>
      </c>
      <c r="L191">
        <v>3.1620553359683794</v>
      </c>
      <c r="M191">
        <v>41.171370955706877</v>
      </c>
      <c r="N191">
        <f t="shared" si="11"/>
        <v>2</v>
      </c>
      <c r="O191">
        <f t="shared" si="12"/>
        <v>1</v>
      </c>
      <c r="P191">
        <f t="shared" si="13"/>
        <v>2</v>
      </c>
    </row>
    <row r="192" spans="1:16" x14ac:dyDescent="0.4">
      <c r="A192" t="s">
        <v>868</v>
      </c>
      <c r="B192" t="s">
        <v>869</v>
      </c>
      <c r="C192" t="s">
        <v>40</v>
      </c>
      <c r="D192" s="1">
        <v>39297</v>
      </c>
      <c r="E192">
        <v>2</v>
      </c>
      <c r="F192">
        <v>1</v>
      </c>
      <c r="G192">
        <v>3</v>
      </c>
      <c r="H192">
        <v>323</v>
      </c>
      <c r="I192">
        <v>160</v>
      </c>
      <c r="J192">
        <v>836</v>
      </c>
      <c r="K192">
        <v>83.992067112353482</v>
      </c>
      <c r="L192">
        <v>52.964426877470359</v>
      </c>
      <c r="M192">
        <v>62.163930516044985</v>
      </c>
      <c r="N192">
        <f t="shared" si="11"/>
        <v>3</v>
      </c>
      <c r="O192">
        <f t="shared" si="12"/>
        <v>3</v>
      </c>
      <c r="P192">
        <f t="shared" si="13"/>
        <v>3</v>
      </c>
    </row>
    <row r="193" spans="1:16" x14ac:dyDescent="0.4">
      <c r="A193" t="s">
        <v>278</v>
      </c>
      <c r="B193" t="s">
        <v>279</v>
      </c>
      <c r="C193" t="s">
        <v>40</v>
      </c>
      <c r="D193" s="1">
        <v>39300</v>
      </c>
      <c r="E193">
        <v>2</v>
      </c>
      <c r="F193">
        <v>1</v>
      </c>
      <c r="G193">
        <v>3</v>
      </c>
      <c r="H193">
        <v>323</v>
      </c>
      <c r="I193">
        <v>160</v>
      </c>
      <c r="J193">
        <v>836</v>
      </c>
      <c r="K193">
        <v>42.866013100595353</v>
      </c>
      <c r="L193">
        <v>9.2885375494071152</v>
      </c>
      <c r="M193">
        <v>42.25508314054315</v>
      </c>
      <c r="N193">
        <f t="shared" si="11"/>
        <v>2</v>
      </c>
      <c r="O193">
        <f t="shared" si="12"/>
        <v>1</v>
      </c>
      <c r="P193">
        <f t="shared" si="13"/>
        <v>2</v>
      </c>
    </row>
    <row r="194" spans="1:16" x14ac:dyDescent="0.4">
      <c r="A194" t="s">
        <v>870</v>
      </c>
      <c r="B194" t="s">
        <v>871</v>
      </c>
      <c r="C194" t="s">
        <v>40</v>
      </c>
      <c r="D194" s="1">
        <v>39302</v>
      </c>
      <c r="E194">
        <v>2</v>
      </c>
      <c r="F194">
        <v>1</v>
      </c>
      <c r="G194">
        <v>3</v>
      </c>
      <c r="H194">
        <v>323</v>
      </c>
      <c r="I194">
        <v>160</v>
      </c>
      <c r="J194">
        <v>836</v>
      </c>
      <c r="K194">
        <v>34.447774209229657</v>
      </c>
      <c r="L194">
        <v>20.948616600790515</v>
      </c>
      <c r="M194">
        <v>56.139492328280234</v>
      </c>
      <c r="N194">
        <f t="shared" si="11"/>
        <v>2</v>
      </c>
      <c r="O194">
        <f t="shared" si="12"/>
        <v>1</v>
      </c>
      <c r="P194">
        <f t="shared" si="13"/>
        <v>3</v>
      </c>
    </row>
    <row r="195" spans="1:16" x14ac:dyDescent="0.4">
      <c r="A195" t="s">
        <v>872</v>
      </c>
      <c r="B195" t="s">
        <v>873</v>
      </c>
      <c r="C195" t="s">
        <v>40</v>
      </c>
      <c r="D195" s="1">
        <v>39311</v>
      </c>
      <c r="E195">
        <v>2</v>
      </c>
      <c r="F195">
        <v>1</v>
      </c>
      <c r="G195">
        <v>3</v>
      </c>
      <c r="H195">
        <v>323</v>
      </c>
      <c r="I195">
        <v>160</v>
      </c>
      <c r="J195">
        <v>836</v>
      </c>
      <c r="K195">
        <v>73.356104998315033</v>
      </c>
      <c r="L195">
        <v>99.011857707509876</v>
      </c>
      <c r="M195">
        <v>62.484270498712824</v>
      </c>
      <c r="N195">
        <f t="shared" ref="N195:N258" si="14">IF(AND(K195&gt;0,K195&lt;30),1,IF(AND(K195&gt;=30,K195&lt;50),2,IF(K195&gt;=50,3,0)))</f>
        <v>3</v>
      </c>
      <c r="O195">
        <f t="shared" ref="O195:O258" si="15">IF(AND(L195&gt;0,L195&lt;30),1,IF(AND(L195&gt;=30,L195&lt;50),2,IF(L195&gt;=50,3,0)))</f>
        <v>3</v>
      </c>
      <c r="P195">
        <f t="shared" ref="P195:P258" si="16">IF(AND(M195&gt;0,M195&lt;30),1,IF(AND(M195&gt;=30,M195&lt;50),2,IF(M195&gt;=50,3,0)))</f>
        <v>3</v>
      </c>
    </row>
    <row r="196" spans="1:16" x14ac:dyDescent="0.4">
      <c r="A196" t="s">
        <v>280</v>
      </c>
      <c r="B196" t="s">
        <v>281</v>
      </c>
      <c r="C196" t="s">
        <v>40</v>
      </c>
      <c r="D196" s="1">
        <v>39318</v>
      </c>
      <c r="E196">
        <v>2</v>
      </c>
      <c r="F196">
        <v>1</v>
      </c>
      <c r="G196">
        <v>3</v>
      </c>
      <c r="H196">
        <v>323</v>
      </c>
      <c r="I196">
        <v>160</v>
      </c>
      <c r="J196">
        <v>836</v>
      </c>
      <c r="K196">
        <v>37.751422066714575</v>
      </c>
      <c r="L196">
        <v>51.383399209486164</v>
      </c>
      <c r="M196">
        <v>31.705314789527538</v>
      </c>
      <c r="N196">
        <f t="shared" si="14"/>
        <v>2</v>
      </c>
      <c r="O196">
        <f t="shared" si="15"/>
        <v>3</v>
      </c>
      <c r="P196">
        <f t="shared" si="16"/>
        <v>2</v>
      </c>
    </row>
    <row r="197" spans="1:16" x14ac:dyDescent="0.4">
      <c r="A197" t="s">
        <v>282</v>
      </c>
      <c r="B197" t="s">
        <v>283</v>
      </c>
      <c r="C197" t="s">
        <v>40</v>
      </c>
      <c r="D197" s="1">
        <v>39335</v>
      </c>
      <c r="E197">
        <v>2</v>
      </c>
      <c r="F197">
        <v>1</v>
      </c>
      <c r="G197">
        <v>3</v>
      </c>
      <c r="H197">
        <v>323</v>
      </c>
      <c r="I197">
        <v>160</v>
      </c>
      <c r="J197">
        <v>836</v>
      </c>
      <c r="K197">
        <v>22.553543289324299</v>
      </c>
      <c r="L197">
        <v>85.968379446640313</v>
      </c>
      <c r="M197">
        <v>82.443365834263233</v>
      </c>
      <c r="N197">
        <f t="shared" si="14"/>
        <v>1</v>
      </c>
      <c r="O197">
        <f t="shared" si="15"/>
        <v>3</v>
      </c>
      <c r="P197">
        <f t="shared" si="16"/>
        <v>3</v>
      </c>
    </row>
    <row r="198" spans="1:16" x14ac:dyDescent="0.4">
      <c r="A198" t="s">
        <v>874</v>
      </c>
      <c r="B198" t="s">
        <v>875</v>
      </c>
      <c r="C198" t="s">
        <v>40</v>
      </c>
      <c r="D198" s="1">
        <v>39380</v>
      </c>
      <c r="E198">
        <v>2</v>
      </c>
      <c r="F198">
        <v>1</v>
      </c>
      <c r="G198">
        <v>3</v>
      </c>
      <c r="H198">
        <v>323</v>
      </c>
      <c r="I198">
        <v>160</v>
      </c>
      <c r="J198">
        <v>836</v>
      </c>
      <c r="K198">
        <v>29.76389551139556</v>
      </c>
      <c r="L198">
        <v>42.687747035573125</v>
      </c>
      <c r="M198">
        <v>73.446384681639955</v>
      </c>
      <c r="N198">
        <f t="shared" si="14"/>
        <v>1</v>
      </c>
      <c r="O198">
        <f t="shared" si="15"/>
        <v>2</v>
      </c>
      <c r="P198">
        <f t="shared" si="16"/>
        <v>3</v>
      </c>
    </row>
    <row r="199" spans="1:16" x14ac:dyDescent="0.4">
      <c r="A199" t="s">
        <v>500</v>
      </c>
      <c r="B199" t="s">
        <v>501</v>
      </c>
      <c r="C199" t="s">
        <v>40</v>
      </c>
      <c r="D199" s="1">
        <v>39395</v>
      </c>
      <c r="E199">
        <v>2</v>
      </c>
      <c r="F199">
        <v>1</v>
      </c>
      <c r="G199">
        <v>3</v>
      </c>
      <c r="H199">
        <v>323</v>
      </c>
      <c r="I199">
        <v>160</v>
      </c>
      <c r="J199">
        <v>836</v>
      </c>
      <c r="K199">
        <v>70.720312328607662</v>
      </c>
      <c r="L199">
        <v>15.217391304347824</v>
      </c>
      <c r="M199">
        <v>40.513023772425434</v>
      </c>
      <c r="N199">
        <f t="shared" si="14"/>
        <v>3</v>
      </c>
      <c r="O199">
        <f t="shared" si="15"/>
        <v>1</v>
      </c>
      <c r="P199">
        <f t="shared" si="16"/>
        <v>2</v>
      </c>
    </row>
    <row r="200" spans="1:16" x14ac:dyDescent="0.4">
      <c r="A200" t="s">
        <v>876</v>
      </c>
      <c r="B200" t="s">
        <v>877</v>
      </c>
      <c r="C200" t="s">
        <v>40</v>
      </c>
      <c r="D200" s="1">
        <v>39408</v>
      </c>
      <c r="E200">
        <v>2</v>
      </c>
      <c r="F200">
        <v>1</v>
      </c>
      <c r="G200">
        <v>3</v>
      </c>
      <c r="H200">
        <v>323</v>
      </c>
      <c r="I200">
        <v>160</v>
      </c>
      <c r="J200">
        <v>836</v>
      </c>
      <c r="K200">
        <v>60.472260637065915</v>
      </c>
      <c r="L200">
        <v>29.051383399209488</v>
      </c>
      <c r="M200">
        <v>57.790876098603832</v>
      </c>
      <c r="N200">
        <f t="shared" si="14"/>
        <v>3</v>
      </c>
      <c r="O200">
        <f t="shared" si="15"/>
        <v>1</v>
      </c>
      <c r="P200">
        <f t="shared" si="16"/>
        <v>3</v>
      </c>
    </row>
    <row r="201" spans="1:16" x14ac:dyDescent="0.4">
      <c r="A201" t="s">
        <v>53</v>
      </c>
      <c r="B201" t="s">
        <v>54</v>
      </c>
      <c r="C201" t="s">
        <v>40</v>
      </c>
      <c r="D201" s="1">
        <v>39424</v>
      </c>
      <c r="E201">
        <v>2</v>
      </c>
      <c r="F201">
        <v>1</v>
      </c>
      <c r="G201">
        <v>3</v>
      </c>
      <c r="H201">
        <v>323</v>
      </c>
      <c r="I201">
        <v>160</v>
      </c>
      <c r="J201">
        <v>836</v>
      </c>
      <c r="K201">
        <v>32.679037136032633</v>
      </c>
      <c r="L201">
        <v>21.541501976284586</v>
      </c>
      <c r="M201">
        <v>51.624001635653151</v>
      </c>
      <c r="N201">
        <f t="shared" si="14"/>
        <v>2</v>
      </c>
      <c r="O201">
        <f t="shared" si="15"/>
        <v>1</v>
      </c>
      <c r="P201">
        <f t="shared" si="16"/>
        <v>3</v>
      </c>
    </row>
    <row r="202" spans="1:16" x14ac:dyDescent="0.4">
      <c r="A202" t="s">
        <v>502</v>
      </c>
      <c r="B202" t="s">
        <v>503</v>
      </c>
      <c r="C202" t="s">
        <v>40</v>
      </c>
      <c r="D202" s="1">
        <v>39427</v>
      </c>
      <c r="E202">
        <v>2</v>
      </c>
      <c r="F202">
        <v>1</v>
      </c>
      <c r="G202">
        <v>3</v>
      </c>
      <c r="H202">
        <v>323</v>
      </c>
      <c r="I202">
        <v>160</v>
      </c>
      <c r="J202">
        <v>836</v>
      </c>
      <c r="K202">
        <v>63.776287333502445</v>
      </c>
      <c r="L202">
        <v>19.565217391304348</v>
      </c>
      <c r="M202">
        <v>17.242296804421596</v>
      </c>
      <c r="N202">
        <f t="shared" si="14"/>
        <v>3</v>
      </c>
      <c r="O202">
        <f t="shared" si="15"/>
        <v>1</v>
      </c>
      <c r="P202">
        <f t="shared" si="16"/>
        <v>1</v>
      </c>
    </row>
    <row r="203" spans="1:16" x14ac:dyDescent="0.4">
      <c r="A203" t="s">
        <v>504</v>
      </c>
      <c r="B203" t="s">
        <v>505</v>
      </c>
      <c r="C203" t="s">
        <v>40</v>
      </c>
      <c r="D203" s="1">
        <v>39434</v>
      </c>
      <c r="E203">
        <v>2</v>
      </c>
      <c r="F203">
        <v>1</v>
      </c>
      <c r="G203">
        <v>3</v>
      </c>
      <c r="H203">
        <v>323</v>
      </c>
      <c r="I203">
        <v>160</v>
      </c>
      <c r="J203">
        <v>836</v>
      </c>
      <c r="K203">
        <v>67.917603216824858</v>
      </c>
      <c r="L203">
        <v>95.059288537549406</v>
      </c>
      <c r="M203">
        <v>54.561640768322086</v>
      </c>
      <c r="N203">
        <f t="shared" si="14"/>
        <v>3</v>
      </c>
      <c r="O203">
        <f t="shared" si="15"/>
        <v>3</v>
      </c>
      <c r="P203">
        <f t="shared" si="16"/>
        <v>3</v>
      </c>
    </row>
    <row r="204" spans="1:16" x14ac:dyDescent="0.4">
      <c r="A204" t="s">
        <v>364</v>
      </c>
      <c r="B204" t="s">
        <v>365</v>
      </c>
      <c r="C204" t="s">
        <v>40</v>
      </c>
      <c r="D204" s="1">
        <v>39457</v>
      </c>
      <c r="E204">
        <v>2</v>
      </c>
      <c r="F204">
        <v>1</v>
      </c>
      <c r="G204">
        <v>3</v>
      </c>
      <c r="H204">
        <v>323</v>
      </c>
      <c r="I204">
        <v>160</v>
      </c>
      <c r="J204">
        <v>836</v>
      </c>
      <c r="K204">
        <v>44.962153127737437</v>
      </c>
      <c r="L204">
        <v>60.276679841897234</v>
      </c>
      <c r="M204">
        <v>72.931988287165453</v>
      </c>
      <c r="N204">
        <f t="shared" si="14"/>
        <v>2</v>
      </c>
      <c r="O204">
        <f t="shared" si="15"/>
        <v>3</v>
      </c>
      <c r="P204">
        <f t="shared" si="16"/>
        <v>3</v>
      </c>
    </row>
    <row r="205" spans="1:16" x14ac:dyDescent="0.4">
      <c r="A205" t="s">
        <v>506</v>
      </c>
      <c r="B205" t="s">
        <v>507</v>
      </c>
      <c r="C205" t="s">
        <v>40</v>
      </c>
      <c r="D205" s="1">
        <v>39528</v>
      </c>
      <c r="E205">
        <v>2</v>
      </c>
      <c r="F205">
        <v>1</v>
      </c>
      <c r="G205">
        <v>3</v>
      </c>
      <c r="H205">
        <v>323</v>
      </c>
      <c r="I205">
        <v>160</v>
      </c>
      <c r="J205">
        <v>836</v>
      </c>
      <c r="K205">
        <v>63.298698843180823</v>
      </c>
      <c r="L205">
        <v>93.280632411067188</v>
      </c>
      <c r="M205">
        <v>48.823981304950486</v>
      </c>
      <c r="N205">
        <f t="shared" si="14"/>
        <v>3</v>
      </c>
      <c r="O205">
        <f t="shared" si="15"/>
        <v>3</v>
      </c>
      <c r="P205">
        <f t="shared" si="16"/>
        <v>2</v>
      </c>
    </row>
    <row r="206" spans="1:16" x14ac:dyDescent="0.4">
      <c r="A206" t="s">
        <v>508</v>
      </c>
      <c r="B206" t="s">
        <v>509</v>
      </c>
      <c r="C206" t="s">
        <v>40</v>
      </c>
      <c r="D206" s="1">
        <v>39541</v>
      </c>
      <c r="E206">
        <v>2</v>
      </c>
      <c r="F206">
        <v>1</v>
      </c>
      <c r="G206">
        <v>3</v>
      </c>
      <c r="H206">
        <v>323</v>
      </c>
      <c r="I206">
        <v>160</v>
      </c>
      <c r="J206">
        <v>836</v>
      </c>
      <c r="K206">
        <v>62.233024872326972</v>
      </c>
      <c r="L206">
        <v>22.529644268774703</v>
      </c>
      <c r="M206">
        <v>32.09077487016166</v>
      </c>
      <c r="N206">
        <f t="shared" si="14"/>
        <v>3</v>
      </c>
      <c r="O206">
        <f t="shared" si="15"/>
        <v>1</v>
      </c>
      <c r="P206">
        <f t="shared" si="16"/>
        <v>2</v>
      </c>
    </row>
    <row r="207" spans="1:16" x14ac:dyDescent="0.4">
      <c r="A207" t="s">
        <v>878</v>
      </c>
      <c r="B207" t="s">
        <v>879</v>
      </c>
      <c r="C207" t="s">
        <v>40</v>
      </c>
      <c r="D207" s="1">
        <v>39553</v>
      </c>
      <c r="E207">
        <v>2</v>
      </c>
      <c r="F207">
        <v>1</v>
      </c>
      <c r="G207">
        <v>3</v>
      </c>
      <c r="H207">
        <v>323</v>
      </c>
      <c r="I207">
        <v>160</v>
      </c>
      <c r="J207">
        <v>836</v>
      </c>
      <c r="K207">
        <v>78.465443946730417</v>
      </c>
      <c r="L207">
        <v>99.802371541501969</v>
      </c>
      <c r="M207">
        <v>47.76637252058093</v>
      </c>
      <c r="N207">
        <f t="shared" si="14"/>
        <v>3</v>
      </c>
      <c r="O207">
        <f t="shared" si="15"/>
        <v>3</v>
      </c>
      <c r="P207">
        <f t="shared" si="16"/>
        <v>2</v>
      </c>
    </row>
    <row r="208" spans="1:16" x14ac:dyDescent="0.4">
      <c r="A208" t="s">
        <v>880</v>
      </c>
      <c r="B208" t="s">
        <v>881</v>
      </c>
      <c r="C208" t="s">
        <v>40</v>
      </c>
      <c r="D208" s="1">
        <v>39554</v>
      </c>
      <c r="E208">
        <v>2</v>
      </c>
      <c r="F208">
        <v>1</v>
      </c>
      <c r="G208">
        <v>3</v>
      </c>
      <c r="H208">
        <v>323</v>
      </c>
      <c r="I208">
        <v>160</v>
      </c>
      <c r="J208">
        <v>836</v>
      </c>
      <c r="K208">
        <v>73.352599016017479</v>
      </c>
      <c r="L208">
        <v>83.596837944664031</v>
      </c>
      <c r="M208">
        <v>45.963737385722133</v>
      </c>
      <c r="N208">
        <f t="shared" si="14"/>
        <v>3</v>
      </c>
      <c r="O208">
        <f t="shared" si="15"/>
        <v>3</v>
      </c>
      <c r="P208">
        <f t="shared" si="16"/>
        <v>2</v>
      </c>
    </row>
    <row r="209" spans="1:16" x14ac:dyDescent="0.4">
      <c r="A209" t="s">
        <v>882</v>
      </c>
      <c r="B209" t="s">
        <v>883</v>
      </c>
      <c r="C209" t="s">
        <v>40</v>
      </c>
      <c r="D209" s="1">
        <v>39561</v>
      </c>
      <c r="E209">
        <v>2</v>
      </c>
      <c r="F209">
        <v>1</v>
      </c>
      <c r="G209">
        <v>3</v>
      </c>
      <c r="H209">
        <v>323</v>
      </c>
      <c r="I209">
        <v>160</v>
      </c>
      <c r="J209">
        <v>836</v>
      </c>
      <c r="K209">
        <v>78.515636663827095</v>
      </c>
      <c r="L209">
        <v>80.632411067193672</v>
      </c>
      <c r="M209">
        <v>38.524867922068225</v>
      </c>
      <c r="N209">
        <f t="shared" si="14"/>
        <v>3</v>
      </c>
      <c r="O209">
        <f t="shared" si="15"/>
        <v>3</v>
      </c>
      <c r="P209">
        <f t="shared" si="16"/>
        <v>2</v>
      </c>
    </row>
    <row r="210" spans="1:16" x14ac:dyDescent="0.4">
      <c r="A210" t="s">
        <v>76</v>
      </c>
      <c r="B210" t="s">
        <v>77</v>
      </c>
      <c r="C210" t="s">
        <v>40</v>
      </c>
      <c r="D210" s="1">
        <v>39568</v>
      </c>
      <c r="E210">
        <v>2</v>
      </c>
      <c r="F210">
        <v>1</v>
      </c>
      <c r="G210">
        <v>3</v>
      </c>
      <c r="H210">
        <v>323</v>
      </c>
      <c r="I210">
        <v>160</v>
      </c>
      <c r="J210">
        <v>836</v>
      </c>
      <c r="K210">
        <v>35.464040692813782</v>
      </c>
      <c r="L210">
        <v>12.252964426877471</v>
      </c>
      <c r="M210">
        <v>31.231862067470225</v>
      </c>
      <c r="N210">
        <f t="shared" si="14"/>
        <v>2</v>
      </c>
      <c r="O210">
        <f t="shared" si="15"/>
        <v>1</v>
      </c>
      <c r="P210">
        <f t="shared" si="16"/>
        <v>2</v>
      </c>
    </row>
    <row r="211" spans="1:16" x14ac:dyDescent="0.4">
      <c r="A211" t="s">
        <v>884</v>
      </c>
      <c r="B211" t="s">
        <v>885</v>
      </c>
      <c r="C211" t="s">
        <v>64</v>
      </c>
      <c r="D211" s="1">
        <v>39576</v>
      </c>
      <c r="E211">
        <v>2</v>
      </c>
      <c r="F211">
        <v>1</v>
      </c>
      <c r="G211">
        <v>3</v>
      </c>
      <c r="H211">
        <v>323</v>
      </c>
      <c r="I211">
        <v>160</v>
      </c>
      <c r="J211">
        <v>836</v>
      </c>
      <c r="K211">
        <v>82.392600629321549</v>
      </c>
      <c r="L211">
        <v>56.321839080459768</v>
      </c>
      <c r="M211">
        <v>40.006656155374763</v>
      </c>
      <c r="N211">
        <f t="shared" si="14"/>
        <v>3</v>
      </c>
      <c r="O211">
        <f t="shared" si="15"/>
        <v>3</v>
      </c>
      <c r="P211">
        <f t="shared" si="16"/>
        <v>2</v>
      </c>
    </row>
    <row r="212" spans="1:16" x14ac:dyDescent="0.4">
      <c r="A212" t="s">
        <v>366</v>
      </c>
      <c r="B212" t="s">
        <v>367</v>
      </c>
      <c r="C212" t="s">
        <v>64</v>
      </c>
      <c r="D212" s="1">
        <v>39588</v>
      </c>
      <c r="E212">
        <v>2</v>
      </c>
      <c r="F212">
        <v>1</v>
      </c>
      <c r="G212">
        <v>3</v>
      </c>
      <c r="H212">
        <v>323</v>
      </c>
      <c r="I212">
        <v>160</v>
      </c>
      <c r="J212">
        <v>836</v>
      </c>
      <c r="K212">
        <v>63.949280252935019</v>
      </c>
      <c r="L212">
        <v>71.018062397372745</v>
      </c>
      <c r="M212">
        <v>25.37008869486208</v>
      </c>
      <c r="N212">
        <f t="shared" si="14"/>
        <v>3</v>
      </c>
      <c r="O212">
        <f t="shared" si="15"/>
        <v>3</v>
      </c>
      <c r="P212">
        <f t="shared" si="16"/>
        <v>1</v>
      </c>
    </row>
    <row r="213" spans="1:16" x14ac:dyDescent="0.4">
      <c r="A213" t="s">
        <v>510</v>
      </c>
      <c r="B213" t="s">
        <v>511</v>
      </c>
      <c r="C213" t="s">
        <v>40</v>
      </c>
      <c r="D213" s="1">
        <v>39594</v>
      </c>
      <c r="E213">
        <v>2</v>
      </c>
      <c r="F213">
        <v>1</v>
      </c>
      <c r="G213">
        <v>3</v>
      </c>
      <c r="H213">
        <v>323</v>
      </c>
      <c r="I213">
        <v>160</v>
      </c>
      <c r="J213">
        <v>836</v>
      </c>
      <c r="K213">
        <v>64.576229887741405</v>
      </c>
      <c r="L213">
        <v>6.5217391304347831</v>
      </c>
      <c r="M213">
        <v>43.389757485460848</v>
      </c>
      <c r="N213">
        <f t="shared" si="14"/>
        <v>3</v>
      </c>
      <c r="O213">
        <f t="shared" si="15"/>
        <v>1</v>
      </c>
      <c r="P213">
        <f t="shared" si="16"/>
        <v>2</v>
      </c>
    </row>
    <row r="214" spans="1:16" x14ac:dyDescent="0.4">
      <c r="A214" t="s">
        <v>652</v>
      </c>
      <c r="B214" t="s">
        <v>653</v>
      </c>
      <c r="C214" t="s">
        <v>40</v>
      </c>
      <c r="D214" s="1">
        <v>39595</v>
      </c>
      <c r="E214">
        <v>2</v>
      </c>
      <c r="F214">
        <v>1</v>
      </c>
      <c r="G214">
        <v>3</v>
      </c>
      <c r="H214">
        <v>323</v>
      </c>
      <c r="I214">
        <v>160</v>
      </c>
      <c r="J214">
        <v>836</v>
      </c>
      <c r="K214">
        <v>60.875345281569466</v>
      </c>
      <c r="L214">
        <v>48.023715415019765</v>
      </c>
      <c r="M214">
        <v>26.40916142808128</v>
      </c>
      <c r="N214">
        <f t="shared" si="14"/>
        <v>3</v>
      </c>
      <c r="O214">
        <f t="shared" si="15"/>
        <v>2</v>
      </c>
      <c r="P214">
        <f t="shared" si="16"/>
        <v>1</v>
      </c>
    </row>
    <row r="215" spans="1:16" x14ac:dyDescent="0.4">
      <c r="A215" t="s">
        <v>284</v>
      </c>
      <c r="B215" t="s">
        <v>285</v>
      </c>
      <c r="C215" t="s">
        <v>40</v>
      </c>
      <c r="D215" s="1">
        <v>39596</v>
      </c>
      <c r="E215">
        <v>2</v>
      </c>
      <c r="F215">
        <v>1</v>
      </c>
      <c r="G215">
        <v>3</v>
      </c>
      <c r="H215">
        <v>323</v>
      </c>
      <c r="I215">
        <v>160</v>
      </c>
      <c r="J215">
        <v>836</v>
      </c>
      <c r="K215">
        <v>35.236630558148597</v>
      </c>
      <c r="L215">
        <v>70.750988142292485</v>
      </c>
      <c r="M215">
        <v>56.622283862427224</v>
      </c>
      <c r="N215">
        <f t="shared" si="14"/>
        <v>2</v>
      </c>
      <c r="O215">
        <f t="shared" si="15"/>
        <v>3</v>
      </c>
      <c r="P215">
        <f t="shared" si="16"/>
        <v>3</v>
      </c>
    </row>
    <row r="216" spans="1:16" x14ac:dyDescent="0.4">
      <c r="A216" t="s">
        <v>886</v>
      </c>
      <c r="B216" t="s">
        <v>887</v>
      </c>
      <c r="C216" t="s">
        <v>64</v>
      </c>
      <c r="D216" s="1">
        <v>39596</v>
      </c>
      <c r="E216">
        <v>2</v>
      </c>
      <c r="F216">
        <v>1</v>
      </c>
      <c r="G216">
        <v>3</v>
      </c>
      <c r="H216">
        <v>323</v>
      </c>
      <c r="I216">
        <v>160</v>
      </c>
      <c r="J216">
        <v>836</v>
      </c>
      <c r="K216">
        <v>66.285478054094028</v>
      </c>
      <c r="L216">
        <v>78.407224958949101</v>
      </c>
      <c r="M216">
        <v>35.003722736164903</v>
      </c>
      <c r="N216">
        <f t="shared" si="14"/>
        <v>3</v>
      </c>
      <c r="O216">
        <f t="shared" si="15"/>
        <v>3</v>
      </c>
      <c r="P216">
        <f t="shared" si="16"/>
        <v>2</v>
      </c>
    </row>
    <row r="217" spans="1:16" x14ac:dyDescent="0.4">
      <c r="A217" t="s">
        <v>888</v>
      </c>
      <c r="B217" t="s">
        <v>889</v>
      </c>
      <c r="C217" t="s">
        <v>40</v>
      </c>
      <c r="D217" s="1">
        <v>39602</v>
      </c>
      <c r="E217">
        <v>2</v>
      </c>
      <c r="F217">
        <v>1</v>
      </c>
      <c r="G217">
        <v>3</v>
      </c>
      <c r="H217">
        <v>323</v>
      </c>
      <c r="I217">
        <v>160</v>
      </c>
      <c r="J217">
        <v>836</v>
      </c>
      <c r="K217">
        <v>85.206762550805323</v>
      </c>
      <c r="L217">
        <v>43.280632411067195</v>
      </c>
      <c r="M217">
        <v>28.944060647429598</v>
      </c>
      <c r="N217">
        <f t="shared" si="14"/>
        <v>3</v>
      </c>
      <c r="O217">
        <f t="shared" si="15"/>
        <v>2</v>
      </c>
      <c r="P217">
        <f t="shared" si="16"/>
        <v>1</v>
      </c>
    </row>
    <row r="218" spans="1:16" x14ac:dyDescent="0.4">
      <c r="A218" t="s">
        <v>368</v>
      </c>
      <c r="B218" t="s">
        <v>369</v>
      </c>
      <c r="C218" t="s">
        <v>64</v>
      </c>
      <c r="D218" s="1">
        <v>39603</v>
      </c>
      <c r="E218">
        <v>2</v>
      </c>
      <c r="F218">
        <v>1</v>
      </c>
      <c r="G218">
        <v>3</v>
      </c>
      <c r="H218">
        <v>323</v>
      </c>
      <c r="I218">
        <v>160</v>
      </c>
      <c r="J218">
        <v>836</v>
      </c>
      <c r="K218">
        <v>67.260795307148044</v>
      </c>
      <c r="L218">
        <v>93.678160919540232</v>
      </c>
      <c r="M218">
        <v>38.172362578562741</v>
      </c>
      <c r="N218">
        <f t="shared" si="14"/>
        <v>3</v>
      </c>
      <c r="O218">
        <f t="shared" si="15"/>
        <v>3</v>
      </c>
      <c r="P218">
        <f t="shared" si="16"/>
        <v>2</v>
      </c>
    </row>
    <row r="219" spans="1:16" x14ac:dyDescent="0.4">
      <c r="A219" t="s">
        <v>890</v>
      </c>
      <c r="B219" t="s">
        <v>891</v>
      </c>
      <c r="C219" t="s">
        <v>40</v>
      </c>
      <c r="D219" s="1">
        <v>39603</v>
      </c>
      <c r="E219">
        <v>2</v>
      </c>
      <c r="F219">
        <v>1</v>
      </c>
      <c r="G219">
        <v>3</v>
      </c>
      <c r="H219">
        <v>323</v>
      </c>
      <c r="I219">
        <v>160</v>
      </c>
      <c r="J219">
        <v>836</v>
      </c>
      <c r="K219">
        <v>65.519738628675313</v>
      </c>
      <c r="L219">
        <v>11.264822134387352</v>
      </c>
      <c r="M219">
        <v>28.087490298699059</v>
      </c>
      <c r="N219">
        <f t="shared" si="14"/>
        <v>3</v>
      </c>
      <c r="O219">
        <f t="shared" si="15"/>
        <v>1</v>
      </c>
      <c r="P219">
        <f t="shared" si="16"/>
        <v>1</v>
      </c>
    </row>
    <row r="220" spans="1:16" x14ac:dyDescent="0.4">
      <c r="A220" t="s">
        <v>892</v>
      </c>
      <c r="B220" t="s">
        <v>893</v>
      </c>
      <c r="C220" t="s">
        <v>64</v>
      </c>
      <c r="D220" s="1">
        <v>39610</v>
      </c>
      <c r="E220">
        <v>2</v>
      </c>
      <c r="F220">
        <v>1</v>
      </c>
      <c r="G220">
        <v>3</v>
      </c>
      <c r="H220">
        <v>323</v>
      </c>
      <c r="I220">
        <v>160</v>
      </c>
      <c r="J220">
        <v>836</v>
      </c>
      <c r="K220">
        <v>42.043736310996806</v>
      </c>
      <c r="L220">
        <v>67.32348111658456</v>
      </c>
      <c r="M220">
        <v>55.810661088470418</v>
      </c>
      <c r="N220">
        <f t="shared" si="14"/>
        <v>2</v>
      </c>
      <c r="O220">
        <f t="shared" si="15"/>
        <v>3</v>
      </c>
      <c r="P220">
        <f t="shared" si="16"/>
        <v>3</v>
      </c>
    </row>
    <row r="221" spans="1:16" x14ac:dyDescent="0.4">
      <c r="A221" t="s">
        <v>894</v>
      </c>
      <c r="B221" t="s">
        <v>895</v>
      </c>
      <c r="C221" t="s">
        <v>40</v>
      </c>
      <c r="D221" s="1">
        <v>39617</v>
      </c>
      <c r="E221">
        <v>2</v>
      </c>
      <c r="F221">
        <v>1</v>
      </c>
      <c r="G221">
        <v>3</v>
      </c>
      <c r="H221">
        <v>323</v>
      </c>
      <c r="I221">
        <v>160</v>
      </c>
      <c r="J221">
        <v>836</v>
      </c>
      <c r="K221">
        <v>17.1132954046663</v>
      </c>
      <c r="L221">
        <v>7.3122529644268779</v>
      </c>
      <c r="M221">
        <v>56.681834421606055</v>
      </c>
      <c r="N221">
        <f t="shared" si="14"/>
        <v>1</v>
      </c>
      <c r="O221">
        <f t="shared" si="15"/>
        <v>1</v>
      </c>
      <c r="P221">
        <f t="shared" si="16"/>
        <v>3</v>
      </c>
    </row>
    <row r="222" spans="1:16" x14ac:dyDescent="0.4">
      <c r="A222" t="s">
        <v>65</v>
      </c>
      <c r="B222" t="s">
        <v>66</v>
      </c>
      <c r="C222" t="s">
        <v>40</v>
      </c>
      <c r="D222" s="1">
        <v>39618</v>
      </c>
      <c r="E222">
        <v>2</v>
      </c>
      <c r="F222">
        <v>1</v>
      </c>
      <c r="G222">
        <v>3</v>
      </c>
      <c r="H222">
        <v>323</v>
      </c>
      <c r="I222">
        <v>160</v>
      </c>
      <c r="J222">
        <v>836</v>
      </c>
      <c r="K222">
        <v>14.535086255602296</v>
      </c>
      <c r="L222">
        <v>0.39525691699604742</v>
      </c>
      <c r="M222">
        <v>35.678913500107058</v>
      </c>
      <c r="N222">
        <f t="shared" si="14"/>
        <v>1</v>
      </c>
      <c r="O222">
        <f t="shared" si="15"/>
        <v>1</v>
      </c>
      <c r="P222">
        <f t="shared" si="16"/>
        <v>2</v>
      </c>
    </row>
    <row r="223" spans="1:16" x14ac:dyDescent="0.4">
      <c r="A223" t="s">
        <v>286</v>
      </c>
      <c r="B223" t="s">
        <v>287</v>
      </c>
      <c r="C223" t="s">
        <v>40</v>
      </c>
      <c r="D223" s="1">
        <v>39618</v>
      </c>
      <c r="E223">
        <v>2</v>
      </c>
      <c r="F223">
        <v>1</v>
      </c>
      <c r="G223">
        <v>3</v>
      </c>
      <c r="H223">
        <v>323</v>
      </c>
      <c r="I223">
        <v>160</v>
      </c>
      <c r="J223">
        <v>836</v>
      </c>
      <c r="K223">
        <v>26.317263501604991</v>
      </c>
      <c r="L223">
        <v>64.031620553359687</v>
      </c>
      <c r="M223">
        <v>66.942811247160037</v>
      </c>
      <c r="N223">
        <f t="shared" si="14"/>
        <v>1</v>
      </c>
      <c r="O223">
        <f t="shared" si="15"/>
        <v>3</v>
      </c>
      <c r="P223">
        <f t="shared" si="16"/>
        <v>3</v>
      </c>
    </row>
    <row r="224" spans="1:16" x14ac:dyDescent="0.4">
      <c r="A224" t="s">
        <v>896</v>
      </c>
      <c r="B224" t="s">
        <v>897</v>
      </c>
      <c r="C224" t="s">
        <v>64</v>
      </c>
      <c r="D224" s="1">
        <v>39618</v>
      </c>
      <c r="E224">
        <v>2</v>
      </c>
      <c r="F224">
        <v>1</v>
      </c>
      <c r="G224">
        <v>3</v>
      </c>
      <c r="H224">
        <v>323</v>
      </c>
      <c r="I224">
        <v>160</v>
      </c>
      <c r="J224">
        <v>836</v>
      </c>
      <c r="K224">
        <v>71.139892737239208</v>
      </c>
      <c r="L224">
        <v>75.041050903119867</v>
      </c>
      <c r="M224">
        <v>34.111464321134989</v>
      </c>
      <c r="N224">
        <f t="shared" si="14"/>
        <v>3</v>
      </c>
      <c r="O224">
        <f t="shared" si="15"/>
        <v>3</v>
      </c>
      <c r="P224">
        <f t="shared" si="16"/>
        <v>2</v>
      </c>
    </row>
    <row r="225" spans="1:16" x14ac:dyDescent="0.4">
      <c r="A225" t="s">
        <v>370</v>
      </c>
      <c r="B225" t="s">
        <v>371</v>
      </c>
      <c r="C225" t="s">
        <v>64</v>
      </c>
      <c r="D225" s="1">
        <v>39624</v>
      </c>
      <c r="E225">
        <v>2</v>
      </c>
      <c r="F225">
        <v>1</v>
      </c>
      <c r="G225">
        <v>3</v>
      </c>
      <c r="H225">
        <v>323</v>
      </c>
      <c r="I225">
        <v>160</v>
      </c>
      <c r="J225">
        <v>836</v>
      </c>
      <c r="K225">
        <v>63.655190434179069</v>
      </c>
      <c r="L225">
        <v>96.551724137931032</v>
      </c>
      <c r="M225">
        <v>58.987254627984441</v>
      </c>
      <c r="N225">
        <f t="shared" si="14"/>
        <v>3</v>
      </c>
      <c r="O225">
        <f t="shared" si="15"/>
        <v>3</v>
      </c>
      <c r="P225">
        <f t="shared" si="16"/>
        <v>3</v>
      </c>
    </row>
    <row r="226" spans="1:16" x14ac:dyDescent="0.4">
      <c r="A226" t="s">
        <v>898</v>
      </c>
      <c r="B226" t="s">
        <v>899</v>
      </c>
      <c r="C226" t="s">
        <v>40</v>
      </c>
      <c r="D226" s="1">
        <v>39632</v>
      </c>
      <c r="E226">
        <v>2</v>
      </c>
      <c r="F226">
        <v>1</v>
      </c>
      <c r="G226">
        <v>3</v>
      </c>
      <c r="H226">
        <v>323</v>
      </c>
      <c r="I226">
        <v>160</v>
      </c>
      <c r="J226">
        <v>836</v>
      </c>
      <c r="K226">
        <v>78.986998419380569</v>
      </c>
      <c r="L226">
        <v>94.86166007905139</v>
      </c>
      <c r="M226">
        <v>64.608601015577491</v>
      </c>
      <c r="N226">
        <f t="shared" si="14"/>
        <v>3</v>
      </c>
      <c r="O226">
        <f t="shared" si="15"/>
        <v>3</v>
      </c>
      <c r="P226">
        <f t="shared" si="16"/>
        <v>3</v>
      </c>
    </row>
    <row r="227" spans="1:16" x14ac:dyDescent="0.4">
      <c r="A227" t="s">
        <v>900</v>
      </c>
      <c r="B227" t="s">
        <v>901</v>
      </c>
      <c r="C227" t="s">
        <v>40</v>
      </c>
      <c r="D227" s="1">
        <v>39633</v>
      </c>
      <c r="E227">
        <v>2</v>
      </c>
      <c r="F227">
        <v>1</v>
      </c>
      <c r="G227">
        <v>3</v>
      </c>
      <c r="H227">
        <v>323</v>
      </c>
      <c r="I227">
        <v>160</v>
      </c>
      <c r="J227">
        <v>836</v>
      </c>
      <c r="K227">
        <v>83.523818724184068</v>
      </c>
      <c r="L227">
        <v>25.889328063241106</v>
      </c>
      <c r="M227">
        <v>43.305015136772738</v>
      </c>
      <c r="N227">
        <f t="shared" si="14"/>
        <v>3</v>
      </c>
      <c r="O227">
        <f t="shared" si="15"/>
        <v>1</v>
      </c>
      <c r="P227">
        <f t="shared" si="16"/>
        <v>2</v>
      </c>
    </row>
    <row r="228" spans="1:16" x14ac:dyDescent="0.4">
      <c r="A228" t="s">
        <v>512</v>
      </c>
      <c r="B228" t="s">
        <v>513</v>
      </c>
      <c r="C228" t="s">
        <v>64</v>
      </c>
      <c r="D228" s="1">
        <v>39637</v>
      </c>
      <c r="E228">
        <v>2</v>
      </c>
      <c r="F228">
        <v>1</v>
      </c>
      <c r="G228">
        <v>3</v>
      </c>
      <c r="H228">
        <v>323</v>
      </c>
      <c r="I228">
        <v>160</v>
      </c>
      <c r="J228">
        <v>836</v>
      </c>
      <c r="K228">
        <v>66.692544502499928</v>
      </c>
      <c r="L228">
        <v>1.80623973727422</v>
      </c>
      <c r="M228">
        <v>11.79538508434098</v>
      </c>
      <c r="N228">
        <f t="shared" si="14"/>
        <v>3</v>
      </c>
      <c r="O228">
        <f t="shared" si="15"/>
        <v>1</v>
      </c>
      <c r="P228">
        <f t="shared" si="16"/>
        <v>1</v>
      </c>
    </row>
    <row r="229" spans="1:16" x14ac:dyDescent="0.4">
      <c r="A229" t="s">
        <v>902</v>
      </c>
      <c r="B229" t="s">
        <v>903</v>
      </c>
      <c r="C229" t="s">
        <v>40</v>
      </c>
      <c r="D229" s="1">
        <v>39645</v>
      </c>
      <c r="E229">
        <v>2</v>
      </c>
      <c r="F229">
        <v>1</v>
      </c>
      <c r="G229">
        <v>3</v>
      </c>
      <c r="H229">
        <v>323</v>
      </c>
      <c r="I229">
        <v>160</v>
      </c>
      <c r="J229">
        <v>836</v>
      </c>
      <c r="K229">
        <v>63.383910055367316</v>
      </c>
      <c r="L229">
        <v>9.4861660079051386</v>
      </c>
      <c r="M229">
        <v>51.514473096971408</v>
      </c>
      <c r="N229">
        <f t="shared" si="14"/>
        <v>3</v>
      </c>
      <c r="O229">
        <f t="shared" si="15"/>
        <v>1</v>
      </c>
      <c r="P229">
        <f t="shared" si="16"/>
        <v>3</v>
      </c>
    </row>
    <row r="230" spans="1:16" x14ac:dyDescent="0.4">
      <c r="A230" t="s">
        <v>904</v>
      </c>
      <c r="B230" t="s">
        <v>905</v>
      </c>
      <c r="C230" t="s">
        <v>40</v>
      </c>
      <c r="D230" s="1">
        <v>39645</v>
      </c>
      <c r="E230">
        <v>2</v>
      </c>
      <c r="F230">
        <v>1</v>
      </c>
      <c r="G230">
        <v>3</v>
      </c>
      <c r="H230">
        <v>323</v>
      </c>
      <c r="I230">
        <v>160</v>
      </c>
      <c r="J230">
        <v>836</v>
      </c>
      <c r="K230">
        <v>4.9406764031721213</v>
      </c>
      <c r="L230">
        <v>79.249011857707515</v>
      </c>
      <c r="M230">
        <v>46.488789012397213</v>
      </c>
      <c r="N230">
        <f t="shared" si="14"/>
        <v>1</v>
      </c>
      <c r="O230">
        <f t="shared" si="15"/>
        <v>3</v>
      </c>
      <c r="P230">
        <f t="shared" si="16"/>
        <v>2</v>
      </c>
    </row>
    <row r="231" spans="1:16" x14ac:dyDescent="0.4">
      <c r="A231" t="s">
        <v>372</v>
      </c>
      <c r="B231" t="s">
        <v>373</v>
      </c>
      <c r="C231" t="s">
        <v>64</v>
      </c>
      <c r="D231" s="1">
        <v>39654</v>
      </c>
      <c r="E231">
        <v>2</v>
      </c>
      <c r="F231">
        <v>1</v>
      </c>
      <c r="G231">
        <v>3</v>
      </c>
      <c r="H231">
        <v>323</v>
      </c>
      <c r="I231">
        <v>160</v>
      </c>
      <c r="J231">
        <v>836</v>
      </c>
      <c r="K231">
        <v>59.605291202073019</v>
      </c>
      <c r="L231">
        <v>46.551724137931032</v>
      </c>
      <c r="M231">
        <v>33.313285557443059</v>
      </c>
      <c r="N231">
        <f t="shared" si="14"/>
        <v>3</v>
      </c>
      <c r="O231">
        <f t="shared" si="15"/>
        <v>2</v>
      </c>
      <c r="P231">
        <f t="shared" si="16"/>
        <v>2</v>
      </c>
    </row>
    <row r="232" spans="1:16" x14ac:dyDescent="0.4">
      <c r="A232" t="s">
        <v>906</v>
      </c>
      <c r="B232" t="s">
        <v>907</v>
      </c>
      <c r="C232" t="s">
        <v>40</v>
      </c>
      <c r="D232" s="1">
        <v>39654</v>
      </c>
      <c r="E232">
        <v>2</v>
      </c>
      <c r="F232">
        <v>1</v>
      </c>
      <c r="G232">
        <v>3</v>
      </c>
      <c r="H232">
        <v>323</v>
      </c>
      <c r="I232">
        <v>160</v>
      </c>
      <c r="J232">
        <v>836</v>
      </c>
      <c r="K232">
        <v>45.505297976638381</v>
      </c>
      <c r="L232">
        <v>75.494071146245062</v>
      </c>
      <c r="M232">
        <v>80.100753297958036</v>
      </c>
      <c r="N232">
        <f t="shared" si="14"/>
        <v>2</v>
      </c>
      <c r="O232">
        <f t="shared" si="15"/>
        <v>3</v>
      </c>
      <c r="P232">
        <f t="shared" si="16"/>
        <v>3</v>
      </c>
    </row>
    <row r="233" spans="1:16" x14ac:dyDescent="0.4">
      <c r="A233" t="s">
        <v>908</v>
      </c>
      <c r="B233" t="s">
        <v>909</v>
      </c>
      <c r="C233" t="s">
        <v>64</v>
      </c>
      <c r="D233" s="1">
        <v>39659</v>
      </c>
      <c r="E233">
        <v>2</v>
      </c>
      <c r="F233">
        <v>1</v>
      </c>
      <c r="G233">
        <v>3</v>
      </c>
      <c r="H233">
        <v>323</v>
      </c>
      <c r="I233">
        <v>160</v>
      </c>
      <c r="J233">
        <v>836</v>
      </c>
      <c r="K233">
        <v>62.417477405086188</v>
      </c>
      <c r="L233">
        <v>18.30870279146141</v>
      </c>
      <c r="M233">
        <v>33.480891710006517</v>
      </c>
      <c r="N233">
        <f t="shared" si="14"/>
        <v>3</v>
      </c>
      <c r="O233">
        <f t="shared" si="15"/>
        <v>1</v>
      </c>
      <c r="P233">
        <f t="shared" si="16"/>
        <v>2</v>
      </c>
    </row>
    <row r="234" spans="1:16" x14ac:dyDescent="0.4">
      <c r="A234" t="s">
        <v>910</v>
      </c>
      <c r="B234" t="s">
        <v>911</v>
      </c>
      <c r="C234" t="s">
        <v>40</v>
      </c>
      <c r="D234" s="1">
        <v>39664</v>
      </c>
      <c r="E234">
        <v>2</v>
      </c>
      <c r="F234">
        <v>1</v>
      </c>
      <c r="G234">
        <v>3</v>
      </c>
      <c r="H234">
        <v>323</v>
      </c>
      <c r="I234">
        <v>160</v>
      </c>
      <c r="J234">
        <v>836</v>
      </c>
      <c r="K234">
        <v>47.263341459428851</v>
      </c>
      <c r="L234">
        <v>14.426877470355731</v>
      </c>
      <c r="M234">
        <v>40.860715820074212</v>
      </c>
      <c r="N234">
        <f t="shared" si="14"/>
        <v>2</v>
      </c>
      <c r="O234">
        <f t="shared" si="15"/>
        <v>1</v>
      </c>
      <c r="P234">
        <f t="shared" si="16"/>
        <v>2</v>
      </c>
    </row>
    <row r="235" spans="1:16" x14ac:dyDescent="0.4">
      <c r="A235" t="s">
        <v>514</v>
      </c>
      <c r="B235" t="s">
        <v>515</v>
      </c>
      <c r="C235" t="s">
        <v>40</v>
      </c>
      <c r="D235" s="1">
        <v>39664</v>
      </c>
      <c r="E235">
        <v>2</v>
      </c>
      <c r="F235">
        <v>1</v>
      </c>
      <c r="G235">
        <v>3</v>
      </c>
      <c r="H235">
        <v>323</v>
      </c>
      <c r="I235">
        <v>160</v>
      </c>
      <c r="J235">
        <v>836</v>
      </c>
      <c r="K235">
        <v>65.568564081555763</v>
      </c>
      <c r="L235">
        <v>57.312252964426875</v>
      </c>
      <c r="M235">
        <v>54.692369336248959</v>
      </c>
      <c r="N235">
        <f t="shared" si="14"/>
        <v>3</v>
      </c>
      <c r="O235">
        <f t="shared" si="15"/>
        <v>3</v>
      </c>
      <c r="P235">
        <f t="shared" si="16"/>
        <v>3</v>
      </c>
    </row>
    <row r="236" spans="1:16" x14ac:dyDescent="0.4">
      <c r="A236" t="s">
        <v>208</v>
      </c>
      <c r="B236" t="s">
        <v>209</v>
      </c>
      <c r="C236" t="s">
        <v>40</v>
      </c>
      <c r="D236" s="1">
        <v>39680</v>
      </c>
      <c r="E236">
        <v>2</v>
      </c>
      <c r="F236">
        <v>1</v>
      </c>
      <c r="G236">
        <v>3</v>
      </c>
      <c r="H236">
        <v>323</v>
      </c>
      <c r="I236">
        <v>160</v>
      </c>
      <c r="J236">
        <v>836</v>
      </c>
      <c r="K236">
        <v>49.64351426853861</v>
      </c>
      <c r="L236">
        <v>64.426877470355734</v>
      </c>
      <c r="M236">
        <v>30.191952043683681</v>
      </c>
      <c r="N236">
        <f t="shared" si="14"/>
        <v>2</v>
      </c>
      <c r="O236">
        <f t="shared" si="15"/>
        <v>3</v>
      </c>
      <c r="P236">
        <f t="shared" si="16"/>
        <v>2</v>
      </c>
    </row>
    <row r="237" spans="1:16" x14ac:dyDescent="0.4">
      <c r="A237" t="s">
        <v>912</v>
      </c>
      <c r="B237" t="s">
        <v>913</v>
      </c>
      <c r="C237" t="s">
        <v>64</v>
      </c>
      <c r="D237" s="1">
        <v>39694</v>
      </c>
      <c r="E237">
        <v>2</v>
      </c>
      <c r="F237">
        <v>1</v>
      </c>
      <c r="G237">
        <v>3</v>
      </c>
      <c r="H237">
        <v>323</v>
      </c>
      <c r="I237">
        <v>160</v>
      </c>
      <c r="J237">
        <v>836</v>
      </c>
      <c r="K237">
        <v>88.366429794298284</v>
      </c>
      <c r="L237">
        <v>73.152709359605907</v>
      </c>
      <c r="M237">
        <v>54.964170552302363</v>
      </c>
      <c r="N237">
        <f t="shared" si="14"/>
        <v>3</v>
      </c>
      <c r="O237">
        <f t="shared" si="15"/>
        <v>3</v>
      </c>
      <c r="P237">
        <f t="shared" si="16"/>
        <v>3</v>
      </c>
    </row>
    <row r="238" spans="1:16" x14ac:dyDescent="0.4">
      <c r="A238" t="s">
        <v>516</v>
      </c>
      <c r="B238" t="s">
        <v>517</v>
      </c>
      <c r="C238" t="s">
        <v>40</v>
      </c>
      <c r="D238" s="1">
        <v>39714</v>
      </c>
      <c r="E238">
        <v>2</v>
      </c>
      <c r="F238">
        <v>1</v>
      </c>
      <c r="G238">
        <v>3</v>
      </c>
      <c r="H238">
        <v>323</v>
      </c>
      <c r="I238">
        <v>160</v>
      </c>
      <c r="J238">
        <v>836</v>
      </c>
      <c r="K238">
        <v>47.701823437973822</v>
      </c>
      <c r="L238">
        <v>91.699604743083</v>
      </c>
      <c r="M238">
        <v>64.33551449017456</v>
      </c>
      <c r="N238">
        <f t="shared" si="14"/>
        <v>2</v>
      </c>
      <c r="O238">
        <f t="shared" si="15"/>
        <v>3</v>
      </c>
      <c r="P238">
        <f t="shared" si="16"/>
        <v>3</v>
      </c>
    </row>
    <row r="239" spans="1:16" x14ac:dyDescent="0.4">
      <c r="A239" t="s">
        <v>914</v>
      </c>
      <c r="B239" t="s">
        <v>915</v>
      </c>
      <c r="C239" t="s">
        <v>40</v>
      </c>
      <c r="D239" s="1">
        <v>39728</v>
      </c>
      <c r="E239">
        <v>2</v>
      </c>
      <c r="F239">
        <v>1</v>
      </c>
      <c r="G239">
        <v>3</v>
      </c>
      <c r="H239">
        <v>323</v>
      </c>
      <c r="I239">
        <v>160</v>
      </c>
      <c r="J239">
        <v>836</v>
      </c>
      <c r="K239">
        <v>50.792450152973444</v>
      </c>
      <c r="L239">
        <v>60.474308300395265</v>
      </c>
      <c r="M239">
        <v>72.9822604251125</v>
      </c>
      <c r="N239">
        <f t="shared" si="14"/>
        <v>3</v>
      </c>
      <c r="O239">
        <f t="shared" si="15"/>
        <v>3</v>
      </c>
      <c r="P239">
        <f t="shared" si="16"/>
        <v>3</v>
      </c>
    </row>
    <row r="240" spans="1:16" x14ac:dyDescent="0.4">
      <c r="A240" t="s">
        <v>916</v>
      </c>
      <c r="B240" t="s">
        <v>917</v>
      </c>
      <c r="C240" t="s">
        <v>64</v>
      </c>
      <c r="D240" s="1">
        <v>39730</v>
      </c>
      <c r="E240">
        <v>2</v>
      </c>
      <c r="F240">
        <v>1</v>
      </c>
      <c r="G240">
        <v>3</v>
      </c>
      <c r="H240">
        <v>323</v>
      </c>
      <c r="I240">
        <v>160</v>
      </c>
      <c r="J240">
        <v>836</v>
      </c>
      <c r="K240">
        <v>85.84642310891158</v>
      </c>
      <c r="L240">
        <v>57.22495894909688</v>
      </c>
      <c r="M240">
        <v>35.417298740376154</v>
      </c>
      <c r="N240">
        <f t="shared" si="14"/>
        <v>3</v>
      </c>
      <c r="O240">
        <f t="shared" si="15"/>
        <v>3</v>
      </c>
      <c r="P240">
        <f t="shared" si="16"/>
        <v>2</v>
      </c>
    </row>
    <row r="241" spans="1:16" x14ac:dyDescent="0.4">
      <c r="A241" t="s">
        <v>100</v>
      </c>
      <c r="B241" t="s">
        <v>101</v>
      </c>
      <c r="C241" t="s">
        <v>40</v>
      </c>
      <c r="D241" s="1">
        <v>39731</v>
      </c>
      <c r="E241">
        <v>2</v>
      </c>
      <c r="F241">
        <v>1</v>
      </c>
      <c r="G241">
        <v>3</v>
      </c>
      <c r="H241">
        <v>323</v>
      </c>
      <c r="I241">
        <v>160</v>
      </c>
      <c r="J241">
        <v>836</v>
      </c>
      <c r="K241">
        <v>29.381819208753523</v>
      </c>
      <c r="L241">
        <v>45.652173913043477</v>
      </c>
      <c r="M241">
        <v>38.09932501716515</v>
      </c>
      <c r="N241">
        <f t="shared" si="14"/>
        <v>1</v>
      </c>
      <c r="O241">
        <f t="shared" si="15"/>
        <v>2</v>
      </c>
      <c r="P241">
        <f t="shared" si="16"/>
        <v>2</v>
      </c>
    </row>
    <row r="242" spans="1:16" x14ac:dyDescent="0.4">
      <c r="A242" t="s">
        <v>918</v>
      </c>
      <c r="B242" t="s">
        <v>919</v>
      </c>
      <c r="C242" t="s">
        <v>40</v>
      </c>
      <c r="D242" s="1">
        <v>39743</v>
      </c>
      <c r="E242">
        <v>2</v>
      </c>
      <c r="F242">
        <v>1</v>
      </c>
      <c r="G242">
        <v>3</v>
      </c>
      <c r="H242">
        <v>323</v>
      </c>
      <c r="I242">
        <v>160</v>
      </c>
      <c r="J242">
        <v>836</v>
      </c>
      <c r="K242">
        <v>9.8578131314879389</v>
      </c>
      <c r="L242">
        <v>11.462450592885375</v>
      </c>
      <c r="M242">
        <v>48.003069728021735</v>
      </c>
      <c r="N242">
        <f t="shared" si="14"/>
        <v>1</v>
      </c>
      <c r="O242">
        <f t="shared" si="15"/>
        <v>1</v>
      </c>
      <c r="P242">
        <f t="shared" si="16"/>
        <v>2</v>
      </c>
    </row>
    <row r="243" spans="1:16" x14ac:dyDescent="0.4">
      <c r="A243" t="s">
        <v>288</v>
      </c>
      <c r="B243" t="s">
        <v>289</v>
      </c>
      <c r="C243" t="s">
        <v>40</v>
      </c>
      <c r="D243" s="1">
        <v>39743</v>
      </c>
      <c r="E243">
        <v>2</v>
      </c>
      <c r="F243">
        <v>1</v>
      </c>
      <c r="G243">
        <v>3</v>
      </c>
      <c r="H243">
        <v>323</v>
      </c>
      <c r="I243">
        <v>160</v>
      </c>
      <c r="J243">
        <v>836</v>
      </c>
      <c r="K243">
        <v>19.500466402409277</v>
      </c>
      <c r="L243">
        <v>65.217391304347828</v>
      </c>
      <c r="M243">
        <v>56.364220541900671</v>
      </c>
      <c r="N243">
        <f t="shared" si="14"/>
        <v>1</v>
      </c>
      <c r="O243">
        <f t="shared" si="15"/>
        <v>3</v>
      </c>
      <c r="P243">
        <f t="shared" si="16"/>
        <v>3</v>
      </c>
    </row>
    <row r="244" spans="1:16" x14ac:dyDescent="0.4">
      <c r="A244" t="s">
        <v>920</v>
      </c>
      <c r="B244" t="s">
        <v>921</v>
      </c>
      <c r="C244" t="s">
        <v>40</v>
      </c>
      <c r="D244" s="1">
        <v>39743</v>
      </c>
      <c r="E244">
        <v>2</v>
      </c>
      <c r="F244">
        <v>1</v>
      </c>
      <c r="G244">
        <v>3</v>
      </c>
      <c r="H244">
        <v>323</v>
      </c>
      <c r="I244">
        <v>160</v>
      </c>
      <c r="J244">
        <v>836</v>
      </c>
      <c r="K244">
        <v>64.81881424441346</v>
      </c>
      <c r="L244">
        <v>17.193675889328063</v>
      </c>
      <c r="M244">
        <v>47.16525542895706</v>
      </c>
      <c r="N244">
        <f t="shared" si="14"/>
        <v>3</v>
      </c>
      <c r="O244">
        <f t="shared" si="15"/>
        <v>1</v>
      </c>
      <c r="P244">
        <f t="shared" si="16"/>
        <v>2</v>
      </c>
    </row>
    <row r="245" spans="1:16" x14ac:dyDescent="0.4">
      <c r="A245" t="s">
        <v>922</v>
      </c>
      <c r="B245" t="s">
        <v>923</v>
      </c>
      <c r="C245" t="s">
        <v>64</v>
      </c>
      <c r="D245" s="1">
        <v>39744</v>
      </c>
      <c r="E245">
        <v>2</v>
      </c>
      <c r="F245">
        <v>1</v>
      </c>
      <c r="G245">
        <v>3</v>
      </c>
      <c r="H245">
        <v>323</v>
      </c>
      <c r="I245">
        <v>160</v>
      </c>
      <c r="J245">
        <v>836</v>
      </c>
      <c r="K245">
        <v>58.710518634549878</v>
      </c>
      <c r="L245">
        <v>55.829228243021348</v>
      </c>
      <c r="M245">
        <v>40.489459960335971</v>
      </c>
      <c r="N245">
        <f t="shared" si="14"/>
        <v>3</v>
      </c>
      <c r="O245">
        <f t="shared" si="15"/>
        <v>3</v>
      </c>
      <c r="P245">
        <f t="shared" si="16"/>
        <v>2</v>
      </c>
    </row>
    <row r="246" spans="1:16" x14ac:dyDescent="0.4">
      <c r="A246" t="s">
        <v>518</v>
      </c>
      <c r="B246" t="s">
        <v>519</v>
      </c>
      <c r="C246" t="s">
        <v>64</v>
      </c>
      <c r="D246" s="1">
        <v>39757</v>
      </c>
      <c r="E246">
        <v>2</v>
      </c>
      <c r="F246">
        <v>1</v>
      </c>
      <c r="G246">
        <v>3</v>
      </c>
      <c r="H246">
        <v>323</v>
      </c>
      <c r="I246">
        <v>160</v>
      </c>
      <c r="J246">
        <v>836</v>
      </c>
      <c r="K246">
        <v>61.702981607579908</v>
      </c>
      <c r="L246">
        <v>70.361247947454842</v>
      </c>
      <c r="M246">
        <v>23.144517141019154</v>
      </c>
      <c r="N246">
        <f t="shared" si="14"/>
        <v>3</v>
      </c>
      <c r="O246">
        <f t="shared" si="15"/>
        <v>3</v>
      </c>
      <c r="P246">
        <f t="shared" si="16"/>
        <v>1</v>
      </c>
    </row>
    <row r="247" spans="1:16" x14ac:dyDescent="0.4">
      <c r="A247" t="s">
        <v>98</v>
      </c>
      <c r="B247" t="s">
        <v>99</v>
      </c>
      <c r="C247" t="s">
        <v>40</v>
      </c>
      <c r="D247" s="1">
        <v>39765</v>
      </c>
      <c r="E247">
        <v>2</v>
      </c>
      <c r="F247">
        <v>1</v>
      </c>
      <c r="G247">
        <v>3</v>
      </c>
      <c r="H247">
        <v>323</v>
      </c>
      <c r="I247">
        <v>160</v>
      </c>
      <c r="J247">
        <v>836</v>
      </c>
      <c r="K247">
        <v>31.304626639576238</v>
      </c>
      <c r="L247">
        <v>18.57707509881423</v>
      </c>
      <c r="M247">
        <v>37.37730743983726</v>
      </c>
      <c r="N247">
        <f t="shared" si="14"/>
        <v>2</v>
      </c>
      <c r="O247">
        <f t="shared" si="15"/>
        <v>1</v>
      </c>
      <c r="P247">
        <f t="shared" si="16"/>
        <v>2</v>
      </c>
    </row>
    <row r="248" spans="1:16" x14ac:dyDescent="0.4">
      <c r="A248" t="s">
        <v>374</v>
      </c>
      <c r="B248" t="s">
        <v>375</v>
      </c>
      <c r="C248" t="s">
        <v>40</v>
      </c>
      <c r="D248" s="1">
        <v>39777</v>
      </c>
      <c r="E248">
        <v>2</v>
      </c>
      <c r="F248">
        <v>1</v>
      </c>
      <c r="G248">
        <v>3</v>
      </c>
      <c r="H248">
        <v>323</v>
      </c>
      <c r="I248">
        <v>160</v>
      </c>
      <c r="J248">
        <v>836</v>
      </c>
      <c r="K248">
        <v>53.127100296062643</v>
      </c>
      <c r="L248">
        <v>69.367588932806328</v>
      </c>
      <c r="M248">
        <v>50.584348156254677</v>
      </c>
      <c r="N248">
        <f t="shared" si="14"/>
        <v>3</v>
      </c>
      <c r="O248">
        <f t="shared" si="15"/>
        <v>3</v>
      </c>
      <c r="P248">
        <f t="shared" si="16"/>
        <v>3</v>
      </c>
    </row>
    <row r="249" spans="1:16" x14ac:dyDescent="0.4">
      <c r="A249" t="s">
        <v>89</v>
      </c>
      <c r="B249" t="s">
        <v>90</v>
      </c>
      <c r="C249" t="s">
        <v>40</v>
      </c>
      <c r="D249" s="1">
        <v>39778</v>
      </c>
      <c r="E249">
        <v>2</v>
      </c>
      <c r="F249">
        <v>1</v>
      </c>
      <c r="G249">
        <v>3</v>
      </c>
      <c r="H249">
        <v>323</v>
      </c>
      <c r="I249">
        <v>160</v>
      </c>
      <c r="J249">
        <v>836</v>
      </c>
      <c r="K249">
        <v>18.585167387407772</v>
      </c>
      <c r="L249">
        <v>15.41501976284585</v>
      </c>
      <c r="M249">
        <v>38.945678281763591</v>
      </c>
      <c r="N249">
        <f t="shared" si="14"/>
        <v>1</v>
      </c>
      <c r="O249">
        <f t="shared" si="15"/>
        <v>1</v>
      </c>
      <c r="P249">
        <f t="shared" si="16"/>
        <v>2</v>
      </c>
    </row>
    <row r="250" spans="1:16" x14ac:dyDescent="0.4">
      <c r="A250" t="s">
        <v>924</v>
      </c>
      <c r="B250" t="s">
        <v>925</v>
      </c>
      <c r="C250" t="s">
        <v>40</v>
      </c>
      <c r="D250" s="1">
        <v>39784</v>
      </c>
      <c r="E250">
        <v>2</v>
      </c>
      <c r="F250">
        <v>1</v>
      </c>
      <c r="G250">
        <v>3</v>
      </c>
      <c r="H250">
        <v>323</v>
      </c>
      <c r="I250">
        <v>160</v>
      </c>
      <c r="J250">
        <v>836</v>
      </c>
      <c r="K250">
        <v>22.871416721641364</v>
      </c>
      <c r="L250">
        <v>49.604743083003953</v>
      </c>
      <c r="M250">
        <v>54.062819000067243</v>
      </c>
      <c r="N250">
        <f t="shared" si="14"/>
        <v>1</v>
      </c>
      <c r="O250">
        <f t="shared" si="15"/>
        <v>2</v>
      </c>
      <c r="P250">
        <f t="shared" si="16"/>
        <v>3</v>
      </c>
    </row>
    <row r="251" spans="1:16" x14ac:dyDescent="0.4">
      <c r="A251" t="s">
        <v>376</v>
      </c>
      <c r="B251" t="s">
        <v>377</v>
      </c>
      <c r="C251" t="s">
        <v>64</v>
      </c>
      <c r="D251" s="1">
        <v>39785</v>
      </c>
      <c r="E251">
        <v>2</v>
      </c>
      <c r="F251">
        <v>1</v>
      </c>
      <c r="G251">
        <v>3</v>
      </c>
      <c r="H251">
        <v>323</v>
      </c>
      <c r="I251">
        <v>160</v>
      </c>
      <c r="J251">
        <v>836</v>
      </c>
      <c r="K251">
        <v>81.454489306956972</v>
      </c>
      <c r="L251">
        <v>66.174055829228237</v>
      </c>
      <c r="M251">
        <v>63.084299204057899</v>
      </c>
      <c r="N251">
        <f t="shared" si="14"/>
        <v>3</v>
      </c>
      <c r="O251">
        <f t="shared" si="15"/>
        <v>3</v>
      </c>
      <c r="P251">
        <f t="shared" si="16"/>
        <v>3</v>
      </c>
    </row>
    <row r="252" spans="1:16" x14ac:dyDescent="0.4">
      <c r="A252" t="s">
        <v>378</v>
      </c>
      <c r="B252" t="s">
        <v>379</v>
      </c>
      <c r="C252" t="s">
        <v>64</v>
      </c>
      <c r="D252" s="1">
        <v>39786</v>
      </c>
      <c r="E252">
        <v>2</v>
      </c>
      <c r="F252">
        <v>1</v>
      </c>
      <c r="G252">
        <v>3</v>
      </c>
      <c r="H252">
        <v>323</v>
      </c>
      <c r="I252">
        <v>160</v>
      </c>
      <c r="J252">
        <v>836</v>
      </c>
      <c r="K252">
        <v>51.798578147208552</v>
      </c>
      <c r="L252">
        <v>70.197044334975374</v>
      </c>
      <c r="M252">
        <v>54.025088679686384</v>
      </c>
      <c r="N252">
        <f t="shared" si="14"/>
        <v>3</v>
      </c>
      <c r="O252">
        <f t="shared" si="15"/>
        <v>3</v>
      </c>
      <c r="P252">
        <f t="shared" si="16"/>
        <v>3</v>
      </c>
    </row>
    <row r="253" spans="1:16" x14ac:dyDescent="0.4">
      <c r="A253" t="s">
        <v>520</v>
      </c>
      <c r="B253" t="s">
        <v>521</v>
      </c>
      <c r="C253" t="s">
        <v>64</v>
      </c>
      <c r="D253" s="1">
        <v>39806</v>
      </c>
      <c r="E253">
        <v>2</v>
      </c>
      <c r="F253">
        <v>1</v>
      </c>
      <c r="G253">
        <v>3</v>
      </c>
      <c r="H253">
        <v>323</v>
      </c>
      <c r="I253">
        <v>160</v>
      </c>
      <c r="J253">
        <v>836</v>
      </c>
      <c r="K253">
        <v>70.435324853595461</v>
      </c>
      <c r="L253">
        <v>90.229885057471265</v>
      </c>
      <c r="M253">
        <v>36.775487008174473</v>
      </c>
      <c r="N253">
        <f t="shared" si="14"/>
        <v>3</v>
      </c>
      <c r="O253">
        <f t="shared" si="15"/>
        <v>3</v>
      </c>
      <c r="P253">
        <f t="shared" si="16"/>
        <v>2</v>
      </c>
    </row>
    <row r="254" spans="1:16" x14ac:dyDescent="0.4">
      <c r="A254" t="s">
        <v>187</v>
      </c>
      <c r="B254" t="s">
        <v>188</v>
      </c>
      <c r="C254" t="s">
        <v>40</v>
      </c>
      <c r="D254" s="1">
        <v>39828</v>
      </c>
      <c r="E254">
        <v>2</v>
      </c>
      <c r="F254">
        <v>1</v>
      </c>
      <c r="G254">
        <v>3</v>
      </c>
      <c r="H254">
        <v>323</v>
      </c>
      <c r="I254">
        <v>160</v>
      </c>
      <c r="J254">
        <v>836</v>
      </c>
      <c r="K254">
        <v>47.109271101803152</v>
      </c>
      <c r="L254">
        <v>61.264822134387352</v>
      </c>
      <c r="M254">
        <v>54.258771203409843</v>
      </c>
      <c r="N254">
        <f t="shared" si="14"/>
        <v>2</v>
      </c>
      <c r="O254">
        <f t="shared" si="15"/>
        <v>3</v>
      </c>
      <c r="P254">
        <f t="shared" si="16"/>
        <v>3</v>
      </c>
    </row>
    <row r="255" spans="1:16" x14ac:dyDescent="0.4">
      <c r="A255" t="s">
        <v>522</v>
      </c>
      <c r="B255" t="s">
        <v>523</v>
      </c>
      <c r="C255" t="s">
        <v>40</v>
      </c>
      <c r="D255" s="1">
        <v>39834</v>
      </c>
      <c r="E255">
        <v>2</v>
      </c>
      <c r="F255">
        <v>1</v>
      </c>
      <c r="G255">
        <v>3</v>
      </c>
      <c r="H255">
        <v>323</v>
      </c>
      <c r="I255">
        <v>160</v>
      </c>
      <c r="J255">
        <v>836</v>
      </c>
      <c r="K255">
        <v>67.827532534086473</v>
      </c>
      <c r="L255">
        <v>42.292490118577078</v>
      </c>
      <c r="M255">
        <v>54.59779466612251</v>
      </c>
      <c r="N255">
        <f t="shared" si="14"/>
        <v>3</v>
      </c>
      <c r="O255">
        <f t="shared" si="15"/>
        <v>2</v>
      </c>
      <c r="P255">
        <f t="shared" si="16"/>
        <v>3</v>
      </c>
    </row>
    <row r="256" spans="1:16" x14ac:dyDescent="0.4">
      <c r="A256" t="s">
        <v>44</v>
      </c>
      <c r="B256" t="s">
        <v>45</v>
      </c>
      <c r="C256" t="s">
        <v>40</v>
      </c>
      <c r="D256" s="1">
        <v>39836</v>
      </c>
      <c r="E256">
        <v>2</v>
      </c>
      <c r="F256">
        <v>1</v>
      </c>
      <c r="G256">
        <v>3</v>
      </c>
      <c r="H256">
        <v>323</v>
      </c>
      <c r="I256">
        <v>160</v>
      </c>
      <c r="J256">
        <v>836</v>
      </c>
      <c r="K256">
        <v>16.631618897657862</v>
      </c>
      <c r="L256">
        <v>16.205533596837945</v>
      </c>
      <c r="M256">
        <v>22.686231732527105</v>
      </c>
      <c r="N256">
        <f t="shared" si="14"/>
        <v>1</v>
      </c>
      <c r="O256">
        <f t="shared" si="15"/>
        <v>1</v>
      </c>
      <c r="P256">
        <f t="shared" si="16"/>
        <v>1</v>
      </c>
    </row>
    <row r="257" spans="1:16" x14ac:dyDescent="0.4">
      <c r="A257" t="s">
        <v>115</v>
      </c>
      <c r="B257" t="s">
        <v>116</v>
      </c>
      <c r="C257" t="s">
        <v>40</v>
      </c>
      <c r="D257" s="1">
        <v>39876</v>
      </c>
      <c r="E257">
        <v>2</v>
      </c>
      <c r="F257">
        <v>1</v>
      </c>
      <c r="G257">
        <v>3</v>
      </c>
      <c r="H257">
        <v>323</v>
      </c>
      <c r="I257">
        <v>160</v>
      </c>
      <c r="J257">
        <v>836</v>
      </c>
      <c r="K257">
        <v>10.306027827098593</v>
      </c>
      <c r="L257">
        <v>41.501976284584977</v>
      </c>
      <c r="M257">
        <v>47.812685195337735</v>
      </c>
      <c r="N257">
        <f t="shared" si="14"/>
        <v>1</v>
      </c>
      <c r="O257">
        <f t="shared" si="15"/>
        <v>2</v>
      </c>
      <c r="P257">
        <f t="shared" si="16"/>
        <v>2</v>
      </c>
    </row>
    <row r="258" spans="1:16" x14ac:dyDescent="0.4">
      <c r="A258" t="s">
        <v>524</v>
      </c>
      <c r="B258" t="s">
        <v>525</v>
      </c>
      <c r="C258" t="s">
        <v>40</v>
      </c>
      <c r="D258" s="1">
        <v>39882</v>
      </c>
      <c r="E258">
        <v>2</v>
      </c>
      <c r="F258">
        <v>1</v>
      </c>
      <c r="G258">
        <v>3</v>
      </c>
      <c r="H258">
        <v>323</v>
      </c>
      <c r="I258">
        <v>160</v>
      </c>
      <c r="J258">
        <v>836</v>
      </c>
      <c r="K258">
        <v>85.922468542160559</v>
      </c>
      <c r="L258">
        <v>96.837944664031625</v>
      </c>
      <c r="M258">
        <v>57.131756551816032</v>
      </c>
      <c r="N258">
        <f t="shared" si="14"/>
        <v>3</v>
      </c>
      <c r="O258">
        <f t="shared" si="15"/>
        <v>3</v>
      </c>
      <c r="P258">
        <f t="shared" si="16"/>
        <v>3</v>
      </c>
    </row>
    <row r="259" spans="1:16" x14ac:dyDescent="0.4">
      <c r="A259" t="s">
        <v>926</v>
      </c>
      <c r="B259" t="s">
        <v>927</v>
      </c>
      <c r="C259" t="s">
        <v>64</v>
      </c>
      <c r="D259" s="1">
        <v>39889</v>
      </c>
      <c r="E259">
        <v>2</v>
      </c>
      <c r="F259">
        <v>1</v>
      </c>
      <c r="G259">
        <v>3</v>
      </c>
      <c r="H259">
        <v>323</v>
      </c>
      <c r="I259">
        <v>160</v>
      </c>
      <c r="J259">
        <v>836</v>
      </c>
      <c r="K259">
        <v>54.761304871241187</v>
      </c>
      <c r="L259">
        <v>94.991789819376024</v>
      </c>
      <c r="M259">
        <v>46.758276446769472</v>
      </c>
      <c r="N259">
        <f t="shared" ref="N259:N322" si="17">IF(AND(K259&gt;0,K259&lt;30),1,IF(AND(K259&gt;=30,K259&lt;50),2,IF(K259&gt;=50,3,0)))</f>
        <v>3</v>
      </c>
      <c r="O259">
        <f t="shared" ref="O259:O322" si="18">IF(AND(L259&gt;0,L259&lt;30),1,IF(AND(L259&gt;=30,L259&lt;50),2,IF(L259&gt;=50,3,0)))</f>
        <v>3</v>
      </c>
      <c r="P259">
        <f t="shared" ref="P259:P322" si="19">IF(AND(M259&gt;0,M259&lt;30),1,IF(AND(M259&gt;=30,M259&lt;50),2,IF(M259&gt;=50,3,0)))</f>
        <v>2</v>
      </c>
    </row>
    <row r="260" spans="1:16" x14ac:dyDescent="0.4">
      <c r="A260" t="s">
        <v>526</v>
      </c>
      <c r="B260" t="s">
        <v>527</v>
      </c>
      <c r="C260" t="s">
        <v>40</v>
      </c>
      <c r="D260" s="1">
        <v>39892</v>
      </c>
      <c r="E260">
        <v>2</v>
      </c>
      <c r="F260">
        <v>1</v>
      </c>
      <c r="G260">
        <v>3</v>
      </c>
      <c r="H260">
        <v>323</v>
      </c>
      <c r="I260">
        <v>160</v>
      </c>
      <c r="J260">
        <v>836</v>
      </c>
      <c r="K260">
        <v>54.312611359279323</v>
      </c>
      <c r="L260">
        <v>88.932806324110672</v>
      </c>
      <c r="M260">
        <v>31.006304045381022</v>
      </c>
      <c r="N260">
        <f t="shared" si="17"/>
        <v>3</v>
      </c>
      <c r="O260">
        <f t="shared" si="18"/>
        <v>3</v>
      </c>
      <c r="P260">
        <f t="shared" si="19"/>
        <v>2</v>
      </c>
    </row>
    <row r="261" spans="1:16" x14ac:dyDescent="0.4">
      <c r="A261" t="s">
        <v>380</v>
      </c>
      <c r="B261" t="s">
        <v>381</v>
      </c>
      <c r="C261" t="s">
        <v>64</v>
      </c>
      <c r="D261" s="1">
        <v>39897</v>
      </c>
      <c r="E261">
        <v>2</v>
      </c>
      <c r="F261">
        <v>1</v>
      </c>
      <c r="G261">
        <v>3</v>
      </c>
      <c r="H261">
        <v>323</v>
      </c>
      <c r="I261">
        <v>160</v>
      </c>
      <c r="J261">
        <v>836</v>
      </c>
      <c r="K261">
        <v>63.490689446635415</v>
      </c>
      <c r="L261">
        <v>4.7619047619047619</v>
      </c>
      <c r="M261">
        <v>26.6881172985922</v>
      </c>
      <c r="N261">
        <f t="shared" si="17"/>
        <v>3</v>
      </c>
      <c r="O261">
        <f t="shared" si="18"/>
        <v>1</v>
      </c>
      <c r="P261">
        <f t="shared" si="19"/>
        <v>1</v>
      </c>
    </row>
    <row r="262" spans="1:16" x14ac:dyDescent="0.4">
      <c r="A262" t="s">
        <v>528</v>
      </c>
      <c r="B262" t="s">
        <v>529</v>
      </c>
      <c r="C262" t="s">
        <v>40</v>
      </c>
      <c r="D262" s="1">
        <v>39897</v>
      </c>
      <c r="E262">
        <v>2</v>
      </c>
      <c r="F262">
        <v>1</v>
      </c>
      <c r="G262">
        <v>3</v>
      </c>
      <c r="H262">
        <v>323</v>
      </c>
      <c r="I262">
        <v>160</v>
      </c>
      <c r="J262">
        <v>836</v>
      </c>
      <c r="K262">
        <v>84.503510028986355</v>
      </c>
      <c r="L262">
        <v>68.972332015810281</v>
      </c>
      <c r="M262">
        <v>46.270468624463987</v>
      </c>
      <c r="N262">
        <f t="shared" si="17"/>
        <v>3</v>
      </c>
      <c r="O262">
        <f t="shared" si="18"/>
        <v>3</v>
      </c>
      <c r="P262">
        <f t="shared" si="19"/>
        <v>2</v>
      </c>
    </row>
    <row r="263" spans="1:16" x14ac:dyDescent="0.4">
      <c r="A263" t="s">
        <v>928</v>
      </c>
      <c r="B263" t="s">
        <v>929</v>
      </c>
      <c r="C263" t="s">
        <v>40</v>
      </c>
      <c r="D263" s="1">
        <v>39898</v>
      </c>
      <c r="E263">
        <v>2</v>
      </c>
      <c r="F263">
        <v>1</v>
      </c>
      <c r="G263">
        <v>3</v>
      </c>
      <c r="H263">
        <v>323</v>
      </c>
      <c r="I263">
        <v>160</v>
      </c>
      <c r="J263">
        <v>836</v>
      </c>
      <c r="K263">
        <v>75.046250209007184</v>
      </c>
      <c r="L263">
        <v>8.695652173913043</v>
      </c>
      <c r="M263">
        <v>29.003626295341508</v>
      </c>
      <c r="N263">
        <f t="shared" si="17"/>
        <v>3</v>
      </c>
      <c r="O263">
        <f t="shared" si="18"/>
        <v>1</v>
      </c>
      <c r="P263">
        <f t="shared" si="19"/>
        <v>1</v>
      </c>
    </row>
    <row r="264" spans="1:16" x14ac:dyDescent="0.4">
      <c r="A264" t="s">
        <v>930</v>
      </c>
      <c r="B264" t="s">
        <v>931</v>
      </c>
      <c r="C264" t="s">
        <v>64</v>
      </c>
      <c r="D264" s="1">
        <v>39899</v>
      </c>
      <c r="E264">
        <v>2</v>
      </c>
      <c r="F264">
        <v>1</v>
      </c>
      <c r="G264">
        <v>3</v>
      </c>
      <c r="H264">
        <v>323</v>
      </c>
      <c r="I264">
        <v>160</v>
      </c>
      <c r="J264">
        <v>836</v>
      </c>
      <c r="K264">
        <v>61.718541907143688</v>
      </c>
      <c r="L264">
        <v>10.755336617405582</v>
      </c>
      <c r="M264">
        <v>32.984134056640805</v>
      </c>
      <c r="N264">
        <f t="shared" si="17"/>
        <v>3</v>
      </c>
      <c r="O264">
        <f t="shared" si="18"/>
        <v>1</v>
      </c>
      <c r="P264">
        <f t="shared" si="19"/>
        <v>2</v>
      </c>
    </row>
    <row r="265" spans="1:16" x14ac:dyDescent="0.4">
      <c r="A265" t="s">
        <v>932</v>
      </c>
      <c r="B265" t="s">
        <v>933</v>
      </c>
      <c r="C265" t="s">
        <v>64</v>
      </c>
      <c r="D265" s="1">
        <v>39906</v>
      </c>
      <c r="E265">
        <v>2</v>
      </c>
      <c r="F265">
        <v>1</v>
      </c>
      <c r="G265">
        <v>3</v>
      </c>
      <c r="H265">
        <v>323</v>
      </c>
      <c r="I265">
        <v>160</v>
      </c>
      <c r="J265">
        <v>836</v>
      </c>
      <c r="K265">
        <v>87.154705417082567</v>
      </c>
      <c r="L265">
        <v>35.385878489326764</v>
      </c>
      <c r="M265">
        <v>24.632515846603802</v>
      </c>
      <c r="N265">
        <f t="shared" si="17"/>
        <v>3</v>
      </c>
      <c r="O265">
        <f t="shared" si="18"/>
        <v>2</v>
      </c>
      <c r="P265">
        <f t="shared" si="19"/>
        <v>1</v>
      </c>
    </row>
    <row r="266" spans="1:16" x14ac:dyDescent="0.4">
      <c r="A266" t="s">
        <v>382</v>
      </c>
      <c r="B266" t="s">
        <v>383</v>
      </c>
      <c r="C266" t="s">
        <v>40</v>
      </c>
      <c r="D266" s="1">
        <v>39911</v>
      </c>
      <c r="E266">
        <v>2</v>
      </c>
      <c r="F266">
        <v>1</v>
      </c>
      <c r="G266">
        <v>3</v>
      </c>
      <c r="H266">
        <v>323</v>
      </c>
      <c r="I266">
        <v>160</v>
      </c>
      <c r="J266">
        <v>836</v>
      </c>
      <c r="K266">
        <v>38.033302354639062</v>
      </c>
      <c r="L266">
        <v>27.07509881422925</v>
      </c>
      <c r="M266">
        <v>49.571469777424262</v>
      </c>
      <c r="N266">
        <f t="shared" si="17"/>
        <v>2</v>
      </c>
      <c r="O266">
        <f t="shared" si="18"/>
        <v>1</v>
      </c>
      <c r="P266">
        <f t="shared" si="19"/>
        <v>2</v>
      </c>
    </row>
    <row r="267" spans="1:16" x14ac:dyDescent="0.4">
      <c r="A267" t="s">
        <v>384</v>
      </c>
      <c r="B267" t="s">
        <v>385</v>
      </c>
      <c r="C267" t="s">
        <v>64</v>
      </c>
      <c r="D267" s="1">
        <v>39912</v>
      </c>
      <c r="E267">
        <v>2</v>
      </c>
      <c r="F267">
        <v>1</v>
      </c>
      <c r="G267">
        <v>3</v>
      </c>
      <c r="H267">
        <v>323</v>
      </c>
      <c r="I267">
        <v>160</v>
      </c>
      <c r="J267">
        <v>836</v>
      </c>
      <c r="K267">
        <v>89.116078743593803</v>
      </c>
      <c r="L267">
        <v>83.333333333333329</v>
      </c>
      <c r="M267">
        <v>69.508937274987233</v>
      </c>
      <c r="N267">
        <f t="shared" si="17"/>
        <v>3</v>
      </c>
      <c r="O267">
        <f t="shared" si="18"/>
        <v>3</v>
      </c>
      <c r="P267">
        <f t="shared" si="19"/>
        <v>3</v>
      </c>
    </row>
    <row r="268" spans="1:16" x14ac:dyDescent="0.4">
      <c r="A268" t="s">
        <v>934</v>
      </c>
      <c r="B268" t="s">
        <v>935</v>
      </c>
      <c r="C268" t="s">
        <v>40</v>
      </c>
      <c r="D268" s="1">
        <v>39913</v>
      </c>
      <c r="E268">
        <v>2</v>
      </c>
      <c r="F268">
        <v>1</v>
      </c>
      <c r="G268">
        <v>3</v>
      </c>
      <c r="H268">
        <v>323</v>
      </c>
      <c r="I268">
        <v>160</v>
      </c>
      <c r="J268">
        <v>836</v>
      </c>
      <c r="K268">
        <v>28.568841150589002</v>
      </c>
      <c r="L268">
        <v>94.664031620553359</v>
      </c>
      <c r="M268">
        <v>63.43343655837414</v>
      </c>
      <c r="N268">
        <f t="shared" si="17"/>
        <v>1</v>
      </c>
      <c r="O268">
        <f t="shared" si="18"/>
        <v>3</v>
      </c>
      <c r="P268">
        <f t="shared" si="19"/>
        <v>3</v>
      </c>
    </row>
    <row r="269" spans="1:16" x14ac:dyDescent="0.4">
      <c r="A269" t="s">
        <v>530</v>
      </c>
      <c r="B269" t="s">
        <v>531</v>
      </c>
      <c r="C269" t="s">
        <v>40</v>
      </c>
      <c r="D269" s="1">
        <v>39925</v>
      </c>
      <c r="E269">
        <v>2</v>
      </c>
      <c r="F269">
        <v>1</v>
      </c>
      <c r="G269">
        <v>3</v>
      </c>
      <c r="H269">
        <v>323</v>
      </c>
      <c r="I269">
        <v>160</v>
      </c>
      <c r="J269">
        <v>836</v>
      </c>
      <c r="K269">
        <v>51.549780213138241</v>
      </c>
      <c r="L269">
        <v>33.596837944664031</v>
      </c>
      <c r="M269">
        <v>63.923209685246817</v>
      </c>
      <c r="N269">
        <f t="shared" si="17"/>
        <v>3</v>
      </c>
      <c r="O269">
        <f t="shared" si="18"/>
        <v>2</v>
      </c>
      <c r="P269">
        <f t="shared" si="19"/>
        <v>3</v>
      </c>
    </row>
    <row r="270" spans="1:16" x14ac:dyDescent="0.4">
      <c r="A270" t="s">
        <v>936</v>
      </c>
      <c r="B270" t="s">
        <v>937</v>
      </c>
      <c r="C270" t="s">
        <v>40</v>
      </c>
      <c r="D270" s="1">
        <v>39925</v>
      </c>
      <c r="E270">
        <v>2</v>
      </c>
      <c r="F270">
        <v>1</v>
      </c>
      <c r="G270">
        <v>3</v>
      </c>
      <c r="H270">
        <v>323</v>
      </c>
      <c r="I270">
        <v>160</v>
      </c>
      <c r="J270">
        <v>836</v>
      </c>
      <c r="K270">
        <v>59.31008605326786</v>
      </c>
      <c r="L270">
        <v>95.8498023715415</v>
      </c>
      <c r="M270">
        <v>70.588193548622769</v>
      </c>
      <c r="N270">
        <f t="shared" si="17"/>
        <v>3</v>
      </c>
      <c r="O270">
        <f t="shared" si="18"/>
        <v>3</v>
      </c>
      <c r="P270">
        <f t="shared" si="19"/>
        <v>3</v>
      </c>
    </row>
    <row r="271" spans="1:16" x14ac:dyDescent="0.4">
      <c r="A271" t="s">
        <v>938</v>
      </c>
      <c r="B271" t="s">
        <v>939</v>
      </c>
      <c r="C271" t="s">
        <v>40</v>
      </c>
      <c r="D271" s="1">
        <v>39927</v>
      </c>
      <c r="E271">
        <v>2</v>
      </c>
      <c r="F271">
        <v>1</v>
      </c>
      <c r="G271">
        <v>3</v>
      </c>
      <c r="H271">
        <v>323</v>
      </c>
      <c r="I271">
        <v>160</v>
      </c>
      <c r="J271">
        <v>836</v>
      </c>
      <c r="K271">
        <v>75.798720798620067</v>
      </c>
      <c r="L271">
        <v>76.679841897233203</v>
      </c>
      <c r="M271">
        <v>36.047800403721041</v>
      </c>
      <c r="N271">
        <f t="shared" si="17"/>
        <v>3</v>
      </c>
      <c r="O271">
        <f t="shared" si="18"/>
        <v>3</v>
      </c>
      <c r="P271">
        <f t="shared" si="19"/>
        <v>2</v>
      </c>
    </row>
    <row r="272" spans="1:16" x14ac:dyDescent="0.4">
      <c r="A272" t="s">
        <v>940</v>
      </c>
      <c r="B272" t="s">
        <v>941</v>
      </c>
      <c r="C272" t="s">
        <v>64</v>
      </c>
      <c r="D272" s="1">
        <v>39930</v>
      </c>
      <c r="E272">
        <v>2</v>
      </c>
      <c r="F272">
        <v>1</v>
      </c>
      <c r="G272">
        <v>3</v>
      </c>
      <c r="H272">
        <v>323</v>
      </c>
      <c r="I272">
        <v>160</v>
      </c>
      <c r="J272">
        <v>836</v>
      </c>
      <c r="K272">
        <v>83.683843302618087</v>
      </c>
      <c r="L272">
        <v>64.121510673234809</v>
      </c>
      <c r="M272">
        <v>21.436597914989971</v>
      </c>
      <c r="N272">
        <f t="shared" si="17"/>
        <v>3</v>
      </c>
      <c r="O272">
        <f t="shared" si="18"/>
        <v>3</v>
      </c>
      <c r="P272">
        <f t="shared" si="19"/>
        <v>1</v>
      </c>
    </row>
    <row r="273" spans="1:16" x14ac:dyDescent="0.4">
      <c r="A273" t="s">
        <v>942</v>
      </c>
      <c r="B273" t="s">
        <v>943</v>
      </c>
      <c r="C273" t="s">
        <v>40</v>
      </c>
      <c r="D273" s="1">
        <v>39933</v>
      </c>
      <c r="E273">
        <v>2</v>
      </c>
      <c r="F273">
        <v>1</v>
      </c>
      <c r="G273">
        <v>3</v>
      </c>
      <c r="H273">
        <v>323</v>
      </c>
      <c r="I273">
        <v>160</v>
      </c>
      <c r="J273">
        <v>836</v>
      </c>
      <c r="K273">
        <v>88.355162205924103</v>
      </c>
      <c r="L273">
        <v>41.699604743083007</v>
      </c>
      <c r="M273">
        <v>46.513062329168065</v>
      </c>
      <c r="N273">
        <f t="shared" si="17"/>
        <v>3</v>
      </c>
      <c r="O273">
        <f t="shared" si="18"/>
        <v>2</v>
      </c>
      <c r="P273">
        <f t="shared" si="19"/>
        <v>2</v>
      </c>
    </row>
    <row r="274" spans="1:16" x14ac:dyDescent="0.4">
      <c r="A274" t="s">
        <v>944</v>
      </c>
      <c r="B274" t="s">
        <v>945</v>
      </c>
      <c r="C274" t="s">
        <v>64</v>
      </c>
      <c r="D274" s="1">
        <v>39939</v>
      </c>
      <c r="E274">
        <v>2</v>
      </c>
      <c r="F274">
        <v>1</v>
      </c>
      <c r="G274">
        <v>3</v>
      </c>
      <c r="H274">
        <v>323</v>
      </c>
      <c r="I274">
        <v>160</v>
      </c>
      <c r="J274">
        <v>836</v>
      </c>
      <c r="K274">
        <v>63.875226352236304</v>
      </c>
      <c r="L274">
        <v>90.476190476190482</v>
      </c>
      <c r="M274">
        <v>44.27680404397929</v>
      </c>
      <c r="N274">
        <f t="shared" si="17"/>
        <v>3</v>
      </c>
      <c r="O274">
        <f t="shared" si="18"/>
        <v>3</v>
      </c>
      <c r="P274">
        <f t="shared" si="19"/>
        <v>2</v>
      </c>
    </row>
    <row r="275" spans="1:16" x14ac:dyDescent="0.4">
      <c r="A275" t="s">
        <v>290</v>
      </c>
      <c r="B275" t="s">
        <v>291</v>
      </c>
      <c r="C275" t="s">
        <v>40</v>
      </c>
      <c r="D275" s="1">
        <v>39951</v>
      </c>
      <c r="E275">
        <v>2</v>
      </c>
      <c r="F275">
        <v>1</v>
      </c>
      <c r="G275">
        <v>3</v>
      </c>
      <c r="H275">
        <v>323</v>
      </c>
      <c r="I275">
        <v>160</v>
      </c>
      <c r="J275">
        <v>836</v>
      </c>
      <c r="K275">
        <v>34.81195553739424</v>
      </c>
      <c r="L275">
        <v>51.976284584980235</v>
      </c>
      <c r="M275">
        <v>18.157680016985143</v>
      </c>
      <c r="N275">
        <f t="shared" si="17"/>
        <v>2</v>
      </c>
      <c r="O275">
        <f t="shared" si="18"/>
        <v>3</v>
      </c>
      <c r="P275">
        <f t="shared" si="19"/>
        <v>1</v>
      </c>
    </row>
    <row r="276" spans="1:16" x14ac:dyDescent="0.4">
      <c r="A276" t="s">
        <v>946</v>
      </c>
      <c r="B276" t="s">
        <v>947</v>
      </c>
      <c r="C276" t="s">
        <v>40</v>
      </c>
      <c r="D276" s="1">
        <v>39960</v>
      </c>
      <c r="E276">
        <v>2</v>
      </c>
      <c r="F276">
        <v>1</v>
      </c>
      <c r="G276">
        <v>3</v>
      </c>
      <c r="H276">
        <v>323</v>
      </c>
      <c r="I276">
        <v>160</v>
      </c>
      <c r="J276">
        <v>836</v>
      </c>
      <c r="K276">
        <v>43.0776669788644</v>
      </c>
      <c r="L276">
        <v>13.636363636363637</v>
      </c>
      <c r="M276">
        <v>48.816241180057105</v>
      </c>
      <c r="N276">
        <f t="shared" si="17"/>
        <v>2</v>
      </c>
      <c r="O276">
        <f t="shared" si="18"/>
        <v>1</v>
      </c>
      <c r="P276">
        <f t="shared" si="19"/>
        <v>2</v>
      </c>
    </row>
    <row r="277" spans="1:16" x14ac:dyDescent="0.4">
      <c r="A277" t="s">
        <v>948</v>
      </c>
      <c r="B277" t="s">
        <v>949</v>
      </c>
      <c r="C277" t="s">
        <v>64</v>
      </c>
      <c r="D277" s="1">
        <v>39968</v>
      </c>
      <c r="E277">
        <v>2</v>
      </c>
      <c r="F277">
        <v>1</v>
      </c>
      <c r="G277">
        <v>3</v>
      </c>
      <c r="H277">
        <v>323</v>
      </c>
      <c r="I277">
        <v>160</v>
      </c>
      <c r="J277">
        <v>836</v>
      </c>
      <c r="K277">
        <v>62.975705310691311</v>
      </c>
      <c r="L277">
        <v>98.768472906403943</v>
      </c>
      <c r="M277">
        <v>34.649060696035363</v>
      </c>
      <c r="N277">
        <f t="shared" si="17"/>
        <v>3</v>
      </c>
      <c r="O277">
        <f t="shared" si="18"/>
        <v>3</v>
      </c>
      <c r="P277">
        <f t="shared" si="19"/>
        <v>2</v>
      </c>
    </row>
    <row r="278" spans="1:16" x14ac:dyDescent="0.4">
      <c r="A278" t="s">
        <v>532</v>
      </c>
      <c r="B278" t="s">
        <v>533</v>
      </c>
      <c r="C278" t="s">
        <v>40</v>
      </c>
      <c r="D278" s="1">
        <v>39976</v>
      </c>
      <c r="E278">
        <v>2</v>
      </c>
      <c r="F278">
        <v>1</v>
      </c>
      <c r="G278">
        <v>3</v>
      </c>
      <c r="H278">
        <v>323</v>
      </c>
      <c r="I278">
        <v>160</v>
      </c>
      <c r="J278">
        <v>836</v>
      </c>
      <c r="K278">
        <v>87.190077450179658</v>
      </c>
      <c r="L278">
        <v>4.150197628458498</v>
      </c>
      <c r="M278">
        <v>46.721925889563522</v>
      </c>
      <c r="N278">
        <f t="shared" si="17"/>
        <v>3</v>
      </c>
      <c r="O278">
        <f t="shared" si="18"/>
        <v>1</v>
      </c>
      <c r="P278">
        <f t="shared" si="19"/>
        <v>2</v>
      </c>
    </row>
    <row r="279" spans="1:16" x14ac:dyDescent="0.4">
      <c r="A279" t="s">
        <v>950</v>
      </c>
      <c r="B279" t="s">
        <v>951</v>
      </c>
      <c r="C279" t="s">
        <v>40</v>
      </c>
      <c r="D279" s="1">
        <v>39980</v>
      </c>
      <c r="E279">
        <v>2</v>
      </c>
      <c r="F279">
        <v>1</v>
      </c>
      <c r="G279">
        <v>3</v>
      </c>
      <c r="H279">
        <v>323</v>
      </c>
      <c r="I279">
        <v>160</v>
      </c>
      <c r="J279">
        <v>836</v>
      </c>
      <c r="K279">
        <v>59.003691441184309</v>
      </c>
      <c r="L279">
        <v>71.146245059288532</v>
      </c>
      <c r="M279">
        <v>73.599001253189712</v>
      </c>
      <c r="N279">
        <f t="shared" si="17"/>
        <v>3</v>
      </c>
      <c r="O279">
        <f t="shared" si="18"/>
        <v>3</v>
      </c>
      <c r="P279">
        <f t="shared" si="19"/>
        <v>3</v>
      </c>
    </row>
    <row r="280" spans="1:16" x14ac:dyDescent="0.4">
      <c r="A280" t="s">
        <v>534</v>
      </c>
      <c r="B280" t="s">
        <v>535</v>
      </c>
      <c r="C280" t="s">
        <v>40</v>
      </c>
      <c r="D280" s="1">
        <v>39983</v>
      </c>
      <c r="E280">
        <v>2</v>
      </c>
      <c r="F280">
        <v>1</v>
      </c>
      <c r="G280">
        <v>3</v>
      </c>
      <c r="H280">
        <v>323</v>
      </c>
      <c r="I280">
        <v>160</v>
      </c>
      <c r="J280">
        <v>836</v>
      </c>
      <c r="K280">
        <v>73.364863066077959</v>
      </c>
      <c r="L280">
        <v>49.40711462450593</v>
      </c>
      <c r="M280">
        <v>38.682730235378457</v>
      </c>
      <c r="N280">
        <f t="shared" si="17"/>
        <v>3</v>
      </c>
      <c r="O280">
        <f t="shared" si="18"/>
        <v>2</v>
      </c>
      <c r="P280">
        <f t="shared" si="19"/>
        <v>2</v>
      </c>
    </row>
    <row r="281" spans="1:16" x14ac:dyDescent="0.4">
      <c r="A281" t="s">
        <v>292</v>
      </c>
      <c r="B281" t="s">
        <v>293</v>
      </c>
      <c r="C281" t="s">
        <v>40</v>
      </c>
      <c r="D281" s="1">
        <v>39988</v>
      </c>
      <c r="E281">
        <v>2</v>
      </c>
      <c r="F281">
        <v>1</v>
      </c>
      <c r="G281">
        <v>3</v>
      </c>
      <c r="H281">
        <v>323</v>
      </c>
      <c r="I281">
        <v>160</v>
      </c>
      <c r="J281">
        <v>836</v>
      </c>
      <c r="K281">
        <v>12.37221202514044</v>
      </c>
      <c r="L281">
        <v>85.37549407114625</v>
      </c>
      <c r="M281">
        <v>63.353301482483545</v>
      </c>
      <c r="N281">
        <f t="shared" si="17"/>
        <v>1</v>
      </c>
      <c r="O281">
        <f t="shared" si="18"/>
        <v>3</v>
      </c>
      <c r="P281">
        <f t="shared" si="19"/>
        <v>3</v>
      </c>
    </row>
    <row r="282" spans="1:16" x14ac:dyDescent="0.4">
      <c r="A282" t="s">
        <v>294</v>
      </c>
      <c r="B282" t="s">
        <v>295</v>
      </c>
      <c r="C282" t="s">
        <v>40</v>
      </c>
      <c r="D282" s="1">
        <v>39988</v>
      </c>
      <c r="E282">
        <v>2</v>
      </c>
      <c r="F282">
        <v>1</v>
      </c>
      <c r="G282">
        <v>3</v>
      </c>
      <c r="H282">
        <v>323</v>
      </c>
      <c r="I282">
        <v>160</v>
      </c>
      <c r="J282">
        <v>836</v>
      </c>
      <c r="K282">
        <v>30.964580796619099</v>
      </c>
      <c r="L282">
        <v>43.083003952569172</v>
      </c>
      <c r="M282">
        <v>58.549755343090673</v>
      </c>
      <c r="N282">
        <f t="shared" si="17"/>
        <v>2</v>
      </c>
      <c r="O282">
        <f t="shared" si="18"/>
        <v>2</v>
      </c>
      <c r="P282">
        <f t="shared" si="19"/>
        <v>3</v>
      </c>
    </row>
    <row r="283" spans="1:16" x14ac:dyDescent="0.4">
      <c r="A283" t="s">
        <v>84</v>
      </c>
      <c r="B283" t="s">
        <v>85</v>
      </c>
      <c r="C283" t="s">
        <v>43</v>
      </c>
      <c r="D283" s="1">
        <v>39988</v>
      </c>
      <c r="E283">
        <v>2</v>
      </c>
      <c r="F283">
        <v>1</v>
      </c>
      <c r="G283">
        <v>3</v>
      </c>
      <c r="H283">
        <v>323</v>
      </c>
      <c r="I283">
        <v>160</v>
      </c>
      <c r="J283">
        <v>836</v>
      </c>
      <c r="K283">
        <v>17.347122471243516</v>
      </c>
      <c r="L283">
        <v>19.796954314720811</v>
      </c>
      <c r="M283">
        <v>19.925109093385291</v>
      </c>
      <c r="N283">
        <f t="shared" si="17"/>
        <v>1</v>
      </c>
      <c r="O283">
        <f t="shared" si="18"/>
        <v>1</v>
      </c>
      <c r="P283">
        <f t="shared" si="19"/>
        <v>1</v>
      </c>
    </row>
    <row r="284" spans="1:16" x14ac:dyDescent="0.4">
      <c r="A284" t="s">
        <v>952</v>
      </c>
      <c r="B284" t="s">
        <v>953</v>
      </c>
      <c r="C284" t="s">
        <v>64</v>
      </c>
      <c r="D284" s="1">
        <v>39994</v>
      </c>
      <c r="E284">
        <v>2</v>
      </c>
      <c r="F284">
        <v>1</v>
      </c>
      <c r="G284">
        <v>3</v>
      </c>
      <c r="H284">
        <v>323</v>
      </c>
      <c r="I284">
        <v>160</v>
      </c>
      <c r="J284">
        <v>836</v>
      </c>
      <c r="K284">
        <v>93.134214460350776</v>
      </c>
      <c r="L284">
        <v>88.505747126436788</v>
      </c>
      <c r="M284">
        <v>50.903615274045137</v>
      </c>
      <c r="N284">
        <f t="shared" si="17"/>
        <v>3</v>
      </c>
      <c r="O284">
        <f t="shared" si="18"/>
        <v>3</v>
      </c>
      <c r="P284">
        <f t="shared" si="19"/>
        <v>3</v>
      </c>
    </row>
    <row r="285" spans="1:16" x14ac:dyDescent="0.4">
      <c r="A285" t="s">
        <v>296</v>
      </c>
      <c r="B285" t="s">
        <v>297</v>
      </c>
      <c r="C285" t="s">
        <v>40</v>
      </c>
      <c r="D285" s="1">
        <v>39995</v>
      </c>
      <c r="E285">
        <v>2</v>
      </c>
      <c r="F285">
        <v>1</v>
      </c>
      <c r="G285">
        <v>3</v>
      </c>
      <c r="H285">
        <v>323</v>
      </c>
      <c r="I285">
        <v>160</v>
      </c>
      <c r="J285">
        <v>836</v>
      </c>
      <c r="K285">
        <v>21.419389011982847</v>
      </c>
      <c r="L285">
        <v>83.201581027667984</v>
      </c>
      <c r="M285">
        <v>54.739026501152409</v>
      </c>
      <c r="N285">
        <f t="shared" si="17"/>
        <v>1</v>
      </c>
      <c r="O285">
        <f t="shared" si="18"/>
        <v>3</v>
      </c>
      <c r="P285">
        <f t="shared" si="19"/>
        <v>3</v>
      </c>
    </row>
    <row r="286" spans="1:16" x14ac:dyDescent="0.4">
      <c r="A286" t="s">
        <v>126</v>
      </c>
      <c r="B286" t="s">
        <v>127</v>
      </c>
      <c r="C286" t="s">
        <v>40</v>
      </c>
      <c r="D286" s="1">
        <v>39995</v>
      </c>
      <c r="E286">
        <v>2</v>
      </c>
      <c r="F286">
        <v>1</v>
      </c>
      <c r="G286">
        <v>3</v>
      </c>
      <c r="H286">
        <v>323</v>
      </c>
      <c r="I286">
        <v>160</v>
      </c>
      <c r="J286">
        <v>836</v>
      </c>
      <c r="K286">
        <v>22.62007429720639</v>
      </c>
      <c r="L286">
        <v>52.569169960474298</v>
      </c>
      <c r="M286">
        <v>45.905179449627219</v>
      </c>
      <c r="N286">
        <f t="shared" si="17"/>
        <v>1</v>
      </c>
      <c r="O286">
        <f t="shared" si="18"/>
        <v>3</v>
      </c>
      <c r="P286">
        <f t="shared" si="19"/>
        <v>2</v>
      </c>
    </row>
    <row r="287" spans="1:16" x14ac:dyDescent="0.4">
      <c r="A287" t="s">
        <v>954</v>
      </c>
      <c r="B287" t="s">
        <v>955</v>
      </c>
      <c r="C287" t="s">
        <v>64</v>
      </c>
      <c r="D287" s="1">
        <v>40007</v>
      </c>
      <c r="E287">
        <v>2</v>
      </c>
      <c r="F287">
        <v>1</v>
      </c>
      <c r="G287">
        <v>3</v>
      </c>
      <c r="H287">
        <v>323</v>
      </c>
      <c r="I287">
        <v>160</v>
      </c>
      <c r="J287">
        <v>836</v>
      </c>
      <c r="K287">
        <v>62.794044190544255</v>
      </c>
      <c r="L287">
        <v>1.6420361247947455</v>
      </c>
      <c r="M287">
        <v>23.612956049132308</v>
      </c>
      <c r="N287">
        <f t="shared" si="17"/>
        <v>3</v>
      </c>
      <c r="O287">
        <f t="shared" si="18"/>
        <v>1</v>
      </c>
      <c r="P287">
        <f t="shared" si="19"/>
        <v>1</v>
      </c>
    </row>
    <row r="288" spans="1:16" x14ac:dyDescent="0.4">
      <c r="A288" t="s">
        <v>536</v>
      </c>
      <c r="B288" t="s">
        <v>537</v>
      </c>
      <c r="C288" t="s">
        <v>64</v>
      </c>
      <c r="D288" s="1">
        <v>40009</v>
      </c>
      <c r="E288">
        <v>2</v>
      </c>
      <c r="F288">
        <v>1</v>
      </c>
      <c r="G288">
        <v>3</v>
      </c>
      <c r="H288">
        <v>323</v>
      </c>
      <c r="I288">
        <v>160</v>
      </c>
      <c r="J288">
        <v>836</v>
      </c>
      <c r="K288">
        <v>58.355287012127562</v>
      </c>
      <c r="L288">
        <v>88.587848932676522</v>
      </c>
      <c r="M288">
        <v>17.841812483572639</v>
      </c>
      <c r="N288">
        <f t="shared" si="17"/>
        <v>3</v>
      </c>
      <c r="O288">
        <f t="shared" si="18"/>
        <v>3</v>
      </c>
      <c r="P288">
        <f t="shared" si="19"/>
        <v>1</v>
      </c>
    </row>
    <row r="289" spans="1:16" x14ac:dyDescent="0.4">
      <c r="A289" t="s">
        <v>956</v>
      </c>
      <c r="B289" t="s">
        <v>957</v>
      </c>
      <c r="C289" t="s">
        <v>40</v>
      </c>
      <c r="D289" s="1">
        <v>40018</v>
      </c>
      <c r="E289">
        <v>2</v>
      </c>
      <c r="F289">
        <v>1</v>
      </c>
      <c r="G289">
        <v>3</v>
      </c>
      <c r="H289">
        <v>323</v>
      </c>
      <c r="I289">
        <v>160</v>
      </c>
      <c r="J289">
        <v>836</v>
      </c>
      <c r="K289">
        <v>26.625025377904766</v>
      </c>
      <c r="L289">
        <v>19.762845849802371</v>
      </c>
      <c r="M289">
        <v>37.700637183115518</v>
      </c>
      <c r="N289">
        <f t="shared" si="17"/>
        <v>1</v>
      </c>
      <c r="O289">
        <f t="shared" si="18"/>
        <v>1</v>
      </c>
      <c r="P289">
        <f t="shared" si="19"/>
        <v>2</v>
      </c>
    </row>
    <row r="290" spans="1:16" x14ac:dyDescent="0.4">
      <c r="A290" t="s">
        <v>958</v>
      </c>
      <c r="B290" t="s">
        <v>959</v>
      </c>
      <c r="C290" t="s">
        <v>40</v>
      </c>
      <c r="D290" s="1">
        <v>40024</v>
      </c>
      <c r="E290">
        <v>2</v>
      </c>
      <c r="F290">
        <v>1</v>
      </c>
      <c r="G290">
        <v>3</v>
      </c>
      <c r="H290">
        <v>323</v>
      </c>
      <c r="I290">
        <v>160</v>
      </c>
      <c r="J290">
        <v>836</v>
      </c>
      <c r="K290">
        <v>56.879531107585606</v>
      </c>
      <c r="L290">
        <v>31.620553359683793</v>
      </c>
      <c r="M290">
        <v>63.208896379108438</v>
      </c>
      <c r="N290">
        <f t="shared" si="17"/>
        <v>3</v>
      </c>
      <c r="O290">
        <f t="shared" si="18"/>
        <v>2</v>
      </c>
      <c r="P290">
        <f t="shared" si="19"/>
        <v>3</v>
      </c>
    </row>
    <row r="291" spans="1:16" x14ac:dyDescent="0.4">
      <c r="A291" t="s">
        <v>538</v>
      </c>
      <c r="B291" t="s">
        <v>539</v>
      </c>
      <c r="C291" t="s">
        <v>40</v>
      </c>
      <c r="D291" s="1">
        <v>40028</v>
      </c>
      <c r="E291">
        <v>2</v>
      </c>
      <c r="F291">
        <v>1</v>
      </c>
      <c r="G291">
        <v>3</v>
      </c>
      <c r="H291">
        <v>323</v>
      </c>
      <c r="I291">
        <v>160</v>
      </c>
      <c r="J291">
        <v>836</v>
      </c>
      <c r="K291">
        <v>65.417796510789927</v>
      </c>
      <c r="L291">
        <v>16.007905138339922</v>
      </c>
      <c r="M291">
        <v>43.073526775547485</v>
      </c>
      <c r="N291">
        <f t="shared" si="17"/>
        <v>3</v>
      </c>
      <c r="O291">
        <f t="shared" si="18"/>
        <v>1</v>
      </c>
      <c r="P291">
        <f t="shared" si="19"/>
        <v>2</v>
      </c>
    </row>
    <row r="292" spans="1:16" x14ac:dyDescent="0.4">
      <c r="A292" t="s">
        <v>960</v>
      </c>
      <c r="B292" t="s">
        <v>961</v>
      </c>
      <c r="C292" t="s">
        <v>64</v>
      </c>
      <c r="D292" s="1">
        <v>40036</v>
      </c>
      <c r="E292">
        <v>2</v>
      </c>
      <c r="F292">
        <v>1</v>
      </c>
      <c r="G292">
        <v>3</v>
      </c>
      <c r="H292">
        <v>323</v>
      </c>
      <c r="I292">
        <v>160</v>
      </c>
      <c r="J292">
        <v>836</v>
      </c>
      <c r="K292">
        <v>62.434827508050525</v>
      </c>
      <c r="L292">
        <v>57.060755336617397</v>
      </c>
      <c r="M292">
        <v>39.957364266871302</v>
      </c>
      <c r="N292">
        <f t="shared" si="17"/>
        <v>3</v>
      </c>
      <c r="O292">
        <f t="shared" si="18"/>
        <v>3</v>
      </c>
      <c r="P292">
        <f t="shared" si="19"/>
        <v>2</v>
      </c>
    </row>
    <row r="293" spans="1:16" x14ac:dyDescent="0.4">
      <c r="A293" t="s">
        <v>962</v>
      </c>
      <c r="B293" t="s">
        <v>963</v>
      </c>
      <c r="C293" t="s">
        <v>64</v>
      </c>
      <c r="D293" s="1">
        <v>40043</v>
      </c>
      <c r="E293">
        <v>2</v>
      </c>
      <c r="F293">
        <v>1</v>
      </c>
      <c r="G293">
        <v>3</v>
      </c>
      <c r="H293">
        <v>323</v>
      </c>
      <c r="I293">
        <v>160</v>
      </c>
      <c r="J293">
        <v>836</v>
      </c>
      <c r="K293">
        <v>81.004800025069812</v>
      </c>
      <c r="L293">
        <v>4.1871921182266014</v>
      </c>
      <c r="M293">
        <v>28.946215974995429</v>
      </c>
      <c r="N293">
        <f t="shared" si="17"/>
        <v>3</v>
      </c>
      <c r="O293">
        <f t="shared" si="18"/>
        <v>1</v>
      </c>
      <c r="P293">
        <f t="shared" si="19"/>
        <v>1</v>
      </c>
    </row>
    <row r="294" spans="1:16" x14ac:dyDescent="0.4">
      <c r="A294" t="s">
        <v>964</v>
      </c>
      <c r="B294" t="s">
        <v>965</v>
      </c>
      <c r="C294" t="s">
        <v>40</v>
      </c>
      <c r="D294" s="1">
        <v>40051</v>
      </c>
      <c r="E294">
        <v>2</v>
      </c>
      <c r="F294">
        <v>1</v>
      </c>
      <c r="G294">
        <v>3</v>
      </c>
      <c r="H294">
        <v>323</v>
      </c>
      <c r="I294">
        <v>160</v>
      </c>
      <c r="J294">
        <v>836</v>
      </c>
      <c r="K294">
        <v>62.33632047846671</v>
      </c>
      <c r="L294">
        <v>25.691699604743082</v>
      </c>
      <c r="M294">
        <v>65.323225401096394</v>
      </c>
      <c r="N294">
        <f t="shared" si="17"/>
        <v>3</v>
      </c>
      <c r="O294">
        <f t="shared" si="18"/>
        <v>1</v>
      </c>
      <c r="P294">
        <f t="shared" si="19"/>
        <v>3</v>
      </c>
    </row>
    <row r="295" spans="1:16" x14ac:dyDescent="0.4">
      <c r="A295" t="s">
        <v>386</v>
      </c>
      <c r="B295" t="s">
        <v>387</v>
      </c>
      <c r="C295" t="s">
        <v>40</v>
      </c>
      <c r="D295" s="1">
        <v>40051</v>
      </c>
      <c r="E295">
        <v>2</v>
      </c>
      <c r="F295">
        <v>1</v>
      </c>
      <c r="G295">
        <v>3</v>
      </c>
      <c r="H295">
        <v>323</v>
      </c>
      <c r="I295">
        <v>160</v>
      </c>
      <c r="J295">
        <v>836</v>
      </c>
      <c r="K295">
        <v>53.420852019134117</v>
      </c>
      <c r="L295">
        <v>25.296442687747035</v>
      </c>
      <c r="M295">
        <v>27.571076073578375</v>
      </c>
      <c r="N295">
        <f t="shared" si="17"/>
        <v>3</v>
      </c>
      <c r="O295">
        <f t="shared" si="18"/>
        <v>1</v>
      </c>
      <c r="P295">
        <f t="shared" si="19"/>
        <v>1</v>
      </c>
    </row>
    <row r="296" spans="1:16" x14ac:dyDescent="0.4">
      <c r="A296" t="s">
        <v>966</v>
      </c>
      <c r="B296" t="s">
        <v>967</v>
      </c>
      <c r="C296" t="s">
        <v>40</v>
      </c>
      <c r="D296" s="1">
        <v>40064</v>
      </c>
      <c r="E296">
        <v>2</v>
      </c>
      <c r="F296">
        <v>1</v>
      </c>
      <c r="G296">
        <v>3</v>
      </c>
      <c r="H296">
        <v>323</v>
      </c>
      <c r="I296">
        <v>160</v>
      </c>
      <c r="J296">
        <v>836</v>
      </c>
      <c r="K296">
        <v>76.615001643644447</v>
      </c>
      <c r="L296">
        <v>10.276679841897232</v>
      </c>
      <c r="M296">
        <v>25.082429209980059</v>
      </c>
      <c r="N296">
        <f t="shared" si="17"/>
        <v>3</v>
      </c>
      <c r="O296">
        <f t="shared" si="18"/>
        <v>1</v>
      </c>
      <c r="P296">
        <f t="shared" si="19"/>
        <v>1</v>
      </c>
    </row>
    <row r="297" spans="1:16" x14ac:dyDescent="0.4">
      <c r="A297" t="s">
        <v>968</v>
      </c>
      <c r="B297" t="s">
        <v>969</v>
      </c>
      <c r="C297" t="s">
        <v>40</v>
      </c>
      <c r="D297" s="1">
        <v>40065</v>
      </c>
      <c r="E297">
        <v>2</v>
      </c>
      <c r="F297">
        <v>1</v>
      </c>
      <c r="G297">
        <v>3</v>
      </c>
      <c r="H297">
        <v>323</v>
      </c>
      <c r="I297">
        <v>160</v>
      </c>
      <c r="J297">
        <v>836</v>
      </c>
      <c r="K297">
        <v>50.862094528239602</v>
      </c>
      <c r="L297">
        <v>94.268774703557312</v>
      </c>
      <c r="M297">
        <v>48.40627225471372</v>
      </c>
      <c r="N297">
        <f t="shared" si="17"/>
        <v>3</v>
      </c>
      <c r="O297">
        <f t="shared" si="18"/>
        <v>3</v>
      </c>
      <c r="P297">
        <f t="shared" si="19"/>
        <v>2</v>
      </c>
    </row>
    <row r="298" spans="1:16" x14ac:dyDescent="0.4">
      <c r="A298" t="s">
        <v>970</v>
      </c>
      <c r="B298" t="s">
        <v>971</v>
      </c>
      <c r="C298" t="s">
        <v>40</v>
      </c>
      <c r="D298" s="1">
        <v>40067</v>
      </c>
      <c r="E298">
        <v>2</v>
      </c>
      <c r="F298">
        <v>1</v>
      </c>
      <c r="G298">
        <v>3</v>
      </c>
      <c r="H298">
        <v>323</v>
      </c>
      <c r="I298">
        <v>160</v>
      </c>
      <c r="J298">
        <v>836</v>
      </c>
      <c r="K298">
        <v>64.132874662682653</v>
      </c>
      <c r="L298">
        <v>97.233201581027672</v>
      </c>
      <c r="M298">
        <v>75.27484073432673</v>
      </c>
      <c r="N298">
        <f t="shared" si="17"/>
        <v>3</v>
      </c>
      <c r="O298">
        <f t="shared" si="18"/>
        <v>3</v>
      </c>
      <c r="P298">
        <f t="shared" si="19"/>
        <v>3</v>
      </c>
    </row>
    <row r="299" spans="1:16" x14ac:dyDescent="0.4">
      <c r="A299" t="s">
        <v>972</v>
      </c>
      <c r="B299" t="s">
        <v>973</v>
      </c>
      <c r="C299" t="s">
        <v>40</v>
      </c>
      <c r="D299" s="1">
        <v>40078</v>
      </c>
      <c r="E299">
        <v>2</v>
      </c>
      <c r="F299">
        <v>1</v>
      </c>
      <c r="G299">
        <v>3</v>
      </c>
      <c r="H299">
        <v>323</v>
      </c>
      <c r="I299">
        <v>160</v>
      </c>
      <c r="J299">
        <v>836</v>
      </c>
      <c r="K299">
        <v>52.876339906016938</v>
      </c>
      <c r="L299">
        <v>40.909090909090907</v>
      </c>
      <c r="M299">
        <v>26.173622029426152</v>
      </c>
      <c r="N299">
        <f t="shared" si="17"/>
        <v>3</v>
      </c>
      <c r="O299">
        <f t="shared" si="18"/>
        <v>2</v>
      </c>
      <c r="P299">
        <f t="shared" si="19"/>
        <v>1</v>
      </c>
    </row>
    <row r="300" spans="1:16" x14ac:dyDescent="0.4">
      <c r="A300" t="s">
        <v>48</v>
      </c>
      <c r="B300" t="s">
        <v>49</v>
      </c>
      <c r="C300" t="s">
        <v>40</v>
      </c>
      <c r="D300" s="1">
        <v>40078</v>
      </c>
      <c r="E300">
        <v>2</v>
      </c>
      <c r="F300">
        <v>1</v>
      </c>
      <c r="G300">
        <v>3</v>
      </c>
      <c r="H300">
        <v>323</v>
      </c>
      <c r="I300">
        <v>160</v>
      </c>
      <c r="J300">
        <v>836</v>
      </c>
      <c r="K300">
        <v>6.7313964675334148</v>
      </c>
      <c r="L300">
        <v>17.786561264822133</v>
      </c>
      <c r="M300">
        <v>44.831740967597689</v>
      </c>
      <c r="N300">
        <f t="shared" si="17"/>
        <v>1</v>
      </c>
      <c r="O300">
        <f t="shared" si="18"/>
        <v>1</v>
      </c>
      <c r="P300">
        <f t="shared" si="19"/>
        <v>2</v>
      </c>
    </row>
    <row r="301" spans="1:16" x14ac:dyDescent="0.4">
      <c r="A301" t="s">
        <v>974</v>
      </c>
      <c r="B301" t="s">
        <v>975</v>
      </c>
      <c r="C301" t="s">
        <v>40</v>
      </c>
      <c r="D301" s="1">
        <v>40085</v>
      </c>
      <c r="E301">
        <v>2</v>
      </c>
      <c r="F301">
        <v>1</v>
      </c>
      <c r="G301">
        <v>3</v>
      </c>
      <c r="H301">
        <v>323</v>
      </c>
      <c r="I301">
        <v>160</v>
      </c>
      <c r="J301">
        <v>836</v>
      </c>
      <c r="K301">
        <v>44.403441441916151</v>
      </c>
      <c r="L301">
        <v>30.632411067193676</v>
      </c>
      <c r="M301">
        <v>43.843744628141579</v>
      </c>
      <c r="N301">
        <f t="shared" si="17"/>
        <v>2</v>
      </c>
      <c r="O301">
        <f t="shared" si="18"/>
        <v>2</v>
      </c>
      <c r="P301">
        <f t="shared" si="19"/>
        <v>2</v>
      </c>
    </row>
    <row r="302" spans="1:16" x14ac:dyDescent="0.4">
      <c r="A302" t="s">
        <v>189</v>
      </c>
      <c r="B302" t="s">
        <v>190</v>
      </c>
      <c r="C302" t="s">
        <v>40</v>
      </c>
      <c r="D302" s="1">
        <v>40105</v>
      </c>
      <c r="E302">
        <v>2</v>
      </c>
      <c r="F302">
        <v>1</v>
      </c>
      <c r="G302">
        <v>3</v>
      </c>
      <c r="H302">
        <v>323</v>
      </c>
      <c r="I302">
        <v>160</v>
      </c>
      <c r="J302">
        <v>836</v>
      </c>
      <c r="K302">
        <v>32.248920610337109</v>
      </c>
      <c r="L302">
        <v>1.1857707509881423</v>
      </c>
      <c r="M302">
        <v>39.045350105555173</v>
      </c>
      <c r="N302">
        <f t="shared" si="17"/>
        <v>2</v>
      </c>
      <c r="O302">
        <f t="shared" si="18"/>
        <v>1</v>
      </c>
      <c r="P302">
        <f t="shared" si="19"/>
        <v>2</v>
      </c>
    </row>
    <row r="303" spans="1:16" x14ac:dyDescent="0.4">
      <c r="A303" t="s">
        <v>113</v>
      </c>
      <c r="B303" t="s">
        <v>114</v>
      </c>
      <c r="C303" t="s">
        <v>40</v>
      </c>
      <c r="D303" s="1">
        <v>40106</v>
      </c>
      <c r="E303">
        <v>2</v>
      </c>
      <c r="F303">
        <v>1</v>
      </c>
      <c r="G303">
        <v>3</v>
      </c>
      <c r="H303">
        <v>323</v>
      </c>
      <c r="I303">
        <v>160</v>
      </c>
      <c r="J303">
        <v>836</v>
      </c>
      <c r="K303">
        <v>16.019993742269321</v>
      </c>
      <c r="L303">
        <v>3.9525691699604741</v>
      </c>
      <c r="M303">
        <v>52.184414175353723</v>
      </c>
      <c r="N303">
        <f t="shared" si="17"/>
        <v>1</v>
      </c>
      <c r="O303">
        <f t="shared" si="18"/>
        <v>1</v>
      </c>
      <c r="P303">
        <f t="shared" si="19"/>
        <v>3</v>
      </c>
    </row>
    <row r="304" spans="1:16" x14ac:dyDescent="0.4">
      <c r="A304" t="s">
        <v>976</v>
      </c>
      <c r="B304" t="s">
        <v>977</v>
      </c>
      <c r="C304" t="s">
        <v>64</v>
      </c>
      <c r="D304" s="1">
        <v>40114</v>
      </c>
      <c r="E304">
        <v>2</v>
      </c>
      <c r="F304">
        <v>1</v>
      </c>
      <c r="G304">
        <v>3</v>
      </c>
      <c r="H304">
        <v>323</v>
      </c>
      <c r="I304">
        <v>160</v>
      </c>
      <c r="J304">
        <v>836</v>
      </c>
      <c r="K304">
        <v>53.54313720178353</v>
      </c>
      <c r="L304">
        <v>83.004926108374377</v>
      </c>
      <c r="M304">
        <v>47.609682179862823</v>
      </c>
      <c r="N304">
        <f t="shared" si="17"/>
        <v>3</v>
      </c>
      <c r="O304">
        <f t="shared" si="18"/>
        <v>3</v>
      </c>
      <c r="P304">
        <f t="shared" si="19"/>
        <v>2</v>
      </c>
    </row>
    <row r="305" spans="1:16" x14ac:dyDescent="0.4">
      <c r="A305" t="s">
        <v>540</v>
      </c>
      <c r="B305" t="s">
        <v>541</v>
      </c>
      <c r="C305" t="s">
        <v>64</v>
      </c>
      <c r="D305" s="1">
        <v>40141</v>
      </c>
      <c r="E305">
        <v>2</v>
      </c>
      <c r="F305">
        <v>1</v>
      </c>
      <c r="G305">
        <v>3</v>
      </c>
      <c r="H305">
        <v>323</v>
      </c>
      <c r="I305">
        <v>160</v>
      </c>
      <c r="J305">
        <v>836</v>
      </c>
      <c r="K305">
        <v>52.610037328940422</v>
      </c>
      <c r="L305">
        <v>99.014778325123146</v>
      </c>
      <c r="M305">
        <v>56.200374676116319</v>
      </c>
      <c r="N305">
        <f t="shared" si="17"/>
        <v>3</v>
      </c>
      <c r="O305">
        <f t="shared" si="18"/>
        <v>3</v>
      </c>
      <c r="P305">
        <f t="shared" si="19"/>
        <v>3</v>
      </c>
    </row>
    <row r="306" spans="1:16" x14ac:dyDescent="0.4">
      <c r="A306" t="s">
        <v>210</v>
      </c>
      <c r="B306" t="s">
        <v>211</v>
      </c>
      <c r="C306" t="s">
        <v>40</v>
      </c>
      <c r="D306" s="1">
        <v>40142</v>
      </c>
      <c r="E306">
        <v>2</v>
      </c>
      <c r="F306">
        <v>1</v>
      </c>
      <c r="G306">
        <v>3</v>
      </c>
      <c r="H306">
        <v>323</v>
      </c>
      <c r="I306">
        <v>160</v>
      </c>
      <c r="J306">
        <v>836</v>
      </c>
      <c r="K306">
        <v>46.213031130057644</v>
      </c>
      <c r="L306">
        <v>43.675889328063242</v>
      </c>
      <c r="M306">
        <v>34.88593077294432</v>
      </c>
      <c r="N306">
        <f t="shared" si="17"/>
        <v>2</v>
      </c>
      <c r="O306">
        <f t="shared" si="18"/>
        <v>2</v>
      </c>
      <c r="P306">
        <f t="shared" si="19"/>
        <v>2</v>
      </c>
    </row>
    <row r="307" spans="1:16" x14ac:dyDescent="0.4">
      <c r="A307" t="s">
        <v>978</v>
      </c>
      <c r="B307" t="s">
        <v>979</v>
      </c>
      <c r="C307" t="s">
        <v>40</v>
      </c>
      <c r="D307" s="1">
        <v>40148</v>
      </c>
      <c r="E307">
        <v>2</v>
      </c>
      <c r="F307">
        <v>1</v>
      </c>
      <c r="G307">
        <v>3</v>
      </c>
      <c r="H307">
        <v>323</v>
      </c>
      <c r="I307">
        <v>160</v>
      </c>
      <c r="J307">
        <v>836</v>
      </c>
      <c r="K307">
        <v>66.117353630835566</v>
      </c>
      <c r="L307">
        <v>55.928853754940711</v>
      </c>
      <c r="M307">
        <v>57.458142050949185</v>
      </c>
      <c r="N307">
        <f t="shared" si="17"/>
        <v>3</v>
      </c>
      <c r="O307">
        <f t="shared" si="18"/>
        <v>3</v>
      </c>
      <c r="P307">
        <f t="shared" si="19"/>
        <v>3</v>
      </c>
    </row>
    <row r="308" spans="1:16" x14ac:dyDescent="0.4">
      <c r="A308" t="s">
        <v>980</v>
      </c>
      <c r="B308" t="s">
        <v>981</v>
      </c>
      <c r="C308" t="s">
        <v>40</v>
      </c>
      <c r="D308" s="1">
        <v>40150</v>
      </c>
      <c r="E308">
        <v>2</v>
      </c>
      <c r="F308">
        <v>1</v>
      </c>
      <c r="G308">
        <v>3</v>
      </c>
      <c r="H308">
        <v>323</v>
      </c>
      <c r="I308">
        <v>160</v>
      </c>
      <c r="J308">
        <v>836</v>
      </c>
      <c r="K308">
        <v>75.405950905571459</v>
      </c>
      <c r="L308">
        <v>32.213438735177867</v>
      </c>
      <c r="M308">
        <v>59.499783077188006</v>
      </c>
      <c r="N308">
        <f t="shared" si="17"/>
        <v>3</v>
      </c>
      <c r="O308">
        <f t="shared" si="18"/>
        <v>2</v>
      </c>
      <c r="P308">
        <f t="shared" si="19"/>
        <v>3</v>
      </c>
    </row>
    <row r="309" spans="1:16" x14ac:dyDescent="0.4">
      <c r="A309" t="s">
        <v>982</v>
      </c>
      <c r="B309" t="s">
        <v>983</v>
      </c>
      <c r="C309" t="s">
        <v>40</v>
      </c>
      <c r="D309" s="1">
        <v>40150</v>
      </c>
      <c r="E309">
        <v>2</v>
      </c>
      <c r="F309">
        <v>1</v>
      </c>
      <c r="G309">
        <v>3</v>
      </c>
      <c r="H309">
        <v>323</v>
      </c>
      <c r="I309">
        <v>160</v>
      </c>
      <c r="J309">
        <v>836</v>
      </c>
      <c r="K309">
        <v>80.933156105583791</v>
      </c>
      <c r="L309">
        <v>74.505928853754938</v>
      </c>
      <c r="M309">
        <v>36.785941334195272</v>
      </c>
      <c r="N309">
        <f t="shared" si="17"/>
        <v>3</v>
      </c>
      <c r="O309">
        <f t="shared" si="18"/>
        <v>3</v>
      </c>
      <c r="P309">
        <f t="shared" si="19"/>
        <v>2</v>
      </c>
    </row>
    <row r="310" spans="1:16" x14ac:dyDescent="0.4">
      <c r="A310" t="s">
        <v>984</v>
      </c>
      <c r="B310" t="s">
        <v>985</v>
      </c>
      <c r="C310" t="s">
        <v>40</v>
      </c>
      <c r="D310" s="1">
        <v>40158</v>
      </c>
      <c r="E310">
        <v>2</v>
      </c>
      <c r="F310">
        <v>1</v>
      </c>
      <c r="G310">
        <v>3</v>
      </c>
      <c r="H310">
        <v>323</v>
      </c>
      <c r="I310">
        <v>160</v>
      </c>
      <c r="J310">
        <v>836</v>
      </c>
      <c r="K310">
        <v>66.338347611256822</v>
      </c>
      <c r="L310">
        <v>72.92490118577075</v>
      </c>
      <c r="M310">
        <v>55.748824730676105</v>
      </c>
      <c r="N310">
        <f t="shared" si="17"/>
        <v>3</v>
      </c>
      <c r="O310">
        <f t="shared" si="18"/>
        <v>3</v>
      </c>
      <c r="P310">
        <f t="shared" si="19"/>
        <v>3</v>
      </c>
    </row>
    <row r="311" spans="1:16" x14ac:dyDescent="0.4">
      <c r="A311" t="s">
        <v>986</v>
      </c>
      <c r="B311" t="s">
        <v>987</v>
      </c>
      <c r="C311" t="s">
        <v>43</v>
      </c>
      <c r="D311" s="1">
        <v>40158</v>
      </c>
      <c r="E311">
        <v>2</v>
      </c>
      <c r="F311">
        <v>1</v>
      </c>
      <c r="G311">
        <v>3</v>
      </c>
      <c r="H311">
        <v>323</v>
      </c>
      <c r="I311">
        <v>160</v>
      </c>
      <c r="J311">
        <v>836</v>
      </c>
      <c r="K311">
        <v>79.330084806278535</v>
      </c>
      <c r="L311">
        <v>47.715736040609137</v>
      </c>
      <c r="M311">
        <v>51.85280496905316</v>
      </c>
      <c r="N311">
        <f t="shared" si="17"/>
        <v>3</v>
      </c>
      <c r="O311">
        <f t="shared" si="18"/>
        <v>2</v>
      </c>
      <c r="P311">
        <f t="shared" si="19"/>
        <v>3</v>
      </c>
    </row>
    <row r="312" spans="1:16" x14ac:dyDescent="0.4">
      <c r="A312" t="s">
        <v>988</v>
      </c>
      <c r="B312" t="s">
        <v>989</v>
      </c>
      <c r="C312" t="s">
        <v>40</v>
      </c>
      <c r="D312" s="1">
        <v>40164</v>
      </c>
      <c r="E312">
        <v>2</v>
      </c>
      <c r="F312">
        <v>1</v>
      </c>
      <c r="G312">
        <v>3</v>
      </c>
      <c r="H312">
        <v>323</v>
      </c>
      <c r="I312">
        <v>160</v>
      </c>
      <c r="J312">
        <v>836</v>
      </c>
      <c r="K312">
        <v>29.260236013222858</v>
      </c>
      <c r="L312">
        <v>26.086956521739133</v>
      </c>
      <c r="M312">
        <v>73.454314098282495</v>
      </c>
      <c r="N312">
        <f t="shared" si="17"/>
        <v>1</v>
      </c>
      <c r="O312">
        <f t="shared" si="18"/>
        <v>1</v>
      </c>
      <c r="P312">
        <f t="shared" si="19"/>
        <v>3</v>
      </c>
    </row>
    <row r="313" spans="1:16" x14ac:dyDescent="0.4">
      <c r="A313" t="s">
        <v>990</v>
      </c>
      <c r="B313" t="s">
        <v>991</v>
      </c>
      <c r="C313" t="s">
        <v>64</v>
      </c>
      <c r="D313" s="1">
        <v>40169</v>
      </c>
      <c r="E313">
        <v>2</v>
      </c>
      <c r="F313">
        <v>1</v>
      </c>
      <c r="G313">
        <v>3</v>
      </c>
      <c r="H313">
        <v>323</v>
      </c>
      <c r="I313">
        <v>160</v>
      </c>
      <c r="J313">
        <v>836</v>
      </c>
      <c r="K313">
        <v>49.759929273877624</v>
      </c>
      <c r="L313">
        <v>83.087027914614126</v>
      </c>
      <c r="M313">
        <v>20.669527483076301</v>
      </c>
      <c r="N313">
        <f t="shared" si="17"/>
        <v>2</v>
      </c>
      <c r="O313">
        <f t="shared" si="18"/>
        <v>3</v>
      </c>
      <c r="P313">
        <f t="shared" si="19"/>
        <v>1</v>
      </c>
    </row>
    <row r="314" spans="1:16" x14ac:dyDescent="0.4">
      <c r="A314" t="s">
        <v>992</v>
      </c>
      <c r="B314" t="s">
        <v>993</v>
      </c>
      <c r="C314" t="s">
        <v>40</v>
      </c>
      <c r="D314" s="1">
        <v>40169</v>
      </c>
      <c r="E314">
        <v>2</v>
      </c>
      <c r="F314">
        <v>1</v>
      </c>
      <c r="G314">
        <v>3</v>
      </c>
      <c r="H314">
        <v>323</v>
      </c>
      <c r="I314">
        <v>160</v>
      </c>
      <c r="J314">
        <v>836</v>
      </c>
      <c r="K314">
        <v>74.459910831642759</v>
      </c>
      <c r="L314">
        <v>65.415019762845844</v>
      </c>
      <c r="M314">
        <v>32.275001834574397</v>
      </c>
      <c r="N314">
        <f t="shared" si="17"/>
        <v>3</v>
      </c>
      <c r="O314">
        <f t="shared" si="18"/>
        <v>3</v>
      </c>
      <c r="P314">
        <f t="shared" si="19"/>
        <v>2</v>
      </c>
    </row>
    <row r="315" spans="1:16" x14ac:dyDescent="0.4">
      <c r="A315" t="s">
        <v>388</v>
      </c>
      <c r="B315" t="s">
        <v>389</v>
      </c>
      <c r="C315" t="s">
        <v>40</v>
      </c>
      <c r="D315" s="1">
        <v>40172</v>
      </c>
      <c r="E315">
        <v>2</v>
      </c>
      <c r="F315">
        <v>1</v>
      </c>
      <c r="G315">
        <v>3</v>
      </c>
      <c r="H315">
        <v>323</v>
      </c>
      <c r="I315">
        <v>160</v>
      </c>
      <c r="J315">
        <v>836</v>
      </c>
      <c r="K315">
        <v>65.96737128989669</v>
      </c>
      <c r="L315">
        <v>27.66798418972332</v>
      </c>
      <c r="M315">
        <v>61.090355157651004</v>
      </c>
      <c r="N315">
        <f t="shared" si="17"/>
        <v>3</v>
      </c>
      <c r="O315">
        <f t="shared" si="18"/>
        <v>1</v>
      </c>
      <c r="P315">
        <f t="shared" si="19"/>
        <v>3</v>
      </c>
    </row>
    <row r="316" spans="1:16" x14ac:dyDescent="0.4">
      <c r="A316" t="s">
        <v>994</v>
      </c>
      <c r="B316" t="s">
        <v>995</v>
      </c>
      <c r="C316" t="s">
        <v>40</v>
      </c>
      <c r="D316" s="1">
        <v>40177</v>
      </c>
      <c r="E316">
        <v>2</v>
      </c>
      <c r="F316">
        <v>1</v>
      </c>
      <c r="G316">
        <v>3</v>
      </c>
      <c r="H316">
        <v>323</v>
      </c>
      <c r="I316">
        <v>160</v>
      </c>
      <c r="J316">
        <v>836</v>
      </c>
      <c r="K316">
        <v>48.340494250516208</v>
      </c>
      <c r="L316">
        <v>10.671936758893281</v>
      </c>
      <c r="M316">
        <v>31.990840358712124</v>
      </c>
      <c r="N316">
        <f t="shared" si="17"/>
        <v>2</v>
      </c>
      <c r="O316">
        <f t="shared" si="18"/>
        <v>1</v>
      </c>
      <c r="P316">
        <f t="shared" si="19"/>
        <v>2</v>
      </c>
    </row>
    <row r="317" spans="1:16" x14ac:dyDescent="0.4">
      <c r="A317" t="s">
        <v>298</v>
      </c>
      <c r="B317" t="s">
        <v>299</v>
      </c>
      <c r="C317" t="s">
        <v>40</v>
      </c>
      <c r="D317" s="1">
        <v>40177</v>
      </c>
      <c r="E317">
        <v>2</v>
      </c>
      <c r="F317">
        <v>1</v>
      </c>
      <c r="G317">
        <v>3</v>
      </c>
      <c r="H317">
        <v>323</v>
      </c>
      <c r="I317">
        <v>160</v>
      </c>
      <c r="J317">
        <v>836</v>
      </c>
      <c r="K317">
        <v>27.388000138448415</v>
      </c>
      <c r="L317">
        <v>87.351778656126484</v>
      </c>
      <c r="M317">
        <v>68.128768603290609</v>
      </c>
      <c r="N317">
        <f t="shared" si="17"/>
        <v>1</v>
      </c>
      <c r="O317">
        <f t="shared" si="18"/>
        <v>3</v>
      </c>
      <c r="P317">
        <f t="shared" si="19"/>
        <v>3</v>
      </c>
    </row>
    <row r="318" spans="1:16" x14ac:dyDescent="0.4">
      <c r="A318" t="s">
        <v>542</v>
      </c>
      <c r="B318" t="s">
        <v>543</v>
      </c>
      <c r="C318" t="s">
        <v>40</v>
      </c>
      <c r="D318" s="1">
        <v>40206</v>
      </c>
      <c r="E318">
        <v>2</v>
      </c>
      <c r="F318">
        <v>1</v>
      </c>
      <c r="G318">
        <v>3</v>
      </c>
      <c r="H318">
        <v>323</v>
      </c>
      <c r="I318">
        <v>160</v>
      </c>
      <c r="J318">
        <v>836</v>
      </c>
      <c r="K318">
        <v>71.876449597113393</v>
      </c>
      <c r="L318">
        <v>23.51778656126482</v>
      </c>
      <c r="M318">
        <v>46.398816908820571</v>
      </c>
      <c r="N318">
        <f t="shared" si="17"/>
        <v>3</v>
      </c>
      <c r="O318">
        <f t="shared" si="18"/>
        <v>1</v>
      </c>
      <c r="P318">
        <f t="shared" si="19"/>
        <v>2</v>
      </c>
    </row>
    <row r="319" spans="1:16" x14ac:dyDescent="0.4">
      <c r="A319" t="s">
        <v>996</v>
      </c>
      <c r="B319" t="s">
        <v>997</v>
      </c>
      <c r="C319" t="s">
        <v>40</v>
      </c>
      <c r="D319" s="1">
        <v>40212</v>
      </c>
      <c r="E319">
        <v>2</v>
      </c>
      <c r="F319">
        <v>1</v>
      </c>
      <c r="G319">
        <v>3</v>
      </c>
      <c r="H319">
        <v>323</v>
      </c>
      <c r="I319">
        <v>160</v>
      </c>
      <c r="J319">
        <v>836</v>
      </c>
      <c r="K319">
        <v>26.004060120364024</v>
      </c>
      <c r="L319">
        <v>86.956521739130437</v>
      </c>
      <c r="M319">
        <v>63.47932987412775</v>
      </c>
      <c r="N319">
        <f t="shared" si="17"/>
        <v>1</v>
      </c>
      <c r="O319">
        <f t="shared" si="18"/>
        <v>3</v>
      </c>
      <c r="P319">
        <f t="shared" si="19"/>
        <v>3</v>
      </c>
    </row>
    <row r="320" spans="1:16" x14ac:dyDescent="0.4">
      <c r="A320" t="s">
        <v>128</v>
      </c>
      <c r="B320" t="s">
        <v>129</v>
      </c>
      <c r="C320" t="s">
        <v>40</v>
      </c>
      <c r="D320" s="1">
        <v>40212</v>
      </c>
      <c r="E320">
        <v>2</v>
      </c>
      <c r="F320">
        <v>1</v>
      </c>
      <c r="G320">
        <v>3</v>
      </c>
      <c r="H320">
        <v>323</v>
      </c>
      <c r="I320">
        <v>160</v>
      </c>
      <c r="J320">
        <v>836</v>
      </c>
      <c r="K320">
        <v>55.875718093537749</v>
      </c>
      <c r="L320">
        <v>37.944664031620555</v>
      </c>
      <c r="M320">
        <v>43.415488086443617</v>
      </c>
      <c r="N320">
        <f t="shared" si="17"/>
        <v>3</v>
      </c>
      <c r="O320">
        <f t="shared" si="18"/>
        <v>2</v>
      </c>
      <c r="P320">
        <f t="shared" si="19"/>
        <v>2</v>
      </c>
    </row>
    <row r="321" spans="1:16" x14ac:dyDescent="0.4">
      <c r="A321" t="s">
        <v>544</v>
      </c>
      <c r="B321" t="s">
        <v>545</v>
      </c>
      <c r="C321" t="s">
        <v>40</v>
      </c>
      <c r="D321" s="1">
        <v>40219</v>
      </c>
      <c r="E321">
        <v>2</v>
      </c>
      <c r="F321">
        <v>1</v>
      </c>
      <c r="G321">
        <v>3</v>
      </c>
      <c r="H321">
        <v>323</v>
      </c>
      <c r="I321">
        <v>160</v>
      </c>
      <c r="J321">
        <v>836</v>
      </c>
      <c r="K321">
        <v>48.863605406858397</v>
      </c>
      <c r="L321">
        <v>90.316205533596843</v>
      </c>
      <c r="M321">
        <v>58.766762795691854</v>
      </c>
      <c r="N321">
        <f t="shared" si="17"/>
        <v>2</v>
      </c>
      <c r="O321">
        <f t="shared" si="18"/>
        <v>3</v>
      </c>
      <c r="P321">
        <f t="shared" si="19"/>
        <v>3</v>
      </c>
    </row>
    <row r="322" spans="1:16" x14ac:dyDescent="0.4">
      <c r="A322" t="s">
        <v>546</v>
      </c>
      <c r="B322" t="s">
        <v>547</v>
      </c>
      <c r="C322" t="s">
        <v>40</v>
      </c>
      <c r="D322" s="1">
        <v>40219</v>
      </c>
      <c r="E322">
        <v>2</v>
      </c>
      <c r="F322">
        <v>1</v>
      </c>
      <c r="G322">
        <v>3</v>
      </c>
      <c r="H322">
        <v>323</v>
      </c>
      <c r="I322">
        <v>160</v>
      </c>
      <c r="J322">
        <v>836</v>
      </c>
      <c r="K322">
        <v>53.385440909130828</v>
      </c>
      <c r="L322">
        <v>84.387351778656125</v>
      </c>
      <c r="M322">
        <v>50.655340358032419</v>
      </c>
      <c r="N322">
        <f t="shared" si="17"/>
        <v>3</v>
      </c>
      <c r="O322">
        <f t="shared" si="18"/>
        <v>3</v>
      </c>
      <c r="P322">
        <f t="shared" si="19"/>
        <v>3</v>
      </c>
    </row>
    <row r="323" spans="1:16" x14ac:dyDescent="0.4">
      <c r="A323" t="s">
        <v>998</v>
      </c>
      <c r="B323" t="s">
        <v>999</v>
      </c>
      <c r="C323" t="s">
        <v>64</v>
      </c>
      <c r="D323" s="1">
        <v>40220</v>
      </c>
      <c r="E323">
        <v>2</v>
      </c>
      <c r="F323">
        <v>1</v>
      </c>
      <c r="G323">
        <v>3</v>
      </c>
      <c r="H323">
        <v>323</v>
      </c>
      <c r="I323">
        <v>160</v>
      </c>
      <c r="J323">
        <v>836</v>
      </c>
      <c r="K323">
        <v>69.818818829764837</v>
      </c>
      <c r="L323">
        <v>27.175697865353037</v>
      </c>
      <c r="M323">
        <v>49.363193886401234</v>
      </c>
      <c r="N323">
        <f t="shared" ref="N323:N386" si="20">IF(AND(K323&gt;0,K323&lt;30),1,IF(AND(K323&gt;=30,K323&lt;50),2,IF(K323&gt;=50,3,0)))</f>
        <v>3</v>
      </c>
      <c r="O323">
        <f t="shared" ref="O323:O386" si="21">IF(AND(L323&gt;0,L323&lt;30),1,IF(AND(L323&gt;=30,L323&lt;50),2,IF(L323&gt;=50,3,0)))</f>
        <v>1</v>
      </c>
      <c r="P323">
        <f t="shared" ref="P323:P386" si="22">IF(AND(M323&gt;0,M323&lt;30),1,IF(AND(M323&gt;=30,M323&lt;50),2,IF(M323&gt;=50,3,0)))</f>
        <v>2</v>
      </c>
    </row>
    <row r="324" spans="1:16" x14ac:dyDescent="0.4">
      <c r="A324" t="s">
        <v>300</v>
      </c>
      <c r="B324" t="s">
        <v>301</v>
      </c>
      <c r="C324" t="s">
        <v>40</v>
      </c>
      <c r="D324" s="1">
        <v>40220</v>
      </c>
      <c r="E324">
        <v>2</v>
      </c>
      <c r="F324">
        <v>1</v>
      </c>
      <c r="G324">
        <v>3</v>
      </c>
      <c r="H324">
        <v>323</v>
      </c>
      <c r="I324">
        <v>160</v>
      </c>
      <c r="J324">
        <v>836</v>
      </c>
      <c r="K324">
        <v>43.991219890698076</v>
      </c>
      <c r="L324">
        <v>68.77470355731225</v>
      </c>
      <c r="M324">
        <v>48.973502961790416</v>
      </c>
      <c r="N324">
        <f t="shared" si="20"/>
        <v>2</v>
      </c>
      <c r="O324">
        <f t="shared" si="21"/>
        <v>3</v>
      </c>
      <c r="P324">
        <f t="shared" si="22"/>
        <v>2</v>
      </c>
    </row>
    <row r="325" spans="1:16" x14ac:dyDescent="0.4">
      <c r="A325" t="s">
        <v>654</v>
      </c>
      <c r="B325" t="s">
        <v>655</v>
      </c>
      <c r="C325" t="s">
        <v>40</v>
      </c>
      <c r="D325" s="1">
        <v>40262</v>
      </c>
      <c r="E325">
        <v>2</v>
      </c>
      <c r="F325">
        <v>1</v>
      </c>
      <c r="G325">
        <v>3</v>
      </c>
      <c r="H325">
        <v>323</v>
      </c>
      <c r="I325">
        <v>160</v>
      </c>
      <c r="J325">
        <v>836</v>
      </c>
      <c r="K325">
        <v>52.135348136637568</v>
      </c>
      <c r="L325">
        <v>39.723320158102766</v>
      </c>
      <c r="M325">
        <v>60.490505232202139</v>
      </c>
      <c r="N325">
        <f t="shared" si="20"/>
        <v>3</v>
      </c>
      <c r="O325">
        <f t="shared" si="21"/>
        <v>2</v>
      </c>
      <c r="P325">
        <f t="shared" si="22"/>
        <v>3</v>
      </c>
    </row>
    <row r="326" spans="1:16" x14ac:dyDescent="0.4">
      <c r="A326" t="s">
        <v>548</v>
      </c>
      <c r="B326" t="s">
        <v>549</v>
      </c>
      <c r="C326" t="s">
        <v>64</v>
      </c>
      <c r="D326" s="1">
        <v>40263</v>
      </c>
      <c r="E326">
        <v>2</v>
      </c>
      <c r="F326">
        <v>1</v>
      </c>
      <c r="G326">
        <v>3</v>
      </c>
      <c r="H326">
        <v>323</v>
      </c>
      <c r="I326">
        <v>160</v>
      </c>
      <c r="J326">
        <v>836</v>
      </c>
      <c r="K326">
        <v>38.80856539933383</v>
      </c>
      <c r="L326">
        <v>94.909688013136289</v>
      </c>
      <c r="M326">
        <v>43.083638078495923</v>
      </c>
      <c r="N326">
        <f t="shared" si="20"/>
        <v>2</v>
      </c>
      <c r="O326">
        <f t="shared" si="21"/>
        <v>3</v>
      </c>
      <c r="P326">
        <f t="shared" si="22"/>
        <v>2</v>
      </c>
    </row>
    <row r="327" spans="1:16" x14ac:dyDescent="0.4">
      <c r="A327" t="s">
        <v>173</v>
      </c>
      <c r="B327" t="s">
        <v>174</v>
      </c>
      <c r="C327" t="s">
        <v>40</v>
      </c>
      <c r="D327" s="1">
        <v>40267</v>
      </c>
      <c r="E327">
        <v>2</v>
      </c>
      <c r="F327">
        <v>1</v>
      </c>
      <c r="G327">
        <v>3</v>
      </c>
      <c r="H327">
        <v>323</v>
      </c>
      <c r="I327">
        <v>160</v>
      </c>
      <c r="J327">
        <v>836</v>
      </c>
      <c r="K327">
        <v>46.27412063299856</v>
      </c>
      <c r="L327">
        <v>90.118577075098813</v>
      </c>
      <c r="M327">
        <v>27.255303665969802</v>
      </c>
      <c r="N327">
        <f t="shared" si="20"/>
        <v>2</v>
      </c>
      <c r="O327">
        <f t="shared" si="21"/>
        <v>3</v>
      </c>
      <c r="P327">
        <f t="shared" si="22"/>
        <v>1</v>
      </c>
    </row>
    <row r="328" spans="1:16" x14ac:dyDescent="0.4">
      <c r="A328" t="s">
        <v>144</v>
      </c>
      <c r="B328" t="s">
        <v>145</v>
      </c>
      <c r="C328" t="s">
        <v>40</v>
      </c>
      <c r="D328" s="1">
        <v>40282</v>
      </c>
      <c r="E328">
        <v>2</v>
      </c>
      <c r="F328">
        <v>1</v>
      </c>
      <c r="G328">
        <v>3</v>
      </c>
      <c r="H328">
        <v>323</v>
      </c>
      <c r="I328">
        <v>160</v>
      </c>
      <c r="J328">
        <v>836</v>
      </c>
      <c r="K328">
        <v>39.670723515239743</v>
      </c>
      <c r="L328">
        <v>92.094861660079047</v>
      </c>
      <c r="M328">
        <v>34.251588075505872</v>
      </c>
      <c r="N328">
        <f t="shared" si="20"/>
        <v>2</v>
      </c>
      <c r="O328">
        <f t="shared" si="21"/>
        <v>3</v>
      </c>
      <c r="P328">
        <f t="shared" si="22"/>
        <v>2</v>
      </c>
    </row>
    <row r="329" spans="1:16" x14ac:dyDescent="0.4">
      <c r="A329" t="s">
        <v>302</v>
      </c>
      <c r="B329" t="s">
        <v>303</v>
      </c>
      <c r="C329" t="s">
        <v>40</v>
      </c>
      <c r="D329" s="1">
        <v>40282</v>
      </c>
      <c r="E329">
        <v>2</v>
      </c>
      <c r="F329">
        <v>1</v>
      </c>
      <c r="G329">
        <v>3</v>
      </c>
      <c r="H329">
        <v>323</v>
      </c>
      <c r="I329">
        <v>160</v>
      </c>
      <c r="J329">
        <v>836</v>
      </c>
      <c r="K329">
        <v>13.951860245621955</v>
      </c>
      <c r="L329">
        <v>62.648221343873516</v>
      </c>
      <c r="M329">
        <v>51.027941101817284</v>
      </c>
      <c r="N329">
        <f t="shared" si="20"/>
        <v>1</v>
      </c>
      <c r="O329">
        <f t="shared" si="21"/>
        <v>3</v>
      </c>
      <c r="P329">
        <f t="shared" si="22"/>
        <v>3</v>
      </c>
    </row>
    <row r="330" spans="1:16" x14ac:dyDescent="0.4">
      <c r="A330" t="s">
        <v>1000</v>
      </c>
      <c r="B330" t="s">
        <v>1001</v>
      </c>
      <c r="C330" t="s">
        <v>40</v>
      </c>
      <c r="D330" s="1">
        <v>40282</v>
      </c>
      <c r="E330">
        <v>2</v>
      </c>
      <c r="F330">
        <v>1</v>
      </c>
      <c r="G330">
        <v>3</v>
      </c>
      <c r="H330">
        <v>323</v>
      </c>
      <c r="I330">
        <v>160</v>
      </c>
      <c r="J330">
        <v>836</v>
      </c>
      <c r="K330">
        <v>88.871464593108882</v>
      </c>
      <c r="L330">
        <v>76.482213438735172</v>
      </c>
      <c r="M330">
        <v>73.24582919323646</v>
      </c>
      <c r="N330">
        <f t="shared" si="20"/>
        <v>3</v>
      </c>
      <c r="O330">
        <f t="shared" si="21"/>
        <v>3</v>
      </c>
      <c r="P330">
        <f t="shared" si="22"/>
        <v>3</v>
      </c>
    </row>
    <row r="331" spans="1:16" x14ac:dyDescent="0.4">
      <c r="A331" t="s">
        <v>550</v>
      </c>
      <c r="B331" t="s">
        <v>551</v>
      </c>
      <c r="C331" t="s">
        <v>64</v>
      </c>
      <c r="D331" s="1">
        <v>40287</v>
      </c>
      <c r="E331">
        <v>2</v>
      </c>
      <c r="F331">
        <v>1</v>
      </c>
      <c r="G331">
        <v>3</v>
      </c>
      <c r="H331">
        <v>323</v>
      </c>
      <c r="I331">
        <v>160</v>
      </c>
      <c r="J331">
        <v>836</v>
      </c>
      <c r="K331">
        <v>93.428804717557526</v>
      </c>
      <c r="L331">
        <v>6.3218390804597702</v>
      </c>
      <c r="M331">
        <v>36.861880654113776</v>
      </c>
      <c r="N331">
        <f t="shared" si="20"/>
        <v>3</v>
      </c>
      <c r="O331">
        <f t="shared" si="21"/>
        <v>1</v>
      </c>
      <c r="P331">
        <f t="shared" si="22"/>
        <v>2</v>
      </c>
    </row>
    <row r="332" spans="1:16" x14ac:dyDescent="0.4">
      <c r="A332" t="s">
        <v>1002</v>
      </c>
      <c r="B332" t="s">
        <v>1003</v>
      </c>
      <c r="C332" t="s">
        <v>40</v>
      </c>
      <c r="D332" s="1">
        <v>40290</v>
      </c>
      <c r="E332">
        <v>2</v>
      </c>
      <c r="F332">
        <v>1</v>
      </c>
      <c r="G332">
        <v>3</v>
      </c>
      <c r="H332">
        <v>323</v>
      </c>
      <c r="I332">
        <v>160</v>
      </c>
      <c r="J332">
        <v>836</v>
      </c>
      <c r="K332">
        <v>20.916122128723618</v>
      </c>
      <c r="L332">
        <v>82.806324110671937</v>
      </c>
      <c r="M332">
        <v>33.013783497321569</v>
      </c>
      <c r="N332">
        <f t="shared" si="20"/>
        <v>1</v>
      </c>
      <c r="O332">
        <f t="shared" si="21"/>
        <v>3</v>
      </c>
      <c r="P332">
        <f t="shared" si="22"/>
        <v>2</v>
      </c>
    </row>
    <row r="333" spans="1:16" x14ac:dyDescent="0.4">
      <c r="A333" t="s">
        <v>57</v>
      </c>
      <c r="B333" t="s">
        <v>58</v>
      </c>
      <c r="C333" t="s">
        <v>40</v>
      </c>
      <c r="D333" s="1">
        <v>40296</v>
      </c>
      <c r="E333">
        <v>2</v>
      </c>
      <c r="F333">
        <v>1</v>
      </c>
      <c r="G333">
        <v>3</v>
      </c>
      <c r="H333">
        <v>323</v>
      </c>
      <c r="I333">
        <v>160</v>
      </c>
      <c r="J333">
        <v>836</v>
      </c>
      <c r="K333">
        <v>9.589157766964794</v>
      </c>
      <c r="L333">
        <v>48.418972332015812</v>
      </c>
      <c r="M333">
        <v>40.897390782123964</v>
      </c>
      <c r="N333">
        <f t="shared" si="20"/>
        <v>1</v>
      </c>
      <c r="O333">
        <f t="shared" si="21"/>
        <v>2</v>
      </c>
      <c r="P333">
        <f t="shared" si="22"/>
        <v>2</v>
      </c>
    </row>
    <row r="334" spans="1:16" x14ac:dyDescent="0.4">
      <c r="A334" t="s">
        <v>212</v>
      </c>
      <c r="B334" t="s">
        <v>213</v>
      </c>
      <c r="C334" t="s">
        <v>40</v>
      </c>
      <c r="D334" s="1">
        <v>40303</v>
      </c>
      <c r="E334">
        <v>2</v>
      </c>
      <c r="F334">
        <v>1</v>
      </c>
      <c r="G334">
        <v>3</v>
      </c>
      <c r="H334">
        <v>323</v>
      </c>
      <c r="I334">
        <v>160</v>
      </c>
      <c r="J334">
        <v>836</v>
      </c>
      <c r="K334">
        <v>41.937285966754814</v>
      </c>
      <c r="L334">
        <v>63.043478260869563</v>
      </c>
      <c r="M334">
        <v>31.264747134949207</v>
      </c>
      <c r="N334">
        <f t="shared" si="20"/>
        <v>2</v>
      </c>
      <c r="O334">
        <f t="shared" si="21"/>
        <v>3</v>
      </c>
      <c r="P334">
        <f t="shared" si="22"/>
        <v>2</v>
      </c>
    </row>
    <row r="335" spans="1:16" x14ac:dyDescent="0.4">
      <c r="A335" t="s">
        <v>51</v>
      </c>
      <c r="B335" t="s">
        <v>52</v>
      </c>
      <c r="C335" t="s">
        <v>40</v>
      </c>
      <c r="D335" s="1">
        <v>40309</v>
      </c>
      <c r="E335">
        <v>2</v>
      </c>
      <c r="F335">
        <v>1</v>
      </c>
      <c r="G335">
        <v>3</v>
      </c>
      <c r="H335">
        <v>323</v>
      </c>
      <c r="I335">
        <v>160</v>
      </c>
      <c r="J335">
        <v>836</v>
      </c>
      <c r="K335">
        <v>9.9683101216985701</v>
      </c>
      <c r="L335">
        <v>66.600790513833985</v>
      </c>
      <c r="M335">
        <v>44.33768968193661</v>
      </c>
      <c r="N335">
        <f t="shared" si="20"/>
        <v>1</v>
      </c>
      <c r="O335">
        <f t="shared" si="21"/>
        <v>3</v>
      </c>
      <c r="P335">
        <f t="shared" si="22"/>
        <v>2</v>
      </c>
    </row>
    <row r="336" spans="1:16" x14ac:dyDescent="0.4">
      <c r="A336" t="s">
        <v>390</v>
      </c>
      <c r="B336" t="s">
        <v>391</v>
      </c>
      <c r="C336" t="s">
        <v>40</v>
      </c>
      <c r="D336" s="1">
        <v>40310</v>
      </c>
      <c r="E336">
        <v>2</v>
      </c>
      <c r="F336">
        <v>1</v>
      </c>
      <c r="G336">
        <v>3</v>
      </c>
      <c r="H336">
        <v>323</v>
      </c>
      <c r="I336">
        <v>160</v>
      </c>
      <c r="J336">
        <v>836</v>
      </c>
      <c r="K336">
        <v>38.132320524616183</v>
      </c>
      <c r="L336">
        <v>68.181818181818187</v>
      </c>
      <c r="M336">
        <v>53.140225025662843</v>
      </c>
      <c r="N336">
        <f t="shared" si="20"/>
        <v>2</v>
      </c>
      <c r="O336">
        <f t="shared" si="21"/>
        <v>3</v>
      </c>
      <c r="P336">
        <f t="shared" si="22"/>
        <v>3</v>
      </c>
    </row>
    <row r="337" spans="1:16" x14ac:dyDescent="0.4">
      <c r="A337" t="s">
        <v>552</v>
      </c>
      <c r="B337" t="s">
        <v>553</v>
      </c>
      <c r="C337" t="s">
        <v>40</v>
      </c>
      <c r="D337" s="1">
        <v>40316</v>
      </c>
      <c r="E337">
        <v>2</v>
      </c>
      <c r="F337">
        <v>1</v>
      </c>
      <c r="G337">
        <v>3</v>
      </c>
      <c r="H337">
        <v>323</v>
      </c>
      <c r="I337">
        <v>160</v>
      </c>
      <c r="J337">
        <v>836</v>
      </c>
      <c r="K337">
        <v>43.07727436395092</v>
      </c>
      <c r="L337">
        <v>40.711462450592883</v>
      </c>
      <c r="M337">
        <v>40.556359619771634</v>
      </c>
      <c r="N337">
        <f t="shared" si="20"/>
        <v>2</v>
      </c>
      <c r="O337">
        <f t="shared" si="21"/>
        <v>2</v>
      </c>
      <c r="P337">
        <f t="shared" si="22"/>
        <v>2</v>
      </c>
    </row>
    <row r="338" spans="1:16" x14ac:dyDescent="0.4">
      <c r="A338" t="s">
        <v>1004</v>
      </c>
      <c r="B338" t="s">
        <v>1005</v>
      </c>
      <c r="C338" t="s">
        <v>40</v>
      </c>
      <c r="D338" s="1">
        <v>40317</v>
      </c>
      <c r="E338">
        <v>2</v>
      </c>
      <c r="F338">
        <v>1</v>
      </c>
      <c r="G338">
        <v>3</v>
      </c>
      <c r="H338">
        <v>323</v>
      </c>
      <c r="I338">
        <v>160</v>
      </c>
      <c r="J338">
        <v>836</v>
      </c>
      <c r="K338">
        <v>67.359094726441242</v>
      </c>
      <c r="L338">
        <v>61.462450592885375</v>
      </c>
      <c r="M338">
        <v>51.30499373663816</v>
      </c>
      <c r="N338">
        <f t="shared" si="20"/>
        <v>3</v>
      </c>
      <c r="O338">
        <f t="shared" si="21"/>
        <v>3</v>
      </c>
      <c r="P338">
        <f t="shared" si="22"/>
        <v>3</v>
      </c>
    </row>
    <row r="339" spans="1:16" x14ac:dyDescent="0.4">
      <c r="A339" t="s">
        <v>1006</v>
      </c>
      <c r="B339" t="s">
        <v>1007</v>
      </c>
      <c r="C339" t="s">
        <v>40</v>
      </c>
      <c r="D339" s="1">
        <v>40330</v>
      </c>
      <c r="E339">
        <v>2</v>
      </c>
      <c r="F339">
        <v>1</v>
      </c>
      <c r="G339">
        <v>3</v>
      </c>
      <c r="H339">
        <v>323</v>
      </c>
      <c r="I339">
        <v>160</v>
      </c>
      <c r="J339">
        <v>836</v>
      </c>
      <c r="K339">
        <v>22.313869104598638</v>
      </c>
      <c r="L339">
        <v>71.739130434782609</v>
      </c>
      <c r="M339">
        <v>48.241175289068586</v>
      </c>
      <c r="N339">
        <f t="shared" si="20"/>
        <v>1</v>
      </c>
      <c r="O339">
        <f t="shared" si="21"/>
        <v>3</v>
      </c>
      <c r="P339">
        <f t="shared" si="22"/>
        <v>2</v>
      </c>
    </row>
    <row r="340" spans="1:16" x14ac:dyDescent="0.4">
      <c r="A340" t="s">
        <v>1008</v>
      </c>
      <c r="B340" t="s">
        <v>1009</v>
      </c>
      <c r="C340" t="s">
        <v>40</v>
      </c>
      <c r="D340" s="1">
        <v>40336</v>
      </c>
      <c r="E340">
        <v>2</v>
      </c>
      <c r="F340">
        <v>1</v>
      </c>
      <c r="G340">
        <v>3</v>
      </c>
      <c r="H340">
        <v>323</v>
      </c>
      <c r="I340">
        <v>160</v>
      </c>
      <c r="J340">
        <v>836</v>
      </c>
      <c r="K340">
        <v>51.214011806343727</v>
      </c>
      <c r="L340">
        <v>35.375494071146242</v>
      </c>
      <c r="M340">
        <v>49.969737138778498</v>
      </c>
      <c r="N340">
        <f t="shared" si="20"/>
        <v>3</v>
      </c>
      <c r="O340">
        <f t="shared" si="21"/>
        <v>2</v>
      </c>
      <c r="P340">
        <f t="shared" si="22"/>
        <v>2</v>
      </c>
    </row>
    <row r="341" spans="1:16" x14ac:dyDescent="0.4">
      <c r="A341" t="s">
        <v>1010</v>
      </c>
      <c r="B341" t="s">
        <v>1011</v>
      </c>
      <c r="C341" t="s">
        <v>43</v>
      </c>
      <c r="D341" s="1">
        <v>40337</v>
      </c>
      <c r="E341">
        <v>2</v>
      </c>
      <c r="F341">
        <v>1</v>
      </c>
      <c r="G341">
        <v>3</v>
      </c>
      <c r="H341">
        <v>323</v>
      </c>
      <c r="I341">
        <v>160</v>
      </c>
      <c r="J341">
        <v>836</v>
      </c>
      <c r="K341">
        <v>47.870641921800924</v>
      </c>
      <c r="L341">
        <v>77.664974619289339</v>
      </c>
      <c r="M341">
        <v>82.93312423533331</v>
      </c>
      <c r="N341">
        <f t="shared" si="20"/>
        <v>2</v>
      </c>
      <c r="O341">
        <f t="shared" si="21"/>
        <v>3</v>
      </c>
      <c r="P341">
        <f t="shared" si="22"/>
        <v>3</v>
      </c>
    </row>
    <row r="342" spans="1:16" x14ac:dyDescent="0.4">
      <c r="A342" t="s">
        <v>1012</v>
      </c>
      <c r="B342" t="s">
        <v>1013</v>
      </c>
      <c r="C342" t="s">
        <v>40</v>
      </c>
      <c r="D342" s="1">
        <v>40347</v>
      </c>
      <c r="E342">
        <v>2</v>
      </c>
      <c r="F342">
        <v>1</v>
      </c>
      <c r="G342">
        <v>3</v>
      </c>
      <c r="H342">
        <v>323</v>
      </c>
      <c r="I342">
        <v>160</v>
      </c>
      <c r="J342">
        <v>836</v>
      </c>
      <c r="K342">
        <v>69.187161423449481</v>
      </c>
      <c r="L342">
        <v>57.707509881422922</v>
      </c>
      <c r="M342">
        <v>24.809440114682189</v>
      </c>
      <c r="N342">
        <f t="shared" si="20"/>
        <v>3</v>
      </c>
      <c r="O342">
        <f t="shared" si="21"/>
        <v>3</v>
      </c>
      <c r="P342">
        <f t="shared" si="22"/>
        <v>1</v>
      </c>
    </row>
    <row r="343" spans="1:16" x14ac:dyDescent="0.4">
      <c r="A343" t="s">
        <v>304</v>
      </c>
      <c r="B343" t="s">
        <v>305</v>
      </c>
      <c r="C343" t="s">
        <v>40</v>
      </c>
      <c r="D343" s="1">
        <v>40351</v>
      </c>
      <c r="E343">
        <v>2</v>
      </c>
      <c r="F343">
        <v>1</v>
      </c>
      <c r="G343">
        <v>3</v>
      </c>
      <c r="H343">
        <v>323</v>
      </c>
      <c r="I343">
        <v>160</v>
      </c>
      <c r="J343">
        <v>836</v>
      </c>
      <c r="K343">
        <v>29.410028934685922</v>
      </c>
      <c r="L343">
        <v>54.743083003952577</v>
      </c>
      <c r="M343">
        <v>41.033289612220337</v>
      </c>
      <c r="N343">
        <f t="shared" si="20"/>
        <v>1</v>
      </c>
      <c r="O343">
        <f t="shared" si="21"/>
        <v>3</v>
      </c>
      <c r="P343">
        <f t="shared" si="22"/>
        <v>2</v>
      </c>
    </row>
    <row r="344" spans="1:16" x14ac:dyDescent="0.4">
      <c r="A344" t="s">
        <v>95</v>
      </c>
      <c r="B344" t="s">
        <v>96</v>
      </c>
      <c r="C344" t="s">
        <v>40</v>
      </c>
      <c r="D344" s="1">
        <v>40351</v>
      </c>
      <c r="E344">
        <v>2</v>
      </c>
      <c r="F344">
        <v>1</v>
      </c>
      <c r="G344">
        <v>3</v>
      </c>
      <c r="H344">
        <v>323</v>
      </c>
      <c r="I344">
        <v>160</v>
      </c>
      <c r="J344">
        <v>836</v>
      </c>
      <c r="K344">
        <v>31.772103573880567</v>
      </c>
      <c r="L344">
        <v>28.853754940711461</v>
      </c>
      <c r="M344">
        <v>29.958113755982087</v>
      </c>
      <c r="N344">
        <f t="shared" si="20"/>
        <v>2</v>
      </c>
      <c r="O344">
        <f t="shared" si="21"/>
        <v>1</v>
      </c>
      <c r="P344">
        <f t="shared" si="22"/>
        <v>1</v>
      </c>
    </row>
    <row r="345" spans="1:16" x14ac:dyDescent="0.4">
      <c r="A345" t="s">
        <v>554</v>
      </c>
      <c r="B345" t="s">
        <v>555</v>
      </c>
      <c r="C345" t="s">
        <v>40</v>
      </c>
      <c r="D345" s="1">
        <v>40357</v>
      </c>
      <c r="E345">
        <v>2</v>
      </c>
      <c r="F345">
        <v>1</v>
      </c>
      <c r="G345">
        <v>3</v>
      </c>
      <c r="H345">
        <v>323</v>
      </c>
      <c r="I345">
        <v>160</v>
      </c>
      <c r="J345">
        <v>836</v>
      </c>
      <c r="K345">
        <v>83.689760516956738</v>
      </c>
      <c r="L345">
        <v>62.845849802371539</v>
      </c>
      <c r="M345">
        <v>50.365655471795264</v>
      </c>
      <c r="N345">
        <f t="shared" si="20"/>
        <v>3</v>
      </c>
      <c r="O345">
        <f t="shared" si="21"/>
        <v>3</v>
      </c>
      <c r="P345">
        <f t="shared" si="22"/>
        <v>3</v>
      </c>
    </row>
    <row r="346" spans="1:16" x14ac:dyDescent="0.4">
      <c r="A346" t="s">
        <v>1014</v>
      </c>
      <c r="B346" t="s">
        <v>1015</v>
      </c>
      <c r="C346" t="s">
        <v>40</v>
      </c>
      <c r="D346" s="1">
        <v>40358</v>
      </c>
      <c r="E346">
        <v>2</v>
      </c>
      <c r="F346">
        <v>1</v>
      </c>
      <c r="G346">
        <v>3</v>
      </c>
      <c r="H346">
        <v>323</v>
      </c>
      <c r="I346">
        <v>160</v>
      </c>
      <c r="J346">
        <v>836</v>
      </c>
      <c r="K346">
        <v>48.596114111113813</v>
      </c>
      <c r="L346">
        <v>8.4980237154150196</v>
      </c>
      <c r="M346">
        <v>39.250651180142846</v>
      </c>
      <c r="N346">
        <f t="shared" si="20"/>
        <v>2</v>
      </c>
      <c r="O346">
        <f t="shared" si="21"/>
        <v>1</v>
      </c>
      <c r="P346">
        <f t="shared" si="22"/>
        <v>2</v>
      </c>
    </row>
    <row r="347" spans="1:16" x14ac:dyDescent="0.4">
      <c r="A347" t="s">
        <v>138</v>
      </c>
      <c r="B347" t="s">
        <v>139</v>
      </c>
      <c r="C347" t="s">
        <v>64</v>
      </c>
      <c r="D347" s="1">
        <v>40359</v>
      </c>
      <c r="E347">
        <v>2</v>
      </c>
      <c r="F347">
        <v>1</v>
      </c>
      <c r="G347">
        <v>3</v>
      </c>
      <c r="H347">
        <v>323</v>
      </c>
      <c r="I347">
        <v>160</v>
      </c>
      <c r="J347">
        <v>836</v>
      </c>
      <c r="K347">
        <v>43.825859256941293</v>
      </c>
      <c r="L347">
        <v>74.137931034482762</v>
      </c>
      <c r="M347">
        <v>10.072809022841582</v>
      </c>
      <c r="N347">
        <f t="shared" si="20"/>
        <v>2</v>
      </c>
      <c r="O347">
        <f t="shared" si="21"/>
        <v>3</v>
      </c>
      <c r="P347">
        <f t="shared" si="22"/>
        <v>1</v>
      </c>
    </row>
    <row r="348" spans="1:16" x14ac:dyDescent="0.4">
      <c r="A348" t="s">
        <v>556</v>
      </c>
      <c r="B348" t="s">
        <v>557</v>
      </c>
      <c r="C348" t="s">
        <v>40</v>
      </c>
      <c r="D348" s="1">
        <v>40375</v>
      </c>
      <c r="E348">
        <v>2</v>
      </c>
      <c r="F348">
        <v>1</v>
      </c>
      <c r="G348">
        <v>3</v>
      </c>
      <c r="H348">
        <v>323</v>
      </c>
      <c r="I348">
        <v>160</v>
      </c>
      <c r="J348">
        <v>836</v>
      </c>
      <c r="K348">
        <v>63.195010622127612</v>
      </c>
      <c r="L348">
        <v>4.3478260869565215</v>
      </c>
      <c r="M348">
        <v>29.14694033961209</v>
      </c>
      <c r="N348">
        <f t="shared" si="20"/>
        <v>3</v>
      </c>
      <c r="O348">
        <f t="shared" si="21"/>
        <v>1</v>
      </c>
      <c r="P348">
        <f t="shared" si="22"/>
        <v>1</v>
      </c>
    </row>
    <row r="349" spans="1:16" x14ac:dyDescent="0.4">
      <c r="A349" t="s">
        <v>392</v>
      </c>
      <c r="B349" t="s">
        <v>393</v>
      </c>
      <c r="C349" t="s">
        <v>40</v>
      </c>
      <c r="D349" s="1">
        <v>40380</v>
      </c>
      <c r="E349">
        <v>2</v>
      </c>
      <c r="F349">
        <v>1</v>
      </c>
      <c r="G349">
        <v>3</v>
      </c>
      <c r="H349">
        <v>323</v>
      </c>
      <c r="I349">
        <v>160</v>
      </c>
      <c r="J349">
        <v>836</v>
      </c>
      <c r="K349">
        <v>51.053904133425704</v>
      </c>
      <c r="L349">
        <v>56.521739130434774</v>
      </c>
      <c r="M349">
        <v>53.553693243762829</v>
      </c>
      <c r="N349">
        <f t="shared" si="20"/>
        <v>3</v>
      </c>
      <c r="O349">
        <f t="shared" si="21"/>
        <v>3</v>
      </c>
      <c r="P349">
        <f t="shared" si="22"/>
        <v>3</v>
      </c>
    </row>
    <row r="350" spans="1:16" x14ac:dyDescent="0.4">
      <c r="A350" t="s">
        <v>1016</v>
      </c>
      <c r="B350" t="s">
        <v>1017</v>
      </c>
      <c r="C350" t="s">
        <v>40</v>
      </c>
      <c r="D350" s="1">
        <v>40387</v>
      </c>
      <c r="E350">
        <v>2</v>
      </c>
      <c r="F350">
        <v>1</v>
      </c>
      <c r="G350">
        <v>3</v>
      </c>
      <c r="H350">
        <v>323</v>
      </c>
      <c r="I350">
        <v>160</v>
      </c>
      <c r="J350">
        <v>836</v>
      </c>
      <c r="K350">
        <v>63.416979251851622</v>
      </c>
      <c r="L350">
        <v>90.51383399209486</v>
      </c>
      <c r="M350">
        <v>47.906534133328186</v>
      </c>
      <c r="N350">
        <f t="shared" si="20"/>
        <v>3</v>
      </c>
      <c r="O350">
        <f t="shared" si="21"/>
        <v>3</v>
      </c>
      <c r="P350">
        <f t="shared" si="22"/>
        <v>2</v>
      </c>
    </row>
    <row r="351" spans="1:16" x14ac:dyDescent="0.4">
      <c r="A351" t="s">
        <v>1018</v>
      </c>
      <c r="B351" t="s">
        <v>1019</v>
      </c>
      <c r="C351" t="s">
        <v>40</v>
      </c>
      <c r="D351" s="1">
        <v>40389</v>
      </c>
      <c r="E351">
        <v>2</v>
      </c>
      <c r="F351">
        <v>1</v>
      </c>
      <c r="G351">
        <v>3</v>
      </c>
      <c r="H351">
        <v>323</v>
      </c>
      <c r="I351">
        <v>160</v>
      </c>
      <c r="J351">
        <v>836</v>
      </c>
      <c r="K351">
        <v>65.945388298732425</v>
      </c>
      <c r="L351">
        <v>64.229249011857704</v>
      </c>
      <c r="M351">
        <v>39.079094907490216</v>
      </c>
      <c r="N351">
        <f t="shared" si="20"/>
        <v>3</v>
      </c>
      <c r="O351">
        <f t="shared" si="21"/>
        <v>3</v>
      </c>
      <c r="P351">
        <f t="shared" si="22"/>
        <v>2</v>
      </c>
    </row>
    <row r="352" spans="1:16" x14ac:dyDescent="0.4">
      <c r="A352" t="s">
        <v>558</v>
      </c>
      <c r="B352" t="s">
        <v>559</v>
      </c>
      <c r="C352" t="s">
        <v>64</v>
      </c>
      <c r="D352" s="1">
        <v>40403</v>
      </c>
      <c r="E352">
        <v>2</v>
      </c>
      <c r="F352">
        <v>1</v>
      </c>
      <c r="G352">
        <v>3</v>
      </c>
      <c r="H352">
        <v>323</v>
      </c>
      <c r="I352">
        <v>160</v>
      </c>
      <c r="J352">
        <v>836</v>
      </c>
      <c r="K352">
        <v>58.113963423624803</v>
      </c>
      <c r="L352">
        <v>6.5681444991789819</v>
      </c>
      <c r="M352">
        <v>13.059853708696489</v>
      </c>
      <c r="N352">
        <f t="shared" si="20"/>
        <v>3</v>
      </c>
      <c r="O352">
        <f t="shared" si="21"/>
        <v>1</v>
      </c>
      <c r="P352">
        <f t="shared" si="22"/>
        <v>1</v>
      </c>
    </row>
    <row r="353" spans="1:16" x14ac:dyDescent="0.4">
      <c r="A353" t="s">
        <v>306</v>
      </c>
      <c r="B353" t="s">
        <v>307</v>
      </c>
      <c r="C353" t="s">
        <v>43</v>
      </c>
      <c r="D353" s="1">
        <v>40410</v>
      </c>
      <c r="E353">
        <v>2</v>
      </c>
      <c r="F353">
        <v>1</v>
      </c>
      <c r="G353">
        <v>3</v>
      </c>
      <c r="H353">
        <v>323</v>
      </c>
      <c r="I353">
        <v>160</v>
      </c>
      <c r="J353">
        <v>836</v>
      </c>
      <c r="K353">
        <v>37.566523062595181</v>
      </c>
      <c r="L353">
        <v>2.5380710659898478</v>
      </c>
      <c r="M353">
        <v>34.018509154614897</v>
      </c>
      <c r="N353">
        <f t="shared" si="20"/>
        <v>2</v>
      </c>
      <c r="O353">
        <f t="shared" si="21"/>
        <v>1</v>
      </c>
      <c r="P353">
        <f t="shared" si="22"/>
        <v>2</v>
      </c>
    </row>
    <row r="354" spans="1:16" x14ac:dyDescent="0.4">
      <c r="A354" t="s">
        <v>560</v>
      </c>
      <c r="B354" t="s">
        <v>561</v>
      </c>
      <c r="C354" t="s">
        <v>64</v>
      </c>
      <c r="D354" s="1">
        <v>40415</v>
      </c>
      <c r="E354">
        <v>2</v>
      </c>
      <c r="F354">
        <v>1</v>
      </c>
      <c r="G354">
        <v>3</v>
      </c>
      <c r="H354">
        <v>323</v>
      </c>
      <c r="I354">
        <v>160</v>
      </c>
      <c r="J354">
        <v>836</v>
      </c>
      <c r="K354">
        <v>89.371578281530148</v>
      </c>
      <c r="L354">
        <v>51.970443349753694</v>
      </c>
      <c r="M354">
        <v>22.540921362489144</v>
      </c>
      <c r="N354">
        <f t="shared" si="20"/>
        <v>3</v>
      </c>
      <c r="O354">
        <f t="shared" si="21"/>
        <v>3</v>
      </c>
      <c r="P354">
        <f t="shared" si="22"/>
        <v>1</v>
      </c>
    </row>
    <row r="355" spans="1:16" x14ac:dyDescent="0.4">
      <c r="A355" t="s">
        <v>1020</v>
      </c>
      <c r="B355" t="s">
        <v>1021</v>
      </c>
      <c r="C355" t="s">
        <v>40</v>
      </c>
      <c r="D355" s="1">
        <v>40422</v>
      </c>
      <c r="E355">
        <v>2</v>
      </c>
      <c r="F355">
        <v>1</v>
      </c>
      <c r="G355">
        <v>3</v>
      </c>
      <c r="H355">
        <v>323</v>
      </c>
      <c r="I355">
        <v>160</v>
      </c>
      <c r="J355">
        <v>836</v>
      </c>
      <c r="K355">
        <v>68.356681005720986</v>
      </c>
      <c r="L355">
        <v>41.304347826086953</v>
      </c>
      <c r="M355">
        <v>52.010939334363322</v>
      </c>
      <c r="N355">
        <f t="shared" si="20"/>
        <v>3</v>
      </c>
      <c r="O355">
        <f t="shared" si="21"/>
        <v>2</v>
      </c>
      <c r="P355">
        <f t="shared" si="22"/>
        <v>3</v>
      </c>
    </row>
    <row r="356" spans="1:16" x14ac:dyDescent="0.4">
      <c r="A356" t="s">
        <v>1022</v>
      </c>
      <c r="B356" t="s">
        <v>1023</v>
      </c>
      <c r="C356" t="s">
        <v>40</v>
      </c>
      <c r="D356" s="1">
        <v>40436</v>
      </c>
      <c r="E356">
        <v>2</v>
      </c>
      <c r="F356">
        <v>1</v>
      </c>
      <c r="G356">
        <v>3</v>
      </c>
      <c r="H356">
        <v>323</v>
      </c>
      <c r="I356">
        <v>160</v>
      </c>
      <c r="J356">
        <v>836</v>
      </c>
      <c r="K356">
        <v>16.98042280837792</v>
      </c>
      <c r="L356">
        <v>25.494071146245059</v>
      </c>
      <c r="M356">
        <v>68.91610509060601</v>
      </c>
      <c r="N356">
        <f t="shared" si="20"/>
        <v>1</v>
      </c>
      <c r="O356">
        <f t="shared" si="21"/>
        <v>1</v>
      </c>
      <c r="P356">
        <f t="shared" si="22"/>
        <v>3</v>
      </c>
    </row>
    <row r="357" spans="1:16" x14ac:dyDescent="0.4">
      <c r="A357" t="s">
        <v>1024</v>
      </c>
      <c r="B357" t="s">
        <v>1025</v>
      </c>
      <c r="C357" t="s">
        <v>40</v>
      </c>
      <c r="D357" s="1">
        <v>40436</v>
      </c>
      <c r="E357">
        <v>2</v>
      </c>
      <c r="F357">
        <v>1</v>
      </c>
      <c r="G357">
        <v>3</v>
      </c>
      <c r="H357">
        <v>323</v>
      </c>
      <c r="I357">
        <v>160</v>
      </c>
      <c r="J357">
        <v>836</v>
      </c>
      <c r="K357">
        <v>95.01321889641801</v>
      </c>
      <c r="L357">
        <v>6.3241106719367588</v>
      </c>
      <c r="M357">
        <v>62.047962465336539</v>
      </c>
      <c r="N357">
        <f t="shared" si="20"/>
        <v>3</v>
      </c>
      <c r="O357">
        <f t="shared" si="21"/>
        <v>1</v>
      </c>
      <c r="P357">
        <f t="shared" si="22"/>
        <v>3</v>
      </c>
    </row>
    <row r="358" spans="1:16" x14ac:dyDescent="0.4">
      <c r="A358" t="s">
        <v>1026</v>
      </c>
      <c r="B358" t="s">
        <v>1027</v>
      </c>
      <c r="C358" t="s">
        <v>40</v>
      </c>
      <c r="D358" s="1">
        <v>40442</v>
      </c>
      <c r="E358">
        <v>2</v>
      </c>
      <c r="F358">
        <v>1</v>
      </c>
      <c r="G358">
        <v>3</v>
      </c>
      <c r="H358">
        <v>323</v>
      </c>
      <c r="I358">
        <v>160</v>
      </c>
      <c r="J358">
        <v>836</v>
      </c>
      <c r="K358">
        <v>45.546150591582851</v>
      </c>
      <c r="L358">
        <v>81.422924901185766</v>
      </c>
      <c r="M358">
        <v>72.394054654615928</v>
      </c>
      <c r="N358">
        <f t="shared" si="20"/>
        <v>2</v>
      </c>
      <c r="O358">
        <f t="shared" si="21"/>
        <v>3</v>
      </c>
      <c r="P358">
        <f t="shared" si="22"/>
        <v>3</v>
      </c>
    </row>
    <row r="359" spans="1:16" x14ac:dyDescent="0.4">
      <c r="A359" t="s">
        <v>1028</v>
      </c>
      <c r="B359" t="s">
        <v>1029</v>
      </c>
      <c r="C359" t="s">
        <v>64</v>
      </c>
      <c r="D359" s="1">
        <v>40491</v>
      </c>
      <c r="E359">
        <v>2</v>
      </c>
      <c r="F359">
        <v>1</v>
      </c>
      <c r="G359">
        <v>3</v>
      </c>
      <c r="H359">
        <v>323</v>
      </c>
      <c r="I359">
        <v>160</v>
      </c>
      <c r="J359">
        <v>836</v>
      </c>
      <c r="K359">
        <v>55.535773605193064</v>
      </c>
      <c r="L359">
        <v>71.921182266009851</v>
      </c>
      <c r="M359">
        <v>41.340036870911518</v>
      </c>
      <c r="N359">
        <f t="shared" si="20"/>
        <v>3</v>
      </c>
      <c r="O359">
        <f t="shared" si="21"/>
        <v>3</v>
      </c>
      <c r="P359">
        <f t="shared" si="22"/>
        <v>2</v>
      </c>
    </row>
    <row r="360" spans="1:16" x14ac:dyDescent="0.4">
      <c r="A360" t="s">
        <v>394</v>
      </c>
      <c r="B360" t="s">
        <v>395</v>
      </c>
      <c r="C360" t="s">
        <v>40</v>
      </c>
      <c r="D360" s="1">
        <v>40498</v>
      </c>
      <c r="E360">
        <v>2</v>
      </c>
      <c r="F360">
        <v>1</v>
      </c>
      <c r="G360">
        <v>3</v>
      </c>
      <c r="H360">
        <v>323</v>
      </c>
      <c r="I360">
        <v>160</v>
      </c>
      <c r="J360">
        <v>836</v>
      </c>
      <c r="K360">
        <v>56.949960712678724</v>
      </c>
      <c r="L360">
        <v>34.584980237154149</v>
      </c>
      <c r="M360">
        <v>37.000168651799306</v>
      </c>
      <c r="N360">
        <f t="shared" si="20"/>
        <v>3</v>
      </c>
      <c r="O360">
        <f t="shared" si="21"/>
        <v>2</v>
      </c>
      <c r="P360">
        <f t="shared" si="22"/>
        <v>2</v>
      </c>
    </row>
    <row r="361" spans="1:16" x14ac:dyDescent="0.4">
      <c r="A361" t="s">
        <v>175</v>
      </c>
      <c r="B361" t="s">
        <v>176</v>
      </c>
      <c r="C361" t="s">
        <v>40</v>
      </c>
      <c r="D361" s="1">
        <v>40500</v>
      </c>
      <c r="E361">
        <v>2</v>
      </c>
      <c r="F361">
        <v>1</v>
      </c>
      <c r="G361">
        <v>3</v>
      </c>
      <c r="H361">
        <v>323</v>
      </c>
      <c r="I361">
        <v>160</v>
      </c>
      <c r="J361">
        <v>836</v>
      </c>
      <c r="K361">
        <v>28.377424160316377</v>
      </c>
      <c r="L361">
        <v>92.490118577075094</v>
      </c>
      <c r="M361">
        <v>38.861515520053864</v>
      </c>
      <c r="N361">
        <f t="shared" si="20"/>
        <v>1</v>
      </c>
      <c r="O361">
        <f t="shared" si="21"/>
        <v>3</v>
      </c>
      <c r="P361">
        <f t="shared" si="22"/>
        <v>2</v>
      </c>
    </row>
    <row r="362" spans="1:16" x14ac:dyDescent="0.4">
      <c r="A362" t="s">
        <v>1030</v>
      </c>
      <c r="B362" t="s">
        <v>1031</v>
      </c>
      <c r="C362" t="s">
        <v>40</v>
      </c>
      <c r="D362" s="1">
        <v>40505</v>
      </c>
      <c r="E362">
        <v>2</v>
      </c>
      <c r="F362">
        <v>1</v>
      </c>
      <c r="G362">
        <v>3</v>
      </c>
      <c r="H362">
        <v>323</v>
      </c>
      <c r="I362">
        <v>160</v>
      </c>
      <c r="J362">
        <v>836</v>
      </c>
      <c r="K362">
        <v>67.462782947494475</v>
      </c>
      <c r="L362">
        <v>29.644268774703555</v>
      </c>
      <c r="M362">
        <v>42.455914321655527</v>
      </c>
      <c r="N362">
        <f t="shared" si="20"/>
        <v>3</v>
      </c>
      <c r="O362">
        <f t="shared" si="21"/>
        <v>1</v>
      </c>
      <c r="P362">
        <f t="shared" si="22"/>
        <v>2</v>
      </c>
    </row>
    <row r="363" spans="1:16" x14ac:dyDescent="0.4">
      <c r="A363" t="s">
        <v>41</v>
      </c>
      <c r="B363" t="s">
        <v>42</v>
      </c>
      <c r="C363" t="s">
        <v>43</v>
      </c>
      <c r="D363" s="1">
        <v>40505</v>
      </c>
      <c r="E363">
        <v>2</v>
      </c>
      <c r="F363">
        <v>1</v>
      </c>
      <c r="G363">
        <v>3</v>
      </c>
      <c r="H363">
        <v>323</v>
      </c>
      <c r="I363">
        <v>160</v>
      </c>
      <c r="J363">
        <v>836</v>
      </c>
      <c r="K363">
        <v>21.367519743392901</v>
      </c>
      <c r="L363">
        <v>43.147208121827411</v>
      </c>
      <c r="M363">
        <v>31.798964555483145</v>
      </c>
      <c r="N363">
        <f t="shared" si="20"/>
        <v>1</v>
      </c>
      <c r="O363">
        <f t="shared" si="21"/>
        <v>2</v>
      </c>
      <c r="P363">
        <f t="shared" si="22"/>
        <v>2</v>
      </c>
    </row>
    <row r="364" spans="1:16" x14ac:dyDescent="0.4">
      <c r="A364" t="s">
        <v>562</v>
      </c>
      <c r="B364" t="s">
        <v>563</v>
      </c>
      <c r="C364" t="s">
        <v>64</v>
      </c>
      <c r="D364" s="1">
        <v>40515</v>
      </c>
      <c r="E364">
        <v>2</v>
      </c>
      <c r="F364">
        <v>1</v>
      </c>
      <c r="G364">
        <v>3</v>
      </c>
      <c r="H364">
        <v>323</v>
      </c>
      <c r="I364">
        <v>160</v>
      </c>
      <c r="J364">
        <v>836</v>
      </c>
      <c r="K364">
        <v>86.989988946629509</v>
      </c>
      <c r="L364">
        <v>86.945812807881779</v>
      </c>
      <c r="M364">
        <v>68.271779789385661</v>
      </c>
      <c r="N364">
        <f t="shared" si="20"/>
        <v>3</v>
      </c>
      <c r="O364">
        <f t="shared" si="21"/>
        <v>3</v>
      </c>
      <c r="P364">
        <f t="shared" si="22"/>
        <v>3</v>
      </c>
    </row>
    <row r="365" spans="1:16" x14ac:dyDescent="0.4">
      <c r="A365" t="s">
        <v>1032</v>
      </c>
      <c r="B365" t="s">
        <v>1033</v>
      </c>
      <c r="C365" t="s">
        <v>40</v>
      </c>
      <c r="D365" s="1">
        <v>40519</v>
      </c>
      <c r="E365">
        <v>2</v>
      </c>
      <c r="F365">
        <v>1</v>
      </c>
      <c r="G365">
        <v>3</v>
      </c>
      <c r="H365">
        <v>323</v>
      </c>
      <c r="I365">
        <v>160</v>
      </c>
      <c r="J365">
        <v>836</v>
      </c>
      <c r="K365">
        <v>43.016577475923491</v>
      </c>
      <c r="L365">
        <v>53.557312252964422</v>
      </c>
      <c r="M365">
        <v>61.687679085478607</v>
      </c>
      <c r="N365">
        <f t="shared" si="20"/>
        <v>2</v>
      </c>
      <c r="O365">
        <f t="shared" si="21"/>
        <v>3</v>
      </c>
      <c r="P365">
        <f t="shared" si="22"/>
        <v>3</v>
      </c>
    </row>
    <row r="366" spans="1:16" x14ac:dyDescent="0.4">
      <c r="A366" t="s">
        <v>396</v>
      </c>
      <c r="B366" t="s">
        <v>397</v>
      </c>
      <c r="C366" t="s">
        <v>40</v>
      </c>
      <c r="D366" s="1">
        <v>40519</v>
      </c>
      <c r="E366">
        <v>2</v>
      </c>
      <c r="F366">
        <v>1</v>
      </c>
      <c r="G366">
        <v>3</v>
      </c>
      <c r="H366">
        <v>323</v>
      </c>
      <c r="I366">
        <v>160</v>
      </c>
      <c r="J366">
        <v>836</v>
      </c>
      <c r="K366">
        <v>71.30762635527482</v>
      </c>
      <c r="L366">
        <v>11.067193675889328</v>
      </c>
      <c r="M366">
        <v>71.722833979816571</v>
      </c>
      <c r="N366">
        <f t="shared" si="20"/>
        <v>3</v>
      </c>
      <c r="O366">
        <f t="shared" si="21"/>
        <v>1</v>
      </c>
      <c r="P366">
        <f t="shared" si="22"/>
        <v>3</v>
      </c>
    </row>
    <row r="367" spans="1:16" x14ac:dyDescent="0.4">
      <c r="A367" t="s">
        <v>1034</v>
      </c>
      <c r="B367" t="s">
        <v>1035</v>
      </c>
      <c r="C367" t="s">
        <v>43</v>
      </c>
      <c r="D367" s="1">
        <v>40520</v>
      </c>
      <c r="E367">
        <v>2</v>
      </c>
      <c r="F367">
        <v>1</v>
      </c>
      <c r="G367">
        <v>3</v>
      </c>
      <c r="H367">
        <v>323</v>
      </c>
      <c r="I367">
        <v>160</v>
      </c>
      <c r="J367">
        <v>836</v>
      </c>
      <c r="K367">
        <v>80.355319064670624</v>
      </c>
      <c r="L367">
        <v>9.6446700507614214</v>
      </c>
      <c r="M367">
        <v>41.624320171217803</v>
      </c>
      <c r="N367">
        <f t="shared" si="20"/>
        <v>3</v>
      </c>
      <c r="O367">
        <f t="shared" si="21"/>
        <v>1</v>
      </c>
      <c r="P367">
        <f t="shared" si="22"/>
        <v>2</v>
      </c>
    </row>
    <row r="368" spans="1:16" x14ac:dyDescent="0.4">
      <c r="A368" t="s">
        <v>1036</v>
      </c>
      <c r="B368" t="s">
        <v>1037</v>
      </c>
      <c r="C368" t="s">
        <v>64</v>
      </c>
      <c r="D368" s="1">
        <v>40521</v>
      </c>
      <c r="E368">
        <v>2</v>
      </c>
      <c r="F368">
        <v>1</v>
      </c>
      <c r="G368">
        <v>3</v>
      </c>
      <c r="H368">
        <v>323</v>
      </c>
      <c r="I368">
        <v>160</v>
      </c>
      <c r="J368">
        <v>836</v>
      </c>
      <c r="K368">
        <v>86.557386792207026</v>
      </c>
      <c r="L368">
        <v>94.827586206896555</v>
      </c>
      <c r="M368">
        <v>30.314182786241275</v>
      </c>
      <c r="N368">
        <f t="shared" si="20"/>
        <v>3</v>
      </c>
      <c r="O368">
        <f t="shared" si="21"/>
        <v>3</v>
      </c>
      <c r="P368">
        <f t="shared" si="22"/>
        <v>2</v>
      </c>
    </row>
    <row r="369" spans="1:16" x14ac:dyDescent="0.4">
      <c r="A369" t="s">
        <v>1038</v>
      </c>
      <c r="B369" t="s">
        <v>1039</v>
      </c>
      <c r="C369" t="s">
        <v>40</v>
      </c>
      <c r="D369" s="1">
        <v>40522</v>
      </c>
      <c r="E369">
        <v>2</v>
      </c>
      <c r="F369">
        <v>1</v>
      </c>
      <c r="G369">
        <v>3</v>
      </c>
      <c r="H369">
        <v>323</v>
      </c>
      <c r="I369">
        <v>160</v>
      </c>
      <c r="J369">
        <v>836</v>
      </c>
      <c r="K369">
        <v>73.859371881574248</v>
      </c>
      <c r="L369">
        <v>4.9407114624505928</v>
      </c>
      <c r="M369">
        <v>37.71437809715826</v>
      </c>
      <c r="N369">
        <f t="shared" si="20"/>
        <v>3</v>
      </c>
      <c r="O369">
        <f t="shared" si="21"/>
        <v>1</v>
      </c>
      <c r="P369">
        <f t="shared" si="22"/>
        <v>2</v>
      </c>
    </row>
    <row r="370" spans="1:16" x14ac:dyDescent="0.4">
      <c r="A370" t="s">
        <v>564</v>
      </c>
      <c r="B370" t="s">
        <v>565</v>
      </c>
      <c r="C370" t="s">
        <v>40</v>
      </c>
      <c r="D370" s="1">
        <v>40527</v>
      </c>
      <c r="E370">
        <v>2</v>
      </c>
      <c r="F370">
        <v>1</v>
      </c>
      <c r="G370">
        <v>3</v>
      </c>
      <c r="H370">
        <v>323</v>
      </c>
      <c r="I370">
        <v>160</v>
      </c>
      <c r="J370">
        <v>836</v>
      </c>
      <c r="K370">
        <v>56.177835269458676</v>
      </c>
      <c r="L370">
        <v>53.16205533596839</v>
      </c>
      <c r="M370">
        <v>55.453062569783057</v>
      </c>
      <c r="N370">
        <f t="shared" si="20"/>
        <v>3</v>
      </c>
      <c r="O370">
        <f t="shared" si="21"/>
        <v>3</v>
      </c>
      <c r="P370">
        <f t="shared" si="22"/>
        <v>3</v>
      </c>
    </row>
    <row r="371" spans="1:16" x14ac:dyDescent="0.4">
      <c r="A371" t="s">
        <v>566</v>
      </c>
      <c r="B371" t="s">
        <v>567</v>
      </c>
      <c r="C371" t="s">
        <v>40</v>
      </c>
      <c r="D371" s="1">
        <v>40532</v>
      </c>
      <c r="E371">
        <v>2</v>
      </c>
      <c r="F371">
        <v>1</v>
      </c>
      <c r="G371">
        <v>3</v>
      </c>
      <c r="H371">
        <v>323</v>
      </c>
      <c r="I371">
        <v>160</v>
      </c>
      <c r="J371">
        <v>836</v>
      </c>
      <c r="K371">
        <v>33.400577247242531</v>
      </c>
      <c r="L371">
        <v>84.782608695652172</v>
      </c>
      <c r="M371">
        <v>54.122938907441274</v>
      </c>
      <c r="N371">
        <f t="shared" si="20"/>
        <v>2</v>
      </c>
      <c r="O371">
        <f t="shared" si="21"/>
        <v>3</v>
      </c>
      <c r="P371">
        <f t="shared" si="22"/>
        <v>3</v>
      </c>
    </row>
    <row r="372" spans="1:16" x14ac:dyDescent="0.4">
      <c r="A372" t="s">
        <v>1040</v>
      </c>
      <c r="B372" t="s">
        <v>1041</v>
      </c>
      <c r="C372" t="s">
        <v>43</v>
      </c>
      <c r="D372" s="1">
        <v>40532</v>
      </c>
      <c r="E372">
        <v>2</v>
      </c>
      <c r="F372">
        <v>1</v>
      </c>
      <c r="G372">
        <v>3</v>
      </c>
      <c r="H372">
        <v>323</v>
      </c>
      <c r="I372">
        <v>160</v>
      </c>
      <c r="J372">
        <v>836</v>
      </c>
      <c r="K372">
        <v>66.412189157325869</v>
      </c>
      <c r="L372">
        <v>4.5685279187817258</v>
      </c>
      <c r="M372">
        <v>51.407545255324102</v>
      </c>
      <c r="N372">
        <f t="shared" si="20"/>
        <v>3</v>
      </c>
      <c r="O372">
        <f t="shared" si="21"/>
        <v>1</v>
      </c>
      <c r="P372">
        <f t="shared" si="22"/>
        <v>3</v>
      </c>
    </row>
    <row r="373" spans="1:16" x14ac:dyDescent="0.4">
      <c r="A373" t="s">
        <v>308</v>
      </c>
      <c r="B373" t="s">
        <v>309</v>
      </c>
      <c r="C373" t="s">
        <v>40</v>
      </c>
      <c r="D373" s="1">
        <v>40534</v>
      </c>
      <c r="E373">
        <v>2</v>
      </c>
      <c r="F373">
        <v>1</v>
      </c>
      <c r="G373">
        <v>3</v>
      </c>
      <c r="H373">
        <v>323</v>
      </c>
      <c r="I373">
        <v>160</v>
      </c>
      <c r="J373">
        <v>836</v>
      </c>
      <c r="K373">
        <v>36.867635564505335</v>
      </c>
      <c r="L373">
        <v>50.988142292490117</v>
      </c>
      <c r="M373">
        <v>18.3394517571199</v>
      </c>
      <c r="N373">
        <f t="shared" si="20"/>
        <v>2</v>
      </c>
      <c r="O373">
        <f t="shared" si="21"/>
        <v>3</v>
      </c>
      <c r="P373">
        <f t="shared" si="22"/>
        <v>1</v>
      </c>
    </row>
    <row r="374" spans="1:16" x14ac:dyDescent="0.4">
      <c r="A374" t="s">
        <v>568</v>
      </c>
      <c r="B374" t="s">
        <v>569</v>
      </c>
      <c r="C374" t="s">
        <v>40</v>
      </c>
      <c r="D374" s="1">
        <v>40540</v>
      </c>
      <c r="E374">
        <v>2</v>
      </c>
      <c r="F374">
        <v>1</v>
      </c>
      <c r="G374">
        <v>3</v>
      </c>
      <c r="H374">
        <v>323</v>
      </c>
      <c r="I374">
        <v>160</v>
      </c>
      <c r="J374">
        <v>836</v>
      </c>
      <c r="K374">
        <v>80.643492399199133</v>
      </c>
      <c r="L374">
        <v>2.766798418972332</v>
      </c>
      <c r="M374">
        <v>15.009205118729405</v>
      </c>
      <c r="N374">
        <f t="shared" si="20"/>
        <v>3</v>
      </c>
      <c r="O374">
        <f t="shared" si="21"/>
        <v>1</v>
      </c>
      <c r="P374">
        <f t="shared" si="22"/>
        <v>1</v>
      </c>
    </row>
    <row r="375" spans="1:16" x14ac:dyDescent="0.4">
      <c r="A375" t="s">
        <v>570</v>
      </c>
      <c r="B375" t="s">
        <v>571</v>
      </c>
      <c r="C375" t="s">
        <v>40</v>
      </c>
      <c r="D375" s="1">
        <v>40541</v>
      </c>
      <c r="E375">
        <v>2</v>
      </c>
      <c r="F375">
        <v>1</v>
      </c>
      <c r="G375">
        <v>3</v>
      </c>
      <c r="H375">
        <v>323</v>
      </c>
      <c r="I375">
        <v>160</v>
      </c>
      <c r="J375">
        <v>836</v>
      </c>
      <c r="K375">
        <v>48.337773498045614</v>
      </c>
      <c r="L375">
        <v>15.810276679841897</v>
      </c>
      <c r="M375">
        <v>42.464747661186735</v>
      </c>
      <c r="N375">
        <f t="shared" si="20"/>
        <v>2</v>
      </c>
      <c r="O375">
        <f t="shared" si="21"/>
        <v>1</v>
      </c>
      <c r="P375">
        <f t="shared" si="22"/>
        <v>2</v>
      </c>
    </row>
    <row r="376" spans="1:16" x14ac:dyDescent="0.4">
      <c r="A376" t="s">
        <v>1042</v>
      </c>
      <c r="B376" t="s">
        <v>1043</v>
      </c>
      <c r="C376" t="s">
        <v>40</v>
      </c>
      <c r="D376" s="1">
        <v>40568</v>
      </c>
      <c r="E376">
        <v>2</v>
      </c>
      <c r="F376">
        <v>1</v>
      </c>
      <c r="G376">
        <v>3</v>
      </c>
      <c r="H376">
        <v>323</v>
      </c>
      <c r="I376">
        <v>160</v>
      </c>
      <c r="J376">
        <v>836</v>
      </c>
      <c r="K376">
        <v>74.130558579092181</v>
      </c>
      <c r="L376">
        <v>78.063241106719374</v>
      </c>
      <c r="M376">
        <v>72.900533020848826</v>
      </c>
      <c r="N376">
        <f t="shared" si="20"/>
        <v>3</v>
      </c>
      <c r="O376">
        <f t="shared" si="21"/>
        <v>3</v>
      </c>
      <c r="P376">
        <f t="shared" si="22"/>
        <v>3</v>
      </c>
    </row>
    <row r="377" spans="1:16" x14ac:dyDescent="0.4">
      <c r="A377" t="s">
        <v>1044</v>
      </c>
      <c r="B377" t="s">
        <v>1045</v>
      </c>
      <c r="C377" t="s">
        <v>40</v>
      </c>
      <c r="D377" s="1">
        <v>40569</v>
      </c>
      <c r="E377">
        <v>2</v>
      </c>
      <c r="F377">
        <v>1</v>
      </c>
      <c r="G377">
        <v>3</v>
      </c>
      <c r="H377">
        <v>323</v>
      </c>
      <c r="I377">
        <v>160</v>
      </c>
      <c r="J377">
        <v>836</v>
      </c>
      <c r="K377">
        <v>96.885644190668273</v>
      </c>
      <c r="L377">
        <v>46.442687747035571</v>
      </c>
      <c r="M377">
        <v>65.650175434400381</v>
      </c>
      <c r="N377">
        <f t="shared" si="20"/>
        <v>3</v>
      </c>
      <c r="O377">
        <f t="shared" si="21"/>
        <v>2</v>
      </c>
      <c r="P377">
        <f t="shared" si="22"/>
        <v>3</v>
      </c>
    </row>
    <row r="378" spans="1:16" x14ac:dyDescent="0.4">
      <c r="A378" t="s">
        <v>1046</v>
      </c>
      <c r="B378" t="s">
        <v>1047</v>
      </c>
      <c r="C378" t="s">
        <v>40</v>
      </c>
      <c r="D378" s="1">
        <v>40570</v>
      </c>
      <c r="E378">
        <v>2</v>
      </c>
      <c r="F378">
        <v>1</v>
      </c>
      <c r="G378">
        <v>3</v>
      </c>
      <c r="H378">
        <v>323</v>
      </c>
      <c r="I378">
        <v>160</v>
      </c>
      <c r="J378">
        <v>836</v>
      </c>
      <c r="K378">
        <v>63.918689451418814</v>
      </c>
      <c r="L378">
        <v>6.1264822134387353</v>
      </c>
      <c r="M378">
        <v>39.806200333764508</v>
      </c>
      <c r="N378">
        <f t="shared" si="20"/>
        <v>3</v>
      </c>
      <c r="O378">
        <f t="shared" si="21"/>
        <v>1</v>
      </c>
      <c r="P378">
        <f t="shared" si="22"/>
        <v>2</v>
      </c>
    </row>
    <row r="379" spans="1:16" x14ac:dyDescent="0.4">
      <c r="A379" t="s">
        <v>1048</v>
      </c>
      <c r="B379" t="s">
        <v>1049</v>
      </c>
      <c r="C379" t="s">
        <v>40</v>
      </c>
      <c r="D379" s="1">
        <v>40571</v>
      </c>
      <c r="E379">
        <v>2</v>
      </c>
      <c r="F379">
        <v>1</v>
      </c>
      <c r="G379">
        <v>3</v>
      </c>
      <c r="H379">
        <v>323</v>
      </c>
      <c r="I379">
        <v>160</v>
      </c>
      <c r="J379">
        <v>836</v>
      </c>
      <c r="K379">
        <v>67.354221479927475</v>
      </c>
      <c r="L379">
        <v>24.703557312252965</v>
      </c>
      <c r="M379">
        <v>61.759503754216183</v>
      </c>
      <c r="N379">
        <f t="shared" si="20"/>
        <v>3</v>
      </c>
      <c r="O379">
        <f t="shared" si="21"/>
        <v>1</v>
      </c>
      <c r="P379">
        <f t="shared" si="22"/>
        <v>3</v>
      </c>
    </row>
    <row r="380" spans="1:16" x14ac:dyDescent="0.4">
      <c r="A380" t="s">
        <v>191</v>
      </c>
      <c r="B380" t="s">
        <v>192</v>
      </c>
      <c r="C380" t="s">
        <v>40</v>
      </c>
      <c r="D380" s="1">
        <v>40571</v>
      </c>
      <c r="E380">
        <v>2</v>
      </c>
      <c r="F380">
        <v>1</v>
      </c>
      <c r="G380">
        <v>3</v>
      </c>
      <c r="H380">
        <v>323</v>
      </c>
      <c r="I380">
        <v>160</v>
      </c>
      <c r="J380">
        <v>836</v>
      </c>
      <c r="K380">
        <v>17.36735858157186</v>
      </c>
      <c r="L380">
        <v>88.142292490118578</v>
      </c>
      <c r="M380">
        <v>46.273010393403887</v>
      </c>
      <c r="N380">
        <f t="shared" si="20"/>
        <v>1</v>
      </c>
      <c r="O380">
        <f t="shared" si="21"/>
        <v>3</v>
      </c>
      <c r="P380">
        <f t="shared" si="22"/>
        <v>2</v>
      </c>
    </row>
    <row r="381" spans="1:16" x14ac:dyDescent="0.4">
      <c r="A381" t="s">
        <v>572</v>
      </c>
      <c r="B381" t="s">
        <v>573</v>
      </c>
      <c r="C381" t="s">
        <v>40</v>
      </c>
      <c r="D381" s="1">
        <v>40571</v>
      </c>
      <c r="E381">
        <v>2</v>
      </c>
      <c r="F381">
        <v>1</v>
      </c>
      <c r="G381">
        <v>3</v>
      </c>
      <c r="H381">
        <v>323</v>
      </c>
      <c r="I381">
        <v>160</v>
      </c>
      <c r="J381">
        <v>836</v>
      </c>
      <c r="K381">
        <v>69.179770619902783</v>
      </c>
      <c r="L381">
        <v>4.5454545454545459</v>
      </c>
      <c r="M381">
        <v>31.737425122413526</v>
      </c>
      <c r="N381">
        <f t="shared" si="20"/>
        <v>3</v>
      </c>
      <c r="O381">
        <f t="shared" si="21"/>
        <v>1</v>
      </c>
      <c r="P381">
        <f t="shared" si="22"/>
        <v>2</v>
      </c>
    </row>
    <row r="382" spans="1:16" x14ac:dyDescent="0.4">
      <c r="A382" t="s">
        <v>1050</v>
      </c>
      <c r="B382" t="s">
        <v>1051</v>
      </c>
      <c r="C382" t="s">
        <v>64</v>
      </c>
      <c r="D382" s="1">
        <v>40573</v>
      </c>
      <c r="E382">
        <v>2</v>
      </c>
      <c r="F382">
        <v>1</v>
      </c>
      <c r="G382">
        <v>3</v>
      </c>
      <c r="H382">
        <v>323</v>
      </c>
      <c r="I382">
        <v>160</v>
      </c>
      <c r="J382">
        <v>836</v>
      </c>
      <c r="K382">
        <v>59.292229467271376</v>
      </c>
      <c r="L382">
        <v>6.9786535303776684</v>
      </c>
      <c r="M382">
        <v>27.811928840831616</v>
      </c>
      <c r="N382">
        <f t="shared" si="20"/>
        <v>3</v>
      </c>
      <c r="O382">
        <f t="shared" si="21"/>
        <v>1</v>
      </c>
      <c r="P382">
        <f t="shared" si="22"/>
        <v>1</v>
      </c>
    </row>
    <row r="383" spans="1:16" x14ac:dyDescent="0.4">
      <c r="A383" t="s">
        <v>111</v>
      </c>
      <c r="B383" t="s">
        <v>112</v>
      </c>
      <c r="C383" t="s">
        <v>40</v>
      </c>
      <c r="D383" s="1">
        <v>40584</v>
      </c>
      <c r="E383">
        <v>2</v>
      </c>
      <c r="F383">
        <v>1</v>
      </c>
      <c r="G383">
        <v>3</v>
      </c>
      <c r="H383">
        <v>323</v>
      </c>
      <c r="I383">
        <v>160</v>
      </c>
      <c r="J383">
        <v>836</v>
      </c>
      <c r="K383">
        <v>25.673151184121416</v>
      </c>
      <c r="L383">
        <v>44.268774703557312</v>
      </c>
      <c r="M383">
        <v>48.163167437139052</v>
      </c>
      <c r="N383">
        <f t="shared" si="20"/>
        <v>1</v>
      </c>
      <c r="O383">
        <f t="shared" si="21"/>
        <v>2</v>
      </c>
      <c r="P383">
        <f t="shared" si="22"/>
        <v>2</v>
      </c>
    </row>
    <row r="384" spans="1:16" x14ac:dyDescent="0.4">
      <c r="A384" t="s">
        <v>1052</v>
      </c>
      <c r="B384" t="s">
        <v>1053</v>
      </c>
      <c r="C384" t="s">
        <v>40</v>
      </c>
      <c r="D384" s="1">
        <v>40624</v>
      </c>
      <c r="E384">
        <v>2</v>
      </c>
      <c r="F384">
        <v>1</v>
      </c>
      <c r="G384">
        <v>3</v>
      </c>
      <c r="H384">
        <v>323</v>
      </c>
      <c r="I384">
        <v>160</v>
      </c>
      <c r="J384">
        <v>836</v>
      </c>
      <c r="K384">
        <v>53.304317713631157</v>
      </c>
      <c r="L384">
        <v>47.430830039525695</v>
      </c>
      <c r="M384">
        <v>46.193122629033724</v>
      </c>
      <c r="N384">
        <f t="shared" si="20"/>
        <v>3</v>
      </c>
      <c r="O384">
        <f t="shared" si="21"/>
        <v>2</v>
      </c>
      <c r="P384">
        <f t="shared" si="22"/>
        <v>2</v>
      </c>
    </row>
    <row r="385" spans="1:16" x14ac:dyDescent="0.4">
      <c r="A385" t="s">
        <v>574</v>
      </c>
      <c r="B385" t="s">
        <v>575</v>
      </c>
      <c r="C385" t="s">
        <v>40</v>
      </c>
      <c r="D385" s="1">
        <v>40631</v>
      </c>
      <c r="E385">
        <v>2</v>
      </c>
      <c r="F385">
        <v>1</v>
      </c>
      <c r="G385">
        <v>3</v>
      </c>
      <c r="H385">
        <v>323</v>
      </c>
      <c r="I385">
        <v>160</v>
      </c>
      <c r="J385">
        <v>836</v>
      </c>
      <c r="K385">
        <v>69.608330461906277</v>
      </c>
      <c r="L385">
        <v>85.177865612648219</v>
      </c>
      <c r="M385">
        <v>49.507913267387067</v>
      </c>
      <c r="N385">
        <f t="shared" si="20"/>
        <v>3</v>
      </c>
      <c r="O385">
        <f t="shared" si="21"/>
        <v>3</v>
      </c>
      <c r="P385">
        <f t="shared" si="22"/>
        <v>2</v>
      </c>
    </row>
    <row r="386" spans="1:16" x14ac:dyDescent="0.4">
      <c r="A386" t="s">
        <v>1054</v>
      </c>
      <c r="B386" t="s">
        <v>1055</v>
      </c>
      <c r="C386" t="s">
        <v>40</v>
      </c>
      <c r="D386" s="1">
        <v>40634</v>
      </c>
      <c r="E386">
        <v>2</v>
      </c>
      <c r="F386">
        <v>1</v>
      </c>
      <c r="G386">
        <v>3</v>
      </c>
      <c r="H386">
        <v>323</v>
      </c>
      <c r="I386">
        <v>160</v>
      </c>
      <c r="J386">
        <v>836</v>
      </c>
      <c r="K386">
        <v>84.756991171502634</v>
      </c>
      <c r="L386">
        <v>83.794466403162062</v>
      </c>
      <c r="M386">
        <v>44.402028902040009</v>
      </c>
      <c r="N386">
        <f t="shared" si="20"/>
        <v>3</v>
      </c>
      <c r="O386">
        <f t="shared" si="21"/>
        <v>3</v>
      </c>
      <c r="P386">
        <f t="shared" si="22"/>
        <v>2</v>
      </c>
    </row>
    <row r="387" spans="1:16" x14ac:dyDescent="0.4">
      <c r="A387" t="s">
        <v>71</v>
      </c>
      <c r="B387" t="s">
        <v>72</v>
      </c>
      <c r="C387" t="s">
        <v>40</v>
      </c>
      <c r="D387" s="1">
        <v>40654</v>
      </c>
      <c r="E387">
        <v>2</v>
      </c>
      <c r="F387">
        <v>1</v>
      </c>
      <c r="G387">
        <v>3</v>
      </c>
      <c r="H387">
        <v>323</v>
      </c>
      <c r="I387">
        <v>160</v>
      </c>
      <c r="J387">
        <v>836</v>
      </c>
      <c r="K387">
        <v>35.296352796873272</v>
      </c>
      <c r="L387">
        <v>13.83399209486166</v>
      </c>
      <c r="M387">
        <v>47.052785772866329</v>
      </c>
      <c r="N387">
        <f t="shared" ref="N387:N450" si="23">IF(AND(K387&gt;0,K387&lt;30),1,IF(AND(K387&gt;=30,K387&lt;50),2,IF(K387&gt;=50,3,0)))</f>
        <v>2</v>
      </c>
      <c r="O387">
        <f t="shared" ref="O387:O450" si="24">IF(AND(L387&gt;0,L387&lt;30),1,IF(AND(L387&gt;=30,L387&lt;50),2,IF(L387&gt;=50,3,0)))</f>
        <v>1</v>
      </c>
      <c r="P387">
        <f t="shared" ref="P387:P450" si="25">IF(AND(M387&gt;0,M387&lt;30),1,IF(AND(M387&gt;=30,M387&lt;50),2,IF(M387&gt;=50,3,0)))</f>
        <v>2</v>
      </c>
    </row>
    <row r="388" spans="1:16" x14ac:dyDescent="0.4">
      <c r="A388" t="s">
        <v>1056</v>
      </c>
      <c r="B388" t="s">
        <v>1057</v>
      </c>
      <c r="C388" t="s">
        <v>40</v>
      </c>
      <c r="D388" s="1">
        <v>40655</v>
      </c>
      <c r="E388">
        <v>2</v>
      </c>
      <c r="F388">
        <v>1</v>
      </c>
      <c r="G388">
        <v>3</v>
      </c>
      <c r="H388">
        <v>323</v>
      </c>
      <c r="I388">
        <v>160</v>
      </c>
      <c r="J388">
        <v>836</v>
      </c>
      <c r="K388">
        <v>62.529104732955567</v>
      </c>
      <c r="L388">
        <v>87.747035573122531</v>
      </c>
      <c r="M388">
        <v>25.387561977078942</v>
      </c>
      <c r="N388">
        <f t="shared" si="23"/>
        <v>3</v>
      </c>
      <c r="O388">
        <f t="shared" si="24"/>
        <v>3</v>
      </c>
      <c r="P388">
        <f t="shared" si="25"/>
        <v>1</v>
      </c>
    </row>
    <row r="389" spans="1:16" x14ac:dyDescent="0.4">
      <c r="A389" t="s">
        <v>398</v>
      </c>
      <c r="B389" t="s">
        <v>399</v>
      </c>
      <c r="C389" t="s">
        <v>40</v>
      </c>
      <c r="D389" s="1">
        <v>40655</v>
      </c>
      <c r="E389">
        <v>2</v>
      </c>
      <c r="F389">
        <v>1</v>
      </c>
      <c r="G389">
        <v>3</v>
      </c>
      <c r="H389">
        <v>323</v>
      </c>
      <c r="I389">
        <v>160</v>
      </c>
      <c r="J389">
        <v>836</v>
      </c>
      <c r="K389">
        <v>70.538424859963044</v>
      </c>
      <c r="L389">
        <v>59.48616600790514</v>
      </c>
      <c r="M389">
        <v>42.04680020896717</v>
      </c>
      <c r="N389">
        <f t="shared" si="23"/>
        <v>3</v>
      </c>
      <c r="O389">
        <f t="shared" si="24"/>
        <v>3</v>
      </c>
      <c r="P389">
        <f t="shared" si="25"/>
        <v>2</v>
      </c>
    </row>
    <row r="390" spans="1:16" x14ac:dyDescent="0.4">
      <c r="A390" t="s">
        <v>1058</v>
      </c>
      <c r="B390" t="s">
        <v>1059</v>
      </c>
      <c r="C390" t="s">
        <v>40</v>
      </c>
      <c r="D390" s="1">
        <v>40668</v>
      </c>
      <c r="E390">
        <v>2</v>
      </c>
      <c r="F390">
        <v>1</v>
      </c>
      <c r="G390">
        <v>3</v>
      </c>
      <c r="H390">
        <v>323</v>
      </c>
      <c r="I390">
        <v>160</v>
      </c>
      <c r="J390">
        <v>836</v>
      </c>
      <c r="K390">
        <v>54.704988637414452</v>
      </c>
      <c r="L390">
        <v>38.932806324110672</v>
      </c>
      <c r="M390">
        <v>39.182290561192431</v>
      </c>
      <c r="N390">
        <f t="shared" si="23"/>
        <v>3</v>
      </c>
      <c r="O390">
        <f t="shared" si="24"/>
        <v>2</v>
      </c>
      <c r="P390">
        <f t="shared" si="25"/>
        <v>2</v>
      </c>
    </row>
    <row r="391" spans="1:16" x14ac:dyDescent="0.4">
      <c r="A391" t="s">
        <v>400</v>
      </c>
      <c r="B391" t="s">
        <v>401</v>
      </c>
      <c r="C391" t="s">
        <v>40</v>
      </c>
      <c r="D391" s="1">
        <v>40669</v>
      </c>
      <c r="E391">
        <v>2</v>
      </c>
      <c r="F391">
        <v>1</v>
      </c>
      <c r="G391">
        <v>3</v>
      </c>
      <c r="H391">
        <v>323</v>
      </c>
      <c r="I391">
        <v>160</v>
      </c>
      <c r="J391">
        <v>836</v>
      </c>
      <c r="K391">
        <v>46.414180837395953</v>
      </c>
      <c r="L391">
        <v>73.715415019762844</v>
      </c>
      <c r="M391">
        <v>52.830408392483243</v>
      </c>
      <c r="N391">
        <f t="shared" si="23"/>
        <v>2</v>
      </c>
      <c r="O391">
        <f t="shared" si="24"/>
        <v>3</v>
      </c>
      <c r="P391">
        <f t="shared" si="25"/>
        <v>3</v>
      </c>
    </row>
    <row r="392" spans="1:16" x14ac:dyDescent="0.4">
      <c r="A392" t="s">
        <v>310</v>
      </c>
      <c r="B392" t="s">
        <v>311</v>
      </c>
      <c r="C392" t="s">
        <v>43</v>
      </c>
      <c r="D392" s="1">
        <v>40669</v>
      </c>
      <c r="E392">
        <v>2</v>
      </c>
      <c r="F392">
        <v>1</v>
      </c>
      <c r="G392">
        <v>3</v>
      </c>
      <c r="H392">
        <v>323</v>
      </c>
      <c r="I392">
        <v>160</v>
      </c>
      <c r="J392">
        <v>836</v>
      </c>
      <c r="K392">
        <v>38.433318118155924</v>
      </c>
      <c r="L392">
        <v>43.654822335025379</v>
      </c>
      <c r="M392">
        <v>47.725278403392835</v>
      </c>
      <c r="N392">
        <f t="shared" si="23"/>
        <v>2</v>
      </c>
      <c r="O392">
        <f t="shared" si="24"/>
        <v>2</v>
      </c>
      <c r="P392">
        <f t="shared" si="25"/>
        <v>2</v>
      </c>
    </row>
    <row r="393" spans="1:16" x14ac:dyDescent="0.4">
      <c r="A393" t="s">
        <v>1060</v>
      </c>
      <c r="B393" t="s">
        <v>1061</v>
      </c>
      <c r="C393" t="s">
        <v>64</v>
      </c>
      <c r="D393" s="1">
        <v>40673</v>
      </c>
      <c r="E393">
        <v>2</v>
      </c>
      <c r="F393">
        <v>1</v>
      </c>
      <c r="G393">
        <v>3</v>
      </c>
      <c r="H393">
        <v>323</v>
      </c>
      <c r="I393">
        <v>160</v>
      </c>
      <c r="J393">
        <v>836</v>
      </c>
      <c r="K393">
        <v>80.377650166016437</v>
      </c>
      <c r="L393">
        <v>75.287356321839084</v>
      </c>
      <c r="M393">
        <v>39.713866027490752</v>
      </c>
      <c r="N393">
        <f t="shared" si="23"/>
        <v>3</v>
      </c>
      <c r="O393">
        <f t="shared" si="24"/>
        <v>3</v>
      </c>
      <c r="P393">
        <f t="shared" si="25"/>
        <v>2</v>
      </c>
    </row>
    <row r="394" spans="1:16" x14ac:dyDescent="0.4">
      <c r="A394" t="s">
        <v>214</v>
      </c>
      <c r="B394" t="s">
        <v>215</v>
      </c>
      <c r="C394" t="s">
        <v>40</v>
      </c>
      <c r="D394" s="1">
        <v>40680</v>
      </c>
      <c r="E394">
        <v>2</v>
      </c>
      <c r="F394">
        <v>1</v>
      </c>
      <c r="G394">
        <v>3</v>
      </c>
      <c r="H394">
        <v>323</v>
      </c>
      <c r="I394">
        <v>160</v>
      </c>
      <c r="J394">
        <v>836</v>
      </c>
      <c r="K394">
        <v>36.225851384578874</v>
      </c>
      <c r="L394">
        <v>94.071146245059282</v>
      </c>
      <c r="M394">
        <v>40.433541607570923</v>
      </c>
      <c r="N394">
        <f t="shared" si="23"/>
        <v>2</v>
      </c>
      <c r="O394">
        <f t="shared" si="24"/>
        <v>3</v>
      </c>
      <c r="P394">
        <f t="shared" si="25"/>
        <v>2</v>
      </c>
    </row>
    <row r="395" spans="1:16" x14ac:dyDescent="0.4">
      <c r="A395" t="s">
        <v>312</v>
      </c>
      <c r="B395" t="s">
        <v>313</v>
      </c>
      <c r="C395" t="s">
        <v>40</v>
      </c>
      <c r="D395" s="1">
        <v>40680</v>
      </c>
      <c r="E395">
        <v>2</v>
      </c>
      <c r="F395">
        <v>1</v>
      </c>
      <c r="G395">
        <v>3</v>
      </c>
      <c r="H395">
        <v>323</v>
      </c>
      <c r="I395">
        <v>160</v>
      </c>
      <c r="J395">
        <v>836</v>
      </c>
      <c r="K395">
        <v>11.157327167212797</v>
      </c>
      <c r="L395">
        <v>69.960474308300391</v>
      </c>
      <c r="M395">
        <v>68.495722819823712</v>
      </c>
      <c r="N395">
        <f t="shared" si="23"/>
        <v>1</v>
      </c>
      <c r="O395">
        <f t="shared" si="24"/>
        <v>3</v>
      </c>
      <c r="P395">
        <f t="shared" si="25"/>
        <v>3</v>
      </c>
    </row>
    <row r="396" spans="1:16" x14ac:dyDescent="0.4">
      <c r="A396" t="s">
        <v>576</v>
      </c>
      <c r="B396" t="s">
        <v>577</v>
      </c>
      <c r="C396" t="s">
        <v>40</v>
      </c>
      <c r="D396" s="1">
        <v>40686</v>
      </c>
      <c r="E396">
        <v>2</v>
      </c>
      <c r="F396">
        <v>1</v>
      </c>
      <c r="G396">
        <v>3</v>
      </c>
      <c r="H396">
        <v>323</v>
      </c>
      <c r="I396">
        <v>160</v>
      </c>
      <c r="J396">
        <v>836</v>
      </c>
      <c r="K396">
        <v>69.502503522771747</v>
      </c>
      <c r="L396">
        <v>74.110671936758891</v>
      </c>
      <c r="M396">
        <v>61.146453342848034</v>
      </c>
      <c r="N396">
        <f t="shared" si="23"/>
        <v>3</v>
      </c>
      <c r="O396">
        <f t="shared" si="24"/>
        <v>3</v>
      </c>
      <c r="P396">
        <f t="shared" si="25"/>
        <v>3</v>
      </c>
    </row>
    <row r="397" spans="1:16" x14ac:dyDescent="0.4">
      <c r="A397" t="s">
        <v>578</v>
      </c>
      <c r="B397" t="s">
        <v>579</v>
      </c>
      <c r="C397" t="s">
        <v>40</v>
      </c>
      <c r="D397" s="1">
        <v>40694</v>
      </c>
      <c r="E397">
        <v>2</v>
      </c>
      <c r="F397">
        <v>1</v>
      </c>
      <c r="G397">
        <v>3</v>
      </c>
      <c r="H397">
        <v>323</v>
      </c>
      <c r="I397">
        <v>160</v>
      </c>
      <c r="J397">
        <v>836</v>
      </c>
      <c r="K397">
        <v>53.972362320884507</v>
      </c>
      <c r="L397">
        <v>60.079051383399211</v>
      </c>
      <c r="M397">
        <v>25.228935383512212</v>
      </c>
      <c r="N397">
        <f t="shared" si="23"/>
        <v>3</v>
      </c>
      <c r="O397">
        <f t="shared" si="24"/>
        <v>3</v>
      </c>
      <c r="P397">
        <f t="shared" si="25"/>
        <v>1</v>
      </c>
    </row>
    <row r="398" spans="1:16" x14ac:dyDescent="0.4">
      <c r="A398" t="s">
        <v>1062</v>
      </c>
      <c r="B398" t="s">
        <v>1063</v>
      </c>
      <c r="C398" t="s">
        <v>40</v>
      </c>
      <c r="D398" s="1">
        <v>40694</v>
      </c>
      <c r="E398">
        <v>2</v>
      </c>
      <c r="F398">
        <v>1</v>
      </c>
      <c r="G398">
        <v>3</v>
      </c>
      <c r="H398">
        <v>323</v>
      </c>
      <c r="I398">
        <v>160</v>
      </c>
      <c r="J398">
        <v>836</v>
      </c>
      <c r="K398">
        <v>59.539838101452048</v>
      </c>
      <c r="L398">
        <v>84.189723320158109</v>
      </c>
      <c r="M398">
        <v>59.117874165811848</v>
      </c>
      <c r="N398">
        <f t="shared" si="23"/>
        <v>3</v>
      </c>
      <c r="O398">
        <f t="shared" si="24"/>
        <v>3</v>
      </c>
      <c r="P398">
        <f t="shared" si="25"/>
        <v>3</v>
      </c>
    </row>
    <row r="399" spans="1:16" x14ac:dyDescent="0.4">
      <c r="A399" t="s">
        <v>1064</v>
      </c>
      <c r="B399" t="s">
        <v>1065</v>
      </c>
      <c r="C399" t="s">
        <v>40</v>
      </c>
      <c r="D399" s="1">
        <v>40707</v>
      </c>
      <c r="E399">
        <v>2</v>
      </c>
      <c r="F399">
        <v>1</v>
      </c>
      <c r="G399">
        <v>3</v>
      </c>
      <c r="H399">
        <v>323</v>
      </c>
      <c r="I399">
        <v>160</v>
      </c>
      <c r="J399">
        <v>836</v>
      </c>
      <c r="K399">
        <v>66.951922065250884</v>
      </c>
      <c r="L399">
        <v>82.608695652173907</v>
      </c>
      <c r="M399">
        <v>33.207672029009849</v>
      </c>
      <c r="N399">
        <f t="shared" si="23"/>
        <v>3</v>
      </c>
      <c r="O399">
        <f t="shared" si="24"/>
        <v>3</v>
      </c>
      <c r="P399">
        <f t="shared" si="25"/>
        <v>2</v>
      </c>
    </row>
    <row r="400" spans="1:16" x14ac:dyDescent="0.4">
      <c r="A400" t="s">
        <v>132</v>
      </c>
      <c r="B400" t="s">
        <v>133</v>
      </c>
      <c r="C400" t="s">
        <v>40</v>
      </c>
      <c r="D400" s="1">
        <v>40708</v>
      </c>
      <c r="E400">
        <v>2</v>
      </c>
      <c r="F400">
        <v>1</v>
      </c>
      <c r="G400">
        <v>3</v>
      </c>
      <c r="H400">
        <v>323</v>
      </c>
      <c r="I400">
        <v>160</v>
      </c>
      <c r="J400">
        <v>836</v>
      </c>
      <c r="K400">
        <v>32.068968664336126</v>
      </c>
      <c r="L400">
        <v>38.735177865612648</v>
      </c>
      <c r="M400">
        <v>35.799074278634187</v>
      </c>
      <c r="N400">
        <f t="shared" si="23"/>
        <v>2</v>
      </c>
      <c r="O400">
        <f t="shared" si="24"/>
        <v>2</v>
      </c>
      <c r="P400">
        <f t="shared" si="25"/>
        <v>2</v>
      </c>
    </row>
    <row r="401" spans="1:16" x14ac:dyDescent="0.4">
      <c r="A401" t="s">
        <v>314</v>
      </c>
      <c r="B401" t="s">
        <v>315</v>
      </c>
      <c r="C401" t="s">
        <v>40</v>
      </c>
      <c r="D401" s="1">
        <v>40709</v>
      </c>
      <c r="E401">
        <v>2</v>
      </c>
      <c r="F401">
        <v>1</v>
      </c>
      <c r="G401">
        <v>3</v>
      </c>
      <c r="H401">
        <v>323</v>
      </c>
      <c r="I401">
        <v>160</v>
      </c>
      <c r="J401">
        <v>836</v>
      </c>
      <c r="K401">
        <v>19.655511409337723</v>
      </c>
      <c r="L401">
        <v>28.063241106719367</v>
      </c>
      <c r="M401">
        <v>51.429875312716511</v>
      </c>
      <c r="N401">
        <f t="shared" si="23"/>
        <v>1</v>
      </c>
      <c r="O401">
        <f t="shared" si="24"/>
        <v>1</v>
      </c>
      <c r="P401">
        <f t="shared" si="25"/>
        <v>3</v>
      </c>
    </row>
    <row r="402" spans="1:16" x14ac:dyDescent="0.4">
      <c r="A402" t="s">
        <v>104</v>
      </c>
      <c r="B402" t="s">
        <v>105</v>
      </c>
      <c r="C402" t="s">
        <v>43</v>
      </c>
      <c r="D402" s="1">
        <v>40710</v>
      </c>
      <c r="E402">
        <v>2</v>
      </c>
      <c r="F402">
        <v>1</v>
      </c>
      <c r="G402">
        <v>3</v>
      </c>
      <c r="H402">
        <v>323</v>
      </c>
      <c r="I402">
        <v>160</v>
      </c>
      <c r="J402">
        <v>836</v>
      </c>
      <c r="K402">
        <v>20.568532906188231</v>
      </c>
      <c r="L402">
        <v>75.634517766497467</v>
      </c>
      <c r="M402">
        <v>32.570993005867464</v>
      </c>
      <c r="N402">
        <f t="shared" si="23"/>
        <v>1</v>
      </c>
      <c r="O402">
        <f t="shared" si="24"/>
        <v>3</v>
      </c>
      <c r="P402">
        <f t="shared" si="25"/>
        <v>2</v>
      </c>
    </row>
    <row r="403" spans="1:16" x14ac:dyDescent="0.4">
      <c r="A403" t="s">
        <v>82</v>
      </c>
      <c r="B403" t="s">
        <v>83</v>
      </c>
      <c r="C403" t="s">
        <v>40</v>
      </c>
      <c r="D403" s="1">
        <v>40716</v>
      </c>
      <c r="E403">
        <v>2</v>
      </c>
      <c r="F403">
        <v>1</v>
      </c>
      <c r="G403">
        <v>3</v>
      </c>
      <c r="H403">
        <v>323</v>
      </c>
      <c r="I403">
        <v>160</v>
      </c>
      <c r="J403">
        <v>836</v>
      </c>
      <c r="K403">
        <v>13.34081712462269</v>
      </c>
      <c r="L403">
        <v>49.011857707509883</v>
      </c>
      <c r="M403">
        <v>36.16012725573075</v>
      </c>
      <c r="N403">
        <f t="shared" si="23"/>
        <v>1</v>
      </c>
      <c r="O403">
        <f t="shared" si="24"/>
        <v>2</v>
      </c>
      <c r="P403">
        <f t="shared" si="25"/>
        <v>2</v>
      </c>
    </row>
    <row r="404" spans="1:16" x14ac:dyDescent="0.4">
      <c r="A404" t="s">
        <v>1066</v>
      </c>
      <c r="B404" t="s">
        <v>1067</v>
      </c>
      <c r="C404" t="s">
        <v>40</v>
      </c>
      <c r="D404" s="1">
        <v>40737</v>
      </c>
      <c r="E404">
        <v>2</v>
      </c>
      <c r="F404">
        <v>1</v>
      </c>
      <c r="G404">
        <v>3</v>
      </c>
      <c r="H404">
        <v>323</v>
      </c>
      <c r="I404">
        <v>160</v>
      </c>
      <c r="J404">
        <v>836</v>
      </c>
      <c r="K404">
        <v>60.613295490766063</v>
      </c>
      <c r="L404">
        <v>12.845849802371541</v>
      </c>
      <c r="M404">
        <v>42.81528045024389</v>
      </c>
      <c r="N404">
        <f t="shared" si="23"/>
        <v>3</v>
      </c>
      <c r="O404">
        <f t="shared" si="24"/>
        <v>1</v>
      </c>
      <c r="P404">
        <f t="shared" si="25"/>
        <v>2</v>
      </c>
    </row>
    <row r="405" spans="1:16" x14ac:dyDescent="0.4">
      <c r="A405" t="s">
        <v>402</v>
      </c>
      <c r="B405" t="s">
        <v>403</v>
      </c>
      <c r="C405" t="s">
        <v>40</v>
      </c>
      <c r="D405" s="1">
        <v>40737</v>
      </c>
      <c r="E405">
        <v>2</v>
      </c>
      <c r="F405">
        <v>1</v>
      </c>
      <c r="G405">
        <v>3</v>
      </c>
      <c r="H405">
        <v>323</v>
      </c>
      <c r="I405">
        <v>160</v>
      </c>
      <c r="J405">
        <v>836</v>
      </c>
      <c r="K405">
        <v>67.680663560531656</v>
      </c>
      <c r="L405">
        <v>86.56126482213439</v>
      </c>
      <c r="M405">
        <v>43.35355613000231</v>
      </c>
      <c r="N405">
        <f t="shared" si="23"/>
        <v>3</v>
      </c>
      <c r="O405">
        <f t="shared" si="24"/>
        <v>3</v>
      </c>
      <c r="P405">
        <f t="shared" si="25"/>
        <v>2</v>
      </c>
    </row>
    <row r="406" spans="1:16" x14ac:dyDescent="0.4">
      <c r="A406" t="s">
        <v>580</v>
      </c>
      <c r="B406" t="s">
        <v>581</v>
      </c>
      <c r="C406" t="s">
        <v>43</v>
      </c>
      <c r="D406" s="1">
        <v>40751</v>
      </c>
      <c r="E406">
        <v>2</v>
      </c>
      <c r="F406">
        <v>1</v>
      </c>
      <c r="G406">
        <v>3</v>
      </c>
      <c r="H406">
        <v>323</v>
      </c>
      <c r="I406">
        <v>160</v>
      </c>
      <c r="J406">
        <v>836</v>
      </c>
      <c r="K406">
        <v>55.326625587021148</v>
      </c>
      <c r="L406">
        <v>84.263959390862951</v>
      </c>
      <c r="M406">
        <v>60.261079858496572</v>
      </c>
      <c r="N406">
        <f t="shared" si="23"/>
        <v>3</v>
      </c>
      <c r="O406">
        <f t="shared" si="24"/>
        <v>3</v>
      </c>
      <c r="P406">
        <f t="shared" si="25"/>
        <v>3</v>
      </c>
    </row>
    <row r="407" spans="1:16" x14ac:dyDescent="0.4">
      <c r="A407" t="s">
        <v>1068</v>
      </c>
      <c r="B407" t="s">
        <v>1069</v>
      </c>
      <c r="C407" t="s">
        <v>40</v>
      </c>
      <c r="D407" s="1">
        <v>40753</v>
      </c>
      <c r="E407">
        <v>2</v>
      </c>
      <c r="F407">
        <v>1</v>
      </c>
      <c r="G407">
        <v>3</v>
      </c>
      <c r="H407">
        <v>323</v>
      </c>
      <c r="I407">
        <v>160</v>
      </c>
      <c r="J407">
        <v>836</v>
      </c>
      <c r="K407">
        <v>46.034446448272895</v>
      </c>
      <c r="L407">
        <v>22.33201581027668</v>
      </c>
      <c r="M407">
        <v>80.162316155247552</v>
      </c>
      <c r="N407">
        <f t="shared" si="23"/>
        <v>2</v>
      </c>
      <c r="O407">
        <f t="shared" si="24"/>
        <v>1</v>
      </c>
      <c r="P407">
        <f t="shared" si="25"/>
        <v>3</v>
      </c>
    </row>
    <row r="408" spans="1:16" x14ac:dyDescent="0.4">
      <c r="A408" t="s">
        <v>1070</v>
      </c>
      <c r="B408" t="s">
        <v>1071</v>
      </c>
      <c r="C408" t="s">
        <v>40</v>
      </c>
      <c r="D408" s="1">
        <v>40756</v>
      </c>
      <c r="E408">
        <v>2</v>
      </c>
      <c r="F408">
        <v>1</v>
      </c>
      <c r="G408">
        <v>3</v>
      </c>
      <c r="H408">
        <v>323</v>
      </c>
      <c r="I408">
        <v>160</v>
      </c>
      <c r="J408">
        <v>836</v>
      </c>
      <c r="K408">
        <v>53.509366018180486</v>
      </c>
      <c r="L408">
        <v>40.118577075098813</v>
      </c>
      <c r="M408">
        <v>30.763080709400494</v>
      </c>
      <c r="N408">
        <f t="shared" si="23"/>
        <v>3</v>
      </c>
      <c r="O408">
        <f t="shared" si="24"/>
        <v>2</v>
      </c>
      <c r="P408">
        <f t="shared" si="25"/>
        <v>2</v>
      </c>
    </row>
    <row r="409" spans="1:16" x14ac:dyDescent="0.4">
      <c r="A409" t="s">
        <v>1072</v>
      </c>
      <c r="B409" t="s">
        <v>1073</v>
      </c>
      <c r="C409" t="s">
        <v>64</v>
      </c>
      <c r="D409" s="1">
        <v>40757</v>
      </c>
      <c r="E409">
        <v>2</v>
      </c>
      <c r="F409">
        <v>1</v>
      </c>
      <c r="G409">
        <v>3</v>
      </c>
      <c r="H409">
        <v>323</v>
      </c>
      <c r="I409">
        <v>160</v>
      </c>
      <c r="J409">
        <v>836</v>
      </c>
      <c r="K409">
        <v>71.471020496365398</v>
      </c>
      <c r="L409">
        <v>86.781609195402297</v>
      </c>
      <c r="M409">
        <v>32.950980196753569</v>
      </c>
      <c r="N409">
        <f t="shared" si="23"/>
        <v>3</v>
      </c>
      <c r="O409">
        <f t="shared" si="24"/>
        <v>3</v>
      </c>
      <c r="P409">
        <f t="shared" si="25"/>
        <v>2</v>
      </c>
    </row>
    <row r="410" spans="1:16" x14ac:dyDescent="0.4">
      <c r="A410" t="s">
        <v>1074</v>
      </c>
      <c r="B410" t="s">
        <v>1075</v>
      </c>
      <c r="C410" t="s">
        <v>40</v>
      </c>
      <c r="D410" s="1">
        <v>40758</v>
      </c>
      <c r="E410">
        <v>2</v>
      </c>
      <c r="F410">
        <v>1</v>
      </c>
      <c r="G410">
        <v>3</v>
      </c>
      <c r="H410">
        <v>323</v>
      </c>
      <c r="I410">
        <v>160</v>
      </c>
      <c r="J410">
        <v>836</v>
      </c>
      <c r="K410">
        <v>8.682806239202014</v>
      </c>
      <c r="L410">
        <v>32.411067193675891</v>
      </c>
      <c r="M410">
        <v>66.545068147429518</v>
      </c>
      <c r="N410">
        <f t="shared" si="23"/>
        <v>1</v>
      </c>
      <c r="O410">
        <f t="shared" si="24"/>
        <v>2</v>
      </c>
      <c r="P410">
        <f t="shared" si="25"/>
        <v>3</v>
      </c>
    </row>
    <row r="411" spans="1:16" x14ac:dyDescent="0.4">
      <c r="A411" t="s">
        <v>1076</v>
      </c>
      <c r="B411" t="s">
        <v>1077</v>
      </c>
      <c r="C411" t="s">
        <v>64</v>
      </c>
      <c r="D411" s="1">
        <v>40759</v>
      </c>
      <c r="E411">
        <v>2</v>
      </c>
      <c r="F411">
        <v>1</v>
      </c>
      <c r="G411">
        <v>3</v>
      </c>
      <c r="H411">
        <v>323</v>
      </c>
      <c r="I411">
        <v>160</v>
      </c>
      <c r="J411">
        <v>836</v>
      </c>
      <c r="K411">
        <v>87.852472047804255</v>
      </c>
      <c r="L411">
        <v>69.047619047619051</v>
      </c>
      <c r="M411">
        <v>49.339198733509193</v>
      </c>
      <c r="N411">
        <f t="shared" si="23"/>
        <v>3</v>
      </c>
      <c r="O411">
        <f t="shared" si="24"/>
        <v>3</v>
      </c>
      <c r="P411">
        <f t="shared" si="25"/>
        <v>2</v>
      </c>
    </row>
    <row r="412" spans="1:16" x14ac:dyDescent="0.4">
      <c r="A412" t="s">
        <v>404</v>
      </c>
      <c r="B412" t="s">
        <v>405</v>
      </c>
      <c r="C412" t="s">
        <v>40</v>
      </c>
      <c r="D412" s="1">
        <v>40764</v>
      </c>
      <c r="E412">
        <v>2</v>
      </c>
      <c r="F412">
        <v>1</v>
      </c>
      <c r="G412">
        <v>3</v>
      </c>
      <c r="H412">
        <v>323</v>
      </c>
      <c r="I412">
        <v>160</v>
      </c>
      <c r="J412">
        <v>836</v>
      </c>
      <c r="K412">
        <v>48.877222945173223</v>
      </c>
      <c r="L412">
        <v>76.284584980237156</v>
      </c>
      <c r="M412">
        <v>51.893766304615546</v>
      </c>
      <c r="N412">
        <f t="shared" si="23"/>
        <v>2</v>
      </c>
      <c r="O412">
        <f t="shared" si="24"/>
        <v>3</v>
      </c>
      <c r="P412">
        <f t="shared" si="25"/>
        <v>3</v>
      </c>
    </row>
    <row r="413" spans="1:16" x14ac:dyDescent="0.4">
      <c r="A413" t="s">
        <v>582</v>
      </c>
      <c r="B413" t="s">
        <v>583</v>
      </c>
      <c r="C413" t="s">
        <v>40</v>
      </c>
      <c r="D413" s="1">
        <v>40765</v>
      </c>
      <c r="E413">
        <v>2</v>
      </c>
      <c r="F413">
        <v>1</v>
      </c>
      <c r="G413">
        <v>3</v>
      </c>
      <c r="H413">
        <v>323</v>
      </c>
      <c r="I413">
        <v>160</v>
      </c>
      <c r="J413">
        <v>836</v>
      </c>
      <c r="K413">
        <v>53.98112038864744</v>
      </c>
      <c r="L413">
        <v>2.1739130434782608</v>
      </c>
      <c r="M413">
        <v>43.675829554187693</v>
      </c>
      <c r="N413">
        <f t="shared" si="23"/>
        <v>3</v>
      </c>
      <c r="O413">
        <f t="shared" si="24"/>
        <v>1</v>
      </c>
      <c r="P413">
        <f t="shared" si="25"/>
        <v>2</v>
      </c>
    </row>
    <row r="414" spans="1:16" x14ac:dyDescent="0.4">
      <c r="A414" t="s">
        <v>142</v>
      </c>
      <c r="B414" t="s">
        <v>143</v>
      </c>
      <c r="C414" t="s">
        <v>40</v>
      </c>
      <c r="D414" s="1">
        <v>40771</v>
      </c>
      <c r="E414">
        <v>2</v>
      </c>
      <c r="F414">
        <v>1</v>
      </c>
      <c r="G414">
        <v>3</v>
      </c>
      <c r="H414">
        <v>323</v>
      </c>
      <c r="I414">
        <v>160</v>
      </c>
      <c r="J414">
        <v>836</v>
      </c>
      <c r="K414">
        <v>31.630676105266943</v>
      </c>
      <c r="L414">
        <v>91.897233201581031</v>
      </c>
      <c r="M414">
        <v>37.750398818926399</v>
      </c>
      <c r="N414">
        <f t="shared" si="23"/>
        <v>2</v>
      </c>
      <c r="O414">
        <f t="shared" si="24"/>
        <v>3</v>
      </c>
      <c r="P414">
        <f t="shared" si="25"/>
        <v>2</v>
      </c>
    </row>
    <row r="415" spans="1:16" x14ac:dyDescent="0.4">
      <c r="A415" t="s">
        <v>1078</v>
      </c>
      <c r="B415" t="s">
        <v>1079</v>
      </c>
      <c r="C415" t="s">
        <v>40</v>
      </c>
      <c r="D415" s="1">
        <v>40772</v>
      </c>
      <c r="E415">
        <v>2</v>
      </c>
      <c r="F415">
        <v>1</v>
      </c>
      <c r="G415">
        <v>3</v>
      </c>
      <c r="H415">
        <v>323</v>
      </c>
      <c r="I415">
        <v>160</v>
      </c>
      <c r="J415">
        <v>836</v>
      </c>
      <c r="K415">
        <v>83.189214386168103</v>
      </c>
      <c r="L415">
        <v>5.3359683794466406</v>
      </c>
      <c r="M415">
        <v>25.172712716267206</v>
      </c>
      <c r="N415">
        <f t="shared" si="23"/>
        <v>3</v>
      </c>
      <c r="O415">
        <f t="shared" si="24"/>
        <v>1</v>
      </c>
      <c r="P415">
        <f t="shared" si="25"/>
        <v>1</v>
      </c>
    </row>
    <row r="416" spans="1:16" x14ac:dyDescent="0.4">
      <c r="A416" t="s">
        <v>584</v>
      </c>
      <c r="B416" t="s">
        <v>585</v>
      </c>
      <c r="C416" t="s">
        <v>64</v>
      </c>
      <c r="D416" s="1">
        <v>40773</v>
      </c>
      <c r="E416">
        <v>2</v>
      </c>
      <c r="F416">
        <v>1</v>
      </c>
      <c r="G416">
        <v>3</v>
      </c>
      <c r="H416">
        <v>323</v>
      </c>
      <c r="I416">
        <v>160</v>
      </c>
      <c r="J416">
        <v>836</v>
      </c>
      <c r="K416">
        <v>59.119780339626651</v>
      </c>
      <c r="L416">
        <v>68.062397372742197</v>
      </c>
      <c r="M416">
        <v>62.008602143941324</v>
      </c>
      <c r="N416">
        <f t="shared" si="23"/>
        <v>3</v>
      </c>
      <c r="O416">
        <f t="shared" si="24"/>
        <v>3</v>
      </c>
      <c r="P416">
        <f t="shared" si="25"/>
        <v>3</v>
      </c>
    </row>
    <row r="417" spans="1:16" x14ac:dyDescent="0.4">
      <c r="A417" t="s">
        <v>586</v>
      </c>
      <c r="B417" t="s">
        <v>587</v>
      </c>
      <c r="C417" t="s">
        <v>40</v>
      </c>
      <c r="D417" s="1">
        <v>40787</v>
      </c>
      <c r="E417">
        <v>2</v>
      </c>
      <c r="F417">
        <v>1</v>
      </c>
      <c r="G417">
        <v>3</v>
      </c>
      <c r="H417">
        <v>323</v>
      </c>
      <c r="I417">
        <v>160</v>
      </c>
      <c r="J417">
        <v>836</v>
      </c>
      <c r="K417">
        <v>56.987889379714936</v>
      </c>
      <c r="L417">
        <v>81.027667984189719</v>
      </c>
      <c r="M417">
        <v>46.596529284729073</v>
      </c>
      <c r="N417">
        <f t="shared" si="23"/>
        <v>3</v>
      </c>
      <c r="O417">
        <f t="shared" si="24"/>
        <v>3</v>
      </c>
      <c r="P417">
        <f t="shared" si="25"/>
        <v>2</v>
      </c>
    </row>
    <row r="418" spans="1:16" x14ac:dyDescent="0.4">
      <c r="A418" t="s">
        <v>406</v>
      </c>
      <c r="B418" t="s">
        <v>407</v>
      </c>
      <c r="C418" t="s">
        <v>64</v>
      </c>
      <c r="D418" s="1">
        <v>40787</v>
      </c>
      <c r="E418">
        <v>2</v>
      </c>
      <c r="F418">
        <v>1</v>
      </c>
      <c r="G418">
        <v>3</v>
      </c>
      <c r="H418">
        <v>323</v>
      </c>
      <c r="I418">
        <v>160</v>
      </c>
      <c r="J418">
        <v>836</v>
      </c>
      <c r="K418">
        <v>60.029755246033474</v>
      </c>
      <c r="L418">
        <v>70.935960591133011</v>
      </c>
      <c r="M418">
        <v>67.163390987408221</v>
      </c>
      <c r="N418">
        <f t="shared" si="23"/>
        <v>3</v>
      </c>
      <c r="O418">
        <f t="shared" si="24"/>
        <v>3</v>
      </c>
      <c r="P418">
        <f t="shared" si="25"/>
        <v>3</v>
      </c>
    </row>
    <row r="419" spans="1:16" x14ac:dyDescent="0.4">
      <c r="A419" t="s">
        <v>1080</v>
      </c>
      <c r="B419" t="s">
        <v>1081</v>
      </c>
      <c r="C419" t="s">
        <v>40</v>
      </c>
      <c r="D419" s="1">
        <v>40792</v>
      </c>
      <c r="E419">
        <v>2</v>
      </c>
      <c r="F419">
        <v>1</v>
      </c>
      <c r="G419">
        <v>3</v>
      </c>
      <c r="H419">
        <v>323</v>
      </c>
      <c r="I419">
        <v>160</v>
      </c>
      <c r="J419">
        <v>836</v>
      </c>
      <c r="K419">
        <v>65.160227351586826</v>
      </c>
      <c r="L419">
        <v>35.968379446640313</v>
      </c>
      <c r="M419">
        <v>37.447640802862345</v>
      </c>
      <c r="N419">
        <f t="shared" si="23"/>
        <v>3</v>
      </c>
      <c r="O419">
        <f t="shared" si="24"/>
        <v>2</v>
      </c>
      <c r="P419">
        <f t="shared" si="25"/>
        <v>2</v>
      </c>
    </row>
    <row r="420" spans="1:16" x14ac:dyDescent="0.4">
      <c r="A420" t="s">
        <v>1082</v>
      </c>
      <c r="B420" t="s">
        <v>1083</v>
      </c>
      <c r="C420" t="s">
        <v>40</v>
      </c>
      <c r="D420" s="1">
        <v>40806</v>
      </c>
      <c r="E420">
        <v>2</v>
      </c>
      <c r="F420">
        <v>1</v>
      </c>
      <c r="G420">
        <v>3</v>
      </c>
      <c r="H420">
        <v>323</v>
      </c>
      <c r="I420">
        <v>160</v>
      </c>
      <c r="J420">
        <v>836</v>
      </c>
      <c r="K420">
        <v>73.231408435400297</v>
      </c>
      <c r="L420">
        <v>75.296442687747032</v>
      </c>
      <c r="M420">
        <v>31.540482954478094</v>
      </c>
      <c r="N420">
        <f t="shared" si="23"/>
        <v>3</v>
      </c>
      <c r="O420">
        <f t="shared" si="24"/>
        <v>3</v>
      </c>
      <c r="P420">
        <f t="shared" si="25"/>
        <v>2</v>
      </c>
    </row>
    <row r="421" spans="1:16" x14ac:dyDescent="0.4">
      <c r="A421" t="s">
        <v>408</v>
      </c>
      <c r="B421" t="s">
        <v>409</v>
      </c>
      <c r="C421" t="s">
        <v>40</v>
      </c>
      <c r="D421" s="1">
        <v>40806</v>
      </c>
      <c r="E421">
        <v>2</v>
      </c>
      <c r="F421">
        <v>1</v>
      </c>
      <c r="G421">
        <v>3</v>
      </c>
      <c r="H421">
        <v>323</v>
      </c>
      <c r="I421">
        <v>160</v>
      </c>
      <c r="J421">
        <v>836</v>
      </c>
      <c r="K421">
        <v>70.161208027872917</v>
      </c>
      <c r="L421">
        <v>75.889328063241109</v>
      </c>
      <c r="M421">
        <v>84.831520909203249</v>
      </c>
      <c r="N421">
        <f t="shared" si="23"/>
        <v>3</v>
      </c>
      <c r="O421">
        <f t="shared" si="24"/>
        <v>3</v>
      </c>
      <c r="P421">
        <f t="shared" si="25"/>
        <v>3</v>
      </c>
    </row>
    <row r="422" spans="1:16" x14ac:dyDescent="0.4">
      <c r="A422" t="s">
        <v>1084</v>
      </c>
      <c r="B422" t="s">
        <v>1085</v>
      </c>
      <c r="C422" t="s">
        <v>40</v>
      </c>
      <c r="D422" s="1">
        <v>40807</v>
      </c>
      <c r="E422">
        <v>2</v>
      </c>
      <c r="F422">
        <v>1</v>
      </c>
      <c r="G422">
        <v>3</v>
      </c>
      <c r="H422">
        <v>323</v>
      </c>
      <c r="I422">
        <v>160</v>
      </c>
      <c r="J422">
        <v>836</v>
      </c>
      <c r="K422">
        <v>69.525068548325308</v>
      </c>
      <c r="L422">
        <v>35.177865612648219</v>
      </c>
      <c r="M422">
        <v>32.933557960883547</v>
      </c>
      <c r="N422">
        <f t="shared" si="23"/>
        <v>3</v>
      </c>
      <c r="O422">
        <f t="shared" si="24"/>
        <v>2</v>
      </c>
      <c r="P422">
        <f t="shared" si="25"/>
        <v>2</v>
      </c>
    </row>
    <row r="423" spans="1:16" x14ac:dyDescent="0.4">
      <c r="A423" t="s">
        <v>1086</v>
      </c>
      <c r="B423" t="s">
        <v>1087</v>
      </c>
      <c r="C423" t="s">
        <v>40</v>
      </c>
      <c r="D423" s="1">
        <v>40814</v>
      </c>
      <c r="E423">
        <v>2</v>
      </c>
      <c r="F423">
        <v>1</v>
      </c>
      <c r="G423">
        <v>3</v>
      </c>
      <c r="H423">
        <v>323</v>
      </c>
      <c r="I423">
        <v>160</v>
      </c>
      <c r="J423">
        <v>836</v>
      </c>
      <c r="K423">
        <v>92.641804155071185</v>
      </c>
      <c r="L423">
        <v>45.8498023715415</v>
      </c>
      <c r="M423">
        <v>65.80144483356419</v>
      </c>
      <c r="N423">
        <f t="shared" si="23"/>
        <v>3</v>
      </c>
      <c r="O423">
        <f t="shared" si="24"/>
        <v>2</v>
      </c>
      <c r="P423">
        <f t="shared" si="25"/>
        <v>3</v>
      </c>
    </row>
    <row r="424" spans="1:16" x14ac:dyDescent="0.4">
      <c r="A424" t="s">
        <v>1088</v>
      </c>
      <c r="B424" t="s">
        <v>1089</v>
      </c>
      <c r="C424" t="s">
        <v>40</v>
      </c>
      <c r="D424" s="1">
        <v>40814</v>
      </c>
      <c r="E424">
        <v>2</v>
      </c>
      <c r="F424">
        <v>1</v>
      </c>
      <c r="G424">
        <v>3</v>
      </c>
      <c r="H424">
        <v>323</v>
      </c>
      <c r="I424">
        <v>160</v>
      </c>
      <c r="J424">
        <v>836</v>
      </c>
      <c r="K424">
        <v>72.121565286780225</v>
      </c>
      <c r="L424">
        <v>92.687747035573125</v>
      </c>
      <c r="M424">
        <v>61.515706112313865</v>
      </c>
      <c r="N424">
        <f t="shared" si="23"/>
        <v>3</v>
      </c>
      <c r="O424">
        <f t="shared" si="24"/>
        <v>3</v>
      </c>
      <c r="P424">
        <f t="shared" si="25"/>
        <v>3</v>
      </c>
    </row>
    <row r="425" spans="1:16" x14ac:dyDescent="0.4">
      <c r="A425" t="s">
        <v>410</v>
      </c>
      <c r="B425" t="s">
        <v>411</v>
      </c>
      <c r="C425" t="s">
        <v>40</v>
      </c>
      <c r="D425" s="1">
        <v>40836</v>
      </c>
      <c r="E425">
        <v>2</v>
      </c>
      <c r="F425">
        <v>1</v>
      </c>
      <c r="G425">
        <v>3</v>
      </c>
      <c r="H425">
        <v>323</v>
      </c>
      <c r="I425">
        <v>160</v>
      </c>
      <c r="J425">
        <v>836</v>
      </c>
      <c r="K425">
        <v>65.890525530559643</v>
      </c>
      <c r="L425">
        <v>1.9762845849802371</v>
      </c>
      <c r="M425">
        <v>49.773342584077511</v>
      </c>
      <c r="N425">
        <f t="shared" si="23"/>
        <v>3</v>
      </c>
      <c r="O425">
        <f t="shared" si="24"/>
        <v>1</v>
      </c>
      <c r="P425">
        <f t="shared" si="25"/>
        <v>2</v>
      </c>
    </row>
    <row r="426" spans="1:16" x14ac:dyDescent="0.4">
      <c r="A426" t="s">
        <v>1090</v>
      </c>
      <c r="B426" t="s">
        <v>1091</v>
      </c>
      <c r="C426" t="s">
        <v>40</v>
      </c>
      <c r="D426" s="1">
        <v>40840</v>
      </c>
      <c r="E426">
        <v>2</v>
      </c>
      <c r="F426">
        <v>1</v>
      </c>
      <c r="G426">
        <v>3</v>
      </c>
      <c r="H426">
        <v>323</v>
      </c>
      <c r="I426">
        <v>160</v>
      </c>
      <c r="J426">
        <v>836</v>
      </c>
      <c r="K426">
        <v>87.7215540593713</v>
      </c>
      <c r="L426">
        <v>70.158102766798422</v>
      </c>
      <c r="M426">
        <v>50.316276694623731</v>
      </c>
      <c r="N426">
        <f t="shared" si="23"/>
        <v>3</v>
      </c>
      <c r="O426">
        <f t="shared" si="24"/>
        <v>3</v>
      </c>
      <c r="P426">
        <f t="shared" si="25"/>
        <v>3</v>
      </c>
    </row>
    <row r="427" spans="1:16" x14ac:dyDescent="0.4">
      <c r="A427" t="s">
        <v>1092</v>
      </c>
      <c r="B427" t="s">
        <v>1093</v>
      </c>
      <c r="C427" t="s">
        <v>40</v>
      </c>
      <c r="D427" s="1">
        <v>40842</v>
      </c>
      <c r="E427">
        <v>2</v>
      </c>
      <c r="F427">
        <v>1</v>
      </c>
      <c r="G427">
        <v>3</v>
      </c>
      <c r="H427">
        <v>323</v>
      </c>
      <c r="I427">
        <v>160</v>
      </c>
      <c r="J427">
        <v>836</v>
      </c>
      <c r="K427">
        <v>53.032548981723949</v>
      </c>
      <c r="L427">
        <v>49.802371541501977</v>
      </c>
      <c r="M427">
        <v>60.915303041095065</v>
      </c>
      <c r="N427">
        <f t="shared" si="23"/>
        <v>3</v>
      </c>
      <c r="O427">
        <f t="shared" si="24"/>
        <v>2</v>
      </c>
      <c r="P427">
        <f t="shared" si="25"/>
        <v>3</v>
      </c>
    </row>
    <row r="428" spans="1:16" x14ac:dyDescent="0.4">
      <c r="A428" t="s">
        <v>1094</v>
      </c>
      <c r="B428" t="s">
        <v>1095</v>
      </c>
      <c r="C428" t="s">
        <v>40</v>
      </c>
      <c r="D428" s="1">
        <v>40855</v>
      </c>
      <c r="E428">
        <v>2</v>
      </c>
      <c r="F428">
        <v>1</v>
      </c>
      <c r="G428">
        <v>3</v>
      </c>
      <c r="H428">
        <v>323</v>
      </c>
      <c r="I428">
        <v>160</v>
      </c>
      <c r="J428">
        <v>836</v>
      </c>
      <c r="K428">
        <v>46.79488987582176</v>
      </c>
      <c r="L428">
        <v>65.019762845849797</v>
      </c>
      <c r="M428">
        <v>81.423537513121047</v>
      </c>
      <c r="N428">
        <f t="shared" si="23"/>
        <v>2</v>
      </c>
      <c r="O428">
        <f t="shared" si="24"/>
        <v>3</v>
      </c>
      <c r="P428">
        <f t="shared" si="25"/>
        <v>3</v>
      </c>
    </row>
    <row r="429" spans="1:16" x14ac:dyDescent="0.4">
      <c r="A429" t="s">
        <v>588</v>
      </c>
      <c r="B429" t="s">
        <v>589</v>
      </c>
      <c r="C429" t="s">
        <v>40</v>
      </c>
      <c r="D429" s="1">
        <v>40856</v>
      </c>
      <c r="E429">
        <v>2</v>
      </c>
      <c r="F429">
        <v>1</v>
      </c>
      <c r="G429">
        <v>3</v>
      </c>
      <c r="H429">
        <v>323</v>
      </c>
      <c r="I429">
        <v>160</v>
      </c>
      <c r="J429">
        <v>836</v>
      </c>
      <c r="K429">
        <v>91.468935980866576</v>
      </c>
      <c r="L429">
        <v>71.343873517786562</v>
      </c>
      <c r="M429">
        <v>18.04715547821732</v>
      </c>
      <c r="N429">
        <f t="shared" si="23"/>
        <v>3</v>
      </c>
      <c r="O429">
        <f t="shared" si="24"/>
        <v>3</v>
      </c>
      <c r="P429">
        <f t="shared" si="25"/>
        <v>1</v>
      </c>
    </row>
    <row r="430" spans="1:16" x14ac:dyDescent="0.4">
      <c r="A430" t="s">
        <v>1096</v>
      </c>
      <c r="B430" t="s">
        <v>1097</v>
      </c>
      <c r="C430" t="s">
        <v>40</v>
      </c>
      <c r="D430" s="1">
        <v>40863</v>
      </c>
      <c r="E430">
        <v>2</v>
      </c>
      <c r="F430">
        <v>1</v>
      </c>
      <c r="G430">
        <v>3</v>
      </c>
      <c r="H430">
        <v>323</v>
      </c>
      <c r="I430">
        <v>160</v>
      </c>
      <c r="J430">
        <v>836</v>
      </c>
      <c r="K430">
        <v>55.648307958872557</v>
      </c>
      <c r="L430">
        <v>71.541501976284579</v>
      </c>
      <c r="M430">
        <v>62.898379987969079</v>
      </c>
      <c r="N430">
        <f t="shared" si="23"/>
        <v>3</v>
      </c>
      <c r="O430">
        <f t="shared" si="24"/>
        <v>3</v>
      </c>
      <c r="P430">
        <f t="shared" si="25"/>
        <v>3</v>
      </c>
    </row>
    <row r="431" spans="1:16" x14ac:dyDescent="0.4">
      <c r="A431" t="s">
        <v>1098</v>
      </c>
      <c r="B431" t="s">
        <v>1099</v>
      </c>
      <c r="C431" t="s">
        <v>64</v>
      </c>
      <c r="D431" s="1">
        <v>40869</v>
      </c>
      <c r="E431">
        <v>2</v>
      </c>
      <c r="F431">
        <v>1</v>
      </c>
      <c r="G431">
        <v>3</v>
      </c>
      <c r="H431">
        <v>323</v>
      </c>
      <c r="I431">
        <v>160</v>
      </c>
      <c r="J431">
        <v>836</v>
      </c>
      <c r="K431">
        <v>70.766094652041545</v>
      </c>
      <c r="L431">
        <v>5.7471264367816088</v>
      </c>
      <c r="M431">
        <v>36.725747817526859</v>
      </c>
      <c r="N431">
        <f t="shared" si="23"/>
        <v>3</v>
      </c>
      <c r="O431">
        <f t="shared" si="24"/>
        <v>1</v>
      </c>
      <c r="P431">
        <f t="shared" si="25"/>
        <v>2</v>
      </c>
    </row>
    <row r="432" spans="1:16" x14ac:dyDescent="0.4">
      <c r="A432" t="s">
        <v>61</v>
      </c>
      <c r="B432" t="s">
        <v>62</v>
      </c>
      <c r="C432" t="s">
        <v>40</v>
      </c>
      <c r="D432" s="1">
        <v>40869</v>
      </c>
      <c r="E432">
        <v>2</v>
      </c>
      <c r="F432">
        <v>1</v>
      </c>
      <c r="G432">
        <v>3</v>
      </c>
      <c r="H432">
        <v>323</v>
      </c>
      <c r="I432">
        <v>160</v>
      </c>
      <c r="J432">
        <v>836</v>
      </c>
      <c r="K432">
        <v>5.8575321018656608</v>
      </c>
      <c r="L432">
        <v>9.8814229249011856</v>
      </c>
      <c r="M432">
        <v>55.410791017002943</v>
      </c>
      <c r="N432">
        <f t="shared" si="23"/>
        <v>1</v>
      </c>
      <c r="O432">
        <f t="shared" si="24"/>
        <v>1</v>
      </c>
      <c r="P432">
        <f t="shared" si="25"/>
        <v>3</v>
      </c>
    </row>
    <row r="433" spans="1:16" x14ac:dyDescent="0.4">
      <c r="A433" t="s">
        <v>1100</v>
      </c>
      <c r="B433" t="s">
        <v>1101</v>
      </c>
      <c r="C433" t="s">
        <v>40</v>
      </c>
      <c r="D433" s="1">
        <v>40870</v>
      </c>
      <c r="E433">
        <v>2</v>
      </c>
      <c r="F433">
        <v>1</v>
      </c>
      <c r="G433">
        <v>3</v>
      </c>
      <c r="H433">
        <v>323</v>
      </c>
      <c r="I433">
        <v>160</v>
      </c>
      <c r="J433">
        <v>836</v>
      </c>
      <c r="K433">
        <v>73.493837065155304</v>
      </c>
      <c r="L433">
        <v>38.142292490118578</v>
      </c>
      <c r="M433">
        <v>71.622650612047735</v>
      </c>
      <c r="N433">
        <f t="shared" si="23"/>
        <v>3</v>
      </c>
      <c r="O433">
        <f t="shared" si="24"/>
        <v>2</v>
      </c>
      <c r="P433">
        <f t="shared" si="25"/>
        <v>3</v>
      </c>
    </row>
    <row r="434" spans="1:16" x14ac:dyDescent="0.4">
      <c r="A434" t="s">
        <v>590</v>
      </c>
      <c r="B434" t="s">
        <v>591</v>
      </c>
      <c r="C434" t="s">
        <v>64</v>
      </c>
      <c r="D434" s="1">
        <v>40878</v>
      </c>
      <c r="E434">
        <v>2</v>
      </c>
      <c r="F434">
        <v>1</v>
      </c>
      <c r="G434">
        <v>3</v>
      </c>
      <c r="H434">
        <v>323</v>
      </c>
      <c r="I434">
        <v>160</v>
      </c>
      <c r="J434">
        <v>836</v>
      </c>
      <c r="K434">
        <v>87.095400909406948</v>
      </c>
      <c r="L434">
        <v>52.052545155993435</v>
      </c>
      <c r="M434">
        <v>22.424677025873862</v>
      </c>
      <c r="N434">
        <f t="shared" si="23"/>
        <v>3</v>
      </c>
      <c r="O434">
        <f t="shared" si="24"/>
        <v>3</v>
      </c>
      <c r="P434">
        <f t="shared" si="25"/>
        <v>1</v>
      </c>
    </row>
    <row r="435" spans="1:16" x14ac:dyDescent="0.4">
      <c r="A435" t="s">
        <v>412</v>
      </c>
      <c r="B435" t="s">
        <v>413</v>
      </c>
      <c r="C435" t="s">
        <v>40</v>
      </c>
      <c r="D435" s="1">
        <v>40885</v>
      </c>
      <c r="E435">
        <v>2</v>
      </c>
      <c r="F435">
        <v>1</v>
      </c>
      <c r="G435">
        <v>3</v>
      </c>
      <c r="H435">
        <v>323</v>
      </c>
      <c r="I435">
        <v>160</v>
      </c>
      <c r="J435">
        <v>836</v>
      </c>
      <c r="K435">
        <v>73.380037288084807</v>
      </c>
      <c r="L435">
        <v>67.588932806324109</v>
      </c>
      <c r="M435">
        <v>32.297362115542924</v>
      </c>
      <c r="N435">
        <f t="shared" si="23"/>
        <v>3</v>
      </c>
      <c r="O435">
        <f t="shared" si="24"/>
        <v>3</v>
      </c>
      <c r="P435">
        <f t="shared" si="25"/>
        <v>2</v>
      </c>
    </row>
    <row r="436" spans="1:16" x14ac:dyDescent="0.4">
      <c r="A436" t="s">
        <v>1102</v>
      </c>
      <c r="B436" t="s">
        <v>1103</v>
      </c>
      <c r="C436" t="s">
        <v>64</v>
      </c>
      <c r="D436" s="1">
        <v>40890</v>
      </c>
      <c r="E436">
        <v>2</v>
      </c>
      <c r="F436">
        <v>1</v>
      </c>
      <c r="G436">
        <v>3</v>
      </c>
      <c r="H436">
        <v>323</v>
      </c>
      <c r="I436">
        <v>160</v>
      </c>
      <c r="J436">
        <v>836</v>
      </c>
      <c r="K436">
        <v>42.459704283815157</v>
      </c>
      <c r="L436">
        <v>15.35303776683087</v>
      </c>
      <c r="M436">
        <v>48.117121320082823</v>
      </c>
      <c r="N436">
        <f t="shared" si="23"/>
        <v>2</v>
      </c>
      <c r="O436">
        <f t="shared" si="24"/>
        <v>1</v>
      </c>
      <c r="P436">
        <f t="shared" si="25"/>
        <v>2</v>
      </c>
    </row>
    <row r="437" spans="1:16" x14ac:dyDescent="0.4">
      <c r="A437" t="s">
        <v>1104</v>
      </c>
      <c r="B437" t="s">
        <v>1105</v>
      </c>
      <c r="C437" t="s">
        <v>40</v>
      </c>
      <c r="D437" s="1">
        <v>40897</v>
      </c>
      <c r="E437">
        <v>2</v>
      </c>
      <c r="F437">
        <v>1</v>
      </c>
      <c r="G437">
        <v>3</v>
      </c>
      <c r="H437">
        <v>323</v>
      </c>
      <c r="I437">
        <v>160</v>
      </c>
      <c r="J437">
        <v>836</v>
      </c>
      <c r="K437">
        <v>28.912203556367878</v>
      </c>
      <c r="L437">
        <v>30.434782608695649</v>
      </c>
      <c r="M437">
        <v>33.50925894383289</v>
      </c>
      <c r="N437">
        <f t="shared" si="23"/>
        <v>1</v>
      </c>
      <c r="O437">
        <f t="shared" si="24"/>
        <v>2</v>
      </c>
      <c r="P437">
        <f t="shared" si="25"/>
        <v>2</v>
      </c>
    </row>
    <row r="438" spans="1:16" x14ac:dyDescent="0.4">
      <c r="A438" t="s">
        <v>592</v>
      </c>
      <c r="B438" t="s">
        <v>593</v>
      </c>
      <c r="C438" t="s">
        <v>40</v>
      </c>
      <c r="D438" s="1">
        <v>40897</v>
      </c>
      <c r="E438">
        <v>2</v>
      </c>
      <c r="F438">
        <v>1</v>
      </c>
      <c r="G438">
        <v>3</v>
      </c>
      <c r="H438">
        <v>323</v>
      </c>
      <c r="I438">
        <v>160</v>
      </c>
      <c r="J438">
        <v>836</v>
      </c>
      <c r="K438">
        <v>82.693920340844841</v>
      </c>
      <c r="L438">
        <v>3.5573122529644268</v>
      </c>
      <c r="M438">
        <v>12.783727459232638</v>
      </c>
      <c r="N438">
        <f t="shared" si="23"/>
        <v>3</v>
      </c>
      <c r="O438">
        <f t="shared" si="24"/>
        <v>1</v>
      </c>
      <c r="P438">
        <f t="shared" si="25"/>
        <v>1</v>
      </c>
    </row>
    <row r="439" spans="1:16" x14ac:dyDescent="0.4">
      <c r="A439" t="s">
        <v>1106</v>
      </c>
      <c r="B439" t="s">
        <v>1107</v>
      </c>
      <c r="C439" t="s">
        <v>40</v>
      </c>
      <c r="D439" s="1">
        <v>40903</v>
      </c>
      <c r="E439">
        <v>2</v>
      </c>
      <c r="F439">
        <v>1</v>
      </c>
      <c r="G439">
        <v>3</v>
      </c>
      <c r="H439">
        <v>323</v>
      </c>
      <c r="I439">
        <v>160</v>
      </c>
      <c r="J439">
        <v>836</v>
      </c>
      <c r="K439">
        <v>46.277816034771902</v>
      </c>
      <c r="L439">
        <v>87.154150197628454</v>
      </c>
      <c r="M439">
        <v>58.56795824698662</v>
      </c>
      <c r="N439">
        <f t="shared" si="23"/>
        <v>2</v>
      </c>
      <c r="O439">
        <f t="shared" si="24"/>
        <v>3</v>
      </c>
      <c r="P439">
        <f t="shared" si="25"/>
        <v>3</v>
      </c>
    </row>
    <row r="440" spans="1:16" x14ac:dyDescent="0.4">
      <c r="A440" t="s">
        <v>414</v>
      </c>
      <c r="B440" t="s">
        <v>415</v>
      </c>
      <c r="C440" t="s">
        <v>64</v>
      </c>
      <c r="D440" s="1">
        <v>40905</v>
      </c>
      <c r="E440">
        <v>2</v>
      </c>
      <c r="F440">
        <v>1</v>
      </c>
      <c r="G440">
        <v>3</v>
      </c>
      <c r="H440">
        <v>323</v>
      </c>
      <c r="I440">
        <v>160</v>
      </c>
      <c r="J440">
        <v>836</v>
      </c>
      <c r="K440">
        <v>47.577351162088341</v>
      </c>
      <c r="L440">
        <v>17.405582922824301</v>
      </c>
      <c r="M440">
        <v>62.953694652405062</v>
      </c>
      <c r="N440">
        <f t="shared" si="23"/>
        <v>2</v>
      </c>
      <c r="O440">
        <f t="shared" si="24"/>
        <v>1</v>
      </c>
      <c r="P440">
        <f t="shared" si="25"/>
        <v>3</v>
      </c>
    </row>
    <row r="441" spans="1:16" x14ac:dyDescent="0.4">
      <c r="A441" t="s">
        <v>416</v>
      </c>
      <c r="B441" t="s">
        <v>417</v>
      </c>
      <c r="C441" t="s">
        <v>40</v>
      </c>
      <c r="D441" s="1">
        <v>40905</v>
      </c>
      <c r="E441">
        <v>2</v>
      </c>
      <c r="F441">
        <v>1</v>
      </c>
      <c r="G441">
        <v>3</v>
      </c>
      <c r="H441">
        <v>323</v>
      </c>
      <c r="I441">
        <v>160</v>
      </c>
      <c r="J441">
        <v>836</v>
      </c>
      <c r="K441">
        <v>39.105785094650329</v>
      </c>
      <c r="L441">
        <v>90.71146245059289</v>
      </c>
      <c r="M441">
        <v>85.036732169903487</v>
      </c>
      <c r="N441">
        <f t="shared" si="23"/>
        <v>2</v>
      </c>
      <c r="O441">
        <f t="shared" si="24"/>
        <v>3</v>
      </c>
      <c r="P441">
        <f t="shared" si="25"/>
        <v>3</v>
      </c>
    </row>
    <row r="442" spans="1:16" x14ac:dyDescent="0.4">
      <c r="A442" t="s">
        <v>418</v>
      </c>
      <c r="B442" t="s">
        <v>419</v>
      </c>
      <c r="C442" t="s">
        <v>64</v>
      </c>
      <c r="D442" s="1">
        <v>40940</v>
      </c>
      <c r="E442">
        <v>2</v>
      </c>
      <c r="F442">
        <v>1</v>
      </c>
      <c r="G442">
        <v>3</v>
      </c>
      <c r="H442">
        <v>323</v>
      </c>
      <c r="I442">
        <v>160</v>
      </c>
      <c r="J442">
        <v>836</v>
      </c>
      <c r="K442">
        <v>71.198386338374121</v>
      </c>
      <c r="L442">
        <v>68.390804597701148</v>
      </c>
      <c r="M442">
        <v>29.108688332080145</v>
      </c>
      <c r="N442">
        <f t="shared" si="23"/>
        <v>3</v>
      </c>
      <c r="O442">
        <f t="shared" si="24"/>
        <v>3</v>
      </c>
      <c r="P442">
        <f t="shared" si="25"/>
        <v>1</v>
      </c>
    </row>
    <row r="443" spans="1:16" x14ac:dyDescent="0.4">
      <c r="A443" t="s">
        <v>594</v>
      </c>
      <c r="B443" t="s">
        <v>595</v>
      </c>
      <c r="C443" t="s">
        <v>40</v>
      </c>
      <c r="D443" s="1">
        <v>40940</v>
      </c>
      <c r="E443">
        <v>2</v>
      </c>
      <c r="F443">
        <v>1</v>
      </c>
      <c r="G443">
        <v>3</v>
      </c>
      <c r="H443">
        <v>323</v>
      </c>
      <c r="I443">
        <v>160</v>
      </c>
      <c r="J443">
        <v>836</v>
      </c>
      <c r="K443">
        <v>55.690906676984859</v>
      </c>
      <c r="L443">
        <v>62.252964426877476</v>
      </c>
      <c r="M443">
        <v>39.38115683000111</v>
      </c>
      <c r="N443">
        <f t="shared" si="23"/>
        <v>3</v>
      </c>
      <c r="O443">
        <f t="shared" si="24"/>
        <v>3</v>
      </c>
      <c r="P443">
        <f t="shared" si="25"/>
        <v>2</v>
      </c>
    </row>
    <row r="444" spans="1:16" x14ac:dyDescent="0.4">
      <c r="A444" t="s">
        <v>1108</v>
      </c>
      <c r="B444" t="s">
        <v>1109</v>
      </c>
      <c r="C444" t="s">
        <v>40</v>
      </c>
      <c r="D444" s="1">
        <v>40954</v>
      </c>
      <c r="E444">
        <v>2</v>
      </c>
      <c r="F444">
        <v>1</v>
      </c>
      <c r="G444">
        <v>3</v>
      </c>
      <c r="H444">
        <v>323</v>
      </c>
      <c r="I444">
        <v>160</v>
      </c>
      <c r="J444">
        <v>836</v>
      </c>
      <c r="K444">
        <v>54.425639682484743</v>
      </c>
      <c r="L444">
        <v>55.335968379446641</v>
      </c>
      <c r="M444">
        <v>43.270191382645194</v>
      </c>
      <c r="N444">
        <f t="shared" si="23"/>
        <v>3</v>
      </c>
      <c r="O444">
        <f t="shared" si="24"/>
        <v>3</v>
      </c>
      <c r="P444">
        <f t="shared" si="25"/>
        <v>2</v>
      </c>
    </row>
    <row r="445" spans="1:16" x14ac:dyDescent="0.4">
      <c r="A445" t="s">
        <v>1110</v>
      </c>
      <c r="B445" t="s">
        <v>1111</v>
      </c>
      <c r="C445" t="s">
        <v>40</v>
      </c>
      <c r="D445" s="1">
        <v>40967</v>
      </c>
      <c r="E445">
        <v>2</v>
      </c>
      <c r="F445">
        <v>1</v>
      </c>
      <c r="G445">
        <v>3</v>
      </c>
      <c r="H445">
        <v>323</v>
      </c>
      <c r="I445">
        <v>160</v>
      </c>
      <c r="J445">
        <v>836</v>
      </c>
      <c r="K445">
        <v>40.82219073266937</v>
      </c>
      <c r="L445">
        <v>14.229249011857707</v>
      </c>
      <c r="M445">
        <v>73.235755631696463</v>
      </c>
      <c r="N445">
        <f t="shared" si="23"/>
        <v>2</v>
      </c>
      <c r="O445">
        <f t="shared" si="24"/>
        <v>1</v>
      </c>
      <c r="P445">
        <f t="shared" si="25"/>
        <v>3</v>
      </c>
    </row>
    <row r="446" spans="1:16" x14ac:dyDescent="0.4">
      <c r="A446" t="s">
        <v>420</v>
      </c>
      <c r="B446" t="s">
        <v>421</v>
      </c>
      <c r="C446" t="s">
        <v>64</v>
      </c>
      <c r="D446" s="1">
        <v>40973</v>
      </c>
      <c r="E446">
        <v>2</v>
      </c>
      <c r="F446">
        <v>1</v>
      </c>
      <c r="G446">
        <v>3</v>
      </c>
      <c r="H446">
        <v>323</v>
      </c>
      <c r="I446">
        <v>160</v>
      </c>
      <c r="J446">
        <v>836</v>
      </c>
      <c r="K446">
        <v>70.253616240858179</v>
      </c>
      <c r="L446">
        <v>90.722495894909684</v>
      </c>
      <c r="M446">
        <v>25.578362965445159</v>
      </c>
      <c r="N446">
        <f t="shared" si="23"/>
        <v>3</v>
      </c>
      <c r="O446">
        <f t="shared" si="24"/>
        <v>3</v>
      </c>
      <c r="P446">
        <f t="shared" si="25"/>
        <v>1</v>
      </c>
    </row>
    <row r="447" spans="1:16" x14ac:dyDescent="0.4">
      <c r="A447" t="s">
        <v>59</v>
      </c>
      <c r="B447" t="s">
        <v>60</v>
      </c>
      <c r="C447" t="s">
        <v>43</v>
      </c>
      <c r="D447" s="1">
        <v>40975</v>
      </c>
      <c r="E447">
        <v>2</v>
      </c>
      <c r="F447">
        <v>1</v>
      </c>
      <c r="G447">
        <v>3</v>
      </c>
      <c r="H447">
        <v>323</v>
      </c>
      <c r="I447">
        <v>160</v>
      </c>
      <c r="J447">
        <v>836</v>
      </c>
      <c r="K447">
        <v>24.678241002809539</v>
      </c>
      <c r="L447">
        <v>36.040609137055839</v>
      </c>
      <c r="M447">
        <v>53.761143592444888</v>
      </c>
      <c r="N447">
        <f t="shared" si="23"/>
        <v>1</v>
      </c>
      <c r="O447">
        <f t="shared" si="24"/>
        <v>2</v>
      </c>
      <c r="P447">
        <f t="shared" si="25"/>
        <v>3</v>
      </c>
    </row>
    <row r="448" spans="1:16" x14ac:dyDescent="0.4">
      <c r="A448" t="s">
        <v>1112</v>
      </c>
      <c r="B448" t="s">
        <v>1113</v>
      </c>
      <c r="C448" t="s">
        <v>40</v>
      </c>
      <c r="D448" s="1">
        <v>40977</v>
      </c>
      <c r="E448">
        <v>2</v>
      </c>
      <c r="F448">
        <v>1</v>
      </c>
      <c r="G448">
        <v>3</v>
      </c>
      <c r="H448">
        <v>323</v>
      </c>
      <c r="I448">
        <v>160</v>
      </c>
      <c r="J448">
        <v>836</v>
      </c>
      <c r="K448">
        <v>55.082394888980382</v>
      </c>
      <c r="L448">
        <v>73.517786561264828</v>
      </c>
      <c r="M448">
        <v>25.629718575555653</v>
      </c>
      <c r="N448">
        <f t="shared" si="23"/>
        <v>3</v>
      </c>
      <c r="O448">
        <f t="shared" si="24"/>
        <v>3</v>
      </c>
      <c r="P448">
        <f t="shared" si="25"/>
        <v>1</v>
      </c>
    </row>
    <row r="449" spans="1:16" x14ac:dyDescent="0.4">
      <c r="A449" t="s">
        <v>316</v>
      </c>
      <c r="B449" t="s">
        <v>317</v>
      </c>
      <c r="C449" t="s">
        <v>40</v>
      </c>
      <c r="D449" s="1">
        <v>40977</v>
      </c>
      <c r="E449">
        <v>2</v>
      </c>
      <c r="F449">
        <v>1</v>
      </c>
      <c r="G449">
        <v>3</v>
      </c>
      <c r="H449">
        <v>323</v>
      </c>
      <c r="I449">
        <v>160</v>
      </c>
      <c r="J449">
        <v>836</v>
      </c>
      <c r="K449">
        <v>35.70215819384741</v>
      </c>
      <c r="L449">
        <v>63.63636363636364</v>
      </c>
      <c r="M449">
        <v>59.614731668422976</v>
      </c>
      <c r="N449">
        <f t="shared" si="23"/>
        <v>2</v>
      </c>
      <c r="O449">
        <f t="shared" si="24"/>
        <v>3</v>
      </c>
      <c r="P449">
        <f t="shared" si="25"/>
        <v>3</v>
      </c>
    </row>
    <row r="450" spans="1:16" x14ac:dyDescent="0.4">
      <c r="A450" t="s">
        <v>1114</v>
      </c>
      <c r="B450" t="s">
        <v>1115</v>
      </c>
      <c r="C450" t="s">
        <v>43</v>
      </c>
      <c r="D450" s="1">
        <v>40981</v>
      </c>
      <c r="E450">
        <v>2</v>
      </c>
      <c r="F450">
        <v>1</v>
      </c>
      <c r="G450">
        <v>3</v>
      </c>
      <c r="H450">
        <v>323</v>
      </c>
      <c r="I450">
        <v>160</v>
      </c>
      <c r="J450">
        <v>836</v>
      </c>
      <c r="K450">
        <v>61.602896271028051</v>
      </c>
      <c r="L450">
        <v>14.720812182741117</v>
      </c>
      <c r="M450">
        <v>25.125900576166149</v>
      </c>
      <c r="N450">
        <f t="shared" si="23"/>
        <v>3</v>
      </c>
      <c r="O450">
        <f t="shared" si="24"/>
        <v>1</v>
      </c>
      <c r="P450">
        <f t="shared" si="25"/>
        <v>1</v>
      </c>
    </row>
    <row r="451" spans="1:16" x14ac:dyDescent="0.4">
      <c r="A451" t="s">
        <v>1116</v>
      </c>
      <c r="B451" t="s">
        <v>1117</v>
      </c>
      <c r="C451" t="s">
        <v>40</v>
      </c>
      <c r="D451" s="1">
        <v>40981</v>
      </c>
      <c r="E451">
        <v>2</v>
      </c>
      <c r="F451">
        <v>1</v>
      </c>
      <c r="G451">
        <v>3</v>
      </c>
      <c r="H451">
        <v>323</v>
      </c>
      <c r="I451">
        <v>160</v>
      </c>
      <c r="J451">
        <v>836</v>
      </c>
      <c r="K451">
        <v>46.517869058449165</v>
      </c>
      <c r="L451">
        <v>33.992094861660078</v>
      </c>
      <c r="M451">
        <v>27.721507473246874</v>
      </c>
      <c r="N451">
        <f t="shared" ref="N451:N514" si="26">IF(AND(K451&gt;0,K451&lt;30),1,IF(AND(K451&gt;=30,K451&lt;50),2,IF(K451&gt;=50,3,0)))</f>
        <v>2</v>
      </c>
      <c r="O451">
        <f t="shared" ref="O451:O514" si="27">IF(AND(L451&gt;0,L451&lt;30),1,IF(AND(L451&gt;=30,L451&lt;50),2,IF(L451&gt;=50,3,0)))</f>
        <v>2</v>
      </c>
      <c r="P451">
        <f t="shared" ref="P451:P514" si="28">IF(AND(M451&gt;0,M451&lt;30),1,IF(AND(M451&gt;=30,M451&lt;50),2,IF(M451&gt;=50,3,0)))</f>
        <v>1</v>
      </c>
    </row>
    <row r="452" spans="1:16" x14ac:dyDescent="0.4">
      <c r="A452" t="s">
        <v>1118</v>
      </c>
      <c r="B452" t="s">
        <v>1119</v>
      </c>
      <c r="C452" t="s">
        <v>40</v>
      </c>
      <c r="D452" s="1">
        <v>40988</v>
      </c>
      <c r="E452">
        <v>2</v>
      </c>
      <c r="F452">
        <v>1</v>
      </c>
      <c r="G452">
        <v>3</v>
      </c>
      <c r="H452">
        <v>323</v>
      </c>
      <c r="I452">
        <v>160</v>
      </c>
      <c r="J452">
        <v>836</v>
      </c>
      <c r="K452">
        <v>54.988628804468654</v>
      </c>
      <c r="L452">
        <v>0.19762845849802371</v>
      </c>
      <c r="M452">
        <v>22.390631272556991</v>
      </c>
      <c r="N452">
        <f t="shared" si="26"/>
        <v>3</v>
      </c>
      <c r="O452">
        <f t="shared" si="27"/>
        <v>1</v>
      </c>
      <c r="P452">
        <f t="shared" si="28"/>
        <v>1</v>
      </c>
    </row>
    <row r="453" spans="1:16" x14ac:dyDescent="0.4">
      <c r="A453" t="s">
        <v>1120</v>
      </c>
      <c r="B453" t="s">
        <v>1121</v>
      </c>
      <c r="C453" t="s">
        <v>40</v>
      </c>
      <c r="D453" s="1">
        <v>40988</v>
      </c>
      <c r="E453">
        <v>2</v>
      </c>
      <c r="F453">
        <v>1</v>
      </c>
      <c r="G453">
        <v>3</v>
      </c>
      <c r="H453">
        <v>323</v>
      </c>
      <c r="I453">
        <v>160</v>
      </c>
      <c r="J453">
        <v>836</v>
      </c>
      <c r="K453">
        <v>35.225341157390879</v>
      </c>
      <c r="L453">
        <v>89.130434782608702</v>
      </c>
      <c r="M453">
        <v>42.471336982777665</v>
      </c>
      <c r="N453">
        <f t="shared" si="26"/>
        <v>2</v>
      </c>
      <c r="O453">
        <f t="shared" si="27"/>
        <v>3</v>
      </c>
      <c r="P453">
        <f t="shared" si="28"/>
        <v>2</v>
      </c>
    </row>
    <row r="454" spans="1:16" x14ac:dyDescent="0.4">
      <c r="A454" t="s">
        <v>86</v>
      </c>
      <c r="B454" t="s">
        <v>87</v>
      </c>
      <c r="C454" t="s">
        <v>40</v>
      </c>
      <c r="D454" s="1">
        <v>40989</v>
      </c>
      <c r="E454">
        <v>2</v>
      </c>
      <c r="F454">
        <v>1</v>
      </c>
      <c r="G454">
        <v>3</v>
      </c>
      <c r="H454">
        <v>323</v>
      </c>
      <c r="I454">
        <v>160</v>
      </c>
      <c r="J454">
        <v>836</v>
      </c>
      <c r="K454">
        <v>35.169314320439547</v>
      </c>
      <c r="L454">
        <v>14.624505928853756</v>
      </c>
      <c r="M454">
        <v>25.390776344259042</v>
      </c>
      <c r="N454">
        <f t="shared" si="26"/>
        <v>2</v>
      </c>
      <c r="O454">
        <f t="shared" si="27"/>
        <v>1</v>
      </c>
      <c r="P454">
        <f t="shared" si="28"/>
        <v>1</v>
      </c>
    </row>
    <row r="455" spans="1:16" x14ac:dyDescent="0.4">
      <c r="A455" t="s">
        <v>193</v>
      </c>
      <c r="B455" t="s">
        <v>194</v>
      </c>
      <c r="C455" t="s">
        <v>40</v>
      </c>
      <c r="D455" s="1">
        <v>40995</v>
      </c>
      <c r="E455">
        <v>2</v>
      </c>
      <c r="F455">
        <v>1</v>
      </c>
      <c r="G455">
        <v>3</v>
      </c>
      <c r="H455">
        <v>323</v>
      </c>
      <c r="I455">
        <v>160</v>
      </c>
      <c r="J455">
        <v>836</v>
      </c>
      <c r="K455">
        <v>26.489824644059283</v>
      </c>
      <c r="L455">
        <v>97.430830039525688</v>
      </c>
      <c r="M455">
        <v>78.117662627522037</v>
      </c>
      <c r="N455">
        <f t="shared" si="26"/>
        <v>1</v>
      </c>
      <c r="O455">
        <f t="shared" si="27"/>
        <v>3</v>
      </c>
      <c r="P455">
        <f t="shared" si="28"/>
        <v>3</v>
      </c>
    </row>
    <row r="456" spans="1:16" x14ac:dyDescent="0.4">
      <c r="A456" t="s">
        <v>177</v>
      </c>
      <c r="B456" t="s">
        <v>178</v>
      </c>
      <c r="C456" t="s">
        <v>40</v>
      </c>
      <c r="D456" s="1">
        <v>40997</v>
      </c>
      <c r="E456">
        <v>2</v>
      </c>
      <c r="F456">
        <v>1</v>
      </c>
      <c r="G456">
        <v>3</v>
      </c>
      <c r="H456">
        <v>323</v>
      </c>
      <c r="I456">
        <v>160</v>
      </c>
      <c r="J456">
        <v>836</v>
      </c>
      <c r="K456">
        <v>35.370667223215527</v>
      </c>
      <c r="L456">
        <v>66.403162055335969</v>
      </c>
      <c r="M456">
        <v>40.144118906033974</v>
      </c>
      <c r="N456">
        <f t="shared" si="26"/>
        <v>2</v>
      </c>
      <c r="O456">
        <f t="shared" si="27"/>
        <v>3</v>
      </c>
      <c r="P456">
        <f t="shared" si="28"/>
        <v>2</v>
      </c>
    </row>
    <row r="457" spans="1:16" x14ac:dyDescent="0.4">
      <c r="A457" t="s">
        <v>1122</v>
      </c>
      <c r="B457" t="s">
        <v>1123</v>
      </c>
      <c r="C457" t="s">
        <v>40</v>
      </c>
      <c r="D457" s="1">
        <v>41004</v>
      </c>
      <c r="E457">
        <v>2</v>
      </c>
      <c r="F457">
        <v>1</v>
      </c>
      <c r="G457">
        <v>3</v>
      </c>
      <c r="H457">
        <v>323</v>
      </c>
      <c r="I457">
        <v>160</v>
      </c>
      <c r="J457">
        <v>836</v>
      </c>
      <c r="K457">
        <v>20.086223745384405</v>
      </c>
      <c r="L457">
        <v>81.620553359683797</v>
      </c>
      <c r="M457">
        <v>33.073866509150641</v>
      </c>
      <c r="N457">
        <f t="shared" si="26"/>
        <v>1</v>
      </c>
      <c r="O457">
        <f t="shared" si="27"/>
        <v>3</v>
      </c>
      <c r="P457">
        <f t="shared" si="28"/>
        <v>2</v>
      </c>
    </row>
    <row r="458" spans="1:16" x14ac:dyDescent="0.4">
      <c r="A458" t="s">
        <v>1124</v>
      </c>
      <c r="B458" t="s">
        <v>1125</v>
      </c>
      <c r="C458" t="s">
        <v>43</v>
      </c>
      <c r="D458" s="1">
        <v>41015</v>
      </c>
      <c r="E458">
        <v>2</v>
      </c>
      <c r="F458">
        <v>1</v>
      </c>
      <c r="G458">
        <v>3</v>
      </c>
      <c r="H458">
        <v>323</v>
      </c>
      <c r="I458">
        <v>160</v>
      </c>
      <c r="J458">
        <v>836</v>
      </c>
      <c r="K458">
        <v>47.309313888843327</v>
      </c>
      <c r="L458">
        <v>86.802030456852791</v>
      </c>
      <c r="M458">
        <v>62.46062142428633</v>
      </c>
      <c r="N458">
        <f t="shared" si="26"/>
        <v>2</v>
      </c>
      <c r="O458">
        <f t="shared" si="27"/>
        <v>3</v>
      </c>
      <c r="P458">
        <f t="shared" si="28"/>
        <v>3</v>
      </c>
    </row>
    <row r="459" spans="1:16" x14ac:dyDescent="0.4">
      <c r="A459" t="s">
        <v>318</v>
      </c>
      <c r="B459" t="s">
        <v>319</v>
      </c>
      <c r="C459" t="s">
        <v>40</v>
      </c>
      <c r="D459" s="1">
        <v>41019</v>
      </c>
      <c r="E459">
        <v>2</v>
      </c>
      <c r="F459">
        <v>1</v>
      </c>
      <c r="G459">
        <v>3</v>
      </c>
      <c r="H459">
        <v>323</v>
      </c>
      <c r="I459">
        <v>160</v>
      </c>
      <c r="J459">
        <v>836</v>
      </c>
      <c r="K459">
        <v>25.560515475829472</v>
      </c>
      <c r="L459">
        <v>14.822134387351777</v>
      </c>
      <c r="M459">
        <v>61.088598577640603</v>
      </c>
      <c r="N459">
        <f t="shared" si="26"/>
        <v>1</v>
      </c>
      <c r="O459">
        <f t="shared" si="27"/>
        <v>1</v>
      </c>
      <c r="P459">
        <f t="shared" si="28"/>
        <v>3</v>
      </c>
    </row>
    <row r="460" spans="1:16" x14ac:dyDescent="0.4">
      <c r="A460" t="s">
        <v>422</v>
      </c>
      <c r="B460" t="s">
        <v>423</v>
      </c>
      <c r="C460" t="s">
        <v>40</v>
      </c>
      <c r="D460" s="1">
        <v>41023</v>
      </c>
      <c r="E460">
        <v>2</v>
      </c>
      <c r="F460">
        <v>1</v>
      </c>
      <c r="G460">
        <v>3</v>
      </c>
      <c r="H460">
        <v>323</v>
      </c>
      <c r="I460">
        <v>160</v>
      </c>
      <c r="J460">
        <v>836</v>
      </c>
      <c r="K460">
        <v>53.657994870864997</v>
      </c>
      <c r="L460">
        <v>39.328063241106719</v>
      </c>
      <c r="M460">
        <v>68.265422804105853</v>
      </c>
      <c r="N460">
        <f t="shared" si="26"/>
        <v>3</v>
      </c>
      <c r="O460">
        <f t="shared" si="27"/>
        <v>2</v>
      </c>
      <c r="P460">
        <f t="shared" si="28"/>
        <v>3</v>
      </c>
    </row>
    <row r="461" spans="1:16" x14ac:dyDescent="0.4">
      <c r="A461" t="s">
        <v>596</v>
      </c>
      <c r="B461" t="s">
        <v>597</v>
      </c>
      <c r="C461" t="s">
        <v>64</v>
      </c>
      <c r="D461" s="1">
        <v>41024</v>
      </c>
      <c r="E461">
        <v>2</v>
      </c>
      <c r="F461">
        <v>1</v>
      </c>
      <c r="G461">
        <v>3</v>
      </c>
      <c r="H461">
        <v>323</v>
      </c>
      <c r="I461">
        <v>160</v>
      </c>
      <c r="J461">
        <v>836</v>
      </c>
      <c r="K461">
        <v>88.422870616533032</v>
      </c>
      <c r="L461">
        <v>64.44991789819376</v>
      </c>
      <c r="M461">
        <v>4.666034472930698</v>
      </c>
      <c r="N461">
        <f t="shared" si="26"/>
        <v>3</v>
      </c>
      <c r="O461">
        <f t="shared" si="27"/>
        <v>3</v>
      </c>
      <c r="P461">
        <f t="shared" si="28"/>
        <v>1</v>
      </c>
    </row>
    <row r="462" spans="1:16" x14ac:dyDescent="0.4">
      <c r="A462" t="s">
        <v>598</v>
      </c>
      <c r="B462" t="s">
        <v>599</v>
      </c>
      <c r="C462" t="s">
        <v>40</v>
      </c>
      <c r="D462" s="1">
        <v>41025</v>
      </c>
      <c r="E462">
        <v>2</v>
      </c>
      <c r="F462">
        <v>1</v>
      </c>
      <c r="G462">
        <v>3</v>
      </c>
      <c r="H462">
        <v>323</v>
      </c>
      <c r="I462">
        <v>160</v>
      </c>
      <c r="J462">
        <v>836</v>
      </c>
      <c r="K462">
        <v>45.9066365179741</v>
      </c>
      <c r="L462">
        <v>46.837944664031617</v>
      </c>
      <c r="M462">
        <v>31.521794768185572</v>
      </c>
      <c r="N462">
        <f t="shared" si="26"/>
        <v>2</v>
      </c>
      <c r="O462">
        <f t="shared" si="27"/>
        <v>2</v>
      </c>
      <c r="P462">
        <f t="shared" si="28"/>
        <v>2</v>
      </c>
    </row>
    <row r="463" spans="1:16" x14ac:dyDescent="0.4">
      <c r="A463" t="s">
        <v>1126</v>
      </c>
      <c r="B463" t="s">
        <v>1127</v>
      </c>
      <c r="C463" t="s">
        <v>40</v>
      </c>
      <c r="D463" s="1">
        <v>41036</v>
      </c>
      <c r="E463">
        <v>2</v>
      </c>
      <c r="F463">
        <v>1</v>
      </c>
      <c r="G463">
        <v>3</v>
      </c>
      <c r="H463">
        <v>323</v>
      </c>
      <c r="I463">
        <v>160</v>
      </c>
      <c r="J463">
        <v>836</v>
      </c>
      <c r="K463">
        <v>62.106961045196002</v>
      </c>
      <c r="L463">
        <v>42.885375494071148</v>
      </c>
      <c r="M463">
        <v>40.802155800297108</v>
      </c>
      <c r="N463">
        <f t="shared" si="26"/>
        <v>3</v>
      </c>
      <c r="O463">
        <f t="shared" si="27"/>
        <v>2</v>
      </c>
      <c r="P463">
        <f t="shared" si="28"/>
        <v>2</v>
      </c>
    </row>
    <row r="464" spans="1:16" x14ac:dyDescent="0.4">
      <c r="A464" t="s">
        <v>600</v>
      </c>
      <c r="B464" t="s">
        <v>601</v>
      </c>
      <c r="C464" t="s">
        <v>40</v>
      </c>
      <c r="D464" s="1">
        <v>41051</v>
      </c>
      <c r="E464">
        <v>2</v>
      </c>
      <c r="F464">
        <v>1</v>
      </c>
      <c r="G464">
        <v>3</v>
      </c>
      <c r="H464">
        <v>323</v>
      </c>
      <c r="I464">
        <v>160</v>
      </c>
      <c r="J464">
        <v>836</v>
      </c>
      <c r="K464">
        <v>82.133841390807333</v>
      </c>
      <c r="L464">
        <v>96.640316205533594</v>
      </c>
      <c r="M464">
        <v>22.093452315552472</v>
      </c>
      <c r="N464">
        <f t="shared" si="26"/>
        <v>3</v>
      </c>
      <c r="O464">
        <f t="shared" si="27"/>
        <v>3</v>
      </c>
      <c r="P464">
        <f t="shared" si="28"/>
        <v>1</v>
      </c>
    </row>
    <row r="465" spans="1:16" x14ac:dyDescent="0.4">
      <c r="A465" t="s">
        <v>602</v>
      </c>
      <c r="B465" t="s">
        <v>603</v>
      </c>
      <c r="C465" t="s">
        <v>40</v>
      </c>
      <c r="D465" s="1">
        <v>41052</v>
      </c>
      <c r="E465">
        <v>2</v>
      </c>
      <c r="F465">
        <v>1</v>
      </c>
      <c r="G465">
        <v>3</v>
      </c>
      <c r="H465">
        <v>323</v>
      </c>
      <c r="I465">
        <v>160</v>
      </c>
      <c r="J465">
        <v>836</v>
      </c>
      <c r="K465">
        <v>87.261860543527135</v>
      </c>
      <c r="L465">
        <v>100</v>
      </c>
      <c r="M465">
        <v>42.926070838118513</v>
      </c>
      <c r="N465">
        <f t="shared" si="26"/>
        <v>3</v>
      </c>
      <c r="O465">
        <f t="shared" si="27"/>
        <v>3</v>
      </c>
      <c r="P465">
        <f t="shared" si="28"/>
        <v>2</v>
      </c>
    </row>
    <row r="466" spans="1:16" x14ac:dyDescent="0.4">
      <c r="A466" t="s">
        <v>604</v>
      </c>
      <c r="B466" t="s">
        <v>605</v>
      </c>
      <c r="C466" t="s">
        <v>40</v>
      </c>
      <c r="D466" s="1">
        <v>41052</v>
      </c>
      <c r="E466">
        <v>2</v>
      </c>
      <c r="F466">
        <v>1</v>
      </c>
      <c r="G466">
        <v>3</v>
      </c>
      <c r="H466">
        <v>323</v>
      </c>
      <c r="I466">
        <v>160</v>
      </c>
      <c r="J466">
        <v>836</v>
      </c>
      <c r="K466">
        <v>40.869662697295453</v>
      </c>
      <c r="L466">
        <v>79.446640316205531</v>
      </c>
      <c r="M466">
        <v>31.546275088004169</v>
      </c>
      <c r="N466">
        <f t="shared" si="26"/>
        <v>2</v>
      </c>
      <c r="O466">
        <f t="shared" si="27"/>
        <v>3</v>
      </c>
      <c r="P466">
        <f t="shared" si="28"/>
        <v>2</v>
      </c>
    </row>
    <row r="467" spans="1:16" x14ac:dyDescent="0.4">
      <c r="A467" t="s">
        <v>1128</v>
      </c>
      <c r="B467" t="s">
        <v>1129</v>
      </c>
      <c r="C467" t="s">
        <v>40</v>
      </c>
      <c r="D467" s="1">
        <v>41060</v>
      </c>
      <c r="E467">
        <v>2</v>
      </c>
      <c r="F467">
        <v>1</v>
      </c>
      <c r="G467">
        <v>3</v>
      </c>
      <c r="H467">
        <v>323</v>
      </c>
      <c r="I467">
        <v>160</v>
      </c>
      <c r="J467">
        <v>836</v>
      </c>
      <c r="K467">
        <v>59.058743628832879</v>
      </c>
      <c r="L467">
        <v>98.418972332015812</v>
      </c>
      <c r="M467">
        <v>70.328926003493507</v>
      </c>
      <c r="N467">
        <f t="shared" si="26"/>
        <v>3</v>
      </c>
      <c r="O467">
        <f t="shared" si="27"/>
        <v>3</v>
      </c>
      <c r="P467">
        <f t="shared" si="28"/>
        <v>3</v>
      </c>
    </row>
    <row r="468" spans="1:16" x14ac:dyDescent="0.4">
      <c r="A468" t="s">
        <v>1130</v>
      </c>
      <c r="B468" t="s">
        <v>1131</v>
      </c>
      <c r="C468" t="s">
        <v>40</v>
      </c>
      <c r="D468" s="1">
        <v>41072</v>
      </c>
      <c r="E468">
        <v>2</v>
      </c>
      <c r="F468">
        <v>1</v>
      </c>
      <c r="G468">
        <v>3</v>
      </c>
      <c r="H468">
        <v>323</v>
      </c>
      <c r="I468">
        <v>160</v>
      </c>
      <c r="J468">
        <v>836</v>
      </c>
      <c r="K468">
        <v>29.359254183199976</v>
      </c>
      <c r="L468">
        <v>3.7549407114624507</v>
      </c>
      <c r="M468">
        <v>37.204568893096031</v>
      </c>
      <c r="N468">
        <f t="shared" si="26"/>
        <v>1</v>
      </c>
      <c r="O468">
        <f t="shared" si="27"/>
        <v>1</v>
      </c>
      <c r="P468">
        <f t="shared" si="28"/>
        <v>2</v>
      </c>
    </row>
    <row r="469" spans="1:16" x14ac:dyDescent="0.4">
      <c r="A469" t="s">
        <v>179</v>
      </c>
      <c r="B469" t="s">
        <v>180</v>
      </c>
      <c r="C469" t="s">
        <v>40</v>
      </c>
      <c r="D469" s="1">
        <v>41072</v>
      </c>
      <c r="E469">
        <v>2</v>
      </c>
      <c r="F469">
        <v>1</v>
      </c>
      <c r="G469">
        <v>3</v>
      </c>
      <c r="H469">
        <v>323</v>
      </c>
      <c r="I469">
        <v>160</v>
      </c>
      <c r="J469">
        <v>836</v>
      </c>
      <c r="K469">
        <v>9.8159858672407108</v>
      </c>
      <c r="L469">
        <v>98.023715415019765</v>
      </c>
      <c r="M469">
        <v>70.89375447648581</v>
      </c>
      <c r="N469">
        <f t="shared" si="26"/>
        <v>1</v>
      </c>
      <c r="O469">
        <f t="shared" si="27"/>
        <v>3</v>
      </c>
      <c r="P469">
        <f t="shared" si="28"/>
        <v>3</v>
      </c>
    </row>
    <row r="470" spans="1:16" x14ac:dyDescent="0.4">
      <c r="A470" t="s">
        <v>216</v>
      </c>
      <c r="B470" t="s">
        <v>217</v>
      </c>
      <c r="C470" t="s">
        <v>40</v>
      </c>
      <c r="D470" s="1">
        <v>41073</v>
      </c>
      <c r="E470">
        <v>2</v>
      </c>
      <c r="F470">
        <v>1</v>
      </c>
      <c r="G470">
        <v>3</v>
      </c>
      <c r="H470">
        <v>323</v>
      </c>
      <c r="I470">
        <v>160</v>
      </c>
      <c r="J470">
        <v>836</v>
      </c>
      <c r="K470">
        <v>34.456721696468371</v>
      </c>
      <c r="L470">
        <v>53.952569169960476</v>
      </c>
      <c r="M470">
        <v>51.109364288481444</v>
      </c>
      <c r="N470">
        <f t="shared" si="26"/>
        <v>2</v>
      </c>
      <c r="O470">
        <f t="shared" si="27"/>
        <v>3</v>
      </c>
      <c r="P470">
        <f t="shared" si="28"/>
        <v>3</v>
      </c>
    </row>
    <row r="471" spans="1:16" x14ac:dyDescent="0.4">
      <c r="A471" t="s">
        <v>218</v>
      </c>
      <c r="B471" t="s">
        <v>219</v>
      </c>
      <c r="C471" t="s">
        <v>40</v>
      </c>
      <c r="D471" s="1">
        <v>41080</v>
      </c>
      <c r="E471">
        <v>2</v>
      </c>
      <c r="F471">
        <v>1</v>
      </c>
      <c r="G471">
        <v>3</v>
      </c>
      <c r="H471">
        <v>323</v>
      </c>
      <c r="I471">
        <v>160</v>
      </c>
      <c r="J471">
        <v>836</v>
      </c>
      <c r="K471">
        <v>42.987596296126014</v>
      </c>
      <c r="L471">
        <v>37.549407114624508</v>
      </c>
      <c r="M471">
        <v>8.7715216743313551</v>
      </c>
      <c r="N471">
        <f t="shared" si="26"/>
        <v>2</v>
      </c>
      <c r="O471">
        <f t="shared" si="27"/>
        <v>2</v>
      </c>
      <c r="P471">
        <f t="shared" si="28"/>
        <v>1</v>
      </c>
    </row>
    <row r="472" spans="1:16" x14ac:dyDescent="0.4">
      <c r="A472" t="s">
        <v>1132</v>
      </c>
      <c r="B472" t="s">
        <v>1133</v>
      </c>
      <c r="C472" t="s">
        <v>64</v>
      </c>
      <c r="D472" s="1">
        <v>41080</v>
      </c>
      <c r="E472">
        <v>2</v>
      </c>
      <c r="F472">
        <v>1</v>
      </c>
      <c r="G472">
        <v>3</v>
      </c>
      <c r="H472">
        <v>323</v>
      </c>
      <c r="I472">
        <v>160</v>
      </c>
      <c r="J472">
        <v>836</v>
      </c>
      <c r="K472">
        <v>68.199575058282633</v>
      </c>
      <c r="L472">
        <v>82.348111658456489</v>
      </c>
      <c r="M472">
        <v>45.183400380748054</v>
      </c>
      <c r="N472">
        <f t="shared" si="26"/>
        <v>3</v>
      </c>
      <c r="O472">
        <f t="shared" si="27"/>
        <v>3</v>
      </c>
      <c r="P472">
        <f t="shared" si="28"/>
        <v>2</v>
      </c>
    </row>
    <row r="473" spans="1:16" x14ac:dyDescent="0.4">
      <c r="A473" t="s">
        <v>1134</v>
      </c>
      <c r="B473" t="s">
        <v>1135</v>
      </c>
      <c r="C473" t="s">
        <v>40</v>
      </c>
      <c r="D473" s="1">
        <v>41086</v>
      </c>
      <c r="E473">
        <v>2</v>
      </c>
      <c r="F473">
        <v>1</v>
      </c>
      <c r="G473">
        <v>3</v>
      </c>
      <c r="H473">
        <v>323</v>
      </c>
      <c r="I473">
        <v>160</v>
      </c>
      <c r="J473">
        <v>836</v>
      </c>
      <c r="K473">
        <v>27.915591926390903</v>
      </c>
      <c r="L473">
        <v>11.857707509881424</v>
      </c>
      <c r="M473">
        <v>37.917686776392678</v>
      </c>
      <c r="N473">
        <f t="shared" si="26"/>
        <v>1</v>
      </c>
      <c r="O473">
        <f t="shared" si="27"/>
        <v>1</v>
      </c>
      <c r="P473">
        <f t="shared" si="28"/>
        <v>2</v>
      </c>
    </row>
    <row r="474" spans="1:16" x14ac:dyDescent="0.4">
      <c r="A474" t="s">
        <v>320</v>
      </c>
      <c r="B474" t="s">
        <v>321</v>
      </c>
      <c r="C474" t="s">
        <v>40</v>
      </c>
      <c r="D474" s="1">
        <v>41087</v>
      </c>
      <c r="E474">
        <v>2</v>
      </c>
      <c r="F474">
        <v>1</v>
      </c>
      <c r="G474">
        <v>3</v>
      </c>
      <c r="H474">
        <v>323</v>
      </c>
      <c r="I474">
        <v>160</v>
      </c>
      <c r="J474">
        <v>836</v>
      </c>
      <c r="K474">
        <v>8.1875121938787547</v>
      </c>
      <c r="L474">
        <v>36.166007905138343</v>
      </c>
      <c r="M474">
        <v>65.671612716010557</v>
      </c>
      <c r="N474">
        <f t="shared" si="26"/>
        <v>1</v>
      </c>
      <c r="O474">
        <f t="shared" si="27"/>
        <v>2</v>
      </c>
      <c r="P474">
        <f t="shared" si="28"/>
        <v>3</v>
      </c>
    </row>
    <row r="475" spans="1:16" x14ac:dyDescent="0.4">
      <c r="A475" t="s">
        <v>606</v>
      </c>
      <c r="B475" t="s">
        <v>607</v>
      </c>
      <c r="C475" t="s">
        <v>40</v>
      </c>
      <c r="D475" s="1">
        <v>41115</v>
      </c>
      <c r="E475">
        <v>2</v>
      </c>
      <c r="F475">
        <v>1</v>
      </c>
      <c r="G475">
        <v>3</v>
      </c>
      <c r="H475">
        <v>323</v>
      </c>
      <c r="I475">
        <v>160</v>
      </c>
      <c r="J475">
        <v>836</v>
      </c>
      <c r="K475">
        <v>88.836256678543265</v>
      </c>
      <c r="L475">
        <v>83.399209486166015</v>
      </c>
      <c r="M475">
        <v>45.74995281465759</v>
      </c>
      <c r="N475">
        <f t="shared" si="26"/>
        <v>3</v>
      </c>
      <c r="O475">
        <f t="shared" si="27"/>
        <v>3</v>
      </c>
      <c r="P475">
        <f t="shared" si="28"/>
        <v>2</v>
      </c>
    </row>
    <row r="476" spans="1:16" x14ac:dyDescent="0.4">
      <c r="A476" t="s">
        <v>1136</v>
      </c>
      <c r="B476" t="s">
        <v>1137</v>
      </c>
      <c r="C476" t="s">
        <v>40</v>
      </c>
      <c r="D476" s="1">
        <v>41116</v>
      </c>
      <c r="E476">
        <v>2</v>
      </c>
      <c r="F476">
        <v>1</v>
      </c>
      <c r="G476">
        <v>3</v>
      </c>
      <c r="H476">
        <v>323</v>
      </c>
      <c r="I476">
        <v>160</v>
      </c>
      <c r="J476">
        <v>836</v>
      </c>
      <c r="K476">
        <v>64.460277616627721</v>
      </c>
      <c r="L476">
        <v>95.256916996047437</v>
      </c>
      <c r="M476">
        <v>77.831426917892287</v>
      </c>
      <c r="N476">
        <f t="shared" si="26"/>
        <v>3</v>
      </c>
      <c r="O476">
        <f t="shared" si="27"/>
        <v>3</v>
      </c>
      <c r="P476">
        <f t="shared" si="28"/>
        <v>3</v>
      </c>
    </row>
    <row r="477" spans="1:16" x14ac:dyDescent="0.4">
      <c r="A477" t="s">
        <v>67</v>
      </c>
      <c r="B477" t="s">
        <v>68</v>
      </c>
      <c r="C477" t="s">
        <v>40</v>
      </c>
      <c r="D477" s="1">
        <v>41117</v>
      </c>
      <c r="E477">
        <v>2</v>
      </c>
      <c r="F477">
        <v>1</v>
      </c>
      <c r="G477">
        <v>3</v>
      </c>
      <c r="H477">
        <v>323</v>
      </c>
      <c r="I477">
        <v>160</v>
      </c>
      <c r="J477">
        <v>836</v>
      </c>
      <c r="K477">
        <v>25.054324644661978</v>
      </c>
      <c r="L477">
        <v>17.588932806324109</v>
      </c>
      <c r="M477">
        <v>27.179782832434384</v>
      </c>
      <c r="N477">
        <f t="shared" si="26"/>
        <v>1</v>
      </c>
      <c r="O477">
        <f t="shared" si="27"/>
        <v>1</v>
      </c>
      <c r="P477">
        <f t="shared" si="28"/>
        <v>1</v>
      </c>
    </row>
    <row r="478" spans="1:16" x14ac:dyDescent="0.4">
      <c r="A478" t="s">
        <v>608</v>
      </c>
      <c r="B478" t="s">
        <v>609</v>
      </c>
      <c r="C478" t="s">
        <v>40</v>
      </c>
      <c r="D478" s="1">
        <v>41121</v>
      </c>
      <c r="E478">
        <v>2</v>
      </c>
      <c r="F478">
        <v>1</v>
      </c>
      <c r="G478">
        <v>3</v>
      </c>
      <c r="H478">
        <v>323</v>
      </c>
      <c r="I478">
        <v>160</v>
      </c>
      <c r="J478">
        <v>836</v>
      </c>
      <c r="K478">
        <v>97.532287841146641</v>
      </c>
      <c r="L478">
        <v>59.881422924901187</v>
      </c>
      <c r="M478">
        <v>41.541805999261307</v>
      </c>
      <c r="N478">
        <f t="shared" si="26"/>
        <v>3</v>
      </c>
      <c r="O478">
        <f t="shared" si="27"/>
        <v>3</v>
      </c>
      <c r="P478">
        <f t="shared" si="28"/>
        <v>2</v>
      </c>
    </row>
    <row r="479" spans="1:16" x14ac:dyDescent="0.4">
      <c r="A479" t="s">
        <v>46</v>
      </c>
      <c r="B479" t="s">
        <v>47</v>
      </c>
      <c r="C479" t="s">
        <v>40</v>
      </c>
      <c r="D479" s="1">
        <v>41124</v>
      </c>
      <c r="E479">
        <v>2</v>
      </c>
      <c r="F479">
        <v>1</v>
      </c>
      <c r="G479">
        <v>3</v>
      </c>
      <c r="H479">
        <v>323</v>
      </c>
      <c r="I479">
        <v>160</v>
      </c>
      <c r="J479">
        <v>836</v>
      </c>
      <c r="K479">
        <v>19.210992115500421</v>
      </c>
      <c r="L479">
        <v>57.905138339920953</v>
      </c>
      <c r="M479">
        <v>17.313910662002588</v>
      </c>
      <c r="N479">
        <f t="shared" si="26"/>
        <v>1</v>
      </c>
      <c r="O479">
        <f t="shared" si="27"/>
        <v>3</v>
      </c>
      <c r="P479">
        <f t="shared" si="28"/>
        <v>1</v>
      </c>
    </row>
    <row r="480" spans="1:16" x14ac:dyDescent="0.4">
      <c r="A480" t="s">
        <v>610</v>
      </c>
      <c r="B480" t="s">
        <v>611</v>
      </c>
      <c r="C480" t="s">
        <v>64</v>
      </c>
      <c r="D480" s="1">
        <v>41130</v>
      </c>
      <c r="E480">
        <v>2</v>
      </c>
      <c r="F480">
        <v>1</v>
      </c>
      <c r="G480">
        <v>3</v>
      </c>
      <c r="H480">
        <v>323</v>
      </c>
      <c r="I480">
        <v>160</v>
      </c>
      <c r="J480">
        <v>836</v>
      </c>
      <c r="K480">
        <v>59.256765847392266</v>
      </c>
      <c r="L480">
        <v>68.965517241379317</v>
      </c>
      <c r="M480">
        <v>19.404043230409126</v>
      </c>
      <c r="N480">
        <f t="shared" si="26"/>
        <v>3</v>
      </c>
      <c r="O480">
        <f t="shared" si="27"/>
        <v>3</v>
      </c>
      <c r="P480">
        <f t="shared" si="28"/>
        <v>1</v>
      </c>
    </row>
    <row r="481" spans="1:16" x14ac:dyDescent="0.4">
      <c r="A481" t="s">
        <v>424</v>
      </c>
      <c r="B481" t="s">
        <v>425</v>
      </c>
      <c r="C481" t="s">
        <v>40</v>
      </c>
      <c r="D481" s="1">
        <v>41135</v>
      </c>
      <c r="E481">
        <v>2</v>
      </c>
      <c r="F481">
        <v>1</v>
      </c>
      <c r="G481">
        <v>3</v>
      </c>
      <c r="H481">
        <v>323</v>
      </c>
      <c r="I481">
        <v>160</v>
      </c>
      <c r="J481">
        <v>836</v>
      </c>
      <c r="K481">
        <v>37.993031774083867</v>
      </c>
      <c r="L481">
        <v>27.865612648221344</v>
      </c>
      <c r="M481">
        <v>60.791739429926459</v>
      </c>
      <c r="N481">
        <f t="shared" si="26"/>
        <v>2</v>
      </c>
      <c r="O481">
        <f t="shared" si="27"/>
        <v>1</v>
      </c>
      <c r="P481">
        <f t="shared" si="28"/>
        <v>3</v>
      </c>
    </row>
    <row r="482" spans="1:16" x14ac:dyDescent="0.4">
      <c r="A482" t="s">
        <v>130</v>
      </c>
      <c r="B482" t="s">
        <v>131</v>
      </c>
      <c r="C482" t="s">
        <v>40</v>
      </c>
      <c r="D482" s="1">
        <v>41137</v>
      </c>
      <c r="E482">
        <v>2</v>
      </c>
      <c r="F482">
        <v>1</v>
      </c>
      <c r="G482">
        <v>3</v>
      </c>
      <c r="H482">
        <v>323</v>
      </c>
      <c r="I482">
        <v>160</v>
      </c>
      <c r="J482">
        <v>836</v>
      </c>
      <c r="K482">
        <v>12.153749377713972</v>
      </c>
      <c r="L482">
        <v>73.913043478260875</v>
      </c>
      <c r="M482">
        <v>36.720623753453296</v>
      </c>
      <c r="N482">
        <f t="shared" si="26"/>
        <v>1</v>
      </c>
      <c r="O482">
        <f t="shared" si="27"/>
        <v>3</v>
      </c>
      <c r="P482">
        <f t="shared" si="28"/>
        <v>2</v>
      </c>
    </row>
    <row r="483" spans="1:16" x14ac:dyDescent="0.4">
      <c r="A483" t="s">
        <v>1138</v>
      </c>
      <c r="B483" t="s">
        <v>1139</v>
      </c>
      <c r="C483" t="s">
        <v>64</v>
      </c>
      <c r="D483" s="1">
        <v>41137</v>
      </c>
      <c r="E483">
        <v>2</v>
      </c>
      <c r="F483">
        <v>1</v>
      </c>
      <c r="G483">
        <v>3</v>
      </c>
      <c r="H483">
        <v>323</v>
      </c>
      <c r="I483">
        <v>160</v>
      </c>
      <c r="J483">
        <v>836</v>
      </c>
      <c r="K483">
        <v>81.70399849851195</v>
      </c>
      <c r="L483">
        <v>91.461412151067321</v>
      </c>
      <c r="M483">
        <v>40.675204273172525</v>
      </c>
      <c r="N483">
        <f t="shared" si="26"/>
        <v>3</v>
      </c>
      <c r="O483">
        <f t="shared" si="27"/>
        <v>3</v>
      </c>
      <c r="P483">
        <f t="shared" si="28"/>
        <v>2</v>
      </c>
    </row>
    <row r="484" spans="1:16" x14ac:dyDescent="0.4">
      <c r="A484" t="s">
        <v>322</v>
      </c>
      <c r="B484" t="s">
        <v>323</v>
      </c>
      <c r="C484" t="s">
        <v>40</v>
      </c>
      <c r="D484" s="1">
        <v>41142</v>
      </c>
      <c r="E484">
        <v>2</v>
      </c>
      <c r="F484">
        <v>1</v>
      </c>
      <c r="G484">
        <v>3</v>
      </c>
      <c r="H484">
        <v>323</v>
      </c>
      <c r="I484">
        <v>160</v>
      </c>
      <c r="J484">
        <v>836</v>
      </c>
      <c r="K484">
        <v>31.74953854832702</v>
      </c>
      <c r="L484">
        <v>67.391304347826093</v>
      </c>
      <c r="M484">
        <v>37.358610451783768</v>
      </c>
      <c r="N484">
        <f t="shared" si="26"/>
        <v>2</v>
      </c>
      <c r="O484">
        <f t="shared" si="27"/>
        <v>3</v>
      </c>
      <c r="P484">
        <f t="shared" si="28"/>
        <v>2</v>
      </c>
    </row>
    <row r="485" spans="1:16" x14ac:dyDescent="0.4">
      <c r="A485" t="s">
        <v>426</v>
      </c>
      <c r="B485" t="s">
        <v>427</v>
      </c>
      <c r="C485" t="s">
        <v>40</v>
      </c>
      <c r="D485" s="1">
        <v>41149</v>
      </c>
      <c r="E485">
        <v>2</v>
      </c>
      <c r="F485">
        <v>1</v>
      </c>
      <c r="G485">
        <v>3</v>
      </c>
      <c r="H485">
        <v>323</v>
      </c>
      <c r="I485">
        <v>160</v>
      </c>
      <c r="J485">
        <v>836</v>
      </c>
      <c r="K485">
        <v>54.856338242569556</v>
      </c>
      <c r="L485">
        <v>58.893280632411077</v>
      </c>
      <c r="M485">
        <v>74.461587982760463</v>
      </c>
      <c r="N485">
        <f t="shared" si="26"/>
        <v>3</v>
      </c>
      <c r="O485">
        <f t="shared" si="27"/>
        <v>3</v>
      </c>
      <c r="P485">
        <f t="shared" si="28"/>
        <v>3</v>
      </c>
    </row>
    <row r="486" spans="1:16" x14ac:dyDescent="0.4">
      <c r="A486" t="s">
        <v>220</v>
      </c>
      <c r="B486" t="s">
        <v>221</v>
      </c>
      <c r="C486" t="s">
        <v>64</v>
      </c>
      <c r="D486" s="1">
        <v>41149</v>
      </c>
      <c r="E486">
        <v>2</v>
      </c>
      <c r="F486">
        <v>1</v>
      </c>
      <c r="G486">
        <v>3</v>
      </c>
      <c r="H486">
        <v>323</v>
      </c>
      <c r="I486">
        <v>160</v>
      </c>
      <c r="J486">
        <v>836</v>
      </c>
      <c r="K486">
        <v>53.175687423647325</v>
      </c>
      <c r="L486">
        <v>69.293924466338254</v>
      </c>
      <c r="M486">
        <v>28.943016143659232</v>
      </c>
      <c r="N486">
        <f t="shared" si="26"/>
        <v>3</v>
      </c>
      <c r="O486">
        <f t="shared" si="27"/>
        <v>3</v>
      </c>
      <c r="P486">
        <f t="shared" si="28"/>
        <v>1</v>
      </c>
    </row>
    <row r="487" spans="1:16" x14ac:dyDescent="0.4">
      <c r="A487" t="s">
        <v>428</v>
      </c>
      <c r="B487" t="s">
        <v>429</v>
      </c>
      <c r="C487" t="s">
        <v>40</v>
      </c>
      <c r="D487" s="1">
        <v>41156</v>
      </c>
      <c r="E487">
        <v>2</v>
      </c>
      <c r="F487">
        <v>1</v>
      </c>
      <c r="G487">
        <v>3</v>
      </c>
      <c r="H487">
        <v>323</v>
      </c>
      <c r="I487">
        <v>160</v>
      </c>
      <c r="J487">
        <v>836</v>
      </c>
      <c r="K487">
        <v>75.252462582335042</v>
      </c>
      <c r="L487">
        <v>71.936758893280626</v>
      </c>
      <c r="M487">
        <v>54.437655642616974</v>
      </c>
      <c r="N487">
        <f t="shared" si="26"/>
        <v>3</v>
      </c>
      <c r="O487">
        <f t="shared" si="27"/>
        <v>3</v>
      </c>
      <c r="P487">
        <f t="shared" si="28"/>
        <v>3</v>
      </c>
    </row>
    <row r="488" spans="1:16" x14ac:dyDescent="0.4">
      <c r="A488" t="s">
        <v>222</v>
      </c>
      <c r="B488" t="s">
        <v>223</v>
      </c>
      <c r="C488" t="s">
        <v>40</v>
      </c>
      <c r="D488" s="1">
        <v>41173</v>
      </c>
      <c r="E488">
        <v>2</v>
      </c>
      <c r="F488">
        <v>1</v>
      </c>
      <c r="G488">
        <v>3</v>
      </c>
      <c r="H488">
        <v>323</v>
      </c>
      <c r="I488">
        <v>160</v>
      </c>
      <c r="J488">
        <v>836</v>
      </c>
      <c r="K488">
        <v>55.547151070814124</v>
      </c>
      <c r="L488">
        <v>58.695652173913047</v>
      </c>
      <c r="M488">
        <v>43.637428261444818</v>
      </c>
      <c r="N488">
        <f t="shared" si="26"/>
        <v>3</v>
      </c>
      <c r="O488">
        <f t="shared" si="27"/>
        <v>3</v>
      </c>
      <c r="P488">
        <f t="shared" si="28"/>
        <v>2</v>
      </c>
    </row>
    <row r="489" spans="1:16" x14ac:dyDescent="0.4">
      <c r="A489" t="s">
        <v>1140</v>
      </c>
      <c r="B489" t="s">
        <v>1141</v>
      </c>
      <c r="C489" t="s">
        <v>64</v>
      </c>
      <c r="D489" s="1">
        <v>41177</v>
      </c>
      <c r="E489">
        <v>2</v>
      </c>
      <c r="F489">
        <v>1</v>
      </c>
      <c r="G489">
        <v>3</v>
      </c>
      <c r="H489">
        <v>323</v>
      </c>
      <c r="I489">
        <v>160</v>
      </c>
      <c r="J489">
        <v>836</v>
      </c>
      <c r="K489">
        <v>54.438267729986777</v>
      </c>
      <c r="L489">
        <v>74.79474548440065</v>
      </c>
      <c r="M489">
        <v>33.497408365917515</v>
      </c>
      <c r="N489">
        <f t="shared" si="26"/>
        <v>3</v>
      </c>
      <c r="O489">
        <f t="shared" si="27"/>
        <v>3</v>
      </c>
      <c r="P489">
        <f t="shared" si="28"/>
        <v>2</v>
      </c>
    </row>
    <row r="490" spans="1:16" x14ac:dyDescent="0.4">
      <c r="A490" t="s">
        <v>1142</v>
      </c>
      <c r="B490" t="s">
        <v>1143</v>
      </c>
      <c r="C490" t="s">
        <v>64</v>
      </c>
      <c r="D490" s="1">
        <v>41177</v>
      </c>
      <c r="E490">
        <v>2</v>
      </c>
      <c r="F490">
        <v>1</v>
      </c>
      <c r="G490">
        <v>3</v>
      </c>
      <c r="H490">
        <v>323</v>
      </c>
      <c r="I490">
        <v>160</v>
      </c>
      <c r="J490">
        <v>836</v>
      </c>
      <c r="K490">
        <v>72.847413851443946</v>
      </c>
      <c r="L490">
        <v>23.80952380952381</v>
      </c>
      <c r="M490">
        <v>57.692885416155875</v>
      </c>
      <c r="N490">
        <f t="shared" si="26"/>
        <v>3</v>
      </c>
      <c r="O490">
        <f t="shared" si="27"/>
        <v>1</v>
      </c>
      <c r="P490">
        <f t="shared" si="28"/>
        <v>3</v>
      </c>
    </row>
    <row r="491" spans="1:16" x14ac:dyDescent="0.4">
      <c r="A491" t="s">
        <v>108</v>
      </c>
      <c r="B491" t="s">
        <v>109</v>
      </c>
      <c r="C491" t="s">
        <v>40</v>
      </c>
      <c r="D491" s="1">
        <v>41227</v>
      </c>
      <c r="E491">
        <v>2</v>
      </c>
      <c r="F491">
        <v>1</v>
      </c>
      <c r="G491">
        <v>3</v>
      </c>
      <c r="H491">
        <v>323</v>
      </c>
      <c r="I491">
        <v>160</v>
      </c>
      <c r="J491">
        <v>836</v>
      </c>
      <c r="K491">
        <v>34.42676586736814</v>
      </c>
      <c r="L491">
        <v>32.015810276679844</v>
      </c>
      <c r="M491">
        <v>37.788133225592311</v>
      </c>
      <c r="N491">
        <f t="shared" si="26"/>
        <v>2</v>
      </c>
      <c r="O491">
        <f t="shared" si="27"/>
        <v>2</v>
      </c>
      <c r="P491">
        <f t="shared" si="28"/>
        <v>2</v>
      </c>
    </row>
    <row r="492" spans="1:16" x14ac:dyDescent="0.4">
      <c r="A492" t="s">
        <v>612</v>
      </c>
      <c r="B492" t="s">
        <v>613</v>
      </c>
      <c r="C492" t="s">
        <v>40</v>
      </c>
      <c r="D492" s="1">
        <v>41233</v>
      </c>
      <c r="E492">
        <v>2</v>
      </c>
      <c r="F492">
        <v>1</v>
      </c>
      <c r="G492">
        <v>3</v>
      </c>
      <c r="H492">
        <v>323</v>
      </c>
      <c r="I492">
        <v>160</v>
      </c>
      <c r="J492">
        <v>836</v>
      </c>
      <c r="K492">
        <v>88.795011448685329</v>
      </c>
      <c r="L492">
        <v>35.770750988142289</v>
      </c>
      <c r="M492">
        <v>41.101158589950934</v>
      </c>
      <c r="N492">
        <f t="shared" si="26"/>
        <v>3</v>
      </c>
      <c r="O492">
        <f t="shared" si="27"/>
        <v>2</v>
      </c>
      <c r="P492">
        <f t="shared" si="28"/>
        <v>2</v>
      </c>
    </row>
    <row r="493" spans="1:16" x14ac:dyDescent="0.4">
      <c r="A493" t="s">
        <v>614</v>
      </c>
      <c r="B493" t="s">
        <v>615</v>
      </c>
      <c r="C493" t="s">
        <v>40</v>
      </c>
      <c r="D493" s="1">
        <v>41233</v>
      </c>
      <c r="E493">
        <v>2</v>
      </c>
      <c r="F493">
        <v>1</v>
      </c>
      <c r="G493">
        <v>3</v>
      </c>
      <c r="H493">
        <v>323</v>
      </c>
      <c r="I493">
        <v>160</v>
      </c>
      <c r="J493">
        <v>836</v>
      </c>
      <c r="K493">
        <v>86.328855973523986</v>
      </c>
      <c r="L493">
        <v>12.055335968379447</v>
      </c>
      <c r="M493">
        <v>24.759099179297362</v>
      </c>
      <c r="N493">
        <f t="shared" si="26"/>
        <v>3</v>
      </c>
      <c r="O493">
        <f t="shared" si="27"/>
        <v>1</v>
      </c>
      <c r="P493">
        <f t="shared" si="28"/>
        <v>1</v>
      </c>
    </row>
    <row r="494" spans="1:16" x14ac:dyDescent="0.4">
      <c r="A494" t="s">
        <v>616</v>
      </c>
      <c r="B494" t="s">
        <v>617</v>
      </c>
      <c r="C494" t="s">
        <v>40</v>
      </c>
      <c r="D494" s="1">
        <v>41241</v>
      </c>
      <c r="E494">
        <v>2</v>
      </c>
      <c r="F494">
        <v>1</v>
      </c>
      <c r="G494">
        <v>3</v>
      </c>
      <c r="H494">
        <v>323</v>
      </c>
      <c r="I494">
        <v>160</v>
      </c>
      <c r="J494">
        <v>836</v>
      </c>
      <c r="K494">
        <v>77.670564058481034</v>
      </c>
      <c r="L494">
        <v>25.098814229249012</v>
      </c>
      <c r="M494">
        <v>36.548571636290937</v>
      </c>
      <c r="N494">
        <f t="shared" si="26"/>
        <v>3</v>
      </c>
      <c r="O494">
        <f t="shared" si="27"/>
        <v>1</v>
      </c>
      <c r="P494">
        <f t="shared" si="28"/>
        <v>2</v>
      </c>
    </row>
    <row r="495" spans="1:16" x14ac:dyDescent="0.4">
      <c r="A495" t="s">
        <v>195</v>
      </c>
      <c r="B495" t="s">
        <v>196</v>
      </c>
      <c r="C495" t="s">
        <v>40</v>
      </c>
      <c r="D495" s="1">
        <v>41254</v>
      </c>
      <c r="E495">
        <v>2</v>
      </c>
      <c r="F495">
        <v>1</v>
      </c>
      <c r="G495">
        <v>3</v>
      </c>
      <c r="H495">
        <v>323</v>
      </c>
      <c r="I495">
        <v>160</v>
      </c>
      <c r="J495">
        <v>836</v>
      </c>
      <c r="K495">
        <v>38.551554040429352</v>
      </c>
      <c r="L495">
        <v>69.565217391304344</v>
      </c>
      <c r="M495">
        <v>47.546713905724971</v>
      </c>
      <c r="N495">
        <f t="shared" si="26"/>
        <v>2</v>
      </c>
      <c r="O495">
        <f t="shared" si="27"/>
        <v>3</v>
      </c>
      <c r="P495">
        <f t="shared" si="28"/>
        <v>2</v>
      </c>
    </row>
    <row r="496" spans="1:16" x14ac:dyDescent="0.4">
      <c r="A496" t="s">
        <v>197</v>
      </c>
      <c r="B496" t="s">
        <v>198</v>
      </c>
      <c r="C496" t="s">
        <v>40</v>
      </c>
      <c r="D496" s="1">
        <v>41261</v>
      </c>
      <c r="E496">
        <v>2</v>
      </c>
      <c r="F496">
        <v>1</v>
      </c>
      <c r="G496">
        <v>3</v>
      </c>
      <c r="H496">
        <v>323</v>
      </c>
      <c r="I496">
        <v>160</v>
      </c>
      <c r="J496">
        <v>836</v>
      </c>
      <c r="K496">
        <v>6.3073034811683462</v>
      </c>
      <c r="L496">
        <v>80.830039525691703</v>
      </c>
      <c r="M496">
        <v>38.744448937725458</v>
      </c>
      <c r="N496">
        <f t="shared" si="26"/>
        <v>1</v>
      </c>
      <c r="O496">
        <f t="shared" si="27"/>
        <v>3</v>
      </c>
      <c r="P496">
        <f t="shared" si="28"/>
        <v>2</v>
      </c>
    </row>
    <row r="497" spans="1:16" x14ac:dyDescent="0.4">
      <c r="A497" t="s">
        <v>1144</v>
      </c>
      <c r="B497" t="s">
        <v>1145</v>
      </c>
      <c r="C497" t="s">
        <v>64</v>
      </c>
      <c r="D497" s="1">
        <v>41267</v>
      </c>
      <c r="E497">
        <v>2</v>
      </c>
      <c r="F497">
        <v>1</v>
      </c>
      <c r="G497">
        <v>3</v>
      </c>
      <c r="H497">
        <v>323</v>
      </c>
      <c r="I497">
        <v>160</v>
      </c>
      <c r="J497">
        <v>836</v>
      </c>
      <c r="K497">
        <v>19.320600363174659</v>
      </c>
      <c r="L497">
        <v>81.034482758620683</v>
      </c>
      <c r="M497">
        <v>77.600726789950173</v>
      </c>
      <c r="N497">
        <f t="shared" si="26"/>
        <v>1</v>
      </c>
      <c r="O497">
        <f t="shared" si="27"/>
        <v>3</v>
      </c>
      <c r="P497">
        <f t="shared" si="28"/>
        <v>3</v>
      </c>
    </row>
    <row r="498" spans="1:16" x14ac:dyDescent="0.4">
      <c r="A498" t="s">
        <v>1146</v>
      </c>
      <c r="B498" t="s">
        <v>1147</v>
      </c>
      <c r="C498" t="s">
        <v>64</v>
      </c>
      <c r="D498" s="1">
        <v>41304</v>
      </c>
      <c r="E498">
        <v>2</v>
      </c>
      <c r="F498">
        <v>1</v>
      </c>
      <c r="G498">
        <v>3</v>
      </c>
      <c r="H498">
        <v>323</v>
      </c>
      <c r="I498">
        <v>160</v>
      </c>
      <c r="J498">
        <v>836</v>
      </c>
      <c r="K498">
        <v>65.05175008507257</v>
      </c>
      <c r="L498">
        <v>25.697865353037763</v>
      </c>
      <c r="M498">
        <v>59.63299622524648</v>
      </c>
      <c r="N498">
        <f t="shared" si="26"/>
        <v>3</v>
      </c>
      <c r="O498">
        <f t="shared" si="27"/>
        <v>1</v>
      </c>
      <c r="P498">
        <f t="shared" si="28"/>
        <v>3</v>
      </c>
    </row>
    <row r="499" spans="1:16" x14ac:dyDescent="0.4">
      <c r="A499" t="s">
        <v>1148</v>
      </c>
      <c r="B499" t="s">
        <v>1149</v>
      </c>
      <c r="C499" t="s">
        <v>64</v>
      </c>
      <c r="D499" s="1">
        <v>41305</v>
      </c>
      <c r="E499">
        <v>2</v>
      </c>
      <c r="F499">
        <v>1</v>
      </c>
      <c r="G499">
        <v>3</v>
      </c>
      <c r="H499">
        <v>323</v>
      </c>
      <c r="I499">
        <v>160</v>
      </c>
      <c r="J499">
        <v>836</v>
      </c>
      <c r="K499">
        <v>83.265369605038984</v>
      </c>
      <c r="L499">
        <v>83.990147783251231</v>
      </c>
      <c r="M499">
        <v>31.526845807750878</v>
      </c>
      <c r="N499">
        <f t="shared" si="26"/>
        <v>3</v>
      </c>
      <c r="O499">
        <f t="shared" si="27"/>
        <v>3</v>
      </c>
      <c r="P499">
        <f t="shared" si="28"/>
        <v>2</v>
      </c>
    </row>
    <row r="500" spans="1:16" x14ac:dyDescent="0.4">
      <c r="A500" t="s">
        <v>1150</v>
      </c>
      <c r="B500" t="s">
        <v>1151</v>
      </c>
      <c r="C500" t="s">
        <v>40</v>
      </c>
      <c r="D500" s="1">
        <v>41311</v>
      </c>
      <c r="E500">
        <v>2</v>
      </c>
      <c r="F500">
        <v>1</v>
      </c>
      <c r="G500">
        <v>3</v>
      </c>
      <c r="H500">
        <v>323</v>
      </c>
      <c r="I500">
        <v>160</v>
      </c>
      <c r="J500">
        <v>836</v>
      </c>
      <c r="K500">
        <v>88.241551848329422</v>
      </c>
      <c r="L500">
        <v>19.169960474308301</v>
      </c>
      <c r="M500">
        <v>35.084687145480338</v>
      </c>
      <c r="N500">
        <f t="shared" si="26"/>
        <v>3</v>
      </c>
      <c r="O500">
        <f t="shared" si="27"/>
        <v>1</v>
      </c>
      <c r="P500">
        <f t="shared" si="28"/>
        <v>2</v>
      </c>
    </row>
    <row r="501" spans="1:16" x14ac:dyDescent="0.4">
      <c r="A501" t="s">
        <v>656</v>
      </c>
      <c r="B501" t="s">
        <v>657</v>
      </c>
      <c r="C501" t="s">
        <v>40</v>
      </c>
      <c r="D501" s="1">
        <v>41312</v>
      </c>
      <c r="E501">
        <v>2</v>
      </c>
      <c r="F501">
        <v>1</v>
      </c>
      <c r="G501">
        <v>3</v>
      </c>
      <c r="H501">
        <v>323</v>
      </c>
      <c r="I501">
        <v>160</v>
      </c>
      <c r="J501">
        <v>836</v>
      </c>
      <c r="K501">
        <v>59.106608208372442</v>
      </c>
      <c r="L501">
        <v>66.007905138339922</v>
      </c>
      <c r="M501">
        <v>48.915785144798541</v>
      </c>
      <c r="N501">
        <f t="shared" si="26"/>
        <v>3</v>
      </c>
      <c r="O501">
        <f t="shared" si="27"/>
        <v>3</v>
      </c>
      <c r="P501">
        <f t="shared" si="28"/>
        <v>2</v>
      </c>
    </row>
    <row r="502" spans="1:16" x14ac:dyDescent="0.4">
      <c r="A502" t="s">
        <v>324</v>
      </c>
      <c r="B502" t="s">
        <v>325</v>
      </c>
      <c r="C502" t="s">
        <v>40</v>
      </c>
      <c r="D502" s="1">
        <v>41324</v>
      </c>
      <c r="E502">
        <v>2</v>
      </c>
      <c r="F502">
        <v>1</v>
      </c>
      <c r="G502">
        <v>3</v>
      </c>
      <c r="H502">
        <v>323</v>
      </c>
      <c r="I502">
        <v>160</v>
      </c>
      <c r="J502">
        <v>836</v>
      </c>
      <c r="K502">
        <v>27.929209464705728</v>
      </c>
      <c r="L502">
        <v>0.98814229249011853</v>
      </c>
      <c r="M502">
        <v>33.688285791939933</v>
      </c>
      <c r="N502">
        <f t="shared" si="26"/>
        <v>1</v>
      </c>
      <c r="O502">
        <f t="shared" si="27"/>
        <v>1</v>
      </c>
      <c r="P502">
        <f t="shared" si="28"/>
        <v>2</v>
      </c>
    </row>
    <row r="503" spans="1:16" x14ac:dyDescent="0.4">
      <c r="A503" t="s">
        <v>1152</v>
      </c>
      <c r="B503" t="s">
        <v>1153</v>
      </c>
      <c r="C503" t="s">
        <v>40</v>
      </c>
      <c r="D503" s="1">
        <v>41339</v>
      </c>
      <c r="E503">
        <v>2</v>
      </c>
      <c r="F503">
        <v>1</v>
      </c>
      <c r="G503">
        <v>3</v>
      </c>
      <c r="H503">
        <v>323</v>
      </c>
      <c r="I503">
        <v>160</v>
      </c>
      <c r="J503">
        <v>836</v>
      </c>
      <c r="K503">
        <v>67.29800522350034</v>
      </c>
      <c r="L503">
        <v>2.9644268774703559</v>
      </c>
      <c r="M503">
        <v>51.360553864798348</v>
      </c>
      <c r="N503">
        <f t="shared" si="26"/>
        <v>3</v>
      </c>
      <c r="O503">
        <f t="shared" si="27"/>
        <v>1</v>
      </c>
      <c r="P503">
        <f t="shared" si="28"/>
        <v>3</v>
      </c>
    </row>
    <row r="504" spans="1:16" x14ac:dyDescent="0.4">
      <c r="A504" t="s">
        <v>618</v>
      </c>
      <c r="B504" t="s">
        <v>619</v>
      </c>
      <c r="C504" t="s">
        <v>64</v>
      </c>
      <c r="D504" s="1">
        <v>41351</v>
      </c>
      <c r="E504">
        <v>2</v>
      </c>
      <c r="F504">
        <v>1</v>
      </c>
      <c r="G504">
        <v>3</v>
      </c>
      <c r="H504">
        <v>323</v>
      </c>
      <c r="I504">
        <v>160</v>
      </c>
      <c r="J504">
        <v>836</v>
      </c>
      <c r="K504">
        <v>83.807010821630215</v>
      </c>
      <c r="L504">
        <v>54.761904761904759</v>
      </c>
      <c r="M504">
        <v>23.244025571967999</v>
      </c>
      <c r="N504">
        <f t="shared" si="26"/>
        <v>3</v>
      </c>
      <c r="O504">
        <f t="shared" si="27"/>
        <v>3</v>
      </c>
      <c r="P504">
        <f t="shared" si="28"/>
        <v>1</v>
      </c>
    </row>
    <row r="505" spans="1:16" x14ac:dyDescent="0.4">
      <c r="A505" t="s">
        <v>620</v>
      </c>
      <c r="B505" t="s">
        <v>621</v>
      </c>
      <c r="C505" t="s">
        <v>40</v>
      </c>
      <c r="D505" s="1">
        <v>41352</v>
      </c>
      <c r="E505">
        <v>2</v>
      </c>
      <c r="F505">
        <v>1</v>
      </c>
      <c r="G505">
        <v>3</v>
      </c>
      <c r="H505">
        <v>323</v>
      </c>
      <c r="I505">
        <v>160</v>
      </c>
      <c r="J505">
        <v>836</v>
      </c>
      <c r="K505">
        <v>48.2745452770234</v>
      </c>
      <c r="L505">
        <v>4.7430830039525693</v>
      </c>
      <c r="M505">
        <v>24.852075162227521</v>
      </c>
      <c r="N505">
        <f t="shared" si="26"/>
        <v>2</v>
      </c>
      <c r="O505">
        <f t="shared" si="27"/>
        <v>1</v>
      </c>
      <c r="P505">
        <f t="shared" si="28"/>
        <v>1</v>
      </c>
    </row>
    <row r="506" spans="1:16" x14ac:dyDescent="0.4">
      <c r="A506" t="s">
        <v>326</v>
      </c>
      <c r="B506" t="s">
        <v>327</v>
      </c>
      <c r="C506" t="s">
        <v>40</v>
      </c>
      <c r="D506" s="1">
        <v>41352</v>
      </c>
      <c r="E506">
        <v>2</v>
      </c>
      <c r="F506">
        <v>1</v>
      </c>
      <c r="G506">
        <v>3</v>
      </c>
      <c r="H506">
        <v>323</v>
      </c>
      <c r="I506">
        <v>160</v>
      </c>
      <c r="J506">
        <v>836</v>
      </c>
      <c r="K506">
        <v>37.445798908496101</v>
      </c>
      <c r="L506">
        <v>33.003952569169961</v>
      </c>
      <c r="M506">
        <v>68.583679248287481</v>
      </c>
      <c r="N506">
        <f t="shared" si="26"/>
        <v>2</v>
      </c>
      <c r="O506">
        <f t="shared" si="27"/>
        <v>2</v>
      </c>
      <c r="P506">
        <f t="shared" si="28"/>
        <v>3</v>
      </c>
    </row>
    <row r="507" spans="1:16" x14ac:dyDescent="0.4">
      <c r="A507" t="s">
        <v>1154</v>
      </c>
      <c r="B507" t="s">
        <v>1155</v>
      </c>
      <c r="C507" t="s">
        <v>64</v>
      </c>
      <c r="D507" s="1">
        <v>41358</v>
      </c>
      <c r="E507">
        <v>2</v>
      </c>
      <c r="F507">
        <v>1</v>
      </c>
      <c r="G507">
        <v>3</v>
      </c>
      <c r="H507">
        <v>323</v>
      </c>
      <c r="I507">
        <v>160</v>
      </c>
      <c r="J507">
        <v>836</v>
      </c>
      <c r="K507">
        <v>59.318839055328262</v>
      </c>
      <c r="L507">
        <v>98.686371100164209</v>
      </c>
      <c r="M507">
        <v>41.955137178877479</v>
      </c>
      <c r="N507">
        <f t="shared" si="26"/>
        <v>3</v>
      </c>
      <c r="O507">
        <f t="shared" si="27"/>
        <v>3</v>
      </c>
      <c r="P507">
        <f t="shared" si="28"/>
        <v>2</v>
      </c>
    </row>
    <row r="508" spans="1:16" x14ac:dyDescent="0.4">
      <c r="A508" t="s">
        <v>622</v>
      </c>
      <c r="B508" t="s">
        <v>623</v>
      </c>
      <c r="C508" t="s">
        <v>40</v>
      </c>
      <c r="D508" s="1">
        <v>41359</v>
      </c>
      <c r="E508">
        <v>2</v>
      </c>
      <c r="F508">
        <v>1</v>
      </c>
      <c r="G508">
        <v>3</v>
      </c>
      <c r="H508">
        <v>323</v>
      </c>
      <c r="I508">
        <v>160</v>
      </c>
      <c r="J508">
        <v>836</v>
      </c>
      <c r="K508">
        <v>49.838437241108778</v>
      </c>
      <c r="L508">
        <v>70.355731225296438</v>
      </c>
      <c r="M508">
        <v>50.990229328251012</v>
      </c>
      <c r="N508">
        <f t="shared" si="26"/>
        <v>2</v>
      </c>
      <c r="O508">
        <f t="shared" si="27"/>
        <v>3</v>
      </c>
      <c r="P508">
        <f t="shared" si="28"/>
        <v>3</v>
      </c>
    </row>
    <row r="509" spans="1:16" x14ac:dyDescent="0.4">
      <c r="A509" t="s">
        <v>1156</v>
      </c>
      <c r="B509" t="s">
        <v>1157</v>
      </c>
      <c r="C509" t="s">
        <v>40</v>
      </c>
      <c r="D509" s="1">
        <v>41360</v>
      </c>
      <c r="E509">
        <v>2</v>
      </c>
      <c r="F509">
        <v>1</v>
      </c>
      <c r="G509">
        <v>3</v>
      </c>
      <c r="H509">
        <v>323</v>
      </c>
      <c r="I509">
        <v>160</v>
      </c>
      <c r="J509">
        <v>836</v>
      </c>
      <c r="K509">
        <v>73.651806019992009</v>
      </c>
      <c r="L509">
        <v>20.158102766798418</v>
      </c>
      <c r="M509">
        <v>51.489142886298801</v>
      </c>
      <c r="N509">
        <f t="shared" si="26"/>
        <v>3</v>
      </c>
      <c r="O509">
        <f t="shared" si="27"/>
        <v>1</v>
      </c>
      <c r="P509">
        <f t="shared" si="28"/>
        <v>3</v>
      </c>
    </row>
    <row r="510" spans="1:16" x14ac:dyDescent="0.4">
      <c r="A510" t="s">
        <v>1158</v>
      </c>
      <c r="B510" t="s">
        <v>1159</v>
      </c>
      <c r="C510" t="s">
        <v>64</v>
      </c>
      <c r="D510" s="1">
        <v>41373</v>
      </c>
      <c r="E510">
        <v>2</v>
      </c>
      <c r="F510">
        <v>1</v>
      </c>
      <c r="G510">
        <v>3</v>
      </c>
      <c r="H510">
        <v>323</v>
      </c>
      <c r="I510">
        <v>160</v>
      </c>
      <c r="J510">
        <v>836</v>
      </c>
      <c r="K510">
        <v>80.708825417732854</v>
      </c>
      <c r="L510">
        <v>86.288998357963877</v>
      </c>
      <c r="M510">
        <v>31.282867550584811</v>
      </c>
      <c r="N510">
        <f t="shared" si="26"/>
        <v>3</v>
      </c>
      <c r="O510">
        <f t="shared" si="27"/>
        <v>3</v>
      </c>
      <c r="P510">
        <f t="shared" si="28"/>
        <v>2</v>
      </c>
    </row>
    <row r="511" spans="1:16" x14ac:dyDescent="0.4">
      <c r="A511" t="s">
        <v>1160</v>
      </c>
      <c r="B511" t="s">
        <v>1161</v>
      </c>
      <c r="C511" t="s">
        <v>64</v>
      </c>
      <c r="D511" s="1">
        <v>41376</v>
      </c>
      <c r="E511">
        <v>2</v>
      </c>
      <c r="F511">
        <v>1</v>
      </c>
      <c r="G511">
        <v>3</v>
      </c>
      <c r="H511">
        <v>323</v>
      </c>
      <c r="I511">
        <v>160</v>
      </c>
      <c r="J511">
        <v>836</v>
      </c>
      <c r="K511">
        <v>71.291054194438402</v>
      </c>
      <c r="L511">
        <v>48.522167487684726</v>
      </c>
      <c r="M511">
        <v>26.272990259821473</v>
      </c>
      <c r="N511">
        <f t="shared" si="26"/>
        <v>3</v>
      </c>
      <c r="O511">
        <f t="shared" si="27"/>
        <v>2</v>
      </c>
      <c r="P511">
        <f t="shared" si="28"/>
        <v>1</v>
      </c>
    </row>
    <row r="512" spans="1:16" x14ac:dyDescent="0.4">
      <c r="A512" t="s">
        <v>1162</v>
      </c>
      <c r="B512" t="s">
        <v>1163</v>
      </c>
      <c r="C512" t="s">
        <v>64</v>
      </c>
      <c r="D512" s="1">
        <v>41376</v>
      </c>
      <c r="E512">
        <v>2</v>
      </c>
      <c r="F512">
        <v>1</v>
      </c>
      <c r="G512">
        <v>3</v>
      </c>
      <c r="H512">
        <v>323</v>
      </c>
      <c r="I512">
        <v>160</v>
      </c>
      <c r="J512">
        <v>836</v>
      </c>
      <c r="K512">
        <v>70.386353713052742</v>
      </c>
      <c r="L512">
        <v>64.696223316912977</v>
      </c>
      <c r="M512">
        <v>47.993019746164642</v>
      </c>
      <c r="N512">
        <f t="shared" si="26"/>
        <v>3</v>
      </c>
      <c r="O512">
        <f t="shared" si="27"/>
        <v>3</v>
      </c>
      <c r="P512">
        <f t="shared" si="28"/>
        <v>2</v>
      </c>
    </row>
    <row r="513" spans="1:16" x14ac:dyDescent="0.4">
      <c r="A513" t="s">
        <v>430</v>
      </c>
      <c r="B513" t="s">
        <v>431</v>
      </c>
      <c r="C513" t="s">
        <v>40</v>
      </c>
      <c r="D513" s="1">
        <v>41389</v>
      </c>
      <c r="E513">
        <v>2</v>
      </c>
      <c r="F513">
        <v>1</v>
      </c>
      <c r="G513">
        <v>3</v>
      </c>
      <c r="H513">
        <v>323</v>
      </c>
      <c r="I513">
        <v>160</v>
      </c>
      <c r="J513">
        <v>836</v>
      </c>
      <c r="K513">
        <v>51.512244161015509</v>
      </c>
      <c r="L513">
        <v>54.1501976284585</v>
      </c>
      <c r="M513">
        <v>64.788890036207405</v>
      </c>
      <c r="N513">
        <f t="shared" si="26"/>
        <v>3</v>
      </c>
      <c r="O513">
        <f t="shared" si="27"/>
        <v>3</v>
      </c>
      <c r="P513">
        <f t="shared" si="28"/>
        <v>3</v>
      </c>
    </row>
    <row r="514" spans="1:16" x14ac:dyDescent="0.4">
      <c r="A514" t="s">
        <v>1164</v>
      </c>
      <c r="B514" t="s">
        <v>1165</v>
      </c>
      <c r="C514" t="s">
        <v>40</v>
      </c>
      <c r="D514" s="1">
        <v>41397</v>
      </c>
      <c r="E514">
        <v>2</v>
      </c>
      <c r="F514">
        <v>1</v>
      </c>
      <c r="G514">
        <v>3</v>
      </c>
      <c r="H514">
        <v>323</v>
      </c>
      <c r="I514">
        <v>160</v>
      </c>
      <c r="J514">
        <v>836</v>
      </c>
      <c r="K514">
        <v>69.693352254616983</v>
      </c>
      <c r="L514">
        <v>5.5335968379446641</v>
      </c>
      <c r="M514">
        <v>19.320673399121418</v>
      </c>
      <c r="N514">
        <f t="shared" si="26"/>
        <v>3</v>
      </c>
      <c r="O514">
        <f t="shared" si="27"/>
        <v>1</v>
      </c>
      <c r="P514">
        <f t="shared" si="28"/>
        <v>1</v>
      </c>
    </row>
    <row r="515" spans="1:16" x14ac:dyDescent="0.4">
      <c r="A515" t="s">
        <v>1166</v>
      </c>
      <c r="B515" t="s">
        <v>1167</v>
      </c>
      <c r="C515" t="s">
        <v>64</v>
      </c>
      <c r="D515" s="1">
        <v>41404</v>
      </c>
      <c r="E515">
        <v>2</v>
      </c>
      <c r="F515">
        <v>1</v>
      </c>
      <c r="G515">
        <v>3</v>
      </c>
      <c r="H515">
        <v>323</v>
      </c>
      <c r="I515">
        <v>160</v>
      </c>
      <c r="J515">
        <v>836</v>
      </c>
      <c r="K515">
        <v>49.961088261069641</v>
      </c>
      <c r="L515">
        <v>97.865353037766837</v>
      </c>
      <c r="M515">
        <v>56.25183313334329</v>
      </c>
      <c r="N515">
        <f t="shared" ref="N515:N559" si="29">IF(AND(K515&gt;0,K515&lt;30),1,IF(AND(K515&gt;=30,K515&lt;50),2,IF(K515&gt;=50,3,0)))</f>
        <v>2</v>
      </c>
      <c r="O515">
        <f t="shared" ref="O515:O559" si="30">IF(AND(L515&gt;0,L515&lt;30),1,IF(AND(L515&gt;=30,L515&lt;50),2,IF(L515&gt;=50,3,0)))</f>
        <v>3</v>
      </c>
      <c r="P515">
        <f t="shared" ref="P515:P559" si="31">IF(AND(M515&gt;0,M515&lt;30),1,IF(AND(M515&gt;=30,M515&lt;50),2,IF(M515&gt;=50,3,0)))</f>
        <v>3</v>
      </c>
    </row>
    <row r="516" spans="1:16" x14ac:dyDescent="0.4">
      <c r="A516" t="s">
        <v>624</v>
      </c>
      <c r="B516" t="s">
        <v>625</v>
      </c>
      <c r="C516" t="s">
        <v>64</v>
      </c>
      <c r="D516" s="1">
        <v>41409</v>
      </c>
      <c r="E516">
        <v>2</v>
      </c>
      <c r="F516">
        <v>1</v>
      </c>
      <c r="G516">
        <v>3</v>
      </c>
      <c r="H516">
        <v>323</v>
      </c>
      <c r="I516">
        <v>160</v>
      </c>
      <c r="J516">
        <v>836</v>
      </c>
      <c r="K516">
        <v>70.748839534257669</v>
      </c>
      <c r="L516">
        <v>3.3661740558292279</v>
      </c>
      <c r="M516">
        <v>50.619426623346264</v>
      </c>
      <c r="N516">
        <f t="shared" si="29"/>
        <v>3</v>
      </c>
      <c r="O516">
        <f t="shared" si="30"/>
        <v>1</v>
      </c>
      <c r="P516">
        <f t="shared" si="31"/>
        <v>3</v>
      </c>
    </row>
    <row r="517" spans="1:16" x14ac:dyDescent="0.4">
      <c r="A517" t="s">
        <v>432</v>
      </c>
      <c r="B517" t="s">
        <v>433</v>
      </c>
      <c r="C517" t="s">
        <v>64</v>
      </c>
      <c r="D517" s="1">
        <v>41416</v>
      </c>
      <c r="E517">
        <v>2</v>
      </c>
      <c r="F517">
        <v>1</v>
      </c>
      <c r="G517">
        <v>3</v>
      </c>
      <c r="H517">
        <v>323</v>
      </c>
      <c r="I517">
        <v>160</v>
      </c>
      <c r="J517">
        <v>836</v>
      </c>
      <c r="K517">
        <v>55.942029147058285</v>
      </c>
      <c r="L517">
        <v>93.185550082101813</v>
      </c>
      <c r="M517">
        <v>54.767848764501373</v>
      </c>
      <c r="N517">
        <f t="shared" si="29"/>
        <v>3</v>
      </c>
      <c r="O517">
        <f t="shared" si="30"/>
        <v>3</v>
      </c>
      <c r="P517">
        <f t="shared" si="31"/>
        <v>3</v>
      </c>
    </row>
    <row r="518" spans="1:16" x14ac:dyDescent="0.4">
      <c r="A518" t="s">
        <v>1168</v>
      </c>
      <c r="B518" t="s">
        <v>1169</v>
      </c>
      <c r="C518" t="s">
        <v>40</v>
      </c>
      <c r="D518" s="1">
        <v>41417</v>
      </c>
      <c r="E518">
        <v>2</v>
      </c>
      <c r="F518">
        <v>1</v>
      </c>
      <c r="G518">
        <v>3</v>
      </c>
      <c r="H518">
        <v>323</v>
      </c>
      <c r="I518">
        <v>160</v>
      </c>
      <c r="J518">
        <v>836</v>
      </c>
      <c r="K518">
        <v>51.321395429170288</v>
      </c>
      <c r="L518">
        <v>80.434782608695656</v>
      </c>
      <c r="M518">
        <v>31.559190432793635</v>
      </c>
      <c r="N518">
        <f t="shared" si="29"/>
        <v>3</v>
      </c>
      <c r="O518">
        <f t="shared" si="30"/>
        <v>3</v>
      </c>
      <c r="P518">
        <f t="shared" si="31"/>
        <v>2</v>
      </c>
    </row>
    <row r="519" spans="1:16" x14ac:dyDescent="0.4">
      <c r="A519" t="s">
        <v>1170</v>
      </c>
      <c r="B519" t="s">
        <v>1171</v>
      </c>
      <c r="C519" t="s">
        <v>43</v>
      </c>
      <c r="D519" s="1">
        <v>41422</v>
      </c>
      <c r="E519">
        <v>2</v>
      </c>
      <c r="F519">
        <v>1</v>
      </c>
      <c r="G519">
        <v>3</v>
      </c>
      <c r="H519">
        <v>323</v>
      </c>
      <c r="I519">
        <v>160</v>
      </c>
      <c r="J519">
        <v>836</v>
      </c>
      <c r="K519">
        <v>46.193448645975892</v>
      </c>
      <c r="L519">
        <v>42.131979695431475</v>
      </c>
      <c r="M519">
        <v>38.736943685639964</v>
      </c>
      <c r="N519">
        <f t="shared" si="29"/>
        <v>2</v>
      </c>
      <c r="O519">
        <f t="shared" si="30"/>
        <v>2</v>
      </c>
      <c r="P519">
        <f t="shared" si="31"/>
        <v>2</v>
      </c>
    </row>
    <row r="520" spans="1:16" x14ac:dyDescent="0.4">
      <c r="A520" t="s">
        <v>1172</v>
      </c>
      <c r="B520" t="s">
        <v>1173</v>
      </c>
      <c r="C520" t="s">
        <v>40</v>
      </c>
      <c r="D520" s="1">
        <v>41422</v>
      </c>
      <c r="E520">
        <v>2</v>
      </c>
      <c r="F520">
        <v>1</v>
      </c>
      <c r="G520">
        <v>3</v>
      </c>
      <c r="H520">
        <v>323</v>
      </c>
      <c r="I520">
        <v>160</v>
      </c>
      <c r="J520">
        <v>836</v>
      </c>
      <c r="K520">
        <v>78.317600323872867</v>
      </c>
      <c r="L520">
        <v>9.0909090909090917</v>
      </c>
      <c r="M520">
        <v>50.906156811535375</v>
      </c>
      <c r="N520">
        <f t="shared" si="29"/>
        <v>3</v>
      </c>
      <c r="O520">
        <f t="shared" si="30"/>
        <v>1</v>
      </c>
      <c r="P520">
        <f t="shared" si="31"/>
        <v>3</v>
      </c>
    </row>
    <row r="521" spans="1:16" x14ac:dyDescent="0.4">
      <c r="A521" t="s">
        <v>434</v>
      </c>
      <c r="B521" t="s">
        <v>435</v>
      </c>
      <c r="C521" t="s">
        <v>64</v>
      </c>
      <c r="D521" s="1">
        <v>41430</v>
      </c>
      <c r="E521">
        <v>2</v>
      </c>
      <c r="F521">
        <v>1</v>
      </c>
      <c r="G521">
        <v>3</v>
      </c>
      <c r="H521">
        <v>323</v>
      </c>
      <c r="I521">
        <v>160</v>
      </c>
      <c r="J521">
        <v>836</v>
      </c>
      <c r="K521">
        <v>48.82105453756256</v>
      </c>
      <c r="L521">
        <v>3.284072249589491</v>
      </c>
      <c r="M521">
        <v>28.468836465891258</v>
      </c>
      <c r="N521">
        <f t="shared" si="29"/>
        <v>2</v>
      </c>
      <c r="O521">
        <f t="shared" si="30"/>
        <v>1</v>
      </c>
      <c r="P521">
        <f t="shared" si="31"/>
        <v>1</v>
      </c>
    </row>
    <row r="522" spans="1:16" x14ac:dyDescent="0.4">
      <c r="A522" t="s">
        <v>1174</v>
      </c>
      <c r="B522" t="s">
        <v>1175</v>
      </c>
      <c r="C522" t="s">
        <v>40</v>
      </c>
      <c r="D522" s="1">
        <v>41430</v>
      </c>
      <c r="E522">
        <v>2</v>
      </c>
      <c r="F522">
        <v>1</v>
      </c>
      <c r="G522">
        <v>3</v>
      </c>
      <c r="H522">
        <v>323</v>
      </c>
      <c r="I522">
        <v>160</v>
      </c>
      <c r="J522">
        <v>836</v>
      </c>
      <c r="K522">
        <v>62.849902113180889</v>
      </c>
      <c r="L522">
        <v>93.083003952569172</v>
      </c>
      <c r="M522">
        <v>50.280198168637646</v>
      </c>
      <c r="N522">
        <f t="shared" si="29"/>
        <v>3</v>
      </c>
      <c r="O522">
        <f t="shared" si="30"/>
        <v>3</v>
      </c>
      <c r="P522">
        <f t="shared" si="31"/>
        <v>3</v>
      </c>
    </row>
    <row r="523" spans="1:16" x14ac:dyDescent="0.4">
      <c r="A523" t="s">
        <v>436</v>
      </c>
      <c r="B523" t="s">
        <v>437</v>
      </c>
      <c r="C523" t="s">
        <v>40</v>
      </c>
      <c r="D523" s="1">
        <v>41432</v>
      </c>
      <c r="E523">
        <v>2</v>
      </c>
      <c r="F523">
        <v>1</v>
      </c>
      <c r="G523">
        <v>3</v>
      </c>
      <c r="H523">
        <v>323</v>
      </c>
      <c r="I523">
        <v>160</v>
      </c>
      <c r="J523">
        <v>836</v>
      </c>
      <c r="K523">
        <v>74.030376340336517</v>
      </c>
      <c r="L523">
        <v>53.359683794466399</v>
      </c>
      <c r="M523">
        <v>61.067559530807301</v>
      </c>
      <c r="N523">
        <f t="shared" si="29"/>
        <v>3</v>
      </c>
      <c r="O523">
        <f t="shared" si="30"/>
        <v>3</v>
      </c>
      <c r="P523">
        <f t="shared" si="31"/>
        <v>3</v>
      </c>
    </row>
    <row r="524" spans="1:16" x14ac:dyDescent="0.4">
      <c r="A524" t="s">
        <v>626</v>
      </c>
      <c r="B524" t="s">
        <v>627</v>
      </c>
      <c r="C524" t="s">
        <v>64</v>
      </c>
      <c r="D524" s="1">
        <v>41432</v>
      </c>
      <c r="E524">
        <v>2</v>
      </c>
      <c r="F524">
        <v>1</v>
      </c>
      <c r="G524">
        <v>3</v>
      </c>
      <c r="H524">
        <v>323</v>
      </c>
      <c r="I524">
        <v>160</v>
      </c>
      <c r="J524">
        <v>836</v>
      </c>
      <c r="K524">
        <v>54.903922764708057</v>
      </c>
      <c r="L524">
        <v>73.891625615763544</v>
      </c>
      <c r="M524">
        <v>17.920846567108399</v>
      </c>
      <c r="N524">
        <f t="shared" si="29"/>
        <v>3</v>
      </c>
      <c r="O524">
        <f t="shared" si="30"/>
        <v>3</v>
      </c>
      <c r="P524">
        <f t="shared" si="31"/>
        <v>1</v>
      </c>
    </row>
    <row r="525" spans="1:16" x14ac:dyDescent="0.4">
      <c r="A525" t="s">
        <v>124</v>
      </c>
      <c r="B525" t="s">
        <v>125</v>
      </c>
      <c r="C525" t="s">
        <v>40</v>
      </c>
      <c r="D525" s="1">
        <v>41439</v>
      </c>
      <c r="E525">
        <v>2</v>
      </c>
      <c r="F525">
        <v>1</v>
      </c>
      <c r="G525">
        <v>3</v>
      </c>
      <c r="H525">
        <v>323</v>
      </c>
      <c r="I525">
        <v>160</v>
      </c>
      <c r="J525">
        <v>836</v>
      </c>
      <c r="K525">
        <v>33.631303944729467</v>
      </c>
      <c r="L525">
        <v>42.490118577075101</v>
      </c>
      <c r="M525">
        <v>45.155656153719782</v>
      </c>
      <c r="N525">
        <f t="shared" si="29"/>
        <v>2</v>
      </c>
      <c r="O525">
        <f t="shared" si="30"/>
        <v>2</v>
      </c>
      <c r="P525">
        <f t="shared" si="31"/>
        <v>2</v>
      </c>
    </row>
    <row r="526" spans="1:16" x14ac:dyDescent="0.4">
      <c r="A526" t="s">
        <v>38</v>
      </c>
      <c r="B526" t="s">
        <v>39</v>
      </c>
      <c r="C526" t="s">
        <v>40</v>
      </c>
      <c r="D526" s="1">
        <v>41450</v>
      </c>
      <c r="E526">
        <v>2</v>
      </c>
      <c r="F526">
        <v>1</v>
      </c>
      <c r="G526">
        <v>3</v>
      </c>
      <c r="H526">
        <v>323</v>
      </c>
      <c r="I526">
        <v>160</v>
      </c>
      <c r="J526">
        <v>836</v>
      </c>
      <c r="K526">
        <v>26.967020519467415</v>
      </c>
      <c r="L526">
        <v>55.533596837944664</v>
      </c>
      <c r="M526">
        <v>27.500567106440585</v>
      </c>
      <c r="N526">
        <f t="shared" si="29"/>
        <v>1</v>
      </c>
      <c r="O526">
        <f t="shared" si="30"/>
        <v>3</v>
      </c>
      <c r="P526">
        <f t="shared" si="31"/>
        <v>1</v>
      </c>
    </row>
    <row r="527" spans="1:16" x14ac:dyDescent="0.4">
      <c r="A527" t="s">
        <v>1176</v>
      </c>
      <c r="B527" t="s">
        <v>1177</v>
      </c>
      <c r="C527" t="s">
        <v>40</v>
      </c>
      <c r="D527" s="1">
        <v>41450</v>
      </c>
      <c r="E527">
        <v>2</v>
      </c>
      <c r="F527">
        <v>1</v>
      </c>
      <c r="G527">
        <v>3</v>
      </c>
      <c r="H527">
        <v>323</v>
      </c>
      <c r="I527">
        <v>160</v>
      </c>
      <c r="J527">
        <v>836</v>
      </c>
      <c r="K527">
        <v>63.423977440484826</v>
      </c>
      <c r="L527">
        <v>51.778656126482211</v>
      </c>
      <c r="M527">
        <v>24.668461949995951</v>
      </c>
      <c r="N527">
        <f t="shared" si="29"/>
        <v>3</v>
      </c>
      <c r="O527">
        <f t="shared" si="30"/>
        <v>3</v>
      </c>
      <c r="P527">
        <f t="shared" si="31"/>
        <v>1</v>
      </c>
    </row>
    <row r="528" spans="1:16" x14ac:dyDescent="0.4">
      <c r="A528" t="s">
        <v>628</v>
      </c>
      <c r="B528" t="s">
        <v>629</v>
      </c>
      <c r="C528" t="s">
        <v>40</v>
      </c>
      <c r="D528" s="1">
        <v>41452</v>
      </c>
      <c r="E528">
        <v>2</v>
      </c>
      <c r="F528">
        <v>1</v>
      </c>
      <c r="G528">
        <v>3</v>
      </c>
      <c r="H528">
        <v>323</v>
      </c>
      <c r="I528">
        <v>160</v>
      </c>
      <c r="J528">
        <v>836</v>
      </c>
      <c r="K528">
        <v>57.868562514540109</v>
      </c>
      <c r="L528">
        <v>86.36363636363636</v>
      </c>
      <c r="M528">
        <v>50.731291723418629</v>
      </c>
      <c r="N528">
        <f t="shared" si="29"/>
        <v>3</v>
      </c>
      <c r="O528">
        <f t="shared" si="30"/>
        <v>3</v>
      </c>
      <c r="P528">
        <f t="shared" si="31"/>
        <v>3</v>
      </c>
    </row>
    <row r="529" spans="1:16" x14ac:dyDescent="0.4">
      <c r="A529" t="s">
        <v>1178</v>
      </c>
      <c r="B529" t="s">
        <v>1179</v>
      </c>
      <c r="C529" t="s">
        <v>64</v>
      </c>
      <c r="D529" s="1">
        <v>41470</v>
      </c>
      <c r="E529">
        <v>2</v>
      </c>
      <c r="F529">
        <v>1</v>
      </c>
      <c r="G529">
        <v>3</v>
      </c>
      <c r="H529">
        <v>323</v>
      </c>
      <c r="I529">
        <v>160</v>
      </c>
      <c r="J529">
        <v>836</v>
      </c>
      <c r="K529">
        <v>73.08811650376694</v>
      </c>
      <c r="L529">
        <v>96.141215106732346</v>
      </c>
      <c r="M529">
        <v>48.210585641535125</v>
      </c>
      <c r="N529">
        <f t="shared" si="29"/>
        <v>3</v>
      </c>
      <c r="O529">
        <f t="shared" si="30"/>
        <v>3</v>
      </c>
      <c r="P529">
        <f t="shared" si="31"/>
        <v>2</v>
      </c>
    </row>
    <row r="530" spans="1:16" x14ac:dyDescent="0.4">
      <c r="A530" t="s">
        <v>630</v>
      </c>
      <c r="B530" t="s">
        <v>631</v>
      </c>
      <c r="C530" t="s">
        <v>40</v>
      </c>
      <c r="D530" s="1">
        <v>41472</v>
      </c>
      <c r="E530">
        <v>2</v>
      </c>
      <c r="F530">
        <v>1</v>
      </c>
      <c r="G530">
        <v>3</v>
      </c>
      <c r="H530">
        <v>323</v>
      </c>
      <c r="I530">
        <v>160</v>
      </c>
      <c r="J530">
        <v>836</v>
      </c>
      <c r="K530">
        <v>51.556981597209123</v>
      </c>
      <c r="L530">
        <v>92.885375494071141</v>
      </c>
      <c r="M530">
        <v>65.427644858828771</v>
      </c>
      <c r="N530">
        <f t="shared" si="29"/>
        <v>3</v>
      </c>
      <c r="O530">
        <f t="shared" si="30"/>
        <v>3</v>
      </c>
      <c r="P530">
        <f t="shared" si="31"/>
        <v>3</v>
      </c>
    </row>
    <row r="531" spans="1:16" x14ac:dyDescent="0.4">
      <c r="A531" t="s">
        <v>1180</v>
      </c>
      <c r="B531" t="s">
        <v>1181</v>
      </c>
      <c r="C531" t="s">
        <v>64</v>
      </c>
      <c r="D531" s="1">
        <v>41484</v>
      </c>
      <c r="E531">
        <v>2</v>
      </c>
      <c r="F531">
        <v>1</v>
      </c>
      <c r="G531">
        <v>3</v>
      </c>
      <c r="H531">
        <v>323</v>
      </c>
      <c r="I531">
        <v>160</v>
      </c>
      <c r="J531">
        <v>836</v>
      </c>
      <c r="K531">
        <v>50.739589547683153</v>
      </c>
      <c r="L531">
        <v>89.326765188834159</v>
      </c>
      <c r="M531">
        <v>30.413224485791698</v>
      </c>
      <c r="N531">
        <f t="shared" si="29"/>
        <v>3</v>
      </c>
      <c r="O531">
        <f t="shared" si="30"/>
        <v>3</v>
      </c>
      <c r="P531">
        <f t="shared" si="31"/>
        <v>2</v>
      </c>
    </row>
    <row r="532" spans="1:16" x14ac:dyDescent="0.4">
      <c r="A532" t="s">
        <v>199</v>
      </c>
      <c r="B532" t="s">
        <v>200</v>
      </c>
      <c r="C532" t="s">
        <v>40</v>
      </c>
      <c r="D532" s="1">
        <v>41488</v>
      </c>
      <c r="E532">
        <v>2</v>
      </c>
      <c r="F532">
        <v>1</v>
      </c>
      <c r="G532">
        <v>3</v>
      </c>
      <c r="H532">
        <v>323</v>
      </c>
      <c r="I532">
        <v>160</v>
      </c>
      <c r="J532">
        <v>836</v>
      </c>
      <c r="K532">
        <v>37.168196056734232</v>
      </c>
      <c r="L532">
        <v>34.980237154150196</v>
      </c>
      <c r="M532">
        <v>26.044202193541384</v>
      </c>
      <c r="N532">
        <f t="shared" si="29"/>
        <v>2</v>
      </c>
      <c r="O532">
        <f t="shared" si="30"/>
        <v>2</v>
      </c>
      <c r="P532">
        <f t="shared" si="31"/>
        <v>1</v>
      </c>
    </row>
    <row r="533" spans="1:16" x14ac:dyDescent="0.4">
      <c r="A533" t="s">
        <v>224</v>
      </c>
      <c r="B533" t="s">
        <v>225</v>
      </c>
      <c r="C533" t="s">
        <v>40</v>
      </c>
      <c r="D533" s="1">
        <v>41493</v>
      </c>
      <c r="E533">
        <v>2</v>
      </c>
      <c r="F533">
        <v>1</v>
      </c>
      <c r="G533">
        <v>3</v>
      </c>
      <c r="H533">
        <v>323</v>
      </c>
      <c r="I533">
        <v>160</v>
      </c>
      <c r="J533">
        <v>836</v>
      </c>
      <c r="K533">
        <v>26.666067412325038</v>
      </c>
      <c r="L533">
        <v>91.106719367588937</v>
      </c>
      <c r="M533">
        <v>69.269341529153778</v>
      </c>
      <c r="N533">
        <f t="shared" si="29"/>
        <v>1</v>
      </c>
      <c r="O533">
        <f t="shared" si="30"/>
        <v>3</v>
      </c>
      <c r="P533">
        <f t="shared" si="31"/>
        <v>3</v>
      </c>
    </row>
    <row r="534" spans="1:16" x14ac:dyDescent="0.4">
      <c r="A534" t="s">
        <v>1182</v>
      </c>
      <c r="B534" t="s">
        <v>1183</v>
      </c>
      <c r="C534" t="s">
        <v>64</v>
      </c>
      <c r="D534" s="1">
        <v>41507</v>
      </c>
      <c r="E534">
        <v>2</v>
      </c>
      <c r="F534">
        <v>1</v>
      </c>
      <c r="G534">
        <v>3</v>
      </c>
      <c r="H534">
        <v>323</v>
      </c>
      <c r="I534">
        <v>160</v>
      </c>
      <c r="J534">
        <v>836</v>
      </c>
      <c r="K534">
        <v>50.268112156899697</v>
      </c>
      <c r="L534">
        <v>61.083743842364541</v>
      </c>
      <c r="M534">
        <v>34.459882583697855</v>
      </c>
      <c r="N534">
        <f t="shared" si="29"/>
        <v>3</v>
      </c>
      <c r="O534">
        <f t="shared" si="30"/>
        <v>3</v>
      </c>
      <c r="P534">
        <f t="shared" si="31"/>
        <v>2</v>
      </c>
    </row>
    <row r="535" spans="1:16" x14ac:dyDescent="0.4">
      <c r="A535" t="s">
        <v>181</v>
      </c>
      <c r="B535" t="s">
        <v>182</v>
      </c>
      <c r="C535" t="s">
        <v>40</v>
      </c>
      <c r="D535" s="1">
        <v>41512</v>
      </c>
      <c r="E535">
        <v>2</v>
      </c>
      <c r="F535">
        <v>1</v>
      </c>
      <c r="G535">
        <v>3</v>
      </c>
      <c r="H535">
        <v>323</v>
      </c>
      <c r="I535">
        <v>160</v>
      </c>
      <c r="J535">
        <v>836</v>
      </c>
      <c r="K535">
        <v>41.728745455869827</v>
      </c>
      <c r="L535">
        <v>44.664031620553359</v>
      </c>
      <c r="M535">
        <v>17.512109972883188</v>
      </c>
      <c r="N535">
        <f t="shared" si="29"/>
        <v>2</v>
      </c>
      <c r="O535">
        <f t="shared" si="30"/>
        <v>2</v>
      </c>
      <c r="P535">
        <f t="shared" si="31"/>
        <v>1</v>
      </c>
    </row>
    <row r="536" spans="1:16" x14ac:dyDescent="0.4">
      <c r="A536" t="s">
        <v>201</v>
      </c>
      <c r="B536" t="s">
        <v>202</v>
      </c>
      <c r="C536" t="s">
        <v>203</v>
      </c>
      <c r="D536" s="1">
        <v>41521</v>
      </c>
      <c r="E536">
        <v>2</v>
      </c>
      <c r="F536">
        <v>1</v>
      </c>
      <c r="G536">
        <v>3</v>
      </c>
      <c r="H536">
        <v>323</v>
      </c>
      <c r="I536">
        <v>160</v>
      </c>
      <c r="J536">
        <v>836</v>
      </c>
      <c r="K536">
        <v>13.019607843137257</v>
      </c>
      <c r="L536">
        <v>40.909090909090907</v>
      </c>
      <c r="M536">
        <v>13.695568121405444</v>
      </c>
      <c r="N536">
        <f t="shared" si="29"/>
        <v>1</v>
      </c>
      <c r="O536">
        <f t="shared" si="30"/>
        <v>2</v>
      </c>
      <c r="P536">
        <f t="shared" si="31"/>
        <v>1</v>
      </c>
    </row>
    <row r="537" spans="1:16" x14ac:dyDescent="0.4">
      <c r="A537" t="s">
        <v>632</v>
      </c>
      <c r="B537" t="s">
        <v>633</v>
      </c>
      <c r="C537" t="s">
        <v>64</v>
      </c>
      <c r="D537" s="1">
        <v>41528</v>
      </c>
      <c r="E537">
        <v>2</v>
      </c>
      <c r="F537">
        <v>1</v>
      </c>
      <c r="G537">
        <v>3</v>
      </c>
      <c r="H537">
        <v>323</v>
      </c>
      <c r="I537">
        <v>160</v>
      </c>
      <c r="J537">
        <v>836</v>
      </c>
      <c r="K537">
        <v>96.316524156580073</v>
      </c>
      <c r="L537">
        <v>3.2019704433497536</v>
      </c>
      <c r="M537">
        <v>42.62841442922295</v>
      </c>
      <c r="N537">
        <f t="shared" si="29"/>
        <v>3</v>
      </c>
      <c r="O537">
        <f t="shared" si="30"/>
        <v>1</v>
      </c>
      <c r="P537">
        <f t="shared" si="31"/>
        <v>2</v>
      </c>
    </row>
    <row r="538" spans="1:16" x14ac:dyDescent="0.4">
      <c r="A538" t="s">
        <v>438</v>
      </c>
      <c r="B538" t="s">
        <v>439</v>
      </c>
      <c r="C538" t="s">
        <v>64</v>
      </c>
      <c r="D538" s="1">
        <v>41528</v>
      </c>
      <c r="E538">
        <v>2</v>
      </c>
      <c r="F538">
        <v>1</v>
      </c>
      <c r="G538">
        <v>3</v>
      </c>
      <c r="H538">
        <v>323</v>
      </c>
      <c r="I538">
        <v>160</v>
      </c>
      <c r="J538">
        <v>836</v>
      </c>
      <c r="K538">
        <v>56.789214924168895</v>
      </c>
      <c r="L538">
        <v>63.793103448275858</v>
      </c>
      <c r="M538">
        <v>58.300659234069059</v>
      </c>
      <c r="N538">
        <f t="shared" si="29"/>
        <v>3</v>
      </c>
      <c r="O538">
        <f t="shared" si="30"/>
        <v>3</v>
      </c>
      <c r="P538">
        <f t="shared" si="31"/>
        <v>3</v>
      </c>
    </row>
    <row r="539" spans="1:16" x14ac:dyDescent="0.4">
      <c r="A539" t="s">
        <v>183</v>
      </c>
      <c r="B539" t="s">
        <v>184</v>
      </c>
      <c r="C539" t="s">
        <v>40</v>
      </c>
      <c r="D539" s="1">
        <v>41528</v>
      </c>
      <c r="E539">
        <v>2</v>
      </c>
      <c r="F539">
        <v>1</v>
      </c>
      <c r="G539">
        <v>3</v>
      </c>
      <c r="H539">
        <v>323</v>
      </c>
      <c r="I539">
        <v>160</v>
      </c>
      <c r="J539">
        <v>836</v>
      </c>
      <c r="K539">
        <v>40.329238600865096</v>
      </c>
      <c r="L539">
        <v>56.324110671936765</v>
      </c>
      <c r="M539">
        <v>30.189163681734453</v>
      </c>
      <c r="N539">
        <f t="shared" si="29"/>
        <v>2</v>
      </c>
      <c r="O539">
        <f t="shared" si="30"/>
        <v>3</v>
      </c>
      <c r="P539">
        <f t="shared" si="31"/>
        <v>2</v>
      </c>
    </row>
    <row r="540" spans="1:16" x14ac:dyDescent="0.4">
      <c r="A540" t="s">
        <v>1184</v>
      </c>
      <c r="B540" t="s">
        <v>1185</v>
      </c>
      <c r="C540" t="s">
        <v>64</v>
      </c>
      <c r="D540" s="1">
        <v>41534</v>
      </c>
      <c r="E540">
        <v>2</v>
      </c>
      <c r="F540">
        <v>1</v>
      </c>
      <c r="G540">
        <v>3</v>
      </c>
      <c r="H540">
        <v>323</v>
      </c>
      <c r="I540">
        <v>160</v>
      </c>
      <c r="J540">
        <v>836</v>
      </c>
      <c r="K540">
        <v>29.816021633950299</v>
      </c>
      <c r="L540">
        <v>78.653530377668304</v>
      </c>
      <c r="M540">
        <v>60.383840501627454</v>
      </c>
      <c r="N540">
        <f t="shared" si="29"/>
        <v>1</v>
      </c>
      <c r="O540">
        <f t="shared" si="30"/>
        <v>3</v>
      </c>
      <c r="P540">
        <f t="shared" si="31"/>
        <v>3</v>
      </c>
    </row>
    <row r="541" spans="1:16" x14ac:dyDescent="0.4">
      <c r="A541" t="s">
        <v>140</v>
      </c>
      <c r="B541" t="s">
        <v>141</v>
      </c>
      <c r="C541" t="s">
        <v>40</v>
      </c>
      <c r="D541" s="1">
        <v>41541</v>
      </c>
      <c r="E541">
        <v>2</v>
      </c>
      <c r="F541">
        <v>1</v>
      </c>
      <c r="G541">
        <v>3</v>
      </c>
      <c r="H541">
        <v>323</v>
      </c>
      <c r="I541">
        <v>160</v>
      </c>
      <c r="J541">
        <v>836</v>
      </c>
      <c r="K541">
        <v>25.253146214443166</v>
      </c>
      <c r="L541">
        <v>43.873517786561266</v>
      </c>
      <c r="M541">
        <v>38.860882188445245</v>
      </c>
      <c r="N541">
        <f t="shared" si="29"/>
        <v>1</v>
      </c>
      <c r="O541">
        <f t="shared" si="30"/>
        <v>2</v>
      </c>
      <c r="P541">
        <f t="shared" si="31"/>
        <v>2</v>
      </c>
    </row>
    <row r="542" spans="1:16" x14ac:dyDescent="0.4">
      <c r="A542" t="s">
        <v>634</v>
      </c>
      <c r="B542" t="s">
        <v>635</v>
      </c>
      <c r="C542" t="s">
        <v>43</v>
      </c>
      <c r="D542" s="1">
        <v>41576</v>
      </c>
      <c r="E542">
        <v>2</v>
      </c>
      <c r="F542">
        <v>1</v>
      </c>
      <c r="G542">
        <v>3</v>
      </c>
      <c r="H542">
        <v>323</v>
      </c>
      <c r="I542">
        <v>160</v>
      </c>
      <c r="J542">
        <v>836</v>
      </c>
      <c r="K542">
        <v>61.703618478559605</v>
      </c>
      <c r="L542">
        <v>62.436548223350243</v>
      </c>
      <c r="M542">
        <v>28.889623072083236</v>
      </c>
      <c r="N542">
        <f t="shared" si="29"/>
        <v>3</v>
      </c>
      <c r="O542">
        <f t="shared" si="30"/>
        <v>3</v>
      </c>
      <c r="P542">
        <f t="shared" si="31"/>
        <v>1</v>
      </c>
    </row>
    <row r="543" spans="1:16" x14ac:dyDescent="0.4">
      <c r="A543" t="s">
        <v>636</v>
      </c>
      <c r="B543" t="s">
        <v>637</v>
      </c>
      <c r="C543" t="s">
        <v>64</v>
      </c>
      <c r="D543" s="1">
        <v>41583</v>
      </c>
      <c r="E543">
        <v>2</v>
      </c>
      <c r="F543">
        <v>1</v>
      </c>
      <c r="G543">
        <v>3</v>
      </c>
      <c r="H543">
        <v>323</v>
      </c>
      <c r="I543">
        <v>160</v>
      </c>
      <c r="J543">
        <v>836</v>
      </c>
      <c r="K543">
        <v>89.188437826072445</v>
      </c>
      <c r="L543">
        <v>89.573070607553362</v>
      </c>
      <c r="M543">
        <v>33.704713389739602</v>
      </c>
      <c r="N543">
        <f t="shared" si="29"/>
        <v>3</v>
      </c>
      <c r="O543">
        <f t="shared" si="30"/>
        <v>3</v>
      </c>
      <c r="P543">
        <f t="shared" si="31"/>
        <v>2</v>
      </c>
    </row>
    <row r="544" spans="1:16" x14ac:dyDescent="0.4">
      <c r="A544" t="s">
        <v>1186</v>
      </c>
      <c r="B544" t="s">
        <v>1187</v>
      </c>
      <c r="C544" t="s">
        <v>40</v>
      </c>
      <c r="D544" s="1">
        <v>41589</v>
      </c>
      <c r="E544">
        <v>2</v>
      </c>
      <c r="F544">
        <v>1</v>
      </c>
      <c r="G544">
        <v>3</v>
      </c>
      <c r="H544">
        <v>323</v>
      </c>
      <c r="I544">
        <v>160</v>
      </c>
      <c r="J544">
        <v>836</v>
      </c>
      <c r="K544">
        <v>78.71892508924671</v>
      </c>
      <c r="L544">
        <v>96.245059288537547</v>
      </c>
      <c r="M544">
        <v>50.986597434271012</v>
      </c>
      <c r="N544">
        <f t="shared" si="29"/>
        <v>3</v>
      </c>
      <c r="O544">
        <f t="shared" si="30"/>
        <v>3</v>
      </c>
      <c r="P544">
        <f t="shared" si="31"/>
        <v>3</v>
      </c>
    </row>
    <row r="545" spans="1:16" x14ac:dyDescent="0.4">
      <c r="A545" t="s">
        <v>1188</v>
      </c>
      <c r="B545" t="s">
        <v>1189</v>
      </c>
      <c r="C545" t="s">
        <v>40</v>
      </c>
      <c r="D545" s="1">
        <v>41590</v>
      </c>
      <c r="E545">
        <v>2</v>
      </c>
      <c r="F545">
        <v>1</v>
      </c>
      <c r="G545">
        <v>3</v>
      </c>
      <c r="H545">
        <v>323</v>
      </c>
      <c r="I545">
        <v>160</v>
      </c>
      <c r="J545">
        <v>836</v>
      </c>
      <c r="K545">
        <v>31.111652965611583</v>
      </c>
      <c r="L545">
        <v>60.671936758893274</v>
      </c>
      <c r="M545">
        <v>61.198563180708611</v>
      </c>
      <c r="N545">
        <f t="shared" si="29"/>
        <v>2</v>
      </c>
      <c r="O545">
        <f t="shared" si="30"/>
        <v>3</v>
      </c>
      <c r="P545">
        <f t="shared" si="31"/>
        <v>3</v>
      </c>
    </row>
    <row r="546" spans="1:16" x14ac:dyDescent="0.4">
      <c r="A546" t="s">
        <v>638</v>
      </c>
      <c r="B546" t="s">
        <v>639</v>
      </c>
      <c r="C546" t="s">
        <v>64</v>
      </c>
      <c r="D546" s="1">
        <v>41603</v>
      </c>
      <c r="E546">
        <v>2</v>
      </c>
      <c r="F546">
        <v>1</v>
      </c>
      <c r="G546">
        <v>3</v>
      </c>
      <c r="H546">
        <v>323</v>
      </c>
      <c r="I546">
        <v>160</v>
      </c>
      <c r="J546">
        <v>836</v>
      </c>
      <c r="K546">
        <v>87.242361823625345</v>
      </c>
      <c r="L546">
        <v>4.9261083743842367</v>
      </c>
      <c r="M546">
        <v>28.741153678384382</v>
      </c>
      <c r="N546">
        <f t="shared" si="29"/>
        <v>3</v>
      </c>
      <c r="O546">
        <f t="shared" si="30"/>
        <v>1</v>
      </c>
      <c r="P546">
        <f t="shared" si="31"/>
        <v>1</v>
      </c>
    </row>
    <row r="547" spans="1:16" x14ac:dyDescent="0.4">
      <c r="A547" t="s">
        <v>1190</v>
      </c>
      <c r="B547" t="s">
        <v>1191</v>
      </c>
      <c r="C547" t="s">
        <v>40</v>
      </c>
      <c r="D547" s="1">
        <v>41606</v>
      </c>
      <c r="E547">
        <v>2</v>
      </c>
      <c r="F547">
        <v>1</v>
      </c>
      <c r="G547">
        <v>3</v>
      </c>
      <c r="H547">
        <v>323</v>
      </c>
      <c r="I547">
        <v>160</v>
      </c>
      <c r="J547">
        <v>836</v>
      </c>
      <c r="K547">
        <v>54.368245581317176</v>
      </c>
      <c r="L547">
        <v>87.549407114624501</v>
      </c>
      <c r="M547">
        <v>14.881978645752408</v>
      </c>
      <c r="N547">
        <f t="shared" si="29"/>
        <v>3</v>
      </c>
      <c r="O547">
        <f t="shared" si="30"/>
        <v>3</v>
      </c>
      <c r="P547">
        <f t="shared" si="31"/>
        <v>1</v>
      </c>
    </row>
    <row r="548" spans="1:16" x14ac:dyDescent="0.4">
      <c r="A548" t="s">
        <v>640</v>
      </c>
      <c r="B548" t="s">
        <v>641</v>
      </c>
      <c r="C548" t="s">
        <v>64</v>
      </c>
      <c r="D548" s="1">
        <v>41606</v>
      </c>
      <c r="E548">
        <v>2</v>
      </c>
      <c r="F548">
        <v>1</v>
      </c>
      <c r="G548">
        <v>3</v>
      </c>
      <c r="H548">
        <v>323</v>
      </c>
      <c r="I548">
        <v>160</v>
      </c>
      <c r="J548">
        <v>836</v>
      </c>
      <c r="K548">
        <v>65.775552860261655</v>
      </c>
      <c r="L548">
        <v>97.536945812807886</v>
      </c>
      <c r="M548">
        <v>25.049650523482359</v>
      </c>
      <c r="N548">
        <f t="shared" si="29"/>
        <v>3</v>
      </c>
      <c r="O548">
        <f t="shared" si="30"/>
        <v>3</v>
      </c>
      <c r="P548">
        <f t="shared" si="31"/>
        <v>1</v>
      </c>
    </row>
    <row r="549" spans="1:16" x14ac:dyDescent="0.4">
      <c r="A549" t="s">
        <v>642</v>
      </c>
      <c r="B549" t="s">
        <v>643</v>
      </c>
      <c r="C549" t="s">
        <v>64</v>
      </c>
      <c r="D549" s="1">
        <v>41612</v>
      </c>
      <c r="E549">
        <v>2</v>
      </c>
      <c r="F549">
        <v>1</v>
      </c>
      <c r="G549">
        <v>3</v>
      </c>
      <c r="H549">
        <v>323</v>
      </c>
      <c r="I549">
        <v>160</v>
      </c>
      <c r="J549">
        <v>836</v>
      </c>
      <c r="K549">
        <v>93.747904291330755</v>
      </c>
      <c r="L549">
        <v>96.715927750410515</v>
      </c>
      <c r="M549">
        <v>20.806796003490842</v>
      </c>
      <c r="N549">
        <f t="shared" si="29"/>
        <v>3</v>
      </c>
      <c r="O549">
        <f t="shared" si="30"/>
        <v>3</v>
      </c>
      <c r="P549">
        <f t="shared" si="31"/>
        <v>1</v>
      </c>
    </row>
    <row r="550" spans="1:16" x14ac:dyDescent="0.4">
      <c r="A550" t="s">
        <v>1192</v>
      </c>
      <c r="B550" t="s">
        <v>1193</v>
      </c>
      <c r="C550" t="s">
        <v>64</v>
      </c>
      <c r="D550" s="1">
        <v>41619</v>
      </c>
      <c r="E550">
        <v>2</v>
      </c>
      <c r="F550">
        <v>1</v>
      </c>
      <c r="G550">
        <v>3</v>
      </c>
      <c r="H550">
        <v>323</v>
      </c>
      <c r="I550">
        <v>160</v>
      </c>
      <c r="J550">
        <v>836</v>
      </c>
      <c r="K550">
        <v>49.143638732956411</v>
      </c>
      <c r="L550">
        <v>63.957307060755326</v>
      </c>
      <c r="M550">
        <v>67.232258938915706</v>
      </c>
      <c r="N550">
        <f t="shared" si="29"/>
        <v>2</v>
      </c>
      <c r="O550">
        <f t="shared" si="30"/>
        <v>3</v>
      </c>
      <c r="P550">
        <f t="shared" si="31"/>
        <v>3</v>
      </c>
    </row>
    <row r="551" spans="1:16" x14ac:dyDescent="0.4">
      <c r="A551" t="s">
        <v>440</v>
      </c>
      <c r="B551" t="s">
        <v>441</v>
      </c>
      <c r="C551" t="s">
        <v>64</v>
      </c>
      <c r="D551" s="1">
        <v>41619</v>
      </c>
      <c r="E551">
        <v>2</v>
      </c>
      <c r="F551">
        <v>1</v>
      </c>
      <c r="G551">
        <v>3</v>
      </c>
      <c r="H551">
        <v>323</v>
      </c>
      <c r="I551">
        <v>160</v>
      </c>
      <c r="J551">
        <v>836</v>
      </c>
      <c r="K551">
        <v>32.403112976794496</v>
      </c>
      <c r="L551">
        <v>63.382594417077179</v>
      </c>
      <c r="M551">
        <v>47.026588510897</v>
      </c>
      <c r="N551">
        <f t="shared" si="29"/>
        <v>2</v>
      </c>
      <c r="O551">
        <f t="shared" si="30"/>
        <v>3</v>
      </c>
      <c r="P551">
        <f t="shared" si="31"/>
        <v>2</v>
      </c>
    </row>
    <row r="552" spans="1:16" x14ac:dyDescent="0.4">
      <c r="A552" t="s">
        <v>1194</v>
      </c>
      <c r="B552" t="s">
        <v>1195</v>
      </c>
      <c r="C552" t="s">
        <v>64</v>
      </c>
      <c r="D552" s="1">
        <v>41620</v>
      </c>
      <c r="E552">
        <v>2</v>
      </c>
      <c r="F552">
        <v>1</v>
      </c>
      <c r="G552">
        <v>3</v>
      </c>
      <c r="H552">
        <v>323</v>
      </c>
      <c r="I552">
        <v>160</v>
      </c>
      <c r="J552">
        <v>836</v>
      </c>
      <c r="K552">
        <v>63.119086618108618</v>
      </c>
      <c r="L552">
        <v>7.3891625615763541</v>
      </c>
      <c r="M552">
        <v>19.889349795416859</v>
      </c>
      <c r="N552">
        <f t="shared" si="29"/>
        <v>3</v>
      </c>
      <c r="O552">
        <f t="shared" si="30"/>
        <v>1</v>
      </c>
      <c r="P552">
        <f t="shared" si="31"/>
        <v>1</v>
      </c>
    </row>
    <row r="553" spans="1:16" x14ac:dyDescent="0.4">
      <c r="A553" t="s">
        <v>644</v>
      </c>
      <c r="B553" t="s">
        <v>645</v>
      </c>
      <c r="C553" t="s">
        <v>64</v>
      </c>
      <c r="D553" s="1">
        <v>41621</v>
      </c>
      <c r="E553">
        <v>2</v>
      </c>
      <c r="F553">
        <v>1</v>
      </c>
      <c r="G553">
        <v>3</v>
      </c>
      <c r="H553">
        <v>323</v>
      </c>
      <c r="I553">
        <v>160</v>
      </c>
      <c r="J553">
        <v>836</v>
      </c>
      <c r="K553">
        <v>56.996864696193079</v>
      </c>
      <c r="L553">
        <v>45.073891625615765</v>
      </c>
      <c r="M553">
        <v>19.824746238068577</v>
      </c>
      <c r="N553">
        <f t="shared" si="29"/>
        <v>3</v>
      </c>
      <c r="O553">
        <f t="shared" si="30"/>
        <v>2</v>
      </c>
      <c r="P553">
        <f t="shared" si="31"/>
        <v>1</v>
      </c>
    </row>
    <row r="554" spans="1:16" x14ac:dyDescent="0.4">
      <c r="A554" t="s">
        <v>442</v>
      </c>
      <c r="B554" t="s">
        <v>443</v>
      </c>
      <c r="C554" t="s">
        <v>43</v>
      </c>
      <c r="D554" s="1">
        <v>41621</v>
      </c>
      <c r="E554">
        <v>2</v>
      </c>
      <c r="F554">
        <v>1</v>
      </c>
      <c r="G554">
        <v>3</v>
      </c>
      <c r="H554">
        <v>323</v>
      </c>
      <c r="I554">
        <v>160</v>
      </c>
      <c r="J554">
        <v>836</v>
      </c>
      <c r="K554">
        <v>62.535519304939761</v>
      </c>
      <c r="L554">
        <v>29.949238578680202</v>
      </c>
      <c r="M554">
        <v>44.485716279535687</v>
      </c>
      <c r="N554">
        <f t="shared" si="29"/>
        <v>3</v>
      </c>
      <c r="O554">
        <f t="shared" si="30"/>
        <v>1</v>
      </c>
      <c r="P554">
        <f t="shared" si="31"/>
        <v>2</v>
      </c>
    </row>
    <row r="555" spans="1:16" x14ac:dyDescent="0.4">
      <c r="A555" t="s">
        <v>1196</v>
      </c>
      <c r="B555" t="s">
        <v>1197</v>
      </c>
      <c r="C555" t="s">
        <v>64</v>
      </c>
      <c r="D555" s="1">
        <v>41625</v>
      </c>
      <c r="E555">
        <v>2</v>
      </c>
      <c r="F555">
        <v>1</v>
      </c>
      <c r="G555">
        <v>3</v>
      </c>
      <c r="H555">
        <v>323</v>
      </c>
      <c r="I555">
        <v>160</v>
      </c>
      <c r="J555">
        <v>836</v>
      </c>
      <c r="K555">
        <v>61.020011862471542</v>
      </c>
      <c r="L555">
        <v>79.638752052545158</v>
      </c>
      <c r="M555">
        <v>26.706072978172557</v>
      </c>
      <c r="N555">
        <f t="shared" si="29"/>
        <v>3</v>
      </c>
      <c r="O555">
        <f t="shared" si="30"/>
        <v>3</v>
      </c>
      <c r="P555">
        <f t="shared" si="31"/>
        <v>1</v>
      </c>
    </row>
    <row r="556" spans="1:16" x14ac:dyDescent="0.4">
      <c r="A556" t="s">
        <v>328</v>
      </c>
      <c r="B556" t="s">
        <v>329</v>
      </c>
      <c r="C556" t="s">
        <v>64</v>
      </c>
      <c r="D556" s="1">
        <v>41627</v>
      </c>
      <c r="E556">
        <v>2</v>
      </c>
      <c r="F556">
        <v>1</v>
      </c>
      <c r="G556">
        <v>3</v>
      </c>
      <c r="H556">
        <v>323</v>
      </c>
      <c r="I556">
        <v>160</v>
      </c>
      <c r="J556">
        <v>836</v>
      </c>
      <c r="K556">
        <v>41.586792830327042</v>
      </c>
      <c r="L556">
        <v>21.428571428571427</v>
      </c>
      <c r="M556">
        <v>50.759011143639107</v>
      </c>
      <c r="N556">
        <f t="shared" si="29"/>
        <v>2</v>
      </c>
      <c r="O556">
        <f t="shared" si="30"/>
        <v>1</v>
      </c>
      <c r="P556">
        <f t="shared" si="31"/>
        <v>3</v>
      </c>
    </row>
    <row r="557" spans="1:16" x14ac:dyDescent="0.4">
      <c r="A557" t="s">
        <v>444</v>
      </c>
      <c r="B557" t="s">
        <v>445</v>
      </c>
      <c r="C557" t="s">
        <v>40</v>
      </c>
      <c r="D557" s="1">
        <v>41627</v>
      </c>
      <c r="E557">
        <v>2</v>
      </c>
      <c r="F557">
        <v>1</v>
      </c>
      <c r="G557">
        <v>3</v>
      </c>
      <c r="H557">
        <v>323</v>
      </c>
      <c r="I557">
        <v>160</v>
      </c>
      <c r="J557">
        <v>836</v>
      </c>
      <c r="K557">
        <v>95.480303215808874</v>
      </c>
      <c r="L557">
        <v>52.173913043478265</v>
      </c>
      <c r="M557">
        <v>51.072727479371061</v>
      </c>
      <c r="N557">
        <f t="shared" si="29"/>
        <v>3</v>
      </c>
      <c r="O557">
        <f t="shared" si="30"/>
        <v>3</v>
      </c>
      <c r="P557">
        <f t="shared" si="31"/>
        <v>3</v>
      </c>
    </row>
    <row r="558" spans="1:16" x14ac:dyDescent="0.4">
      <c r="A558" t="s">
        <v>646</v>
      </c>
      <c r="B558" t="s">
        <v>647</v>
      </c>
      <c r="C558" t="s">
        <v>64</v>
      </c>
      <c r="D558" s="1">
        <v>41631</v>
      </c>
      <c r="E558">
        <v>2</v>
      </c>
      <c r="F558">
        <v>1</v>
      </c>
      <c r="G558">
        <v>3</v>
      </c>
      <c r="H558">
        <v>323</v>
      </c>
      <c r="I558">
        <v>160</v>
      </c>
      <c r="J558">
        <v>836</v>
      </c>
      <c r="K558">
        <v>94.7306912260768</v>
      </c>
      <c r="L558">
        <v>79.802955665024626</v>
      </c>
      <c r="M558">
        <v>11.974009787153211</v>
      </c>
      <c r="N558">
        <f t="shared" si="29"/>
        <v>3</v>
      </c>
      <c r="O558">
        <f t="shared" si="30"/>
        <v>3</v>
      </c>
      <c r="P558">
        <f t="shared" si="31"/>
        <v>1</v>
      </c>
    </row>
    <row r="559" spans="1:16" x14ac:dyDescent="0.4">
      <c r="A559" t="s">
        <v>446</v>
      </c>
      <c r="B559" t="s">
        <v>447</v>
      </c>
      <c r="C559" t="s">
        <v>64</v>
      </c>
      <c r="D559" s="1">
        <v>41639</v>
      </c>
      <c r="E559">
        <v>2</v>
      </c>
      <c r="F559">
        <v>1</v>
      </c>
      <c r="G559">
        <v>3</v>
      </c>
      <c r="H559">
        <v>323</v>
      </c>
      <c r="I559">
        <v>160</v>
      </c>
      <c r="J559">
        <v>836</v>
      </c>
      <c r="K559">
        <v>58.098571114380185</v>
      </c>
      <c r="L559">
        <v>81.691297208538586</v>
      </c>
      <c r="M559">
        <v>54.292758591250035</v>
      </c>
      <c r="N559">
        <f t="shared" si="29"/>
        <v>3</v>
      </c>
      <c r="O559">
        <f t="shared" si="30"/>
        <v>3</v>
      </c>
      <c r="P559">
        <f t="shared" si="31"/>
        <v>3</v>
      </c>
    </row>
    <row r="560" spans="1:16" x14ac:dyDescent="0.4">
      <c r="C560" s="1"/>
    </row>
    <row r="561" spans="3:3" x14ac:dyDescent="0.4">
      <c r="C561" s="1"/>
    </row>
    <row r="562" spans="3:3" x14ac:dyDescent="0.4">
      <c r="C562" s="1"/>
    </row>
    <row r="563" spans="3:3" x14ac:dyDescent="0.4">
      <c r="C563" s="1"/>
    </row>
    <row r="564" spans="3:3" x14ac:dyDescent="0.4">
      <c r="C564" s="1"/>
    </row>
    <row r="565" spans="3:3" x14ac:dyDescent="0.4">
      <c r="C565" s="1"/>
    </row>
    <row r="566" spans="3:3" x14ac:dyDescent="0.4">
      <c r="C566" s="1"/>
    </row>
    <row r="567" spans="3:3" x14ac:dyDescent="0.4">
      <c r="C567" s="1"/>
    </row>
    <row r="568" spans="3:3" x14ac:dyDescent="0.4">
      <c r="C568" s="1"/>
    </row>
    <row r="569" spans="3:3" x14ac:dyDescent="0.4">
      <c r="C569" s="1"/>
    </row>
    <row r="570" spans="3:3" x14ac:dyDescent="0.4">
      <c r="C570" s="1"/>
    </row>
    <row r="571" spans="3:3" x14ac:dyDescent="0.4">
      <c r="C571" s="1"/>
    </row>
    <row r="572" spans="3:3" x14ac:dyDescent="0.4">
      <c r="C572" s="1"/>
    </row>
    <row r="573" spans="3:3" x14ac:dyDescent="0.4">
      <c r="C573" s="1"/>
    </row>
    <row r="574" spans="3:3" x14ac:dyDescent="0.4">
      <c r="C574" s="1"/>
    </row>
    <row r="575" spans="3:3" x14ac:dyDescent="0.4">
      <c r="C575" s="1"/>
    </row>
    <row r="576" spans="3:3" x14ac:dyDescent="0.4">
      <c r="C576" s="1"/>
    </row>
    <row r="577" spans="3:3" x14ac:dyDescent="0.4">
      <c r="C577" s="1"/>
    </row>
    <row r="578" spans="3:3" x14ac:dyDescent="0.4">
      <c r="C578" s="1"/>
    </row>
    <row r="579" spans="3:3" x14ac:dyDescent="0.4">
      <c r="C579" s="1"/>
    </row>
    <row r="580" spans="3:3" x14ac:dyDescent="0.4">
      <c r="C580" s="1"/>
    </row>
    <row r="581" spans="3:3" x14ac:dyDescent="0.4">
      <c r="C581" s="1"/>
    </row>
    <row r="582" spans="3:3" x14ac:dyDescent="0.4">
      <c r="C582" s="1"/>
    </row>
    <row r="583" spans="3:3" x14ac:dyDescent="0.4">
      <c r="C583" s="1"/>
    </row>
    <row r="584" spans="3:3" x14ac:dyDescent="0.4">
      <c r="C584" s="1"/>
    </row>
    <row r="585" spans="3:3" x14ac:dyDescent="0.4">
      <c r="C585" s="1"/>
    </row>
    <row r="586" spans="3:3" x14ac:dyDescent="0.4">
      <c r="C586" s="1"/>
    </row>
    <row r="587" spans="3:3" x14ac:dyDescent="0.4">
      <c r="C587" s="1"/>
    </row>
    <row r="588" spans="3:3" x14ac:dyDescent="0.4">
      <c r="C588" s="1"/>
    </row>
    <row r="589" spans="3:3" x14ac:dyDescent="0.4">
      <c r="C589" s="1"/>
    </row>
    <row r="590" spans="3:3" x14ac:dyDescent="0.4">
      <c r="C590" s="1"/>
    </row>
    <row r="591" spans="3:3" x14ac:dyDescent="0.4">
      <c r="C591" s="1"/>
    </row>
    <row r="592" spans="3:3" x14ac:dyDescent="0.4">
      <c r="C592" s="1"/>
    </row>
    <row r="593" spans="3:3" x14ac:dyDescent="0.4">
      <c r="C593" s="1"/>
    </row>
    <row r="594" spans="3:3" x14ac:dyDescent="0.4">
      <c r="C594" s="1"/>
    </row>
    <row r="595" spans="3:3" x14ac:dyDescent="0.4">
      <c r="C595" s="1"/>
    </row>
    <row r="596" spans="3:3" x14ac:dyDescent="0.4">
      <c r="C596" s="1"/>
    </row>
    <row r="597" spans="3:3" x14ac:dyDescent="0.4">
      <c r="C597" s="1"/>
    </row>
    <row r="598" spans="3:3" x14ac:dyDescent="0.4">
      <c r="C598" s="1"/>
    </row>
    <row r="599" spans="3:3" x14ac:dyDescent="0.4">
      <c r="C599" s="1"/>
    </row>
    <row r="600" spans="3:3" x14ac:dyDescent="0.4">
      <c r="C600" s="1"/>
    </row>
    <row r="601" spans="3:3" x14ac:dyDescent="0.4">
      <c r="C601" s="1"/>
    </row>
    <row r="602" spans="3:3" x14ac:dyDescent="0.4">
      <c r="C602" s="1"/>
    </row>
    <row r="603" spans="3:3" x14ac:dyDescent="0.4">
      <c r="C603" s="1"/>
    </row>
    <row r="604" spans="3:3" x14ac:dyDescent="0.4">
      <c r="C604" s="1"/>
    </row>
    <row r="605" spans="3:3" x14ac:dyDescent="0.4">
      <c r="C605" s="1"/>
    </row>
    <row r="606" spans="3:3" x14ac:dyDescent="0.4">
      <c r="C606" s="1"/>
    </row>
    <row r="607" spans="3:3" x14ac:dyDescent="0.4">
      <c r="C607" s="1"/>
    </row>
    <row r="608" spans="3:3" x14ac:dyDescent="0.4">
      <c r="C608" s="1"/>
    </row>
    <row r="609" spans="3:3" x14ac:dyDescent="0.4">
      <c r="C609" s="1"/>
    </row>
    <row r="610" spans="3:3" x14ac:dyDescent="0.4">
      <c r="C610" s="1"/>
    </row>
    <row r="611" spans="3:3" x14ac:dyDescent="0.4">
      <c r="C611" s="1"/>
    </row>
    <row r="612" spans="3:3" x14ac:dyDescent="0.4">
      <c r="C612" s="1"/>
    </row>
    <row r="613" spans="3:3" x14ac:dyDescent="0.4">
      <c r="C613" s="1"/>
    </row>
    <row r="614" spans="3:3" x14ac:dyDescent="0.4">
      <c r="C614" s="1"/>
    </row>
    <row r="615" spans="3:3" x14ac:dyDescent="0.4">
      <c r="C615" s="1"/>
    </row>
    <row r="616" spans="3:3" x14ac:dyDescent="0.4">
      <c r="C616" s="1"/>
    </row>
    <row r="617" spans="3:3" x14ac:dyDescent="0.4">
      <c r="C617" s="1"/>
    </row>
    <row r="618" spans="3:3" x14ac:dyDescent="0.4">
      <c r="C618" s="1"/>
    </row>
    <row r="619" spans="3:3" x14ac:dyDescent="0.4">
      <c r="C619" s="1"/>
    </row>
    <row r="620" spans="3:3" x14ac:dyDescent="0.4">
      <c r="C620" s="1"/>
    </row>
    <row r="621" spans="3:3" x14ac:dyDescent="0.4">
      <c r="C621" s="1"/>
    </row>
    <row r="622" spans="3:3" x14ac:dyDescent="0.4">
      <c r="C622" s="1"/>
    </row>
    <row r="623" spans="3:3" x14ac:dyDescent="0.4">
      <c r="C623" s="1"/>
    </row>
    <row r="624" spans="3:3" x14ac:dyDescent="0.4">
      <c r="C624" s="1"/>
    </row>
    <row r="625" spans="3:3" x14ac:dyDescent="0.4">
      <c r="C625" s="1"/>
    </row>
    <row r="626" spans="3:3" x14ac:dyDescent="0.4">
      <c r="C626" s="1"/>
    </row>
    <row r="627" spans="3:3" x14ac:dyDescent="0.4">
      <c r="C627" s="1"/>
    </row>
    <row r="628" spans="3:3" x14ac:dyDescent="0.4">
      <c r="C628" s="1"/>
    </row>
    <row r="629" spans="3:3" x14ac:dyDescent="0.4">
      <c r="C629" s="1"/>
    </row>
    <row r="630" spans="3:3" x14ac:dyDescent="0.4">
      <c r="C630" s="1"/>
    </row>
    <row r="631" spans="3:3" x14ac:dyDescent="0.4">
      <c r="C631" s="1"/>
    </row>
    <row r="632" spans="3:3" x14ac:dyDescent="0.4">
      <c r="C632" s="1"/>
    </row>
    <row r="633" spans="3:3" x14ac:dyDescent="0.4">
      <c r="C633" s="1"/>
    </row>
    <row r="634" spans="3:3" x14ac:dyDescent="0.4">
      <c r="C634" s="1"/>
    </row>
    <row r="635" spans="3:3" x14ac:dyDescent="0.4">
      <c r="C635" s="1"/>
    </row>
    <row r="636" spans="3:3" x14ac:dyDescent="0.4">
      <c r="C636" s="1"/>
    </row>
    <row r="637" spans="3:3" x14ac:dyDescent="0.4">
      <c r="C637" s="1"/>
    </row>
    <row r="638" spans="3:3" x14ac:dyDescent="0.4">
      <c r="C638" s="1"/>
    </row>
    <row r="639" spans="3:3" x14ac:dyDescent="0.4">
      <c r="C639" s="1"/>
    </row>
    <row r="640" spans="3:3" x14ac:dyDescent="0.4">
      <c r="C640" s="1"/>
    </row>
    <row r="641" spans="3:3" x14ac:dyDescent="0.4">
      <c r="C641" s="1"/>
    </row>
    <row r="642" spans="3:3" x14ac:dyDescent="0.4">
      <c r="C642" s="1"/>
    </row>
    <row r="643" spans="3:3" x14ac:dyDescent="0.4">
      <c r="C643" s="1"/>
    </row>
    <row r="644" spans="3:3" x14ac:dyDescent="0.4">
      <c r="C644" s="1"/>
    </row>
    <row r="645" spans="3:3" x14ac:dyDescent="0.4">
      <c r="C645" s="1"/>
    </row>
    <row r="646" spans="3:3" x14ac:dyDescent="0.4">
      <c r="C646" s="1"/>
    </row>
    <row r="647" spans="3:3" x14ac:dyDescent="0.4">
      <c r="C647" s="1"/>
    </row>
    <row r="648" spans="3:3" x14ac:dyDescent="0.4">
      <c r="C648" s="1"/>
    </row>
    <row r="649" spans="3:3" x14ac:dyDescent="0.4">
      <c r="C649" s="1"/>
    </row>
    <row r="650" spans="3:3" x14ac:dyDescent="0.4">
      <c r="C650" s="1"/>
    </row>
    <row r="651" spans="3:3" x14ac:dyDescent="0.4">
      <c r="C651" s="1"/>
    </row>
    <row r="652" spans="3:3" x14ac:dyDescent="0.4">
      <c r="C652" s="1"/>
    </row>
    <row r="653" spans="3:3" x14ac:dyDescent="0.4">
      <c r="C653" s="1"/>
    </row>
    <row r="654" spans="3:3" x14ac:dyDescent="0.4">
      <c r="C654" s="1"/>
    </row>
    <row r="655" spans="3:3" x14ac:dyDescent="0.4">
      <c r="C655" s="1"/>
    </row>
    <row r="656" spans="3:3" x14ac:dyDescent="0.4">
      <c r="C656" s="1"/>
    </row>
    <row r="657" spans="3:3" x14ac:dyDescent="0.4">
      <c r="C657" s="1"/>
    </row>
    <row r="658" spans="3:3" x14ac:dyDescent="0.4">
      <c r="C658" s="1"/>
    </row>
    <row r="659" spans="3:3" x14ac:dyDescent="0.4">
      <c r="C659" s="1"/>
    </row>
    <row r="660" spans="3:3" x14ac:dyDescent="0.4">
      <c r="C660" s="1"/>
    </row>
    <row r="661" spans="3:3" x14ac:dyDescent="0.4">
      <c r="C661" s="1"/>
    </row>
    <row r="662" spans="3:3" x14ac:dyDescent="0.4">
      <c r="C662" s="1"/>
    </row>
    <row r="663" spans="3:3" x14ac:dyDescent="0.4">
      <c r="C663" s="1"/>
    </row>
    <row r="664" spans="3:3" x14ac:dyDescent="0.4">
      <c r="C664" s="1"/>
    </row>
    <row r="665" spans="3:3" x14ac:dyDescent="0.4">
      <c r="C665" s="1"/>
    </row>
    <row r="666" spans="3:3" x14ac:dyDescent="0.4">
      <c r="C666" s="1"/>
    </row>
    <row r="667" spans="3:3" x14ac:dyDescent="0.4">
      <c r="C667" s="1"/>
    </row>
    <row r="668" spans="3:3" x14ac:dyDescent="0.4">
      <c r="C668" s="1"/>
    </row>
    <row r="669" spans="3:3" x14ac:dyDescent="0.4">
      <c r="C669" s="1"/>
    </row>
    <row r="670" spans="3:3" x14ac:dyDescent="0.4">
      <c r="C670" s="1"/>
    </row>
    <row r="671" spans="3:3" x14ac:dyDescent="0.4">
      <c r="C671" s="1"/>
    </row>
    <row r="672" spans="3:3" x14ac:dyDescent="0.4">
      <c r="C672" s="1"/>
    </row>
    <row r="673" spans="3:3" x14ac:dyDescent="0.4">
      <c r="C673" s="1"/>
    </row>
    <row r="674" spans="3:3" x14ac:dyDescent="0.4">
      <c r="C674" s="1"/>
    </row>
    <row r="675" spans="3:3" x14ac:dyDescent="0.4">
      <c r="C675" s="1"/>
    </row>
    <row r="676" spans="3:3" x14ac:dyDescent="0.4">
      <c r="C676" s="1"/>
    </row>
    <row r="677" spans="3:3" x14ac:dyDescent="0.4">
      <c r="C677" s="1"/>
    </row>
    <row r="678" spans="3:3" x14ac:dyDescent="0.4">
      <c r="C678" s="1"/>
    </row>
    <row r="679" spans="3:3" x14ac:dyDescent="0.4">
      <c r="C679" s="1"/>
    </row>
    <row r="680" spans="3:3" x14ac:dyDescent="0.4">
      <c r="C680" s="1"/>
    </row>
    <row r="681" spans="3:3" x14ac:dyDescent="0.4">
      <c r="C681" s="1"/>
    </row>
    <row r="682" spans="3:3" x14ac:dyDescent="0.4">
      <c r="C682" s="1"/>
    </row>
    <row r="683" spans="3:3" x14ac:dyDescent="0.4">
      <c r="C683" s="1"/>
    </row>
    <row r="684" spans="3:3" x14ac:dyDescent="0.4">
      <c r="C684" s="1"/>
    </row>
    <row r="685" spans="3:3" x14ac:dyDescent="0.4">
      <c r="C685" s="1"/>
    </row>
    <row r="686" spans="3:3" x14ac:dyDescent="0.4">
      <c r="C686" s="1"/>
    </row>
    <row r="687" spans="3:3" x14ac:dyDescent="0.4">
      <c r="C687" s="1"/>
    </row>
    <row r="688" spans="3:3" x14ac:dyDescent="0.4">
      <c r="C688" s="1"/>
    </row>
    <row r="689" spans="3:3" x14ac:dyDescent="0.4">
      <c r="C689" s="1"/>
    </row>
    <row r="690" spans="3:3" x14ac:dyDescent="0.4">
      <c r="C690" s="1"/>
    </row>
    <row r="691" spans="3:3" x14ac:dyDescent="0.4">
      <c r="C691" s="1"/>
    </row>
    <row r="692" spans="3:3" x14ac:dyDescent="0.4">
      <c r="C692" s="1"/>
    </row>
    <row r="693" spans="3:3" x14ac:dyDescent="0.4">
      <c r="C693" s="1"/>
    </row>
    <row r="694" spans="3:3" x14ac:dyDescent="0.4">
      <c r="C694" s="1"/>
    </row>
    <row r="695" spans="3:3" x14ac:dyDescent="0.4">
      <c r="C695" s="1"/>
    </row>
    <row r="696" spans="3:3" x14ac:dyDescent="0.4">
      <c r="C696" s="1"/>
    </row>
    <row r="697" spans="3:3" x14ac:dyDescent="0.4">
      <c r="C697" s="1"/>
    </row>
    <row r="698" spans="3:3" x14ac:dyDescent="0.4">
      <c r="C698" s="1"/>
    </row>
    <row r="699" spans="3:3" x14ac:dyDescent="0.4">
      <c r="C699" s="1"/>
    </row>
    <row r="700" spans="3:3" x14ac:dyDescent="0.4">
      <c r="C700" s="1"/>
    </row>
    <row r="701" spans="3:3" x14ac:dyDescent="0.4">
      <c r="C701" s="1"/>
    </row>
    <row r="702" spans="3:3" x14ac:dyDescent="0.4">
      <c r="C702" s="1"/>
    </row>
    <row r="703" spans="3:3" x14ac:dyDescent="0.4">
      <c r="C703" s="1"/>
    </row>
    <row r="704" spans="3:3" x14ac:dyDescent="0.4">
      <c r="C704" s="1"/>
    </row>
    <row r="705" spans="3:3" x14ac:dyDescent="0.4">
      <c r="C705" s="1"/>
    </row>
    <row r="706" spans="3:3" x14ac:dyDescent="0.4">
      <c r="C706" s="1"/>
    </row>
    <row r="707" spans="3:3" x14ac:dyDescent="0.4">
      <c r="C707" s="1"/>
    </row>
    <row r="708" spans="3:3" x14ac:dyDescent="0.4">
      <c r="C708" s="1"/>
    </row>
    <row r="709" spans="3:3" x14ac:dyDescent="0.4">
      <c r="C709" s="1"/>
    </row>
    <row r="710" spans="3:3" x14ac:dyDescent="0.4">
      <c r="C710" s="1"/>
    </row>
    <row r="711" spans="3:3" x14ac:dyDescent="0.4">
      <c r="C711" s="1"/>
    </row>
    <row r="712" spans="3:3" x14ac:dyDescent="0.4">
      <c r="C712" s="1"/>
    </row>
    <row r="713" spans="3:3" x14ac:dyDescent="0.4">
      <c r="C713" s="1"/>
    </row>
    <row r="714" spans="3:3" x14ac:dyDescent="0.4">
      <c r="C714" s="1"/>
    </row>
    <row r="715" spans="3:3" x14ac:dyDescent="0.4">
      <c r="C715" s="1"/>
    </row>
    <row r="716" spans="3:3" x14ac:dyDescent="0.4">
      <c r="C716" s="1"/>
    </row>
    <row r="717" spans="3:3" x14ac:dyDescent="0.4">
      <c r="C717" s="1"/>
    </row>
    <row r="718" spans="3:3" x14ac:dyDescent="0.4">
      <c r="C718" s="1"/>
    </row>
    <row r="719" spans="3:3" x14ac:dyDescent="0.4">
      <c r="C719" s="1"/>
    </row>
    <row r="720" spans="3:3" x14ac:dyDescent="0.4">
      <c r="C720" s="1"/>
    </row>
    <row r="721" spans="3:3" x14ac:dyDescent="0.4">
      <c r="C721" s="1"/>
    </row>
    <row r="722" spans="3:3" x14ac:dyDescent="0.4">
      <c r="C722" s="1"/>
    </row>
    <row r="723" spans="3:3" x14ac:dyDescent="0.4">
      <c r="C723" s="1"/>
    </row>
    <row r="724" spans="3:3" x14ac:dyDescent="0.4">
      <c r="C724" s="1"/>
    </row>
    <row r="725" spans="3:3" x14ac:dyDescent="0.4">
      <c r="C725" s="1"/>
    </row>
    <row r="726" spans="3:3" x14ac:dyDescent="0.4">
      <c r="C726" s="1"/>
    </row>
    <row r="727" spans="3:3" x14ac:dyDescent="0.4">
      <c r="C727" s="1"/>
    </row>
    <row r="728" spans="3:3" x14ac:dyDescent="0.4">
      <c r="C728" s="1"/>
    </row>
    <row r="729" spans="3:3" x14ac:dyDescent="0.4">
      <c r="C729" s="1"/>
    </row>
    <row r="730" spans="3:3" x14ac:dyDescent="0.4">
      <c r="C730" s="1"/>
    </row>
    <row r="731" spans="3:3" x14ac:dyDescent="0.4">
      <c r="C731" s="1"/>
    </row>
    <row r="732" spans="3:3" x14ac:dyDescent="0.4">
      <c r="C732" s="1"/>
    </row>
    <row r="733" spans="3:3" x14ac:dyDescent="0.4">
      <c r="C733" s="1"/>
    </row>
    <row r="734" spans="3:3" x14ac:dyDescent="0.4">
      <c r="C734" s="1"/>
    </row>
    <row r="735" spans="3:3" x14ac:dyDescent="0.4">
      <c r="C735" s="1"/>
    </row>
    <row r="736" spans="3:3" x14ac:dyDescent="0.4">
      <c r="C736" s="1"/>
    </row>
    <row r="737" spans="3:3" x14ac:dyDescent="0.4">
      <c r="C737" s="1"/>
    </row>
    <row r="738" spans="3:3" x14ac:dyDescent="0.4">
      <c r="C738" s="1"/>
    </row>
    <row r="739" spans="3:3" x14ac:dyDescent="0.4">
      <c r="C739" s="1"/>
    </row>
    <row r="740" spans="3:3" x14ac:dyDescent="0.4">
      <c r="C740" s="1"/>
    </row>
    <row r="741" spans="3:3" x14ac:dyDescent="0.4">
      <c r="C741" s="1"/>
    </row>
    <row r="742" spans="3:3" x14ac:dyDescent="0.4">
      <c r="C742" s="1"/>
    </row>
    <row r="743" spans="3:3" x14ac:dyDescent="0.4">
      <c r="C743" s="1"/>
    </row>
    <row r="744" spans="3:3" x14ac:dyDescent="0.4">
      <c r="C744" s="1"/>
    </row>
    <row r="745" spans="3:3" x14ac:dyDescent="0.4">
      <c r="C745" s="1"/>
    </row>
    <row r="746" spans="3:3" x14ac:dyDescent="0.4">
      <c r="C746" s="1"/>
    </row>
    <row r="747" spans="3:3" x14ac:dyDescent="0.4">
      <c r="C747" s="1"/>
    </row>
    <row r="748" spans="3:3" x14ac:dyDescent="0.4">
      <c r="C748" s="1"/>
    </row>
    <row r="749" spans="3:3" x14ac:dyDescent="0.4">
      <c r="C749" s="1"/>
    </row>
    <row r="750" spans="3:3" x14ac:dyDescent="0.4">
      <c r="C750" s="1"/>
    </row>
    <row r="751" spans="3:3" x14ac:dyDescent="0.4">
      <c r="C751" s="1"/>
    </row>
    <row r="752" spans="3:3" x14ac:dyDescent="0.4">
      <c r="C752" s="1"/>
    </row>
    <row r="753" spans="3:3" x14ac:dyDescent="0.4">
      <c r="C753" s="1"/>
    </row>
    <row r="754" spans="3:3" x14ac:dyDescent="0.4">
      <c r="C754" s="1"/>
    </row>
    <row r="755" spans="3:3" x14ac:dyDescent="0.4">
      <c r="C755" s="1"/>
    </row>
    <row r="756" spans="3:3" x14ac:dyDescent="0.4">
      <c r="C756" s="1"/>
    </row>
    <row r="757" spans="3:3" x14ac:dyDescent="0.4">
      <c r="C757" s="1"/>
    </row>
    <row r="758" spans="3:3" x14ac:dyDescent="0.4">
      <c r="C758" s="1"/>
    </row>
    <row r="759" spans="3:3" x14ac:dyDescent="0.4">
      <c r="C759" s="1"/>
    </row>
    <row r="760" spans="3:3" x14ac:dyDescent="0.4">
      <c r="C760" s="1"/>
    </row>
    <row r="761" spans="3:3" x14ac:dyDescent="0.4">
      <c r="C761" s="1"/>
    </row>
    <row r="762" spans="3:3" x14ac:dyDescent="0.4">
      <c r="C762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tegorize">
                <anchor moveWithCells="1">
                  <from>
                    <xdr:col>22</xdr:col>
                    <xdr:colOff>38100</xdr:colOff>
                    <xdr:row>0</xdr:row>
                    <xdr:rowOff>161925</xdr:rowOff>
                  </from>
                  <to>
                    <xdr:col>23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tegorize2">
                <anchor moveWithCells="1" sizeWithCells="1">
                  <from>
                    <xdr:col>22</xdr:col>
                    <xdr:colOff>33338</xdr:colOff>
                    <xdr:row>3</xdr:row>
                    <xdr:rowOff>166688</xdr:rowOff>
                  </from>
                  <to>
                    <xdr:col>23</xdr:col>
                    <xdr:colOff>400050</xdr:colOff>
                    <xdr:row>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59"/>
  <sheetViews>
    <sheetView workbookViewId="0">
      <selection activeCell="D8" sqref="D8"/>
    </sheetView>
  </sheetViews>
  <sheetFormatPr defaultRowHeight="13.9" x14ac:dyDescent="0.4"/>
  <cols>
    <col min="3" max="3" width="17.33203125" customWidth="1"/>
  </cols>
  <sheetData>
    <row r="1" spans="1:13" x14ac:dyDescent="0.4">
      <c r="A1" t="s">
        <v>117</v>
      </c>
      <c r="B1" t="s">
        <v>118</v>
      </c>
      <c r="C1" t="s">
        <v>119</v>
      </c>
      <c r="D1" t="s">
        <v>120</v>
      </c>
    </row>
    <row r="2" spans="1:13" x14ac:dyDescent="0.4">
      <c r="A2" t="s">
        <v>658</v>
      </c>
      <c r="B2" t="s">
        <v>659</v>
      </c>
      <c r="C2" t="s">
        <v>203</v>
      </c>
      <c r="D2" s="1">
        <v>37155</v>
      </c>
      <c r="E2">
        <v>72.222222222222229</v>
      </c>
      <c r="F2">
        <v>27.777777777777779</v>
      </c>
      <c r="G2">
        <v>77.272727272727266</v>
      </c>
      <c r="H2">
        <v>81.818181818181813</v>
      </c>
      <c r="I2">
        <v>63.636363636363633</v>
      </c>
      <c r="J2">
        <v>84</v>
      </c>
      <c r="K2">
        <v>43.965600275197801</v>
      </c>
      <c r="L2">
        <v>81.818181818181813</v>
      </c>
      <c r="M2">
        <v>71.422961674157847</v>
      </c>
    </row>
    <row r="3" spans="1:13" x14ac:dyDescent="0.4">
      <c r="A3" t="s">
        <v>660</v>
      </c>
      <c r="B3" t="s">
        <v>661</v>
      </c>
      <c r="C3" t="s">
        <v>40</v>
      </c>
      <c r="D3" s="1">
        <v>37162</v>
      </c>
      <c r="E3">
        <v>74.434389140271492</v>
      </c>
      <c r="F3">
        <v>30.15184381778742</v>
      </c>
      <c r="G3">
        <v>44.444444444444443</v>
      </c>
      <c r="H3">
        <v>27.470355731225297</v>
      </c>
      <c r="I3">
        <v>40.98671726755218</v>
      </c>
      <c r="J3">
        <v>58.803418803418801</v>
      </c>
      <c r="K3">
        <v>38.401368504052805</v>
      </c>
      <c r="L3">
        <v>27.4703557312253</v>
      </c>
      <c r="M3">
        <v>53.023085334830064</v>
      </c>
    </row>
    <row r="4" spans="1:13" x14ac:dyDescent="0.4">
      <c r="A4" t="s">
        <v>662</v>
      </c>
      <c r="B4" t="s">
        <v>663</v>
      </c>
      <c r="C4" t="s">
        <v>40</v>
      </c>
      <c r="D4" s="1">
        <v>37243</v>
      </c>
      <c r="E4">
        <v>86.425339366515843</v>
      </c>
      <c r="F4">
        <v>51.626898047722342</v>
      </c>
      <c r="G4">
        <v>91.358024691358025</v>
      </c>
      <c r="H4">
        <v>27.272727272727273</v>
      </c>
      <c r="I4">
        <v>65.654648956356738</v>
      </c>
      <c r="J4">
        <v>34.188034188034187</v>
      </c>
      <c r="K4">
        <v>46.605801023106253</v>
      </c>
      <c r="L4">
        <v>27.272727272727273</v>
      </c>
      <c r="M4">
        <v>81.807705710798345</v>
      </c>
    </row>
    <row r="5" spans="1:13" x14ac:dyDescent="0.4">
      <c r="A5" t="s">
        <v>330</v>
      </c>
      <c r="B5" t="s">
        <v>331</v>
      </c>
      <c r="C5" t="s">
        <v>64</v>
      </c>
      <c r="D5" s="1">
        <v>37384</v>
      </c>
      <c r="E5">
        <v>42.713567839195981</v>
      </c>
      <c r="F5">
        <v>71.991247264770237</v>
      </c>
      <c r="G5">
        <v>6.106870229007634</v>
      </c>
      <c r="H5">
        <v>6.4039408866995071</v>
      </c>
      <c r="I5">
        <v>19.389830508474578</v>
      </c>
      <c r="J5">
        <v>24.275782155272307</v>
      </c>
      <c r="K5">
        <v>58.252738734790952</v>
      </c>
      <c r="L5">
        <v>6.4039408866995071</v>
      </c>
      <c r="M5">
        <v>22.000995072934188</v>
      </c>
    </row>
    <row r="6" spans="1:13" x14ac:dyDescent="0.4">
      <c r="A6" t="s">
        <v>332</v>
      </c>
      <c r="B6" t="s">
        <v>333</v>
      </c>
      <c r="C6" t="s">
        <v>203</v>
      </c>
      <c r="D6" s="1">
        <v>37484</v>
      </c>
      <c r="E6">
        <v>33.333333333333336</v>
      </c>
      <c r="F6">
        <v>38.888888888888886</v>
      </c>
      <c r="G6">
        <v>86.36363636363636</v>
      </c>
      <c r="H6">
        <v>45.454545454545453</v>
      </c>
      <c r="I6">
        <v>9.0909090909090917</v>
      </c>
      <c r="J6">
        <v>96</v>
      </c>
      <c r="K6">
        <v>55.332645338837288</v>
      </c>
      <c r="L6">
        <v>45.454545454545453</v>
      </c>
      <c r="M6">
        <v>45.360301580397284</v>
      </c>
    </row>
    <row r="7" spans="1:13" x14ac:dyDescent="0.4">
      <c r="A7" t="s">
        <v>664</v>
      </c>
      <c r="B7" t="s">
        <v>665</v>
      </c>
      <c r="C7" t="s">
        <v>40</v>
      </c>
      <c r="D7" s="1">
        <v>37512</v>
      </c>
      <c r="E7">
        <v>64.479638009049779</v>
      </c>
      <c r="F7">
        <v>40.347071583514101</v>
      </c>
      <c r="G7">
        <v>98.148148148148152</v>
      </c>
      <c r="H7">
        <v>61.660079051383399</v>
      </c>
      <c r="I7">
        <v>26.185958254269451</v>
      </c>
      <c r="J7">
        <v>66.837606837606842</v>
      </c>
      <c r="K7">
        <v>47.97437739970799</v>
      </c>
      <c r="L7">
        <v>61.660079051383399</v>
      </c>
      <c r="M7">
        <v>65.020114164975851</v>
      </c>
    </row>
    <row r="8" spans="1:13" x14ac:dyDescent="0.4">
      <c r="A8" t="s">
        <v>666</v>
      </c>
      <c r="B8" t="s">
        <v>667</v>
      </c>
      <c r="C8" t="s">
        <v>40</v>
      </c>
      <c r="D8" s="1">
        <v>37517</v>
      </c>
      <c r="E8">
        <v>65.158371040723978</v>
      </c>
      <c r="F8">
        <v>18.655097613882862</v>
      </c>
      <c r="G8">
        <v>53.909465020576128</v>
      </c>
      <c r="H8">
        <v>33.201581027667984</v>
      </c>
      <c r="I8">
        <v>58.064516129032256</v>
      </c>
      <c r="J8">
        <v>48.034188034188034</v>
      </c>
      <c r="K8">
        <v>27.114092688459891</v>
      </c>
      <c r="L8">
        <v>33.201581027667984</v>
      </c>
      <c r="M8">
        <v>58.816299896784152</v>
      </c>
    </row>
    <row r="9" spans="1:13" x14ac:dyDescent="0.4">
      <c r="A9" t="s">
        <v>668</v>
      </c>
      <c r="B9" t="s">
        <v>669</v>
      </c>
      <c r="C9" t="s">
        <v>64</v>
      </c>
      <c r="D9" s="1">
        <v>37537</v>
      </c>
      <c r="E9">
        <v>38.693467336683419</v>
      </c>
      <c r="F9">
        <v>78.774617067833702</v>
      </c>
      <c r="G9">
        <v>38.040712468193384</v>
      </c>
      <c r="H9">
        <v>91.871921182266007</v>
      </c>
      <c r="I9">
        <v>19.796610169491526</v>
      </c>
      <c r="J9">
        <v>1.6801853997682503</v>
      </c>
      <c r="K9">
        <v>56.577149126254483</v>
      </c>
      <c r="L9">
        <v>91.871921182266007</v>
      </c>
      <c r="M9">
        <v>32.59856960247572</v>
      </c>
    </row>
    <row r="10" spans="1:13" x14ac:dyDescent="0.4">
      <c r="A10" t="s">
        <v>670</v>
      </c>
      <c r="B10" t="s">
        <v>671</v>
      </c>
      <c r="C10" t="s">
        <v>203</v>
      </c>
      <c r="D10" s="1">
        <v>37538</v>
      </c>
      <c r="E10">
        <v>77.777777777777771</v>
      </c>
      <c r="F10">
        <v>44.444444444444443</v>
      </c>
      <c r="G10">
        <v>50</v>
      </c>
      <c r="H10">
        <v>68.181818181818187</v>
      </c>
      <c r="I10">
        <v>81.818181818181813</v>
      </c>
      <c r="J10">
        <v>64</v>
      </c>
      <c r="K10">
        <v>50.074991400068804</v>
      </c>
      <c r="L10">
        <v>68.181818181818187</v>
      </c>
      <c r="M10">
        <v>68.795611618578121</v>
      </c>
    </row>
    <row r="11" spans="1:13" x14ac:dyDescent="0.4">
      <c r="A11" t="s">
        <v>226</v>
      </c>
      <c r="B11" t="s">
        <v>227</v>
      </c>
      <c r="C11" t="s">
        <v>40</v>
      </c>
      <c r="D11" s="1">
        <v>37565</v>
      </c>
      <c r="E11">
        <v>37.33031674208145</v>
      </c>
      <c r="F11">
        <v>12.79826464208243</v>
      </c>
      <c r="G11">
        <v>50</v>
      </c>
      <c r="H11">
        <v>50.59288537549407</v>
      </c>
      <c r="I11">
        <v>49.905123339658445</v>
      </c>
      <c r="J11">
        <v>23.418803418803417</v>
      </c>
      <c r="K11">
        <v>15.856190667577946</v>
      </c>
      <c r="L11">
        <v>50.59288537549407</v>
      </c>
      <c r="M11">
        <v>45.893878168171589</v>
      </c>
    </row>
    <row r="12" spans="1:13" x14ac:dyDescent="0.4">
      <c r="A12" t="s">
        <v>228</v>
      </c>
      <c r="B12" t="s">
        <v>229</v>
      </c>
      <c r="C12" t="s">
        <v>203</v>
      </c>
      <c r="D12" s="1">
        <v>37571</v>
      </c>
      <c r="E12">
        <v>50</v>
      </c>
      <c r="F12">
        <v>22.222222222222221</v>
      </c>
      <c r="G12">
        <v>4.5454545454545459</v>
      </c>
      <c r="H12">
        <v>77.272727272727266</v>
      </c>
      <c r="I12">
        <v>77.272727272727266</v>
      </c>
      <c r="J12">
        <v>32</v>
      </c>
      <c r="K12">
        <v>25.037495700034402</v>
      </c>
      <c r="L12">
        <v>77.272727272727266</v>
      </c>
      <c r="M12">
        <v>41.70291431056981</v>
      </c>
    </row>
    <row r="13" spans="1:13" x14ac:dyDescent="0.4">
      <c r="A13" t="s">
        <v>448</v>
      </c>
      <c r="B13" t="s">
        <v>449</v>
      </c>
      <c r="C13" t="s">
        <v>40</v>
      </c>
      <c r="D13" s="1">
        <v>37736</v>
      </c>
      <c r="E13">
        <v>29.638009049773757</v>
      </c>
      <c r="F13">
        <v>90.238611713665946</v>
      </c>
      <c r="G13">
        <v>62.345679012345677</v>
      </c>
      <c r="H13">
        <v>82.411067193675891</v>
      </c>
      <c r="I13">
        <v>93.168880455407972</v>
      </c>
      <c r="J13">
        <v>9.2307692307692299</v>
      </c>
      <c r="K13">
        <v>66.914372237166276</v>
      </c>
      <c r="L13">
        <v>82.411067193675891</v>
      </c>
      <c r="M13">
        <v>61.370614363806546</v>
      </c>
    </row>
    <row r="14" spans="1:13" x14ac:dyDescent="0.4">
      <c r="A14" t="s">
        <v>672</v>
      </c>
      <c r="B14" t="s">
        <v>673</v>
      </c>
      <c r="C14" t="s">
        <v>40</v>
      </c>
      <c r="D14" s="1">
        <v>37736</v>
      </c>
      <c r="E14">
        <v>84.615384615384613</v>
      </c>
      <c r="F14">
        <v>34.490238611713664</v>
      </c>
      <c r="G14">
        <v>48.559670781893004</v>
      </c>
      <c r="H14">
        <v>46.640316205533594</v>
      </c>
      <c r="I14">
        <v>60.341555977229604</v>
      </c>
      <c r="J14">
        <v>84.102564102564102</v>
      </c>
      <c r="K14">
        <v>48.774901988336239</v>
      </c>
      <c r="L14">
        <v>46.640316205533594</v>
      </c>
      <c r="M14">
        <v>63.81145940246887</v>
      </c>
    </row>
    <row r="15" spans="1:13" x14ac:dyDescent="0.4">
      <c r="A15" t="s">
        <v>674</v>
      </c>
      <c r="B15" t="s">
        <v>675</v>
      </c>
      <c r="C15" t="s">
        <v>40</v>
      </c>
      <c r="D15" s="1">
        <v>37736</v>
      </c>
      <c r="E15">
        <v>56.334841628959275</v>
      </c>
      <c r="F15">
        <v>72.234273318872013</v>
      </c>
      <c r="G15">
        <v>81.893004115226333</v>
      </c>
      <c r="H15">
        <v>33.399209486166008</v>
      </c>
      <c r="I15">
        <v>2.4667931688804554</v>
      </c>
      <c r="J15">
        <v>84.444444444444443</v>
      </c>
      <c r="K15">
        <v>75.749895345739617</v>
      </c>
      <c r="L15">
        <v>33.399209486166008</v>
      </c>
      <c r="M15">
        <v>49.062221407200703</v>
      </c>
    </row>
    <row r="16" spans="1:13" x14ac:dyDescent="0.4">
      <c r="A16" t="s">
        <v>676</v>
      </c>
      <c r="B16" t="s">
        <v>677</v>
      </c>
      <c r="C16" t="s">
        <v>40</v>
      </c>
      <c r="D16" s="1">
        <v>37739</v>
      </c>
      <c r="E16">
        <v>44.117647058823529</v>
      </c>
      <c r="F16">
        <v>10.629067245119305</v>
      </c>
      <c r="G16">
        <v>58.230452674897123</v>
      </c>
      <c r="H16">
        <v>55.138339920948617</v>
      </c>
      <c r="I16">
        <v>34.535104364326372</v>
      </c>
      <c r="J16">
        <v>78.632478632478637</v>
      </c>
      <c r="K16">
        <v>30.208996839622152</v>
      </c>
      <c r="L16">
        <v>55.13833992094861</v>
      </c>
      <c r="M16">
        <v>46.348347503651162</v>
      </c>
    </row>
    <row r="17" spans="1:13" x14ac:dyDescent="0.4">
      <c r="A17" t="s">
        <v>678</v>
      </c>
      <c r="B17" t="s">
        <v>679</v>
      </c>
      <c r="C17" t="s">
        <v>64</v>
      </c>
      <c r="D17" s="1">
        <v>37788</v>
      </c>
      <c r="E17">
        <v>76.381909547738687</v>
      </c>
      <c r="F17">
        <v>45.295404814004378</v>
      </c>
      <c r="G17">
        <v>44.783715012722645</v>
      </c>
      <c r="H17">
        <v>55.911330049261082</v>
      </c>
      <c r="I17">
        <v>47.728813559322035</v>
      </c>
      <c r="J17">
        <v>61.935110081112398</v>
      </c>
      <c r="K17">
        <v>50.086403544162408</v>
      </c>
      <c r="L17">
        <v>55.911330049261082</v>
      </c>
      <c r="M17">
        <v>55.863493545603689</v>
      </c>
    </row>
    <row r="18" spans="1:13" x14ac:dyDescent="0.4">
      <c r="A18" t="s">
        <v>680</v>
      </c>
      <c r="B18" t="s">
        <v>681</v>
      </c>
      <c r="C18" t="s">
        <v>40</v>
      </c>
      <c r="D18" s="1">
        <v>37811</v>
      </c>
      <c r="E18">
        <v>30.995475113122172</v>
      </c>
      <c r="F18">
        <v>24.728850325379611</v>
      </c>
      <c r="G18">
        <v>43.209876543209873</v>
      </c>
      <c r="H18">
        <v>88.339920948616594</v>
      </c>
      <c r="I18">
        <v>65.275142314990518</v>
      </c>
      <c r="J18">
        <v>16.410256410256409</v>
      </c>
      <c r="K18">
        <v>22.333713377681597</v>
      </c>
      <c r="L18">
        <v>88.339920948616594</v>
      </c>
      <c r="M18">
        <v>46.115653875982112</v>
      </c>
    </row>
    <row r="19" spans="1:13" x14ac:dyDescent="0.4">
      <c r="A19" t="s">
        <v>230</v>
      </c>
      <c r="B19" t="s">
        <v>231</v>
      </c>
      <c r="C19" t="s">
        <v>40</v>
      </c>
      <c r="D19" s="1">
        <v>37811</v>
      </c>
      <c r="E19">
        <v>87.782805429864254</v>
      </c>
      <c r="F19">
        <v>12.364425162689805</v>
      </c>
      <c r="G19">
        <v>67.695473251028801</v>
      </c>
      <c r="H19">
        <v>26.284584980237153</v>
      </c>
      <c r="I19">
        <v>34.914611005692599</v>
      </c>
      <c r="J19">
        <v>72.307692307692307</v>
      </c>
      <c r="K19">
        <v>29.623632111560493</v>
      </c>
      <c r="L19">
        <v>26.284584980237149</v>
      </c>
      <c r="M19">
        <v>64.003187407206624</v>
      </c>
    </row>
    <row r="20" spans="1:13" x14ac:dyDescent="0.4">
      <c r="A20" t="s">
        <v>682</v>
      </c>
      <c r="B20" t="s">
        <v>683</v>
      </c>
      <c r="C20" t="s">
        <v>40</v>
      </c>
      <c r="D20" s="1">
        <v>37814</v>
      </c>
      <c r="E20">
        <v>69.230769230769226</v>
      </c>
      <c r="F20">
        <v>29.718004338394795</v>
      </c>
      <c r="G20">
        <v>29.62962962962963</v>
      </c>
      <c r="H20">
        <v>47.233201581027672</v>
      </c>
      <c r="I20">
        <v>83.301707779886144</v>
      </c>
      <c r="J20">
        <v>32.991452991452988</v>
      </c>
      <c r="K20">
        <v>30.660514322092666</v>
      </c>
      <c r="L20">
        <v>47.233201581027672</v>
      </c>
      <c r="M20">
        <v>59.000173641140378</v>
      </c>
    </row>
    <row r="21" spans="1:13" x14ac:dyDescent="0.4">
      <c r="A21" t="s">
        <v>232</v>
      </c>
      <c r="B21" t="s">
        <v>233</v>
      </c>
      <c r="C21" t="s">
        <v>40</v>
      </c>
      <c r="D21" s="1">
        <v>37817</v>
      </c>
      <c r="E21">
        <v>80.542986425339365</v>
      </c>
      <c r="F21">
        <v>28.199566160520607</v>
      </c>
      <c r="G21">
        <v>72.427983539094654</v>
      </c>
      <c r="H21">
        <v>45.454545454545453</v>
      </c>
      <c r="I21">
        <v>77.03984819734346</v>
      </c>
      <c r="J21">
        <v>6.666666666666667</v>
      </c>
      <c r="K21">
        <v>21.999691074054919</v>
      </c>
      <c r="L21">
        <v>45.454545454545453</v>
      </c>
      <c r="M21">
        <v>76.467946126279188</v>
      </c>
    </row>
    <row r="22" spans="1:13" x14ac:dyDescent="0.4">
      <c r="A22" t="s">
        <v>684</v>
      </c>
      <c r="B22" t="s">
        <v>685</v>
      </c>
      <c r="C22" t="s">
        <v>64</v>
      </c>
      <c r="D22" s="1">
        <v>37817</v>
      </c>
      <c r="E22">
        <v>68.844221105527637</v>
      </c>
      <c r="F22">
        <v>57.76805251641138</v>
      </c>
      <c r="G22">
        <v>33.078880407124679</v>
      </c>
      <c r="H22">
        <v>85.221674876847288</v>
      </c>
      <c r="I22">
        <v>25.016949152542374</v>
      </c>
      <c r="J22">
        <v>72.074159907300114</v>
      </c>
      <c r="K22">
        <v>61.8871484524877</v>
      </c>
      <c r="L22">
        <v>85.221674876847288</v>
      </c>
      <c r="M22">
        <v>42.089450326901684</v>
      </c>
    </row>
    <row r="23" spans="1:13" x14ac:dyDescent="0.4">
      <c r="A23" t="s">
        <v>686</v>
      </c>
      <c r="B23" t="s">
        <v>687</v>
      </c>
      <c r="C23" t="s">
        <v>40</v>
      </c>
      <c r="D23" s="1">
        <v>37837</v>
      </c>
      <c r="E23">
        <v>73.981900452488688</v>
      </c>
      <c r="F23">
        <v>18.004338394793926</v>
      </c>
      <c r="G23">
        <v>41.358024691358025</v>
      </c>
      <c r="H23">
        <v>57.509881422924899</v>
      </c>
      <c r="I23">
        <v>42.125237191650854</v>
      </c>
      <c r="J23">
        <v>45.299145299145302</v>
      </c>
      <c r="K23">
        <v>25.863214686139678</v>
      </c>
      <c r="L23">
        <v>57.509881422924899</v>
      </c>
      <c r="M23">
        <v>52.093109161836487</v>
      </c>
    </row>
    <row r="24" spans="1:13" x14ac:dyDescent="0.4">
      <c r="A24" t="s">
        <v>450</v>
      </c>
      <c r="B24" t="s">
        <v>451</v>
      </c>
      <c r="C24" t="s">
        <v>203</v>
      </c>
      <c r="D24" s="1">
        <v>37841</v>
      </c>
      <c r="E24">
        <v>16.666666666666668</v>
      </c>
      <c r="F24">
        <v>61.111111111111114</v>
      </c>
      <c r="G24">
        <v>18.181818181818183</v>
      </c>
      <c r="H24">
        <v>31.818181818181817</v>
      </c>
      <c r="I24">
        <v>36.363636363636367</v>
      </c>
      <c r="J24">
        <v>76</v>
      </c>
      <c r="K24">
        <v>65.398004815961471</v>
      </c>
      <c r="L24">
        <v>31.81818181818182</v>
      </c>
      <c r="M24">
        <v>23.327171233869802</v>
      </c>
    </row>
    <row r="25" spans="1:13" x14ac:dyDescent="0.4">
      <c r="A25" t="s">
        <v>234</v>
      </c>
      <c r="B25" t="s">
        <v>235</v>
      </c>
      <c r="C25" t="s">
        <v>40</v>
      </c>
      <c r="D25" s="1">
        <v>37855</v>
      </c>
      <c r="E25">
        <v>95.701357466063342</v>
      </c>
      <c r="F25">
        <v>13.882863340563992</v>
      </c>
      <c r="G25">
        <v>57.818930041152264</v>
      </c>
      <c r="H25">
        <v>36.56126482213439</v>
      </c>
      <c r="I25">
        <v>54.838709677419352</v>
      </c>
      <c r="J25">
        <v>45.128205128205131</v>
      </c>
      <c r="K25">
        <v>22.879200140101535</v>
      </c>
      <c r="L25">
        <v>36.56126482213439</v>
      </c>
      <c r="M25">
        <v>69.085073465906163</v>
      </c>
    </row>
    <row r="26" spans="1:13" x14ac:dyDescent="0.4">
      <c r="A26" t="s">
        <v>236</v>
      </c>
      <c r="B26" t="s">
        <v>237</v>
      </c>
      <c r="C26" t="s">
        <v>203</v>
      </c>
      <c r="D26" s="1">
        <v>37869</v>
      </c>
      <c r="E26">
        <v>100</v>
      </c>
      <c r="F26">
        <v>5.5555555555555554</v>
      </c>
      <c r="G26">
        <v>36.363636363636367</v>
      </c>
      <c r="H26">
        <v>18.181818181818183</v>
      </c>
      <c r="I26">
        <v>22.727272727272727</v>
      </c>
      <c r="J26">
        <v>48</v>
      </c>
      <c r="K26">
        <v>17.776401788785687</v>
      </c>
      <c r="L26">
        <v>18.181818181818183</v>
      </c>
      <c r="M26">
        <v>52.615267507612003</v>
      </c>
    </row>
    <row r="27" spans="1:13" x14ac:dyDescent="0.4">
      <c r="A27" t="s">
        <v>452</v>
      </c>
      <c r="B27" t="s">
        <v>453</v>
      </c>
      <c r="C27" t="s">
        <v>203</v>
      </c>
      <c r="D27" s="1">
        <v>37894</v>
      </c>
      <c r="E27">
        <v>55.555555555555557</v>
      </c>
      <c r="F27">
        <v>66.666666666666671</v>
      </c>
      <c r="G27">
        <v>63.636363636363633</v>
      </c>
      <c r="H27">
        <v>90.909090909090907</v>
      </c>
      <c r="I27">
        <v>40.909090909090907</v>
      </c>
      <c r="J27">
        <v>60</v>
      </c>
      <c r="K27">
        <v>64.747162022703833</v>
      </c>
      <c r="L27">
        <v>90.909090909090907</v>
      </c>
      <c r="M27">
        <v>53.995094485525108</v>
      </c>
    </row>
    <row r="28" spans="1:13" x14ac:dyDescent="0.4">
      <c r="A28" t="s">
        <v>238</v>
      </c>
      <c r="B28" t="s">
        <v>239</v>
      </c>
      <c r="C28" t="s">
        <v>40</v>
      </c>
      <c r="D28" s="1">
        <v>37918</v>
      </c>
      <c r="E28">
        <v>84.162895927601809</v>
      </c>
      <c r="F28">
        <v>26.247288503253795</v>
      </c>
      <c r="G28">
        <v>15.020576131687243</v>
      </c>
      <c r="H28">
        <v>13.24110671936759</v>
      </c>
      <c r="I28">
        <v>57.30550284629981</v>
      </c>
      <c r="J28">
        <v>6.8376068376068373</v>
      </c>
      <c r="K28">
        <v>20.658742388996309</v>
      </c>
      <c r="L28">
        <v>13.24110671936759</v>
      </c>
      <c r="M28">
        <v>50.368758002722736</v>
      </c>
    </row>
    <row r="29" spans="1:13" x14ac:dyDescent="0.4">
      <c r="A29" t="s">
        <v>688</v>
      </c>
      <c r="B29" t="s">
        <v>689</v>
      </c>
      <c r="C29" t="s">
        <v>64</v>
      </c>
      <c r="D29" s="1">
        <v>37918</v>
      </c>
      <c r="E29">
        <v>57.788944723618087</v>
      </c>
      <c r="F29">
        <v>79.212253829321668</v>
      </c>
      <c r="G29">
        <v>6.6157760814249365</v>
      </c>
      <c r="H29">
        <v>2.5451559934318553</v>
      </c>
      <c r="I29">
        <v>4.4745762711864403</v>
      </c>
      <c r="J29">
        <v>91.714947856315177</v>
      </c>
      <c r="K29">
        <v>82.812100716350741</v>
      </c>
      <c r="L29">
        <v>2.5451559934318553</v>
      </c>
      <c r="M29">
        <v>22.418421552595014</v>
      </c>
    </row>
    <row r="30" spans="1:13" x14ac:dyDescent="0.4">
      <c r="A30" t="s">
        <v>240</v>
      </c>
      <c r="B30" t="s">
        <v>241</v>
      </c>
      <c r="C30" t="s">
        <v>64</v>
      </c>
      <c r="D30" s="1">
        <v>37925</v>
      </c>
      <c r="E30">
        <v>95.477386934673362</v>
      </c>
      <c r="F30">
        <v>12.035010940919037</v>
      </c>
      <c r="G30">
        <v>88.422391857506355</v>
      </c>
      <c r="H30">
        <v>80.706075533661746</v>
      </c>
      <c r="I30">
        <v>81.830508474576277</v>
      </c>
      <c r="J30">
        <v>58.169177288528388</v>
      </c>
      <c r="K30">
        <v>25.318222923357645</v>
      </c>
      <c r="L30">
        <v>80.706075533661746</v>
      </c>
      <c r="M30">
        <v>88.650257742170268</v>
      </c>
    </row>
    <row r="31" spans="1:13" x14ac:dyDescent="0.4">
      <c r="A31" t="s">
        <v>690</v>
      </c>
      <c r="B31" t="s">
        <v>691</v>
      </c>
      <c r="C31" t="s">
        <v>203</v>
      </c>
      <c r="D31" s="1">
        <v>37958</v>
      </c>
      <c r="E31">
        <v>61.111111111111114</v>
      </c>
      <c r="F31">
        <v>94.444444444444443</v>
      </c>
      <c r="G31">
        <v>54.545454545454547</v>
      </c>
      <c r="H31">
        <v>36.363636363636367</v>
      </c>
      <c r="I31">
        <v>18.181818181818183</v>
      </c>
      <c r="J31">
        <v>100</v>
      </c>
      <c r="K31">
        <v>96.04403164774682</v>
      </c>
      <c r="L31">
        <v>36.363636363636367</v>
      </c>
      <c r="M31">
        <v>45.392320332511723</v>
      </c>
    </row>
    <row r="32" spans="1:13" x14ac:dyDescent="0.4">
      <c r="A32" t="s">
        <v>242</v>
      </c>
      <c r="B32" t="s">
        <v>243</v>
      </c>
      <c r="C32" t="s">
        <v>40</v>
      </c>
      <c r="D32" s="1">
        <v>37960</v>
      </c>
      <c r="E32">
        <v>70.135746606334848</v>
      </c>
      <c r="F32">
        <v>3.2537960954446854</v>
      </c>
      <c r="G32">
        <v>14.403292181069959</v>
      </c>
      <c r="H32">
        <v>1.7786561264822134</v>
      </c>
      <c r="I32">
        <v>74.952561669829223</v>
      </c>
      <c r="J32">
        <v>69.743589743589737</v>
      </c>
      <c r="K32">
        <v>22.397916248006574</v>
      </c>
      <c r="L32">
        <v>1.7786561264822134</v>
      </c>
      <c r="M32">
        <v>51.095027872439459</v>
      </c>
    </row>
    <row r="33" spans="1:13" x14ac:dyDescent="0.4">
      <c r="A33" t="s">
        <v>692</v>
      </c>
      <c r="B33" t="s">
        <v>693</v>
      </c>
      <c r="C33" t="s">
        <v>40</v>
      </c>
      <c r="D33" s="1">
        <v>37964</v>
      </c>
      <c r="E33">
        <v>98.190045248868785</v>
      </c>
      <c r="F33">
        <v>38.394793926247289</v>
      </c>
      <c r="G33">
        <v>96.913580246913583</v>
      </c>
      <c r="H33">
        <v>48.616600790513836</v>
      </c>
      <c r="I33">
        <v>37.191650853889946</v>
      </c>
      <c r="J33">
        <v>70.598290598290603</v>
      </c>
      <c r="K33">
        <v>47.667008138321677</v>
      </c>
      <c r="L33">
        <v>48.616600790513836</v>
      </c>
      <c r="M33">
        <v>78.821940740613144</v>
      </c>
    </row>
    <row r="34" spans="1:13" x14ac:dyDescent="0.4">
      <c r="A34" t="s">
        <v>694</v>
      </c>
      <c r="B34" t="s">
        <v>695</v>
      </c>
      <c r="C34" t="s">
        <v>64</v>
      </c>
      <c r="D34" s="1">
        <v>38058</v>
      </c>
      <c r="E34">
        <v>64.824120603015075</v>
      </c>
      <c r="F34">
        <v>69.365426695842444</v>
      </c>
      <c r="G34">
        <v>12.340966921119593</v>
      </c>
      <c r="H34">
        <v>76.436781609195407</v>
      </c>
      <c r="I34">
        <v>33.559322033898304</v>
      </c>
      <c r="J34">
        <v>57.126303592120507</v>
      </c>
      <c r="K34">
        <v>65.841468650498356</v>
      </c>
      <c r="L34">
        <v>76.436781609195407</v>
      </c>
      <c r="M34">
        <v>35.802118015186068</v>
      </c>
    </row>
    <row r="35" spans="1:13" x14ac:dyDescent="0.4">
      <c r="A35" t="s">
        <v>696</v>
      </c>
      <c r="B35" t="s">
        <v>697</v>
      </c>
      <c r="C35" t="s">
        <v>40</v>
      </c>
      <c r="D35" s="1">
        <v>38061</v>
      </c>
      <c r="E35">
        <v>88.235294117647058</v>
      </c>
      <c r="F35">
        <v>73.96963123644251</v>
      </c>
      <c r="G35">
        <v>93.621399176954739</v>
      </c>
      <c r="H35">
        <v>48.814229249011859</v>
      </c>
      <c r="I35">
        <v>86.337760910815945</v>
      </c>
      <c r="J35">
        <v>15.555555555555555</v>
      </c>
      <c r="K35">
        <v>57.150717805103547</v>
      </c>
      <c r="L35">
        <v>48.814229249011859</v>
      </c>
      <c r="M35">
        <v>89.631776483313928</v>
      </c>
    </row>
    <row r="36" spans="1:13" x14ac:dyDescent="0.4">
      <c r="A36" t="s">
        <v>74</v>
      </c>
      <c r="B36" t="s">
        <v>75</v>
      </c>
      <c r="C36" t="s">
        <v>40</v>
      </c>
      <c r="D36" s="1">
        <v>38072</v>
      </c>
      <c r="E36">
        <v>67.647058823529406</v>
      </c>
      <c r="F36">
        <v>18.43817787418655</v>
      </c>
      <c r="G36">
        <v>10.905349794238683</v>
      </c>
      <c r="H36">
        <v>36.363636363636367</v>
      </c>
      <c r="I36">
        <v>48.766603415559771</v>
      </c>
      <c r="J36">
        <v>41.36752136752137</v>
      </c>
      <c r="K36">
        <v>25.040125071957878</v>
      </c>
      <c r="L36">
        <v>36.363636363636367</v>
      </c>
      <c r="M36">
        <v>40.892890962661369</v>
      </c>
    </row>
    <row r="37" spans="1:13" x14ac:dyDescent="0.4">
      <c r="A37" t="s">
        <v>698</v>
      </c>
      <c r="B37" t="s">
        <v>699</v>
      </c>
      <c r="C37" t="s">
        <v>40</v>
      </c>
      <c r="D37" s="1">
        <v>38078</v>
      </c>
      <c r="E37">
        <v>58.144796380090497</v>
      </c>
      <c r="F37">
        <v>42.082429501084597</v>
      </c>
      <c r="G37">
        <v>43.004115226337447</v>
      </c>
      <c r="H37">
        <v>98.221343873517782</v>
      </c>
      <c r="I37">
        <v>43.643263757115747</v>
      </c>
      <c r="J37">
        <v>98.290598290598297</v>
      </c>
      <c r="K37">
        <v>58.266205654102478</v>
      </c>
      <c r="L37">
        <v>98.221343873517782</v>
      </c>
      <c r="M37">
        <v>48.073950991685713</v>
      </c>
    </row>
    <row r="38" spans="1:13" x14ac:dyDescent="0.4">
      <c r="A38" t="s">
        <v>334</v>
      </c>
      <c r="B38" t="s">
        <v>335</v>
      </c>
      <c r="C38" t="s">
        <v>40</v>
      </c>
      <c r="D38" s="1">
        <v>38086</v>
      </c>
      <c r="E38">
        <v>79.185520361990953</v>
      </c>
      <c r="F38">
        <v>57.049891540130155</v>
      </c>
      <c r="G38">
        <v>86.21399176954732</v>
      </c>
      <c r="H38">
        <v>10.474308300395258</v>
      </c>
      <c r="I38">
        <v>32.258064516129032</v>
      </c>
      <c r="J38">
        <v>76.92307692307692</v>
      </c>
      <c r="K38">
        <v>62.771892285065292</v>
      </c>
      <c r="L38">
        <v>10.474308300395258</v>
      </c>
      <c r="M38">
        <v>67.23642721539899</v>
      </c>
    </row>
    <row r="39" spans="1:13" x14ac:dyDescent="0.4">
      <c r="A39" t="s">
        <v>700</v>
      </c>
      <c r="B39" t="s">
        <v>701</v>
      </c>
      <c r="C39" t="s">
        <v>40</v>
      </c>
      <c r="D39" s="1">
        <v>38089</v>
      </c>
      <c r="E39">
        <v>83.257918552036202</v>
      </c>
      <c r="F39">
        <v>5.6399132321041217</v>
      </c>
      <c r="G39">
        <v>55.555555555555557</v>
      </c>
      <c r="H39">
        <v>69.762845849802375</v>
      </c>
      <c r="I39">
        <v>43.833017077798864</v>
      </c>
      <c r="J39">
        <v>75.042735042735046</v>
      </c>
      <c r="K39">
        <v>25.622769047548942</v>
      </c>
      <c r="L39">
        <v>69.762845849802375</v>
      </c>
      <c r="M39">
        <v>60.837610795165979</v>
      </c>
    </row>
    <row r="40" spans="1:13" x14ac:dyDescent="0.4">
      <c r="A40" t="s">
        <v>702</v>
      </c>
      <c r="B40" t="s">
        <v>703</v>
      </c>
      <c r="C40" t="s">
        <v>203</v>
      </c>
      <c r="D40" s="1">
        <v>38106</v>
      </c>
      <c r="E40">
        <v>66.666666666666671</v>
      </c>
      <c r="F40">
        <v>33.333333333333336</v>
      </c>
      <c r="G40">
        <v>27.272727272727273</v>
      </c>
      <c r="H40">
        <v>86.36363636363636</v>
      </c>
      <c r="I40">
        <v>68.181818181818187</v>
      </c>
      <c r="J40">
        <v>12</v>
      </c>
      <c r="K40">
        <v>27.190918472652221</v>
      </c>
      <c r="L40">
        <v>86.36363636363636</v>
      </c>
      <c r="M40">
        <v>52.622517036392644</v>
      </c>
    </row>
    <row r="41" spans="1:13" x14ac:dyDescent="0.4">
      <c r="A41" t="s">
        <v>244</v>
      </c>
      <c r="B41" t="s">
        <v>245</v>
      </c>
      <c r="C41" t="s">
        <v>40</v>
      </c>
      <c r="D41" s="1">
        <v>38106</v>
      </c>
      <c r="E41">
        <v>96.606334841628964</v>
      </c>
      <c r="F41">
        <v>12.147505422993492</v>
      </c>
      <c r="G41">
        <v>41.152263374485599</v>
      </c>
      <c r="H41">
        <v>96.442687747035578</v>
      </c>
      <c r="I41">
        <v>21.821631878557874</v>
      </c>
      <c r="J41">
        <v>34.017094017094017</v>
      </c>
      <c r="K41">
        <v>18.444321953183426</v>
      </c>
      <c r="L41">
        <v>96.442687747035578</v>
      </c>
      <c r="M41">
        <v>53.006942402256279</v>
      </c>
    </row>
    <row r="42" spans="1:13" x14ac:dyDescent="0.4">
      <c r="A42" t="s">
        <v>704</v>
      </c>
      <c r="B42" t="s">
        <v>705</v>
      </c>
      <c r="C42" t="s">
        <v>40</v>
      </c>
      <c r="D42" s="1">
        <v>38118</v>
      </c>
      <c r="E42">
        <v>68.325791855203619</v>
      </c>
      <c r="F42">
        <v>62.47288503253796</v>
      </c>
      <c r="G42">
        <v>22.633744855967077</v>
      </c>
      <c r="H42">
        <v>45.059288537549406</v>
      </c>
      <c r="I42">
        <v>71.347248576850092</v>
      </c>
      <c r="J42">
        <v>52.820512820512818</v>
      </c>
      <c r="K42">
        <v>59.69371903960193</v>
      </c>
      <c r="L42">
        <v>45.059288537549406</v>
      </c>
      <c r="M42">
        <v>52.427953117334695</v>
      </c>
    </row>
    <row r="43" spans="1:13" x14ac:dyDescent="0.4">
      <c r="A43" t="s">
        <v>706</v>
      </c>
      <c r="B43" t="s">
        <v>707</v>
      </c>
      <c r="C43" t="s">
        <v>40</v>
      </c>
      <c r="D43" s="1">
        <v>38119</v>
      </c>
      <c r="E43">
        <v>80.769230769230774</v>
      </c>
      <c r="F43">
        <v>87.20173535791757</v>
      </c>
      <c r="G43">
        <v>30.246913580246915</v>
      </c>
      <c r="H43">
        <v>78.656126482213438</v>
      </c>
      <c r="I43">
        <v>27.514231499051235</v>
      </c>
      <c r="J43">
        <v>97.606837606837601</v>
      </c>
      <c r="K43">
        <v>90.19763167107412</v>
      </c>
      <c r="L43">
        <v>78.656126482213438</v>
      </c>
      <c r="M43">
        <v>45.656888059681101</v>
      </c>
    </row>
    <row r="44" spans="1:13" x14ac:dyDescent="0.4">
      <c r="A44" t="s">
        <v>336</v>
      </c>
      <c r="B44" t="s">
        <v>337</v>
      </c>
      <c r="C44" t="s">
        <v>40</v>
      </c>
      <c r="D44" s="1">
        <v>38128</v>
      </c>
      <c r="E44">
        <v>35.972850678733032</v>
      </c>
      <c r="F44">
        <v>86.550976138828631</v>
      </c>
      <c r="G44">
        <v>94.238683127572017</v>
      </c>
      <c r="H44">
        <v>44.861660079051383</v>
      </c>
      <c r="I44">
        <v>52.941176470588232</v>
      </c>
      <c r="J44">
        <v>27.521367521367523</v>
      </c>
      <c r="K44">
        <v>69.554834957949737</v>
      </c>
      <c r="L44">
        <v>44.861660079051383</v>
      </c>
      <c r="M44">
        <v>62.696143470997264</v>
      </c>
    </row>
    <row r="45" spans="1:13" x14ac:dyDescent="0.4">
      <c r="A45" t="s">
        <v>708</v>
      </c>
      <c r="B45" t="s">
        <v>709</v>
      </c>
      <c r="C45" t="s">
        <v>40</v>
      </c>
      <c r="D45" s="1">
        <v>38134</v>
      </c>
      <c r="E45">
        <v>83.710407239819006</v>
      </c>
      <c r="F45">
        <v>22.125813449023862</v>
      </c>
      <c r="G45">
        <v>64.403292181069958</v>
      </c>
      <c r="H45">
        <v>83.003952569169954</v>
      </c>
      <c r="I45">
        <v>82.352941176470594</v>
      </c>
      <c r="J45">
        <v>14.7008547008547</v>
      </c>
      <c r="K45">
        <v>19.987977029272368</v>
      </c>
      <c r="L45">
        <v>83.003952569169954</v>
      </c>
      <c r="M45">
        <v>76.176704909075056</v>
      </c>
    </row>
    <row r="46" spans="1:13" x14ac:dyDescent="0.4">
      <c r="A46" t="s">
        <v>246</v>
      </c>
      <c r="B46" t="s">
        <v>247</v>
      </c>
      <c r="C46" t="s">
        <v>40</v>
      </c>
      <c r="D46" s="1">
        <v>38139</v>
      </c>
      <c r="E46">
        <v>90.723981900452486</v>
      </c>
      <c r="F46">
        <v>6.0737527114967458</v>
      </c>
      <c r="G46">
        <v>77.983539094650212</v>
      </c>
      <c r="H46">
        <v>22.134387351778656</v>
      </c>
      <c r="I46">
        <v>22.201138519924097</v>
      </c>
      <c r="J46">
        <v>74.529914529914535</v>
      </c>
      <c r="K46">
        <v>25.784040789245523</v>
      </c>
      <c r="L46">
        <v>22.134387351778656</v>
      </c>
      <c r="M46">
        <v>64.801167522768324</v>
      </c>
    </row>
    <row r="47" spans="1:13" x14ac:dyDescent="0.4">
      <c r="A47" t="s">
        <v>710</v>
      </c>
      <c r="B47" t="s">
        <v>711</v>
      </c>
      <c r="C47" t="s">
        <v>40</v>
      </c>
      <c r="D47" s="1">
        <v>38141</v>
      </c>
      <c r="E47">
        <v>66.289592760180994</v>
      </c>
      <c r="F47">
        <v>76.355748373101946</v>
      </c>
      <c r="G47">
        <v>42.798353909465021</v>
      </c>
      <c r="H47">
        <v>21.739130434782609</v>
      </c>
      <c r="I47">
        <v>22.960151802656547</v>
      </c>
      <c r="J47">
        <v>47.179487179487182</v>
      </c>
      <c r="K47">
        <v>67.955153044909466</v>
      </c>
      <c r="L47">
        <v>21.739130434782609</v>
      </c>
      <c r="M47">
        <v>44.211091834320527</v>
      </c>
    </row>
    <row r="48" spans="1:13" x14ac:dyDescent="0.4">
      <c r="A48" t="s">
        <v>712</v>
      </c>
      <c r="B48" t="s">
        <v>713</v>
      </c>
      <c r="C48" t="s">
        <v>40</v>
      </c>
      <c r="D48" s="1">
        <v>38153</v>
      </c>
      <c r="E48">
        <v>53.167420814479641</v>
      </c>
      <c r="F48">
        <v>60.086767895878523</v>
      </c>
      <c r="G48">
        <v>29.012345679012345</v>
      </c>
      <c r="H48">
        <v>34.189723320158102</v>
      </c>
      <c r="I48">
        <v>10.436432637571157</v>
      </c>
      <c r="J48">
        <v>27.863247863247864</v>
      </c>
      <c r="K48">
        <v>50.808788443758864</v>
      </c>
      <c r="L48">
        <v>34.189723320158102</v>
      </c>
      <c r="M48">
        <v>31.02975445138966</v>
      </c>
    </row>
    <row r="49" spans="1:13" x14ac:dyDescent="0.4">
      <c r="A49" t="s">
        <v>714</v>
      </c>
      <c r="B49" t="s">
        <v>715</v>
      </c>
      <c r="C49" t="s">
        <v>40</v>
      </c>
      <c r="D49" s="1">
        <v>38156</v>
      </c>
      <c r="E49">
        <v>91.628959276018094</v>
      </c>
      <c r="F49">
        <v>54.446854663774403</v>
      </c>
      <c r="G49">
        <v>17.078189300411523</v>
      </c>
      <c r="H49">
        <v>5.7312252964426875</v>
      </c>
      <c r="I49">
        <v>6.0721062618595827</v>
      </c>
      <c r="J49">
        <v>90.427350427350433</v>
      </c>
      <c r="K49">
        <v>64.806563970314869</v>
      </c>
      <c r="L49">
        <v>5.7312252964426875</v>
      </c>
      <c r="M49">
        <v>37.656636210044553</v>
      </c>
    </row>
    <row r="50" spans="1:13" x14ac:dyDescent="0.4">
      <c r="A50" t="s">
        <v>248</v>
      </c>
      <c r="B50" t="s">
        <v>249</v>
      </c>
      <c r="C50" t="s">
        <v>40</v>
      </c>
      <c r="D50" s="1">
        <v>38160</v>
      </c>
      <c r="E50">
        <v>70.588235294117652</v>
      </c>
      <c r="F50">
        <v>23.861171366594359</v>
      </c>
      <c r="G50">
        <v>21.810699588477366</v>
      </c>
      <c r="H50">
        <v>44.071146245059289</v>
      </c>
      <c r="I50">
        <v>74.193548387096769</v>
      </c>
      <c r="J50">
        <v>57.435897435897438</v>
      </c>
      <c r="K50">
        <v>33.528197758065524</v>
      </c>
      <c r="L50">
        <v>44.071146245059289</v>
      </c>
      <c r="M50">
        <v>53.734521291419547</v>
      </c>
    </row>
    <row r="51" spans="1:13" x14ac:dyDescent="0.4">
      <c r="A51" t="s">
        <v>716</v>
      </c>
      <c r="B51" t="s">
        <v>717</v>
      </c>
      <c r="C51" t="s">
        <v>40</v>
      </c>
      <c r="D51" s="1">
        <v>38163</v>
      </c>
      <c r="E51">
        <v>98.868778280542983</v>
      </c>
      <c r="F51">
        <v>46.85466377440347</v>
      </c>
      <c r="G51">
        <v>32.510288065843625</v>
      </c>
      <c r="H51">
        <v>58.300395256916993</v>
      </c>
      <c r="I51">
        <v>45.540796963946867</v>
      </c>
      <c r="J51">
        <v>64.273504273504273</v>
      </c>
      <c r="K51">
        <v>51.869995558974288</v>
      </c>
      <c r="L51">
        <v>58.300395256916985</v>
      </c>
      <c r="M51">
        <v>57.899445568670025</v>
      </c>
    </row>
    <row r="52" spans="1:13" x14ac:dyDescent="0.4">
      <c r="A52" t="s">
        <v>718</v>
      </c>
      <c r="B52" t="s">
        <v>719</v>
      </c>
      <c r="C52" t="s">
        <v>40</v>
      </c>
      <c r="D52" s="1">
        <v>38177</v>
      </c>
      <c r="E52">
        <v>82.805429864253398</v>
      </c>
      <c r="F52">
        <v>93.709327548806939</v>
      </c>
      <c r="G52">
        <v>94.855967078189295</v>
      </c>
      <c r="H52">
        <v>31.42292490118577</v>
      </c>
      <c r="I52">
        <v>18.975332068311197</v>
      </c>
      <c r="J52">
        <v>80.17094017094017</v>
      </c>
      <c r="K52">
        <v>89.811277932269448</v>
      </c>
      <c r="L52">
        <v>31.42292490118577</v>
      </c>
      <c r="M52">
        <v>67.4699874393051</v>
      </c>
    </row>
    <row r="53" spans="1:13" x14ac:dyDescent="0.4">
      <c r="A53" t="s">
        <v>720</v>
      </c>
      <c r="B53" t="s">
        <v>721</v>
      </c>
      <c r="C53" t="s">
        <v>40</v>
      </c>
      <c r="D53" s="1">
        <v>38210</v>
      </c>
      <c r="E53">
        <v>80.090497737556561</v>
      </c>
      <c r="F53">
        <v>43.38394793926247</v>
      </c>
      <c r="G53">
        <v>41.97530864197531</v>
      </c>
      <c r="H53">
        <v>12.450592885375494</v>
      </c>
      <c r="I53">
        <v>11.005692599620494</v>
      </c>
      <c r="J53">
        <v>54.529914529914528</v>
      </c>
      <c r="K53">
        <v>46.593158134094175</v>
      </c>
      <c r="L53">
        <v>12.450592885375494</v>
      </c>
      <c r="M53">
        <v>44.644992029225854</v>
      </c>
    </row>
    <row r="54" spans="1:13" x14ac:dyDescent="0.4">
      <c r="A54" t="s">
        <v>338</v>
      </c>
      <c r="B54" t="s">
        <v>339</v>
      </c>
      <c r="C54" t="s">
        <v>203</v>
      </c>
      <c r="D54" s="1">
        <v>38223</v>
      </c>
      <c r="E54">
        <v>38.888888888888886</v>
      </c>
      <c r="F54">
        <v>77.777777777777771</v>
      </c>
      <c r="G54">
        <v>13.636363636363637</v>
      </c>
      <c r="H54">
        <v>100</v>
      </c>
      <c r="I54">
        <v>72.727272727272734</v>
      </c>
      <c r="J54">
        <v>36</v>
      </c>
      <c r="K54">
        <v>65.748882008943923</v>
      </c>
      <c r="L54">
        <v>100</v>
      </c>
      <c r="M54">
        <v>40.068749697936305</v>
      </c>
    </row>
    <row r="55" spans="1:13" x14ac:dyDescent="0.4">
      <c r="A55" t="s">
        <v>722</v>
      </c>
      <c r="B55" t="s">
        <v>723</v>
      </c>
      <c r="C55" t="s">
        <v>43</v>
      </c>
      <c r="D55" s="1">
        <v>38226</v>
      </c>
      <c r="E55">
        <v>67.5</v>
      </c>
      <c r="F55">
        <v>33.027522935779814</v>
      </c>
      <c r="G55">
        <v>28.846153846153847</v>
      </c>
      <c r="H55">
        <v>96.954314720812178</v>
      </c>
      <c r="I55">
        <v>81.192660550458712</v>
      </c>
      <c r="J55">
        <v>85.563380281690144</v>
      </c>
      <c r="K55">
        <v>48.153946258286503</v>
      </c>
      <c r="L55">
        <v>96.954314720812178</v>
      </c>
      <c r="M55">
        <v>57.501213477493046</v>
      </c>
    </row>
    <row r="56" spans="1:13" x14ac:dyDescent="0.4">
      <c r="A56" t="s">
        <v>724</v>
      </c>
      <c r="B56" t="s">
        <v>725</v>
      </c>
      <c r="C56" t="s">
        <v>40</v>
      </c>
      <c r="D56" s="1">
        <v>38239</v>
      </c>
      <c r="E56">
        <v>97.285067873303163</v>
      </c>
      <c r="F56">
        <v>31.887201735357916</v>
      </c>
      <c r="G56">
        <v>24.279835390946502</v>
      </c>
      <c r="H56">
        <v>56.126482213438734</v>
      </c>
      <c r="I56">
        <v>35.863377609108163</v>
      </c>
      <c r="J56">
        <v>53.162393162393165</v>
      </c>
      <c r="K56">
        <v>38.012876047166827</v>
      </c>
      <c r="L56">
        <v>56.126482213438734</v>
      </c>
      <c r="M56">
        <v>51.359434640058716</v>
      </c>
    </row>
    <row r="57" spans="1:13" x14ac:dyDescent="0.4">
      <c r="A57" t="s">
        <v>454</v>
      </c>
      <c r="B57" t="s">
        <v>455</v>
      </c>
      <c r="C57" t="s">
        <v>40</v>
      </c>
      <c r="D57" s="1">
        <v>38245</v>
      </c>
      <c r="E57">
        <v>13.800904977375566</v>
      </c>
      <c r="F57">
        <v>85.900216919739691</v>
      </c>
      <c r="G57">
        <v>70.164609053497941</v>
      </c>
      <c r="H57">
        <v>10.079051383399209</v>
      </c>
      <c r="I57">
        <v>66.223908918406067</v>
      </c>
      <c r="J57">
        <v>52.649572649572647</v>
      </c>
      <c r="K57">
        <v>76.326502006038339</v>
      </c>
      <c r="L57">
        <v>10.079051383399209</v>
      </c>
      <c r="M57">
        <v>50.807578274232732</v>
      </c>
    </row>
    <row r="58" spans="1:13" x14ac:dyDescent="0.4">
      <c r="A58" t="s">
        <v>456</v>
      </c>
      <c r="B58" t="s">
        <v>457</v>
      </c>
      <c r="C58" t="s">
        <v>40</v>
      </c>
      <c r="D58" s="1">
        <v>38258</v>
      </c>
      <c r="E58">
        <v>14.253393665158372</v>
      </c>
      <c r="F58">
        <v>99.132321041214752</v>
      </c>
      <c r="G58">
        <v>63.168724279835388</v>
      </c>
      <c r="H58">
        <v>75.098814229249015</v>
      </c>
      <c r="I58">
        <v>5.882352941176471</v>
      </c>
      <c r="J58">
        <v>98.461538461538467</v>
      </c>
      <c r="K58">
        <v>98.939185499698056</v>
      </c>
      <c r="L58">
        <v>75.098814229249015</v>
      </c>
      <c r="M58">
        <v>29.681410748662213</v>
      </c>
    </row>
    <row r="59" spans="1:13" x14ac:dyDescent="0.4">
      <c r="A59" t="s">
        <v>726</v>
      </c>
      <c r="B59" t="s">
        <v>727</v>
      </c>
      <c r="C59" t="s">
        <v>40</v>
      </c>
      <c r="D59" s="1">
        <v>38274</v>
      </c>
      <c r="E59">
        <v>59.276018099547514</v>
      </c>
      <c r="F59">
        <v>33.405639913232108</v>
      </c>
      <c r="G59">
        <v>19.34156378600823</v>
      </c>
      <c r="H59">
        <v>53.754940711462453</v>
      </c>
      <c r="I59">
        <v>50.853889943074002</v>
      </c>
      <c r="J59">
        <v>35.555555555555557</v>
      </c>
      <c r="K59">
        <v>34.024655872167344</v>
      </c>
      <c r="L59">
        <v>53.754940711462453</v>
      </c>
      <c r="M59">
        <v>41.954076567135147</v>
      </c>
    </row>
    <row r="60" spans="1:13" x14ac:dyDescent="0.4">
      <c r="A60" t="s">
        <v>458</v>
      </c>
      <c r="B60" t="s">
        <v>459</v>
      </c>
      <c r="C60" t="s">
        <v>64</v>
      </c>
      <c r="D60" s="1">
        <v>38316</v>
      </c>
      <c r="E60">
        <v>6.5326633165829149</v>
      </c>
      <c r="F60">
        <v>85.995623632385119</v>
      </c>
      <c r="G60">
        <v>4.9618320610687023</v>
      </c>
      <c r="H60">
        <v>95.402298850574709</v>
      </c>
      <c r="I60">
        <v>82.779661016949149</v>
      </c>
      <c r="J60">
        <v>82.792584009269987</v>
      </c>
      <c r="K60">
        <v>85.073386217680152</v>
      </c>
      <c r="L60">
        <v>95.402298850574709</v>
      </c>
      <c r="M60">
        <v>29.575912572200707</v>
      </c>
    </row>
    <row r="61" spans="1:13" x14ac:dyDescent="0.4">
      <c r="A61" t="s">
        <v>460</v>
      </c>
      <c r="B61" t="s">
        <v>461</v>
      </c>
      <c r="C61" t="s">
        <v>40</v>
      </c>
      <c r="D61" s="1">
        <v>38336</v>
      </c>
      <c r="E61">
        <v>13.574660633484163</v>
      </c>
      <c r="F61">
        <v>81.995661605206067</v>
      </c>
      <c r="G61">
        <v>15.22633744855967</v>
      </c>
      <c r="H61">
        <v>7.9051383399209483</v>
      </c>
      <c r="I61">
        <v>25.616698292220114</v>
      </c>
      <c r="J61">
        <v>71.794871794871796</v>
      </c>
      <c r="K61">
        <v>79.058592093252244</v>
      </c>
      <c r="L61">
        <v>7.9051383399209483</v>
      </c>
      <c r="M61">
        <v>17.913900122306973</v>
      </c>
    </row>
    <row r="62" spans="1:13" x14ac:dyDescent="0.4">
      <c r="A62" t="s">
        <v>728</v>
      </c>
      <c r="B62" t="s">
        <v>729</v>
      </c>
      <c r="C62" t="s">
        <v>40</v>
      </c>
      <c r="D62" s="1">
        <v>38356</v>
      </c>
      <c r="E62">
        <v>55.656108597285069</v>
      </c>
      <c r="F62">
        <v>65.943600867678953</v>
      </c>
      <c r="G62">
        <v>59.465020576131685</v>
      </c>
      <c r="H62">
        <v>70.553359683794469</v>
      </c>
      <c r="I62">
        <v>46.299810246679314</v>
      </c>
      <c r="J62">
        <v>17.264957264957264</v>
      </c>
      <c r="K62">
        <v>51.927768499093453</v>
      </c>
      <c r="L62">
        <v>70.553359683794469</v>
      </c>
      <c r="M62">
        <v>54.160730148335155</v>
      </c>
    </row>
    <row r="63" spans="1:13" x14ac:dyDescent="0.4">
      <c r="A63" t="s">
        <v>730</v>
      </c>
      <c r="B63" t="s">
        <v>731</v>
      </c>
      <c r="C63" t="s">
        <v>40</v>
      </c>
      <c r="D63" s="1">
        <v>38358</v>
      </c>
      <c r="E63">
        <v>62.443438914027148</v>
      </c>
      <c r="F63">
        <v>8.8937093275488071</v>
      </c>
      <c r="G63">
        <v>16.872427983539094</v>
      </c>
      <c r="H63">
        <v>16.403162055335969</v>
      </c>
      <c r="I63">
        <v>19.165085388994306</v>
      </c>
      <c r="J63">
        <v>42.051282051282051</v>
      </c>
      <c r="K63">
        <v>18.440626551410084</v>
      </c>
      <c r="L63">
        <v>16.403162055335969</v>
      </c>
      <c r="M63">
        <v>32.24611244324506</v>
      </c>
    </row>
    <row r="64" spans="1:13" x14ac:dyDescent="0.4">
      <c r="A64" t="s">
        <v>732</v>
      </c>
      <c r="B64" t="s">
        <v>733</v>
      </c>
      <c r="C64" t="s">
        <v>64</v>
      </c>
      <c r="D64" s="1">
        <v>38364</v>
      </c>
      <c r="E64">
        <v>45.226130653266331</v>
      </c>
      <c r="F64">
        <v>96.717724288840259</v>
      </c>
      <c r="G64">
        <v>98.600508905852422</v>
      </c>
      <c r="H64">
        <v>63.628899835796389</v>
      </c>
      <c r="I64">
        <v>9.2881355932203391</v>
      </c>
      <c r="J64">
        <v>98.60950173812283</v>
      </c>
      <c r="K64">
        <v>97.262415628726572</v>
      </c>
      <c r="L64">
        <v>63.628899835796389</v>
      </c>
      <c r="M64">
        <v>53.756474889204846</v>
      </c>
    </row>
    <row r="65" spans="1:13" x14ac:dyDescent="0.4">
      <c r="A65" t="s">
        <v>340</v>
      </c>
      <c r="B65" t="s">
        <v>341</v>
      </c>
      <c r="C65" t="s">
        <v>40</v>
      </c>
      <c r="D65" s="1">
        <v>38369</v>
      </c>
      <c r="E65">
        <v>28.054298642533936</v>
      </c>
      <c r="F65">
        <v>70.715835140997825</v>
      </c>
      <c r="G65">
        <v>36.831275720164612</v>
      </c>
      <c r="H65">
        <v>17.391304347826086</v>
      </c>
      <c r="I65">
        <v>46.679316888045541</v>
      </c>
      <c r="J65">
        <v>33.333333333333336</v>
      </c>
      <c r="K65">
        <v>59.952452267583588</v>
      </c>
      <c r="L65">
        <v>17.391304347826086</v>
      </c>
      <c r="M65">
        <v>37.058112835713061</v>
      </c>
    </row>
    <row r="66" spans="1:13" x14ac:dyDescent="0.4">
      <c r="A66" t="s">
        <v>342</v>
      </c>
      <c r="B66" t="s">
        <v>343</v>
      </c>
      <c r="C66" t="s">
        <v>40</v>
      </c>
      <c r="D66" s="1">
        <v>38384</v>
      </c>
      <c r="E66">
        <v>97.511312217194572</v>
      </c>
      <c r="F66">
        <v>90.672451193058563</v>
      </c>
      <c r="G66">
        <v>11.934156378600823</v>
      </c>
      <c r="H66">
        <v>67.193675889328063</v>
      </c>
      <c r="I66">
        <v>89.373814041745732</v>
      </c>
      <c r="J66">
        <v>43.589743589743591</v>
      </c>
      <c r="K66">
        <v>77.116129808822365</v>
      </c>
      <c r="L66">
        <v>67.193675889328063</v>
      </c>
      <c r="M66">
        <v>63.461819363452797</v>
      </c>
    </row>
    <row r="67" spans="1:13" x14ac:dyDescent="0.4">
      <c r="A67" t="s">
        <v>462</v>
      </c>
      <c r="B67" t="s">
        <v>463</v>
      </c>
      <c r="C67" t="s">
        <v>40</v>
      </c>
      <c r="D67" s="1">
        <v>38385</v>
      </c>
      <c r="E67">
        <v>13.348416289592761</v>
      </c>
      <c r="F67">
        <v>96.312364425162684</v>
      </c>
      <c r="G67">
        <v>71.604938271604937</v>
      </c>
      <c r="H67">
        <v>8.3003952569169961</v>
      </c>
      <c r="I67">
        <v>36.053130929791273</v>
      </c>
      <c r="J67">
        <v>10.598290598290598</v>
      </c>
      <c r="K67">
        <v>71.633080010614378</v>
      </c>
      <c r="L67">
        <v>8.3003952569169961</v>
      </c>
      <c r="M67">
        <v>41.8454615793908</v>
      </c>
    </row>
    <row r="68" spans="1:13" x14ac:dyDescent="0.4">
      <c r="A68" t="s">
        <v>464</v>
      </c>
      <c r="B68" t="s">
        <v>465</v>
      </c>
      <c r="C68" t="s">
        <v>40</v>
      </c>
      <c r="D68" s="1">
        <v>38413</v>
      </c>
      <c r="E68">
        <v>25.79185520361991</v>
      </c>
      <c r="F68">
        <v>77.006507592190886</v>
      </c>
      <c r="G68">
        <v>56.790123456790127</v>
      </c>
      <c r="H68">
        <v>78.260869565217391</v>
      </c>
      <c r="I68">
        <v>41.176470588235297</v>
      </c>
      <c r="J68">
        <v>42.222222222222221</v>
      </c>
      <c r="K68">
        <v>66.991217996503309</v>
      </c>
      <c r="L68">
        <v>78.260869565217391</v>
      </c>
      <c r="M68">
        <v>41.978556168442651</v>
      </c>
    </row>
    <row r="69" spans="1:13" x14ac:dyDescent="0.4">
      <c r="A69" t="s">
        <v>466</v>
      </c>
      <c r="B69" t="s">
        <v>467</v>
      </c>
      <c r="C69" t="s">
        <v>40</v>
      </c>
      <c r="D69" s="1">
        <v>38419</v>
      </c>
      <c r="E69">
        <v>49.773755656108598</v>
      </c>
      <c r="F69">
        <v>89.370932754880698</v>
      </c>
      <c r="G69">
        <v>45.473251028806587</v>
      </c>
      <c r="H69">
        <v>72.529644268774703</v>
      </c>
      <c r="I69">
        <v>81.40417457305503</v>
      </c>
      <c r="J69">
        <v>82.90598290598291</v>
      </c>
      <c r="K69">
        <v>87.509507566188759</v>
      </c>
      <c r="L69">
        <v>72.529644268774703</v>
      </c>
      <c r="M69">
        <v>57.988735410032177</v>
      </c>
    </row>
    <row r="70" spans="1:13" x14ac:dyDescent="0.4">
      <c r="A70" t="s">
        <v>734</v>
      </c>
      <c r="B70" t="s">
        <v>735</v>
      </c>
      <c r="C70" t="s">
        <v>40</v>
      </c>
      <c r="D70" s="1">
        <v>38427</v>
      </c>
      <c r="E70">
        <v>40.271493212669682</v>
      </c>
      <c r="F70">
        <v>67.678958785249463</v>
      </c>
      <c r="G70">
        <v>13.991769547325102</v>
      </c>
      <c r="H70">
        <v>2.3715415019762847</v>
      </c>
      <c r="I70">
        <v>0.94876660341555974</v>
      </c>
      <c r="J70">
        <v>59.658119658119659</v>
      </c>
      <c r="K70">
        <v>65.369553092298773</v>
      </c>
      <c r="L70">
        <v>2.3715415019762847</v>
      </c>
      <c r="M70">
        <v>18.406970388838406</v>
      </c>
    </row>
    <row r="71" spans="1:13" x14ac:dyDescent="0.4">
      <c r="A71" t="s">
        <v>736</v>
      </c>
      <c r="B71" t="s">
        <v>737</v>
      </c>
      <c r="C71" t="s">
        <v>40</v>
      </c>
      <c r="D71" s="1">
        <v>38447</v>
      </c>
      <c r="E71">
        <v>77.149321266968329</v>
      </c>
      <c r="F71">
        <v>44.251626898047725</v>
      </c>
      <c r="G71">
        <v>13.580246913580247</v>
      </c>
      <c r="H71">
        <v>30.039525691699605</v>
      </c>
      <c r="I71">
        <v>3.795066413662239</v>
      </c>
      <c r="J71">
        <v>46.153846153846153</v>
      </c>
      <c r="K71">
        <v>44.799324702348819</v>
      </c>
      <c r="L71">
        <v>30.039525691699605</v>
      </c>
      <c r="M71">
        <v>31.003356066191046</v>
      </c>
    </row>
    <row r="72" spans="1:13" x14ac:dyDescent="0.4">
      <c r="A72" t="s">
        <v>738</v>
      </c>
      <c r="B72" t="s">
        <v>739</v>
      </c>
      <c r="C72" t="s">
        <v>40</v>
      </c>
      <c r="D72" s="1">
        <v>38469</v>
      </c>
      <c r="E72">
        <v>78.959276018099544</v>
      </c>
      <c r="F72">
        <v>64.642082429501087</v>
      </c>
      <c r="G72">
        <v>64.609053497942384</v>
      </c>
      <c r="H72">
        <v>34.387351778656125</v>
      </c>
      <c r="I72">
        <v>12.333965844402277</v>
      </c>
      <c r="J72">
        <v>42.393162393162392</v>
      </c>
      <c r="K72">
        <v>58.236046629564562</v>
      </c>
      <c r="L72">
        <v>34.387351778656125</v>
      </c>
      <c r="M72">
        <v>53.031257033415336</v>
      </c>
    </row>
    <row r="73" spans="1:13" x14ac:dyDescent="0.4">
      <c r="A73" t="s">
        <v>740</v>
      </c>
      <c r="B73" t="s">
        <v>741</v>
      </c>
      <c r="C73" t="s">
        <v>40</v>
      </c>
      <c r="D73" s="1">
        <v>38519</v>
      </c>
      <c r="E73">
        <v>95.022624434389144</v>
      </c>
      <c r="F73">
        <v>87.635574837310202</v>
      </c>
      <c r="G73">
        <v>99.382716049382722</v>
      </c>
      <c r="H73">
        <v>30.237154150197629</v>
      </c>
      <c r="I73">
        <v>13.472485768500949</v>
      </c>
      <c r="J73">
        <v>85.299145299145295</v>
      </c>
      <c r="K73">
        <v>86.962856734990268</v>
      </c>
      <c r="L73">
        <v>30.237154150197632</v>
      </c>
      <c r="M73">
        <v>71.36403867237118</v>
      </c>
    </row>
    <row r="74" spans="1:13" x14ac:dyDescent="0.4">
      <c r="A74" t="s">
        <v>742</v>
      </c>
      <c r="B74" t="s">
        <v>743</v>
      </c>
      <c r="C74" t="s">
        <v>40</v>
      </c>
      <c r="D74" s="1">
        <v>38533</v>
      </c>
      <c r="E74">
        <v>64.705882352941174</v>
      </c>
      <c r="F74">
        <v>32.754880694143168</v>
      </c>
      <c r="G74">
        <v>67.283950617283949</v>
      </c>
      <c r="H74">
        <v>54.545454545454547</v>
      </c>
      <c r="I74">
        <v>86.907020872865274</v>
      </c>
      <c r="J74">
        <v>47.350427350427353</v>
      </c>
      <c r="K74">
        <v>36.957313632330255</v>
      </c>
      <c r="L74">
        <v>54.545454545454547</v>
      </c>
      <c r="M74">
        <v>72.533800896096565</v>
      </c>
    </row>
    <row r="75" spans="1:13" x14ac:dyDescent="0.4">
      <c r="A75" t="s">
        <v>744</v>
      </c>
      <c r="B75" t="s">
        <v>745</v>
      </c>
      <c r="C75" t="s">
        <v>40</v>
      </c>
      <c r="D75" s="1">
        <v>38546</v>
      </c>
      <c r="E75">
        <v>40.950226244343888</v>
      </c>
      <c r="F75">
        <v>68.980477223427329</v>
      </c>
      <c r="G75">
        <v>27.983539094650205</v>
      </c>
      <c r="H75">
        <v>67.78656126482214</v>
      </c>
      <c r="I75">
        <v>78.937381404174573</v>
      </c>
      <c r="J75">
        <v>30.76923076923077</v>
      </c>
      <c r="K75">
        <v>57.978477470361447</v>
      </c>
      <c r="L75">
        <v>67.78656126482214</v>
      </c>
      <c r="M75">
        <v>47.941773546126768</v>
      </c>
    </row>
    <row r="76" spans="1:13" x14ac:dyDescent="0.4">
      <c r="A76" t="s">
        <v>102</v>
      </c>
      <c r="B76" t="s">
        <v>103</v>
      </c>
      <c r="C76" t="s">
        <v>40</v>
      </c>
      <c r="D76" s="1">
        <v>38548</v>
      </c>
      <c r="E76">
        <v>49.547511312217196</v>
      </c>
      <c r="F76">
        <v>9.9783080260303691</v>
      </c>
      <c r="G76">
        <v>8.4362139917695469</v>
      </c>
      <c r="H76">
        <v>37.351778656126484</v>
      </c>
      <c r="I76">
        <v>82.732447817836814</v>
      </c>
      <c r="J76">
        <v>25.641025641025642</v>
      </c>
      <c r="K76">
        <v>14.488006905889687</v>
      </c>
      <c r="L76">
        <v>37.351778656126484</v>
      </c>
      <c r="M76">
        <v>44.682223011089931</v>
      </c>
    </row>
    <row r="77" spans="1:13" x14ac:dyDescent="0.4">
      <c r="A77" t="s">
        <v>344</v>
      </c>
      <c r="B77" t="s">
        <v>345</v>
      </c>
      <c r="C77" t="s">
        <v>40</v>
      </c>
      <c r="D77" s="1">
        <v>38562</v>
      </c>
      <c r="E77">
        <v>71.266968325791851</v>
      </c>
      <c r="F77">
        <v>88.937093275488067</v>
      </c>
      <c r="G77">
        <v>98.559670781893004</v>
      </c>
      <c r="H77">
        <v>47.628458498023718</v>
      </c>
      <c r="I77">
        <v>51.043643263757119</v>
      </c>
      <c r="J77">
        <v>5.1282051282051286</v>
      </c>
      <c r="K77">
        <v>64.806360774877191</v>
      </c>
      <c r="L77">
        <v>47.628458498023718</v>
      </c>
      <c r="M77">
        <v>75.056814217433185</v>
      </c>
    </row>
    <row r="78" spans="1:13" x14ac:dyDescent="0.4">
      <c r="A78" t="s">
        <v>136</v>
      </c>
      <c r="B78" t="s">
        <v>137</v>
      </c>
      <c r="C78" t="s">
        <v>40</v>
      </c>
      <c r="D78" s="1">
        <v>38589</v>
      </c>
      <c r="E78">
        <v>34.615384615384613</v>
      </c>
      <c r="F78">
        <v>38.177874186550973</v>
      </c>
      <c r="G78">
        <v>62.139917695473251</v>
      </c>
      <c r="H78">
        <v>38.537549407114625</v>
      </c>
      <c r="I78">
        <v>5.6925996204933584</v>
      </c>
      <c r="J78">
        <v>21.53846153846154</v>
      </c>
      <c r="K78">
        <v>33.386959708927698</v>
      </c>
      <c r="L78">
        <v>38.537549407114625</v>
      </c>
      <c r="M78">
        <v>35.795474178770334</v>
      </c>
    </row>
    <row r="79" spans="1:13" x14ac:dyDescent="0.4">
      <c r="A79" t="s">
        <v>746</v>
      </c>
      <c r="B79" t="s">
        <v>747</v>
      </c>
      <c r="C79" t="s">
        <v>40</v>
      </c>
      <c r="D79" s="1">
        <v>38595</v>
      </c>
      <c r="E79">
        <v>55.429864253393667</v>
      </c>
      <c r="F79">
        <v>69.848156182212577</v>
      </c>
      <c r="G79">
        <v>52.469135802469133</v>
      </c>
      <c r="H79">
        <v>56.719367588932805</v>
      </c>
      <c r="I79">
        <v>7.2106261859582546</v>
      </c>
      <c r="J79">
        <v>97.777777777777771</v>
      </c>
      <c r="K79">
        <v>77.889811935734429</v>
      </c>
      <c r="L79">
        <v>56.719367588932798</v>
      </c>
      <c r="M79">
        <v>39.400334322352364</v>
      </c>
    </row>
    <row r="80" spans="1:13" x14ac:dyDescent="0.4">
      <c r="A80" t="s">
        <v>748</v>
      </c>
      <c r="B80" t="s">
        <v>749</v>
      </c>
      <c r="C80" t="s">
        <v>40</v>
      </c>
      <c r="D80" s="1">
        <v>38611</v>
      </c>
      <c r="E80">
        <v>86.651583710407238</v>
      </c>
      <c r="F80">
        <v>21.258134490238611</v>
      </c>
      <c r="G80">
        <v>91.975308641975303</v>
      </c>
      <c r="H80">
        <v>66.205533596837938</v>
      </c>
      <c r="I80">
        <v>29.222011385199242</v>
      </c>
      <c r="J80">
        <v>62.905982905982903</v>
      </c>
      <c r="K80">
        <v>33.249620257000899</v>
      </c>
      <c r="L80">
        <v>66.205533596837938</v>
      </c>
      <c r="M80">
        <v>70.820779938510213</v>
      </c>
    </row>
    <row r="81" spans="1:13" x14ac:dyDescent="0.4">
      <c r="A81" t="s">
        <v>750</v>
      </c>
      <c r="B81" t="s">
        <v>751</v>
      </c>
      <c r="C81" t="s">
        <v>40</v>
      </c>
      <c r="D81" s="1">
        <v>38622</v>
      </c>
      <c r="E81">
        <v>71.945701357466064</v>
      </c>
      <c r="F81">
        <v>80.694143167028201</v>
      </c>
      <c r="G81">
        <v>36.213991769547327</v>
      </c>
      <c r="H81">
        <v>26.48221343873518</v>
      </c>
      <c r="I81">
        <v>38.330170777988613</v>
      </c>
      <c r="J81">
        <v>70.769230769230774</v>
      </c>
      <c r="K81">
        <v>77.836505851253705</v>
      </c>
      <c r="L81">
        <v>26.48221343873518</v>
      </c>
      <c r="M81">
        <v>48.367006413490429</v>
      </c>
    </row>
    <row r="82" spans="1:13" x14ac:dyDescent="0.4">
      <c r="A82" t="s">
        <v>468</v>
      </c>
      <c r="B82" t="s">
        <v>469</v>
      </c>
      <c r="C82" t="s">
        <v>40</v>
      </c>
      <c r="D82" s="1">
        <v>38622</v>
      </c>
      <c r="E82">
        <v>25.339366515837103</v>
      </c>
      <c r="F82">
        <v>47.939262472885034</v>
      </c>
      <c r="G82">
        <v>72.63374485596708</v>
      </c>
      <c r="H82">
        <v>68.379446640316203</v>
      </c>
      <c r="I82">
        <v>17.077798861480076</v>
      </c>
      <c r="J82">
        <v>92.991452991452988</v>
      </c>
      <c r="K82">
        <v>60.910945811048563</v>
      </c>
      <c r="L82">
        <v>68.379446640316203</v>
      </c>
      <c r="M82">
        <v>40.204106355886822</v>
      </c>
    </row>
    <row r="83" spans="1:13" x14ac:dyDescent="0.4">
      <c r="A83" t="s">
        <v>250</v>
      </c>
      <c r="B83" t="s">
        <v>251</v>
      </c>
      <c r="C83" t="s">
        <v>40</v>
      </c>
      <c r="D83" s="1">
        <v>38624</v>
      </c>
      <c r="E83">
        <v>57.013574660633488</v>
      </c>
      <c r="F83">
        <v>27.982646420824295</v>
      </c>
      <c r="G83">
        <v>5.5555555555555554</v>
      </c>
      <c r="H83">
        <v>62.450592885375492</v>
      </c>
      <c r="I83">
        <v>20.872865275142313</v>
      </c>
      <c r="J83">
        <v>17.435897435897434</v>
      </c>
      <c r="K83">
        <v>24.945966372532659</v>
      </c>
      <c r="L83">
        <v>62.450592885375485</v>
      </c>
      <c r="M83">
        <v>26.858654068281556</v>
      </c>
    </row>
    <row r="84" spans="1:13" x14ac:dyDescent="0.4">
      <c r="A84" t="s">
        <v>752</v>
      </c>
      <c r="B84" t="s">
        <v>753</v>
      </c>
      <c r="C84" t="s">
        <v>64</v>
      </c>
      <c r="D84" s="1">
        <v>38633</v>
      </c>
      <c r="E84">
        <v>45.7286432160804</v>
      </c>
      <c r="F84">
        <v>77.899343544857771</v>
      </c>
      <c r="G84">
        <v>46.69211195928753</v>
      </c>
      <c r="H84">
        <v>53.119868637110017</v>
      </c>
      <c r="I84">
        <v>24.745762711864408</v>
      </c>
      <c r="J84">
        <v>68.539976825028972</v>
      </c>
      <c r="K84">
        <v>75.20454136236836</v>
      </c>
      <c r="L84">
        <v>53.119868637110017</v>
      </c>
      <c r="M84">
        <v>39.582928290620899</v>
      </c>
    </row>
    <row r="85" spans="1:13" x14ac:dyDescent="0.4">
      <c r="A85" t="s">
        <v>470</v>
      </c>
      <c r="B85" t="s">
        <v>471</v>
      </c>
      <c r="C85" t="s">
        <v>40</v>
      </c>
      <c r="D85" s="1">
        <v>38636</v>
      </c>
      <c r="E85">
        <v>2.4886877828054299</v>
      </c>
      <c r="F85">
        <v>96.529284164859007</v>
      </c>
      <c r="G85">
        <v>49.176954732510289</v>
      </c>
      <c r="H85">
        <v>0.59288537549407117</v>
      </c>
      <c r="I85">
        <v>90.702087286527515</v>
      </c>
      <c r="J85">
        <v>63.589743589743591</v>
      </c>
      <c r="K85">
        <v>87.045143999268504</v>
      </c>
      <c r="L85">
        <v>0.59288537549407117</v>
      </c>
      <c r="M85">
        <v>47.018899136840261</v>
      </c>
    </row>
    <row r="86" spans="1:13" x14ac:dyDescent="0.4">
      <c r="A86" t="s">
        <v>754</v>
      </c>
      <c r="B86" t="s">
        <v>755</v>
      </c>
      <c r="C86" t="s">
        <v>64</v>
      </c>
      <c r="D86" s="1">
        <v>38659</v>
      </c>
      <c r="E86">
        <v>50.753768844221106</v>
      </c>
      <c r="F86">
        <v>52.954048140043767</v>
      </c>
      <c r="G86">
        <v>21.374045801526716</v>
      </c>
      <c r="H86">
        <v>72.249589490968802</v>
      </c>
      <c r="I86">
        <v>6.2372881355932206</v>
      </c>
      <c r="J86">
        <v>71.95828505214368</v>
      </c>
      <c r="K86">
        <v>58.425856291205669</v>
      </c>
      <c r="L86">
        <v>72.249589490968802</v>
      </c>
      <c r="M86">
        <v>26.138071235746832</v>
      </c>
    </row>
    <row r="87" spans="1:13" x14ac:dyDescent="0.4">
      <c r="A87" t="s">
        <v>756</v>
      </c>
      <c r="B87" t="s">
        <v>757</v>
      </c>
      <c r="C87" t="s">
        <v>40</v>
      </c>
      <c r="D87" s="1">
        <v>38666</v>
      </c>
      <c r="E87">
        <v>48.190045248868778</v>
      </c>
      <c r="F87">
        <v>35.791757049891537</v>
      </c>
      <c r="G87">
        <v>56.995884773662553</v>
      </c>
      <c r="H87">
        <v>76.086956521739125</v>
      </c>
      <c r="I87">
        <v>48.387096774193552</v>
      </c>
      <c r="J87">
        <v>86.495726495726501</v>
      </c>
      <c r="K87">
        <v>50.390732772686121</v>
      </c>
      <c r="L87">
        <v>76.086956521739125</v>
      </c>
      <c r="M87">
        <v>51.49535017553815</v>
      </c>
    </row>
    <row r="88" spans="1:13" x14ac:dyDescent="0.4">
      <c r="A88" t="s">
        <v>69</v>
      </c>
      <c r="B88" t="s">
        <v>70</v>
      </c>
      <c r="C88" t="s">
        <v>40</v>
      </c>
      <c r="D88" s="1">
        <v>38672</v>
      </c>
      <c r="E88">
        <v>30.542986425339368</v>
      </c>
      <c r="F88">
        <v>31.670281995661604</v>
      </c>
      <c r="G88">
        <v>39.91769547325103</v>
      </c>
      <c r="H88">
        <v>26.877470355731226</v>
      </c>
      <c r="I88">
        <v>27.324478178368121</v>
      </c>
      <c r="J88">
        <v>20.683760683760685</v>
      </c>
      <c r="K88">
        <v>28.506980193783011</v>
      </c>
      <c r="L88">
        <v>26.877470355731226</v>
      </c>
      <c r="M88">
        <v>32.999705026764296</v>
      </c>
    </row>
    <row r="89" spans="1:13" x14ac:dyDescent="0.4">
      <c r="A89" t="s">
        <v>472</v>
      </c>
      <c r="B89" t="s">
        <v>473</v>
      </c>
      <c r="C89" t="s">
        <v>40</v>
      </c>
      <c r="D89" s="1">
        <v>38673</v>
      </c>
      <c r="E89">
        <v>7.2398190045248869</v>
      </c>
      <c r="F89">
        <v>83.947939262472886</v>
      </c>
      <c r="G89">
        <v>81.481481481481481</v>
      </c>
      <c r="H89">
        <v>63.833992094861657</v>
      </c>
      <c r="I89">
        <v>7.9696394686907022</v>
      </c>
      <c r="J89">
        <v>98.632478632478637</v>
      </c>
      <c r="K89">
        <v>88.175995489750079</v>
      </c>
      <c r="L89">
        <v>63.833992094861649</v>
      </c>
      <c r="M89">
        <v>34.818115108737295</v>
      </c>
    </row>
    <row r="90" spans="1:13" x14ac:dyDescent="0.4">
      <c r="A90" t="s">
        <v>346</v>
      </c>
      <c r="B90" t="s">
        <v>347</v>
      </c>
      <c r="C90" t="s">
        <v>40</v>
      </c>
      <c r="D90" s="1">
        <v>38673</v>
      </c>
      <c r="E90">
        <v>54.751131221719454</v>
      </c>
      <c r="F90">
        <v>66.594360086767892</v>
      </c>
      <c r="G90">
        <v>4.7325102880658436</v>
      </c>
      <c r="H90">
        <v>83.992094861660078</v>
      </c>
      <c r="I90">
        <v>93.548387096774192</v>
      </c>
      <c r="J90">
        <v>85.641025641025635</v>
      </c>
      <c r="K90">
        <v>72.078384534278641</v>
      </c>
      <c r="L90">
        <v>83.992094861660078</v>
      </c>
      <c r="M90">
        <v>48.342942255300635</v>
      </c>
    </row>
    <row r="91" spans="1:13" x14ac:dyDescent="0.4">
      <c r="A91" t="s">
        <v>758</v>
      </c>
      <c r="B91" t="s">
        <v>759</v>
      </c>
      <c r="C91" t="s">
        <v>40</v>
      </c>
      <c r="D91" s="1">
        <v>38673</v>
      </c>
      <c r="E91">
        <v>73.303167420814475</v>
      </c>
      <c r="F91">
        <v>15.835140997830802</v>
      </c>
      <c r="G91">
        <v>28.600823045267489</v>
      </c>
      <c r="H91">
        <v>26.679841897233203</v>
      </c>
      <c r="I91">
        <v>68.500948766603415</v>
      </c>
      <c r="J91">
        <v>46.837606837606835</v>
      </c>
      <c r="K91">
        <v>24.761547570893249</v>
      </c>
      <c r="L91">
        <v>26.679841897233199</v>
      </c>
      <c r="M91">
        <v>55.346113952980581</v>
      </c>
    </row>
    <row r="92" spans="1:13" x14ac:dyDescent="0.4">
      <c r="A92" t="s">
        <v>348</v>
      </c>
      <c r="B92" t="s">
        <v>349</v>
      </c>
      <c r="C92" t="s">
        <v>40</v>
      </c>
      <c r="D92" s="1">
        <v>38687</v>
      </c>
      <c r="E92">
        <v>80.995475113122168</v>
      </c>
      <c r="F92">
        <v>34.273318872017356</v>
      </c>
      <c r="G92">
        <v>70.370370370370367</v>
      </c>
      <c r="H92">
        <v>89.920948616600796</v>
      </c>
      <c r="I92">
        <v>53.130929791271349</v>
      </c>
      <c r="J92">
        <v>89.059829059829056</v>
      </c>
      <c r="K92">
        <v>50.047762981820725</v>
      </c>
      <c r="L92">
        <v>89.920948616600796</v>
      </c>
      <c r="M92">
        <v>68.448286717037334</v>
      </c>
    </row>
    <row r="93" spans="1:13" x14ac:dyDescent="0.4">
      <c r="A93" t="s">
        <v>350</v>
      </c>
      <c r="B93" t="s">
        <v>351</v>
      </c>
      <c r="C93" t="s">
        <v>40</v>
      </c>
      <c r="D93" s="1">
        <v>38705</v>
      </c>
      <c r="E93">
        <v>77.601809954751133</v>
      </c>
      <c r="F93">
        <v>47.288503253796094</v>
      </c>
      <c r="G93">
        <v>42.386831275720162</v>
      </c>
      <c r="H93">
        <v>61.857707509881422</v>
      </c>
      <c r="I93">
        <v>73.434535104364329</v>
      </c>
      <c r="J93">
        <v>32.136752136752136</v>
      </c>
      <c r="K93">
        <v>42.925924758795823</v>
      </c>
      <c r="L93">
        <v>61.857707509881422</v>
      </c>
      <c r="M93">
        <v>63.336812802368684</v>
      </c>
    </row>
    <row r="94" spans="1:13" x14ac:dyDescent="0.4">
      <c r="A94" t="s">
        <v>760</v>
      </c>
      <c r="B94" t="s">
        <v>761</v>
      </c>
      <c r="C94" t="s">
        <v>40</v>
      </c>
      <c r="D94" s="1">
        <v>38709</v>
      </c>
      <c r="E94">
        <v>33.0316742081448</v>
      </c>
      <c r="F94">
        <v>49.023861171366597</v>
      </c>
      <c r="G94">
        <v>86.831275720164612</v>
      </c>
      <c r="H94">
        <v>51.581027667984188</v>
      </c>
      <c r="I94">
        <v>66.603415559772301</v>
      </c>
      <c r="J94">
        <v>69.572649572649567</v>
      </c>
      <c r="K94">
        <v>54.940385385977486</v>
      </c>
      <c r="L94">
        <v>51.581027667984188</v>
      </c>
      <c r="M94">
        <v>63.253394633711338</v>
      </c>
    </row>
    <row r="95" spans="1:13" x14ac:dyDescent="0.4">
      <c r="A95" t="s">
        <v>55</v>
      </c>
      <c r="B95" t="s">
        <v>56</v>
      </c>
      <c r="C95" t="s">
        <v>40</v>
      </c>
      <c r="D95" s="1">
        <v>38714</v>
      </c>
      <c r="E95">
        <v>93.665158371040718</v>
      </c>
      <c r="F95">
        <v>4.1214750542299345</v>
      </c>
      <c r="G95">
        <v>43.827160493827158</v>
      </c>
      <c r="H95">
        <v>29.446640316205535</v>
      </c>
      <c r="I95">
        <v>34.724857685009489</v>
      </c>
      <c r="J95">
        <v>8.2051282051282044</v>
      </c>
      <c r="K95">
        <v>5.2972637323523468</v>
      </c>
      <c r="L95">
        <v>29.446640316205539</v>
      </c>
      <c r="M95">
        <v>57.043577959720302</v>
      </c>
    </row>
    <row r="96" spans="1:13" x14ac:dyDescent="0.4">
      <c r="A96" t="s">
        <v>762</v>
      </c>
      <c r="B96" t="s">
        <v>763</v>
      </c>
      <c r="C96" t="s">
        <v>40</v>
      </c>
      <c r="D96" s="1">
        <v>38728</v>
      </c>
      <c r="E96">
        <v>28.733031674208146</v>
      </c>
      <c r="F96">
        <v>71.583514099783073</v>
      </c>
      <c r="G96">
        <v>37.860082304526749</v>
      </c>
      <c r="H96">
        <v>89.723320158102766</v>
      </c>
      <c r="I96">
        <v>90.891840607210625</v>
      </c>
      <c r="J96">
        <v>85.811965811965806</v>
      </c>
      <c r="K96">
        <v>75.680250970473452</v>
      </c>
      <c r="L96">
        <v>89.723320158102766</v>
      </c>
      <c r="M96">
        <v>51.352963621320313</v>
      </c>
    </row>
    <row r="97" spans="1:13" x14ac:dyDescent="0.4">
      <c r="A97" t="s">
        <v>764</v>
      </c>
      <c r="B97" t="s">
        <v>765</v>
      </c>
      <c r="C97" t="s">
        <v>40</v>
      </c>
      <c r="D97" s="1">
        <v>38737</v>
      </c>
      <c r="E97">
        <v>55.882352941176471</v>
      </c>
      <c r="F97">
        <v>49.67462039045553</v>
      </c>
      <c r="G97">
        <v>91.769547325102877</v>
      </c>
      <c r="H97">
        <v>90.909090909090907</v>
      </c>
      <c r="I97">
        <v>54.459203036053133</v>
      </c>
      <c r="J97">
        <v>65.811965811965806</v>
      </c>
      <c r="K97">
        <v>54.320976812128769</v>
      </c>
      <c r="L97">
        <v>90.909090909090907</v>
      </c>
      <c r="M97">
        <v>68.663046774696085</v>
      </c>
    </row>
    <row r="98" spans="1:13" x14ac:dyDescent="0.4">
      <c r="A98" t="s">
        <v>766</v>
      </c>
      <c r="B98" t="s">
        <v>767</v>
      </c>
      <c r="C98" t="s">
        <v>40</v>
      </c>
      <c r="D98" s="1">
        <v>38743</v>
      </c>
      <c r="E98">
        <v>68.099547511312224</v>
      </c>
      <c r="F98">
        <v>92.190889370932751</v>
      </c>
      <c r="G98">
        <v>5.1440329218106999</v>
      </c>
      <c r="H98">
        <v>16.798418972332016</v>
      </c>
      <c r="I98">
        <v>50.474383301707782</v>
      </c>
      <c r="J98">
        <v>7.5213675213675213</v>
      </c>
      <c r="K98">
        <v>67.81235831207961</v>
      </c>
      <c r="L98">
        <v>16.798418972332016</v>
      </c>
      <c r="M98">
        <v>39.444982889477274</v>
      </c>
    </row>
    <row r="99" spans="1:13" x14ac:dyDescent="0.4">
      <c r="A99" t="s">
        <v>474</v>
      </c>
      <c r="B99" t="s">
        <v>475</v>
      </c>
      <c r="C99" t="s">
        <v>40</v>
      </c>
      <c r="D99" s="1">
        <v>38793</v>
      </c>
      <c r="E99">
        <v>4.2986425339366514</v>
      </c>
      <c r="F99">
        <v>75.921908893709329</v>
      </c>
      <c r="G99">
        <v>61.111111111111114</v>
      </c>
      <c r="H99">
        <v>95.652173913043484</v>
      </c>
      <c r="I99">
        <v>13.851992409867172</v>
      </c>
      <c r="J99">
        <v>87.179487179487182</v>
      </c>
      <c r="K99">
        <v>79.16325496360821</v>
      </c>
      <c r="L99">
        <v>95.652173913043484</v>
      </c>
      <c r="M99">
        <v>28.18926207895548</v>
      </c>
    </row>
    <row r="100" spans="1:13" x14ac:dyDescent="0.4">
      <c r="A100" t="s">
        <v>252</v>
      </c>
      <c r="B100" t="s">
        <v>253</v>
      </c>
      <c r="C100" t="s">
        <v>40</v>
      </c>
      <c r="D100" s="1">
        <v>38800</v>
      </c>
      <c r="E100">
        <v>36.199095022624434</v>
      </c>
      <c r="F100">
        <v>26.464208242950107</v>
      </c>
      <c r="G100">
        <v>33.127572016460903</v>
      </c>
      <c r="H100">
        <v>66.996047430830046</v>
      </c>
      <c r="I100">
        <v>82.922201138519924</v>
      </c>
      <c r="J100">
        <v>89.743589743589737</v>
      </c>
      <c r="K100">
        <v>44.683968241586285</v>
      </c>
      <c r="L100">
        <v>66.996047430830046</v>
      </c>
      <c r="M100">
        <v>49.542701958172948</v>
      </c>
    </row>
    <row r="101" spans="1:13" x14ac:dyDescent="0.4">
      <c r="A101" t="s">
        <v>254</v>
      </c>
      <c r="B101" t="s">
        <v>255</v>
      </c>
      <c r="C101" t="s">
        <v>40</v>
      </c>
      <c r="D101" s="1">
        <v>38813</v>
      </c>
      <c r="E101">
        <v>98.642533936651589</v>
      </c>
      <c r="F101">
        <v>24.511930585683299</v>
      </c>
      <c r="G101">
        <v>42.181069958847736</v>
      </c>
      <c r="H101">
        <v>79.644268774703562</v>
      </c>
      <c r="I101">
        <v>68.311195445920305</v>
      </c>
      <c r="J101">
        <v>25.128205128205128</v>
      </c>
      <c r="K101">
        <v>24.689371862632306</v>
      </c>
      <c r="L101">
        <v>79.644268774703562</v>
      </c>
      <c r="M101">
        <v>68.444032053561898</v>
      </c>
    </row>
    <row r="102" spans="1:13" x14ac:dyDescent="0.4">
      <c r="A102" t="s">
        <v>768</v>
      </c>
      <c r="B102" t="s">
        <v>769</v>
      </c>
      <c r="C102" t="s">
        <v>40</v>
      </c>
      <c r="D102" s="1">
        <v>38826</v>
      </c>
      <c r="E102">
        <v>44.796380090497735</v>
      </c>
      <c r="F102">
        <v>80.91106290672451</v>
      </c>
      <c r="G102">
        <v>95.267489711934161</v>
      </c>
      <c r="H102">
        <v>97.826086956521735</v>
      </c>
      <c r="I102">
        <v>73.244781783681219</v>
      </c>
      <c r="J102">
        <v>2.9059829059829059</v>
      </c>
      <c r="K102">
        <v>58.451395909606951</v>
      </c>
      <c r="L102">
        <v>97.826086956521735</v>
      </c>
      <c r="M102">
        <v>72.204559279417523</v>
      </c>
    </row>
    <row r="103" spans="1:13" x14ac:dyDescent="0.4">
      <c r="A103" t="s">
        <v>476</v>
      </c>
      <c r="B103" t="s">
        <v>477</v>
      </c>
      <c r="C103" t="s">
        <v>203</v>
      </c>
      <c r="D103" s="1">
        <v>38833</v>
      </c>
      <c r="E103">
        <v>5.5555555555555554</v>
      </c>
      <c r="F103">
        <v>100</v>
      </c>
      <c r="G103">
        <v>72.727272727272734</v>
      </c>
      <c r="H103">
        <v>4.5454545454545459</v>
      </c>
      <c r="I103">
        <v>100</v>
      </c>
      <c r="J103">
        <v>88</v>
      </c>
      <c r="K103">
        <v>96.544891640866879</v>
      </c>
      <c r="L103">
        <v>4.5454545454545459</v>
      </c>
      <c r="M103">
        <v>59.562732589048387</v>
      </c>
    </row>
    <row r="104" spans="1:13" x14ac:dyDescent="0.4">
      <c r="A104" t="s">
        <v>256</v>
      </c>
      <c r="B104" t="s">
        <v>257</v>
      </c>
      <c r="C104" t="s">
        <v>40</v>
      </c>
      <c r="D104" s="1">
        <v>38836</v>
      </c>
      <c r="E104">
        <v>57.692307692307693</v>
      </c>
      <c r="F104">
        <v>28.416485900216919</v>
      </c>
      <c r="G104">
        <v>54.115226337448561</v>
      </c>
      <c r="H104">
        <v>50</v>
      </c>
      <c r="I104">
        <v>68.121442125237195</v>
      </c>
      <c r="J104">
        <v>72.991452991452988</v>
      </c>
      <c r="K104">
        <v>41.250764350634732</v>
      </c>
      <c r="L104">
        <v>50</v>
      </c>
      <c r="M104">
        <v>59.60547128181981</v>
      </c>
    </row>
    <row r="105" spans="1:13" x14ac:dyDescent="0.4">
      <c r="A105" t="s">
        <v>770</v>
      </c>
      <c r="B105" t="s">
        <v>771</v>
      </c>
      <c r="C105" t="s">
        <v>40</v>
      </c>
      <c r="D105" s="1">
        <v>38837</v>
      </c>
      <c r="E105">
        <v>65.384615384615387</v>
      </c>
      <c r="F105">
        <v>30.585683297180044</v>
      </c>
      <c r="G105">
        <v>24.074074074074073</v>
      </c>
      <c r="H105">
        <v>96.047430830039531</v>
      </c>
      <c r="I105">
        <v>67.172675521821631</v>
      </c>
      <c r="J105">
        <v>57.264957264957268</v>
      </c>
      <c r="K105">
        <v>38.267331838985868</v>
      </c>
      <c r="L105">
        <v>96.047430830039531</v>
      </c>
      <c r="M105">
        <v>50.718898700272909</v>
      </c>
    </row>
    <row r="106" spans="1:13" x14ac:dyDescent="0.4">
      <c r="A106" t="s">
        <v>352</v>
      </c>
      <c r="B106" t="s">
        <v>353</v>
      </c>
      <c r="C106" t="s">
        <v>40</v>
      </c>
      <c r="D106" s="1">
        <v>38849</v>
      </c>
      <c r="E106">
        <v>92.533936651583716</v>
      </c>
      <c r="F106">
        <v>52.277657266811282</v>
      </c>
      <c r="G106">
        <v>65.843621399176953</v>
      </c>
      <c r="H106">
        <v>38.339920948616601</v>
      </c>
      <c r="I106">
        <v>15.180265654648956</v>
      </c>
      <c r="J106">
        <v>80.683760683760681</v>
      </c>
      <c r="K106">
        <v>60.456504380669777</v>
      </c>
      <c r="L106">
        <v>38.339920948616601</v>
      </c>
      <c r="M106">
        <v>58.735829132507895</v>
      </c>
    </row>
    <row r="107" spans="1:13" x14ac:dyDescent="0.4">
      <c r="A107" t="s">
        <v>772</v>
      </c>
      <c r="B107" t="s">
        <v>773</v>
      </c>
      <c r="C107" t="s">
        <v>40</v>
      </c>
      <c r="D107" s="1">
        <v>38854</v>
      </c>
      <c r="E107">
        <v>41.628959276018101</v>
      </c>
      <c r="F107">
        <v>80.477223427331893</v>
      </c>
      <c r="G107">
        <v>45.061728395061728</v>
      </c>
      <c r="H107">
        <v>64.822134387351781</v>
      </c>
      <c r="I107">
        <v>55.028462998102469</v>
      </c>
      <c r="J107">
        <v>92.649572649572647</v>
      </c>
      <c r="K107">
        <v>83.981955556336203</v>
      </c>
      <c r="L107">
        <v>64.822134387351781</v>
      </c>
      <c r="M107">
        <v>47.044945343823471</v>
      </c>
    </row>
    <row r="108" spans="1:13" x14ac:dyDescent="0.4">
      <c r="A108" t="s">
        <v>774</v>
      </c>
      <c r="B108" t="s">
        <v>775</v>
      </c>
      <c r="C108" t="s">
        <v>40</v>
      </c>
      <c r="D108" s="1">
        <v>38877</v>
      </c>
      <c r="E108">
        <v>91.402714932126699</v>
      </c>
      <c r="F108">
        <v>42.733188720173537</v>
      </c>
      <c r="G108">
        <v>25.720164609053498</v>
      </c>
      <c r="H108">
        <v>44.466403162055336</v>
      </c>
      <c r="I108">
        <v>41.366223908918407</v>
      </c>
      <c r="J108">
        <v>60.683760683760681</v>
      </c>
      <c r="K108">
        <v>47.901619657057758</v>
      </c>
      <c r="L108">
        <v>44.466403162055336</v>
      </c>
      <c r="M108">
        <v>51.702144747297162</v>
      </c>
    </row>
    <row r="109" spans="1:13" x14ac:dyDescent="0.4">
      <c r="A109" t="s">
        <v>478</v>
      </c>
      <c r="B109" t="s">
        <v>479</v>
      </c>
      <c r="C109" t="s">
        <v>40</v>
      </c>
      <c r="D109" s="1">
        <v>38881</v>
      </c>
      <c r="E109">
        <v>18.778280542986426</v>
      </c>
      <c r="F109">
        <v>60.303687635574839</v>
      </c>
      <c r="G109">
        <v>69.341563786008237</v>
      </c>
      <c r="H109">
        <v>51.185770750988141</v>
      </c>
      <c r="I109">
        <v>36.62239089184061</v>
      </c>
      <c r="J109">
        <v>43.07692307692308</v>
      </c>
      <c r="K109">
        <v>55.343659449956839</v>
      </c>
      <c r="L109">
        <v>51.185770750988141</v>
      </c>
      <c r="M109">
        <v>42.935117647297375</v>
      </c>
    </row>
    <row r="110" spans="1:13" x14ac:dyDescent="0.4">
      <c r="A110" t="s">
        <v>78</v>
      </c>
      <c r="B110" t="s">
        <v>79</v>
      </c>
      <c r="C110" t="s">
        <v>40</v>
      </c>
      <c r="D110" s="1">
        <v>38882</v>
      </c>
      <c r="E110">
        <v>92.986425339366519</v>
      </c>
      <c r="F110">
        <v>13.66594360086768</v>
      </c>
      <c r="G110">
        <v>10.493827160493828</v>
      </c>
      <c r="H110">
        <v>24.505928853754941</v>
      </c>
      <c r="I110">
        <v>9.67741935483871</v>
      </c>
      <c r="J110">
        <v>51.111111111111114</v>
      </c>
      <c r="K110">
        <v>24.447369540349538</v>
      </c>
      <c r="L110">
        <v>24.505928853754941</v>
      </c>
      <c r="M110">
        <v>36.784567936154211</v>
      </c>
    </row>
    <row r="111" spans="1:13" x14ac:dyDescent="0.4">
      <c r="A111" t="s">
        <v>480</v>
      </c>
      <c r="B111" t="s">
        <v>481</v>
      </c>
      <c r="C111" t="s">
        <v>64</v>
      </c>
      <c r="D111" s="1">
        <v>38882</v>
      </c>
      <c r="E111">
        <v>3.0150753768844223</v>
      </c>
      <c r="F111">
        <v>92.997811816192566</v>
      </c>
      <c r="G111">
        <v>40.839694656488547</v>
      </c>
      <c r="H111">
        <v>1.4778325123152709</v>
      </c>
      <c r="I111">
        <v>0.88135593220338981</v>
      </c>
      <c r="J111">
        <v>92.526071842410204</v>
      </c>
      <c r="K111">
        <v>92.861985755629846</v>
      </c>
      <c r="L111">
        <v>1.4778325123152709</v>
      </c>
      <c r="M111">
        <v>16.289416766771605</v>
      </c>
    </row>
    <row r="112" spans="1:13" x14ac:dyDescent="0.4">
      <c r="A112" t="s">
        <v>258</v>
      </c>
      <c r="B112" t="s">
        <v>259</v>
      </c>
      <c r="C112" t="s">
        <v>40</v>
      </c>
      <c r="D112" s="1">
        <v>38883</v>
      </c>
      <c r="E112">
        <v>90.045248868778287</v>
      </c>
      <c r="F112">
        <v>19.956616052060738</v>
      </c>
      <c r="G112">
        <v>46.090534979423872</v>
      </c>
      <c r="H112">
        <v>74.901185770750985</v>
      </c>
      <c r="I112">
        <v>89.753320683111951</v>
      </c>
      <c r="J112">
        <v>63.418803418803421</v>
      </c>
      <c r="K112">
        <v>32.470496625147639</v>
      </c>
      <c r="L112">
        <v>74.901185770750985</v>
      </c>
      <c r="M112">
        <v>73.760965043408987</v>
      </c>
    </row>
    <row r="113" spans="1:13" x14ac:dyDescent="0.4">
      <c r="A113" t="s">
        <v>776</v>
      </c>
      <c r="B113" t="s">
        <v>777</v>
      </c>
      <c r="C113" t="s">
        <v>40</v>
      </c>
      <c r="D113" s="1">
        <v>38896</v>
      </c>
      <c r="E113">
        <v>91.17647058823529</v>
      </c>
      <c r="F113">
        <v>52.928416485900215</v>
      </c>
      <c r="G113">
        <v>23.045267489711936</v>
      </c>
      <c r="H113">
        <v>1.5810276679841897</v>
      </c>
      <c r="I113">
        <v>0.56925996204933582</v>
      </c>
      <c r="J113">
        <v>56.752136752136749</v>
      </c>
      <c r="K113">
        <v>54.029363807138594</v>
      </c>
      <c r="L113">
        <v>1.5810276679841897</v>
      </c>
      <c r="M113">
        <v>38.00460682444659</v>
      </c>
    </row>
    <row r="114" spans="1:13" x14ac:dyDescent="0.4">
      <c r="A114" t="s">
        <v>778</v>
      </c>
      <c r="B114" t="s">
        <v>779</v>
      </c>
      <c r="C114" t="s">
        <v>40</v>
      </c>
      <c r="D114" s="1">
        <v>38911</v>
      </c>
      <c r="E114">
        <v>51.58371040723982</v>
      </c>
      <c r="F114">
        <v>62.255965292841651</v>
      </c>
      <c r="G114">
        <v>84.97942386831275</v>
      </c>
      <c r="H114">
        <v>73.122529644268781</v>
      </c>
      <c r="I114">
        <v>66.793168880455411</v>
      </c>
      <c r="J114">
        <v>56.92307692307692</v>
      </c>
      <c r="K114">
        <v>60.720489694116822</v>
      </c>
      <c r="L114">
        <v>73.122529644268781</v>
      </c>
      <c r="M114">
        <v>68.599415539504534</v>
      </c>
    </row>
    <row r="115" spans="1:13" x14ac:dyDescent="0.4">
      <c r="A115" t="s">
        <v>93</v>
      </c>
      <c r="B115" t="s">
        <v>94</v>
      </c>
      <c r="C115" t="s">
        <v>40</v>
      </c>
      <c r="D115" s="1">
        <v>38916</v>
      </c>
      <c r="E115">
        <v>90.497737556561091</v>
      </c>
      <c r="F115">
        <v>14.099783080260304</v>
      </c>
      <c r="G115">
        <v>19.958847736625515</v>
      </c>
      <c r="H115">
        <v>18.972332015810277</v>
      </c>
      <c r="I115">
        <v>22.39089184060721</v>
      </c>
      <c r="J115">
        <v>58.974358974358971</v>
      </c>
      <c r="K115">
        <v>27.020326603948153</v>
      </c>
      <c r="L115">
        <v>18.972332015810277</v>
      </c>
      <c r="M115">
        <v>43.409638148699592</v>
      </c>
    </row>
    <row r="116" spans="1:13" x14ac:dyDescent="0.4">
      <c r="A116" t="s">
        <v>780</v>
      </c>
      <c r="B116" t="s">
        <v>781</v>
      </c>
      <c r="C116" t="s">
        <v>40</v>
      </c>
      <c r="D116" s="1">
        <v>38919</v>
      </c>
      <c r="E116">
        <v>69.909502262443439</v>
      </c>
      <c r="F116">
        <v>61.605206073752711</v>
      </c>
      <c r="G116">
        <v>27.572016460905349</v>
      </c>
      <c r="H116">
        <v>81.22529644268775</v>
      </c>
      <c r="I116">
        <v>78.747628083491463</v>
      </c>
      <c r="J116">
        <v>56.068376068376068</v>
      </c>
      <c r="K116">
        <v>60.011010437529713</v>
      </c>
      <c r="L116">
        <v>81.22529644268775</v>
      </c>
      <c r="M116">
        <v>57.049608674856962</v>
      </c>
    </row>
    <row r="117" spans="1:13" x14ac:dyDescent="0.4">
      <c r="A117" t="s">
        <v>482</v>
      </c>
      <c r="B117" t="s">
        <v>483</v>
      </c>
      <c r="C117" t="s">
        <v>203</v>
      </c>
      <c r="D117" s="1">
        <v>38923</v>
      </c>
      <c r="E117">
        <v>22.222222222222221</v>
      </c>
      <c r="F117">
        <v>88.888888888888886</v>
      </c>
      <c r="G117">
        <v>22.727272727272727</v>
      </c>
      <c r="H117">
        <v>50</v>
      </c>
      <c r="I117">
        <v>31.818181818181817</v>
      </c>
      <c r="J117">
        <v>92</v>
      </c>
      <c r="K117">
        <v>89.784657722738217</v>
      </c>
      <c r="L117">
        <v>50</v>
      </c>
      <c r="M117">
        <v>25.381204388381423</v>
      </c>
    </row>
    <row r="118" spans="1:13" x14ac:dyDescent="0.4">
      <c r="A118" t="s">
        <v>484</v>
      </c>
      <c r="B118" t="s">
        <v>485</v>
      </c>
      <c r="C118" t="s">
        <v>40</v>
      </c>
      <c r="D118" s="1">
        <v>38936</v>
      </c>
      <c r="E118">
        <v>14.027149321266968</v>
      </c>
      <c r="F118">
        <v>82.646420824295006</v>
      </c>
      <c r="G118">
        <v>76.13168724279835</v>
      </c>
      <c r="H118">
        <v>59.090909090909093</v>
      </c>
      <c r="I118">
        <v>35.104364326375709</v>
      </c>
      <c r="J118">
        <v>55.897435897435898</v>
      </c>
      <c r="K118">
        <v>74.944700706035263</v>
      </c>
      <c r="L118">
        <v>59.090909090909101</v>
      </c>
      <c r="M118">
        <v>43.437671290351695</v>
      </c>
    </row>
    <row r="119" spans="1:13" x14ac:dyDescent="0.4">
      <c r="A119" t="s">
        <v>782</v>
      </c>
      <c r="B119" t="s">
        <v>783</v>
      </c>
      <c r="C119" t="s">
        <v>64</v>
      </c>
      <c r="D119" s="1">
        <v>38938</v>
      </c>
      <c r="E119">
        <v>35.678391959798994</v>
      </c>
      <c r="F119">
        <v>97.155361050328224</v>
      </c>
      <c r="G119">
        <v>23.282442748091604</v>
      </c>
      <c r="H119">
        <v>87.684729064039402</v>
      </c>
      <c r="I119">
        <v>96.271186440677965</v>
      </c>
      <c r="J119">
        <v>40.730011587485514</v>
      </c>
      <c r="K119">
        <v>80.909053000655248</v>
      </c>
      <c r="L119">
        <v>87.684729064039402</v>
      </c>
      <c r="M119">
        <v>49.883632884848964</v>
      </c>
    </row>
    <row r="120" spans="1:13" x14ac:dyDescent="0.4">
      <c r="A120" t="s">
        <v>260</v>
      </c>
      <c r="B120" t="s">
        <v>261</v>
      </c>
      <c r="C120" t="s">
        <v>203</v>
      </c>
      <c r="D120" s="1">
        <v>38943</v>
      </c>
      <c r="E120">
        <v>94.444444444444443</v>
      </c>
      <c r="F120">
        <v>11.111111111111111</v>
      </c>
      <c r="G120">
        <v>31.818181818181817</v>
      </c>
      <c r="H120">
        <v>22.727272727272727</v>
      </c>
      <c r="I120">
        <v>13.636363636363637</v>
      </c>
      <c r="J120">
        <v>56</v>
      </c>
      <c r="K120">
        <v>24.03577571379429</v>
      </c>
      <c r="L120">
        <v>22.727272727272727</v>
      </c>
      <c r="M120">
        <v>46.336571456188679</v>
      </c>
    </row>
    <row r="121" spans="1:13" x14ac:dyDescent="0.4">
      <c r="A121" t="s">
        <v>784</v>
      </c>
      <c r="B121" t="s">
        <v>785</v>
      </c>
      <c r="C121" t="s">
        <v>40</v>
      </c>
      <c r="D121" s="1">
        <v>38945</v>
      </c>
      <c r="E121">
        <v>97.963800904977376</v>
      </c>
      <c r="F121">
        <v>33.839479392624732</v>
      </c>
      <c r="G121">
        <v>94.444444444444443</v>
      </c>
      <c r="H121">
        <v>47.035573122529641</v>
      </c>
      <c r="I121">
        <v>37.001897533206829</v>
      </c>
      <c r="J121">
        <v>71.452991452991455</v>
      </c>
      <c r="K121">
        <v>44.669376053968712</v>
      </c>
      <c r="L121">
        <v>47.035573122529641</v>
      </c>
      <c r="M121">
        <v>77.78067319788083</v>
      </c>
    </row>
    <row r="122" spans="1:13" x14ac:dyDescent="0.4">
      <c r="A122" t="s">
        <v>786</v>
      </c>
      <c r="B122" t="s">
        <v>787</v>
      </c>
      <c r="C122" t="s">
        <v>64</v>
      </c>
      <c r="D122" s="1">
        <v>38951</v>
      </c>
      <c r="E122">
        <v>74.874371859296488</v>
      </c>
      <c r="F122">
        <v>60.393873085339166</v>
      </c>
      <c r="G122">
        <v>23.409669211195929</v>
      </c>
      <c r="H122">
        <v>78.899835796387521</v>
      </c>
      <c r="I122">
        <v>13.423728813559322</v>
      </c>
      <c r="J122">
        <v>88.41251448435689</v>
      </c>
      <c r="K122">
        <v>68.461159927780812</v>
      </c>
      <c r="L122">
        <v>78.899835796387521</v>
      </c>
      <c r="M122">
        <v>36.875753480754746</v>
      </c>
    </row>
    <row r="123" spans="1:13" x14ac:dyDescent="0.4">
      <c r="A123" t="s">
        <v>262</v>
      </c>
      <c r="B123" t="s">
        <v>263</v>
      </c>
      <c r="C123" t="s">
        <v>40</v>
      </c>
      <c r="D123" s="1">
        <v>38966</v>
      </c>
      <c r="E123">
        <v>66.0633484162896</v>
      </c>
      <c r="F123">
        <v>19.522776572668114</v>
      </c>
      <c r="G123">
        <v>94.650205761316869</v>
      </c>
      <c r="H123">
        <v>72.727272727272734</v>
      </c>
      <c r="I123">
        <v>11.195445920303605</v>
      </c>
      <c r="J123">
        <v>74.358974358974365</v>
      </c>
      <c r="K123">
        <v>35.311527018880135</v>
      </c>
      <c r="L123">
        <v>72.727272727272734</v>
      </c>
      <c r="M123">
        <v>59.596799750988204</v>
      </c>
    </row>
    <row r="124" spans="1:13" x14ac:dyDescent="0.4">
      <c r="A124" t="s">
        <v>185</v>
      </c>
      <c r="B124" t="s">
        <v>186</v>
      </c>
      <c r="C124" t="s">
        <v>40</v>
      </c>
      <c r="D124" s="1">
        <v>38968</v>
      </c>
      <c r="E124">
        <v>29.18552036199095</v>
      </c>
      <c r="F124">
        <v>22.342733188720175</v>
      </c>
      <c r="G124">
        <v>27.777777777777779</v>
      </c>
      <c r="H124">
        <v>62.055335968379445</v>
      </c>
      <c r="I124">
        <v>64.326375711574954</v>
      </c>
      <c r="J124">
        <v>33.504273504273506</v>
      </c>
      <c r="K124">
        <v>25.556427459142654</v>
      </c>
      <c r="L124">
        <v>62.055335968379453</v>
      </c>
      <c r="M124">
        <v>39.553817993096935</v>
      </c>
    </row>
    <row r="125" spans="1:13" x14ac:dyDescent="0.4">
      <c r="A125" t="s">
        <v>354</v>
      </c>
      <c r="B125" t="s">
        <v>355</v>
      </c>
      <c r="C125" t="s">
        <v>40</v>
      </c>
      <c r="D125" s="1">
        <v>38974</v>
      </c>
      <c r="E125">
        <v>64.932126696832583</v>
      </c>
      <c r="F125">
        <v>67.245119305856832</v>
      </c>
      <c r="G125">
        <v>53.292181069958851</v>
      </c>
      <c r="H125">
        <v>41.10671936758893</v>
      </c>
      <c r="I125">
        <v>37.381404174573056</v>
      </c>
      <c r="J125">
        <v>59.82905982905983</v>
      </c>
      <c r="K125">
        <v>65.10984521501436</v>
      </c>
      <c r="L125">
        <v>41.10671936758893</v>
      </c>
      <c r="M125">
        <v>52.108274560059471</v>
      </c>
    </row>
    <row r="126" spans="1:13" x14ac:dyDescent="0.4">
      <c r="A126" t="s">
        <v>356</v>
      </c>
      <c r="B126" t="s">
        <v>357</v>
      </c>
      <c r="C126" t="s">
        <v>43</v>
      </c>
      <c r="D126" s="1">
        <v>38980</v>
      </c>
      <c r="E126">
        <v>72.5</v>
      </c>
      <c r="F126">
        <v>31.192660550458715</v>
      </c>
      <c r="G126">
        <v>42.307692307692307</v>
      </c>
      <c r="H126">
        <v>90.35532994923858</v>
      </c>
      <c r="I126">
        <v>64.220183486238525</v>
      </c>
      <c r="J126">
        <v>51.056338028169016</v>
      </c>
      <c r="K126">
        <v>36.911923725155489</v>
      </c>
      <c r="L126">
        <v>90.35532994923858</v>
      </c>
      <c r="M126">
        <v>58.811359753235664</v>
      </c>
    </row>
    <row r="127" spans="1:13" x14ac:dyDescent="0.4">
      <c r="A127" t="s">
        <v>788</v>
      </c>
      <c r="B127" t="s">
        <v>789</v>
      </c>
      <c r="C127" t="s">
        <v>40</v>
      </c>
      <c r="D127" s="1">
        <v>38980</v>
      </c>
      <c r="E127">
        <v>84.389140271493218</v>
      </c>
      <c r="F127">
        <v>98.481561822125812</v>
      </c>
      <c r="G127">
        <v>90.123456790123456</v>
      </c>
      <c r="H127">
        <v>34.782608695652172</v>
      </c>
      <c r="I127">
        <v>42.8842504743833</v>
      </c>
      <c r="J127">
        <v>26.153846153846153</v>
      </c>
      <c r="K127">
        <v>77.656553905252721</v>
      </c>
      <c r="L127">
        <v>34.782608695652172</v>
      </c>
      <c r="M127">
        <v>73.643210881883931</v>
      </c>
    </row>
    <row r="128" spans="1:13" x14ac:dyDescent="0.4">
      <c r="A128" t="s">
        <v>790</v>
      </c>
      <c r="B128" t="s">
        <v>791</v>
      </c>
      <c r="C128" t="s">
        <v>203</v>
      </c>
      <c r="D128" s="1">
        <v>38987</v>
      </c>
      <c r="E128">
        <v>83.333333333333329</v>
      </c>
      <c r="F128">
        <v>55.555555555555557</v>
      </c>
      <c r="G128">
        <v>59.090909090909093</v>
      </c>
      <c r="H128">
        <v>72.727272727272734</v>
      </c>
      <c r="I128">
        <v>86.36363636363636</v>
      </c>
      <c r="J128">
        <v>68</v>
      </c>
      <c r="K128">
        <v>59.138630890952868</v>
      </c>
      <c r="L128">
        <v>72.727272727272734</v>
      </c>
      <c r="M128">
        <v>75.340727852689568</v>
      </c>
    </row>
    <row r="129" spans="1:13" x14ac:dyDescent="0.4">
      <c r="A129" t="s">
        <v>106</v>
      </c>
      <c r="B129" t="s">
        <v>107</v>
      </c>
      <c r="C129" t="s">
        <v>40</v>
      </c>
      <c r="D129" s="1">
        <v>38987</v>
      </c>
      <c r="E129">
        <v>37.782805429864254</v>
      </c>
      <c r="F129">
        <v>13.449023861171366</v>
      </c>
      <c r="G129">
        <v>25.102880658436213</v>
      </c>
      <c r="H129">
        <v>21.146245059288539</v>
      </c>
      <c r="I129">
        <v>56.166982922201136</v>
      </c>
      <c r="J129">
        <v>36.92307692307692</v>
      </c>
      <c r="K129">
        <v>20.20780694091507</v>
      </c>
      <c r="L129">
        <v>21.146245059288539</v>
      </c>
      <c r="M129">
        <v>38.806830718040587</v>
      </c>
    </row>
    <row r="130" spans="1:13" x14ac:dyDescent="0.4">
      <c r="A130" t="s">
        <v>792</v>
      </c>
      <c r="B130" t="s">
        <v>793</v>
      </c>
      <c r="C130" t="s">
        <v>40</v>
      </c>
      <c r="D130" s="1">
        <v>38988</v>
      </c>
      <c r="E130">
        <v>66.968325791855207</v>
      </c>
      <c r="F130">
        <v>83.731019522776577</v>
      </c>
      <c r="G130">
        <v>61.728395061728392</v>
      </c>
      <c r="H130">
        <v>88.537549407114625</v>
      </c>
      <c r="I130">
        <v>66.982922201138521</v>
      </c>
      <c r="J130">
        <v>83.07692307692308</v>
      </c>
      <c r="K130">
        <v>83.542688347964273</v>
      </c>
      <c r="L130">
        <v>88.537549407114625</v>
      </c>
      <c r="M130">
        <v>65.042347089852001</v>
      </c>
    </row>
    <row r="131" spans="1:13" x14ac:dyDescent="0.4">
      <c r="A131" t="s">
        <v>264</v>
      </c>
      <c r="B131" t="s">
        <v>265</v>
      </c>
      <c r="C131" t="s">
        <v>40</v>
      </c>
      <c r="D131" s="1">
        <v>38989</v>
      </c>
      <c r="E131">
        <v>69.004524886877832</v>
      </c>
      <c r="F131">
        <v>27.114967462039047</v>
      </c>
      <c r="G131">
        <v>38.477366255144034</v>
      </c>
      <c r="H131">
        <v>11.660079051383399</v>
      </c>
      <c r="I131">
        <v>17.4573055028463</v>
      </c>
      <c r="J131">
        <v>95.042735042735046</v>
      </c>
      <c r="K131">
        <v>46.673117260815296</v>
      </c>
      <c r="L131">
        <v>11.660079051383399</v>
      </c>
      <c r="M131">
        <v>41.787904457406334</v>
      </c>
    </row>
    <row r="132" spans="1:13" x14ac:dyDescent="0.4">
      <c r="A132" t="s">
        <v>794</v>
      </c>
      <c r="B132" t="s">
        <v>795</v>
      </c>
      <c r="C132" t="s">
        <v>40</v>
      </c>
      <c r="D132" s="1">
        <v>39001</v>
      </c>
      <c r="E132">
        <v>43.438914027149323</v>
      </c>
      <c r="F132">
        <v>44.468546637744033</v>
      </c>
      <c r="G132">
        <v>55.349794238683124</v>
      </c>
      <c r="H132">
        <v>74.703557312252968</v>
      </c>
      <c r="I132">
        <v>46.869070208728651</v>
      </c>
      <c r="J132">
        <v>18.119658119658119</v>
      </c>
      <c r="K132">
        <v>36.882024556685238</v>
      </c>
      <c r="L132">
        <v>74.703557312252968</v>
      </c>
      <c r="M132">
        <v>48.889824979519489</v>
      </c>
    </row>
    <row r="133" spans="1:13" x14ac:dyDescent="0.4">
      <c r="A133" t="s">
        <v>796</v>
      </c>
      <c r="B133" t="s">
        <v>797</v>
      </c>
      <c r="C133" t="s">
        <v>40</v>
      </c>
      <c r="D133" s="1">
        <v>39001</v>
      </c>
      <c r="E133">
        <v>99.095022624434392</v>
      </c>
      <c r="F133">
        <v>44.902386117136658</v>
      </c>
      <c r="G133">
        <v>33.744855967078188</v>
      </c>
      <c r="H133">
        <v>63.241106719367586</v>
      </c>
      <c r="I133">
        <v>47.438330170777988</v>
      </c>
      <c r="J133">
        <v>70.940170940170944</v>
      </c>
      <c r="K133">
        <v>52.399333450084612</v>
      </c>
      <c r="L133">
        <v>63.241106719367586</v>
      </c>
      <c r="M133">
        <v>59.014957222565116</v>
      </c>
    </row>
    <row r="134" spans="1:13" x14ac:dyDescent="0.4">
      <c r="A134" t="s">
        <v>358</v>
      </c>
      <c r="B134" t="s">
        <v>359</v>
      </c>
      <c r="C134" t="s">
        <v>40</v>
      </c>
      <c r="D134" s="1">
        <v>39009</v>
      </c>
      <c r="E134">
        <v>99.773755656108591</v>
      </c>
      <c r="F134">
        <v>44.685466377440349</v>
      </c>
      <c r="G134">
        <v>73.456790123456784</v>
      </c>
      <c r="H134">
        <v>59.683794466403164</v>
      </c>
      <c r="I134">
        <v>89.563567362428842</v>
      </c>
      <c r="J134">
        <v>86.666666666666671</v>
      </c>
      <c r="K134">
        <v>56.772932714585998</v>
      </c>
      <c r="L134">
        <v>59.683794466403164</v>
      </c>
      <c r="M134">
        <v>86.914827244482026</v>
      </c>
    </row>
    <row r="135" spans="1:13" x14ac:dyDescent="0.4">
      <c r="A135" t="s">
        <v>798</v>
      </c>
      <c r="B135" t="s">
        <v>799</v>
      </c>
      <c r="C135" t="s">
        <v>40</v>
      </c>
      <c r="D135" s="1">
        <v>39013</v>
      </c>
      <c r="E135">
        <v>30.090497737556561</v>
      </c>
      <c r="F135">
        <v>65.509761388286336</v>
      </c>
      <c r="G135">
        <v>12.139917695473251</v>
      </c>
      <c r="H135">
        <v>89.525691699604749</v>
      </c>
      <c r="I135">
        <v>94.117647058823536</v>
      </c>
      <c r="J135">
        <v>20</v>
      </c>
      <c r="K135">
        <v>52.40633163871783</v>
      </c>
      <c r="L135">
        <v>89.525691699604749</v>
      </c>
      <c r="M135">
        <v>43.313288432827477</v>
      </c>
    </row>
    <row r="136" spans="1:13" x14ac:dyDescent="0.4">
      <c r="A136" t="s">
        <v>486</v>
      </c>
      <c r="B136" t="s">
        <v>487</v>
      </c>
      <c r="C136" t="s">
        <v>40</v>
      </c>
      <c r="D136" s="1">
        <v>39028</v>
      </c>
      <c r="E136">
        <v>11.085972850678733</v>
      </c>
      <c r="F136">
        <v>57.917570498915403</v>
      </c>
      <c r="G136">
        <v>83.950617283950621</v>
      </c>
      <c r="H136">
        <v>79.051383399209485</v>
      </c>
      <c r="I136">
        <v>85.199240986717271</v>
      </c>
      <c r="J136">
        <v>42.735042735042732</v>
      </c>
      <c r="K136">
        <v>53.546130616438134</v>
      </c>
      <c r="L136">
        <v>79.051383399209485</v>
      </c>
      <c r="M136">
        <v>60.891770617044429</v>
      </c>
    </row>
    <row r="137" spans="1:13" x14ac:dyDescent="0.4">
      <c r="A137" t="s">
        <v>800</v>
      </c>
      <c r="B137" t="s">
        <v>801</v>
      </c>
      <c r="C137" t="s">
        <v>40</v>
      </c>
      <c r="D137" s="1">
        <v>39030</v>
      </c>
      <c r="E137">
        <v>27.375565610859727</v>
      </c>
      <c r="F137">
        <v>14.533622559652928</v>
      </c>
      <c r="G137">
        <v>25.308641975308642</v>
      </c>
      <c r="H137">
        <v>68.577075098814234</v>
      </c>
      <c r="I137">
        <v>91.840607210626189</v>
      </c>
      <c r="J137">
        <v>17.094017094017094</v>
      </c>
      <c r="K137">
        <v>15.270825939516294</v>
      </c>
      <c r="L137">
        <v>68.577075098814234</v>
      </c>
      <c r="M137">
        <v>46.585892518263762</v>
      </c>
    </row>
    <row r="138" spans="1:13" x14ac:dyDescent="0.4">
      <c r="A138" t="s">
        <v>91</v>
      </c>
      <c r="B138" t="s">
        <v>92</v>
      </c>
      <c r="C138" t="s">
        <v>40</v>
      </c>
      <c r="D138" s="1">
        <v>39036</v>
      </c>
      <c r="E138">
        <v>24.20814479638009</v>
      </c>
      <c r="F138">
        <v>42.299349240780913</v>
      </c>
      <c r="G138">
        <v>9.2592592592592595</v>
      </c>
      <c r="H138">
        <v>32.806324110671937</v>
      </c>
      <c r="I138">
        <v>14.990512333965844</v>
      </c>
      <c r="J138">
        <v>42.564102564102562</v>
      </c>
      <c r="K138">
        <v>42.375578525823983</v>
      </c>
      <c r="L138">
        <v>32.806324110671937</v>
      </c>
      <c r="M138">
        <v>15.844958727960824</v>
      </c>
    </row>
    <row r="139" spans="1:13" x14ac:dyDescent="0.4">
      <c r="A139" t="s">
        <v>802</v>
      </c>
      <c r="B139" t="s">
        <v>803</v>
      </c>
      <c r="C139" t="s">
        <v>40</v>
      </c>
      <c r="D139" s="1">
        <v>39036</v>
      </c>
      <c r="E139">
        <v>50.226244343891402</v>
      </c>
      <c r="F139">
        <v>51.843817787418658</v>
      </c>
      <c r="G139">
        <v>31.893004115226336</v>
      </c>
      <c r="H139">
        <v>50.197628458498023</v>
      </c>
      <c r="I139">
        <v>90.132827324478185</v>
      </c>
      <c r="J139">
        <v>10.085470085470085</v>
      </c>
      <c r="K139">
        <v>39.820516436702817</v>
      </c>
      <c r="L139">
        <v>50.197628458498023</v>
      </c>
      <c r="M139">
        <v>55.835295781143955</v>
      </c>
    </row>
    <row r="140" spans="1:13" x14ac:dyDescent="0.4">
      <c r="A140" t="s">
        <v>804</v>
      </c>
      <c r="B140" t="s">
        <v>805</v>
      </c>
      <c r="C140" t="s">
        <v>40</v>
      </c>
      <c r="D140" s="1">
        <v>39036</v>
      </c>
      <c r="E140">
        <v>47.28506787330317</v>
      </c>
      <c r="F140">
        <v>76.572668112798269</v>
      </c>
      <c r="G140">
        <v>31.275720164609055</v>
      </c>
      <c r="H140">
        <v>77.470355731225297</v>
      </c>
      <c r="I140">
        <v>77.22960151802657</v>
      </c>
      <c r="J140">
        <v>21.025641025641026</v>
      </c>
      <c r="K140">
        <v>60.579251644979003</v>
      </c>
      <c r="L140">
        <v>77.470355731225297</v>
      </c>
      <c r="M140">
        <v>50.663961557161507</v>
      </c>
    </row>
    <row r="141" spans="1:13" x14ac:dyDescent="0.4">
      <c r="A141" t="s">
        <v>266</v>
      </c>
      <c r="B141" t="s">
        <v>267</v>
      </c>
      <c r="C141" t="s">
        <v>40</v>
      </c>
      <c r="D141" s="1">
        <v>39037</v>
      </c>
      <c r="E141">
        <v>93.212669683257914</v>
      </c>
      <c r="F141">
        <v>10.412147505422993</v>
      </c>
      <c r="G141">
        <v>4.3209876543209873</v>
      </c>
      <c r="H141">
        <v>0.79051383399209485</v>
      </c>
      <c r="I141">
        <v>2.0872865275142316</v>
      </c>
      <c r="J141">
        <v>91.623931623931625</v>
      </c>
      <c r="K141">
        <v>33.795107019420833</v>
      </c>
      <c r="L141">
        <v>0.79051383399209485</v>
      </c>
      <c r="M141">
        <v>32.231674106403624</v>
      </c>
    </row>
    <row r="142" spans="1:13" x14ac:dyDescent="0.4">
      <c r="A142" t="s">
        <v>806</v>
      </c>
      <c r="B142" t="s">
        <v>807</v>
      </c>
      <c r="C142" t="s">
        <v>40</v>
      </c>
      <c r="D142" s="1">
        <v>39037</v>
      </c>
      <c r="E142">
        <v>27.828054298642535</v>
      </c>
      <c r="F142">
        <v>63.123644251626899</v>
      </c>
      <c r="G142">
        <v>36.419753086419753</v>
      </c>
      <c r="H142">
        <v>21.343873517786562</v>
      </c>
      <c r="I142">
        <v>12.144212523719165</v>
      </c>
      <c r="J142">
        <v>57.606837606837608</v>
      </c>
      <c r="K142">
        <v>61.535213855449172</v>
      </c>
      <c r="L142">
        <v>21.343873517786562</v>
      </c>
      <c r="M142">
        <v>26.134427751908358</v>
      </c>
    </row>
    <row r="143" spans="1:13" x14ac:dyDescent="0.4">
      <c r="A143" t="s">
        <v>268</v>
      </c>
      <c r="B143" t="s">
        <v>269</v>
      </c>
      <c r="C143" t="s">
        <v>40</v>
      </c>
      <c r="D143" s="1">
        <v>39042</v>
      </c>
      <c r="E143">
        <v>77.828054298642527</v>
      </c>
      <c r="F143">
        <v>29.284164859002168</v>
      </c>
      <c r="G143">
        <v>26.954732510288064</v>
      </c>
      <c r="H143">
        <v>77.667984189723313</v>
      </c>
      <c r="I143">
        <v>82.542694497153704</v>
      </c>
      <c r="J143">
        <v>10.94017094017094</v>
      </c>
      <c r="K143">
        <v>24.002457631598752</v>
      </c>
      <c r="L143">
        <v>77.667984189723313</v>
      </c>
      <c r="M143">
        <v>60.545887672567424</v>
      </c>
    </row>
    <row r="144" spans="1:13" x14ac:dyDescent="0.4">
      <c r="A144" t="s">
        <v>808</v>
      </c>
      <c r="B144" t="s">
        <v>809</v>
      </c>
      <c r="C144" t="s">
        <v>40</v>
      </c>
      <c r="D144" s="1">
        <v>39042</v>
      </c>
      <c r="E144">
        <v>96.380090497737555</v>
      </c>
      <c r="F144">
        <v>34.70715835140998</v>
      </c>
      <c r="G144">
        <v>88.68312757201646</v>
      </c>
      <c r="H144">
        <v>86.166007905138343</v>
      </c>
      <c r="I144">
        <v>74.003795066413659</v>
      </c>
      <c r="J144">
        <v>92.820512820512818</v>
      </c>
      <c r="K144">
        <v>51.439486418365277</v>
      </c>
      <c r="L144">
        <v>86.166007905138343</v>
      </c>
      <c r="M144">
        <v>86.611998275446908</v>
      </c>
    </row>
    <row r="145" spans="1:13" x14ac:dyDescent="0.4">
      <c r="A145" t="s">
        <v>810</v>
      </c>
      <c r="B145" t="s">
        <v>811</v>
      </c>
      <c r="C145" t="s">
        <v>40</v>
      </c>
      <c r="D145" s="1">
        <v>39045</v>
      </c>
      <c r="E145">
        <v>54.524886877828052</v>
      </c>
      <c r="F145">
        <v>58.568329718004335</v>
      </c>
      <c r="G145">
        <v>69.753086419753089</v>
      </c>
      <c r="H145">
        <v>36.758893280632414</v>
      </c>
      <c r="I145">
        <v>67.741935483870961</v>
      </c>
      <c r="J145">
        <v>50.256410256410255</v>
      </c>
      <c r="K145">
        <v>56.175114516988089</v>
      </c>
      <c r="L145">
        <v>36.758893280632414</v>
      </c>
      <c r="M145">
        <v>64.230031671940509</v>
      </c>
    </row>
    <row r="146" spans="1:13" x14ac:dyDescent="0.4">
      <c r="A146" t="s">
        <v>812</v>
      </c>
      <c r="B146" t="s">
        <v>813</v>
      </c>
      <c r="C146" t="s">
        <v>40</v>
      </c>
      <c r="D146" s="1">
        <v>39048</v>
      </c>
      <c r="E146">
        <v>23.981900452488688</v>
      </c>
      <c r="F146">
        <v>31.453362255965292</v>
      </c>
      <c r="G146">
        <v>62.962962962962962</v>
      </c>
      <c r="H146">
        <v>31.225296442687746</v>
      </c>
      <c r="I146">
        <v>28.273244781783681</v>
      </c>
      <c r="J146">
        <v>77.948717948717942</v>
      </c>
      <c r="K146">
        <v>44.840569932206769</v>
      </c>
      <c r="L146">
        <v>31.225296442687743</v>
      </c>
      <c r="M146">
        <v>39.672839967456966</v>
      </c>
    </row>
    <row r="147" spans="1:13" x14ac:dyDescent="0.4">
      <c r="A147" t="s">
        <v>80</v>
      </c>
      <c r="B147" t="s">
        <v>81</v>
      </c>
      <c r="C147" t="s">
        <v>40</v>
      </c>
      <c r="D147" s="1">
        <v>39051</v>
      </c>
      <c r="E147">
        <v>95.248868778280539</v>
      </c>
      <c r="F147">
        <v>4.5553145336225596</v>
      </c>
      <c r="G147">
        <v>20.5761316872428</v>
      </c>
      <c r="H147">
        <v>61.067193675889328</v>
      </c>
      <c r="I147">
        <v>18.595825426944973</v>
      </c>
      <c r="J147">
        <v>48.888888888888886</v>
      </c>
      <c r="K147">
        <v>17.320089812383451</v>
      </c>
      <c r="L147">
        <v>61.067193675889328</v>
      </c>
      <c r="M147">
        <v>43.990087376324155</v>
      </c>
    </row>
    <row r="148" spans="1:13" x14ac:dyDescent="0.4">
      <c r="A148" t="s">
        <v>488</v>
      </c>
      <c r="B148" t="s">
        <v>489</v>
      </c>
      <c r="C148" t="s">
        <v>43</v>
      </c>
      <c r="D148" s="1">
        <v>39052</v>
      </c>
      <c r="E148">
        <v>27.5</v>
      </c>
      <c r="F148">
        <v>96.330275229357795</v>
      </c>
      <c r="G148">
        <v>46.153846153846153</v>
      </c>
      <c r="H148">
        <v>48.730964467005073</v>
      </c>
      <c r="I148">
        <v>38.990825688073393</v>
      </c>
      <c r="J148">
        <v>77.816901408450704</v>
      </c>
      <c r="K148">
        <v>90.999799175660101</v>
      </c>
      <c r="L148">
        <v>48.730964467005073</v>
      </c>
      <c r="M148">
        <v>37.932426397841652</v>
      </c>
    </row>
    <row r="149" spans="1:13" x14ac:dyDescent="0.4">
      <c r="A149" t="s">
        <v>814</v>
      </c>
      <c r="B149" t="s">
        <v>815</v>
      </c>
      <c r="C149" t="s">
        <v>40</v>
      </c>
      <c r="D149" s="1">
        <v>39057</v>
      </c>
      <c r="E149">
        <v>53.619909502262445</v>
      </c>
      <c r="F149">
        <v>93.926247288503248</v>
      </c>
      <c r="G149">
        <v>50.411522633744859</v>
      </c>
      <c r="H149">
        <v>1.383399209486166</v>
      </c>
      <c r="I149">
        <v>23.719165085388994</v>
      </c>
      <c r="J149">
        <v>93.504273504273499</v>
      </c>
      <c r="K149">
        <v>93.804750192734303</v>
      </c>
      <c r="L149">
        <v>1.383399209486166</v>
      </c>
      <c r="M149">
        <v>43.174364096193493</v>
      </c>
    </row>
    <row r="150" spans="1:13" x14ac:dyDescent="0.4">
      <c r="A150" t="s">
        <v>816</v>
      </c>
      <c r="B150" t="s">
        <v>817</v>
      </c>
      <c r="C150" t="s">
        <v>40</v>
      </c>
      <c r="D150" s="1">
        <v>39057</v>
      </c>
      <c r="E150">
        <v>52.941176470588232</v>
      </c>
      <c r="F150">
        <v>96.746203904555315</v>
      </c>
      <c r="G150">
        <v>93.209876543209873</v>
      </c>
      <c r="H150">
        <v>97.035573122529641</v>
      </c>
      <c r="I150">
        <v>95.066413662239086</v>
      </c>
      <c r="J150">
        <v>41.880341880341881</v>
      </c>
      <c r="K150">
        <v>80.948912361979922</v>
      </c>
      <c r="L150">
        <v>97.035573122529641</v>
      </c>
      <c r="M150">
        <v>80.827774622508116</v>
      </c>
    </row>
    <row r="151" spans="1:13" x14ac:dyDescent="0.4">
      <c r="A151" t="s">
        <v>490</v>
      </c>
      <c r="B151" t="s">
        <v>491</v>
      </c>
      <c r="C151" t="s">
        <v>40</v>
      </c>
      <c r="D151" s="1">
        <v>39063</v>
      </c>
      <c r="E151">
        <v>10.407239819004525</v>
      </c>
      <c r="F151">
        <v>84.381778741865503</v>
      </c>
      <c r="G151">
        <v>77.160493827160494</v>
      </c>
      <c r="H151">
        <v>82.015810276679844</v>
      </c>
      <c r="I151">
        <v>51.233396584440229</v>
      </c>
      <c r="J151">
        <v>15.897435897435898</v>
      </c>
      <c r="K151">
        <v>64.663376622571533</v>
      </c>
      <c r="L151">
        <v>82.015810276679844</v>
      </c>
      <c r="M151">
        <v>47.648838906037888</v>
      </c>
    </row>
    <row r="152" spans="1:13" x14ac:dyDescent="0.4">
      <c r="A152" t="s">
        <v>492</v>
      </c>
      <c r="B152" t="s">
        <v>493</v>
      </c>
      <c r="C152" t="s">
        <v>40</v>
      </c>
      <c r="D152" s="1">
        <v>39066</v>
      </c>
      <c r="E152">
        <v>5.882352941176471</v>
      </c>
      <c r="F152">
        <v>75.70498915401302</v>
      </c>
      <c r="G152">
        <v>90.534979423868307</v>
      </c>
      <c r="H152">
        <v>72.134387351778656</v>
      </c>
      <c r="I152">
        <v>99.051233396584436</v>
      </c>
      <c r="J152">
        <v>60.854700854700852</v>
      </c>
      <c r="K152">
        <v>71.429209550805496</v>
      </c>
      <c r="L152">
        <v>72.134387351778656</v>
      </c>
      <c r="M152">
        <v>65.934684274453687</v>
      </c>
    </row>
    <row r="153" spans="1:13" x14ac:dyDescent="0.4">
      <c r="A153" t="s">
        <v>818</v>
      </c>
      <c r="B153" t="s">
        <v>819</v>
      </c>
      <c r="C153" t="s">
        <v>40</v>
      </c>
      <c r="D153" s="1">
        <v>39066</v>
      </c>
      <c r="E153">
        <v>80.31674208144797</v>
      </c>
      <c r="F153">
        <v>95.878524945770067</v>
      </c>
      <c r="G153">
        <v>99.176954732510282</v>
      </c>
      <c r="H153">
        <v>94.466403162055343</v>
      </c>
      <c r="I153">
        <v>73.814041745730549</v>
      </c>
      <c r="J153">
        <v>28.205128205128204</v>
      </c>
      <c r="K153">
        <v>76.393615048309712</v>
      </c>
      <c r="L153">
        <v>94.466403162055343</v>
      </c>
      <c r="M153">
        <v>85.250648911084795</v>
      </c>
    </row>
    <row r="154" spans="1:13" x14ac:dyDescent="0.4">
      <c r="A154" t="s">
        <v>648</v>
      </c>
      <c r="B154" t="s">
        <v>649</v>
      </c>
      <c r="C154" t="s">
        <v>40</v>
      </c>
      <c r="D154" s="1">
        <v>39087</v>
      </c>
      <c r="E154">
        <v>48.41628959276018</v>
      </c>
      <c r="F154">
        <v>46.637744034707161</v>
      </c>
      <c r="G154">
        <v>98.76543209876543</v>
      </c>
      <c r="H154">
        <v>50.395256916996047</v>
      </c>
      <c r="I154">
        <v>80.645161290322577</v>
      </c>
      <c r="J154">
        <v>64.615384615384613</v>
      </c>
      <c r="K154">
        <v>51.813968722022963</v>
      </c>
      <c r="L154">
        <v>50.395256916996047</v>
      </c>
      <c r="M154">
        <v>76.950755695054767</v>
      </c>
    </row>
    <row r="155" spans="1:13" x14ac:dyDescent="0.4">
      <c r="A155" t="s">
        <v>820</v>
      </c>
      <c r="B155" t="s">
        <v>821</v>
      </c>
      <c r="C155" t="s">
        <v>40</v>
      </c>
      <c r="D155" s="1">
        <v>39091</v>
      </c>
      <c r="E155">
        <v>47.058823529411768</v>
      </c>
      <c r="F155">
        <v>83.080260303687638</v>
      </c>
      <c r="G155">
        <v>44.855967078189302</v>
      </c>
      <c r="H155">
        <v>23.715415019762847</v>
      </c>
      <c r="I155">
        <v>75.142314990512332</v>
      </c>
      <c r="J155">
        <v>93.333333333333329</v>
      </c>
      <c r="K155">
        <v>86.032383497981911</v>
      </c>
      <c r="L155">
        <v>23.715415019762847</v>
      </c>
      <c r="M155">
        <v>54.947752358895649</v>
      </c>
    </row>
    <row r="156" spans="1:13" x14ac:dyDescent="0.4">
      <c r="A156" t="s">
        <v>822</v>
      </c>
      <c r="B156" t="s">
        <v>823</v>
      </c>
      <c r="C156" t="s">
        <v>40</v>
      </c>
      <c r="D156" s="1">
        <v>39098</v>
      </c>
      <c r="E156">
        <v>16.063348416289593</v>
      </c>
      <c r="F156">
        <v>29.934924078091107</v>
      </c>
      <c r="G156">
        <v>26.131687242798353</v>
      </c>
      <c r="H156">
        <v>24.110671936758894</v>
      </c>
      <c r="I156">
        <v>59.582542694497157</v>
      </c>
      <c r="J156">
        <v>61.36752136752137</v>
      </c>
      <c r="K156">
        <v>38.985176548422416</v>
      </c>
      <c r="L156">
        <v>24.110671936758894</v>
      </c>
      <c r="M156">
        <v>33.255357598849947</v>
      </c>
    </row>
    <row r="157" spans="1:13" x14ac:dyDescent="0.4">
      <c r="A157" t="s">
        <v>824</v>
      </c>
      <c r="B157" t="s">
        <v>825</v>
      </c>
      <c r="C157" t="s">
        <v>40</v>
      </c>
      <c r="D157" s="1">
        <v>39101</v>
      </c>
      <c r="E157">
        <v>3.3936651583710407</v>
      </c>
      <c r="F157">
        <v>93.492407809110631</v>
      </c>
      <c r="G157">
        <v>54.732510288065846</v>
      </c>
      <c r="H157">
        <v>99.407114624505923</v>
      </c>
      <c r="I157">
        <v>63.757115749525617</v>
      </c>
      <c r="J157">
        <v>53.333333333333336</v>
      </c>
      <c r="K157">
        <v>81.929578316084971</v>
      </c>
      <c r="L157">
        <v>99.407114624505923</v>
      </c>
      <c r="M157">
        <v>41.009093391690456</v>
      </c>
    </row>
    <row r="158" spans="1:13" x14ac:dyDescent="0.4">
      <c r="A158" t="s">
        <v>826</v>
      </c>
      <c r="B158" t="s">
        <v>827</v>
      </c>
      <c r="C158" t="s">
        <v>40</v>
      </c>
      <c r="D158" s="1">
        <v>39106</v>
      </c>
      <c r="E158">
        <v>72.171945701357473</v>
      </c>
      <c r="F158">
        <v>35.574837310195228</v>
      </c>
      <c r="G158">
        <v>22.427983539094651</v>
      </c>
      <c r="H158">
        <v>22.92490118577075</v>
      </c>
      <c r="I158">
        <v>43.263757115749527</v>
      </c>
      <c r="J158">
        <v>58.119658119658119</v>
      </c>
      <c r="K158">
        <v>42.066070546356372</v>
      </c>
      <c r="L158">
        <v>22.92490118577075</v>
      </c>
      <c r="M158">
        <v>44.8892170056046</v>
      </c>
    </row>
    <row r="159" spans="1:13" x14ac:dyDescent="0.4">
      <c r="A159" t="s">
        <v>828</v>
      </c>
      <c r="B159" t="s">
        <v>829</v>
      </c>
      <c r="C159" t="s">
        <v>40</v>
      </c>
      <c r="D159" s="1">
        <v>39111</v>
      </c>
      <c r="E159">
        <v>78.733031674208149</v>
      </c>
      <c r="F159">
        <v>9.1106290672451191</v>
      </c>
      <c r="G159">
        <v>33.333333333333336</v>
      </c>
      <c r="H159">
        <v>20.553359683794465</v>
      </c>
      <c r="I159">
        <v>40.037950664136623</v>
      </c>
      <c r="J159">
        <v>45.811965811965813</v>
      </c>
      <c r="K159">
        <v>19.677887015415472</v>
      </c>
      <c r="L159">
        <v>20.553359683794465</v>
      </c>
      <c r="M159">
        <v>50.018757666315842</v>
      </c>
    </row>
    <row r="160" spans="1:13" x14ac:dyDescent="0.4">
      <c r="A160" t="s">
        <v>830</v>
      </c>
      <c r="B160" t="s">
        <v>831</v>
      </c>
      <c r="C160" t="s">
        <v>40</v>
      </c>
      <c r="D160" s="1">
        <v>39125</v>
      </c>
      <c r="E160">
        <v>92.081447963800912</v>
      </c>
      <c r="F160">
        <v>56.61605206073753</v>
      </c>
      <c r="G160">
        <v>62.757201646090536</v>
      </c>
      <c r="H160">
        <v>13.438735177865613</v>
      </c>
      <c r="I160">
        <v>36.242884250474383</v>
      </c>
      <c r="J160">
        <v>65.982905982905976</v>
      </c>
      <c r="K160">
        <v>59.313010001176124</v>
      </c>
      <c r="L160">
        <v>13.438735177865613</v>
      </c>
      <c r="M160">
        <v>63.978510323123437</v>
      </c>
    </row>
    <row r="161" spans="1:13" x14ac:dyDescent="0.4">
      <c r="A161" t="s">
        <v>360</v>
      </c>
      <c r="B161" t="s">
        <v>361</v>
      </c>
      <c r="C161" t="s">
        <v>40</v>
      </c>
      <c r="D161" s="1">
        <v>39142</v>
      </c>
      <c r="E161">
        <v>58.823529411764703</v>
      </c>
      <c r="F161">
        <v>37.093275488069416</v>
      </c>
      <c r="G161">
        <v>63.991769547325106</v>
      </c>
      <c r="H161">
        <v>49.209486166007906</v>
      </c>
      <c r="I161">
        <v>65.844402277039848</v>
      </c>
      <c r="J161">
        <v>61.880341880341881</v>
      </c>
      <c r="K161">
        <v>44.230108845596781</v>
      </c>
      <c r="L161">
        <v>49.209486166007906</v>
      </c>
      <c r="M161">
        <v>62.902744763270519</v>
      </c>
    </row>
    <row r="162" spans="1:13" x14ac:dyDescent="0.4">
      <c r="A162" t="s">
        <v>832</v>
      </c>
      <c r="B162" t="s">
        <v>833</v>
      </c>
      <c r="C162" t="s">
        <v>40</v>
      </c>
      <c r="D162" s="1">
        <v>39149</v>
      </c>
      <c r="E162">
        <v>78.280542986425345</v>
      </c>
      <c r="F162">
        <v>80.26030368763557</v>
      </c>
      <c r="G162">
        <v>68.518518518518519</v>
      </c>
      <c r="H162">
        <v>24.901185770750988</v>
      </c>
      <c r="I162">
        <v>45.351043643263758</v>
      </c>
      <c r="J162">
        <v>25.811965811965813</v>
      </c>
      <c r="K162">
        <v>64.58322807637461</v>
      </c>
      <c r="L162">
        <v>24.901185770750988</v>
      </c>
      <c r="M162">
        <v>64.482165156288801</v>
      </c>
    </row>
    <row r="163" spans="1:13" x14ac:dyDescent="0.4">
      <c r="A163" t="s">
        <v>204</v>
      </c>
      <c r="B163" t="s">
        <v>205</v>
      </c>
      <c r="C163" t="s">
        <v>40</v>
      </c>
      <c r="D163" s="1">
        <v>39153</v>
      </c>
      <c r="E163">
        <v>13.122171945701357</v>
      </c>
      <c r="F163">
        <v>21.041214750542299</v>
      </c>
      <c r="G163">
        <v>48.76543209876543</v>
      </c>
      <c r="H163">
        <v>2.5691699604743081</v>
      </c>
      <c r="I163">
        <v>4.9335863377609108</v>
      </c>
      <c r="J163">
        <v>69.401709401709397</v>
      </c>
      <c r="K163">
        <v>34.965443860630657</v>
      </c>
      <c r="L163">
        <v>2.5691699604743081</v>
      </c>
      <c r="M163">
        <v>23.717005025470684</v>
      </c>
    </row>
    <row r="164" spans="1:13" x14ac:dyDescent="0.4">
      <c r="A164" t="s">
        <v>834</v>
      </c>
      <c r="B164" t="s">
        <v>835</v>
      </c>
      <c r="C164" t="s">
        <v>40</v>
      </c>
      <c r="D164" s="1">
        <v>39154</v>
      </c>
      <c r="E164">
        <v>45.701357466063349</v>
      </c>
      <c r="F164">
        <v>97.613882863340564</v>
      </c>
      <c r="G164">
        <v>38.68312757201646</v>
      </c>
      <c r="H164">
        <v>76.877470355731219</v>
      </c>
      <c r="I164">
        <v>3.6053130929791273</v>
      </c>
      <c r="J164">
        <v>99.487179487179489</v>
      </c>
      <c r="K164">
        <v>98.153253098687387</v>
      </c>
      <c r="L164">
        <v>76.877470355731219</v>
      </c>
      <c r="M164">
        <v>30.073976724442232</v>
      </c>
    </row>
    <row r="165" spans="1:13" x14ac:dyDescent="0.4">
      <c r="A165" t="s">
        <v>836</v>
      </c>
      <c r="B165" t="s">
        <v>837</v>
      </c>
      <c r="C165" t="s">
        <v>40</v>
      </c>
      <c r="D165" s="1">
        <v>39160</v>
      </c>
      <c r="E165">
        <v>52.036199095022624</v>
      </c>
      <c r="F165">
        <v>50.759219088937094</v>
      </c>
      <c r="G165">
        <v>67.489711934156375</v>
      </c>
      <c r="H165">
        <v>93.873517786561266</v>
      </c>
      <c r="I165">
        <v>53.700189753320686</v>
      </c>
      <c r="J165">
        <v>31.794871794871796</v>
      </c>
      <c r="K165">
        <v>45.2988961838347</v>
      </c>
      <c r="L165">
        <v>93.873517786561266</v>
      </c>
      <c r="M165">
        <v>58.245117199032663</v>
      </c>
    </row>
    <row r="166" spans="1:13" x14ac:dyDescent="0.4">
      <c r="A166" t="s">
        <v>838</v>
      </c>
      <c r="B166" t="s">
        <v>839</v>
      </c>
      <c r="C166" t="s">
        <v>40</v>
      </c>
      <c r="D166" s="1">
        <v>39163</v>
      </c>
      <c r="E166">
        <v>61.312217194570138</v>
      </c>
      <c r="F166">
        <v>52.060737527114966</v>
      </c>
      <c r="G166">
        <v>51.23456790123457</v>
      </c>
      <c r="H166">
        <v>59.288537549407117</v>
      </c>
      <c r="I166">
        <v>32.827324478178369</v>
      </c>
      <c r="J166">
        <v>50.085470085470085</v>
      </c>
      <c r="K166">
        <v>51.492007273019077</v>
      </c>
      <c r="L166">
        <v>59.28853754940711</v>
      </c>
      <c r="M166">
        <v>48.774533945894511</v>
      </c>
    </row>
    <row r="167" spans="1:13" x14ac:dyDescent="0.4">
      <c r="A167" t="s">
        <v>840</v>
      </c>
      <c r="B167" t="s">
        <v>841</v>
      </c>
      <c r="C167" t="s">
        <v>40</v>
      </c>
      <c r="D167" s="1">
        <v>39171</v>
      </c>
      <c r="E167">
        <v>87.556561085972845</v>
      </c>
      <c r="F167">
        <v>36.225596529284168</v>
      </c>
      <c r="G167">
        <v>66.049382716049379</v>
      </c>
      <c r="H167">
        <v>58.102766798418969</v>
      </c>
      <c r="I167">
        <v>63.37760910815939</v>
      </c>
      <c r="J167">
        <v>23.760683760683762</v>
      </c>
      <c r="K167">
        <v>32.636627837396126</v>
      </c>
      <c r="L167">
        <v>58.102766798418976</v>
      </c>
      <c r="M167">
        <v>72.142016229286114</v>
      </c>
    </row>
    <row r="168" spans="1:13" x14ac:dyDescent="0.4">
      <c r="A168" t="s">
        <v>494</v>
      </c>
      <c r="B168" t="s">
        <v>495</v>
      </c>
      <c r="C168" t="s">
        <v>64</v>
      </c>
      <c r="D168" s="1">
        <v>39174</v>
      </c>
      <c r="E168">
        <v>15.075376884422111</v>
      </c>
      <c r="F168">
        <v>89.934354485776808</v>
      </c>
      <c r="G168">
        <v>37.150127226463106</v>
      </c>
      <c r="H168">
        <v>31.116584564860428</v>
      </c>
      <c r="I168">
        <v>5.1525423728813555</v>
      </c>
      <c r="J168">
        <v>90.440324449594442</v>
      </c>
      <c r="K168">
        <v>90.080036240064857</v>
      </c>
      <c r="L168">
        <v>31.116584564860425</v>
      </c>
      <c r="M168">
        <v>20.134000050522079</v>
      </c>
    </row>
    <row r="169" spans="1:13" x14ac:dyDescent="0.4">
      <c r="A169" t="s">
        <v>270</v>
      </c>
      <c r="B169" t="s">
        <v>271</v>
      </c>
      <c r="C169" t="s">
        <v>40</v>
      </c>
      <c r="D169" s="1">
        <v>39181</v>
      </c>
      <c r="E169">
        <v>95.927601809954751</v>
      </c>
      <c r="F169">
        <v>15.401301518438178</v>
      </c>
      <c r="G169">
        <v>56.172839506172842</v>
      </c>
      <c r="H169">
        <v>35.573122529644266</v>
      </c>
      <c r="I169">
        <v>51.992409867172675</v>
      </c>
      <c r="J169">
        <v>45.470085470085472</v>
      </c>
      <c r="K169">
        <v>24.05887708346356</v>
      </c>
      <c r="L169">
        <v>35.573122529644266</v>
      </c>
      <c r="M169">
        <v>67.669609581790411</v>
      </c>
    </row>
    <row r="170" spans="1:13" x14ac:dyDescent="0.4">
      <c r="A170" t="s">
        <v>496</v>
      </c>
      <c r="B170" t="s">
        <v>497</v>
      </c>
      <c r="C170" t="s">
        <v>64</v>
      </c>
      <c r="D170" s="1">
        <v>39181</v>
      </c>
      <c r="E170">
        <v>14.07035175879397</v>
      </c>
      <c r="F170">
        <v>56.017505470459518</v>
      </c>
      <c r="G170">
        <v>17.684478371501271</v>
      </c>
      <c r="H170">
        <v>43.02134646962233</v>
      </c>
      <c r="I170">
        <v>17.694915254237287</v>
      </c>
      <c r="J170">
        <v>74.101969872537666</v>
      </c>
      <c r="K170">
        <v>61.224487480964989</v>
      </c>
      <c r="L170">
        <v>43.02134646962233</v>
      </c>
      <c r="M170">
        <v>16.52479307701606</v>
      </c>
    </row>
    <row r="171" spans="1:13" x14ac:dyDescent="0.4">
      <c r="A171" t="s">
        <v>842</v>
      </c>
      <c r="B171" t="s">
        <v>843</v>
      </c>
      <c r="C171" t="s">
        <v>40</v>
      </c>
      <c r="D171" s="1">
        <v>39182</v>
      </c>
      <c r="E171">
        <v>32.579185520361989</v>
      </c>
      <c r="F171">
        <v>33.622559652928416</v>
      </c>
      <c r="G171">
        <v>24.897119341563787</v>
      </c>
      <c r="H171">
        <v>82.21343873517786</v>
      </c>
      <c r="I171">
        <v>81.59392789373814</v>
      </c>
      <c r="J171">
        <v>26.837606837606838</v>
      </c>
      <c r="K171">
        <v>31.668997387216628</v>
      </c>
      <c r="L171">
        <v>82.21343873517786</v>
      </c>
      <c r="M171">
        <v>44.934139936192814</v>
      </c>
    </row>
    <row r="172" spans="1:13" x14ac:dyDescent="0.4">
      <c r="A172" t="s">
        <v>844</v>
      </c>
      <c r="B172" t="s">
        <v>845</v>
      </c>
      <c r="C172" t="s">
        <v>40</v>
      </c>
      <c r="D172" s="1">
        <v>39183</v>
      </c>
      <c r="E172">
        <v>66.515837104072403</v>
      </c>
      <c r="F172">
        <v>54.013015184381779</v>
      </c>
      <c r="G172">
        <v>50.823045267489711</v>
      </c>
      <c r="H172">
        <v>54.940711462450594</v>
      </c>
      <c r="I172">
        <v>57.495256166982919</v>
      </c>
      <c r="J172">
        <v>62.051282051282051</v>
      </c>
      <c r="K172">
        <v>56.327438771445941</v>
      </c>
      <c r="L172">
        <v>54.940711462450601</v>
      </c>
      <c r="M172">
        <v>57.939628553386228</v>
      </c>
    </row>
    <row r="173" spans="1:13" x14ac:dyDescent="0.4">
      <c r="A173" t="s">
        <v>846</v>
      </c>
      <c r="B173" t="s">
        <v>847</v>
      </c>
      <c r="C173" t="s">
        <v>40</v>
      </c>
      <c r="D173" s="1">
        <v>39184</v>
      </c>
      <c r="E173">
        <v>50.452488687782804</v>
      </c>
      <c r="F173">
        <v>94.143167028199571</v>
      </c>
      <c r="G173">
        <v>56.378600823045268</v>
      </c>
      <c r="H173">
        <v>91.501976284584984</v>
      </c>
      <c r="I173">
        <v>73.624288425047439</v>
      </c>
      <c r="J173">
        <v>5.299145299145299</v>
      </c>
      <c r="K173">
        <v>68.562690183611181</v>
      </c>
      <c r="L173">
        <v>91.501976284584984</v>
      </c>
      <c r="M173">
        <v>59.814616283012917</v>
      </c>
    </row>
    <row r="174" spans="1:13" x14ac:dyDescent="0.4">
      <c r="A174" t="s">
        <v>848</v>
      </c>
      <c r="B174" t="s">
        <v>849</v>
      </c>
      <c r="C174" t="s">
        <v>40</v>
      </c>
      <c r="D174" s="1">
        <v>39185</v>
      </c>
      <c r="E174">
        <v>62.895927601809952</v>
      </c>
      <c r="F174">
        <v>86.767895878524939</v>
      </c>
      <c r="G174">
        <v>95.061728395061735</v>
      </c>
      <c r="H174">
        <v>7.1146245059288535</v>
      </c>
      <c r="I174">
        <v>61.29032258064516</v>
      </c>
      <c r="J174">
        <v>20.854700854700855</v>
      </c>
      <c r="K174">
        <v>67.789793286526063</v>
      </c>
      <c r="L174">
        <v>7.1146245059288535</v>
      </c>
      <c r="M174">
        <v>74.249055525063383</v>
      </c>
    </row>
    <row r="175" spans="1:13" x14ac:dyDescent="0.4">
      <c r="A175" t="s">
        <v>850</v>
      </c>
      <c r="B175" t="s">
        <v>851</v>
      </c>
      <c r="C175" t="s">
        <v>40</v>
      </c>
      <c r="D175" s="1">
        <v>39191</v>
      </c>
      <c r="E175">
        <v>62.66968325791855</v>
      </c>
      <c r="F175">
        <v>31.23644251626898</v>
      </c>
      <c r="G175">
        <v>40.329218106995881</v>
      </c>
      <c r="H175">
        <v>5.9288537549407119</v>
      </c>
      <c r="I175">
        <v>6.6413662239089186</v>
      </c>
      <c r="J175">
        <v>55.042735042735046</v>
      </c>
      <c r="K175">
        <v>38.090885875282432</v>
      </c>
      <c r="L175">
        <v>5.9288537549407119</v>
      </c>
      <c r="M175">
        <v>37.080930413070853</v>
      </c>
    </row>
    <row r="176" spans="1:13" x14ac:dyDescent="0.4">
      <c r="A176" t="s">
        <v>272</v>
      </c>
      <c r="B176" t="s">
        <v>273</v>
      </c>
      <c r="C176" t="s">
        <v>40</v>
      </c>
      <c r="D176" s="1">
        <v>39196</v>
      </c>
      <c r="E176">
        <v>83.031674208144793</v>
      </c>
      <c r="F176">
        <v>22.776572668112799</v>
      </c>
      <c r="G176">
        <v>60.288065843621396</v>
      </c>
      <c r="H176">
        <v>18.774703557312254</v>
      </c>
      <c r="I176">
        <v>33.776091081593925</v>
      </c>
      <c r="J176">
        <v>81.709401709401703</v>
      </c>
      <c r="K176">
        <v>39.744848522106203</v>
      </c>
      <c r="L176">
        <v>18.774703557312254</v>
      </c>
      <c r="M176">
        <v>59.392646210477473</v>
      </c>
    </row>
    <row r="177" spans="1:13" x14ac:dyDescent="0.4">
      <c r="A177" t="s">
        <v>852</v>
      </c>
      <c r="B177" t="s">
        <v>853</v>
      </c>
      <c r="C177" t="s">
        <v>40</v>
      </c>
      <c r="D177" s="1">
        <v>39197</v>
      </c>
      <c r="E177">
        <v>96.832579185520359</v>
      </c>
      <c r="F177">
        <v>31.019522776572668</v>
      </c>
      <c r="G177">
        <v>58.641975308641975</v>
      </c>
      <c r="H177">
        <v>91.304347826086953</v>
      </c>
      <c r="I177">
        <v>94.497153700189756</v>
      </c>
      <c r="J177">
        <v>76.068376068376068</v>
      </c>
      <c r="K177">
        <v>43.990245241395321</v>
      </c>
      <c r="L177">
        <v>91.304347826086953</v>
      </c>
      <c r="M177">
        <v>82.038821775497425</v>
      </c>
    </row>
    <row r="178" spans="1:13" x14ac:dyDescent="0.4">
      <c r="A178" t="s">
        <v>650</v>
      </c>
      <c r="B178" t="s">
        <v>651</v>
      </c>
      <c r="C178" t="s">
        <v>40</v>
      </c>
      <c r="D178" s="1">
        <v>39199</v>
      </c>
      <c r="E178">
        <v>30.316742081447963</v>
      </c>
      <c r="F178">
        <v>45.553145336225597</v>
      </c>
      <c r="G178">
        <v>75.925925925925924</v>
      </c>
      <c r="H178">
        <v>47.826086956521742</v>
      </c>
      <c r="I178">
        <v>9.1081593927893731</v>
      </c>
      <c r="J178">
        <v>78.461538461538467</v>
      </c>
      <c r="K178">
        <v>55.028317350634566</v>
      </c>
      <c r="L178">
        <v>47.826086956521742</v>
      </c>
      <c r="M178">
        <v>40.549524028501352</v>
      </c>
    </row>
    <row r="179" spans="1:13" x14ac:dyDescent="0.4">
      <c r="A179" t="s">
        <v>498</v>
      </c>
      <c r="B179" t="s">
        <v>499</v>
      </c>
      <c r="C179" t="s">
        <v>40</v>
      </c>
      <c r="D179" s="1">
        <v>39202</v>
      </c>
      <c r="E179">
        <v>3.1674208144796379</v>
      </c>
      <c r="F179">
        <v>98.915401301518443</v>
      </c>
      <c r="G179">
        <v>76.543209876543216</v>
      </c>
      <c r="H179">
        <v>75.691699604743079</v>
      </c>
      <c r="I179">
        <v>29.411764705882351</v>
      </c>
      <c r="J179">
        <v>38.29059829059829</v>
      </c>
      <c r="K179">
        <v>81.459962663699329</v>
      </c>
      <c r="L179">
        <v>75.691699604743079</v>
      </c>
      <c r="M179">
        <v>38.331330023796482</v>
      </c>
    </row>
    <row r="180" spans="1:13" x14ac:dyDescent="0.4">
      <c r="A180" t="s">
        <v>134</v>
      </c>
      <c r="B180" t="s">
        <v>135</v>
      </c>
      <c r="C180" t="s">
        <v>40</v>
      </c>
      <c r="D180" s="1">
        <v>39216</v>
      </c>
      <c r="E180">
        <v>73.755656108597279</v>
      </c>
      <c r="F180">
        <v>4.7722342733188716</v>
      </c>
      <c r="G180">
        <v>11.316872427983538</v>
      </c>
      <c r="H180">
        <v>23.913043478260871</v>
      </c>
      <c r="I180">
        <v>21.25237191650854</v>
      </c>
      <c r="J180">
        <v>77.606837606837601</v>
      </c>
      <c r="K180">
        <v>25.743188174301046</v>
      </c>
      <c r="L180">
        <v>23.913043478260871</v>
      </c>
      <c r="M180">
        <v>34.485924075846064</v>
      </c>
    </row>
    <row r="181" spans="1:13" x14ac:dyDescent="0.4">
      <c r="A181" t="s">
        <v>362</v>
      </c>
      <c r="B181" t="s">
        <v>363</v>
      </c>
      <c r="C181" t="s">
        <v>40</v>
      </c>
      <c r="D181" s="1">
        <v>39217</v>
      </c>
      <c r="E181">
        <v>53.393665158371043</v>
      </c>
      <c r="F181">
        <v>64.208242950108456</v>
      </c>
      <c r="G181">
        <v>44.650205761316876</v>
      </c>
      <c r="H181">
        <v>56.916996047430828</v>
      </c>
      <c r="I181">
        <v>94.307400379506646</v>
      </c>
      <c r="J181">
        <v>79.145299145299148</v>
      </c>
      <c r="K181">
        <v>68.509005260178839</v>
      </c>
      <c r="L181">
        <v>56.916996047430828</v>
      </c>
      <c r="M181">
        <v>62.847818182272285</v>
      </c>
    </row>
    <row r="182" spans="1:13" x14ac:dyDescent="0.4">
      <c r="A182" t="s">
        <v>854</v>
      </c>
      <c r="B182" t="s">
        <v>855</v>
      </c>
      <c r="C182" t="s">
        <v>40</v>
      </c>
      <c r="D182" s="1">
        <v>39220</v>
      </c>
      <c r="E182">
        <v>57.918552036199095</v>
      </c>
      <c r="F182">
        <v>36.876355748373101</v>
      </c>
      <c r="G182">
        <v>17.489711934156379</v>
      </c>
      <c r="H182">
        <v>54.347826086956523</v>
      </c>
      <c r="I182">
        <v>50.284629981024665</v>
      </c>
      <c r="J182">
        <v>76.239316239316238</v>
      </c>
      <c r="K182">
        <v>48.209963567746826</v>
      </c>
      <c r="L182">
        <v>54.347826086956523</v>
      </c>
      <c r="M182">
        <v>40.65866140974056</v>
      </c>
    </row>
    <row r="183" spans="1:13" x14ac:dyDescent="0.4">
      <c r="A183" t="s">
        <v>206</v>
      </c>
      <c r="B183" t="s">
        <v>207</v>
      </c>
      <c r="C183" t="s">
        <v>40</v>
      </c>
      <c r="D183" s="1">
        <v>39231</v>
      </c>
      <c r="E183">
        <v>8.1447963800904972</v>
      </c>
      <c r="F183">
        <v>40.780911062906725</v>
      </c>
      <c r="G183">
        <v>82.921810699588477</v>
      </c>
      <c r="H183">
        <v>77.272727272727266</v>
      </c>
      <c r="I183">
        <v>48.197343453510435</v>
      </c>
      <c r="J183">
        <v>30.256410256410255</v>
      </c>
      <c r="K183">
        <v>37.750636836887622</v>
      </c>
      <c r="L183">
        <v>77.272727272727266</v>
      </c>
      <c r="M183">
        <v>48.10284674183827</v>
      </c>
    </row>
    <row r="184" spans="1:13" x14ac:dyDescent="0.4">
      <c r="A184" t="s">
        <v>856</v>
      </c>
      <c r="B184" t="s">
        <v>857</v>
      </c>
      <c r="C184" t="s">
        <v>40</v>
      </c>
      <c r="D184" s="1">
        <v>39245</v>
      </c>
      <c r="E184">
        <v>75.113122171945705</v>
      </c>
      <c r="F184">
        <v>52.711496746203906</v>
      </c>
      <c r="G184">
        <v>76.954732510288068</v>
      </c>
      <c r="H184">
        <v>8.1027667984189726</v>
      </c>
      <c r="I184">
        <v>29.791271347248578</v>
      </c>
      <c r="J184">
        <v>48.376068376068375</v>
      </c>
      <c r="K184">
        <v>51.463215512697388</v>
      </c>
      <c r="L184">
        <v>8.1027667984189726</v>
      </c>
      <c r="M184">
        <v>61.750510474114243</v>
      </c>
    </row>
    <row r="185" spans="1:13" x14ac:dyDescent="0.4">
      <c r="A185" t="s">
        <v>274</v>
      </c>
      <c r="B185" t="s">
        <v>275</v>
      </c>
      <c r="C185" t="s">
        <v>40</v>
      </c>
      <c r="D185" s="1">
        <v>39246</v>
      </c>
      <c r="E185">
        <v>85.520361990950221</v>
      </c>
      <c r="F185">
        <v>7.809110629067245</v>
      </c>
      <c r="G185">
        <v>61.522633744855966</v>
      </c>
      <c r="H185">
        <v>57.114624505928852</v>
      </c>
      <c r="I185">
        <v>40.79696394686907</v>
      </c>
      <c r="J185">
        <v>88.547008547008545</v>
      </c>
      <c r="K185">
        <v>31.055626128660254</v>
      </c>
      <c r="L185">
        <v>57.114624505928852</v>
      </c>
      <c r="M185">
        <v>62.823399798110444</v>
      </c>
    </row>
    <row r="186" spans="1:13" x14ac:dyDescent="0.4">
      <c r="A186" t="s">
        <v>858</v>
      </c>
      <c r="B186" t="s">
        <v>859</v>
      </c>
      <c r="C186" t="s">
        <v>40</v>
      </c>
      <c r="D186" s="1">
        <v>39247</v>
      </c>
      <c r="E186">
        <v>82.579185520361989</v>
      </c>
      <c r="F186">
        <v>40.997830802603033</v>
      </c>
      <c r="G186">
        <v>59.053497942386834</v>
      </c>
      <c r="H186">
        <v>55.731225296442688</v>
      </c>
      <c r="I186">
        <v>81.21442125237192</v>
      </c>
      <c r="J186">
        <v>55.384615384615387</v>
      </c>
      <c r="K186">
        <v>45.140155775132904</v>
      </c>
      <c r="L186">
        <v>55.731225296442688</v>
      </c>
      <c r="M186">
        <v>73.489011214828764</v>
      </c>
    </row>
    <row r="187" spans="1:13" x14ac:dyDescent="0.4">
      <c r="A187" t="s">
        <v>860</v>
      </c>
      <c r="B187" t="s">
        <v>861</v>
      </c>
      <c r="C187" t="s">
        <v>40</v>
      </c>
      <c r="D187" s="1">
        <v>39251</v>
      </c>
      <c r="E187">
        <v>48.868778280542983</v>
      </c>
      <c r="F187">
        <v>84.164859002169194</v>
      </c>
      <c r="G187">
        <v>22.222222222222221</v>
      </c>
      <c r="H187">
        <v>6.7193675889328066</v>
      </c>
      <c r="I187">
        <v>4.1745730550284632</v>
      </c>
      <c r="J187">
        <v>88.034188034188034</v>
      </c>
      <c r="K187">
        <v>85.278938259066265</v>
      </c>
      <c r="L187">
        <v>6.7193675889328066</v>
      </c>
      <c r="M187">
        <v>25.204976343496266</v>
      </c>
    </row>
    <row r="188" spans="1:13" x14ac:dyDescent="0.4">
      <c r="A188" t="s">
        <v>862</v>
      </c>
      <c r="B188" t="s">
        <v>863</v>
      </c>
      <c r="C188" t="s">
        <v>40</v>
      </c>
      <c r="D188" s="1">
        <v>39269</v>
      </c>
      <c r="E188">
        <v>40.04524886877828</v>
      </c>
      <c r="F188">
        <v>87.85249457700651</v>
      </c>
      <c r="G188">
        <v>75.514403292181072</v>
      </c>
      <c r="H188">
        <v>87.944664031620547</v>
      </c>
      <c r="I188">
        <v>64.705882352941174</v>
      </c>
      <c r="J188">
        <v>14.188034188034187</v>
      </c>
      <c r="K188">
        <v>66.642603505259061</v>
      </c>
      <c r="L188">
        <v>87.944664031620547</v>
      </c>
      <c r="M188">
        <v>60.752908719024994</v>
      </c>
    </row>
    <row r="189" spans="1:13" x14ac:dyDescent="0.4">
      <c r="A189" t="s">
        <v>864</v>
      </c>
      <c r="B189" t="s">
        <v>865</v>
      </c>
      <c r="C189" t="s">
        <v>40</v>
      </c>
      <c r="D189" s="1">
        <v>39274</v>
      </c>
      <c r="E189">
        <v>70.814479638009047</v>
      </c>
      <c r="F189">
        <v>82.429501084598698</v>
      </c>
      <c r="G189">
        <v>79.218106995884767</v>
      </c>
      <c r="H189">
        <v>78.853754940711468</v>
      </c>
      <c r="I189">
        <v>76.280834914611006</v>
      </c>
      <c r="J189">
        <v>97.435897435897431</v>
      </c>
      <c r="K189">
        <v>86.750228207418459</v>
      </c>
      <c r="L189">
        <v>78.853754940711468</v>
      </c>
      <c r="M189">
        <v>75.604076818470318</v>
      </c>
    </row>
    <row r="190" spans="1:13" x14ac:dyDescent="0.4">
      <c r="A190" t="s">
        <v>866</v>
      </c>
      <c r="B190" t="s">
        <v>867</v>
      </c>
      <c r="C190" t="s">
        <v>40</v>
      </c>
      <c r="D190" s="1">
        <v>39281</v>
      </c>
      <c r="E190">
        <v>74.886877828054295</v>
      </c>
      <c r="F190">
        <v>95.227765726681127</v>
      </c>
      <c r="G190">
        <v>64.197530864197532</v>
      </c>
      <c r="H190">
        <v>63.43873517786561</v>
      </c>
      <c r="I190">
        <v>24.288425047438331</v>
      </c>
      <c r="J190">
        <v>87.692307692307693</v>
      </c>
      <c r="K190">
        <v>93.058113722976088</v>
      </c>
      <c r="L190">
        <v>63.43873517786561</v>
      </c>
      <c r="M190">
        <v>55.272860920102836</v>
      </c>
    </row>
    <row r="191" spans="1:13" x14ac:dyDescent="0.4">
      <c r="A191" t="s">
        <v>276</v>
      </c>
      <c r="B191" t="s">
        <v>277</v>
      </c>
      <c r="C191" t="s">
        <v>40</v>
      </c>
      <c r="D191" s="1">
        <v>39296</v>
      </c>
      <c r="E191">
        <v>74.660633484162901</v>
      </c>
      <c r="F191">
        <v>9.3275488069414312</v>
      </c>
      <c r="G191">
        <v>45.267489711934154</v>
      </c>
      <c r="H191">
        <v>3.1620553359683794</v>
      </c>
      <c r="I191">
        <v>1.5180265654648957</v>
      </c>
      <c r="J191">
        <v>90.598290598290603</v>
      </c>
      <c r="K191">
        <v>32.727483749961472</v>
      </c>
      <c r="L191">
        <v>3.1620553359683794</v>
      </c>
      <c r="M191">
        <v>41.171370955706877</v>
      </c>
    </row>
    <row r="192" spans="1:13" x14ac:dyDescent="0.4">
      <c r="A192" t="s">
        <v>868</v>
      </c>
      <c r="B192" t="s">
        <v>869</v>
      </c>
      <c r="C192" t="s">
        <v>40</v>
      </c>
      <c r="D192" s="1">
        <v>39297</v>
      </c>
      <c r="E192">
        <v>59.95475113122172</v>
      </c>
      <c r="F192">
        <v>98.047722342733195</v>
      </c>
      <c r="G192">
        <v>84.773662551440324</v>
      </c>
      <c r="H192">
        <v>52.964426877470359</v>
      </c>
      <c r="I192">
        <v>37.571157495256166</v>
      </c>
      <c r="J192">
        <v>49.230769230769234</v>
      </c>
      <c r="K192">
        <v>83.992067112353482</v>
      </c>
      <c r="L192">
        <v>52.964426877470359</v>
      </c>
      <c r="M192">
        <v>62.163930516044985</v>
      </c>
    </row>
    <row r="193" spans="1:13" x14ac:dyDescent="0.4">
      <c r="A193" t="s">
        <v>278</v>
      </c>
      <c r="B193" t="s">
        <v>279</v>
      </c>
      <c r="C193" t="s">
        <v>40</v>
      </c>
      <c r="D193" s="1">
        <v>39300</v>
      </c>
      <c r="E193">
        <v>72.850678733031671</v>
      </c>
      <c r="F193">
        <v>23.427331887201735</v>
      </c>
      <c r="G193">
        <v>40.534979423868315</v>
      </c>
      <c r="H193">
        <v>9.2885375494071152</v>
      </c>
      <c r="I193">
        <v>12.523719165085389</v>
      </c>
      <c r="J193">
        <v>90.940170940170944</v>
      </c>
      <c r="K193">
        <v>42.866013100595353</v>
      </c>
      <c r="L193">
        <v>9.2885375494071152</v>
      </c>
      <c r="M193">
        <v>42.25508314054315</v>
      </c>
    </row>
    <row r="194" spans="1:13" x14ac:dyDescent="0.4">
      <c r="A194" t="s">
        <v>870</v>
      </c>
      <c r="B194" t="s">
        <v>871</v>
      </c>
      <c r="C194" t="s">
        <v>40</v>
      </c>
      <c r="D194" s="1">
        <v>39302</v>
      </c>
      <c r="E194">
        <v>64.25339366515837</v>
      </c>
      <c r="F194">
        <v>39.045553145336228</v>
      </c>
      <c r="G194">
        <v>45.679012345679013</v>
      </c>
      <c r="H194">
        <v>20.948616600790515</v>
      </c>
      <c r="I194">
        <v>60.151802656546487</v>
      </c>
      <c r="J194">
        <v>23.076923076923077</v>
      </c>
      <c r="K194">
        <v>34.447774209229657</v>
      </c>
      <c r="L194">
        <v>20.948616600790515</v>
      </c>
      <c r="M194">
        <v>56.139492328280234</v>
      </c>
    </row>
    <row r="195" spans="1:13" x14ac:dyDescent="0.4">
      <c r="A195" t="s">
        <v>872</v>
      </c>
      <c r="B195" t="s">
        <v>873</v>
      </c>
      <c r="C195" t="s">
        <v>40</v>
      </c>
      <c r="D195" s="1">
        <v>39311</v>
      </c>
      <c r="E195">
        <v>32.805429864253391</v>
      </c>
      <c r="F195">
        <v>82.212581344902389</v>
      </c>
      <c r="G195">
        <v>72.016460905349788</v>
      </c>
      <c r="H195">
        <v>99.011857707509876</v>
      </c>
      <c r="I195">
        <v>81.97343453510436</v>
      </c>
      <c r="J195">
        <v>51.452991452991455</v>
      </c>
      <c r="K195">
        <v>73.356104998315033</v>
      </c>
      <c r="L195">
        <v>99.011857707509876</v>
      </c>
      <c r="M195">
        <v>62.484270498712824</v>
      </c>
    </row>
    <row r="196" spans="1:13" x14ac:dyDescent="0.4">
      <c r="A196" t="s">
        <v>280</v>
      </c>
      <c r="B196" t="s">
        <v>281</v>
      </c>
      <c r="C196" t="s">
        <v>40</v>
      </c>
      <c r="D196" s="1">
        <v>39318</v>
      </c>
      <c r="E196">
        <v>63.800904977375566</v>
      </c>
      <c r="F196">
        <v>12.581344902386117</v>
      </c>
      <c r="G196">
        <v>29.218106995884774</v>
      </c>
      <c r="H196">
        <v>51.383399209486164</v>
      </c>
      <c r="I196">
        <v>1.3282732447817838</v>
      </c>
      <c r="J196">
        <v>100</v>
      </c>
      <c r="K196">
        <v>37.751422066714575</v>
      </c>
      <c r="L196">
        <v>51.383399209486164</v>
      </c>
      <c r="M196">
        <v>31.705314789527538</v>
      </c>
    </row>
    <row r="197" spans="1:13" x14ac:dyDescent="0.4">
      <c r="A197" t="s">
        <v>282</v>
      </c>
      <c r="B197" t="s">
        <v>283</v>
      </c>
      <c r="C197" t="s">
        <v>40</v>
      </c>
      <c r="D197" s="1">
        <v>39335</v>
      </c>
      <c r="E197">
        <v>94.796380090497735</v>
      </c>
      <c r="F197">
        <v>16.052060737527114</v>
      </c>
      <c r="G197">
        <v>60.08230452674897</v>
      </c>
      <c r="H197">
        <v>85.968379446640313</v>
      </c>
      <c r="I197">
        <v>96.204933586337759</v>
      </c>
      <c r="J197">
        <v>38.63247863247863</v>
      </c>
      <c r="K197">
        <v>22.553543289324299</v>
      </c>
      <c r="L197">
        <v>85.968379446640313</v>
      </c>
      <c r="M197">
        <v>82.443365834263233</v>
      </c>
    </row>
    <row r="198" spans="1:13" x14ac:dyDescent="0.4">
      <c r="A198" t="s">
        <v>874</v>
      </c>
      <c r="B198" t="s">
        <v>875</v>
      </c>
      <c r="C198" t="s">
        <v>40</v>
      </c>
      <c r="D198" s="1">
        <v>39380</v>
      </c>
      <c r="E198">
        <v>83.9366515837104</v>
      </c>
      <c r="F198">
        <v>5.8568329718004337</v>
      </c>
      <c r="G198">
        <v>73.86831275720165</v>
      </c>
      <c r="H198">
        <v>42.687747035573125</v>
      </c>
      <c r="I198">
        <v>62.049335863377607</v>
      </c>
      <c r="J198">
        <v>88.888888888888886</v>
      </c>
      <c r="K198">
        <v>29.76389551139556</v>
      </c>
      <c r="L198">
        <v>42.687747035573125</v>
      </c>
      <c r="M198">
        <v>73.446384681639955</v>
      </c>
    </row>
    <row r="199" spans="1:13" x14ac:dyDescent="0.4">
      <c r="A199" t="s">
        <v>500</v>
      </c>
      <c r="B199" t="s">
        <v>501</v>
      </c>
      <c r="C199" t="s">
        <v>40</v>
      </c>
      <c r="D199" s="1">
        <v>39395</v>
      </c>
      <c r="E199">
        <v>20.588235294117649</v>
      </c>
      <c r="F199">
        <v>81.344902386117141</v>
      </c>
      <c r="G199">
        <v>55.761316872427983</v>
      </c>
      <c r="H199">
        <v>15.217391304347826</v>
      </c>
      <c r="I199">
        <v>43.07400379506641</v>
      </c>
      <c r="J199">
        <v>44.444444444444443</v>
      </c>
      <c r="K199">
        <v>70.720312328607662</v>
      </c>
      <c r="L199">
        <v>15.217391304347824</v>
      </c>
      <c r="M199">
        <v>40.513023772425434</v>
      </c>
    </row>
    <row r="200" spans="1:13" x14ac:dyDescent="0.4">
      <c r="A200" t="s">
        <v>876</v>
      </c>
      <c r="B200" t="s">
        <v>877</v>
      </c>
      <c r="C200" t="s">
        <v>40</v>
      </c>
      <c r="D200" s="1">
        <v>39408</v>
      </c>
      <c r="E200">
        <v>41.855203619909503</v>
      </c>
      <c r="F200">
        <v>57.483731019522779</v>
      </c>
      <c r="G200">
        <v>59.670781893004119</v>
      </c>
      <c r="H200">
        <v>29.051383399209485</v>
      </c>
      <c r="I200">
        <v>72.106261859582546</v>
      </c>
      <c r="J200">
        <v>67.863247863247864</v>
      </c>
      <c r="K200">
        <v>60.472260637065915</v>
      </c>
      <c r="L200">
        <v>29.051383399209488</v>
      </c>
      <c r="M200">
        <v>57.790876098603832</v>
      </c>
    </row>
    <row r="201" spans="1:13" x14ac:dyDescent="0.4">
      <c r="A201" t="s">
        <v>53</v>
      </c>
      <c r="B201" t="s">
        <v>54</v>
      </c>
      <c r="C201" t="s">
        <v>40</v>
      </c>
      <c r="D201" s="1">
        <v>39424</v>
      </c>
      <c r="E201">
        <v>28.959276018099548</v>
      </c>
      <c r="F201">
        <v>36.008676789587852</v>
      </c>
      <c r="G201">
        <v>58.02469135802469</v>
      </c>
      <c r="H201">
        <v>21.541501976284586</v>
      </c>
      <c r="I201">
        <v>67.552182163187851</v>
      </c>
      <c r="J201">
        <v>24.444444444444443</v>
      </c>
      <c r="K201">
        <v>32.679037136032633</v>
      </c>
      <c r="L201">
        <v>21.541501976284586</v>
      </c>
      <c r="M201">
        <v>51.624001635653151</v>
      </c>
    </row>
    <row r="202" spans="1:13" x14ac:dyDescent="0.4">
      <c r="A202" t="s">
        <v>502</v>
      </c>
      <c r="B202" t="s">
        <v>503</v>
      </c>
      <c r="C202" t="s">
        <v>40</v>
      </c>
      <c r="D202" s="1">
        <v>39427</v>
      </c>
      <c r="E202">
        <v>17.194570135746606</v>
      </c>
      <c r="F202">
        <v>71.800433839479396</v>
      </c>
      <c r="G202">
        <v>10.08230452674897</v>
      </c>
      <c r="H202">
        <v>19.565217391304348</v>
      </c>
      <c r="I202">
        <v>25.806451612903224</v>
      </c>
      <c r="J202">
        <v>43.931623931623932</v>
      </c>
      <c r="K202">
        <v>63.776287333502445</v>
      </c>
      <c r="L202">
        <v>19.565217391304348</v>
      </c>
      <c r="M202">
        <v>17.242296804421596</v>
      </c>
    </row>
    <row r="203" spans="1:13" x14ac:dyDescent="0.4">
      <c r="A203" t="s">
        <v>504</v>
      </c>
      <c r="B203" t="s">
        <v>505</v>
      </c>
      <c r="C203" t="s">
        <v>40</v>
      </c>
      <c r="D203" s="1">
        <v>39434</v>
      </c>
      <c r="E203">
        <v>3.8461538461538463</v>
      </c>
      <c r="F203">
        <v>92.407809110629074</v>
      </c>
      <c r="G203">
        <v>88.888888888888886</v>
      </c>
      <c r="H203">
        <v>95.059288537549406</v>
      </c>
      <c r="I203">
        <v>66.413662239089177</v>
      </c>
      <c r="J203">
        <v>7.3504273504273501</v>
      </c>
      <c r="K203">
        <v>67.917603216824858</v>
      </c>
      <c r="L203">
        <v>95.059288537549406</v>
      </c>
      <c r="M203">
        <v>54.561640768322086</v>
      </c>
    </row>
    <row r="204" spans="1:13" x14ac:dyDescent="0.4">
      <c r="A204" t="s">
        <v>364</v>
      </c>
      <c r="B204" t="s">
        <v>365</v>
      </c>
      <c r="C204" t="s">
        <v>40</v>
      </c>
      <c r="D204" s="1">
        <v>39457</v>
      </c>
      <c r="E204">
        <v>82.126696832579185</v>
      </c>
      <c r="F204">
        <v>43.167028199566161</v>
      </c>
      <c r="G204">
        <v>66.872427983539097</v>
      </c>
      <c r="H204">
        <v>60.276679841897234</v>
      </c>
      <c r="I204">
        <v>70.588235294117652</v>
      </c>
      <c r="J204">
        <v>49.401709401709404</v>
      </c>
      <c r="K204">
        <v>44.962153127737437</v>
      </c>
      <c r="L204">
        <v>60.276679841897234</v>
      </c>
      <c r="M204">
        <v>72.931988287165453</v>
      </c>
    </row>
    <row r="205" spans="1:13" x14ac:dyDescent="0.4">
      <c r="A205" t="s">
        <v>506</v>
      </c>
      <c r="B205" t="s">
        <v>507</v>
      </c>
      <c r="C205" t="s">
        <v>40</v>
      </c>
      <c r="D205" s="1">
        <v>39528</v>
      </c>
      <c r="E205">
        <v>25.565610859728508</v>
      </c>
      <c r="F205">
        <v>64.425162689804779</v>
      </c>
      <c r="G205">
        <v>47.325102880658434</v>
      </c>
      <c r="H205">
        <v>93.280632411067188</v>
      </c>
      <c r="I205">
        <v>74.762808349146113</v>
      </c>
      <c r="J205">
        <v>60.512820512820511</v>
      </c>
      <c r="K205">
        <v>63.298698843180823</v>
      </c>
      <c r="L205">
        <v>93.280632411067188</v>
      </c>
      <c r="M205">
        <v>48.823981304950486</v>
      </c>
    </row>
    <row r="206" spans="1:13" x14ac:dyDescent="0.4">
      <c r="A206" t="s">
        <v>508</v>
      </c>
      <c r="B206" t="s">
        <v>509</v>
      </c>
      <c r="C206" t="s">
        <v>40</v>
      </c>
      <c r="D206" s="1">
        <v>39541</v>
      </c>
      <c r="E206">
        <v>15.837104072398191</v>
      </c>
      <c r="F206">
        <v>47.722342733188718</v>
      </c>
      <c r="G206">
        <v>64.81481481481481</v>
      </c>
      <c r="H206">
        <v>22.529644268774703</v>
      </c>
      <c r="I206">
        <v>10.056925996204933</v>
      </c>
      <c r="J206">
        <v>98.119658119658126</v>
      </c>
      <c r="K206">
        <v>62.233024872326972</v>
      </c>
      <c r="L206">
        <v>22.529644268774703</v>
      </c>
      <c r="M206">
        <v>32.09077487016166</v>
      </c>
    </row>
    <row r="207" spans="1:13" x14ac:dyDescent="0.4">
      <c r="A207" t="s">
        <v>878</v>
      </c>
      <c r="B207" t="s">
        <v>879</v>
      </c>
      <c r="C207" t="s">
        <v>40</v>
      </c>
      <c r="D207" s="1">
        <v>39553</v>
      </c>
      <c r="E207">
        <v>11.312217194570136</v>
      </c>
      <c r="F207">
        <v>91.323210412147503</v>
      </c>
      <c r="G207">
        <v>40.946502057613166</v>
      </c>
      <c r="H207">
        <v>99.802371541501969</v>
      </c>
      <c r="I207">
        <v>93.738140417457302</v>
      </c>
      <c r="J207">
        <v>46.666666666666664</v>
      </c>
      <c r="K207">
        <v>78.465443946730417</v>
      </c>
      <c r="L207">
        <v>99.802371541501969</v>
      </c>
      <c r="M207">
        <v>47.76637252058093</v>
      </c>
    </row>
    <row r="208" spans="1:13" x14ac:dyDescent="0.4">
      <c r="A208" t="s">
        <v>880</v>
      </c>
      <c r="B208" t="s">
        <v>881</v>
      </c>
      <c r="C208" t="s">
        <v>40</v>
      </c>
      <c r="D208" s="1">
        <v>39554</v>
      </c>
      <c r="E208">
        <v>2.2624434389140271</v>
      </c>
      <c r="F208">
        <v>99.34924078091106</v>
      </c>
      <c r="G208">
        <v>49.382716049382715</v>
      </c>
      <c r="H208">
        <v>83.596837944664031</v>
      </c>
      <c r="I208">
        <v>87.286527514231494</v>
      </c>
      <c r="J208">
        <v>9.0598290598290596</v>
      </c>
      <c r="K208">
        <v>73.352599016017479</v>
      </c>
      <c r="L208">
        <v>83.596837944664031</v>
      </c>
      <c r="M208">
        <v>45.963737385722133</v>
      </c>
    </row>
    <row r="209" spans="1:13" x14ac:dyDescent="0.4">
      <c r="A209" t="s">
        <v>882</v>
      </c>
      <c r="B209" t="s">
        <v>883</v>
      </c>
      <c r="C209" t="s">
        <v>40</v>
      </c>
      <c r="D209" s="1">
        <v>39561</v>
      </c>
      <c r="E209">
        <v>33.257918552036202</v>
      </c>
      <c r="F209">
        <v>83.514099783080255</v>
      </c>
      <c r="G209">
        <v>8.0246913580246915</v>
      </c>
      <c r="H209">
        <v>80.632411067193672</v>
      </c>
      <c r="I209">
        <v>80.265654648956357</v>
      </c>
      <c r="J209">
        <v>66.15384615384616</v>
      </c>
      <c r="K209">
        <v>78.515636663827095</v>
      </c>
      <c r="L209">
        <v>80.632411067193672</v>
      </c>
      <c r="M209">
        <v>38.524867922068225</v>
      </c>
    </row>
    <row r="210" spans="1:13" x14ac:dyDescent="0.4">
      <c r="A210" t="s">
        <v>76</v>
      </c>
      <c r="B210" t="s">
        <v>77</v>
      </c>
      <c r="C210" t="s">
        <v>40</v>
      </c>
      <c r="D210" s="1">
        <v>39568</v>
      </c>
      <c r="E210">
        <v>39.592760180995477</v>
      </c>
      <c r="F210">
        <v>35.357917570498913</v>
      </c>
      <c r="G210">
        <v>38.065843621399175</v>
      </c>
      <c r="H210">
        <v>12.252964426877471</v>
      </c>
      <c r="I210">
        <v>14.421252371916509</v>
      </c>
      <c r="J210">
        <v>35.726495726495727</v>
      </c>
      <c r="K210">
        <v>35.464040692813782</v>
      </c>
      <c r="L210">
        <v>12.252964426877471</v>
      </c>
      <c r="M210">
        <v>31.231862067470225</v>
      </c>
    </row>
    <row r="211" spans="1:13" x14ac:dyDescent="0.4">
      <c r="A211" t="s">
        <v>884</v>
      </c>
      <c r="B211" t="s">
        <v>885</v>
      </c>
      <c r="C211" t="s">
        <v>64</v>
      </c>
      <c r="D211" s="1">
        <v>39576</v>
      </c>
      <c r="E211">
        <v>26.633165829145728</v>
      </c>
      <c r="F211">
        <v>84.901531728665205</v>
      </c>
      <c r="G211">
        <v>83.333333333333329</v>
      </c>
      <c r="H211">
        <v>56.321839080459768</v>
      </c>
      <c r="I211">
        <v>2.3728813559322033</v>
      </c>
      <c r="J211">
        <v>76.187717265353413</v>
      </c>
      <c r="K211">
        <v>82.392600629321549</v>
      </c>
      <c r="L211">
        <v>56.321839080459768</v>
      </c>
      <c r="M211">
        <v>40.006656155374763</v>
      </c>
    </row>
    <row r="212" spans="1:13" x14ac:dyDescent="0.4">
      <c r="A212" t="s">
        <v>366</v>
      </c>
      <c r="B212" t="s">
        <v>367</v>
      </c>
      <c r="C212" t="s">
        <v>64</v>
      </c>
      <c r="D212" s="1">
        <v>39588</v>
      </c>
      <c r="E212">
        <v>39.698492462311556</v>
      </c>
      <c r="F212">
        <v>56.236323851203501</v>
      </c>
      <c r="G212">
        <v>14.122137404580153</v>
      </c>
      <c r="H212">
        <v>71.018062397372745</v>
      </c>
      <c r="I212">
        <v>23.864406779661017</v>
      </c>
      <c r="J212">
        <v>83.024333719582856</v>
      </c>
      <c r="K212">
        <v>63.949280252935019</v>
      </c>
      <c r="L212">
        <v>71.018062397372745</v>
      </c>
      <c r="M212">
        <v>25.37008869486208</v>
      </c>
    </row>
    <row r="213" spans="1:13" x14ac:dyDescent="0.4">
      <c r="A213" t="s">
        <v>510</v>
      </c>
      <c r="B213" t="s">
        <v>511</v>
      </c>
      <c r="C213" t="s">
        <v>40</v>
      </c>
      <c r="D213" s="1">
        <v>39594</v>
      </c>
      <c r="E213">
        <v>6.5610859728506785</v>
      </c>
      <c r="F213">
        <v>59.652928416485899</v>
      </c>
      <c r="G213">
        <v>63.374485596707821</v>
      </c>
      <c r="H213">
        <v>6.5217391304347823</v>
      </c>
      <c r="I213">
        <v>57.874762808349146</v>
      </c>
      <c r="J213">
        <v>76.752136752136749</v>
      </c>
      <c r="K213">
        <v>64.576229887741405</v>
      </c>
      <c r="L213">
        <v>6.5217391304347831</v>
      </c>
      <c r="M213">
        <v>43.389757485460848</v>
      </c>
    </row>
    <row r="214" spans="1:13" x14ac:dyDescent="0.4">
      <c r="A214" t="s">
        <v>652</v>
      </c>
      <c r="B214" t="s">
        <v>653</v>
      </c>
      <c r="C214" t="s">
        <v>40</v>
      </c>
      <c r="D214" s="1">
        <v>39595</v>
      </c>
      <c r="E214">
        <v>38.46153846153846</v>
      </c>
      <c r="F214">
        <v>48.373101952277658</v>
      </c>
      <c r="G214">
        <v>23.251028806584362</v>
      </c>
      <c r="H214">
        <v>48.023715415019765</v>
      </c>
      <c r="I214">
        <v>17.647058823529413</v>
      </c>
      <c r="J214">
        <v>91.794871794871796</v>
      </c>
      <c r="K214">
        <v>60.875345281569466</v>
      </c>
      <c r="L214">
        <v>48.023715415019765</v>
      </c>
      <c r="M214">
        <v>26.40916142808128</v>
      </c>
    </row>
    <row r="215" spans="1:13" x14ac:dyDescent="0.4">
      <c r="A215" t="s">
        <v>284</v>
      </c>
      <c r="B215" t="s">
        <v>285</v>
      </c>
      <c r="C215" t="s">
        <v>40</v>
      </c>
      <c r="D215" s="1">
        <v>39596</v>
      </c>
      <c r="E215">
        <v>72.398190045248867</v>
      </c>
      <c r="F215">
        <v>17.136659436008678</v>
      </c>
      <c r="G215">
        <v>48.971193415637863</v>
      </c>
      <c r="H215">
        <v>70.750988142292485</v>
      </c>
      <c r="I215">
        <v>49.335863377609108</v>
      </c>
      <c r="J215">
        <v>80</v>
      </c>
      <c r="K215">
        <v>35.236630558148597</v>
      </c>
      <c r="L215">
        <v>70.750988142292485</v>
      </c>
      <c r="M215">
        <v>56.622283862427224</v>
      </c>
    </row>
    <row r="216" spans="1:13" x14ac:dyDescent="0.4">
      <c r="A216" t="s">
        <v>886</v>
      </c>
      <c r="B216" t="s">
        <v>887</v>
      </c>
      <c r="C216" t="s">
        <v>64</v>
      </c>
      <c r="D216" s="1">
        <v>39596</v>
      </c>
      <c r="E216">
        <v>59.798994974874368</v>
      </c>
      <c r="F216">
        <v>67.833698030634579</v>
      </c>
      <c r="G216">
        <v>19.465648854961831</v>
      </c>
      <c r="H216">
        <v>78.407224958949101</v>
      </c>
      <c r="I216">
        <v>27.728813559322035</v>
      </c>
      <c r="J216">
        <v>62.456546929316339</v>
      </c>
      <c r="K216">
        <v>66.285478054094028</v>
      </c>
      <c r="L216">
        <v>78.407224958949101</v>
      </c>
      <c r="M216">
        <v>35.003722736164903</v>
      </c>
    </row>
    <row r="217" spans="1:13" x14ac:dyDescent="0.4">
      <c r="A217" t="s">
        <v>888</v>
      </c>
      <c r="B217" t="s">
        <v>889</v>
      </c>
      <c r="C217" t="s">
        <v>40</v>
      </c>
      <c r="D217" s="1">
        <v>39602</v>
      </c>
      <c r="E217">
        <v>0.67873303167420818</v>
      </c>
      <c r="F217">
        <v>92.841648590021691</v>
      </c>
      <c r="G217">
        <v>34.567901234567898</v>
      </c>
      <c r="H217">
        <v>43.280632411067195</v>
      </c>
      <c r="I217">
        <v>51.612903225806448</v>
      </c>
      <c r="J217">
        <v>66.324786324786331</v>
      </c>
      <c r="K217">
        <v>85.206762550805323</v>
      </c>
      <c r="L217">
        <v>43.280632411067195</v>
      </c>
      <c r="M217">
        <v>28.944060647429598</v>
      </c>
    </row>
    <row r="218" spans="1:13" x14ac:dyDescent="0.4">
      <c r="A218" t="s">
        <v>368</v>
      </c>
      <c r="B218" t="s">
        <v>369</v>
      </c>
      <c r="C218" t="s">
        <v>64</v>
      </c>
      <c r="D218" s="1">
        <v>39603</v>
      </c>
      <c r="E218">
        <v>62.814070351758794</v>
      </c>
      <c r="F218">
        <v>61.706783369803063</v>
      </c>
      <c r="G218">
        <v>39.05852417302799</v>
      </c>
      <c r="H218">
        <v>93.678160919540232</v>
      </c>
      <c r="I218">
        <v>11.525423728813559</v>
      </c>
      <c r="J218">
        <v>80.996523754345304</v>
      </c>
      <c r="K218">
        <v>67.260795307148044</v>
      </c>
      <c r="L218">
        <v>93.678160919540232</v>
      </c>
      <c r="M218">
        <v>38.172362578562741</v>
      </c>
    </row>
    <row r="219" spans="1:13" x14ac:dyDescent="0.4">
      <c r="A219" t="s">
        <v>890</v>
      </c>
      <c r="B219" t="s">
        <v>891</v>
      </c>
      <c r="C219" t="s">
        <v>40</v>
      </c>
      <c r="D219" s="1">
        <v>39603</v>
      </c>
      <c r="E219">
        <v>45.927601809954751</v>
      </c>
      <c r="F219">
        <v>58.351409978308027</v>
      </c>
      <c r="G219">
        <v>21.604938271604937</v>
      </c>
      <c r="H219">
        <v>11.264822134387352</v>
      </c>
      <c r="I219">
        <v>17.267552182163186</v>
      </c>
      <c r="J219">
        <v>83.247863247863251</v>
      </c>
      <c r="K219">
        <v>65.519738628675313</v>
      </c>
      <c r="L219">
        <v>11.264822134387352</v>
      </c>
      <c r="M219">
        <v>28.087490298699059</v>
      </c>
    </row>
    <row r="220" spans="1:13" x14ac:dyDescent="0.4">
      <c r="A220" t="s">
        <v>892</v>
      </c>
      <c r="B220" t="s">
        <v>893</v>
      </c>
      <c r="C220" t="s">
        <v>64</v>
      </c>
      <c r="D220" s="1">
        <v>39610</v>
      </c>
      <c r="E220">
        <v>63.819095477386938</v>
      </c>
      <c r="F220">
        <v>51.641137855579871</v>
      </c>
      <c r="G220">
        <v>24.427480916030536</v>
      </c>
      <c r="H220">
        <v>67.32348111658456</v>
      </c>
      <c r="I220">
        <v>84.813559322033896</v>
      </c>
      <c r="J220">
        <v>18.308227114716107</v>
      </c>
      <c r="K220">
        <v>42.043736310996806</v>
      </c>
      <c r="L220">
        <v>67.32348111658456</v>
      </c>
      <c r="M220">
        <v>55.810661088470418</v>
      </c>
    </row>
    <row r="221" spans="1:13" x14ac:dyDescent="0.4">
      <c r="A221" t="s">
        <v>894</v>
      </c>
      <c r="B221" t="s">
        <v>895</v>
      </c>
      <c r="C221" t="s">
        <v>40</v>
      </c>
      <c r="D221" s="1">
        <v>39617</v>
      </c>
      <c r="E221">
        <v>58.371040723981899</v>
      </c>
      <c r="F221">
        <v>7.3752711496746208</v>
      </c>
      <c r="G221">
        <v>53.086419753086417</v>
      </c>
      <c r="H221">
        <v>7.3122529644268779</v>
      </c>
      <c r="I221">
        <v>59.20303605313093</v>
      </c>
      <c r="J221">
        <v>41.196581196581199</v>
      </c>
      <c r="K221">
        <v>17.1132954046663</v>
      </c>
      <c r="L221">
        <v>7.3122529644268779</v>
      </c>
      <c r="M221">
        <v>56.681834421606055</v>
      </c>
    </row>
    <row r="222" spans="1:13" x14ac:dyDescent="0.4">
      <c r="A222" t="s">
        <v>65</v>
      </c>
      <c r="B222" t="s">
        <v>66</v>
      </c>
      <c r="C222" t="s">
        <v>40</v>
      </c>
      <c r="D222" s="1">
        <v>39618</v>
      </c>
      <c r="E222">
        <v>94.343891402714931</v>
      </c>
      <c r="F222">
        <v>5.2060737527114966</v>
      </c>
      <c r="G222">
        <v>5.3497942386831276</v>
      </c>
      <c r="H222">
        <v>0.39525691699604742</v>
      </c>
      <c r="I222">
        <v>10.815939278937382</v>
      </c>
      <c r="J222">
        <v>37.606837606837608</v>
      </c>
      <c r="K222">
        <v>14.535086255602296</v>
      </c>
      <c r="L222">
        <v>0.39525691699604742</v>
      </c>
      <c r="M222">
        <v>35.678913500107058</v>
      </c>
    </row>
    <row r="223" spans="1:13" x14ac:dyDescent="0.4">
      <c r="A223" t="s">
        <v>286</v>
      </c>
      <c r="B223" t="s">
        <v>287</v>
      </c>
      <c r="C223" t="s">
        <v>40</v>
      </c>
      <c r="D223" s="1">
        <v>39618</v>
      </c>
      <c r="E223">
        <v>60.633484162895925</v>
      </c>
      <c r="F223">
        <v>27.765726681127983</v>
      </c>
      <c r="G223">
        <v>69.547325102880663</v>
      </c>
      <c r="H223">
        <v>64.031620553359687</v>
      </c>
      <c r="I223">
        <v>70.398481973434542</v>
      </c>
      <c r="J223">
        <v>22.735042735042736</v>
      </c>
      <c r="K223">
        <v>26.317263501604991</v>
      </c>
      <c r="L223">
        <v>64.031620553359687</v>
      </c>
      <c r="M223">
        <v>66.942811247160037</v>
      </c>
    </row>
    <row r="224" spans="1:13" x14ac:dyDescent="0.4">
      <c r="A224" t="s">
        <v>896</v>
      </c>
      <c r="B224" t="s">
        <v>897</v>
      </c>
      <c r="C224" t="s">
        <v>64</v>
      </c>
      <c r="D224" s="1">
        <v>39618</v>
      </c>
      <c r="E224">
        <v>58.291457286432163</v>
      </c>
      <c r="F224">
        <v>78.118161925601754</v>
      </c>
      <c r="G224">
        <v>30.788804071246819</v>
      </c>
      <c r="H224">
        <v>75.041050903119867</v>
      </c>
      <c r="I224">
        <v>12.949152542372881</v>
      </c>
      <c r="J224">
        <v>53.881807647740438</v>
      </c>
      <c r="K224">
        <v>71.139892737239208</v>
      </c>
      <c r="L224">
        <v>75.041050903119867</v>
      </c>
      <c r="M224">
        <v>34.111464321134989</v>
      </c>
    </row>
    <row r="225" spans="1:13" x14ac:dyDescent="0.4">
      <c r="A225" t="s">
        <v>370</v>
      </c>
      <c r="B225" t="s">
        <v>371</v>
      </c>
      <c r="C225" t="s">
        <v>64</v>
      </c>
      <c r="D225" s="1">
        <v>39624</v>
      </c>
      <c r="E225">
        <v>41.206030150753769</v>
      </c>
      <c r="F225">
        <v>87.964989059080963</v>
      </c>
      <c r="G225">
        <v>42.36641221374046</v>
      </c>
      <c r="H225">
        <v>96.551724137931032</v>
      </c>
      <c r="I225">
        <v>97.220338983050851</v>
      </c>
      <c r="J225">
        <v>3.5341830822711473</v>
      </c>
      <c r="K225">
        <v>63.655190434179069</v>
      </c>
      <c r="L225">
        <v>96.551724137931032</v>
      </c>
      <c r="M225">
        <v>58.987254627984441</v>
      </c>
    </row>
    <row r="226" spans="1:13" x14ac:dyDescent="0.4">
      <c r="A226" t="s">
        <v>898</v>
      </c>
      <c r="B226" t="s">
        <v>899</v>
      </c>
      <c r="C226" t="s">
        <v>40</v>
      </c>
      <c r="D226" s="1">
        <v>39632</v>
      </c>
      <c r="E226">
        <v>88.461538461538467</v>
      </c>
      <c r="F226">
        <v>96.963123644251624</v>
      </c>
      <c r="G226">
        <v>91.563786008230451</v>
      </c>
      <c r="H226">
        <v>94.86166007905139</v>
      </c>
      <c r="I226">
        <v>7.7798861480075905</v>
      </c>
      <c r="J226">
        <v>34.529914529914528</v>
      </c>
      <c r="K226">
        <v>78.986998419380569</v>
      </c>
      <c r="L226">
        <v>94.86166007905139</v>
      </c>
      <c r="M226">
        <v>64.608601015577491</v>
      </c>
    </row>
    <row r="227" spans="1:13" x14ac:dyDescent="0.4">
      <c r="A227" t="s">
        <v>900</v>
      </c>
      <c r="B227" t="s">
        <v>901</v>
      </c>
      <c r="C227" t="s">
        <v>40</v>
      </c>
      <c r="D227" s="1">
        <v>39633</v>
      </c>
      <c r="E227">
        <v>35.067873303167424</v>
      </c>
      <c r="F227">
        <v>81.56182212581345</v>
      </c>
      <c r="G227">
        <v>68.724279835390945</v>
      </c>
      <c r="H227">
        <v>25.889328063241106</v>
      </c>
      <c r="I227">
        <v>21.631878557874764</v>
      </c>
      <c r="J227">
        <v>88.376068376068375</v>
      </c>
      <c r="K227">
        <v>83.523818724184068</v>
      </c>
      <c r="L227">
        <v>25.889328063241106</v>
      </c>
      <c r="M227">
        <v>43.305015136772738</v>
      </c>
    </row>
    <row r="228" spans="1:13" x14ac:dyDescent="0.4">
      <c r="A228" t="s">
        <v>512</v>
      </c>
      <c r="B228" t="s">
        <v>513</v>
      </c>
      <c r="C228" t="s">
        <v>64</v>
      </c>
      <c r="D228" s="1">
        <v>39637</v>
      </c>
      <c r="E228">
        <v>11.055276381909549</v>
      </c>
      <c r="F228">
        <v>59.737417943107218</v>
      </c>
      <c r="G228">
        <v>20.992366412213741</v>
      </c>
      <c r="H228">
        <v>1.80623973727422</v>
      </c>
      <c r="I228">
        <v>1.6271186440677967</v>
      </c>
      <c r="J228">
        <v>83.893395133256078</v>
      </c>
      <c r="K228">
        <v>66.692544502499928</v>
      </c>
      <c r="L228">
        <v>1.80623973727422</v>
      </c>
      <c r="M228">
        <v>11.79538508434098</v>
      </c>
    </row>
    <row r="229" spans="1:13" x14ac:dyDescent="0.4">
      <c r="A229" t="s">
        <v>902</v>
      </c>
      <c r="B229" t="s">
        <v>903</v>
      </c>
      <c r="C229" t="s">
        <v>40</v>
      </c>
      <c r="D229" s="1">
        <v>39645</v>
      </c>
      <c r="E229">
        <v>34.389140271493211</v>
      </c>
      <c r="F229">
        <v>49.891540130151846</v>
      </c>
      <c r="G229">
        <v>34.156378600823047</v>
      </c>
      <c r="H229">
        <v>9.4861660079051386</v>
      </c>
      <c r="I229">
        <v>89.943074003795061</v>
      </c>
      <c r="J229">
        <v>96.752136752136749</v>
      </c>
      <c r="K229">
        <v>63.383910055367316</v>
      </c>
      <c r="L229">
        <v>9.4861660079051386</v>
      </c>
      <c r="M229">
        <v>51.514473096971408</v>
      </c>
    </row>
    <row r="230" spans="1:13" x14ac:dyDescent="0.4">
      <c r="A230" t="s">
        <v>904</v>
      </c>
      <c r="B230" t="s">
        <v>905</v>
      </c>
      <c r="C230" t="s">
        <v>40</v>
      </c>
      <c r="D230" s="1">
        <v>39645</v>
      </c>
      <c r="E230">
        <v>31.674208144796381</v>
      </c>
      <c r="F230">
        <v>2.1691973969631237</v>
      </c>
      <c r="G230">
        <v>46.502057613168724</v>
      </c>
      <c r="H230">
        <v>79.249011857707515</v>
      </c>
      <c r="I230">
        <v>61.859582542694497</v>
      </c>
      <c r="J230">
        <v>11.794871794871796</v>
      </c>
      <c r="K230">
        <v>4.9406764031721213</v>
      </c>
      <c r="L230">
        <v>79.249011857707515</v>
      </c>
      <c r="M230">
        <v>46.488789012397213</v>
      </c>
    </row>
    <row r="231" spans="1:13" x14ac:dyDescent="0.4">
      <c r="A231" t="s">
        <v>372</v>
      </c>
      <c r="B231" t="s">
        <v>373</v>
      </c>
      <c r="C231" t="s">
        <v>64</v>
      </c>
      <c r="D231" s="1">
        <v>39654</v>
      </c>
      <c r="E231">
        <v>66.331658291457288</v>
      </c>
      <c r="F231">
        <v>54.048140043763674</v>
      </c>
      <c r="G231">
        <v>16.412213740458014</v>
      </c>
      <c r="H231">
        <v>46.551724137931032</v>
      </c>
      <c r="I231">
        <v>19.118644067796609</v>
      </c>
      <c r="J231">
        <v>73.348783314020864</v>
      </c>
      <c r="K231">
        <v>59.605291202073019</v>
      </c>
      <c r="L231">
        <v>46.551724137931032</v>
      </c>
      <c r="M231">
        <v>33.313285557443059</v>
      </c>
    </row>
    <row r="232" spans="1:13" x14ac:dyDescent="0.4">
      <c r="A232" t="s">
        <v>906</v>
      </c>
      <c r="B232" t="s">
        <v>907</v>
      </c>
      <c r="C232" t="s">
        <v>40</v>
      </c>
      <c r="D232" s="1">
        <v>39654</v>
      </c>
      <c r="E232">
        <v>81.674208144796381</v>
      </c>
      <c r="F232">
        <v>62.039045553145336</v>
      </c>
      <c r="G232">
        <v>66.460905349794245</v>
      </c>
      <c r="H232">
        <v>75.494071146245062</v>
      </c>
      <c r="I232">
        <v>94.686907020872866</v>
      </c>
      <c r="J232">
        <v>4.615384615384615</v>
      </c>
      <c r="K232">
        <v>45.505297976638381</v>
      </c>
      <c r="L232">
        <v>75.494071146245062</v>
      </c>
      <c r="M232">
        <v>80.100753297958036</v>
      </c>
    </row>
    <row r="233" spans="1:13" x14ac:dyDescent="0.4">
      <c r="A233" t="s">
        <v>908</v>
      </c>
      <c r="B233" t="s">
        <v>909</v>
      </c>
      <c r="C233" t="s">
        <v>64</v>
      </c>
      <c r="D233" s="1">
        <v>39659</v>
      </c>
      <c r="E233">
        <v>63.316582914572862</v>
      </c>
      <c r="F233">
        <v>71.772428884026255</v>
      </c>
      <c r="G233">
        <v>18.702290076335878</v>
      </c>
      <c r="H233">
        <v>18.30870279146141</v>
      </c>
      <c r="I233">
        <v>20.067796610169491</v>
      </c>
      <c r="J233">
        <v>39.281575898030127</v>
      </c>
      <c r="K233">
        <v>62.417477405086188</v>
      </c>
      <c r="L233">
        <v>18.30870279146141</v>
      </c>
      <c r="M233">
        <v>33.480891710006517</v>
      </c>
    </row>
    <row r="234" spans="1:13" x14ac:dyDescent="0.4">
      <c r="A234" t="s">
        <v>910</v>
      </c>
      <c r="B234" t="s">
        <v>911</v>
      </c>
      <c r="C234" t="s">
        <v>40</v>
      </c>
      <c r="D234" s="1">
        <v>39664</v>
      </c>
      <c r="E234">
        <v>63.574660633484164</v>
      </c>
      <c r="F234">
        <v>41.214750542299349</v>
      </c>
      <c r="G234">
        <v>43.415637860082306</v>
      </c>
      <c r="H234">
        <v>14.426877470355731</v>
      </c>
      <c r="I234">
        <v>14.231499051233397</v>
      </c>
      <c r="J234">
        <v>62.222222222222221</v>
      </c>
      <c r="K234">
        <v>47.263341459428851</v>
      </c>
      <c r="L234">
        <v>14.426877470355731</v>
      </c>
      <c r="M234">
        <v>40.860715820074212</v>
      </c>
    </row>
    <row r="235" spans="1:13" x14ac:dyDescent="0.4">
      <c r="A235" t="s">
        <v>514</v>
      </c>
      <c r="B235" t="s">
        <v>515</v>
      </c>
      <c r="C235" t="s">
        <v>40</v>
      </c>
      <c r="D235" s="1">
        <v>39664</v>
      </c>
      <c r="E235">
        <v>38.235294117647058</v>
      </c>
      <c r="F235">
        <v>72.451193058568336</v>
      </c>
      <c r="G235">
        <v>65.432098765432102</v>
      </c>
      <c r="H235">
        <v>57.312252964426875</v>
      </c>
      <c r="I235">
        <v>59.01328273244782</v>
      </c>
      <c r="J235">
        <v>48.547008547008545</v>
      </c>
      <c r="K235">
        <v>65.568564081555763</v>
      </c>
      <c r="L235">
        <v>57.312252964426875</v>
      </c>
      <c r="M235">
        <v>54.692369336248959</v>
      </c>
    </row>
    <row r="236" spans="1:13" x14ac:dyDescent="0.4">
      <c r="A236" t="s">
        <v>208</v>
      </c>
      <c r="B236" t="s">
        <v>209</v>
      </c>
      <c r="C236" t="s">
        <v>40</v>
      </c>
      <c r="D236" s="1">
        <v>39680</v>
      </c>
      <c r="E236">
        <v>18.325791855203619</v>
      </c>
      <c r="F236">
        <v>30.802603036876356</v>
      </c>
      <c r="G236">
        <v>61.31687242798354</v>
      </c>
      <c r="H236">
        <v>64.426877470355734</v>
      </c>
      <c r="I236">
        <v>5.5028462998102468</v>
      </c>
      <c r="J236">
        <v>96.239316239316238</v>
      </c>
      <c r="K236">
        <v>49.64351426853861</v>
      </c>
      <c r="L236">
        <v>64.426877470355734</v>
      </c>
      <c r="M236">
        <v>30.191952043683681</v>
      </c>
    </row>
    <row r="237" spans="1:13" x14ac:dyDescent="0.4">
      <c r="A237" t="s">
        <v>912</v>
      </c>
      <c r="B237" t="s">
        <v>913</v>
      </c>
      <c r="C237" t="s">
        <v>64</v>
      </c>
      <c r="D237" s="1">
        <v>39694</v>
      </c>
      <c r="E237">
        <v>35.175879396984925</v>
      </c>
      <c r="F237">
        <v>88.183807439824946</v>
      </c>
      <c r="G237">
        <v>98.854961832061065</v>
      </c>
      <c r="H237">
        <v>73.152709359605907</v>
      </c>
      <c r="I237">
        <v>23.322033898305083</v>
      </c>
      <c r="J237">
        <v>88.818076477404404</v>
      </c>
      <c r="K237">
        <v>88.366429794298284</v>
      </c>
      <c r="L237">
        <v>73.152709359605907</v>
      </c>
      <c r="M237">
        <v>54.964170552302363</v>
      </c>
    </row>
    <row r="238" spans="1:13" x14ac:dyDescent="0.4">
      <c r="A238" t="s">
        <v>516</v>
      </c>
      <c r="B238" t="s">
        <v>517</v>
      </c>
      <c r="C238" t="s">
        <v>40</v>
      </c>
      <c r="D238" s="1">
        <v>39714</v>
      </c>
      <c r="E238">
        <v>7.0135746606334841</v>
      </c>
      <c r="F238">
        <v>66.160520607375275</v>
      </c>
      <c r="G238">
        <v>92.386831275720169</v>
      </c>
      <c r="H238">
        <v>91.699604743083</v>
      </c>
      <c r="I238">
        <v>90.512333965844405</v>
      </c>
      <c r="J238">
        <v>2.0512820512820511</v>
      </c>
      <c r="K238">
        <v>47.701823437973822</v>
      </c>
      <c r="L238">
        <v>91.699604743083</v>
      </c>
      <c r="M238">
        <v>64.33551449017456</v>
      </c>
    </row>
    <row r="239" spans="1:13" x14ac:dyDescent="0.4">
      <c r="A239" t="s">
        <v>914</v>
      </c>
      <c r="B239" t="s">
        <v>915</v>
      </c>
      <c r="C239" t="s">
        <v>40</v>
      </c>
      <c r="D239" s="1">
        <v>39728</v>
      </c>
      <c r="E239">
        <v>75.791855203619903</v>
      </c>
      <c r="F239">
        <v>48.590021691973966</v>
      </c>
      <c r="G239">
        <v>80.041152263374485</v>
      </c>
      <c r="H239">
        <v>60.474308300395258</v>
      </c>
      <c r="I239">
        <v>61.669829222011387</v>
      </c>
      <c r="J239">
        <v>56.239316239316238</v>
      </c>
      <c r="K239">
        <v>50.792450152973444</v>
      </c>
      <c r="L239">
        <v>60.474308300395265</v>
      </c>
      <c r="M239">
        <v>72.9822604251125</v>
      </c>
    </row>
    <row r="240" spans="1:13" x14ac:dyDescent="0.4">
      <c r="A240" t="s">
        <v>916</v>
      </c>
      <c r="B240" t="s">
        <v>917</v>
      </c>
      <c r="C240" t="s">
        <v>64</v>
      </c>
      <c r="D240" s="1">
        <v>39730</v>
      </c>
      <c r="E240">
        <v>49.246231155778894</v>
      </c>
      <c r="F240">
        <v>86.214442013129101</v>
      </c>
      <c r="G240">
        <v>37.786259541984734</v>
      </c>
      <c r="H240">
        <v>57.22495894909688</v>
      </c>
      <c r="I240">
        <v>18.237288135593221</v>
      </c>
      <c r="J240">
        <v>84.936268829663959</v>
      </c>
      <c r="K240">
        <v>85.84642310891158</v>
      </c>
      <c r="L240">
        <v>57.22495894909688</v>
      </c>
      <c r="M240">
        <v>35.417298740376154</v>
      </c>
    </row>
    <row r="241" spans="1:13" x14ac:dyDescent="0.4">
      <c r="A241" t="s">
        <v>100</v>
      </c>
      <c r="B241" t="s">
        <v>101</v>
      </c>
      <c r="C241" t="s">
        <v>40</v>
      </c>
      <c r="D241" s="1">
        <v>39731</v>
      </c>
      <c r="E241">
        <v>52.488687782805428</v>
      </c>
      <c r="F241">
        <v>21.90889370932755</v>
      </c>
      <c r="G241">
        <v>19.753086419753085</v>
      </c>
      <c r="H241">
        <v>45.652173913043477</v>
      </c>
      <c r="I241">
        <v>44.971537001897531</v>
      </c>
      <c r="J241">
        <v>47.863247863247864</v>
      </c>
      <c r="K241">
        <v>29.381819208753523</v>
      </c>
      <c r="L241">
        <v>45.652173913043477</v>
      </c>
      <c r="M241">
        <v>38.09932501716515</v>
      </c>
    </row>
    <row r="242" spans="1:13" x14ac:dyDescent="0.4">
      <c r="A242" t="s">
        <v>918</v>
      </c>
      <c r="B242" t="s">
        <v>919</v>
      </c>
      <c r="C242" t="s">
        <v>40</v>
      </c>
      <c r="D242" s="1">
        <v>39743</v>
      </c>
      <c r="E242">
        <v>79.411764705882348</v>
      </c>
      <c r="F242">
        <v>6.7245119305856829</v>
      </c>
      <c r="G242">
        <v>17.695473251028808</v>
      </c>
      <c r="H242">
        <v>11.462450592885375</v>
      </c>
      <c r="I242">
        <v>51.423149905123338</v>
      </c>
      <c r="J242">
        <v>17.606837606837608</v>
      </c>
      <c r="K242">
        <v>9.8578131314879389</v>
      </c>
      <c r="L242">
        <v>11.462450592885375</v>
      </c>
      <c r="M242">
        <v>48.003069728021735</v>
      </c>
    </row>
    <row r="243" spans="1:13" x14ac:dyDescent="0.4">
      <c r="A243" t="s">
        <v>288</v>
      </c>
      <c r="B243" t="s">
        <v>289</v>
      </c>
      <c r="C243" t="s">
        <v>40</v>
      </c>
      <c r="D243" s="1">
        <v>39743</v>
      </c>
      <c r="E243">
        <v>37.104072398190048</v>
      </c>
      <c r="F243">
        <v>17.570498915401302</v>
      </c>
      <c r="G243">
        <v>60.905349794238681</v>
      </c>
      <c r="H243">
        <v>65.217391304347828</v>
      </c>
      <c r="I243">
        <v>70.967741935483872</v>
      </c>
      <c r="J243">
        <v>24.273504273504273</v>
      </c>
      <c r="K243">
        <v>19.500466402409277</v>
      </c>
      <c r="L243">
        <v>65.217391304347828</v>
      </c>
      <c r="M243">
        <v>56.364220541900671</v>
      </c>
    </row>
    <row r="244" spans="1:13" x14ac:dyDescent="0.4">
      <c r="A244" t="s">
        <v>920</v>
      </c>
      <c r="B244" t="s">
        <v>921</v>
      </c>
      <c r="C244" t="s">
        <v>40</v>
      </c>
      <c r="D244" s="1">
        <v>39743</v>
      </c>
      <c r="E244">
        <v>43.891402714932127</v>
      </c>
      <c r="F244">
        <v>76.789587852494577</v>
      </c>
      <c r="G244">
        <v>73.251028806584358</v>
      </c>
      <c r="H244">
        <v>17.193675889328063</v>
      </c>
      <c r="I244">
        <v>19.54459203036053</v>
      </c>
      <c r="J244">
        <v>35.213675213675216</v>
      </c>
      <c r="K244">
        <v>64.81881424441346</v>
      </c>
      <c r="L244">
        <v>17.193675889328063</v>
      </c>
      <c r="M244">
        <v>47.16525542895706</v>
      </c>
    </row>
    <row r="245" spans="1:13" x14ac:dyDescent="0.4">
      <c r="A245" t="s">
        <v>922</v>
      </c>
      <c r="B245" t="s">
        <v>923</v>
      </c>
      <c r="C245" t="s">
        <v>64</v>
      </c>
      <c r="D245" s="1">
        <v>39744</v>
      </c>
      <c r="E245">
        <v>66.834170854271363</v>
      </c>
      <c r="F245">
        <v>54.923413566739605</v>
      </c>
      <c r="G245">
        <v>21.882951653944019</v>
      </c>
      <c r="H245">
        <v>55.829228243021348</v>
      </c>
      <c r="I245">
        <v>35.254237288135592</v>
      </c>
      <c r="J245">
        <v>68.076477404403249</v>
      </c>
      <c r="K245">
        <v>58.710518634549878</v>
      </c>
      <c r="L245">
        <v>55.829228243021348</v>
      </c>
      <c r="M245">
        <v>40.489459960335971</v>
      </c>
    </row>
    <row r="246" spans="1:13" x14ac:dyDescent="0.4">
      <c r="A246" t="s">
        <v>518</v>
      </c>
      <c r="B246" t="s">
        <v>519</v>
      </c>
      <c r="C246" t="s">
        <v>64</v>
      </c>
      <c r="D246" s="1">
        <v>39757</v>
      </c>
      <c r="E246">
        <v>27.1356783919598</v>
      </c>
      <c r="F246">
        <v>66.739606126914666</v>
      </c>
      <c r="G246">
        <v>19.338422391857506</v>
      </c>
      <c r="H246">
        <v>70.361247947454842</v>
      </c>
      <c r="I246">
        <v>23.525423728813561</v>
      </c>
      <c r="J246">
        <v>49.246813441483198</v>
      </c>
      <c r="K246">
        <v>61.702981607579908</v>
      </c>
      <c r="L246">
        <v>70.361247947454842</v>
      </c>
      <c r="M246">
        <v>23.144517141019154</v>
      </c>
    </row>
    <row r="247" spans="1:13" x14ac:dyDescent="0.4">
      <c r="A247" t="s">
        <v>98</v>
      </c>
      <c r="B247" t="s">
        <v>99</v>
      </c>
      <c r="C247" t="s">
        <v>40</v>
      </c>
      <c r="D247" s="1">
        <v>39765</v>
      </c>
      <c r="E247">
        <v>9.0497737556561084</v>
      </c>
      <c r="F247">
        <v>39.262472885032537</v>
      </c>
      <c r="G247">
        <v>53.497942386831276</v>
      </c>
      <c r="H247">
        <v>18.57707509881423</v>
      </c>
      <c r="I247">
        <v>47.628083491461098</v>
      </c>
      <c r="J247">
        <v>11.623931623931623</v>
      </c>
      <c r="K247">
        <v>31.304626639576238</v>
      </c>
      <c r="L247">
        <v>18.57707509881423</v>
      </c>
      <c r="M247">
        <v>37.37730743983726</v>
      </c>
    </row>
    <row r="248" spans="1:13" x14ac:dyDescent="0.4">
      <c r="A248" t="s">
        <v>374</v>
      </c>
      <c r="B248" t="s">
        <v>375</v>
      </c>
      <c r="C248" t="s">
        <v>40</v>
      </c>
      <c r="D248" s="1">
        <v>39777</v>
      </c>
      <c r="E248">
        <v>40.497737556561084</v>
      </c>
      <c r="F248">
        <v>41.431670281995665</v>
      </c>
      <c r="G248">
        <v>66.666666666666671</v>
      </c>
      <c r="H248">
        <v>69.367588932806328</v>
      </c>
      <c r="I248">
        <v>41.935483870967744</v>
      </c>
      <c r="J248">
        <v>82.051282051282058</v>
      </c>
      <c r="K248">
        <v>53.127100296062643</v>
      </c>
      <c r="L248">
        <v>69.367588932806328</v>
      </c>
      <c r="M248">
        <v>50.584348156254677</v>
      </c>
    </row>
    <row r="249" spans="1:13" x14ac:dyDescent="0.4">
      <c r="A249" t="s">
        <v>89</v>
      </c>
      <c r="B249" t="s">
        <v>90</v>
      </c>
      <c r="C249" t="s">
        <v>40</v>
      </c>
      <c r="D249" s="1">
        <v>39778</v>
      </c>
      <c r="E249">
        <v>76.92307692307692</v>
      </c>
      <c r="F249">
        <v>11.93058568329718</v>
      </c>
      <c r="G249">
        <v>8.8477366255144041</v>
      </c>
      <c r="H249">
        <v>15.41501976284585</v>
      </c>
      <c r="I249">
        <v>35.294117647058826</v>
      </c>
      <c r="J249">
        <v>35.042735042735046</v>
      </c>
      <c r="K249">
        <v>18.585167387407772</v>
      </c>
      <c r="L249">
        <v>15.41501976284585</v>
      </c>
      <c r="M249">
        <v>38.945678281763591</v>
      </c>
    </row>
    <row r="250" spans="1:13" x14ac:dyDescent="0.4">
      <c r="A250" t="s">
        <v>924</v>
      </c>
      <c r="B250" t="s">
        <v>925</v>
      </c>
      <c r="C250" t="s">
        <v>40</v>
      </c>
      <c r="D250" s="1">
        <v>39784</v>
      </c>
      <c r="E250">
        <v>91.855203619909503</v>
      </c>
      <c r="F250">
        <v>21.475054229934923</v>
      </c>
      <c r="G250">
        <v>0.61728395061728392</v>
      </c>
      <c r="H250">
        <v>49.604743083003953</v>
      </c>
      <c r="I250">
        <v>78.368121442125243</v>
      </c>
      <c r="J250">
        <v>26.324786324786324</v>
      </c>
      <c r="K250">
        <v>22.871416721641364</v>
      </c>
      <c r="L250">
        <v>49.604743083003953</v>
      </c>
      <c r="M250">
        <v>54.062819000067243</v>
      </c>
    </row>
    <row r="251" spans="1:13" x14ac:dyDescent="0.4">
      <c r="A251" t="s">
        <v>376</v>
      </c>
      <c r="B251" t="s">
        <v>377</v>
      </c>
      <c r="C251" t="s">
        <v>64</v>
      </c>
      <c r="D251" s="1">
        <v>39785</v>
      </c>
      <c r="E251">
        <v>72.8643216080402</v>
      </c>
      <c r="F251">
        <v>77.680525164113789</v>
      </c>
      <c r="G251">
        <v>98.9821882951654</v>
      </c>
      <c r="H251">
        <v>66.174055829228237</v>
      </c>
      <c r="I251">
        <v>10.23728813559322</v>
      </c>
      <c r="J251">
        <v>90.787949015063731</v>
      </c>
      <c r="K251">
        <v>81.454489306956972</v>
      </c>
      <c r="L251">
        <v>66.174055829228237</v>
      </c>
      <c r="M251">
        <v>63.084299204057899</v>
      </c>
    </row>
    <row r="252" spans="1:13" x14ac:dyDescent="0.4">
      <c r="A252" t="s">
        <v>378</v>
      </c>
      <c r="B252" t="s">
        <v>379</v>
      </c>
      <c r="C252" t="s">
        <v>64</v>
      </c>
      <c r="D252" s="1">
        <v>39786</v>
      </c>
      <c r="E252">
        <v>70.854271356783926</v>
      </c>
      <c r="F252">
        <v>44.420131291028447</v>
      </c>
      <c r="G252">
        <v>33.333333333333336</v>
      </c>
      <c r="H252">
        <v>70.197044334975374</v>
      </c>
      <c r="I252">
        <v>61.152542372881356</v>
      </c>
      <c r="J252">
        <v>70.046349942062577</v>
      </c>
      <c r="K252">
        <v>51.798578147208552</v>
      </c>
      <c r="L252">
        <v>70.197044334975374</v>
      </c>
      <c r="M252">
        <v>54.025088679686384</v>
      </c>
    </row>
    <row r="253" spans="1:13" x14ac:dyDescent="0.4">
      <c r="A253" t="s">
        <v>520</v>
      </c>
      <c r="B253" t="s">
        <v>521</v>
      </c>
      <c r="C253" t="s">
        <v>64</v>
      </c>
      <c r="D253" s="1">
        <v>39806</v>
      </c>
      <c r="E253">
        <v>33.165829145728644</v>
      </c>
      <c r="F253">
        <v>70.897155361050324</v>
      </c>
      <c r="G253">
        <v>27.353689567430024</v>
      </c>
      <c r="H253">
        <v>90.229885057471265</v>
      </c>
      <c r="I253">
        <v>51.728813559322035</v>
      </c>
      <c r="J253">
        <v>69.293163383545775</v>
      </c>
      <c r="K253">
        <v>70.435324853595461</v>
      </c>
      <c r="L253">
        <v>90.229885057471265</v>
      </c>
      <c r="M253">
        <v>36.775487008174473</v>
      </c>
    </row>
    <row r="254" spans="1:13" x14ac:dyDescent="0.4">
      <c r="A254" t="s">
        <v>187</v>
      </c>
      <c r="B254" t="s">
        <v>188</v>
      </c>
      <c r="C254" t="s">
        <v>40</v>
      </c>
      <c r="D254" s="1">
        <v>39828</v>
      </c>
      <c r="E254">
        <v>46.153846153846153</v>
      </c>
      <c r="F254">
        <v>26.898047722342731</v>
      </c>
      <c r="G254">
        <v>26.543209876543209</v>
      </c>
      <c r="H254">
        <v>61.264822134387352</v>
      </c>
      <c r="I254">
        <v>95.63567362428843</v>
      </c>
      <c r="J254">
        <v>97.09401709401709</v>
      </c>
      <c r="K254">
        <v>47.109271101803152</v>
      </c>
      <c r="L254">
        <v>61.264822134387352</v>
      </c>
      <c r="M254">
        <v>54.258771203409843</v>
      </c>
    </row>
    <row r="255" spans="1:13" x14ac:dyDescent="0.4">
      <c r="A255" t="s">
        <v>522</v>
      </c>
      <c r="B255" t="s">
        <v>523</v>
      </c>
      <c r="C255" t="s">
        <v>40</v>
      </c>
      <c r="D255" s="1">
        <v>39834</v>
      </c>
      <c r="E255">
        <v>9.7285067873303159</v>
      </c>
      <c r="F255">
        <v>91.106290672451195</v>
      </c>
      <c r="G255">
        <v>72.839506172839506</v>
      </c>
      <c r="H255">
        <v>42.292490118577078</v>
      </c>
      <c r="I255">
        <v>79.506641366223903</v>
      </c>
      <c r="J255">
        <v>10.256410256410257</v>
      </c>
      <c r="K255">
        <v>67.827532534086473</v>
      </c>
      <c r="L255">
        <v>42.292490118577078</v>
      </c>
      <c r="M255">
        <v>54.59779466612251</v>
      </c>
    </row>
    <row r="256" spans="1:13" x14ac:dyDescent="0.4">
      <c r="A256" t="s">
        <v>44</v>
      </c>
      <c r="B256" t="s">
        <v>45</v>
      </c>
      <c r="C256" t="s">
        <v>40</v>
      </c>
      <c r="D256" s="1">
        <v>39836</v>
      </c>
      <c r="E256">
        <v>20.361990950226243</v>
      </c>
      <c r="F256">
        <v>10.845986984815617</v>
      </c>
      <c r="G256">
        <v>32.304526748971192</v>
      </c>
      <c r="H256">
        <v>16.205533596837945</v>
      </c>
      <c r="I256">
        <v>13.662239089184061</v>
      </c>
      <c r="J256">
        <v>30.94017094017094</v>
      </c>
      <c r="K256">
        <v>16.631618897657862</v>
      </c>
      <c r="L256">
        <v>16.205533596837945</v>
      </c>
      <c r="M256">
        <v>22.686231732527105</v>
      </c>
    </row>
    <row r="257" spans="1:13" x14ac:dyDescent="0.4">
      <c r="A257" t="s">
        <v>115</v>
      </c>
      <c r="B257" t="s">
        <v>116</v>
      </c>
      <c r="C257" t="s">
        <v>40</v>
      </c>
      <c r="D257" s="1">
        <v>39876</v>
      </c>
      <c r="E257">
        <v>59.502262443438916</v>
      </c>
      <c r="F257">
        <v>8.4598698481561829</v>
      </c>
      <c r="G257">
        <v>11.111111111111111</v>
      </c>
      <c r="H257">
        <v>41.501976284584977</v>
      </c>
      <c r="I257">
        <v>79.316888045540793</v>
      </c>
      <c r="J257">
        <v>14.871794871794872</v>
      </c>
      <c r="K257">
        <v>10.306027827098593</v>
      </c>
      <c r="L257">
        <v>41.501976284584977</v>
      </c>
      <c r="M257">
        <v>47.812685195337735</v>
      </c>
    </row>
    <row r="258" spans="1:13" x14ac:dyDescent="0.4">
      <c r="A258" t="s">
        <v>524</v>
      </c>
      <c r="B258" t="s">
        <v>525</v>
      </c>
      <c r="C258" t="s">
        <v>40</v>
      </c>
      <c r="D258" s="1">
        <v>39882</v>
      </c>
      <c r="E258">
        <v>21.945701357466064</v>
      </c>
      <c r="F258">
        <v>87.418655097613879</v>
      </c>
      <c r="G258">
        <v>54.526748971193413</v>
      </c>
      <c r="H258">
        <v>96.837944664031625</v>
      </c>
      <c r="I258">
        <v>96.774193548387103</v>
      </c>
      <c r="J258">
        <v>82.222222222222229</v>
      </c>
      <c r="K258">
        <v>85.922468542160559</v>
      </c>
      <c r="L258">
        <v>96.837944664031625</v>
      </c>
      <c r="M258">
        <v>57.131756551816032</v>
      </c>
    </row>
    <row r="259" spans="1:13" x14ac:dyDescent="0.4">
      <c r="A259" t="s">
        <v>926</v>
      </c>
      <c r="B259" t="s">
        <v>927</v>
      </c>
      <c r="C259" t="s">
        <v>64</v>
      </c>
      <c r="D259" s="1">
        <v>39889</v>
      </c>
      <c r="E259">
        <v>19.095477386934672</v>
      </c>
      <c r="F259">
        <v>73.085339168490151</v>
      </c>
      <c r="G259">
        <v>59.669211195928753</v>
      </c>
      <c r="H259">
        <v>94.991789819376024</v>
      </c>
      <c r="I259">
        <v>60.135593220338983</v>
      </c>
      <c r="J259">
        <v>9.4438006952491307</v>
      </c>
      <c r="K259">
        <v>54.761304871241187</v>
      </c>
      <c r="L259">
        <v>94.991789819376024</v>
      </c>
      <c r="M259">
        <v>46.758276446769472</v>
      </c>
    </row>
    <row r="260" spans="1:13" x14ac:dyDescent="0.4">
      <c r="A260" t="s">
        <v>526</v>
      </c>
      <c r="B260" t="s">
        <v>527</v>
      </c>
      <c r="C260" t="s">
        <v>40</v>
      </c>
      <c r="D260" s="1">
        <v>39892</v>
      </c>
      <c r="E260">
        <v>21.493212669683256</v>
      </c>
      <c r="F260">
        <v>50.976138828633403</v>
      </c>
      <c r="G260">
        <v>4.1152263374485596</v>
      </c>
      <c r="H260">
        <v>88.932806324110672</v>
      </c>
      <c r="I260">
        <v>72.865275142314985</v>
      </c>
      <c r="J260">
        <v>62.564102564102562</v>
      </c>
      <c r="K260">
        <v>54.312611359279323</v>
      </c>
      <c r="L260">
        <v>88.932806324110672</v>
      </c>
      <c r="M260">
        <v>31.006304045381022</v>
      </c>
    </row>
    <row r="261" spans="1:13" x14ac:dyDescent="0.4">
      <c r="A261" t="s">
        <v>380</v>
      </c>
      <c r="B261" t="s">
        <v>381</v>
      </c>
      <c r="C261" t="s">
        <v>64</v>
      </c>
      <c r="D261" s="1">
        <v>39897</v>
      </c>
      <c r="E261">
        <v>44.221105527638194</v>
      </c>
      <c r="F261">
        <v>51.422319474835888</v>
      </c>
      <c r="G261">
        <v>26.463104325699746</v>
      </c>
      <c r="H261">
        <v>4.7619047619047619</v>
      </c>
      <c r="I261">
        <v>8.7457627118644066</v>
      </c>
      <c r="J261">
        <v>93.337195828505216</v>
      </c>
      <c r="K261">
        <v>63.490689446635415</v>
      </c>
      <c r="L261">
        <v>4.7619047619047619</v>
      </c>
      <c r="M261">
        <v>26.6881172985922</v>
      </c>
    </row>
    <row r="262" spans="1:13" x14ac:dyDescent="0.4">
      <c r="A262" t="s">
        <v>528</v>
      </c>
      <c r="B262" t="s">
        <v>529</v>
      </c>
      <c r="C262" t="s">
        <v>40</v>
      </c>
      <c r="D262" s="1">
        <v>39897</v>
      </c>
      <c r="E262">
        <v>6.3348416289592757</v>
      </c>
      <c r="F262">
        <v>86.117136659436014</v>
      </c>
      <c r="G262">
        <v>84.156378600823047</v>
      </c>
      <c r="H262">
        <v>68.972332015810281</v>
      </c>
      <c r="I262">
        <v>42.69449715370019</v>
      </c>
      <c r="J262">
        <v>80.512820512820511</v>
      </c>
      <c r="K262">
        <v>84.503510028986355</v>
      </c>
      <c r="L262">
        <v>68.972332015810281</v>
      </c>
      <c r="M262">
        <v>46.270468624463987</v>
      </c>
    </row>
    <row r="263" spans="1:13" x14ac:dyDescent="0.4">
      <c r="A263" t="s">
        <v>928</v>
      </c>
      <c r="B263" t="s">
        <v>929</v>
      </c>
      <c r="C263" t="s">
        <v>40</v>
      </c>
      <c r="D263" s="1">
        <v>39898</v>
      </c>
      <c r="E263">
        <v>34.162895927601809</v>
      </c>
      <c r="F263">
        <v>79.609544468546645</v>
      </c>
      <c r="G263">
        <v>43.621399176954732</v>
      </c>
      <c r="H263">
        <v>8.695652173913043</v>
      </c>
      <c r="I263">
        <v>6.2618595825426944</v>
      </c>
      <c r="J263">
        <v>63.760683760683762</v>
      </c>
      <c r="K263">
        <v>75.046250209007184</v>
      </c>
      <c r="L263">
        <v>8.695652173913043</v>
      </c>
      <c r="M263">
        <v>29.003626295341508</v>
      </c>
    </row>
    <row r="264" spans="1:13" x14ac:dyDescent="0.4">
      <c r="A264" t="s">
        <v>930</v>
      </c>
      <c r="B264" t="s">
        <v>931</v>
      </c>
      <c r="C264" t="s">
        <v>64</v>
      </c>
      <c r="D264" s="1">
        <v>39899</v>
      </c>
      <c r="E264">
        <v>44.723618090452263</v>
      </c>
      <c r="F264">
        <v>54.485776805251639</v>
      </c>
      <c r="G264">
        <v>34.732824427480914</v>
      </c>
      <c r="H264">
        <v>10.755336617405582</v>
      </c>
      <c r="I264">
        <v>18.711864406779661</v>
      </c>
      <c r="J264">
        <v>79.606025492468135</v>
      </c>
      <c r="K264">
        <v>61.718541907143688</v>
      </c>
      <c r="L264">
        <v>10.755336617405582</v>
      </c>
      <c r="M264">
        <v>32.984134056640805</v>
      </c>
    </row>
    <row r="265" spans="1:13" x14ac:dyDescent="0.4">
      <c r="A265" t="s">
        <v>932</v>
      </c>
      <c r="B265" t="s">
        <v>933</v>
      </c>
      <c r="C265" t="s">
        <v>64</v>
      </c>
      <c r="D265" s="1">
        <v>39906</v>
      </c>
      <c r="E265">
        <v>31.155778894472363</v>
      </c>
      <c r="F265">
        <v>89.059080962800877</v>
      </c>
      <c r="G265">
        <v>34.860050890585242</v>
      </c>
      <c r="H265">
        <v>35.385878489326764</v>
      </c>
      <c r="I265">
        <v>5.6949152542372881</v>
      </c>
      <c r="J265">
        <v>82.444959443800698</v>
      </c>
      <c r="K265">
        <v>87.154705417082567</v>
      </c>
      <c r="L265">
        <v>35.385878489326764</v>
      </c>
      <c r="M265">
        <v>24.632515846603802</v>
      </c>
    </row>
    <row r="266" spans="1:13" x14ac:dyDescent="0.4">
      <c r="A266" t="s">
        <v>382</v>
      </c>
      <c r="B266" t="s">
        <v>383</v>
      </c>
      <c r="C266" t="s">
        <v>40</v>
      </c>
      <c r="D266" s="1">
        <v>39911</v>
      </c>
      <c r="E266">
        <v>81.900452488687776</v>
      </c>
      <c r="F266">
        <v>32.537960954446852</v>
      </c>
      <c r="G266">
        <v>44.032921810699591</v>
      </c>
      <c r="H266">
        <v>27.07509881422925</v>
      </c>
      <c r="I266">
        <v>22.580645161290324</v>
      </c>
      <c r="J266">
        <v>51.623931623931625</v>
      </c>
      <c r="K266">
        <v>38.033302354639062</v>
      </c>
      <c r="L266">
        <v>27.07509881422925</v>
      </c>
      <c r="M266">
        <v>49.571469777424262</v>
      </c>
    </row>
    <row r="267" spans="1:13" x14ac:dyDescent="0.4">
      <c r="A267" t="s">
        <v>384</v>
      </c>
      <c r="B267" t="s">
        <v>385</v>
      </c>
      <c r="C267" t="s">
        <v>64</v>
      </c>
      <c r="D267" s="1">
        <v>39912</v>
      </c>
      <c r="E267">
        <v>74.371859296482413</v>
      </c>
      <c r="F267">
        <v>96.498905908096276</v>
      </c>
      <c r="G267">
        <v>77.989821882951659</v>
      </c>
      <c r="H267">
        <v>83.333333333333329</v>
      </c>
      <c r="I267">
        <v>54.372881355932201</v>
      </c>
      <c r="J267">
        <v>70.857473928157589</v>
      </c>
      <c r="K267">
        <v>89.116078743593803</v>
      </c>
      <c r="L267">
        <v>83.333333333333329</v>
      </c>
      <c r="M267">
        <v>69.508937274987233</v>
      </c>
    </row>
    <row r="268" spans="1:13" x14ac:dyDescent="0.4">
      <c r="A268" t="s">
        <v>934</v>
      </c>
      <c r="B268" t="s">
        <v>935</v>
      </c>
      <c r="C268" t="s">
        <v>40</v>
      </c>
      <c r="D268" s="1">
        <v>39913</v>
      </c>
      <c r="E268">
        <v>59.728506787330318</v>
      </c>
      <c r="F268">
        <v>39.913232104121477</v>
      </c>
      <c r="G268">
        <v>37.037037037037038</v>
      </c>
      <c r="H268">
        <v>94.664031620553359</v>
      </c>
      <c r="I268">
        <v>98.671726755218216</v>
      </c>
      <c r="J268">
        <v>0.51282051282051277</v>
      </c>
      <c r="K268">
        <v>28.568841150589002</v>
      </c>
      <c r="L268">
        <v>94.664031620553359</v>
      </c>
      <c r="M268">
        <v>63.43343655837414</v>
      </c>
    </row>
    <row r="269" spans="1:13" x14ac:dyDescent="0.4">
      <c r="A269" t="s">
        <v>530</v>
      </c>
      <c r="B269" t="s">
        <v>531</v>
      </c>
      <c r="C269" t="s">
        <v>40</v>
      </c>
      <c r="D269" s="1">
        <v>39925</v>
      </c>
      <c r="E269">
        <v>8.8235294117647065</v>
      </c>
      <c r="F269">
        <v>71.149674620390456</v>
      </c>
      <c r="G269">
        <v>96.707818930041157</v>
      </c>
      <c r="H269">
        <v>33.596837944664031</v>
      </c>
      <c r="I269">
        <v>82.16318785578747</v>
      </c>
      <c r="J269">
        <v>3.0769230769230771</v>
      </c>
      <c r="K269">
        <v>51.549780213138241</v>
      </c>
      <c r="L269">
        <v>33.596837944664031</v>
      </c>
      <c r="M269">
        <v>63.923209685246817</v>
      </c>
    </row>
    <row r="270" spans="1:13" x14ac:dyDescent="0.4">
      <c r="A270" t="s">
        <v>936</v>
      </c>
      <c r="B270" t="s">
        <v>937</v>
      </c>
      <c r="C270" t="s">
        <v>40</v>
      </c>
      <c r="D270" s="1">
        <v>39925</v>
      </c>
      <c r="E270">
        <v>42.081447963800905</v>
      </c>
      <c r="F270">
        <v>80.043383947939262</v>
      </c>
      <c r="G270">
        <v>76.337448559670776</v>
      </c>
      <c r="H270">
        <v>95.8498023715415</v>
      </c>
      <c r="I270">
        <v>93.358633776091082</v>
      </c>
      <c r="J270">
        <v>8.0341880341880341</v>
      </c>
      <c r="K270">
        <v>59.31008605326786</v>
      </c>
      <c r="L270">
        <v>95.8498023715415</v>
      </c>
      <c r="M270">
        <v>70.588193548622769</v>
      </c>
    </row>
    <row r="271" spans="1:13" x14ac:dyDescent="0.4">
      <c r="A271" t="s">
        <v>938</v>
      </c>
      <c r="B271" t="s">
        <v>939</v>
      </c>
      <c r="C271" t="s">
        <v>40</v>
      </c>
      <c r="D271" s="1">
        <v>39927</v>
      </c>
      <c r="E271">
        <v>7.9185520361990953</v>
      </c>
      <c r="F271">
        <v>86.334056399132322</v>
      </c>
      <c r="G271">
        <v>38.271604938271608</v>
      </c>
      <c r="H271">
        <v>76.679841897233203</v>
      </c>
      <c r="I271">
        <v>62.618595825426944</v>
      </c>
      <c r="J271">
        <v>49.743589743589745</v>
      </c>
      <c r="K271">
        <v>75.798720798620067</v>
      </c>
      <c r="L271">
        <v>76.679841897233203</v>
      </c>
      <c r="M271">
        <v>36.047800403721041</v>
      </c>
    </row>
    <row r="272" spans="1:13" x14ac:dyDescent="0.4">
      <c r="A272" t="s">
        <v>940</v>
      </c>
      <c r="B272" t="s">
        <v>941</v>
      </c>
      <c r="C272" t="s">
        <v>64</v>
      </c>
      <c r="D272" s="1">
        <v>39930</v>
      </c>
      <c r="E272">
        <v>30.150753768844222</v>
      </c>
      <c r="F272">
        <v>87.089715536105032</v>
      </c>
      <c r="G272">
        <v>24.554707379134861</v>
      </c>
      <c r="H272">
        <v>64.121510673234809</v>
      </c>
      <c r="I272">
        <v>8.6779661016949152</v>
      </c>
      <c r="J272">
        <v>75.260718424101967</v>
      </c>
      <c r="K272">
        <v>83.683843302618087</v>
      </c>
      <c r="L272">
        <v>64.121510673234809</v>
      </c>
      <c r="M272">
        <v>21.436597914989971</v>
      </c>
    </row>
    <row r="273" spans="1:13" x14ac:dyDescent="0.4">
      <c r="A273" t="s">
        <v>942</v>
      </c>
      <c r="B273" t="s">
        <v>943</v>
      </c>
      <c r="C273" t="s">
        <v>40</v>
      </c>
      <c r="D273" s="1">
        <v>39933</v>
      </c>
      <c r="E273">
        <v>33.936651583710407</v>
      </c>
      <c r="F273">
        <v>94.360086767895879</v>
      </c>
      <c r="G273">
        <v>63.580246913580247</v>
      </c>
      <c r="H273">
        <v>41.699604743083007</v>
      </c>
      <c r="I273">
        <v>39.278937381404177</v>
      </c>
      <c r="J273">
        <v>73.504273504273499</v>
      </c>
      <c r="K273">
        <v>88.355162205924103</v>
      </c>
      <c r="L273">
        <v>41.699604743083007</v>
      </c>
      <c r="M273">
        <v>46.513062329168065</v>
      </c>
    </row>
    <row r="274" spans="1:13" x14ac:dyDescent="0.4">
      <c r="A274" t="s">
        <v>944</v>
      </c>
      <c r="B274" t="s">
        <v>945</v>
      </c>
      <c r="C274" t="s">
        <v>64</v>
      </c>
      <c r="D274" s="1">
        <v>39939</v>
      </c>
      <c r="E274">
        <v>67.336683417085425</v>
      </c>
      <c r="F274">
        <v>83.588621444201308</v>
      </c>
      <c r="G274">
        <v>10.687022900763358</v>
      </c>
      <c r="H274">
        <v>90.476190476190482</v>
      </c>
      <c r="I274">
        <v>60.271186440677965</v>
      </c>
      <c r="J274">
        <v>15.121668597914253</v>
      </c>
      <c r="K274">
        <v>63.875226352236304</v>
      </c>
      <c r="L274">
        <v>90.476190476190482</v>
      </c>
      <c r="M274">
        <v>44.27680404397929</v>
      </c>
    </row>
    <row r="275" spans="1:13" x14ac:dyDescent="0.4">
      <c r="A275" t="s">
        <v>290</v>
      </c>
      <c r="B275" t="s">
        <v>291</v>
      </c>
      <c r="C275" t="s">
        <v>40</v>
      </c>
      <c r="D275" s="1">
        <v>39951</v>
      </c>
      <c r="E275">
        <v>32.126696832579185</v>
      </c>
      <c r="F275">
        <v>13.015184381778742</v>
      </c>
      <c r="G275">
        <v>1.440329218106996</v>
      </c>
      <c r="H275">
        <v>51.976284584980235</v>
      </c>
      <c r="I275">
        <v>23.529411764705884</v>
      </c>
      <c r="J275">
        <v>88.717948717948715</v>
      </c>
      <c r="K275">
        <v>34.81195553739424</v>
      </c>
      <c r="L275">
        <v>51.976284584980235</v>
      </c>
      <c r="M275">
        <v>18.157680016985143</v>
      </c>
    </row>
    <row r="276" spans="1:13" x14ac:dyDescent="0.4">
      <c r="A276" t="s">
        <v>946</v>
      </c>
      <c r="B276" t="s">
        <v>947</v>
      </c>
      <c r="C276" t="s">
        <v>40</v>
      </c>
      <c r="D276" s="1">
        <v>39960</v>
      </c>
      <c r="E276">
        <v>69.68325791855203</v>
      </c>
      <c r="F276">
        <v>36.442516268980476</v>
      </c>
      <c r="G276">
        <v>29.835390946502059</v>
      </c>
      <c r="H276">
        <v>13.636363636363637</v>
      </c>
      <c r="I276">
        <v>49.715370018975335</v>
      </c>
      <c r="J276">
        <v>59.487179487179489</v>
      </c>
      <c r="K276">
        <v>43.0776669788644</v>
      </c>
      <c r="L276">
        <v>13.636363636363637</v>
      </c>
      <c r="M276">
        <v>48.816241180057105</v>
      </c>
    </row>
    <row r="277" spans="1:13" x14ac:dyDescent="0.4">
      <c r="A277" t="s">
        <v>948</v>
      </c>
      <c r="B277" t="s">
        <v>949</v>
      </c>
      <c r="C277" t="s">
        <v>64</v>
      </c>
      <c r="D277" s="1">
        <v>39968</v>
      </c>
      <c r="E277">
        <v>52.261306532663319</v>
      </c>
      <c r="F277">
        <v>55.36105032822757</v>
      </c>
      <c r="G277">
        <v>15.394402035623409</v>
      </c>
      <c r="H277">
        <v>98.768472906403943</v>
      </c>
      <c r="I277">
        <v>39.254237288135592</v>
      </c>
      <c r="J277">
        <v>81.807647740440331</v>
      </c>
      <c r="K277">
        <v>62.975705310691311</v>
      </c>
      <c r="L277">
        <v>98.768472906403943</v>
      </c>
      <c r="M277">
        <v>34.649060696035363</v>
      </c>
    </row>
    <row r="278" spans="1:13" x14ac:dyDescent="0.4">
      <c r="A278" t="s">
        <v>532</v>
      </c>
      <c r="B278" t="s">
        <v>533</v>
      </c>
      <c r="C278" t="s">
        <v>40</v>
      </c>
      <c r="D278" s="1">
        <v>39976</v>
      </c>
      <c r="E278">
        <v>49.321266968325794</v>
      </c>
      <c r="F278">
        <v>85.466377440347074</v>
      </c>
      <c r="G278">
        <v>82.304526748971199</v>
      </c>
      <c r="H278">
        <v>4.150197628458498</v>
      </c>
      <c r="I278">
        <v>1.7077798861480076</v>
      </c>
      <c r="J278">
        <v>91.452991452991455</v>
      </c>
      <c r="K278">
        <v>87.190077450179658</v>
      </c>
      <c r="L278">
        <v>4.150197628458498</v>
      </c>
      <c r="M278">
        <v>46.721925889563522</v>
      </c>
    </row>
    <row r="279" spans="1:13" x14ac:dyDescent="0.4">
      <c r="A279" t="s">
        <v>950</v>
      </c>
      <c r="B279" t="s">
        <v>951</v>
      </c>
      <c r="C279" t="s">
        <v>40</v>
      </c>
      <c r="D279" s="1">
        <v>39980</v>
      </c>
      <c r="E279">
        <v>86.199095022624434</v>
      </c>
      <c r="F279">
        <v>70.281995661605208</v>
      </c>
      <c r="G279">
        <v>85.390946502057616</v>
      </c>
      <c r="H279">
        <v>71.146245059288532</v>
      </c>
      <c r="I279">
        <v>46.489563567362431</v>
      </c>
      <c r="J279">
        <v>31.111111111111111</v>
      </c>
      <c r="K279">
        <v>59.003691441184309</v>
      </c>
      <c r="L279">
        <v>71.146245059288532</v>
      </c>
      <c r="M279">
        <v>73.599001253189712</v>
      </c>
    </row>
    <row r="280" spans="1:13" x14ac:dyDescent="0.4">
      <c r="A280" t="s">
        <v>534</v>
      </c>
      <c r="B280" t="s">
        <v>535</v>
      </c>
      <c r="C280" t="s">
        <v>40</v>
      </c>
      <c r="D280" s="1">
        <v>39983</v>
      </c>
      <c r="E280">
        <v>19.457013574660632</v>
      </c>
      <c r="F280">
        <v>66.811279826464215</v>
      </c>
      <c r="G280">
        <v>82.098765432098759</v>
      </c>
      <c r="H280">
        <v>49.40711462450593</v>
      </c>
      <c r="I280">
        <v>7.020872865275142</v>
      </c>
      <c r="J280">
        <v>89.572649572649567</v>
      </c>
      <c r="K280">
        <v>73.364863066077959</v>
      </c>
      <c r="L280">
        <v>49.40711462450593</v>
      </c>
      <c r="M280">
        <v>38.682730235378457</v>
      </c>
    </row>
    <row r="281" spans="1:13" x14ac:dyDescent="0.4">
      <c r="A281" t="s">
        <v>292</v>
      </c>
      <c r="B281" t="s">
        <v>293</v>
      </c>
      <c r="C281" t="s">
        <v>40</v>
      </c>
      <c r="D281" s="1">
        <v>39988</v>
      </c>
      <c r="E281">
        <v>97.058823529411768</v>
      </c>
      <c r="F281">
        <v>16.268980477223426</v>
      </c>
      <c r="G281">
        <v>7.4074074074074074</v>
      </c>
      <c r="H281">
        <v>85.37549407114625</v>
      </c>
      <c r="I281">
        <v>94.876660341555976</v>
      </c>
      <c r="J281">
        <v>2.7350427350427351</v>
      </c>
      <c r="K281">
        <v>12.37221202514044</v>
      </c>
      <c r="L281">
        <v>85.37549407114625</v>
      </c>
      <c r="M281">
        <v>63.353301482483545</v>
      </c>
    </row>
    <row r="282" spans="1:13" x14ac:dyDescent="0.4">
      <c r="A282" t="s">
        <v>294</v>
      </c>
      <c r="B282" t="s">
        <v>295</v>
      </c>
      <c r="C282" t="s">
        <v>40</v>
      </c>
      <c r="D282" s="1">
        <v>39988</v>
      </c>
      <c r="E282">
        <v>56.561085972850677</v>
      </c>
      <c r="F282">
        <v>14.316702819956616</v>
      </c>
      <c r="G282">
        <v>35.802469135802468</v>
      </c>
      <c r="H282">
        <v>43.083003952569172</v>
      </c>
      <c r="I282">
        <v>87.666034155597728</v>
      </c>
      <c r="J282">
        <v>72.136752136752136</v>
      </c>
      <c r="K282">
        <v>30.964580796619099</v>
      </c>
      <c r="L282">
        <v>43.083003952569172</v>
      </c>
      <c r="M282">
        <v>58.549755343090673</v>
      </c>
    </row>
    <row r="283" spans="1:13" x14ac:dyDescent="0.4">
      <c r="A283" t="s">
        <v>84</v>
      </c>
      <c r="B283" t="s">
        <v>85</v>
      </c>
      <c r="C283" t="s">
        <v>43</v>
      </c>
      <c r="D283" s="1">
        <v>39988</v>
      </c>
      <c r="E283">
        <v>30</v>
      </c>
      <c r="F283">
        <v>6.4220183486238529</v>
      </c>
      <c r="G283">
        <v>7.0512820512820511</v>
      </c>
      <c r="H283">
        <v>19.796954314720811</v>
      </c>
      <c r="I283">
        <v>24.770642201834864</v>
      </c>
      <c r="J283">
        <v>44.366197183098592</v>
      </c>
      <c r="K283">
        <v>17.347122471243516</v>
      </c>
      <c r="L283">
        <v>19.796954314720811</v>
      </c>
      <c r="M283">
        <v>19.925109093385291</v>
      </c>
    </row>
    <row r="284" spans="1:13" x14ac:dyDescent="0.4">
      <c r="A284" t="s">
        <v>952</v>
      </c>
      <c r="B284" t="s">
        <v>953</v>
      </c>
      <c r="C284" t="s">
        <v>64</v>
      </c>
      <c r="D284" s="1">
        <v>39994</v>
      </c>
      <c r="E284">
        <v>28.140703517587941</v>
      </c>
      <c r="F284">
        <v>92.560175054704601</v>
      </c>
      <c r="G284">
        <v>97.455470737913487</v>
      </c>
      <c r="H284">
        <v>88.505747126436788</v>
      </c>
      <c r="I284">
        <v>19.1864406779661</v>
      </c>
      <c r="J284">
        <v>94.553881807647741</v>
      </c>
      <c r="K284">
        <v>93.134214460350776</v>
      </c>
      <c r="L284">
        <v>88.505747126436788</v>
      </c>
      <c r="M284">
        <v>50.903615274045137</v>
      </c>
    </row>
    <row r="285" spans="1:13" x14ac:dyDescent="0.4">
      <c r="A285" t="s">
        <v>296</v>
      </c>
      <c r="B285" t="s">
        <v>297</v>
      </c>
      <c r="C285" t="s">
        <v>40</v>
      </c>
      <c r="D285" s="1">
        <v>39995</v>
      </c>
      <c r="E285">
        <v>31.447963800904976</v>
      </c>
      <c r="F285">
        <v>11.279826464208243</v>
      </c>
      <c r="G285">
        <v>46.913580246913583</v>
      </c>
      <c r="H285">
        <v>83.201581027667984</v>
      </c>
      <c r="I285">
        <v>88.235294117647058</v>
      </c>
      <c r="J285">
        <v>46.495726495726494</v>
      </c>
      <c r="K285">
        <v>21.419389011982847</v>
      </c>
      <c r="L285">
        <v>83.201581027667984</v>
      </c>
      <c r="M285">
        <v>54.739026501152409</v>
      </c>
    </row>
    <row r="286" spans="1:13" x14ac:dyDescent="0.4">
      <c r="A286" t="s">
        <v>126</v>
      </c>
      <c r="B286" t="s">
        <v>127</v>
      </c>
      <c r="C286" t="s">
        <v>40</v>
      </c>
      <c r="D286" s="1">
        <v>39995</v>
      </c>
      <c r="E286">
        <v>50.678733031674206</v>
      </c>
      <c r="F286">
        <v>19.739696312364426</v>
      </c>
      <c r="G286">
        <v>41.563786008230451</v>
      </c>
      <c r="H286">
        <v>52.569169960474305</v>
      </c>
      <c r="I286">
        <v>46.110056925996204</v>
      </c>
      <c r="J286">
        <v>29.743589743589745</v>
      </c>
      <c r="K286">
        <v>22.62007429720639</v>
      </c>
      <c r="L286">
        <v>52.569169960474298</v>
      </c>
      <c r="M286">
        <v>45.905179449627219</v>
      </c>
    </row>
    <row r="287" spans="1:13" x14ac:dyDescent="0.4">
      <c r="A287" t="s">
        <v>954</v>
      </c>
      <c r="B287" t="s">
        <v>955</v>
      </c>
      <c r="C287" t="s">
        <v>64</v>
      </c>
      <c r="D287" s="1">
        <v>40007</v>
      </c>
      <c r="E287">
        <v>50.251256281407038</v>
      </c>
      <c r="F287">
        <v>68.927789934354479</v>
      </c>
      <c r="G287">
        <v>0.76335877862595425</v>
      </c>
      <c r="H287">
        <v>1.6420361247947455</v>
      </c>
      <c r="I287">
        <v>23.118644067796609</v>
      </c>
      <c r="J287">
        <v>47.624565469293167</v>
      </c>
      <c r="K287">
        <v>62.794044190544255</v>
      </c>
      <c r="L287">
        <v>1.6420361247947455</v>
      </c>
      <c r="M287">
        <v>23.612956049132308</v>
      </c>
    </row>
    <row r="288" spans="1:13" x14ac:dyDescent="0.4">
      <c r="A288" t="s">
        <v>536</v>
      </c>
      <c r="B288" t="s">
        <v>537</v>
      </c>
      <c r="C288" t="s">
        <v>64</v>
      </c>
      <c r="D288" s="1">
        <v>40009</v>
      </c>
      <c r="E288">
        <v>24.623115577889447</v>
      </c>
      <c r="F288">
        <v>66.3019693654267</v>
      </c>
      <c r="G288">
        <v>12.213740458015268</v>
      </c>
      <c r="H288">
        <v>88.587848932676522</v>
      </c>
      <c r="I288">
        <v>17.491525423728813</v>
      </c>
      <c r="J288">
        <v>38.702201622247969</v>
      </c>
      <c r="K288">
        <v>58.355287012127562</v>
      </c>
      <c r="L288">
        <v>88.587848932676522</v>
      </c>
      <c r="M288">
        <v>17.841812483572639</v>
      </c>
    </row>
    <row r="289" spans="1:13" x14ac:dyDescent="0.4">
      <c r="A289" t="s">
        <v>956</v>
      </c>
      <c r="B289" t="s">
        <v>957</v>
      </c>
      <c r="C289" t="s">
        <v>40</v>
      </c>
      <c r="D289" s="1">
        <v>40018</v>
      </c>
      <c r="E289">
        <v>85.74660633484163</v>
      </c>
      <c r="F289">
        <v>15.61822125813449</v>
      </c>
      <c r="G289">
        <v>6.3786008230452671</v>
      </c>
      <c r="H289">
        <v>19.762845849802371</v>
      </c>
      <c r="I289">
        <v>25.047438330170777</v>
      </c>
      <c r="J289">
        <v>53.846153846153847</v>
      </c>
      <c r="K289">
        <v>26.625025377904766</v>
      </c>
      <c r="L289">
        <v>19.762845849802371</v>
      </c>
      <c r="M289">
        <v>37.700637183115518</v>
      </c>
    </row>
    <row r="290" spans="1:13" x14ac:dyDescent="0.4">
      <c r="A290" t="s">
        <v>958</v>
      </c>
      <c r="B290" t="s">
        <v>959</v>
      </c>
      <c r="C290" t="s">
        <v>40</v>
      </c>
      <c r="D290" s="1">
        <v>40024</v>
      </c>
      <c r="E290">
        <v>46.606334841628957</v>
      </c>
      <c r="F290">
        <v>77.874186550976134</v>
      </c>
      <c r="G290">
        <v>60.493827160493829</v>
      </c>
      <c r="H290">
        <v>31.620553359683793</v>
      </c>
      <c r="I290">
        <v>83.681214421252378</v>
      </c>
      <c r="J290">
        <v>4.9572649572649574</v>
      </c>
      <c r="K290">
        <v>56.879531107585606</v>
      </c>
      <c r="L290">
        <v>31.620553359683793</v>
      </c>
      <c r="M290">
        <v>63.208896379108438</v>
      </c>
    </row>
    <row r="291" spans="1:13" x14ac:dyDescent="0.4">
      <c r="A291" t="s">
        <v>538</v>
      </c>
      <c r="B291" t="s">
        <v>539</v>
      </c>
      <c r="C291" t="s">
        <v>40</v>
      </c>
      <c r="D291" s="1">
        <v>40028</v>
      </c>
      <c r="E291">
        <v>24.434389140271492</v>
      </c>
      <c r="F291">
        <v>75.488069414316698</v>
      </c>
      <c r="G291">
        <v>75.308641975308646</v>
      </c>
      <c r="H291">
        <v>16.007905138339922</v>
      </c>
      <c r="I291">
        <v>24.098671726755217</v>
      </c>
      <c r="J291">
        <v>40.512820512820511</v>
      </c>
      <c r="K291">
        <v>65.417796510789927</v>
      </c>
      <c r="L291">
        <v>16.007905138339922</v>
      </c>
      <c r="M291">
        <v>43.073526775547485</v>
      </c>
    </row>
    <row r="292" spans="1:13" x14ac:dyDescent="0.4">
      <c r="A292" t="s">
        <v>960</v>
      </c>
      <c r="B292" t="s">
        <v>961</v>
      </c>
      <c r="C292" t="s">
        <v>64</v>
      </c>
      <c r="D292" s="1">
        <v>40036</v>
      </c>
      <c r="E292">
        <v>64.321608040200999</v>
      </c>
      <c r="F292">
        <v>62.800875273522976</v>
      </c>
      <c r="G292">
        <v>22.519083969465647</v>
      </c>
      <c r="H292">
        <v>57.060755336617405</v>
      </c>
      <c r="I292">
        <v>35.389830508474574</v>
      </c>
      <c r="J292">
        <v>61.529548088064892</v>
      </c>
      <c r="K292">
        <v>62.434827508050525</v>
      </c>
      <c r="L292">
        <v>57.060755336617397</v>
      </c>
      <c r="M292">
        <v>39.957364266871302</v>
      </c>
    </row>
    <row r="293" spans="1:13" x14ac:dyDescent="0.4">
      <c r="A293" t="s">
        <v>962</v>
      </c>
      <c r="B293" t="s">
        <v>963</v>
      </c>
      <c r="C293" t="s">
        <v>64</v>
      </c>
      <c r="D293" s="1">
        <v>40043</v>
      </c>
      <c r="E293">
        <v>67.8391959798995</v>
      </c>
      <c r="F293">
        <v>78.993435448577685</v>
      </c>
      <c r="G293">
        <v>14.758269720101781</v>
      </c>
      <c r="H293">
        <v>4.1871921182266014</v>
      </c>
      <c r="I293">
        <v>5.4237288135593218</v>
      </c>
      <c r="J293">
        <v>85.97914252607184</v>
      </c>
      <c r="K293">
        <v>81.004800025069812</v>
      </c>
      <c r="L293">
        <v>4.1871921182266014</v>
      </c>
      <c r="M293">
        <v>28.946215974995429</v>
      </c>
    </row>
    <row r="294" spans="1:13" x14ac:dyDescent="0.4">
      <c r="A294" t="s">
        <v>964</v>
      </c>
      <c r="B294" t="s">
        <v>965</v>
      </c>
      <c r="C294" t="s">
        <v>40</v>
      </c>
      <c r="D294" s="1">
        <v>40051</v>
      </c>
      <c r="E294">
        <v>52.262443438914026</v>
      </c>
      <c r="F294">
        <v>63.557483731019524</v>
      </c>
      <c r="G294">
        <v>99.588477366255148</v>
      </c>
      <c r="H294">
        <v>25.691699604743082</v>
      </c>
      <c r="I294">
        <v>38.140417457305503</v>
      </c>
      <c r="J294">
        <v>59.316239316239319</v>
      </c>
      <c r="K294">
        <v>62.33632047846671</v>
      </c>
      <c r="L294">
        <v>25.691699604743082</v>
      </c>
      <c r="M294">
        <v>65.323225401096394</v>
      </c>
    </row>
    <row r="295" spans="1:13" x14ac:dyDescent="0.4">
      <c r="A295" t="s">
        <v>386</v>
      </c>
      <c r="B295" t="s">
        <v>387</v>
      </c>
      <c r="C295" t="s">
        <v>40</v>
      </c>
      <c r="D295" s="1">
        <v>40051</v>
      </c>
      <c r="E295">
        <v>38.914027149321264</v>
      </c>
      <c r="F295">
        <v>42.950108459869845</v>
      </c>
      <c r="G295">
        <v>15.637860082304528</v>
      </c>
      <c r="H295">
        <v>25.296442687747035</v>
      </c>
      <c r="I295">
        <v>29.981024667931688</v>
      </c>
      <c r="J295">
        <v>79.316239316239319</v>
      </c>
      <c r="K295">
        <v>53.420852019134117</v>
      </c>
      <c r="L295">
        <v>25.296442687747035</v>
      </c>
      <c r="M295">
        <v>27.571076073578375</v>
      </c>
    </row>
    <row r="296" spans="1:13" x14ac:dyDescent="0.4">
      <c r="A296" t="s">
        <v>966</v>
      </c>
      <c r="B296" t="s">
        <v>967</v>
      </c>
      <c r="C296" t="s">
        <v>40</v>
      </c>
      <c r="D296" s="1">
        <v>40064</v>
      </c>
      <c r="E296">
        <v>24.660633484162897</v>
      </c>
      <c r="F296">
        <v>85.683297180043382</v>
      </c>
      <c r="G296">
        <v>6.1728395061728394</v>
      </c>
      <c r="H296">
        <v>10.276679841897232</v>
      </c>
      <c r="I296">
        <v>48.007590132827325</v>
      </c>
      <c r="J296">
        <v>54.188034188034187</v>
      </c>
      <c r="K296">
        <v>76.615001643644447</v>
      </c>
      <c r="L296">
        <v>10.276679841897232</v>
      </c>
      <c r="M296">
        <v>25.082429209980059</v>
      </c>
    </row>
    <row r="297" spans="1:13" x14ac:dyDescent="0.4">
      <c r="A297" t="s">
        <v>968</v>
      </c>
      <c r="B297" t="s">
        <v>969</v>
      </c>
      <c r="C297" t="s">
        <v>40</v>
      </c>
      <c r="D297" s="1">
        <v>40065</v>
      </c>
      <c r="E297">
        <v>44.343891402714931</v>
      </c>
      <c r="F297">
        <v>49.240780911062906</v>
      </c>
      <c r="G297">
        <v>84.362139917695472</v>
      </c>
      <c r="H297">
        <v>94.268774703557312</v>
      </c>
      <c r="I297">
        <v>9.8671726755218216</v>
      </c>
      <c r="J297">
        <v>54.871794871794869</v>
      </c>
      <c r="K297">
        <v>50.862094528239602</v>
      </c>
      <c r="L297">
        <v>94.268774703557312</v>
      </c>
      <c r="M297">
        <v>48.40627225471372</v>
      </c>
    </row>
    <row r="298" spans="1:13" x14ac:dyDescent="0.4">
      <c r="A298" t="s">
        <v>970</v>
      </c>
      <c r="B298" t="s">
        <v>971</v>
      </c>
      <c r="C298" t="s">
        <v>40</v>
      </c>
      <c r="D298" s="1">
        <v>40067</v>
      </c>
      <c r="E298">
        <v>47.737556561085974</v>
      </c>
      <c r="F298">
        <v>73.752711496746201</v>
      </c>
      <c r="G298">
        <v>79.012345679012341</v>
      </c>
      <c r="H298">
        <v>97.233201581027672</v>
      </c>
      <c r="I298">
        <v>99.43074003795067</v>
      </c>
      <c r="J298">
        <v>40.341880341880341</v>
      </c>
      <c r="K298">
        <v>64.132874662682653</v>
      </c>
      <c r="L298">
        <v>97.233201581027672</v>
      </c>
      <c r="M298">
        <v>75.27484073432673</v>
      </c>
    </row>
    <row r="299" spans="1:13" x14ac:dyDescent="0.4">
      <c r="A299" t="s">
        <v>972</v>
      </c>
      <c r="B299" t="s">
        <v>973</v>
      </c>
      <c r="C299" t="s">
        <v>40</v>
      </c>
      <c r="D299" s="1">
        <v>40078</v>
      </c>
      <c r="E299">
        <v>33.710407239819006</v>
      </c>
      <c r="F299">
        <v>45.986984815618221</v>
      </c>
      <c r="G299">
        <v>15.432098765432098</v>
      </c>
      <c r="H299">
        <v>40.909090909090907</v>
      </c>
      <c r="I299">
        <v>31.119544592030362</v>
      </c>
      <c r="J299">
        <v>69.914529914529908</v>
      </c>
      <c r="K299">
        <v>52.876339906016938</v>
      </c>
      <c r="L299">
        <v>40.909090909090907</v>
      </c>
      <c r="M299">
        <v>26.173622029426152</v>
      </c>
    </row>
    <row r="300" spans="1:13" x14ac:dyDescent="0.4">
      <c r="A300" t="s">
        <v>48</v>
      </c>
      <c r="B300" t="s">
        <v>49</v>
      </c>
      <c r="C300" t="s">
        <v>40</v>
      </c>
      <c r="D300" s="1">
        <v>40078</v>
      </c>
      <c r="E300">
        <v>55.203619909502265</v>
      </c>
      <c r="F300">
        <v>4.3383947939262475</v>
      </c>
      <c r="G300">
        <v>40.123456790123456</v>
      </c>
      <c r="H300">
        <v>17.786561264822133</v>
      </c>
      <c r="I300">
        <v>39.658444022770396</v>
      </c>
      <c r="J300">
        <v>12.649572649572649</v>
      </c>
      <c r="K300">
        <v>6.7313964675334148</v>
      </c>
      <c r="L300">
        <v>17.786561264822133</v>
      </c>
      <c r="M300">
        <v>44.831740967597689</v>
      </c>
    </row>
    <row r="301" spans="1:13" x14ac:dyDescent="0.4">
      <c r="A301" t="s">
        <v>974</v>
      </c>
      <c r="B301" t="s">
        <v>975</v>
      </c>
      <c r="C301" t="s">
        <v>40</v>
      </c>
      <c r="D301" s="1">
        <v>40085</v>
      </c>
      <c r="E301">
        <v>68.552036199095028</v>
      </c>
      <c r="F301">
        <v>39.479392624728852</v>
      </c>
      <c r="G301">
        <v>39.506172839506171</v>
      </c>
      <c r="H301">
        <v>30.632411067193676</v>
      </c>
      <c r="I301">
        <v>23.339658444022771</v>
      </c>
      <c r="J301">
        <v>56.581196581196579</v>
      </c>
      <c r="K301">
        <v>44.403441441916151</v>
      </c>
      <c r="L301">
        <v>30.632411067193676</v>
      </c>
      <c r="M301">
        <v>43.843744628141579</v>
      </c>
    </row>
    <row r="302" spans="1:13" x14ac:dyDescent="0.4">
      <c r="A302" t="s">
        <v>189</v>
      </c>
      <c r="B302" t="s">
        <v>190</v>
      </c>
      <c r="C302" t="s">
        <v>40</v>
      </c>
      <c r="D302" s="1">
        <v>40105</v>
      </c>
      <c r="E302">
        <v>50.904977375565608</v>
      </c>
      <c r="F302">
        <v>9.7613882863340571</v>
      </c>
      <c r="G302">
        <v>6.7901234567901234</v>
      </c>
      <c r="H302">
        <v>1.1857707509881423</v>
      </c>
      <c r="I302">
        <v>65.085388994307394</v>
      </c>
      <c r="J302">
        <v>87.863247863247864</v>
      </c>
      <c r="K302">
        <v>32.248920610337109</v>
      </c>
      <c r="L302">
        <v>1.1857707509881423</v>
      </c>
      <c r="M302">
        <v>39.045350105555173</v>
      </c>
    </row>
    <row r="303" spans="1:13" x14ac:dyDescent="0.4">
      <c r="A303" t="s">
        <v>113</v>
      </c>
      <c r="B303" t="s">
        <v>114</v>
      </c>
      <c r="C303" t="s">
        <v>40</v>
      </c>
      <c r="D303" s="1">
        <v>40106</v>
      </c>
      <c r="E303">
        <v>54.072398190045249</v>
      </c>
      <c r="F303">
        <v>3.9045553145336225</v>
      </c>
      <c r="G303">
        <v>46.707818930041149</v>
      </c>
      <c r="H303">
        <v>3.9525691699604741</v>
      </c>
      <c r="I303">
        <v>56.736242884250473</v>
      </c>
      <c r="J303">
        <v>45.982905982905983</v>
      </c>
      <c r="K303">
        <v>16.019993742269321</v>
      </c>
      <c r="L303">
        <v>3.9525691699604741</v>
      </c>
      <c r="M303">
        <v>52.184414175353723</v>
      </c>
    </row>
    <row r="304" spans="1:13" x14ac:dyDescent="0.4">
      <c r="A304" t="s">
        <v>976</v>
      </c>
      <c r="B304" t="s">
        <v>977</v>
      </c>
      <c r="C304" t="s">
        <v>64</v>
      </c>
      <c r="D304" s="1">
        <v>40114</v>
      </c>
      <c r="E304">
        <v>51.256281407035175</v>
      </c>
      <c r="F304">
        <v>62.144420131291028</v>
      </c>
      <c r="G304">
        <v>13.994910941475826</v>
      </c>
      <c r="H304">
        <v>83.004926108374377</v>
      </c>
      <c r="I304">
        <v>83.79661016949153</v>
      </c>
      <c r="J304">
        <v>32.271147161066047</v>
      </c>
      <c r="K304">
        <v>53.54313720178353</v>
      </c>
      <c r="L304">
        <v>83.004926108374377</v>
      </c>
      <c r="M304">
        <v>47.609682179862823</v>
      </c>
    </row>
    <row r="305" spans="1:13" x14ac:dyDescent="0.4">
      <c r="A305" t="s">
        <v>540</v>
      </c>
      <c r="B305" t="s">
        <v>541</v>
      </c>
      <c r="C305" t="s">
        <v>64</v>
      </c>
      <c r="D305" s="1">
        <v>40141</v>
      </c>
      <c r="E305">
        <v>40.201005025125632</v>
      </c>
      <c r="F305">
        <v>64.113785557986873</v>
      </c>
      <c r="G305">
        <v>33.969465648854964</v>
      </c>
      <c r="H305">
        <v>99.014778325123146</v>
      </c>
      <c r="I305">
        <v>99.254237288135599</v>
      </c>
      <c r="J305">
        <v>24.159907300115876</v>
      </c>
      <c r="K305">
        <v>52.610037328940422</v>
      </c>
      <c r="L305">
        <v>99.014778325123146</v>
      </c>
      <c r="M305">
        <v>56.200374676116319</v>
      </c>
    </row>
    <row r="306" spans="1:13" x14ac:dyDescent="0.4">
      <c r="A306" t="s">
        <v>210</v>
      </c>
      <c r="B306" t="s">
        <v>211</v>
      </c>
      <c r="C306" t="s">
        <v>40</v>
      </c>
      <c r="D306" s="1">
        <v>40142</v>
      </c>
      <c r="E306">
        <v>15.384615384615385</v>
      </c>
      <c r="F306">
        <v>43.817787418655101</v>
      </c>
      <c r="G306">
        <v>50.617283950617285</v>
      </c>
      <c r="H306">
        <v>43.675889328063242</v>
      </c>
      <c r="I306">
        <v>36.432637571157493</v>
      </c>
      <c r="J306">
        <v>52.136752136752136</v>
      </c>
      <c r="K306">
        <v>46.213031130057644</v>
      </c>
      <c r="L306">
        <v>43.675889328063242</v>
      </c>
      <c r="M306">
        <v>34.88593077294432</v>
      </c>
    </row>
    <row r="307" spans="1:13" x14ac:dyDescent="0.4">
      <c r="A307" t="s">
        <v>978</v>
      </c>
      <c r="B307" t="s">
        <v>979</v>
      </c>
      <c r="C307" t="s">
        <v>40</v>
      </c>
      <c r="D307" s="1">
        <v>40148</v>
      </c>
      <c r="E307">
        <v>82.352941176470594</v>
      </c>
      <c r="F307">
        <v>78.958785249457705</v>
      </c>
      <c r="G307">
        <v>18.930041152263374</v>
      </c>
      <c r="H307">
        <v>55.928853754940711</v>
      </c>
      <c r="I307">
        <v>77.41935483870968</v>
      </c>
      <c r="J307">
        <v>34.358974358974358</v>
      </c>
      <c r="K307">
        <v>66.117353630835566</v>
      </c>
      <c r="L307">
        <v>55.928853754940711</v>
      </c>
      <c r="M307">
        <v>57.458142050949185</v>
      </c>
    </row>
    <row r="308" spans="1:13" x14ac:dyDescent="0.4">
      <c r="A308" t="s">
        <v>980</v>
      </c>
      <c r="B308" t="s">
        <v>981</v>
      </c>
      <c r="C308" t="s">
        <v>40</v>
      </c>
      <c r="D308" s="1">
        <v>40150</v>
      </c>
      <c r="E308">
        <v>39.366515837104075</v>
      </c>
      <c r="F308">
        <v>78.524945770065074</v>
      </c>
      <c r="G308">
        <v>97.119341563786008</v>
      </c>
      <c r="H308">
        <v>32.213438735177867</v>
      </c>
      <c r="I308">
        <v>35.673624288425046</v>
      </c>
      <c r="J308">
        <v>67.692307692307693</v>
      </c>
      <c r="K308">
        <v>75.405950905571459</v>
      </c>
      <c r="L308">
        <v>32.213438735177867</v>
      </c>
      <c r="M308">
        <v>59.499783077188006</v>
      </c>
    </row>
    <row r="309" spans="1:13" x14ac:dyDescent="0.4">
      <c r="A309" t="s">
        <v>982</v>
      </c>
      <c r="B309" t="s">
        <v>983</v>
      </c>
      <c r="C309" t="s">
        <v>40</v>
      </c>
      <c r="D309" s="1">
        <v>40150</v>
      </c>
      <c r="E309">
        <v>36.651583710407238</v>
      </c>
      <c r="F309">
        <v>91.540130151843812</v>
      </c>
      <c r="G309">
        <v>22.839506172839506</v>
      </c>
      <c r="H309">
        <v>74.505928853754938</v>
      </c>
      <c r="I309">
        <v>53.510436432637569</v>
      </c>
      <c r="J309">
        <v>54.700854700854698</v>
      </c>
      <c r="K309">
        <v>80.933156105583791</v>
      </c>
      <c r="L309">
        <v>74.505928853754938</v>
      </c>
      <c r="M309">
        <v>36.785941334195272</v>
      </c>
    </row>
    <row r="310" spans="1:13" x14ac:dyDescent="0.4">
      <c r="A310" t="s">
        <v>984</v>
      </c>
      <c r="B310" t="s">
        <v>985</v>
      </c>
      <c r="C310" t="s">
        <v>40</v>
      </c>
      <c r="D310" s="1">
        <v>40158</v>
      </c>
      <c r="E310">
        <v>42.76018099547511</v>
      </c>
      <c r="F310">
        <v>82.863340563991329</v>
      </c>
      <c r="G310">
        <v>30.041152263374485</v>
      </c>
      <c r="H310">
        <v>72.92490118577075</v>
      </c>
      <c r="I310">
        <v>99.81024667931689</v>
      </c>
      <c r="J310">
        <v>25.470085470085468</v>
      </c>
      <c r="K310">
        <v>66.338347611256822</v>
      </c>
      <c r="L310">
        <v>72.92490118577075</v>
      </c>
      <c r="M310">
        <v>55.748824730676105</v>
      </c>
    </row>
    <row r="311" spans="1:13" x14ac:dyDescent="0.4">
      <c r="A311" t="s">
        <v>986</v>
      </c>
      <c r="B311" t="s">
        <v>987</v>
      </c>
      <c r="C311" t="s">
        <v>43</v>
      </c>
      <c r="D311" s="1">
        <v>40158</v>
      </c>
      <c r="E311">
        <v>35</v>
      </c>
      <c r="F311">
        <v>89.908256880733944</v>
      </c>
      <c r="G311">
        <v>50</v>
      </c>
      <c r="H311">
        <v>47.715736040609137</v>
      </c>
      <c r="I311">
        <v>71.559633027522935</v>
      </c>
      <c r="J311">
        <v>53.16901408450704</v>
      </c>
      <c r="K311">
        <v>79.330084806278535</v>
      </c>
      <c r="L311">
        <v>47.715736040609137</v>
      </c>
      <c r="M311">
        <v>51.85280496905316</v>
      </c>
    </row>
    <row r="312" spans="1:13" x14ac:dyDescent="0.4">
      <c r="A312" t="s">
        <v>988</v>
      </c>
      <c r="B312" t="s">
        <v>989</v>
      </c>
      <c r="C312" t="s">
        <v>40</v>
      </c>
      <c r="D312" s="1">
        <v>40164</v>
      </c>
      <c r="E312">
        <v>96.15384615384616</v>
      </c>
      <c r="F312">
        <v>10.195227765726681</v>
      </c>
      <c r="G312">
        <v>80.452674897119337</v>
      </c>
      <c r="H312">
        <v>26.086956521739129</v>
      </c>
      <c r="I312">
        <v>41.555977229601517</v>
      </c>
      <c r="J312">
        <v>76.410256410256409</v>
      </c>
      <c r="K312">
        <v>29.260236013222858</v>
      </c>
      <c r="L312">
        <v>26.086956521739133</v>
      </c>
      <c r="M312">
        <v>73.454314098282495</v>
      </c>
    </row>
    <row r="313" spans="1:13" x14ac:dyDescent="0.4">
      <c r="A313" t="s">
        <v>990</v>
      </c>
      <c r="B313" t="s">
        <v>991</v>
      </c>
      <c r="C313" t="s">
        <v>64</v>
      </c>
      <c r="D313" s="1">
        <v>40169</v>
      </c>
      <c r="E313">
        <v>39.195979899497488</v>
      </c>
      <c r="F313">
        <v>58.424507658643329</v>
      </c>
      <c r="G313">
        <v>11.323155216284988</v>
      </c>
      <c r="H313">
        <v>83.087027914614126</v>
      </c>
      <c r="I313">
        <v>12.542372881355933</v>
      </c>
      <c r="J313">
        <v>28.331402085747392</v>
      </c>
      <c r="K313">
        <v>49.759929273877624</v>
      </c>
      <c r="L313">
        <v>83.087027914614126</v>
      </c>
      <c r="M313">
        <v>20.669527483076301</v>
      </c>
    </row>
    <row r="314" spans="1:13" x14ac:dyDescent="0.4">
      <c r="A314" t="s">
        <v>992</v>
      </c>
      <c r="B314" t="s">
        <v>993</v>
      </c>
      <c r="C314" t="s">
        <v>40</v>
      </c>
      <c r="D314" s="1">
        <v>40169</v>
      </c>
      <c r="E314">
        <v>8.5972850678733028</v>
      </c>
      <c r="F314">
        <v>89.154013015184375</v>
      </c>
      <c r="G314">
        <v>51.851851851851855</v>
      </c>
      <c r="H314">
        <v>65.415019762845844</v>
      </c>
      <c r="I314">
        <v>33.586337760910816</v>
      </c>
      <c r="J314">
        <v>38.119658119658119</v>
      </c>
      <c r="K314">
        <v>74.459910831642759</v>
      </c>
      <c r="L314">
        <v>65.415019762845844</v>
      </c>
      <c r="M314">
        <v>32.275001834574397</v>
      </c>
    </row>
    <row r="315" spans="1:13" x14ac:dyDescent="0.4">
      <c r="A315" t="s">
        <v>388</v>
      </c>
      <c r="B315" t="s">
        <v>389</v>
      </c>
      <c r="C315" t="s">
        <v>40</v>
      </c>
      <c r="D315" s="1">
        <v>40172</v>
      </c>
      <c r="E315">
        <v>71.719457013574655</v>
      </c>
      <c r="F315">
        <v>53.796095444685463</v>
      </c>
      <c r="G315">
        <v>95.679012345679013</v>
      </c>
      <c r="H315">
        <v>27.66798418972332</v>
      </c>
      <c r="I315">
        <v>8.9184060721062615</v>
      </c>
      <c r="J315">
        <v>96.068376068376068</v>
      </c>
      <c r="K315">
        <v>65.96737128989669</v>
      </c>
      <c r="L315">
        <v>27.66798418972332</v>
      </c>
      <c r="M315">
        <v>61.090355157651004</v>
      </c>
    </row>
    <row r="316" spans="1:13" x14ac:dyDescent="0.4">
      <c r="A316" t="s">
        <v>994</v>
      </c>
      <c r="B316" t="s">
        <v>995</v>
      </c>
      <c r="C316" t="s">
        <v>40</v>
      </c>
      <c r="D316" s="1">
        <v>40177</v>
      </c>
      <c r="E316">
        <v>50</v>
      </c>
      <c r="F316">
        <v>53.579175704989154</v>
      </c>
      <c r="G316">
        <v>35.185185185185183</v>
      </c>
      <c r="H316">
        <v>10.671936758893281</v>
      </c>
      <c r="I316">
        <v>9.4876660341555983</v>
      </c>
      <c r="J316">
        <v>35.384615384615387</v>
      </c>
      <c r="K316">
        <v>48.340494250516208</v>
      </c>
      <c r="L316">
        <v>10.671936758893281</v>
      </c>
      <c r="M316">
        <v>31.990840358712124</v>
      </c>
    </row>
    <row r="317" spans="1:13" x14ac:dyDescent="0.4">
      <c r="A317" t="s">
        <v>298</v>
      </c>
      <c r="B317" t="s">
        <v>299</v>
      </c>
      <c r="C317" t="s">
        <v>40</v>
      </c>
      <c r="D317" s="1">
        <v>40177</v>
      </c>
      <c r="E317">
        <v>26.923076923076923</v>
      </c>
      <c r="F317">
        <v>25.813449023861171</v>
      </c>
      <c r="G317">
        <v>83.539094650205755</v>
      </c>
      <c r="H317">
        <v>87.351778656126484</v>
      </c>
      <c r="I317">
        <v>92.599620493358628</v>
      </c>
      <c r="J317">
        <v>31.282051282051281</v>
      </c>
      <c r="K317">
        <v>27.388000138448415</v>
      </c>
      <c r="L317">
        <v>87.351778656126484</v>
      </c>
      <c r="M317">
        <v>68.128768603290609</v>
      </c>
    </row>
    <row r="318" spans="1:13" x14ac:dyDescent="0.4">
      <c r="A318" t="s">
        <v>542</v>
      </c>
      <c r="B318" t="s">
        <v>543</v>
      </c>
      <c r="C318" t="s">
        <v>40</v>
      </c>
      <c r="D318" s="1">
        <v>40206</v>
      </c>
      <c r="E318">
        <v>22.171945701357465</v>
      </c>
      <c r="F318">
        <v>85.249457700650765</v>
      </c>
      <c r="G318">
        <v>80.246913580246911</v>
      </c>
      <c r="H318">
        <v>23.51778656126482</v>
      </c>
      <c r="I318">
        <v>31.309297912713472</v>
      </c>
      <c r="J318">
        <v>38.803418803418801</v>
      </c>
      <c r="K318">
        <v>71.876449597113393</v>
      </c>
      <c r="L318">
        <v>23.51778656126482</v>
      </c>
      <c r="M318">
        <v>46.398816908820571</v>
      </c>
    </row>
    <row r="319" spans="1:13" x14ac:dyDescent="0.4">
      <c r="A319" t="s">
        <v>996</v>
      </c>
      <c r="B319" t="s">
        <v>997</v>
      </c>
      <c r="C319" t="s">
        <v>40</v>
      </c>
      <c r="D319" s="1">
        <v>40212</v>
      </c>
      <c r="E319">
        <v>85.972850678733025</v>
      </c>
      <c r="F319">
        <v>17.787418655097614</v>
      </c>
      <c r="G319">
        <v>44.238683127572017</v>
      </c>
      <c r="H319">
        <v>86.956521739130437</v>
      </c>
      <c r="I319">
        <v>62.998102466793171</v>
      </c>
      <c r="J319">
        <v>46.324786324786324</v>
      </c>
      <c r="K319">
        <v>26.004060120364024</v>
      </c>
      <c r="L319">
        <v>86.956521739130437</v>
      </c>
      <c r="M319">
        <v>63.47932987412775</v>
      </c>
    </row>
    <row r="320" spans="1:13" x14ac:dyDescent="0.4">
      <c r="A320" t="s">
        <v>128</v>
      </c>
      <c r="B320" t="s">
        <v>129</v>
      </c>
      <c r="C320" t="s">
        <v>40</v>
      </c>
      <c r="D320" s="1">
        <v>40212</v>
      </c>
      <c r="E320">
        <v>9.2760180995475121</v>
      </c>
      <c r="F320">
        <v>69.41431670281996</v>
      </c>
      <c r="G320">
        <v>55.967078189300409</v>
      </c>
      <c r="H320">
        <v>37.944664031620555</v>
      </c>
      <c r="I320">
        <v>63.946869070208727</v>
      </c>
      <c r="J320">
        <v>22.393162393162392</v>
      </c>
      <c r="K320">
        <v>55.875718093537749</v>
      </c>
      <c r="L320">
        <v>37.944664031620555</v>
      </c>
      <c r="M320">
        <v>43.415488086443617</v>
      </c>
    </row>
    <row r="321" spans="1:13" x14ac:dyDescent="0.4">
      <c r="A321" t="s">
        <v>544</v>
      </c>
      <c r="B321" t="s">
        <v>545</v>
      </c>
      <c r="C321" t="s">
        <v>40</v>
      </c>
      <c r="D321" s="1">
        <v>40219</v>
      </c>
      <c r="E321">
        <v>21.266968325791854</v>
      </c>
      <c r="F321">
        <v>57.700650759219087</v>
      </c>
      <c r="G321">
        <v>59.876543209876544</v>
      </c>
      <c r="H321">
        <v>90.316205533596843</v>
      </c>
      <c r="I321">
        <v>96.394686907020869</v>
      </c>
      <c r="J321">
        <v>27.008547008547009</v>
      </c>
      <c r="K321">
        <v>48.863605406858397</v>
      </c>
      <c r="L321">
        <v>90.316205533596843</v>
      </c>
      <c r="M321">
        <v>58.766762795691854</v>
      </c>
    </row>
    <row r="322" spans="1:13" x14ac:dyDescent="0.4">
      <c r="A322" t="s">
        <v>546</v>
      </c>
      <c r="B322" t="s">
        <v>547</v>
      </c>
      <c r="C322" t="s">
        <v>40</v>
      </c>
      <c r="D322" s="1">
        <v>40219</v>
      </c>
      <c r="E322">
        <v>15.610859728506787</v>
      </c>
      <c r="F322">
        <v>63.774403470715832</v>
      </c>
      <c r="G322">
        <v>89.711934156378604</v>
      </c>
      <c r="H322">
        <v>84.387351778656125</v>
      </c>
      <c r="I322">
        <v>40.60721062618596</v>
      </c>
      <c r="J322">
        <v>27.692307692307693</v>
      </c>
      <c r="K322">
        <v>53.385440909130828</v>
      </c>
      <c r="L322">
        <v>84.387351778656125</v>
      </c>
      <c r="M322">
        <v>50.655340358032419</v>
      </c>
    </row>
    <row r="323" spans="1:13" x14ac:dyDescent="0.4">
      <c r="A323" t="s">
        <v>998</v>
      </c>
      <c r="B323" t="s">
        <v>999</v>
      </c>
      <c r="C323" t="s">
        <v>64</v>
      </c>
      <c r="D323" s="1">
        <v>40220</v>
      </c>
      <c r="E323">
        <v>73.366834170854275</v>
      </c>
      <c r="F323">
        <v>72.21006564551422</v>
      </c>
      <c r="G323">
        <v>58.905852417302796</v>
      </c>
      <c r="H323">
        <v>27.175697865353037</v>
      </c>
      <c r="I323">
        <v>13.084745762711865</v>
      </c>
      <c r="J323">
        <v>63.904982618771726</v>
      </c>
      <c r="K323">
        <v>69.818818829764837</v>
      </c>
      <c r="L323">
        <v>27.175697865353037</v>
      </c>
      <c r="M323">
        <v>49.363193886401234</v>
      </c>
    </row>
    <row r="324" spans="1:13" x14ac:dyDescent="0.4">
      <c r="A324" t="s">
        <v>300</v>
      </c>
      <c r="B324" t="s">
        <v>301</v>
      </c>
      <c r="C324" t="s">
        <v>40</v>
      </c>
      <c r="D324" s="1">
        <v>40220</v>
      </c>
      <c r="E324">
        <v>59.049773755656112</v>
      </c>
      <c r="F324">
        <v>23.210412147505423</v>
      </c>
      <c r="G324">
        <v>77.36625514403292</v>
      </c>
      <c r="H324">
        <v>68.77470355731225</v>
      </c>
      <c r="I324">
        <v>4.7438330170777991</v>
      </c>
      <c r="J324">
        <v>95.384615384615387</v>
      </c>
      <c r="K324">
        <v>43.991219890698076</v>
      </c>
      <c r="L324">
        <v>68.77470355731225</v>
      </c>
      <c r="M324">
        <v>48.973502961790416</v>
      </c>
    </row>
    <row r="325" spans="1:13" x14ac:dyDescent="0.4">
      <c r="A325" t="s">
        <v>654</v>
      </c>
      <c r="B325" t="s">
        <v>655</v>
      </c>
      <c r="C325" t="s">
        <v>40</v>
      </c>
      <c r="D325" s="1">
        <v>40262</v>
      </c>
      <c r="E325">
        <v>41.402714932126699</v>
      </c>
      <c r="F325">
        <v>34.924078091106288</v>
      </c>
      <c r="G325">
        <v>81.275720164609055</v>
      </c>
      <c r="H325">
        <v>39.723320158102766</v>
      </c>
      <c r="I325">
        <v>55.597722960151806</v>
      </c>
      <c r="J325">
        <v>94.700854700854705</v>
      </c>
      <c r="K325">
        <v>52.135348136637568</v>
      </c>
      <c r="L325">
        <v>39.723320158102766</v>
      </c>
      <c r="M325">
        <v>60.490505232202139</v>
      </c>
    </row>
    <row r="326" spans="1:13" x14ac:dyDescent="0.4">
      <c r="A326" t="s">
        <v>548</v>
      </c>
      <c r="B326" t="s">
        <v>549</v>
      </c>
      <c r="C326" t="s">
        <v>64</v>
      </c>
      <c r="D326" s="1">
        <v>40263</v>
      </c>
      <c r="E326">
        <v>31.658291457286431</v>
      </c>
      <c r="F326">
        <v>53.610503282275708</v>
      </c>
      <c r="G326">
        <v>10.559796437659033</v>
      </c>
      <c r="H326">
        <v>94.909688013136289</v>
      </c>
      <c r="I326">
        <v>93.627118644067792</v>
      </c>
      <c r="J326">
        <v>2.2016222479721899</v>
      </c>
      <c r="K326">
        <v>38.80856539933383</v>
      </c>
      <c r="L326">
        <v>94.909688013136289</v>
      </c>
      <c r="M326">
        <v>43.083638078495923</v>
      </c>
    </row>
    <row r="327" spans="1:13" x14ac:dyDescent="0.4">
      <c r="A327" t="s">
        <v>173</v>
      </c>
      <c r="B327" t="s">
        <v>174</v>
      </c>
      <c r="C327" t="s">
        <v>40</v>
      </c>
      <c r="D327" s="1">
        <v>40267</v>
      </c>
      <c r="E327">
        <v>19.004524886877828</v>
      </c>
      <c r="F327">
        <v>25.379609544468547</v>
      </c>
      <c r="G327">
        <v>1.8518518518518519</v>
      </c>
      <c r="H327">
        <v>90.118577075098813</v>
      </c>
      <c r="I327">
        <v>66.034155597722958</v>
      </c>
      <c r="J327">
        <v>97.948717948717942</v>
      </c>
      <c r="K327">
        <v>46.27412063299856</v>
      </c>
      <c r="L327">
        <v>90.118577075098813</v>
      </c>
      <c r="M327">
        <v>27.255303665969802</v>
      </c>
    </row>
    <row r="328" spans="1:13" x14ac:dyDescent="0.4">
      <c r="A328" t="s">
        <v>144</v>
      </c>
      <c r="B328" t="s">
        <v>145</v>
      </c>
      <c r="C328" t="s">
        <v>40</v>
      </c>
      <c r="D328" s="1">
        <v>40282</v>
      </c>
      <c r="E328">
        <v>12.669683257918551</v>
      </c>
      <c r="F328">
        <v>47.071583514099785</v>
      </c>
      <c r="G328">
        <v>0.20576131687242799</v>
      </c>
      <c r="H328">
        <v>92.094861660079047</v>
      </c>
      <c r="I328">
        <v>97.153700189753323</v>
      </c>
      <c r="J328">
        <v>21.367521367521366</v>
      </c>
      <c r="K328">
        <v>39.670723515239743</v>
      </c>
      <c r="L328">
        <v>92.094861660079047</v>
      </c>
      <c r="M328">
        <v>34.251588075505872</v>
      </c>
    </row>
    <row r="329" spans="1:13" x14ac:dyDescent="0.4">
      <c r="A329" t="s">
        <v>302</v>
      </c>
      <c r="B329" t="s">
        <v>303</v>
      </c>
      <c r="C329" t="s">
        <v>40</v>
      </c>
      <c r="D329" s="1">
        <v>40282</v>
      </c>
      <c r="E329">
        <v>52.71493212669683</v>
      </c>
      <c r="F329">
        <v>11.713665943600867</v>
      </c>
      <c r="G329">
        <v>18.106995884773664</v>
      </c>
      <c r="H329">
        <v>62.648221343873516</v>
      </c>
      <c r="I329">
        <v>88.425047438330168</v>
      </c>
      <c r="J329">
        <v>19.487179487179485</v>
      </c>
      <c r="K329">
        <v>13.951860245621955</v>
      </c>
      <c r="L329">
        <v>62.648221343873516</v>
      </c>
      <c r="M329">
        <v>51.027941101817284</v>
      </c>
    </row>
    <row r="330" spans="1:13" x14ac:dyDescent="0.4">
      <c r="A330" t="s">
        <v>1000</v>
      </c>
      <c r="B330" t="s">
        <v>1001</v>
      </c>
      <c r="C330" t="s">
        <v>40</v>
      </c>
      <c r="D330" s="1">
        <v>40282</v>
      </c>
      <c r="E330">
        <v>84.841628959276022</v>
      </c>
      <c r="F330">
        <v>98.264642082429503</v>
      </c>
      <c r="G330">
        <v>92.798353909465021</v>
      </c>
      <c r="H330">
        <v>76.482213438735172</v>
      </c>
      <c r="I330">
        <v>37.950664136622393</v>
      </c>
      <c r="J330">
        <v>65.641025641025635</v>
      </c>
      <c r="K330">
        <v>88.871464593108882</v>
      </c>
      <c r="L330">
        <v>76.482213438735172</v>
      </c>
      <c r="M330">
        <v>73.24582919323646</v>
      </c>
    </row>
    <row r="331" spans="1:13" x14ac:dyDescent="0.4">
      <c r="A331" t="s">
        <v>550</v>
      </c>
      <c r="B331" t="s">
        <v>551</v>
      </c>
      <c r="C331" t="s">
        <v>64</v>
      </c>
      <c r="D331" s="1">
        <v>40287</v>
      </c>
      <c r="E331">
        <v>33.668341708542712</v>
      </c>
      <c r="F331">
        <v>92.341356673960618</v>
      </c>
      <c r="G331">
        <v>8.9058524173027998</v>
      </c>
      <c r="H331">
        <v>6.3218390804597702</v>
      </c>
      <c r="I331">
        <v>73.423728813559322</v>
      </c>
      <c r="J331">
        <v>96.118192352259555</v>
      </c>
      <c r="K331">
        <v>93.428804717557526</v>
      </c>
      <c r="L331">
        <v>6.3218390804597702</v>
      </c>
      <c r="M331">
        <v>36.861880654113776</v>
      </c>
    </row>
    <row r="332" spans="1:13" x14ac:dyDescent="0.4">
      <c r="A332" t="s">
        <v>1002</v>
      </c>
      <c r="B332" t="s">
        <v>1003</v>
      </c>
      <c r="C332" t="s">
        <v>40</v>
      </c>
      <c r="D332" s="1">
        <v>40290</v>
      </c>
      <c r="E332">
        <v>71.040723981900456</v>
      </c>
      <c r="F332">
        <v>1.5184381778741864</v>
      </c>
      <c r="G332">
        <v>24.691358024691358</v>
      </c>
      <c r="H332">
        <v>82.806324110671937</v>
      </c>
      <c r="I332">
        <v>3.4155597722960152</v>
      </c>
      <c r="J332">
        <v>68.888888888888886</v>
      </c>
      <c r="K332">
        <v>20.916122128723618</v>
      </c>
      <c r="L332">
        <v>82.806324110671937</v>
      </c>
      <c r="M332">
        <v>33.013783497321569</v>
      </c>
    </row>
    <row r="333" spans="1:13" x14ac:dyDescent="0.4">
      <c r="A333" t="s">
        <v>57</v>
      </c>
      <c r="B333" t="s">
        <v>58</v>
      </c>
      <c r="C333" t="s">
        <v>40</v>
      </c>
      <c r="D333" s="1">
        <v>40296</v>
      </c>
      <c r="E333">
        <v>63.122171945701361</v>
      </c>
      <c r="F333">
        <v>1.3015184381778742</v>
      </c>
      <c r="G333">
        <v>17.901234567901234</v>
      </c>
      <c r="H333">
        <v>48.418972332015812</v>
      </c>
      <c r="I333">
        <v>45.161290322580648</v>
      </c>
      <c r="J333">
        <v>30.085470085470085</v>
      </c>
      <c r="K333">
        <v>9.589157766964794</v>
      </c>
      <c r="L333">
        <v>48.418972332015812</v>
      </c>
      <c r="M333">
        <v>40.897390782123964</v>
      </c>
    </row>
    <row r="334" spans="1:13" x14ac:dyDescent="0.4">
      <c r="A334" t="s">
        <v>212</v>
      </c>
      <c r="B334" t="s">
        <v>213</v>
      </c>
      <c r="C334" t="s">
        <v>40</v>
      </c>
      <c r="D334" s="1">
        <v>40303</v>
      </c>
      <c r="E334">
        <v>4.0723981900452486</v>
      </c>
      <c r="F334">
        <v>37.744034707158349</v>
      </c>
      <c r="G334">
        <v>67.901234567901241</v>
      </c>
      <c r="H334">
        <v>63.043478260869563</v>
      </c>
      <c r="I334">
        <v>15.939278937381404</v>
      </c>
      <c r="J334">
        <v>52.307692307692307</v>
      </c>
      <c r="K334">
        <v>41.937285966754814</v>
      </c>
      <c r="L334">
        <v>63.043478260869563</v>
      </c>
      <c r="M334">
        <v>31.264747134949207</v>
      </c>
    </row>
    <row r="335" spans="1:13" x14ac:dyDescent="0.4">
      <c r="A335" t="s">
        <v>51</v>
      </c>
      <c r="B335" t="s">
        <v>52</v>
      </c>
      <c r="C335" t="s">
        <v>40</v>
      </c>
      <c r="D335" s="1">
        <v>40309</v>
      </c>
      <c r="E335">
        <v>58.597285067873301</v>
      </c>
      <c r="F335">
        <v>8.676789587852495</v>
      </c>
      <c r="G335">
        <v>10.2880658436214</v>
      </c>
      <c r="H335">
        <v>66.600790513833985</v>
      </c>
      <c r="I335">
        <v>70.018975332068308</v>
      </c>
      <c r="J335">
        <v>13.162393162393162</v>
      </c>
      <c r="K335">
        <v>9.9683101216985701</v>
      </c>
      <c r="L335">
        <v>66.600790513833985</v>
      </c>
      <c r="M335">
        <v>44.33768968193661</v>
      </c>
    </row>
    <row r="336" spans="1:13" x14ac:dyDescent="0.4">
      <c r="A336" t="s">
        <v>390</v>
      </c>
      <c r="B336" t="s">
        <v>391</v>
      </c>
      <c r="C336" t="s">
        <v>40</v>
      </c>
      <c r="D336" s="1">
        <v>40310</v>
      </c>
      <c r="E336">
        <v>68.778280542986423</v>
      </c>
      <c r="F336">
        <v>38.828633405639913</v>
      </c>
      <c r="G336">
        <v>65.02057613168725</v>
      </c>
      <c r="H336">
        <v>68.181818181818187</v>
      </c>
      <c r="I336">
        <v>22.770398481973434</v>
      </c>
      <c r="J336">
        <v>36.410256410256409</v>
      </c>
      <c r="K336">
        <v>38.132320524616183</v>
      </c>
      <c r="L336">
        <v>68.181818181818187</v>
      </c>
      <c r="M336">
        <v>53.140225025662843</v>
      </c>
    </row>
    <row r="337" spans="1:13" x14ac:dyDescent="0.4">
      <c r="A337" t="s">
        <v>552</v>
      </c>
      <c r="B337" t="s">
        <v>553</v>
      </c>
      <c r="C337" t="s">
        <v>40</v>
      </c>
      <c r="D337" s="1">
        <v>40316</v>
      </c>
      <c r="E337">
        <v>17.420814479638008</v>
      </c>
      <c r="F337">
        <v>50.542299349240778</v>
      </c>
      <c r="G337">
        <v>28.806584362139919</v>
      </c>
      <c r="H337">
        <v>40.711462450592883</v>
      </c>
      <c r="I337">
        <v>78.557874762808353</v>
      </c>
      <c r="J337">
        <v>24.615384615384617</v>
      </c>
      <c r="K337">
        <v>43.07727436395092</v>
      </c>
      <c r="L337">
        <v>40.711462450592883</v>
      </c>
      <c r="M337">
        <v>40.556359619771634</v>
      </c>
    </row>
    <row r="338" spans="1:13" x14ac:dyDescent="0.4">
      <c r="A338" t="s">
        <v>1004</v>
      </c>
      <c r="B338" t="s">
        <v>1005</v>
      </c>
      <c r="C338" t="s">
        <v>40</v>
      </c>
      <c r="D338" s="1">
        <v>40317</v>
      </c>
      <c r="E338">
        <v>19.683257918552037</v>
      </c>
      <c r="F338">
        <v>54.229934924078094</v>
      </c>
      <c r="G338">
        <v>76.748971193415642</v>
      </c>
      <c r="H338">
        <v>61.462450592885375</v>
      </c>
      <c r="I338">
        <v>53.889943074003796</v>
      </c>
      <c r="J338">
        <v>99.82905982905983</v>
      </c>
      <c r="K338">
        <v>67.359094726441242</v>
      </c>
      <c r="L338">
        <v>61.462450592885375</v>
      </c>
      <c r="M338">
        <v>51.30499373663816</v>
      </c>
    </row>
    <row r="339" spans="1:13" x14ac:dyDescent="0.4">
      <c r="A339" t="s">
        <v>1006</v>
      </c>
      <c r="B339" t="s">
        <v>1007</v>
      </c>
      <c r="C339" t="s">
        <v>40</v>
      </c>
      <c r="D339" s="1">
        <v>40330</v>
      </c>
      <c r="E339">
        <v>67.420814479638011</v>
      </c>
      <c r="F339">
        <v>30.368763557483732</v>
      </c>
      <c r="G339">
        <v>8.2304526748971192</v>
      </c>
      <c r="H339">
        <v>71.739130434782609</v>
      </c>
      <c r="I339">
        <v>75.901328273244786</v>
      </c>
      <c r="J339">
        <v>2.3931623931623931</v>
      </c>
      <c r="K339">
        <v>22.313869104598638</v>
      </c>
      <c r="L339">
        <v>71.739130434782609</v>
      </c>
      <c r="M339">
        <v>48.241175289068586</v>
      </c>
    </row>
    <row r="340" spans="1:13" x14ac:dyDescent="0.4">
      <c r="A340" t="s">
        <v>1008</v>
      </c>
      <c r="B340" t="s">
        <v>1009</v>
      </c>
      <c r="C340" t="s">
        <v>40</v>
      </c>
      <c r="D340" s="1">
        <v>40336</v>
      </c>
      <c r="E340">
        <v>83.484162895927597</v>
      </c>
      <c r="F340">
        <v>55.748373101952275</v>
      </c>
      <c r="G340">
        <v>49.794238683127574</v>
      </c>
      <c r="H340">
        <v>35.375494071146242</v>
      </c>
      <c r="I340">
        <v>15.370018975332068</v>
      </c>
      <c r="J340">
        <v>40</v>
      </c>
      <c r="K340">
        <v>51.214011806343727</v>
      </c>
      <c r="L340">
        <v>35.375494071146242</v>
      </c>
      <c r="M340">
        <v>49.969737138778498</v>
      </c>
    </row>
    <row r="341" spans="1:13" x14ac:dyDescent="0.4">
      <c r="A341" t="s">
        <v>1010</v>
      </c>
      <c r="B341" t="s">
        <v>1011</v>
      </c>
      <c r="C341" t="s">
        <v>43</v>
      </c>
      <c r="D341" s="1">
        <v>40337</v>
      </c>
      <c r="E341">
        <v>77.5</v>
      </c>
      <c r="F341">
        <v>54.128440366972477</v>
      </c>
      <c r="G341">
        <v>75.641025641025635</v>
      </c>
      <c r="H341">
        <v>77.664974619289339</v>
      </c>
      <c r="I341">
        <v>97.247706422018354</v>
      </c>
      <c r="J341">
        <v>32.394366197183096</v>
      </c>
      <c r="K341">
        <v>47.870641921800924</v>
      </c>
      <c r="L341">
        <v>77.664974619289339</v>
      </c>
      <c r="M341">
        <v>82.93312423533331</v>
      </c>
    </row>
    <row r="342" spans="1:13" x14ac:dyDescent="0.4">
      <c r="A342" t="s">
        <v>1012</v>
      </c>
      <c r="B342" t="s">
        <v>1013</v>
      </c>
      <c r="C342" t="s">
        <v>40</v>
      </c>
      <c r="D342" s="1">
        <v>40347</v>
      </c>
      <c r="E342">
        <v>14.705882352941176</v>
      </c>
      <c r="F342">
        <v>74.837310195227772</v>
      </c>
      <c r="G342">
        <v>13.168724279835391</v>
      </c>
      <c r="H342">
        <v>57.707509881422922</v>
      </c>
      <c r="I342">
        <v>49.146110056925998</v>
      </c>
      <c r="J342">
        <v>55.213675213675216</v>
      </c>
      <c r="K342">
        <v>69.187161423449481</v>
      </c>
      <c r="L342">
        <v>57.707509881422922</v>
      </c>
      <c r="M342">
        <v>24.809440114682189</v>
      </c>
    </row>
    <row r="343" spans="1:13" x14ac:dyDescent="0.4">
      <c r="A343" t="s">
        <v>304</v>
      </c>
      <c r="B343" t="s">
        <v>305</v>
      </c>
      <c r="C343" t="s">
        <v>40</v>
      </c>
      <c r="D343" s="1">
        <v>40351</v>
      </c>
      <c r="E343">
        <v>42.307692307692307</v>
      </c>
      <c r="F343">
        <v>14.967462039045554</v>
      </c>
      <c r="G343">
        <v>30.864197530864196</v>
      </c>
      <c r="H343">
        <v>54.74308300395257</v>
      </c>
      <c r="I343">
        <v>51.802656546489565</v>
      </c>
      <c r="J343">
        <v>65.128205128205124</v>
      </c>
      <c r="K343">
        <v>29.410028934685922</v>
      </c>
      <c r="L343">
        <v>54.743083003952577</v>
      </c>
      <c r="M343">
        <v>41.033289612220337</v>
      </c>
    </row>
    <row r="344" spans="1:13" x14ac:dyDescent="0.4">
      <c r="A344" t="s">
        <v>95</v>
      </c>
      <c r="B344" t="s">
        <v>96</v>
      </c>
      <c r="C344" t="s">
        <v>40</v>
      </c>
      <c r="D344" s="1">
        <v>40351</v>
      </c>
      <c r="E344">
        <v>39.140271493212673</v>
      </c>
      <c r="F344">
        <v>29.067245119305856</v>
      </c>
      <c r="G344">
        <v>4.5267489711934159</v>
      </c>
      <c r="H344">
        <v>28.853754940711461</v>
      </c>
      <c r="I344">
        <v>50.664136622390892</v>
      </c>
      <c r="J344">
        <v>38.46153846153846</v>
      </c>
      <c r="K344">
        <v>31.772103573880567</v>
      </c>
      <c r="L344">
        <v>28.853754940711461</v>
      </c>
      <c r="M344">
        <v>29.958113755982087</v>
      </c>
    </row>
    <row r="345" spans="1:13" x14ac:dyDescent="0.4">
      <c r="A345" t="s">
        <v>554</v>
      </c>
      <c r="B345" t="s">
        <v>555</v>
      </c>
      <c r="C345" t="s">
        <v>40</v>
      </c>
      <c r="D345" s="1">
        <v>40357</v>
      </c>
      <c r="E345">
        <v>14.932126696832579</v>
      </c>
      <c r="F345">
        <v>77.440347071583517</v>
      </c>
      <c r="G345">
        <v>78.189300411522638</v>
      </c>
      <c r="H345">
        <v>62.845849802371539</v>
      </c>
      <c r="I345">
        <v>54.079696394686906</v>
      </c>
      <c r="J345">
        <v>99.145299145299148</v>
      </c>
      <c r="K345">
        <v>83.689760516956738</v>
      </c>
      <c r="L345">
        <v>62.845849802371539</v>
      </c>
      <c r="M345">
        <v>50.365655471795264</v>
      </c>
    </row>
    <row r="346" spans="1:13" x14ac:dyDescent="0.4">
      <c r="A346" t="s">
        <v>1014</v>
      </c>
      <c r="B346" t="s">
        <v>1015</v>
      </c>
      <c r="C346" t="s">
        <v>40</v>
      </c>
      <c r="D346" s="1">
        <v>40358</v>
      </c>
      <c r="E346">
        <v>20.81447963800905</v>
      </c>
      <c r="F346">
        <v>64.859002169197396</v>
      </c>
      <c r="G346">
        <v>48.148148148148145</v>
      </c>
      <c r="H346">
        <v>8.4980237154150196</v>
      </c>
      <c r="I346">
        <v>47.817836812144215</v>
      </c>
      <c r="J346">
        <v>8.3760683760683765</v>
      </c>
      <c r="K346">
        <v>48.596114111113813</v>
      </c>
      <c r="L346">
        <v>8.4980237154150196</v>
      </c>
      <c r="M346">
        <v>39.250651180142846</v>
      </c>
    </row>
    <row r="347" spans="1:13" x14ac:dyDescent="0.4">
      <c r="A347" t="s">
        <v>138</v>
      </c>
      <c r="B347" t="s">
        <v>139</v>
      </c>
      <c r="C347" t="s">
        <v>64</v>
      </c>
      <c r="D347" s="1">
        <v>40359</v>
      </c>
      <c r="E347">
        <v>5.5276381909547743</v>
      </c>
      <c r="F347">
        <v>56.673960612691467</v>
      </c>
      <c r="G347">
        <v>5.9796437659033082</v>
      </c>
      <c r="H347">
        <v>74.137931034482762</v>
      </c>
      <c r="I347">
        <v>19.661016949152543</v>
      </c>
      <c r="J347">
        <v>12.050984936268829</v>
      </c>
      <c r="K347">
        <v>43.825859256941293</v>
      </c>
      <c r="L347">
        <v>74.137931034482762</v>
      </c>
      <c r="M347">
        <v>10.072809022841582</v>
      </c>
    </row>
    <row r="348" spans="1:13" x14ac:dyDescent="0.4">
      <c r="A348" t="s">
        <v>556</v>
      </c>
      <c r="B348" t="s">
        <v>557</v>
      </c>
      <c r="C348" t="s">
        <v>40</v>
      </c>
      <c r="D348" s="1">
        <v>40375</v>
      </c>
      <c r="E348">
        <v>16.742081447963802</v>
      </c>
      <c r="F348">
        <v>62.689804772234275</v>
      </c>
      <c r="G348">
        <v>47.736625514403293</v>
      </c>
      <c r="H348">
        <v>4.3478260869565215</v>
      </c>
      <c r="I348">
        <v>19.924098671726757</v>
      </c>
      <c r="J348">
        <v>64.444444444444443</v>
      </c>
      <c r="K348">
        <v>63.195010622127612</v>
      </c>
      <c r="L348">
        <v>4.3478260869565215</v>
      </c>
      <c r="M348">
        <v>29.14694033961209</v>
      </c>
    </row>
    <row r="349" spans="1:13" x14ac:dyDescent="0.4">
      <c r="A349" t="s">
        <v>392</v>
      </c>
      <c r="B349" t="s">
        <v>393</v>
      </c>
      <c r="C349" t="s">
        <v>40</v>
      </c>
      <c r="D349" s="1">
        <v>40380</v>
      </c>
      <c r="E349">
        <v>18.552036199095024</v>
      </c>
      <c r="F349">
        <v>67.895878524945772</v>
      </c>
      <c r="G349">
        <v>54.320987654320987</v>
      </c>
      <c r="H349">
        <v>56.521739130434781</v>
      </c>
      <c r="I349">
        <v>88.994307400379512</v>
      </c>
      <c r="J349">
        <v>9.4017094017094021</v>
      </c>
      <c r="K349">
        <v>51.053904133425704</v>
      </c>
      <c r="L349">
        <v>56.521739130434774</v>
      </c>
      <c r="M349">
        <v>53.553693243762829</v>
      </c>
    </row>
    <row r="350" spans="1:13" x14ac:dyDescent="0.4">
      <c r="A350" t="s">
        <v>1016</v>
      </c>
      <c r="B350" t="s">
        <v>1017</v>
      </c>
      <c r="C350" t="s">
        <v>40</v>
      </c>
      <c r="D350" s="1">
        <v>40387</v>
      </c>
      <c r="E350">
        <v>54.298642533936651</v>
      </c>
      <c r="F350">
        <v>58.785249457700651</v>
      </c>
      <c r="G350">
        <v>7.6131687242798352</v>
      </c>
      <c r="H350">
        <v>90.51383399209486</v>
      </c>
      <c r="I350">
        <v>89.184060721062622</v>
      </c>
      <c r="J350">
        <v>74.871794871794876</v>
      </c>
      <c r="K350">
        <v>63.416979251851622</v>
      </c>
      <c r="L350">
        <v>90.51383399209486</v>
      </c>
      <c r="M350">
        <v>47.906534133328186</v>
      </c>
    </row>
    <row r="351" spans="1:13" x14ac:dyDescent="0.4">
      <c r="A351" t="s">
        <v>1018</v>
      </c>
      <c r="B351" t="s">
        <v>1019</v>
      </c>
      <c r="C351" t="s">
        <v>40</v>
      </c>
      <c r="D351" s="1">
        <v>40389</v>
      </c>
      <c r="E351">
        <v>21.040723981900452</v>
      </c>
      <c r="F351">
        <v>54.663774403470718</v>
      </c>
      <c r="G351">
        <v>55.144032921810698</v>
      </c>
      <c r="H351">
        <v>64.229249011857704</v>
      </c>
      <c r="I351">
        <v>38.70967741935484</v>
      </c>
      <c r="J351">
        <v>93.84615384615384</v>
      </c>
      <c r="K351">
        <v>65.945388298732425</v>
      </c>
      <c r="L351">
        <v>64.229249011857704</v>
      </c>
      <c r="M351">
        <v>39.079094907490216</v>
      </c>
    </row>
    <row r="352" spans="1:13" x14ac:dyDescent="0.4">
      <c r="A352" t="s">
        <v>558</v>
      </c>
      <c r="B352" t="s">
        <v>559</v>
      </c>
      <c r="C352" t="s">
        <v>64</v>
      </c>
      <c r="D352" s="1">
        <v>40403</v>
      </c>
      <c r="E352">
        <v>18.090452261306531</v>
      </c>
      <c r="F352">
        <v>72.428884026258203</v>
      </c>
      <c r="G352">
        <v>4.1984732824427482</v>
      </c>
      <c r="H352">
        <v>6.5681444991789819</v>
      </c>
      <c r="I352">
        <v>18.372881355932204</v>
      </c>
      <c r="J352">
        <v>22.711471610660485</v>
      </c>
      <c r="K352">
        <v>58.113963423624803</v>
      </c>
      <c r="L352">
        <v>6.5681444991789819</v>
      </c>
      <c r="M352">
        <v>13.059853708696489</v>
      </c>
    </row>
    <row r="353" spans="1:13" x14ac:dyDescent="0.4">
      <c r="A353" t="s">
        <v>306</v>
      </c>
      <c r="B353" t="s">
        <v>307</v>
      </c>
      <c r="C353" t="s">
        <v>43</v>
      </c>
      <c r="D353" s="1">
        <v>40410</v>
      </c>
      <c r="E353">
        <v>97.5</v>
      </c>
      <c r="F353">
        <v>15.596330275229358</v>
      </c>
      <c r="G353">
        <v>6.4102564102564106</v>
      </c>
      <c r="H353">
        <v>2.5380710659898478</v>
      </c>
      <c r="I353">
        <v>0.91743119266055051</v>
      </c>
      <c r="J353">
        <v>91.901408450704224</v>
      </c>
      <c r="K353">
        <v>37.566523062595181</v>
      </c>
      <c r="L353">
        <v>2.5380710659898478</v>
      </c>
      <c r="M353">
        <v>34.018509154614897</v>
      </c>
    </row>
    <row r="354" spans="1:13" x14ac:dyDescent="0.4">
      <c r="A354" t="s">
        <v>560</v>
      </c>
      <c r="B354" t="s">
        <v>561</v>
      </c>
      <c r="C354" t="s">
        <v>64</v>
      </c>
      <c r="D354" s="1">
        <v>40415</v>
      </c>
      <c r="E354">
        <v>18.592964824120603</v>
      </c>
      <c r="F354">
        <v>85.776805251641136</v>
      </c>
      <c r="G354">
        <v>39.185750636132319</v>
      </c>
      <c r="H354">
        <v>51.970443349753694</v>
      </c>
      <c r="I354">
        <v>6.8474576271186445</v>
      </c>
      <c r="J354">
        <v>98.261877172653527</v>
      </c>
      <c r="K354">
        <v>89.371578281530148</v>
      </c>
      <c r="L354">
        <v>51.970443349753694</v>
      </c>
      <c r="M354">
        <v>22.540921362489144</v>
      </c>
    </row>
    <row r="355" spans="1:13" x14ac:dyDescent="0.4">
      <c r="A355" t="s">
        <v>1020</v>
      </c>
      <c r="B355" t="s">
        <v>1021</v>
      </c>
      <c r="C355" t="s">
        <v>40</v>
      </c>
      <c r="D355" s="1">
        <v>40422</v>
      </c>
      <c r="E355">
        <v>89.592760180995469</v>
      </c>
      <c r="F355">
        <v>68.76355748373102</v>
      </c>
      <c r="G355">
        <v>34.362139917695472</v>
      </c>
      <c r="H355">
        <v>41.304347826086953</v>
      </c>
      <c r="I355">
        <v>33.965844402277042</v>
      </c>
      <c r="J355">
        <v>67.350427350427353</v>
      </c>
      <c r="K355">
        <v>68.356681005720986</v>
      </c>
      <c r="L355">
        <v>41.304347826086953</v>
      </c>
      <c r="M355">
        <v>52.010939334363322</v>
      </c>
    </row>
    <row r="356" spans="1:13" x14ac:dyDescent="0.4">
      <c r="A356" t="s">
        <v>1022</v>
      </c>
      <c r="B356" t="s">
        <v>1023</v>
      </c>
      <c r="C356" t="s">
        <v>40</v>
      </c>
      <c r="D356" s="1">
        <v>40436</v>
      </c>
      <c r="E356">
        <v>66.742081447963798</v>
      </c>
      <c r="F356">
        <v>20.390455531453362</v>
      </c>
      <c r="G356">
        <v>68.930041152263371</v>
      </c>
      <c r="H356">
        <v>25.494071146245059</v>
      </c>
      <c r="I356">
        <v>71.157495256166982</v>
      </c>
      <c r="J356">
        <v>8.5470085470085468</v>
      </c>
      <c r="K356">
        <v>16.98042280837792</v>
      </c>
      <c r="L356">
        <v>25.494071146245059</v>
      </c>
      <c r="M356">
        <v>68.91610509060601</v>
      </c>
    </row>
    <row r="357" spans="1:13" x14ac:dyDescent="0.4">
      <c r="A357" t="s">
        <v>1024</v>
      </c>
      <c r="B357" t="s">
        <v>1025</v>
      </c>
      <c r="C357" t="s">
        <v>40</v>
      </c>
      <c r="D357" s="1">
        <v>40436</v>
      </c>
      <c r="E357">
        <v>79.864253393665152</v>
      </c>
      <c r="F357">
        <v>94.793926247288496</v>
      </c>
      <c r="G357">
        <v>87.654320987654316</v>
      </c>
      <c r="H357">
        <v>6.3241106719367588</v>
      </c>
      <c r="I357">
        <v>13.092979127134726</v>
      </c>
      <c r="J357">
        <v>95.555555555555557</v>
      </c>
      <c r="K357">
        <v>95.01321889641801</v>
      </c>
      <c r="L357">
        <v>6.3241106719367588</v>
      </c>
      <c r="M357">
        <v>62.047962465336539</v>
      </c>
    </row>
    <row r="358" spans="1:13" x14ac:dyDescent="0.4">
      <c r="A358" t="s">
        <v>1026</v>
      </c>
      <c r="B358" t="s">
        <v>1027</v>
      </c>
      <c r="C358" t="s">
        <v>40</v>
      </c>
      <c r="D358" s="1">
        <v>40442</v>
      </c>
      <c r="E358">
        <v>79.638009049773757</v>
      </c>
      <c r="F358">
        <v>63.340563991323208</v>
      </c>
      <c r="G358">
        <v>53.703703703703702</v>
      </c>
      <c r="H358">
        <v>81.422924901185766</v>
      </c>
      <c r="I358">
        <v>87.096774193548384</v>
      </c>
      <c r="J358">
        <v>1.5384615384615385</v>
      </c>
      <c r="K358">
        <v>45.546150591582851</v>
      </c>
      <c r="L358">
        <v>81.422924901185766</v>
      </c>
      <c r="M358">
        <v>72.394054654615928</v>
      </c>
    </row>
    <row r="359" spans="1:13" x14ac:dyDescent="0.4">
      <c r="A359" t="s">
        <v>1028</v>
      </c>
      <c r="B359" t="s">
        <v>1029</v>
      </c>
      <c r="C359" t="s">
        <v>64</v>
      </c>
      <c r="D359" s="1">
        <v>40491</v>
      </c>
      <c r="E359">
        <v>54.773869346733669</v>
      </c>
      <c r="F359">
        <v>75.929978118161927</v>
      </c>
      <c r="G359">
        <v>25.318066157760814</v>
      </c>
      <c r="H359">
        <v>71.921182266009851</v>
      </c>
      <c r="I359">
        <v>46.440677966101696</v>
      </c>
      <c r="J359">
        <v>5.0984936268829664</v>
      </c>
      <c r="K359">
        <v>55.535773605193064</v>
      </c>
      <c r="L359">
        <v>71.921182266009851</v>
      </c>
      <c r="M359">
        <v>41.340036870911518</v>
      </c>
    </row>
    <row r="360" spans="1:13" x14ac:dyDescent="0.4">
      <c r="A360" t="s">
        <v>394</v>
      </c>
      <c r="B360" t="s">
        <v>395</v>
      </c>
      <c r="C360" t="s">
        <v>40</v>
      </c>
      <c r="D360" s="1">
        <v>40498</v>
      </c>
      <c r="E360">
        <v>61.990950226244344</v>
      </c>
      <c r="F360">
        <v>50.32537960954447</v>
      </c>
      <c r="G360">
        <v>35.596707818930042</v>
      </c>
      <c r="H360">
        <v>34.584980237154149</v>
      </c>
      <c r="I360">
        <v>12.7134724857685</v>
      </c>
      <c r="J360">
        <v>73.333333333333329</v>
      </c>
      <c r="K360">
        <v>56.949960712678724</v>
      </c>
      <c r="L360">
        <v>34.584980237154149</v>
      </c>
      <c r="M360">
        <v>37.000168651799306</v>
      </c>
    </row>
    <row r="361" spans="1:13" x14ac:dyDescent="0.4">
      <c r="A361" t="s">
        <v>175</v>
      </c>
      <c r="B361" t="s">
        <v>176</v>
      </c>
      <c r="C361" t="s">
        <v>40</v>
      </c>
      <c r="D361" s="1">
        <v>40500</v>
      </c>
      <c r="E361">
        <v>31.900452488687783</v>
      </c>
      <c r="F361">
        <v>7.1583514099783079</v>
      </c>
      <c r="G361">
        <v>1.0288065843621399</v>
      </c>
      <c r="H361">
        <v>92.490118577075094</v>
      </c>
      <c r="I361">
        <v>91.081593927893735</v>
      </c>
      <c r="J361">
        <v>80.854700854700852</v>
      </c>
      <c r="K361">
        <v>28.377424160316377</v>
      </c>
      <c r="L361">
        <v>92.490118577075094</v>
      </c>
      <c r="M361">
        <v>38.861515520053864</v>
      </c>
    </row>
    <row r="362" spans="1:13" x14ac:dyDescent="0.4">
      <c r="A362" t="s">
        <v>1030</v>
      </c>
      <c r="B362" t="s">
        <v>1031</v>
      </c>
      <c r="C362" t="s">
        <v>40</v>
      </c>
      <c r="D362" s="1">
        <v>40505</v>
      </c>
      <c r="E362">
        <v>7.6923076923076925</v>
      </c>
      <c r="F362">
        <v>55.965292841648591</v>
      </c>
      <c r="G362">
        <v>74.691358024691354</v>
      </c>
      <c r="H362">
        <v>29.644268774703558</v>
      </c>
      <c r="I362">
        <v>40.227703984819733</v>
      </c>
      <c r="J362">
        <v>95.897435897435898</v>
      </c>
      <c r="K362">
        <v>67.462782947494475</v>
      </c>
      <c r="L362">
        <v>29.644268774703555</v>
      </c>
      <c r="M362">
        <v>42.455914321655527</v>
      </c>
    </row>
    <row r="363" spans="1:13" x14ac:dyDescent="0.4">
      <c r="A363" t="s">
        <v>41</v>
      </c>
      <c r="B363" t="s">
        <v>42</v>
      </c>
      <c r="C363" t="s">
        <v>43</v>
      </c>
      <c r="D363" s="1">
        <v>40505</v>
      </c>
      <c r="E363">
        <v>45</v>
      </c>
      <c r="F363">
        <v>20.183486238532112</v>
      </c>
      <c r="G363">
        <v>17.307692307692307</v>
      </c>
      <c r="H363">
        <v>43.147208121827411</v>
      </c>
      <c r="I363">
        <v>35.321100917431195</v>
      </c>
      <c r="J363">
        <v>24.295774647887324</v>
      </c>
      <c r="K363">
        <v>21.367519743392901</v>
      </c>
      <c r="L363">
        <v>43.147208121827411</v>
      </c>
      <c r="M363">
        <v>31.798964555483145</v>
      </c>
    </row>
    <row r="364" spans="1:13" x14ac:dyDescent="0.4">
      <c r="A364" t="s">
        <v>562</v>
      </c>
      <c r="B364" t="s">
        <v>563</v>
      </c>
      <c r="C364" t="s">
        <v>64</v>
      </c>
      <c r="D364" s="1">
        <v>40515</v>
      </c>
      <c r="E364">
        <v>37.688442211055275</v>
      </c>
      <c r="F364">
        <v>82.713347921225377</v>
      </c>
      <c r="G364">
        <v>100</v>
      </c>
      <c r="H364">
        <v>86.945812807881779</v>
      </c>
      <c r="I364">
        <v>62.305084745762713</v>
      </c>
      <c r="J364">
        <v>97.566628041714949</v>
      </c>
      <c r="K364">
        <v>86.989988946629509</v>
      </c>
      <c r="L364">
        <v>86.945812807881779</v>
      </c>
      <c r="M364">
        <v>68.271779789385661</v>
      </c>
    </row>
    <row r="365" spans="1:13" x14ac:dyDescent="0.4">
      <c r="A365" t="s">
        <v>1032</v>
      </c>
      <c r="B365" t="s">
        <v>1033</v>
      </c>
      <c r="C365" t="s">
        <v>40</v>
      </c>
      <c r="D365" s="1">
        <v>40519</v>
      </c>
      <c r="E365">
        <v>65.837104072398191</v>
      </c>
      <c r="F365">
        <v>54.880694143167027</v>
      </c>
      <c r="G365">
        <v>37.654320987654323</v>
      </c>
      <c r="H365">
        <v>53.557312252964429</v>
      </c>
      <c r="I365">
        <v>85.958254269449711</v>
      </c>
      <c r="J365">
        <v>13.675213675213675</v>
      </c>
      <c r="K365">
        <v>43.016577475923491</v>
      </c>
      <c r="L365">
        <v>53.557312252964422</v>
      </c>
      <c r="M365">
        <v>61.687679085478607</v>
      </c>
    </row>
    <row r="366" spans="1:13" x14ac:dyDescent="0.4">
      <c r="A366" t="s">
        <v>396</v>
      </c>
      <c r="B366" t="s">
        <v>397</v>
      </c>
      <c r="C366" t="s">
        <v>40</v>
      </c>
      <c r="D366" s="1">
        <v>40519</v>
      </c>
      <c r="E366">
        <v>51.357466063348419</v>
      </c>
      <c r="F366">
        <v>63.991323210412148</v>
      </c>
      <c r="G366">
        <v>89.506172839506178</v>
      </c>
      <c r="H366">
        <v>11.067193675889328</v>
      </c>
      <c r="I366">
        <v>71.726755218216326</v>
      </c>
      <c r="J366">
        <v>89.401709401709397</v>
      </c>
      <c r="K366">
        <v>71.30762635527482</v>
      </c>
      <c r="L366">
        <v>11.067193675889328</v>
      </c>
      <c r="M366">
        <v>71.722833979816571</v>
      </c>
    </row>
    <row r="367" spans="1:13" x14ac:dyDescent="0.4">
      <c r="A367" t="s">
        <v>1034</v>
      </c>
      <c r="B367" t="s">
        <v>1035</v>
      </c>
      <c r="C367" t="s">
        <v>43</v>
      </c>
      <c r="D367" s="1">
        <v>40520</v>
      </c>
      <c r="E367">
        <v>92.5</v>
      </c>
      <c r="F367">
        <v>88.073394495412842</v>
      </c>
      <c r="G367">
        <v>27.564102564102566</v>
      </c>
      <c r="H367">
        <v>9.6446700507614214</v>
      </c>
      <c r="I367">
        <v>5.5045871559633026</v>
      </c>
      <c r="J367">
        <v>61.267605633802816</v>
      </c>
      <c r="K367">
        <v>80.355319064670624</v>
      </c>
      <c r="L367">
        <v>9.6446700507614214</v>
      </c>
      <c r="M367">
        <v>41.624320171217803</v>
      </c>
    </row>
    <row r="368" spans="1:13" x14ac:dyDescent="0.4">
      <c r="A368" t="s">
        <v>1036</v>
      </c>
      <c r="B368" t="s">
        <v>1037</v>
      </c>
      <c r="C368" t="s">
        <v>64</v>
      </c>
      <c r="D368" s="1">
        <v>40521</v>
      </c>
      <c r="E368">
        <v>36.683417085427138</v>
      </c>
      <c r="F368">
        <v>94.967177242888397</v>
      </c>
      <c r="G368">
        <v>43.002544529262089</v>
      </c>
      <c r="H368">
        <v>94.827586206896555</v>
      </c>
      <c r="I368">
        <v>8.6101694915254239</v>
      </c>
      <c r="J368">
        <v>65.758980301274619</v>
      </c>
      <c r="K368">
        <v>86.557386792207026</v>
      </c>
      <c r="L368">
        <v>94.827586206896555</v>
      </c>
      <c r="M368">
        <v>30.314182786241275</v>
      </c>
    </row>
    <row r="369" spans="1:13" x14ac:dyDescent="0.4">
      <c r="A369" t="s">
        <v>1038</v>
      </c>
      <c r="B369" t="s">
        <v>1039</v>
      </c>
      <c r="C369" t="s">
        <v>40</v>
      </c>
      <c r="D369" s="1">
        <v>40522</v>
      </c>
      <c r="E369">
        <v>57.466063348416291</v>
      </c>
      <c r="F369">
        <v>91.973969631236443</v>
      </c>
      <c r="G369">
        <v>7.8189300411522638</v>
      </c>
      <c r="H369">
        <v>4.9407114624505928</v>
      </c>
      <c r="I369">
        <v>52.751423149905122</v>
      </c>
      <c r="J369">
        <v>29.05982905982906</v>
      </c>
      <c r="K369">
        <v>73.859371881574248</v>
      </c>
      <c r="L369">
        <v>4.9407114624505928</v>
      </c>
      <c r="M369">
        <v>37.71437809715826</v>
      </c>
    </row>
    <row r="370" spans="1:13" x14ac:dyDescent="0.4">
      <c r="A370" t="s">
        <v>564</v>
      </c>
      <c r="B370" t="s">
        <v>565</v>
      </c>
      <c r="C370" t="s">
        <v>40</v>
      </c>
      <c r="D370" s="1">
        <v>40527</v>
      </c>
      <c r="E370">
        <v>25.113122171945701</v>
      </c>
      <c r="F370">
        <v>69.631236442516268</v>
      </c>
      <c r="G370">
        <v>68.106995884773667</v>
      </c>
      <c r="H370">
        <v>53.162055335968383</v>
      </c>
      <c r="I370">
        <v>71.916508538899436</v>
      </c>
      <c r="J370">
        <v>22.905982905982906</v>
      </c>
      <c r="K370">
        <v>56.177835269458676</v>
      </c>
      <c r="L370">
        <v>53.16205533596839</v>
      </c>
      <c r="M370">
        <v>55.453062569783057</v>
      </c>
    </row>
    <row r="371" spans="1:13" x14ac:dyDescent="0.4">
      <c r="A371" t="s">
        <v>566</v>
      </c>
      <c r="B371" t="s">
        <v>567</v>
      </c>
      <c r="C371" t="s">
        <v>40</v>
      </c>
      <c r="D371" s="1">
        <v>40532</v>
      </c>
      <c r="E371">
        <v>17.647058823529413</v>
      </c>
      <c r="F371">
        <v>38.611713665943604</v>
      </c>
      <c r="G371">
        <v>81.069958847736629</v>
      </c>
      <c r="H371">
        <v>84.782608695652172</v>
      </c>
      <c r="I371">
        <v>59.962049335863377</v>
      </c>
      <c r="J371">
        <v>20.512820512820515</v>
      </c>
      <c r="K371">
        <v>33.400577247242531</v>
      </c>
      <c r="L371">
        <v>84.782608695652172</v>
      </c>
      <c r="M371">
        <v>54.122938907441274</v>
      </c>
    </row>
    <row r="372" spans="1:13" x14ac:dyDescent="0.4">
      <c r="A372" t="s">
        <v>1040</v>
      </c>
      <c r="B372" t="s">
        <v>1041</v>
      </c>
      <c r="C372" t="s">
        <v>43</v>
      </c>
      <c r="D372" s="1">
        <v>40532</v>
      </c>
      <c r="E372">
        <v>65</v>
      </c>
      <c r="F372">
        <v>55.963302752293579</v>
      </c>
      <c r="G372">
        <v>57.692307692307693</v>
      </c>
      <c r="H372">
        <v>4.5685279187817258</v>
      </c>
      <c r="I372">
        <v>29.816513761467888</v>
      </c>
      <c r="J372">
        <v>92.25352112676056</v>
      </c>
      <c r="K372">
        <v>66.412189157325869</v>
      </c>
      <c r="L372">
        <v>4.5685279187817258</v>
      </c>
      <c r="M372">
        <v>51.407545255324102</v>
      </c>
    </row>
    <row r="373" spans="1:13" x14ac:dyDescent="0.4">
      <c r="A373" t="s">
        <v>308</v>
      </c>
      <c r="B373" t="s">
        <v>309</v>
      </c>
      <c r="C373" t="s">
        <v>40</v>
      </c>
      <c r="D373" s="1">
        <v>40534</v>
      </c>
      <c r="E373">
        <v>38.009049773755656</v>
      </c>
      <c r="F373">
        <v>17.35357917570499</v>
      </c>
      <c r="G373">
        <v>3.4979423868312756</v>
      </c>
      <c r="H373">
        <v>50.988142292490117</v>
      </c>
      <c r="I373">
        <v>15.559772296015181</v>
      </c>
      <c r="J373">
        <v>85.128205128205124</v>
      </c>
      <c r="K373">
        <v>36.867635564505335</v>
      </c>
      <c r="L373">
        <v>50.988142292490117</v>
      </c>
      <c r="M373">
        <v>18.3394517571199</v>
      </c>
    </row>
    <row r="374" spans="1:13" x14ac:dyDescent="0.4">
      <c r="A374" t="s">
        <v>568</v>
      </c>
      <c r="B374" t="s">
        <v>569</v>
      </c>
      <c r="C374" t="s">
        <v>40</v>
      </c>
      <c r="D374" s="1">
        <v>40540</v>
      </c>
      <c r="E374">
        <v>6.7873303167420813</v>
      </c>
      <c r="F374">
        <v>79.175704989154013</v>
      </c>
      <c r="G374">
        <v>32.098765432098766</v>
      </c>
      <c r="H374">
        <v>2.766798418972332</v>
      </c>
      <c r="I374">
        <v>3.225806451612903</v>
      </c>
      <c r="J374">
        <v>84.273504273504273</v>
      </c>
      <c r="K374">
        <v>80.643492399199133</v>
      </c>
      <c r="L374">
        <v>2.766798418972332</v>
      </c>
      <c r="M374">
        <v>15.009205118729405</v>
      </c>
    </row>
    <row r="375" spans="1:13" x14ac:dyDescent="0.4">
      <c r="A375" t="s">
        <v>570</v>
      </c>
      <c r="B375" t="s">
        <v>571</v>
      </c>
      <c r="C375" t="s">
        <v>40</v>
      </c>
      <c r="D375" s="1">
        <v>40541</v>
      </c>
      <c r="E375">
        <v>26.470588235294116</v>
      </c>
      <c r="F375">
        <v>42.516268980477221</v>
      </c>
      <c r="G375">
        <v>71.399176954732511</v>
      </c>
      <c r="H375">
        <v>15.810276679841897</v>
      </c>
      <c r="I375">
        <v>24.667931688804554</v>
      </c>
      <c r="J375">
        <v>62.735042735042732</v>
      </c>
      <c r="K375">
        <v>48.337773498045614</v>
      </c>
      <c r="L375">
        <v>15.810276679841897</v>
      </c>
      <c r="M375">
        <v>42.464747661186735</v>
      </c>
    </row>
    <row r="376" spans="1:13" x14ac:dyDescent="0.4">
      <c r="A376" t="s">
        <v>1042</v>
      </c>
      <c r="B376" t="s">
        <v>1043</v>
      </c>
      <c r="C376" t="s">
        <v>40</v>
      </c>
      <c r="D376" s="1">
        <v>40568</v>
      </c>
      <c r="E376">
        <v>88.914027149321271</v>
      </c>
      <c r="F376">
        <v>88.069414316702819</v>
      </c>
      <c r="G376">
        <v>60.699588477366255</v>
      </c>
      <c r="H376">
        <v>78.063241106719374</v>
      </c>
      <c r="I376">
        <v>70.777988614800762</v>
      </c>
      <c r="J376">
        <v>39.658119658119659</v>
      </c>
      <c r="K376">
        <v>74.130558579092181</v>
      </c>
      <c r="L376">
        <v>78.063241106719374</v>
      </c>
      <c r="M376">
        <v>72.900533020848826</v>
      </c>
    </row>
    <row r="377" spans="1:13" x14ac:dyDescent="0.4">
      <c r="A377" t="s">
        <v>1044</v>
      </c>
      <c r="B377" t="s">
        <v>1045</v>
      </c>
      <c r="C377" t="s">
        <v>40</v>
      </c>
      <c r="D377" s="1">
        <v>40569</v>
      </c>
      <c r="E377">
        <v>81.447963800904972</v>
      </c>
      <c r="F377">
        <v>99.566160520607369</v>
      </c>
      <c r="G377">
        <v>97.325102880658434</v>
      </c>
      <c r="H377">
        <v>46.442687747035571</v>
      </c>
      <c r="I377">
        <v>11.574952561669829</v>
      </c>
      <c r="J377">
        <v>90.256410256410263</v>
      </c>
      <c r="K377">
        <v>96.885644190668273</v>
      </c>
      <c r="L377">
        <v>46.442687747035571</v>
      </c>
      <c r="M377">
        <v>65.650175434400381</v>
      </c>
    </row>
    <row r="378" spans="1:13" x14ac:dyDescent="0.4">
      <c r="A378" t="s">
        <v>1046</v>
      </c>
      <c r="B378" t="s">
        <v>1047</v>
      </c>
      <c r="C378" t="s">
        <v>40</v>
      </c>
      <c r="D378" s="1">
        <v>40570</v>
      </c>
      <c r="E378">
        <v>93.891402714932127</v>
      </c>
      <c r="F378">
        <v>70.0650759219089</v>
      </c>
      <c r="G378">
        <v>3.7037037037037037</v>
      </c>
      <c r="H378">
        <v>6.1264822134387353</v>
      </c>
      <c r="I378">
        <v>26.565464895635674</v>
      </c>
      <c r="J378">
        <v>48.717948717948715</v>
      </c>
      <c r="K378">
        <v>63.918689451418814</v>
      </c>
      <c r="L378">
        <v>6.1264822134387353</v>
      </c>
      <c r="M378">
        <v>39.806200333764508</v>
      </c>
    </row>
    <row r="379" spans="1:13" x14ac:dyDescent="0.4">
      <c r="A379" t="s">
        <v>1048</v>
      </c>
      <c r="B379" t="s">
        <v>1049</v>
      </c>
      <c r="C379" t="s">
        <v>40</v>
      </c>
      <c r="D379" s="1">
        <v>40571</v>
      </c>
      <c r="E379">
        <v>62.217194570135746</v>
      </c>
      <c r="F379">
        <v>93.275488069414322</v>
      </c>
      <c r="G379">
        <v>86.008230452674894</v>
      </c>
      <c r="H379">
        <v>24.703557312252965</v>
      </c>
      <c r="I379">
        <v>32.447817836812142</v>
      </c>
      <c r="J379">
        <v>3.2478632478632479</v>
      </c>
      <c r="K379">
        <v>67.354221479927475</v>
      </c>
      <c r="L379">
        <v>24.703557312252965</v>
      </c>
      <c r="M379">
        <v>61.759503754216183</v>
      </c>
    </row>
    <row r="380" spans="1:13" x14ac:dyDescent="0.4">
      <c r="A380" t="s">
        <v>191</v>
      </c>
      <c r="B380" t="s">
        <v>192</v>
      </c>
      <c r="C380" t="s">
        <v>40</v>
      </c>
      <c r="D380" s="1">
        <v>40571</v>
      </c>
      <c r="E380">
        <v>26.018099547511312</v>
      </c>
      <c r="F380">
        <v>20.17353579175705</v>
      </c>
      <c r="G380">
        <v>38.888888888888886</v>
      </c>
      <c r="H380">
        <v>88.142292490118578</v>
      </c>
      <c r="I380">
        <v>76.091081593927896</v>
      </c>
      <c r="J380">
        <v>10.427350427350428</v>
      </c>
      <c r="K380">
        <v>17.36735858157186</v>
      </c>
      <c r="L380">
        <v>88.142292490118578</v>
      </c>
      <c r="M380">
        <v>46.273010393403887</v>
      </c>
    </row>
    <row r="381" spans="1:13" x14ac:dyDescent="0.4">
      <c r="A381" t="s">
        <v>572</v>
      </c>
      <c r="B381" t="s">
        <v>573</v>
      </c>
      <c r="C381" t="s">
        <v>40</v>
      </c>
      <c r="D381" s="1">
        <v>40571</v>
      </c>
      <c r="E381">
        <v>22.624434389140273</v>
      </c>
      <c r="F381">
        <v>68.329718004338389</v>
      </c>
      <c r="G381">
        <v>48.353909465020578</v>
      </c>
      <c r="H381">
        <v>4.5454545454545459</v>
      </c>
      <c r="I381">
        <v>21.44212523719165</v>
      </c>
      <c r="J381">
        <v>71.282051282051285</v>
      </c>
      <c r="K381">
        <v>69.179770619902783</v>
      </c>
      <c r="L381">
        <v>4.5454545454545459</v>
      </c>
      <c r="M381">
        <v>31.737425122413526</v>
      </c>
    </row>
    <row r="382" spans="1:13" x14ac:dyDescent="0.4">
      <c r="A382" t="s">
        <v>1050</v>
      </c>
      <c r="B382" t="s">
        <v>1051</v>
      </c>
      <c r="C382" t="s">
        <v>64</v>
      </c>
      <c r="D382" s="1">
        <v>40573</v>
      </c>
      <c r="E382">
        <v>48.743718592964825</v>
      </c>
      <c r="F382">
        <v>50.984682713347922</v>
      </c>
      <c r="G382">
        <v>24.936386768447836</v>
      </c>
      <c r="H382">
        <v>6.9786535303776684</v>
      </c>
      <c r="I382">
        <v>9.4915254237288131</v>
      </c>
      <c r="J382">
        <v>79.837775202781003</v>
      </c>
      <c r="K382">
        <v>59.292229467271376</v>
      </c>
      <c r="L382">
        <v>6.9786535303776684</v>
      </c>
      <c r="M382">
        <v>27.811928840831616</v>
      </c>
    </row>
    <row r="383" spans="1:13" x14ac:dyDescent="0.4">
      <c r="A383" t="s">
        <v>111</v>
      </c>
      <c r="B383" t="s">
        <v>112</v>
      </c>
      <c r="C383" t="s">
        <v>40</v>
      </c>
      <c r="D383" s="1">
        <v>40584</v>
      </c>
      <c r="E383">
        <v>73.529411764705884</v>
      </c>
      <c r="F383">
        <v>18.221258134490238</v>
      </c>
      <c r="G383">
        <v>13.374485596707819</v>
      </c>
      <c r="H383">
        <v>44.268774703557312</v>
      </c>
      <c r="I383">
        <v>63.187855787476281</v>
      </c>
      <c r="J383">
        <v>44.102564102564102</v>
      </c>
      <c r="K383">
        <v>25.673151184121416</v>
      </c>
      <c r="L383">
        <v>44.268774703557312</v>
      </c>
      <c r="M383">
        <v>48.163167437139052</v>
      </c>
    </row>
    <row r="384" spans="1:13" x14ac:dyDescent="0.4">
      <c r="A384" t="s">
        <v>1052</v>
      </c>
      <c r="B384" t="s">
        <v>1053</v>
      </c>
      <c r="C384" t="s">
        <v>40</v>
      </c>
      <c r="D384" s="1">
        <v>40624</v>
      </c>
      <c r="E384">
        <v>71.49321266968326</v>
      </c>
      <c r="F384">
        <v>67.462039045553141</v>
      </c>
      <c r="G384">
        <v>24.485596707818932</v>
      </c>
      <c r="H384">
        <v>47.430830039525695</v>
      </c>
      <c r="I384">
        <v>45.730550284629985</v>
      </c>
      <c r="J384">
        <v>18.29059829059829</v>
      </c>
      <c r="K384">
        <v>53.304317713631157</v>
      </c>
      <c r="L384">
        <v>47.430830039525695</v>
      </c>
      <c r="M384">
        <v>46.193122629033724</v>
      </c>
    </row>
    <row r="385" spans="1:13" x14ac:dyDescent="0.4">
      <c r="A385" t="s">
        <v>574</v>
      </c>
      <c r="B385" t="s">
        <v>575</v>
      </c>
      <c r="C385" t="s">
        <v>40</v>
      </c>
      <c r="D385" s="1">
        <v>40631</v>
      </c>
      <c r="E385">
        <v>1.1312217194570136</v>
      </c>
      <c r="F385">
        <v>96.095444685466376</v>
      </c>
      <c r="G385">
        <v>83.127572016460903</v>
      </c>
      <c r="H385">
        <v>85.177865612648219</v>
      </c>
      <c r="I385">
        <v>59.772296015180267</v>
      </c>
      <c r="J385">
        <v>4.1025641025641022</v>
      </c>
      <c r="K385">
        <v>69.608330461906277</v>
      </c>
      <c r="L385">
        <v>85.177865612648219</v>
      </c>
      <c r="M385">
        <v>49.507913267387067</v>
      </c>
    </row>
    <row r="386" spans="1:13" x14ac:dyDescent="0.4">
      <c r="A386" t="s">
        <v>1054</v>
      </c>
      <c r="B386" t="s">
        <v>1055</v>
      </c>
      <c r="C386" t="s">
        <v>40</v>
      </c>
      <c r="D386" s="1">
        <v>40634</v>
      </c>
      <c r="E386">
        <v>73.07692307692308</v>
      </c>
      <c r="F386">
        <v>92.624728850325383</v>
      </c>
      <c r="G386">
        <v>1.6460905349794239</v>
      </c>
      <c r="H386">
        <v>83.794466403162062</v>
      </c>
      <c r="I386">
        <v>65.464895635673628</v>
      </c>
      <c r="J386">
        <v>65.299145299145295</v>
      </c>
      <c r="K386">
        <v>84.756991171502634</v>
      </c>
      <c r="L386">
        <v>83.794466403162062</v>
      </c>
      <c r="M386">
        <v>44.402028902040009</v>
      </c>
    </row>
    <row r="387" spans="1:13" x14ac:dyDescent="0.4">
      <c r="A387" t="s">
        <v>71</v>
      </c>
      <c r="B387" t="s">
        <v>72</v>
      </c>
      <c r="C387" t="s">
        <v>40</v>
      </c>
      <c r="D387" s="1">
        <v>40654</v>
      </c>
      <c r="E387">
        <v>89.819004524886878</v>
      </c>
      <c r="F387">
        <v>20.607375271149674</v>
      </c>
      <c r="G387">
        <v>33.950617283950621</v>
      </c>
      <c r="H387">
        <v>13.83399209486166</v>
      </c>
      <c r="I387">
        <v>18.216318785578746</v>
      </c>
      <c r="J387">
        <v>71.623931623931625</v>
      </c>
      <c r="K387">
        <v>35.296352796873272</v>
      </c>
      <c r="L387">
        <v>13.83399209486166</v>
      </c>
      <c r="M387">
        <v>47.052785772866329</v>
      </c>
    </row>
    <row r="388" spans="1:13" x14ac:dyDescent="0.4">
      <c r="A388" t="s">
        <v>1056</v>
      </c>
      <c r="B388" t="s">
        <v>1057</v>
      </c>
      <c r="C388" t="s">
        <v>40</v>
      </c>
      <c r="D388" s="1">
        <v>40655</v>
      </c>
      <c r="E388">
        <v>45.475113122171948</v>
      </c>
      <c r="F388">
        <v>74.403470715835141</v>
      </c>
      <c r="G388">
        <v>4.9382716049382713</v>
      </c>
      <c r="H388">
        <v>87.747035573122531</v>
      </c>
      <c r="I388">
        <v>28.842504743833018</v>
      </c>
      <c r="J388">
        <v>33.162393162393165</v>
      </c>
      <c r="K388">
        <v>62.529104732955567</v>
      </c>
      <c r="L388">
        <v>87.747035573122531</v>
      </c>
      <c r="M388">
        <v>25.387561977078942</v>
      </c>
    </row>
    <row r="389" spans="1:13" x14ac:dyDescent="0.4">
      <c r="A389" t="s">
        <v>398</v>
      </c>
      <c r="B389" t="s">
        <v>399</v>
      </c>
      <c r="C389" t="s">
        <v>40</v>
      </c>
      <c r="D389" s="1">
        <v>40655</v>
      </c>
      <c r="E389">
        <v>35.74660633484163</v>
      </c>
      <c r="F389">
        <v>59.869848156182215</v>
      </c>
      <c r="G389">
        <v>0.41152263374485598</v>
      </c>
      <c r="H389">
        <v>59.48616600790514</v>
      </c>
      <c r="I389">
        <v>98.102466793168887</v>
      </c>
      <c r="J389">
        <v>96.92307692307692</v>
      </c>
      <c r="K389">
        <v>70.538424859963044</v>
      </c>
      <c r="L389">
        <v>59.48616600790514</v>
      </c>
      <c r="M389">
        <v>42.04680020896717</v>
      </c>
    </row>
    <row r="390" spans="1:13" x14ac:dyDescent="0.4">
      <c r="A390" t="s">
        <v>1058</v>
      </c>
      <c r="B390" t="s">
        <v>1059</v>
      </c>
      <c r="C390" t="s">
        <v>40</v>
      </c>
      <c r="D390" s="1">
        <v>40668</v>
      </c>
      <c r="E390">
        <v>36.425339366515836</v>
      </c>
      <c r="F390">
        <v>72.885032537960953</v>
      </c>
      <c r="G390">
        <v>30.65843621399177</v>
      </c>
      <c r="H390">
        <v>38.932806324110672</v>
      </c>
      <c r="I390">
        <v>52.182163187855785</v>
      </c>
      <c r="J390">
        <v>9.7435897435897427</v>
      </c>
      <c r="K390">
        <v>54.704988637414452</v>
      </c>
      <c r="L390">
        <v>38.932806324110672</v>
      </c>
      <c r="M390">
        <v>39.182290561192431</v>
      </c>
    </row>
    <row r="391" spans="1:13" x14ac:dyDescent="0.4">
      <c r="A391" t="s">
        <v>400</v>
      </c>
      <c r="B391" t="s">
        <v>401</v>
      </c>
      <c r="C391" t="s">
        <v>40</v>
      </c>
      <c r="D391" s="1">
        <v>40669</v>
      </c>
      <c r="E391">
        <v>56.787330316742079</v>
      </c>
      <c r="F391">
        <v>53.362255965292839</v>
      </c>
      <c r="G391">
        <v>30.452674897119341</v>
      </c>
      <c r="H391">
        <v>73.715415019762844</v>
      </c>
      <c r="I391">
        <v>75.332068311195442</v>
      </c>
      <c r="J391">
        <v>29.23076923076923</v>
      </c>
      <c r="K391">
        <v>46.414180837395953</v>
      </c>
      <c r="L391">
        <v>73.715415019762844</v>
      </c>
      <c r="M391">
        <v>52.830408392483243</v>
      </c>
    </row>
    <row r="392" spans="1:13" x14ac:dyDescent="0.4">
      <c r="A392" t="s">
        <v>310</v>
      </c>
      <c r="B392" t="s">
        <v>311</v>
      </c>
      <c r="C392" t="s">
        <v>43</v>
      </c>
      <c r="D392" s="1">
        <v>40669</v>
      </c>
      <c r="E392">
        <v>87.5</v>
      </c>
      <c r="F392">
        <v>22.935779816513762</v>
      </c>
      <c r="G392">
        <v>38.46153846153846</v>
      </c>
      <c r="H392">
        <v>43.654822335025379</v>
      </c>
      <c r="I392">
        <v>17.431192660550458</v>
      </c>
      <c r="J392">
        <v>76.760563380281695</v>
      </c>
      <c r="K392">
        <v>38.433318118155924</v>
      </c>
      <c r="L392">
        <v>43.654822335025379</v>
      </c>
      <c r="M392">
        <v>47.725278403392835</v>
      </c>
    </row>
    <row r="393" spans="1:13" x14ac:dyDescent="0.4">
      <c r="A393" t="s">
        <v>1060</v>
      </c>
      <c r="B393" t="s">
        <v>1061</v>
      </c>
      <c r="C393" t="s">
        <v>64</v>
      </c>
      <c r="D393" s="1">
        <v>40673</v>
      </c>
      <c r="E393">
        <v>9.0452261306532655</v>
      </c>
      <c r="F393">
        <v>81.181619256017512</v>
      </c>
      <c r="G393">
        <v>31.424936386768447</v>
      </c>
      <c r="H393">
        <v>75.287356321839084</v>
      </c>
      <c r="I393">
        <v>81.423728813559322</v>
      </c>
      <c r="J393">
        <v>78.389339513325609</v>
      </c>
      <c r="K393">
        <v>80.377650166016437</v>
      </c>
      <c r="L393">
        <v>75.287356321839084</v>
      </c>
      <c r="M393">
        <v>39.713866027490752</v>
      </c>
    </row>
    <row r="394" spans="1:13" x14ac:dyDescent="0.4">
      <c r="A394" t="s">
        <v>214</v>
      </c>
      <c r="B394" t="s">
        <v>215</v>
      </c>
      <c r="C394" t="s">
        <v>40</v>
      </c>
      <c r="D394" s="1">
        <v>40680</v>
      </c>
      <c r="E394">
        <v>28.506787330316744</v>
      </c>
      <c r="F394">
        <v>32.971800433839476</v>
      </c>
      <c r="G394">
        <v>2.6748971193415638</v>
      </c>
      <c r="H394">
        <v>94.071146245059282</v>
      </c>
      <c r="I394">
        <v>97.722960151802653</v>
      </c>
      <c r="J394">
        <v>44.273504273504273</v>
      </c>
      <c r="K394">
        <v>36.225851384578874</v>
      </c>
      <c r="L394">
        <v>94.071146245059282</v>
      </c>
      <c r="M394">
        <v>40.433541607570923</v>
      </c>
    </row>
    <row r="395" spans="1:13" x14ac:dyDescent="0.4">
      <c r="A395" t="s">
        <v>312</v>
      </c>
      <c r="B395" t="s">
        <v>313</v>
      </c>
      <c r="C395" t="s">
        <v>40</v>
      </c>
      <c r="D395" s="1">
        <v>40680</v>
      </c>
      <c r="E395">
        <v>88.687782805429862</v>
      </c>
      <c r="F395">
        <v>1.0845986984815619</v>
      </c>
      <c r="G395">
        <v>31.069958847736626</v>
      </c>
      <c r="H395">
        <v>69.960474308300391</v>
      </c>
      <c r="I395">
        <v>92.030360531309299</v>
      </c>
      <c r="J395">
        <v>36.068376068376068</v>
      </c>
      <c r="K395">
        <v>11.157327167212797</v>
      </c>
      <c r="L395">
        <v>69.960474308300391</v>
      </c>
      <c r="M395">
        <v>68.495722819823712</v>
      </c>
    </row>
    <row r="396" spans="1:13" x14ac:dyDescent="0.4">
      <c r="A396" t="s">
        <v>576</v>
      </c>
      <c r="B396" t="s">
        <v>577</v>
      </c>
      <c r="C396" t="s">
        <v>40</v>
      </c>
      <c r="D396" s="1">
        <v>40686</v>
      </c>
      <c r="E396">
        <v>1.5837104072398189</v>
      </c>
      <c r="F396">
        <v>89.587852494577007</v>
      </c>
      <c r="G396">
        <v>87.037037037037038</v>
      </c>
      <c r="H396">
        <v>74.110671936758891</v>
      </c>
      <c r="I396">
        <v>92.220113851992409</v>
      </c>
      <c r="J396">
        <v>19.82905982905983</v>
      </c>
      <c r="K396">
        <v>69.502503522771747</v>
      </c>
      <c r="L396">
        <v>74.110671936758891</v>
      </c>
      <c r="M396">
        <v>61.146453342848034</v>
      </c>
    </row>
    <row r="397" spans="1:13" x14ac:dyDescent="0.4">
      <c r="A397" t="s">
        <v>578</v>
      </c>
      <c r="B397" t="s">
        <v>579</v>
      </c>
      <c r="C397" t="s">
        <v>40</v>
      </c>
      <c r="D397" s="1">
        <v>40694</v>
      </c>
      <c r="E397">
        <v>2.7149321266968327</v>
      </c>
      <c r="F397">
        <v>60.520607375271148</v>
      </c>
      <c r="G397">
        <v>39.300411522633745</v>
      </c>
      <c r="H397">
        <v>60.079051383399211</v>
      </c>
      <c r="I397">
        <v>31.878557874762809</v>
      </c>
      <c r="J397">
        <v>37.777777777777779</v>
      </c>
      <c r="K397">
        <v>53.972362320884507</v>
      </c>
      <c r="L397">
        <v>60.079051383399211</v>
      </c>
      <c r="M397">
        <v>25.228935383512212</v>
      </c>
    </row>
    <row r="398" spans="1:13" x14ac:dyDescent="0.4">
      <c r="A398" t="s">
        <v>1062</v>
      </c>
      <c r="B398" t="s">
        <v>1063</v>
      </c>
      <c r="C398" t="s">
        <v>40</v>
      </c>
      <c r="D398" s="1">
        <v>40694</v>
      </c>
      <c r="E398">
        <v>4.5248868778280542</v>
      </c>
      <c r="F398">
        <v>68.546637744034712</v>
      </c>
      <c r="G398">
        <v>85.18518518518519</v>
      </c>
      <c r="H398">
        <v>84.189723320158109</v>
      </c>
      <c r="I398">
        <v>84.819734345351037</v>
      </c>
      <c r="J398">
        <v>37.264957264957268</v>
      </c>
      <c r="K398">
        <v>59.539838101452048</v>
      </c>
      <c r="L398">
        <v>84.189723320158109</v>
      </c>
      <c r="M398">
        <v>59.117874165811848</v>
      </c>
    </row>
    <row r="399" spans="1:13" x14ac:dyDescent="0.4">
      <c r="A399" t="s">
        <v>1064</v>
      </c>
      <c r="B399" t="s">
        <v>1065</v>
      </c>
      <c r="C399" t="s">
        <v>40</v>
      </c>
      <c r="D399" s="1">
        <v>40707</v>
      </c>
      <c r="E399">
        <v>5.2036199095022626</v>
      </c>
      <c r="F399">
        <v>74.186550976138832</v>
      </c>
      <c r="G399">
        <v>13.786008230452675</v>
      </c>
      <c r="H399">
        <v>82.608695652173907</v>
      </c>
      <c r="I399">
        <v>85.388994307400381</v>
      </c>
      <c r="J399">
        <v>49.059829059829063</v>
      </c>
      <c r="K399">
        <v>66.951922065250884</v>
      </c>
      <c r="L399">
        <v>82.608695652173907</v>
      </c>
      <c r="M399">
        <v>33.207672029009849</v>
      </c>
    </row>
    <row r="400" spans="1:13" x14ac:dyDescent="0.4">
      <c r="A400" t="s">
        <v>132</v>
      </c>
      <c r="B400" t="s">
        <v>133</v>
      </c>
      <c r="C400" t="s">
        <v>40</v>
      </c>
      <c r="D400" s="1">
        <v>40708</v>
      </c>
      <c r="E400">
        <v>32.352941176470587</v>
      </c>
      <c r="F400">
        <v>27.548806941431671</v>
      </c>
      <c r="G400">
        <v>47.530864197530867</v>
      </c>
      <c r="H400">
        <v>38.735177865612648</v>
      </c>
      <c r="I400">
        <v>25.426944971537001</v>
      </c>
      <c r="J400">
        <v>43.247863247863251</v>
      </c>
      <c r="K400">
        <v>32.068968664336126</v>
      </c>
      <c r="L400">
        <v>38.735177865612648</v>
      </c>
      <c r="M400">
        <v>35.799074278634187</v>
      </c>
    </row>
    <row r="401" spans="1:13" x14ac:dyDescent="0.4">
      <c r="A401" t="s">
        <v>314</v>
      </c>
      <c r="B401" t="s">
        <v>315</v>
      </c>
      <c r="C401" t="s">
        <v>40</v>
      </c>
      <c r="D401" s="1">
        <v>40709</v>
      </c>
      <c r="E401">
        <v>47.511312217194572</v>
      </c>
      <c r="F401">
        <v>24.078091106290671</v>
      </c>
      <c r="G401">
        <v>35.390946502057616</v>
      </c>
      <c r="H401">
        <v>28.063241106719367</v>
      </c>
      <c r="I401">
        <v>74.573055028463003</v>
      </c>
      <c r="J401">
        <v>8.7179487179487172</v>
      </c>
      <c r="K401">
        <v>19.655511409337723</v>
      </c>
      <c r="L401">
        <v>28.063241106719367</v>
      </c>
      <c r="M401">
        <v>51.429875312716511</v>
      </c>
    </row>
    <row r="402" spans="1:13" x14ac:dyDescent="0.4">
      <c r="A402" t="s">
        <v>104</v>
      </c>
      <c r="B402" t="s">
        <v>105</v>
      </c>
      <c r="C402" t="s">
        <v>43</v>
      </c>
      <c r="D402" s="1">
        <v>40710</v>
      </c>
      <c r="E402">
        <v>32.5</v>
      </c>
      <c r="F402">
        <v>10.091743119266056</v>
      </c>
      <c r="G402">
        <v>8.3333333333333339</v>
      </c>
      <c r="H402">
        <v>75.634517766497467</v>
      </c>
      <c r="I402">
        <v>61.467889908256879</v>
      </c>
      <c r="J402">
        <v>46.478873239436616</v>
      </c>
      <c r="K402">
        <v>20.568532906188231</v>
      </c>
      <c r="L402">
        <v>75.634517766497467</v>
      </c>
      <c r="M402">
        <v>32.570993005867464</v>
      </c>
    </row>
    <row r="403" spans="1:13" x14ac:dyDescent="0.4">
      <c r="A403" t="s">
        <v>82</v>
      </c>
      <c r="B403" t="s">
        <v>83</v>
      </c>
      <c r="C403" t="s">
        <v>40</v>
      </c>
      <c r="D403" s="1">
        <v>40716</v>
      </c>
      <c r="E403">
        <v>54.977375565610856</v>
      </c>
      <c r="F403">
        <v>11.062906724511931</v>
      </c>
      <c r="G403">
        <v>2.263374485596708</v>
      </c>
      <c r="H403">
        <v>49.011857707509883</v>
      </c>
      <c r="I403">
        <v>56.92599620493359</v>
      </c>
      <c r="J403">
        <v>18.974358974358974</v>
      </c>
      <c r="K403">
        <v>13.34081712462269</v>
      </c>
      <c r="L403">
        <v>49.011857707509883</v>
      </c>
      <c r="M403">
        <v>36.16012725573075</v>
      </c>
    </row>
    <row r="404" spans="1:13" x14ac:dyDescent="0.4">
      <c r="A404" t="s">
        <v>1066</v>
      </c>
      <c r="B404" t="s">
        <v>1067</v>
      </c>
      <c r="C404" t="s">
        <v>40</v>
      </c>
      <c r="D404" s="1">
        <v>40737</v>
      </c>
      <c r="E404">
        <v>45.248868778280546</v>
      </c>
      <c r="F404">
        <v>77.657266811279825</v>
      </c>
      <c r="G404">
        <v>50.205761316872426</v>
      </c>
      <c r="H404">
        <v>12.845849802371541</v>
      </c>
      <c r="I404">
        <v>31.499051233396585</v>
      </c>
      <c r="J404">
        <v>18.46153846153846</v>
      </c>
      <c r="K404">
        <v>60.613295490766063</v>
      </c>
      <c r="L404">
        <v>12.845849802371541</v>
      </c>
      <c r="M404">
        <v>42.81528045024389</v>
      </c>
    </row>
    <row r="405" spans="1:13" x14ac:dyDescent="0.4">
      <c r="A405" t="s">
        <v>402</v>
      </c>
      <c r="B405" t="s">
        <v>403</v>
      </c>
      <c r="C405" t="s">
        <v>40</v>
      </c>
      <c r="D405" s="1">
        <v>40737</v>
      </c>
      <c r="E405">
        <v>61.53846153846154</v>
      </c>
      <c r="F405">
        <v>62.906724511930584</v>
      </c>
      <c r="G405">
        <v>26.748971193415638</v>
      </c>
      <c r="H405">
        <v>86.56126482213439</v>
      </c>
      <c r="I405">
        <v>44.212523719165084</v>
      </c>
      <c r="J405">
        <v>79.487179487179489</v>
      </c>
      <c r="K405">
        <v>67.680663560531656</v>
      </c>
      <c r="L405">
        <v>86.56126482213439</v>
      </c>
      <c r="M405">
        <v>43.35355613000231</v>
      </c>
    </row>
    <row r="406" spans="1:13" x14ac:dyDescent="0.4">
      <c r="A406" t="s">
        <v>580</v>
      </c>
      <c r="B406" t="s">
        <v>581</v>
      </c>
      <c r="C406" t="s">
        <v>43</v>
      </c>
      <c r="D406" s="1">
        <v>40751</v>
      </c>
      <c r="E406">
        <v>5</v>
      </c>
      <c r="F406">
        <v>69.724770642201833</v>
      </c>
      <c r="G406">
        <v>82.051282051282058</v>
      </c>
      <c r="H406">
        <v>84.263959390862951</v>
      </c>
      <c r="I406">
        <v>91.743119266055047</v>
      </c>
      <c r="J406">
        <v>19.718309859154928</v>
      </c>
      <c r="K406">
        <v>55.326625587021148</v>
      </c>
      <c r="L406">
        <v>84.263959390862951</v>
      </c>
      <c r="M406">
        <v>60.261079858496572</v>
      </c>
    </row>
    <row r="407" spans="1:13" x14ac:dyDescent="0.4">
      <c r="A407" t="s">
        <v>1068</v>
      </c>
      <c r="B407" t="s">
        <v>1069</v>
      </c>
      <c r="C407" t="s">
        <v>40</v>
      </c>
      <c r="D407" s="1">
        <v>40753</v>
      </c>
      <c r="E407">
        <v>76.018099547511312</v>
      </c>
      <c r="F407">
        <v>39.696312364425161</v>
      </c>
      <c r="G407">
        <v>97.736625514403286</v>
      </c>
      <c r="H407">
        <v>22.33201581027668</v>
      </c>
      <c r="I407">
        <v>63.567362428842507</v>
      </c>
      <c r="J407">
        <v>61.70940170940171</v>
      </c>
      <c r="K407">
        <v>46.034446448272895</v>
      </c>
      <c r="L407">
        <v>22.33201581027668</v>
      </c>
      <c r="M407">
        <v>80.162316155247552</v>
      </c>
    </row>
    <row r="408" spans="1:13" x14ac:dyDescent="0.4">
      <c r="A408" t="s">
        <v>1070</v>
      </c>
      <c r="B408" t="s">
        <v>1071</v>
      </c>
      <c r="C408" t="s">
        <v>40</v>
      </c>
      <c r="D408" s="1">
        <v>40756</v>
      </c>
      <c r="E408">
        <v>43.665158371040725</v>
      </c>
      <c r="F408">
        <v>45.770065075921906</v>
      </c>
      <c r="G408">
        <v>31.481481481481481</v>
      </c>
      <c r="H408">
        <v>40.118577075098813</v>
      </c>
      <c r="I408">
        <v>16.508538899430739</v>
      </c>
      <c r="J408">
        <v>72.649572649572647</v>
      </c>
      <c r="K408">
        <v>53.509366018180486</v>
      </c>
      <c r="L408">
        <v>40.118577075098813</v>
      </c>
      <c r="M408">
        <v>30.763080709400494</v>
      </c>
    </row>
    <row r="409" spans="1:13" x14ac:dyDescent="0.4">
      <c r="A409" t="s">
        <v>1072</v>
      </c>
      <c r="B409" t="s">
        <v>1073</v>
      </c>
      <c r="C409" t="s">
        <v>64</v>
      </c>
      <c r="D409" s="1">
        <v>40757</v>
      </c>
      <c r="E409">
        <v>34.170854271356781</v>
      </c>
      <c r="F409">
        <v>73.522975929978116</v>
      </c>
      <c r="G409">
        <v>35.877862595419849</v>
      </c>
      <c r="H409">
        <v>86.781609195402297</v>
      </c>
      <c r="I409">
        <v>28.203389830508474</v>
      </c>
      <c r="J409">
        <v>66.396292004635001</v>
      </c>
      <c r="K409">
        <v>71.471020496365398</v>
      </c>
      <c r="L409">
        <v>86.781609195402297</v>
      </c>
      <c r="M409">
        <v>32.950980196753569</v>
      </c>
    </row>
    <row r="410" spans="1:13" x14ac:dyDescent="0.4">
      <c r="A410" t="s">
        <v>1074</v>
      </c>
      <c r="B410" t="s">
        <v>1075</v>
      </c>
      <c r="C410" t="s">
        <v>40</v>
      </c>
      <c r="D410" s="1">
        <v>40758</v>
      </c>
      <c r="E410">
        <v>99.547511312217196</v>
      </c>
      <c r="F410">
        <v>0.65075921908893708</v>
      </c>
      <c r="G410">
        <v>82.510288065843625</v>
      </c>
      <c r="H410">
        <v>32.411067193675891</v>
      </c>
      <c r="I410">
        <v>13.282732447817837</v>
      </c>
      <c r="J410">
        <v>28.547008547008549</v>
      </c>
      <c r="K410">
        <v>8.682806239202014</v>
      </c>
      <c r="L410">
        <v>32.411067193675891</v>
      </c>
      <c r="M410">
        <v>66.545068147429518</v>
      </c>
    </row>
    <row r="411" spans="1:13" x14ac:dyDescent="0.4">
      <c r="A411" t="s">
        <v>1076</v>
      </c>
      <c r="B411" t="s">
        <v>1077</v>
      </c>
      <c r="C411" t="s">
        <v>64</v>
      </c>
      <c r="D411" s="1">
        <v>40759</v>
      </c>
      <c r="E411">
        <v>47.236180904522612</v>
      </c>
      <c r="F411">
        <v>83.807439824945291</v>
      </c>
      <c r="G411">
        <v>83.715012722646307</v>
      </c>
      <c r="H411">
        <v>69.047619047619051</v>
      </c>
      <c r="I411">
        <v>10.64406779661017</v>
      </c>
      <c r="J411">
        <v>97.856315179606028</v>
      </c>
      <c r="K411">
        <v>87.852472047804255</v>
      </c>
      <c r="L411">
        <v>69.047619047619051</v>
      </c>
      <c r="M411">
        <v>49.339198733509193</v>
      </c>
    </row>
    <row r="412" spans="1:13" x14ac:dyDescent="0.4">
      <c r="A412" t="s">
        <v>404</v>
      </c>
      <c r="B412" t="s">
        <v>405</v>
      </c>
      <c r="C412" t="s">
        <v>40</v>
      </c>
      <c r="D412" s="1">
        <v>40764</v>
      </c>
      <c r="E412">
        <v>43.212669683257921</v>
      </c>
      <c r="F412">
        <v>58.134490238611711</v>
      </c>
      <c r="G412">
        <v>27.160493827160494</v>
      </c>
      <c r="H412">
        <v>76.284584980237156</v>
      </c>
      <c r="I412">
        <v>90.322580645161295</v>
      </c>
      <c r="J412">
        <v>25.982905982905983</v>
      </c>
      <c r="K412">
        <v>48.877222945173223</v>
      </c>
      <c r="L412">
        <v>76.284584980237156</v>
      </c>
      <c r="M412">
        <v>51.893766304615546</v>
      </c>
    </row>
    <row r="413" spans="1:13" x14ac:dyDescent="0.4">
      <c r="A413" t="s">
        <v>582</v>
      </c>
      <c r="B413" t="s">
        <v>583</v>
      </c>
      <c r="C413" t="s">
        <v>40</v>
      </c>
      <c r="D413" s="1">
        <v>40765</v>
      </c>
      <c r="E413">
        <v>1.8099547511312217</v>
      </c>
      <c r="F413">
        <v>45.119305856832973</v>
      </c>
      <c r="G413">
        <v>79.629629629629633</v>
      </c>
      <c r="H413">
        <v>2.1739130434782608</v>
      </c>
      <c r="I413">
        <v>44.402277039848194</v>
      </c>
      <c r="J413">
        <v>75.897435897435898</v>
      </c>
      <c r="K413">
        <v>53.98112038864744</v>
      </c>
      <c r="L413">
        <v>2.1739130434782608</v>
      </c>
      <c r="M413">
        <v>43.675829554187693</v>
      </c>
    </row>
    <row r="414" spans="1:13" x14ac:dyDescent="0.4">
      <c r="A414" t="s">
        <v>142</v>
      </c>
      <c r="B414" t="s">
        <v>143</v>
      </c>
      <c r="C414" t="s">
        <v>40</v>
      </c>
      <c r="D414" s="1">
        <v>40771</v>
      </c>
      <c r="E414">
        <v>98.41628959276018</v>
      </c>
      <c r="F414">
        <v>22.993492407809111</v>
      </c>
      <c r="G414">
        <v>2.4691358024691357</v>
      </c>
      <c r="H414">
        <v>91.897233201581031</v>
      </c>
      <c r="I414">
        <v>16.698292220113853</v>
      </c>
      <c r="J414">
        <v>52.991452991452988</v>
      </c>
      <c r="K414">
        <v>31.630676105266943</v>
      </c>
      <c r="L414">
        <v>91.897233201581031</v>
      </c>
      <c r="M414">
        <v>37.750398818926399</v>
      </c>
    </row>
    <row r="415" spans="1:13" x14ac:dyDescent="0.4">
      <c r="A415" t="s">
        <v>1078</v>
      </c>
      <c r="B415" t="s">
        <v>1079</v>
      </c>
      <c r="C415" t="s">
        <v>40</v>
      </c>
      <c r="D415" s="1">
        <v>40772</v>
      </c>
      <c r="E415">
        <v>61.764705882352942</v>
      </c>
      <c r="F415">
        <v>78.741865509761382</v>
      </c>
      <c r="G415">
        <v>7.2016460905349797</v>
      </c>
      <c r="H415">
        <v>5.3359683794466406</v>
      </c>
      <c r="I415">
        <v>8.5388994307400381</v>
      </c>
      <c r="J415">
        <v>94.188034188034194</v>
      </c>
      <c r="K415">
        <v>83.189214386168103</v>
      </c>
      <c r="L415">
        <v>5.3359683794466406</v>
      </c>
      <c r="M415">
        <v>25.172712716267206</v>
      </c>
    </row>
    <row r="416" spans="1:13" x14ac:dyDescent="0.4">
      <c r="A416" t="s">
        <v>584</v>
      </c>
      <c r="B416" t="s">
        <v>585</v>
      </c>
      <c r="C416" t="s">
        <v>64</v>
      </c>
      <c r="D416" s="1">
        <v>40773</v>
      </c>
      <c r="E416">
        <v>16.582914572864322</v>
      </c>
      <c r="F416">
        <v>61.050328227571114</v>
      </c>
      <c r="G416">
        <v>97.328244274809165</v>
      </c>
      <c r="H416">
        <v>68.062397372742197</v>
      </c>
      <c r="I416">
        <v>67.186440677966104</v>
      </c>
      <c r="J416">
        <v>54.345307068366168</v>
      </c>
      <c r="K416">
        <v>59.119780339626651</v>
      </c>
      <c r="L416">
        <v>68.062397372742197</v>
      </c>
      <c r="M416">
        <v>62.008602143941324</v>
      </c>
    </row>
    <row r="417" spans="1:13" x14ac:dyDescent="0.4">
      <c r="A417" t="s">
        <v>586</v>
      </c>
      <c r="B417" t="s">
        <v>587</v>
      </c>
      <c r="C417" t="s">
        <v>40</v>
      </c>
      <c r="D417" s="1">
        <v>40787</v>
      </c>
      <c r="E417">
        <v>5.6561085972850682</v>
      </c>
      <c r="F417">
        <v>75.054229934924081</v>
      </c>
      <c r="G417">
        <v>75.10288065843622</v>
      </c>
      <c r="H417">
        <v>81.027667984189719</v>
      </c>
      <c r="I417">
        <v>55.218216318785579</v>
      </c>
      <c r="J417">
        <v>12.307692307692308</v>
      </c>
      <c r="K417">
        <v>56.987889379714936</v>
      </c>
      <c r="L417">
        <v>81.027667984189719</v>
      </c>
      <c r="M417">
        <v>46.596529284729073</v>
      </c>
    </row>
    <row r="418" spans="1:13" x14ac:dyDescent="0.4">
      <c r="A418" t="s">
        <v>406</v>
      </c>
      <c r="B418" t="s">
        <v>407</v>
      </c>
      <c r="C418" t="s">
        <v>64</v>
      </c>
      <c r="D418" s="1">
        <v>40787</v>
      </c>
      <c r="E418">
        <v>78.894472361809051</v>
      </c>
      <c r="F418">
        <v>47.264770240700216</v>
      </c>
      <c r="G418">
        <v>84.605597964376585</v>
      </c>
      <c r="H418">
        <v>70.935960591133011</v>
      </c>
      <c r="I418">
        <v>34.237288135593218</v>
      </c>
      <c r="J418">
        <v>91.599073001158743</v>
      </c>
      <c r="K418">
        <v>60.029755246033474</v>
      </c>
      <c r="L418">
        <v>70.935960591133011</v>
      </c>
      <c r="M418">
        <v>67.163390987408221</v>
      </c>
    </row>
    <row r="419" spans="1:13" x14ac:dyDescent="0.4">
      <c r="A419" t="s">
        <v>1080</v>
      </c>
      <c r="B419" t="s">
        <v>1081</v>
      </c>
      <c r="C419" t="s">
        <v>40</v>
      </c>
      <c r="D419" s="1">
        <v>40792</v>
      </c>
      <c r="E419">
        <v>99.321266968325787</v>
      </c>
      <c r="F419">
        <v>79.826464208242953</v>
      </c>
      <c r="G419">
        <v>12.345679012345679</v>
      </c>
      <c r="H419">
        <v>35.968379446640313</v>
      </c>
      <c r="I419">
        <v>3.0360531309297913</v>
      </c>
      <c r="J419">
        <v>28.888888888888889</v>
      </c>
      <c r="K419">
        <v>65.160227351586826</v>
      </c>
      <c r="L419">
        <v>35.968379446640313</v>
      </c>
      <c r="M419">
        <v>37.447640802862345</v>
      </c>
    </row>
    <row r="420" spans="1:13" x14ac:dyDescent="0.4">
      <c r="A420" t="s">
        <v>1082</v>
      </c>
      <c r="B420" t="s">
        <v>1083</v>
      </c>
      <c r="C420" t="s">
        <v>40</v>
      </c>
      <c r="D420" s="1">
        <v>40806</v>
      </c>
      <c r="E420">
        <v>9.9547511312217196</v>
      </c>
      <c r="F420">
        <v>73.535791757049893</v>
      </c>
      <c r="G420">
        <v>32.716049382716051</v>
      </c>
      <c r="H420">
        <v>75.296442687747032</v>
      </c>
      <c r="I420">
        <v>52.561669829222012</v>
      </c>
      <c r="J420">
        <v>72.478632478632477</v>
      </c>
      <c r="K420">
        <v>73.231408435400297</v>
      </c>
      <c r="L420">
        <v>75.296442687747032</v>
      </c>
      <c r="M420">
        <v>31.540482954478094</v>
      </c>
    </row>
    <row r="421" spans="1:13" x14ac:dyDescent="0.4">
      <c r="A421" t="s">
        <v>408</v>
      </c>
      <c r="B421" t="s">
        <v>409</v>
      </c>
      <c r="C421" t="s">
        <v>40</v>
      </c>
      <c r="D421" s="1">
        <v>40806</v>
      </c>
      <c r="E421">
        <v>76.696832579185525</v>
      </c>
      <c r="F421">
        <v>91.757049891540134</v>
      </c>
      <c r="G421">
        <v>97.53086419753086</v>
      </c>
      <c r="H421">
        <v>75.889328063241109</v>
      </c>
      <c r="I421">
        <v>78.178368121442119</v>
      </c>
      <c r="J421">
        <v>16.752136752136753</v>
      </c>
      <c r="K421">
        <v>70.161208027872917</v>
      </c>
      <c r="L421">
        <v>75.889328063241109</v>
      </c>
      <c r="M421">
        <v>84.831520909203249</v>
      </c>
    </row>
    <row r="422" spans="1:13" x14ac:dyDescent="0.4">
      <c r="A422" t="s">
        <v>1084</v>
      </c>
      <c r="B422" t="s">
        <v>1085</v>
      </c>
      <c r="C422" t="s">
        <v>40</v>
      </c>
      <c r="D422" s="1">
        <v>40807</v>
      </c>
      <c r="E422">
        <v>2.9411764705882355</v>
      </c>
      <c r="F422">
        <v>95.010845986984819</v>
      </c>
      <c r="G422">
        <v>68.312757201646093</v>
      </c>
      <c r="H422">
        <v>35.177865612648219</v>
      </c>
      <c r="I422">
        <v>22.011385199240987</v>
      </c>
      <c r="J422">
        <v>6.4957264957264957</v>
      </c>
      <c r="K422">
        <v>69.525068548325308</v>
      </c>
      <c r="L422">
        <v>35.177865612648219</v>
      </c>
      <c r="M422">
        <v>32.933557960883547</v>
      </c>
    </row>
    <row r="423" spans="1:13" x14ac:dyDescent="0.4">
      <c r="A423" t="s">
        <v>1086</v>
      </c>
      <c r="B423" t="s">
        <v>1087</v>
      </c>
      <c r="C423" t="s">
        <v>40</v>
      </c>
      <c r="D423" s="1">
        <v>40814</v>
      </c>
      <c r="E423">
        <v>72.624434389140276</v>
      </c>
      <c r="F423">
        <v>89.804772234273315</v>
      </c>
      <c r="G423">
        <v>97.942386831275726</v>
      </c>
      <c r="H423">
        <v>45.8498023715415</v>
      </c>
      <c r="I423">
        <v>20.49335863377609</v>
      </c>
      <c r="J423">
        <v>99.658119658119659</v>
      </c>
      <c r="K423">
        <v>92.641804155071185</v>
      </c>
      <c r="L423">
        <v>45.8498023715415</v>
      </c>
      <c r="M423">
        <v>65.80144483356419</v>
      </c>
    </row>
    <row r="424" spans="1:13" x14ac:dyDescent="0.4">
      <c r="A424" t="s">
        <v>1088</v>
      </c>
      <c r="B424" t="s">
        <v>1089</v>
      </c>
      <c r="C424" t="s">
        <v>40</v>
      </c>
      <c r="D424" s="1">
        <v>40814</v>
      </c>
      <c r="E424">
        <v>20.135746606334841</v>
      </c>
      <c r="F424">
        <v>93.058568329718</v>
      </c>
      <c r="G424">
        <v>88.271604938271608</v>
      </c>
      <c r="H424">
        <v>92.687747035573125</v>
      </c>
      <c r="I424">
        <v>72.675521821631875</v>
      </c>
      <c r="J424">
        <v>20.341880341880341</v>
      </c>
      <c r="K424">
        <v>72.121565286780225</v>
      </c>
      <c r="L424">
        <v>92.687747035573125</v>
      </c>
      <c r="M424">
        <v>61.515706112313865</v>
      </c>
    </row>
    <row r="425" spans="1:13" x14ac:dyDescent="0.4">
      <c r="A425" t="s">
        <v>410</v>
      </c>
      <c r="B425" t="s">
        <v>411</v>
      </c>
      <c r="C425" t="s">
        <v>40</v>
      </c>
      <c r="D425" s="1">
        <v>40836</v>
      </c>
      <c r="E425">
        <v>23.076923076923077</v>
      </c>
      <c r="F425">
        <v>67.028199566160524</v>
      </c>
      <c r="G425">
        <v>89.094650205761312</v>
      </c>
      <c r="H425">
        <v>1.9762845849802371</v>
      </c>
      <c r="I425">
        <v>30.740037950664135</v>
      </c>
      <c r="J425">
        <v>63.07692307692308</v>
      </c>
      <c r="K425">
        <v>65.890525530559643</v>
      </c>
      <c r="L425">
        <v>1.9762845849802371</v>
      </c>
      <c r="M425">
        <v>49.773342584077511</v>
      </c>
    </row>
    <row r="426" spans="1:13" x14ac:dyDescent="0.4">
      <c r="A426" t="s">
        <v>1090</v>
      </c>
      <c r="B426" t="s">
        <v>1091</v>
      </c>
      <c r="C426" t="s">
        <v>40</v>
      </c>
      <c r="D426" s="1">
        <v>40840</v>
      </c>
      <c r="E426">
        <v>15.158371040723981</v>
      </c>
      <c r="F426">
        <v>88.286334056399127</v>
      </c>
      <c r="G426">
        <v>81.687242798353907</v>
      </c>
      <c r="H426">
        <v>70.158102766798422</v>
      </c>
      <c r="I426">
        <v>49.525616698292218</v>
      </c>
      <c r="J426">
        <v>86.324786324786331</v>
      </c>
      <c r="K426">
        <v>87.7215540593713</v>
      </c>
      <c r="L426">
        <v>70.158102766798422</v>
      </c>
      <c r="M426">
        <v>50.316276694623731</v>
      </c>
    </row>
    <row r="427" spans="1:13" x14ac:dyDescent="0.4">
      <c r="A427" t="s">
        <v>1092</v>
      </c>
      <c r="B427" t="s">
        <v>1093</v>
      </c>
      <c r="C427" t="s">
        <v>40</v>
      </c>
      <c r="D427" s="1">
        <v>40842</v>
      </c>
      <c r="E427">
        <v>40.723981900452486</v>
      </c>
      <c r="F427">
        <v>65.075921908893704</v>
      </c>
      <c r="G427">
        <v>47.119341563786008</v>
      </c>
      <c r="H427">
        <v>49.802371541501977</v>
      </c>
      <c r="I427">
        <v>98.292220113851997</v>
      </c>
      <c r="J427">
        <v>23.247863247863247</v>
      </c>
      <c r="K427">
        <v>53.032548981723949</v>
      </c>
      <c r="L427">
        <v>49.802371541501977</v>
      </c>
      <c r="M427">
        <v>60.915303041095065</v>
      </c>
    </row>
    <row r="428" spans="1:13" x14ac:dyDescent="0.4">
      <c r="A428" t="s">
        <v>1094</v>
      </c>
      <c r="B428" t="s">
        <v>1095</v>
      </c>
      <c r="C428" t="s">
        <v>40</v>
      </c>
      <c r="D428" s="1">
        <v>40855</v>
      </c>
      <c r="E428">
        <v>61.085972850678736</v>
      </c>
      <c r="F428">
        <v>59.219088937093275</v>
      </c>
      <c r="G428">
        <v>100</v>
      </c>
      <c r="H428">
        <v>65.019762845849797</v>
      </c>
      <c r="I428">
        <v>80.455407969639467</v>
      </c>
      <c r="J428">
        <v>16.068376068376068</v>
      </c>
      <c r="K428">
        <v>46.79488987582176</v>
      </c>
      <c r="L428">
        <v>65.019762845849797</v>
      </c>
      <c r="M428">
        <v>81.423537513121047</v>
      </c>
    </row>
    <row r="429" spans="1:13" x14ac:dyDescent="0.4">
      <c r="A429" t="s">
        <v>588</v>
      </c>
      <c r="B429" t="s">
        <v>589</v>
      </c>
      <c r="C429" t="s">
        <v>40</v>
      </c>
      <c r="D429" s="1">
        <v>40856</v>
      </c>
      <c r="E429">
        <v>1.3574660633484164</v>
      </c>
      <c r="F429">
        <v>88.50325379609545</v>
      </c>
      <c r="G429">
        <v>45.884773662551439</v>
      </c>
      <c r="H429">
        <v>71.343873517786562</v>
      </c>
      <c r="I429">
        <v>2.2770398481973433</v>
      </c>
      <c r="J429">
        <v>98.803418803418808</v>
      </c>
      <c r="K429">
        <v>91.468935980866576</v>
      </c>
      <c r="L429">
        <v>71.343873517786562</v>
      </c>
      <c r="M429">
        <v>18.04715547821732</v>
      </c>
    </row>
    <row r="430" spans="1:13" x14ac:dyDescent="0.4">
      <c r="A430" t="s">
        <v>1096</v>
      </c>
      <c r="B430" t="s">
        <v>1097</v>
      </c>
      <c r="C430" t="s">
        <v>40</v>
      </c>
      <c r="D430" s="1">
        <v>40863</v>
      </c>
      <c r="E430">
        <v>87.104072398190041</v>
      </c>
      <c r="F430">
        <v>51.193058568329718</v>
      </c>
      <c r="G430">
        <v>71.193415637860085</v>
      </c>
      <c r="H430">
        <v>71.541501976284579</v>
      </c>
      <c r="I430">
        <v>27.893738140417458</v>
      </c>
      <c r="J430">
        <v>66.666666666666671</v>
      </c>
      <c r="K430">
        <v>55.648307958872557</v>
      </c>
      <c r="L430">
        <v>71.541501976284579</v>
      </c>
      <c r="M430">
        <v>62.898379987969079</v>
      </c>
    </row>
    <row r="431" spans="1:13" x14ac:dyDescent="0.4">
      <c r="A431" t="s">
        <v>1098</v>
      </c>
      <c r="B431" t="s">
        <v>1099</v>
      </c>
      <c r="C431" t="s">
        <v>64</v>
      </c>
      <c r="D431" s="1">
        <v>40869</v>
      </c>
      <c r="E431">
        <v>72.361809045226124</v>
      </c>
      <c r="F431">
        <v>65.645514223194752</v>
      </c>
      <c r="G431">
        <v>29.643765903307887</v>
      </c>
      <c r="H431">
        <v>5.7471264367816088</v>
      </c>
      <c r="I431">
        <v>8.1355932203389827</v>
      </c>
      <c r="J431">
        <v>83.429895712630355</v>
      </c>
      <c r="K431">
        <v>70.766094652041545</v>
      </c>
      <c r="L431">
        <v>5.7471264367816088</v>
      </c>
      <c r="M431">
        <v>36.725747817526859</v>
      </c>
    </row>
    <row r="432" spans="1:13" x14ac:dyDescent="0.4">
      <c r="A432" t="s">
        <v>61</v>
      </c>
      <c r="B432" t="s">
        <v>62</v>
      </c>
      <c r="C432" t="s">
        <v>40</v>
      </c>
      <c r="D432" s="1">
        <v>40869</v>
      </c>
      <c r="E432">
        <v>92.76018099547511</v>
      </c>
      <c r="F432">
        <v>6.2906724511930587</v>
      </c>
      <c r="G432">
        <v>14.814814814814815</v>
      </c>
      <c r="H432">
        <v>9.8814229249011856</v>
      </c>
      <c r="I432">
        <v>64.895635673624284</v>
      </c>
      <c r="J432">
        <v>4.7863247863247862</v>
      </c>
      <c r="K432">
        <v>5.8575321018656608</v>
      </c>
      <c r="L432">
        <v>9.8814229249011856</v>
      </c>
      <c r="M432">
        <v>55.410791017002943</v>
      </c>
    </row>
    <row r="433" spans="1:13" x14ac:dyDescent="0.4">
      <c r="A433" t="s">
        <v>1100</v>
      </c>
      <c r="B433" t="s">
        <v>1101</v>
      </c>
      <c r="C433" t="s">
        <v>40</v>
      </c>
      <c r="D433" s="1">
        <v>40870</v>
      </c>
      <c r="E433">
        <v>44.570135746606333</v>
      </c>
      <c r="F433">
        <v>85.032537960954443</v>
      </c>
      <c r="G433">
        <v>82.716049382716051</v>
      </c>
      <c r="H433">
        <v>38.142292490118578</v>
      </c>
      <c r="I433">
        <v>86.527514231499055</v>
      </c>
      <c r="J433">
        <v>44.957264957264954</v>
      </c>
      <c r="K433">
        <v>73.493837065155304</v>
      </c>
      <c r="L433">
        <v>38.142292490118578</v>
      </c>
      <c r="M433">
        <v>71.622650612047735</v>
      </c>
    </row>
    <row r="434" spans="1:13" x14ac:dyDescent="0.4">
      <c r="A434" t="s">
        <v>590</v>
      </c>
      <c r="B434" t="s">
        <v>591</v>
      </c>
      <c r="C434" t="s">
        <v>64</v>
      </c>
      <c r="D434" s="1">
        <v>40878</v>
      </c>
      <c r="E434">
        <v>2.0100502512562812</v>
      </c>
      <c r="F434">
        <v>82.275711159737412</v>
      </c>
      <c r="G434">
        <v>46.055979643765902</v>
      </c>
      <c r="H434">
        <v>52.052545155993435</v>
      </c>
      <c r="I434">
        <v>15.525423728813559</v>
      </c>
      <c r="J434">
        <v>99.015063731170329</v>
      </c>
      <c r="K434">
        <v>87.095400909406948</v>
      </c>
      <c r="L434">
        <v>52.052545155993435</v>
      </c>
      <c r="M434">
        <v>22.424677025873862</v>
      </c>
    </row>
    <row r="435" spans="1:13" x14ac:dyDescent="0.4">
      <c r="A435" t="s">
        <v>412</v>
      </c>
      <c r="B435" t="s">
        <v>413</v>
      </c>
      <c r="C435" t="s">
        <v>40</v>
      </c>
      <c r="D435" s="1">
        <v>40885</v>
      </c>
      <c r="E435">
        <v>42.986425339366512</v>
      </c>
      <c r="F435">
        <v>65.726681127982644</v>
      </c>
      <c r="G435">
        <v>21.399176954732511</v>
      </c>
      <c r="H435">
        <v>67.588932806324109</v>
      </c>
      <c r="I435">
        <v>34.155597722960152</v>
      </c>
      <c r="J435">
        <v>92.307692307692307</v>
      </c>
      <c r="K435">
        <v>73.380037288084807</v>
      </c>
      <c r="L435">
        <v>67.588932806324109</v>
      </c>
      <c r="M435">
        <v>32.297362115542924</v>
      </c>
    </row>
    <row r="436" spans="1:13" x14ac:dyDescent="0.4">
      <c r="A436" t="s">
        <v>1102</v>
      </c>
      <c r="B436" t="s">
        <v>1103</v>
      </c>
      <c r="C436" t="s">
        <v>64</v>
      </c>
      <c r="D436" s="1">
        <v>40890</v>
      </c>
      <c r="E436">
        <v>37.185929648241206</v>
      </c>
      <c r="F436">
        <v>49.671772428884026</v>
      </c>
      <c r="G436">
        <v>28.117048346055981</v>
      </c>
      <c r="H436">
        <v>15.35303776683087</v>
      </c>
      <c r="I436">
        <v>83.254237288135599</v>
      </c>
      <c r="J436">
        <v>24.623406720741599</v>
      </c>
      <c r="K436">
        <v>42.459704283815157</v>
      </c>
      <c r="L436">
        <v>15.35303776683087</v>
      </c>
      <c r="M436">
        <v>48.117121320082823</v>
      </c>
    </row>
    <row r="437" spans="1:13" x14ac:dyDescent="0.4">
      <c r="A437" t="s">
        <v>1104</v>
      </c>
      <c r="B437" t="s">
        <v>1105</v>
      </c>
      <c r="C437" t="s">
        <v>40</v>
      </c>
      <c r="D437" s="1">
        <v>40897</v>
      </c>
      <c r="E437">
        <v>60.859728506787327</v>
      </c>
      <c r="F437">
        <v>27.331887201735359</v>
      </c>
      <c r="G437">
        <v>2.0576131687242798</v>
      </c>
      <c r="H437">
        <v>30.434782608695652</v>
      </c>
      <c r="I437">
        <v>42.504743833017081</v>
      </c>
      <c r="J437">
        <v>32.820512820512818</v>
      </c>
      <c r="K437">
        <v>28.912203556367878</v>
      </c>
      <c r="L437">
        <v>30.434782608695649</v>
      </c>
      <c r="M437">
        <v>33.50925894383289</v>
      </c>
    </row>
    <row r="438" spans="1:13" x14ac:dyDescent="0.4">
      <c r="A438" t="s">
        <v>592</v>
      </c>
      <c r="B438" t="s">
        <v>593</v>
      </c>
      <c r="C438" t="s">
        <v>40</v>
      </c>
      <c r="D438" s="1">
        <v>40897</v>
      </c>
      <c r="E438">
        <v>16.968325791855204</v>
      </c>
      <c r="F438">
        <v>81.778741865509758</v>
      </c>
      <c r="G438">
        <v>16.049382716049383</v>
      </c>
      <c r="H438">
        <v>3.5573122529644268</v>
      </c>
      <c r="I438">
        <v>4.5540796963946866</v>
      </c>
      <c r="J438">
        <v>84.957264957264954</v>
      </c>
      <c r="K438">
        <v>82.693920340844841</v>
      </c>
      <c r="L438">
        <v>3.5573122529644268</v>
      </c>
      <c r="M438">
        <v>12.783727459232638</v>
      </c>
    </row>
    <row r="439" spans="1:13" x14ac:dyDescent="0.4">
      <c r="A439" t="s">
        <v>1106</v>
      </c>
      <c r="B439" t="s">
        <v>1107</v>
      </c>
      <c r="C439" t="s">
        <v>40</v>
      </c>
      <c r="D439" s="1">
        <v>40903</v>
      </c>
      <c r="E439">
        <v>26.696832579185521</v>
      </c>
      <c r="F439">
        <v>28.633405639913232</v>
      </c>
      <c r="G439">
        <v>77.572016460905346</v>
      </c>
      <c r="H439">
        <v>87.154150197628454</v>
      </c>
      <c r="I439">
        <v>69.070208728652744</v>
      </c>
      <c r="J439">
        <v>89.914529914529908</v>
      </c>
      <c r="K439">
        <v>46.277816034771902</v>
      </c>
      <c r="L439">
        <v>87.154150197628454</v>
      </c>
      <c r="M439">
        <v>58.56795824698662</v>
      </c>
    </row>
    <row r="440" spans="1:13" x14ac:dyDescent="0.4">
      <c r="A440" t="s">
        <v>414</v>
      </c>
      <c r="B440" t="s">
        <v>415</v>
      </c>
      <c r="C440" t="s">
        <v>64</v>
      </c>
      <c r="D440" s="1">
        <v>40905</v>
      </c>
      <c r="E440">
        <v>98.994974874371863</v>
      </c>
      <c r="F440">
        <v>32.822757111597376</v>
      </c>
      <c r="G440">
        <v>66.284987277353693</v>
      </c>
      <c r="H440">
        <v>17.405582922824301</v>
      </c>
      <c r="I440">
        <v>21.559322033898304</v>
      </c>
      <c r="J440">
        <v>84.067207415990737</v>
      </c>
      <c r="K440">
        <v>47.577351162088341</v>
      </c>
      <c r="L440">
        <v>17.405582922824301</v>
      </c>
      <c r="M440">
        <v>62.953694652405062</v>
      </c>
    </row>
    <row r="441" spans="1:13" x14ac:dyDescent="0.4">
      <c r="A441" t="s">
        <v>416</v>
      </c>
      <c r="B441" t="s">
        <v>417</v>
      </c>
      <c r="C441" t="s">
        <v>40</v>
      </c>
      <c r="D441" s="1">
        <v>40905</v>
      </c>
      <c r="E441">
        <v>75.565610859728508</v>
      </c>
      <c r="F441">
        <v>49.457700650759222</v>
      </c>
      <c r="G441">
        <v>88.065843621399182</v>
      </c>
      <c r="H441">
        <v>90.71146245059289</v>
      </c>
      <c r="I441">
        <v>91.271347248576845</v>
      </c>
      <c r="J441">
        <v>13.504273504273504</v>
      </c>
      <c r="K441">
        <v>39.105785094650329</v>
      </c>
      <c r="L441">
        <v>90.71146245059289</v>
      </c>
      <c r="M441">
        <v>85.036732169903487</v>
      </c>
    </row>
    <row r="442" spans="1:13" x14ac:dyDescent="0.4">
      <c r="A442" t="s">
        <v>418</v>
      </c>
      <c r="B442" t="s">
        <v>419</v>
      </c>
      <c r="C442" t="s">
        <v>64</v>
      </c>
      <c r="D442" s="1">
        <v>40940</v>
      </c>
      <c r="E442">
        <v>55.276381909547737</v>
      </c>
      <c r="F442">
        <v>63.019693654266959</v>
      </c>
      <c r="G442">
        <v>20.356234096692113</v>
      </c>
      <c r="H442">
        <v>68.390804597701148</v>
      </c>
      <c r="I442">
        <v>12.338983050847459</v>
      </c>
      <c r="J442">
        <v>91.425260718424099</v>
      </c>
      <c r="K442">
        <v>71.198386338374121</v>
      </c>
      <c r="L442">
        <v>68.390804597701148</v>
      </c>
      <c r="M442">
        <v>29.108688332080145</v>
      </c>
    </row>
    <row r="443" spans="1:13" x14ac:dyDescent="0.4">
      <c r="A443" t="s">
        <v>594</v>
      </c>
      <c r="B443" t="s">
        <v>595</v>
      </c>
      <c r="C443" t="s">
        <v>40</v>
      </c>
      <c r="D443" s="1">
        <v>40940</v>
      </c>
      <c r="E443">
        <v>10.633484162895927</v>
      </c>
      <c r="F443">
        <v>71.366594360086765</v>
      </c>
      <c r="G443">
        <v>37.44855967078189</v>
      </c>
      <c r="H443">
        <v>62.252964426877469</v>
      </c>
      <c r="I443">
        <v>71.537001897533202</v>
      </c>
      <c r="J443">
        <v>16.923076923076923</v>
      </c>
      <c r="K443">
        <v>55.690906676984859</v>
      </c>
      <c r="L443">
        <v>62.252964426877476</v>
      </c>
      <c r="M443">
        <v>39.38115683000111</v>
      </c>
    </row>
    <row r="444" spans="1:13" x14ac:dyDescent="0.4">
      <c r="A444" t="s">
        <v>1108</v>
      </c>
      <c r="B444" t="s">
        <v>1109</v>
      </c>
      <c r="C444" t="s">
        <v>40</v>
      </c>
      <c r="D444" s="1">
        <v>40954</v>
      </c>
      <c r="E444">
        <v>42.533936651583709</v>
      </c>
      <c r="F444">
        <v>43.600867678958785</v>
      </c>
      <c r="G444">
        <v>12.962962962962964</v>
      </c>
      <c r="H444">
        <v>55.335968379446641</v>
      </c>
      <c r="I444">
        <v>80.075901328273247</v>
      </c>
      <c r="J444">
        <v>81.196581196581192</v>
      </c>
      <c r="K444">
        <v>54.425639682484743</v>
      </c>
      <c r="L444">
        <v>55.335968379446641</v>
      </c>
      <c r="M444">
        <v>43.270191382645194</v>
      </c>
    </row>
    <row r="445" spans="1:13" x14ac:dyDescent="0.4">
      <c r="A445" t="s">
        <v>1110</v>
      </c>
      <c r="B445" t="s">
        <v>1111</v>
      </c>
      <c r="C445" t="s">
        <v>40</v>
      </c>
      <c r="D445" s="1">
        <v>40967</v>
      </c>
      <c r="E445">
        <v>87.33031674208145</v>
      </c>
      <c r="F445">
        <v>55.531453362255967</v>
      </c>
      <c r="G445">
        <v>73.045267489711932</v>
      </c>
      <c r="H445">
        <v>14.229249011857707</v>
      </c>
      <c r="I445">
        <v>58.823529411764703</v>
      </c>
      <c r="J445">
        <v>4.4444444444444446</v>
      </c>
      <c r="K445">
        <v>40.82219073266937</v>
      </c>
      <c r="L445">
        <v>14.229249011857707</v>
      </c>
      <c r="M445">
        <v>73.235755631696463</v>
      </c>
    </row>
    <row r="446" spans="1:13" x14ac:dyDescent="0.4">
      <c r="A446" t="s">
        <v>420</v>
      </c>
      <c r="B446" t="s">
        <v>421</v>
      </c>
      <c r="C446" t="s">
        <v>64</v>
      </c>
      <c r="D446" s="1">
        <v>40973</v>
      </c>
      <c r="E446">
        <v>20.603015075376884</v>
      </c>
      <c r="F446">
        <v>74.179431072210065</v>
      </c>
      <c r="G446">
        <v>35.241730279898221</v>
      </c>
      <c r="H446">
        <v>90.722495894909684</v>
      </c>
      <c r="I446">
        <v>19.254237288135592</v>
      </c>
      <c r="J446">
        <v>60.544611819235229</v>
      </c>
      <c r="K446">
        <v>70.253616240858179</v>
      </c>
      <c r="L446">
        <v>90.722495894909684</v>
      </c>
      <c r="M446">
        <v>25.578362965445159</v>
      </c>
    </row>
    <row r="447" spans="1:13" x14ac:dyDescent="0.4">
      <c r="A447" t="s">
        <v>59</v>
      </c>
      <c r="B447" t="s">
        <v>60</v>
      </c>
      <c r="C447" t="s">
        <v>43</v>
      </c>
      <c r="D447" s="1">
        <v>40975</v>
      </c>
      <c r="E447">
        <v>62.5</v>
      </c>
      <c r="F447">
        <v>33.944954128440365</v>
      </c>
      <c r="G447">
        <v>72.435897435897431</v>
      </c>
      <c r="H447">
        <v>36.040609137055839</v>
      </c>
      <c r="I447">
        <v>22.477064220183486</v>
      </c>
      <c r="J447">
        <v>1.7605633802816902</v>
      </c>
      <c r="K447">
        <v>24.678241002809539</v>
      </c>
      <c r="L447">
        <v>36.040609137055839</v>
      </c>
      <c r="M447">
        <v>53.761143592444888</v>
      </c>
    </row>
    <row r="448" spans="1:13" x14ac:dyDescent="0.4">
      <c r="A448" t="s">
        <v>1112</v>
      </c>
      <c r="B448" t="s">
        <v>1113</v>
      </c>
      <c r="C448" t="s">
        <v>40</v>
      </c>
      <c r="D448" s="1">
        <v>40977</v>
      </c>
      <c r="E448">
        <v>27.601809954751133</v>
      </c>
      <c r="F448">
        <v>61.388286334056396</v>
      </c>
      <c r="G448">
        <v>9.8765432098765427</v>
      </c>
      <c r="H448">
        <v>73.517786561264828</v>
      </c>
      <c r="I448">
        <v>42.314990512333964</v>
      </c>
      <c r="J448">
        <v>39.487179487179489</v>
      </c>
      <c r="K448">
        <v>55.082394888980382</v>
      </c>
      <c r="L448">
        <v>73.517786561264828</v>
      </c>
      <c r="M448">
        <v>25.629718575555653</v>
      </c>
    </row>
    <row r="449" spans="1:13" x14ac:dyDescent="0.4">
      <c r="A449" t="s">
        <v>316</v>
      </c>
      <c r="B449" t="s">
        <v>317</v>
      </c>
      <c r="C449" t="s">
        <v>40</v>
      </c>
      <c r="D449" s="1">
        <v>40977</v>
      </c>
      <c r="E449">
        <v>90.271493212669682</v>
      </c>
      <c r="F449">
        <v>22.559652928416487</v>
      </c>
      <c r="G449">
        <v>22.016460905349795</v>
      </c>
      <c r="H449">
        <v>63.636363636363633</v>
      </c>
      <c r="I449">
        <v>72.485768500948765</v>
      </c>
      <c r="J449">
        <v>68.205128205128204</v>
      </c>
      <c r="K449">
        <v>35.70215819384741</v>
      </c>
      <c r="L449">
        <v>63.63636363636364</v>
      </c>
      <c r="M449">
        <v>59.614731668422976</v>
      </c>
    </row>
    <row r="450" spans="1:13" x14ac:dyDescent="0.4">
      <c r="A450" t="s">
        <v>1114</v>
      </c>
      <c r="B450" t="s">
        <v>1115</v>
      </c>
      <c r="C450" t="s">
        <v>43</v>
      </c>
      <c r="D450" s="1">
        <v>40981</v>
      </c>
      <c r="E450">
        <v>70</v>
      </c>
      <c r="F450">
        <v>46.788990825688074</v>
      </c>
      <c r="G450">
        <v>3.2051282051282053</v>
      </c>
      <c r="H450">
        <v>14.720812182741117</v>
      </c>
      <c r="I450">
        <v>4.5871559633027523</v>
      </c>
      <c r="J450">
        <v>98.239436619718305</v>
      </c>
      <c r="K450">
        <v>61.602896271028051</v>
      </c>
      <c r="L450">
        <v>14.720812182741117</v>
      </c>
      <c r="M450">
        <v>25.125900576166149</v>
      </c>
    </row>
    <row r="451" spans="1:13" x14ac:dyDescent="0.4">
      <c r="A451" t="s">
        <v>1116</v>
      </c>
      <c r="B451" t="s">
        <v>1117</v>
      </c>
      <c r="C451" t="s">
        <v>40</v>
      </c>
      <c r="D451" s="1">
        <v>40981</v>
      </c>
      <c r="E451">
        <v>11.990950226244344</v>
      </c>
      <c r="F451">
        <v>55.097613882863342</v>
      </c>
      <c r="G451">
        <v>19.135802469135804</v>
      </c>
      <c r="H451">
        <v>33.992094861660078</v>
      </c>
      <c r="I451">
        <v>54.269449715370015</v>
      </c>
      <c r="J451">
        <v>25.299145299145298</v>
      </c>
      <c r="K451">
        <v>46.517869058449165</v>
      </c>
      <c r="L451">
        <v>33.992094861660078</v>
      </c>
      <c r="M451">
        <v>27.721507473246874</v>
      </c>
    </row>
    <row r="452" spans="1:13" x14ac:dyDescent="0.4">
      <c r="A452" t="s">
        <v>1118</v>
      </c>
      <c r="B452" t="s">
        <v>1119</v>
      </c>
      <c r="C452" t="s">
        <v>40</v>
      </c>
      <c r="D452" s="1">
        <v>40988</v>
      </c>
      <c r="E452">
        <v>48.642533936651581</v>
      </c>
      <c r="F452">
        <v>56.832971800433839</v>
      </c>
      <c r="G452">
        <v>3.2921810699588478</v>
      </c>
      <c r="H452">
        <v>0.19762845849802371</v>
      </c>
      <c r="I452">
        <v>17.836812144212523</v>
      </c>
      <c r="J452">
        <v>50.427350427350426</v>
      </c>
      <c r="K452">
        <v>54.988628804468654</v>
      </c>
      <c r="L452">
        <v>0.19762845849802371</v>
      </c>
      <c r="M452">
        <v>22.390631272556991</v>
      </c>
    </row>
    <row r="453" spans="1:13" x14ac:dyDescent="0.4">
      <c r="A453" t="s">
        <v>1120</v>
      </c>
      <c r="B453" t="s">
        <v>1121</v>
      </c>
      <c r="C453" t="s">
        <v>40</v>
      </c>
      <c r="D453" s="1">
        <v>40988</v>
      </c>
      <c r="E453">
        <v>57.23981900452489</v>
      </c>
      <c r="F453">
        <v>41.865509761388289</v>
      </c>
      <c r="G453">
        <v>0.82304526748971196</v>
      </c>
      <c r="H453">
        <v>89.130434782608702</v>
      </c>
      <c r="I453">
        <v>76.660341555977226</v>
      </c>
      <c r="J453">
        <v>18.803418803418804</v>
      </c>
      <c r="K453">
        <v>35.225341157390879</v>
      </c>
      <c r="L453">
        <v>89.130434782608702</v>
      </c>
      <c r="M453">
        <v>42.471336982777665</v>
      </c>
    </row>
    <row r="454" spans="1:13" x14ac:dyDescent="0.4">
      <c r="A454" t="s">
        <v>86</v>
      </c>
      <c r="B454" t="s">
        <v>87</v>
      </c>
      <c r="C454" t="s">
        <v>40</v>
      </c>
      <c r="D454" s="1">
        <v>40989</v>
      </c>
      <c r="E454">
        <v>9.502262443438914</v>
      </c>
      <c r="F454">
        <v>41.648590021691973</v>
      </c>
      <c r="G454">
        <v>25.514403292181068</v>
      </c>
      <c r="H454">
        <v>14.624505928853756</v>
      </c>
      <c r="I454">
        <v>41.745730550284627</v>
      </c>
      <c r="J454">
        <v>19.145299145299145</v>
      </c>
      <c r="K454">
        <v>35.169314320439547</v>
      </c>
      <c r="L454">
        <v>14.624505928853756</v>
      </c>
      <c r="M454">
        <v>25.390776344259042</v>
      </c>
    </row>
    <row r="455" spans="1:13" x14ac:dyDescent="0.4">
      <c r="A455" t="s">
        <v>193</v>
      </c>
      <c r="B455" t="s">
        <v>194</v>
      </c>
      <c r="C455" t="s">
        <v>40</v>
      </c>
      <c r="D455" s="1">
        <v>40995</v>
      </c>
      <c r="E455">
        <v>65.610859728506782</v>
      </c>
      <c r="F455">
        <v>3.4707158351409979</v>
      </c>
      <c r="G455">
        <v>92.181069958847743</v>
      </c>
      <c r="H455">
        <v>97.430830039525688</v>
      </c>
      <c r="I455">
        <v>74.383301707779893</v>
      </c>
      <c r="J455">
        <v>83.418803418803421</v>
      </c>
      <c r="K455">
        <v>26.489824644059283</v>
      </c>
      <c r="L455">
        <v>97.430830039525688</v>
      </c>
      <c r="M455">
        <v>78.117662627522037</v>
      </c>
    </row>
    <row r="456" spans="1:13" x14ac:dyDescent="0.4">
      <c r="A456" t="s">
        <v>177</v>
      </c>
      <c r="B456" t="s">
        <v>178</v>
      </c>
      <c r="C456" t="s">
        <v>40</v>
      </c>
      <c r="D456" s="1">
        <v>40997</v>
      </c>
      <c r="E456">
        <v>38.687782805429862</v>
      </c>
      <c r="F456">
        <v>16.702819956616054</v>
      </c>
      <c r="G456">
        <v>52.674897119341566</v>
      </c>
      <c r="H456">
        <v>66.403162055335969</v>
      </c>
      <c r="I456">
        <v>26.755218216318784</v>
      </c>
      <c r="J456">
        <v>81.538461538461533</v>
      </c>
      <c r="K456">
        <v>35.370667223215527</v>
      </c>
      <c r="L456">
        <v>66.403162055335969</v>
      </c>
      <c r="M456">
        <v>40.144118906033974</v>
      </c>
    </row>
    <row r="457" spans="1:13" x14ac:dyDescent="0.4">
      <c r="A457" t="s">
        <v>1122</v>
      </c>
      <c r="B457" t="s">
        <v>1123</v>
      </c>
      <c r="C457" t="s">
        <v>40</v>
      </c>
      <c r="D457" s="1">
        <v>41004</v>
      </c>
      <c r="E457">
        <v>70.361990950226243</v>
      </c>
      <c r="F457">
        <v>1.735357917570499</v>
      </c>
      <c r="G457">
        <v>25.925925925925927</v>
      </c>
      <c r="H457">
        <v>81.620553359683797</v>
      </c>
      <c r="I457">
        <v>2.8462998102466792</v>
      </c>
      <c r="J457">
        <v>65.470085470085465</v>
      </c>
      <c r="K457">
        <v>20.086223745384405</v>
      </c>
      <c r="L457">
        <v>81.620553359683797</v>
      </c>
      <c r="M457">
        <v>33.073866509150641</v>
      </c>
    </row>
    <row r="458" spans="1:13" x14ac:dyDescent="0.4">
      <c r="A458" t="s">
        <v>1124</v>
      </c>
      <c r="B458" t="s">
        <v>1125</v>
      </c>
      <c r="C458" t="s">
        <v>43</v>
      </c>
      <c r="D458" s="1">
        <v>41015</v>
      </c>
      <c r="E458">
        <v>95</v>
      </c>
      <c r="F458">
        <v>30.275229357798164</v>
      </c>
      <c r="G458">
        <v>33.333333333333336</v>
      </c>
      <c r="H458">
        <v>86.802030456852791</v>
      </c>
      <c r="I458">
        <v>63.302752293577981</v>
      </c>
      <c r="J458">
        <v>89.436619718309856</v>
      </c>
      <c r="K458">
        <v>47.309313888843327</v>
      </c>
      <c r="L458">
        <v>86.802030456852791</v>
      </c>
      <c r="M458">
        <v>62.46062142428633</v>
      </c>
    </row>
    <row r="459" spans="1:13" x14ac:dyDescent="0.4">
      <c r="A459" t="s">
        <v>318</v>
      </c>
      <c r="B459" t="s">
        <v>319</v>
      </c>
      <c r="C459" t="s">
        <v>40</v>
      </c>
      <c r="D459" s="1">
        <v>41019</v>
      </c>
      <c r="E459">
        <v>89.140271493212666</v>
      </c>
      <c r="F459">
        <v>11.496746203904555</v>
      </c>
      <c r="G459">
        <v>20.781893004115226</v>
      </c>
      <c r="H459">
        <v>14.822134387351779</v>
      </c>
      <c r="I459">
        <v>79.886148007590137</v>
      </c>
      <c r="J459">
        <v>60.341880341880341</v>
      </c>
      <c r="K459">
        <v>25.560515475829472</v>
      </c>
      <c r="L459">
        <v>14.822134387351777</v>
      </c>
      <c r="M459">
        <v>61.088598577640603</v>
      </c>
    </row>
    <row r="460" spans="1:13" x14ac:dyDescent="0.4">
      <c r="A460" t="s">
        <v>422</v>
      </c>
      <c r="B460" t="s">
        <v>423</v>
      </c>
      <c r="C460" t="s">
        <v>40</v>
      </c>
      <c r="D460" s="1">
        <v>41023</v>
      </c>
      <c r="E460">
        <v>64.027149321266975</v>
      </c>
      <c r="F460">
        <v>37.960954446854664</v>
      </c>
      <c r="G460">
        <v>80.864197530864203</v>
      </c>
      <c r="H460">
        <v>39.328063241106719</v>
      </c>
      <c r="I460">
        <v>57.685009487666036</v>
      </c>
      <c r="J460">
        <v>92.478632478632477</v>
      </c>
      <c r="K460">
        <v>53.657994870864997</v>
      </c>
      <c r="L460">
        <v>39.328063241106719</v>
      </c>
      <c r="M460">
        <v>68.265422804105853</v>
      </c>
    </row>
    <row r="461" spans="1:13" x14ac:dyDescent="0.4">
      <c r="A461" t="s">
        <v>596</v>
      </c>
      <c r="B461" t="s">
        <v>597</v>
      </c>
      <c r="C461" t="s">
        <v>64</v>
      </c>
      <c r="D461" s="1">
        <v>41024</v>
      </c>
      <c r="E461">
        <v>1.5075376884422111</v>
      </c>
      <c r="F461">
        <v>89.715536105032825</v>
      </c>
      <c r="G461">
        <v>8.2697201017811697</v>
      </c>
      <c r="H461">
        <v>64.44991789819376</v>
      </c>
      <c r="I461">
        <v>3.6610169491525424</v>
      </c>
      <c r="J461">
        <v>85.225955967555038</v>
      </c>
      <c r="K461">
        <v>88.422870616533032</v>
      </c>
      <c r="L461">
        <v>64.44991789819376</v>
      </c>
      <c r="M461">
        <v>4.666034472930698</v>
      </c>
    </row>
    <row r="462" spans="1:13" x14ac:dyDescent="0.4">
      <c r="A462" t="s">
        <v>598</v>
      </c>
      <c r="B462" t="s">
        <v>599</v>
      </c>
      <c r="C462" t="s">
        <v>40</v>
      </c>
      <c r="D462" s="1">
        <v>41025</v>
      </c>
      <c r="E462">
        <v>29.411764705882351</v>
      </c>
      <c r="F462">
        <v>34.05639913232104</v>
      </c>
      <c r="G462">
        <v>34.979423868312757</v>
      </c>
      <c r="H462">
        <v>46.837944664031617</v>
      </c>
      <c r="I462">
        <v>29.601518026565465</v>
      </c>
      <c r="J462">
        <v>75.213675213675216</v>
      </c>
      <c r="K462">
        <v>45.9066365179741</v>
      </c>
      <c r="L462">
        <v>46.837944664031617</v>
      </c>
      <c r="M462">
        <v>31.521794768185572</v>
      </c>
    </row>
    <row r="463" spans="1:13" x14ac:dyDescent="0.4">
      <c r="A463" t="s">
        <v>1126</v>
      </c>
      <c r="B463" t="s">
        <v>1127</v>
      </c>
      <c r="C463" t="s">
        <v>40</v>
      </c>
      <c r="D463" s="1">
        <v>41036</v>
      </c>
      <c r="E463">
        <v>8.3710407239819009</v>
      </c>
      <c r="F463">
        <v>60.954446854663772</v>
      </c>
      <c r="G463">
        <v>52.057613168724281</v>
      </c>
      <c r="H463">
        <v>42.885375494071148</v>
      </c>
      <c r="I463">
        <v>61.10056925996205</v>
      </c>
      <c r="J463">
        <v>64.957264957264954</v>
      </c>
      <c r="K463">
        <v>62.106961045196002</v>
      </c>
      <c r="L463">
        <v>42.885375494071148</v>
      </c>
      <c r="M463">
        <v>40.802155800297108</v>
      </c>
    </row>
    <row r="464" spans="1:13" x14ac:dyDescent="0.4">
      <c r="A464" t="s">
        <v>600</v>
      </c>
      <c r="B464" t="s">
        <v>601</v>
      </c>
      <c r="C464" t="s">
        <v>40</v>
      </c>
      <c r="D464" s="1">
        <v>41051</v>
      </c>
      <c r="E464">
        <v>3.6199095022624435</v>
      </c>
      <c r="F464">
        <v>100</v>
      </c>
      <c r="G464">
        <v>39.094650205761319</v>
      </c>
      <c r="H464">
        <v>96.640316205533594</v>
      </c>
      <c r="I464">
        <v>21.062618595825427</v>
      </c>
      <c r="J464">
        <v>37.948717948717949</v>
      </c>
      <c r="K464">
        <v>82.133841390807333</v>
      </c>
      <c r="L464">
        <v>96.640316205533594</v>
      </c>
      <c r="M464">
        <v>22.093452315552472</v>
      </c>
    </row>
    <row r="465" spans="1:13" x14ac:dyDescent="0.4">
      <c r="A465" t="s">
        <v>602</v>
      </c>
      <c r="B465" t="s">
        <v>603</v>
      </c>
      <c r="C465" t="s">
        <v>40</v>
      </c>
      <c r="D465" s="1">
        <v>41052</v>
      </c>
      <c r="E465">
        <v>24.886877828054299</v>
      </c>
      <c r="F465">
        <v>90.889370932754886</v>
      </c>
      <c r="G465">
        <v>14.197530864197532</v>
      </c>
      <c r="H465">
        <v>100</v>
      </c>
      <c r="I465">
        <v>95.825426944971539</v>
      </c>
      <c r="J465">
        <v>78.290598290598297</v>
      </c>
      <c r="K465">
        <v>87.261860543527135</v>
      </c>
      <c r="L465">
        <v>100</v>
      </c>
      <c r="M465">
        <v>42.926070838118513</v>
      </c>
    </row>
    <row r="466" spans="1:13" x14ac:dyDescent="0.4">
      <c r="A466" t="s">
        <v>604</v>
      </c>
      <c r="B466" t="s">
        <v>605</v>
      </c>
      <c r="C466" t="s">
        <v>40</v>
      </c>
      <c r="D466" s="1">
        <v>41052</v>
      </c>
      <c r="E466">
        <v>21.719457013574662</v>
      </c>
      <c r="F466">
        <v>36.659436008676792</v>
      </c>
      <c r="G466">
        <v>1.2345679012345678</v>
      </c>
      <c r="H466">
        <v>79.446640316205531</v>
      </c>
      <c r="I466">
        <v>77.7988614800759</v>
      </c>
      <c r="J466">
        <v>51.282051282051285</v>
      </c>
      <c r="K466">
        <v>40.869662697295453</v>
      </c>
      <c r="L466">
        <v>79.446640316205531</v>
      </c>
      <c r="M466">
        <v>31.546275088004169</v>
      </c>
    </row>
    <row r="467" spans="1:13" x14ac:dyDescent="0.4">
      <c r="A467" t="s">
        <v>1128</v>
      </c>
      <c r="B467" t="s">
        <v>1129</v>
      </c>
      <c r="C467" t="s">
        <v>40</v>
      </c>
      <c r="D467" s="1">
        <v>41060</v>
      </c>
      <c r="E467">
        <v>56.108597285067873</v>
      </c>
      <c r="F467">
        <v>78.308026030368765</v>
      </c>
      <c r="G467">
        <v>58.436213991769549</v>
      </c>
      <c r="H467">
        <v>98.418972332015812</v>
      </c>
      <c r="I467">
        <v>99.240986717267546</v>
      </c>
      <c r="J467">
        <v>11.452991452991453</v>
      </c>
      <c r="K467">
        <v>59.058743628832879</v>
      </c>
      <c r="L467">
        <v>98.418972332015812</v>
      </c>
      <c r="M467">
        <v>70.328926003493507</v>
      </c>
    </row>
    <row r="468" spans="1:13" x14ac:dyDescent="0.4">
      <c r="A468" t="s">
        <v>1130</v>
      </c>
      <c r="B468" t="s">
        <v>1131</v>
      </c>
      <c r="C468" t="s">
        <v>40</v>
      </c>
      <c r="D468" s="1">
        <v>41072</v>
      </c>
      <c r="E468">
        <v>90.950226244343895</v>
      </c>
      <c r="F468">
        <v>16.485900216919738</v>
      </c>
      <c r="G468">
        <v>10.699588477366255</v>
      </c>
      <c r="H468">
        <v>3.7549407114624507</v>
      </c>
      <c r="I468">
        <v>12.903225806451612</v>
      </c>
      <c r="J468">
        <v>61.196581196581199</v>
      </c>
      <c r="K468">
        <v>29.359254183199976</v>
      </c>
      <c r="L468">
        <v>3.7549407114624507</v>
      </c>
      <c r="M468">
        <v>37.204568893096031</v>
      </c>
    </row>
    <row r="469" spans="1:13" x14ac:dyDescent="0.4">
      <c r="A469" t="s">
        <v>179</v>
      </c>
      <c r="B469" t="s">
        <v>180</v>
      </c>
      <c r="C469" t="s">
        <v>40</v>
      </c>
      <c r="D469" s="1">
        <v>41072</v>
      </c>
      <c r="E469">
        <v>19.909502262443439</v>
      </c>
      <c r="F469">
        <v>13.232104121475054</v>
      </c>
      <c r="G469">
        <v>90.946502057613174</v>
      </c>
      <c r="H469">
        <v>98.023715415019765</v>
      </c>
      <c r="I469">
        <v>100</v>
      </c>
      <c r="J469">
        <v>1.3675213675213675</v>
      </c>
      <c r="K469">
        <v>9.8159858672407108</v>
      </c>
      <c r="L469">
        <v>98.023715415019765</v>
      </c>
      <c r="M469">
        <v>70.89375447648581</v>
      </c>
    </row>
    <row r="470" spans="1:13" x14ac:dyDescent="0.4">
      <c r="A470" t="s">
        <v>216</v>
      </c>
      <c r="B470" t="s">
        <v>217</v>
      </c>
      <c r="C470" t="s">
        <v>40</v>
      </c>
      <c r="D470" s="1">
        <v>41073</v>
      </c>
      <c r="E470">
        <v>22.850678733031675</v>
      </c>
      <c r="F470">
        <v>44.034707158351409</v>
      </c>
      <c r="G470">
        <v>40.74074074074074</v>
      </c>
      <c r="H470">
        <v>53.952569169960476</v>
      </c>
      <c r="I470">
        <v>92.789373814041753</v>
      </c>
      <c r="J470">
        <v>10.76923076923077</v>
      </c>
      <c r="K470">
        <v>34.456721696468371</v>
      </c>
      <c r="L470">
        <v>53.952569169960476</v>
      </c>
      <c r="M470">
        <v>51.109364288481444</v>
      </c>
    </row>
    <row r="471" spans="1:13" x14ac:dyDescent="0.4">
      <c r="A471" t="s">
        <v>218</v>
      </c>
      <c r="B471" t="s">
        <v>219</v>
      </c>
      <c r="C471" t="s">
        <v>40</v>
      </c>
      <c r="D471" s="1">
        <v>41080</v>
      </c>
      <c r="E471">
        <v>7.4660633484162897</v>
      </c>
      <c r="F471">
        <v>35.140997830802604</v>
      </c>
      <c r="G471">
        <v>3.0864197530864197</v>
      </c>
      <c r="H471">
        <v>37.549407114624508</v>
      </c>
      <c r="I471">
        <v>16.888045540796963</v>
      </c>
      <c r="J471">
        <v>62.393162393162392</v>
      </c>
      <c r="K471">
        <v>42.987596296126014</v>
      </c>
      <c r="L471">
        <v>37.549407114624508</v>
      </c>
      <c r="M471">
        <v>8.7715216743313551</v>
      </c>
    </row>
    <row r="472" spans="1:13" x14ac:dyDescent="0.4">
      <c r="A472" t="s">
        <v>1132</v>
      </c>
      <c r="B472" t="s">
        <v>1133</v>
      </c>
      <c r="C472" t="s">
        <v>64</v>
      </c>
      <c r="D472" s="1">
        <v>41080</v>
      </c>
      <c r="E472">
        <v>60.301507537688444</v>
      </c>
      <c r="F472">
        <v>59.956236323851201</v>
      </c>
      <c r="G472">
        <v>47.455470737913487</v>
      </c>
      <c r="H472">
        <v>82.348111658456489</v>
      </c>
      <c r="I472">
        <v>26.779661016949152</v>
      </c>
      <c r="J472">
        <v>88.586326767091535</v>
      </c>
      <c r="K472">
        <v>68.199575058282633</v>
      </c>
      <c r="L472">
        <v>82.348111658456489</v>
      </c>
      <c r="M472">
        <v>45.183400380748054</v>
      </c>
    </row>
    <row r="473" spans="1:13" x14ac:dyDescent="0.4">
      <c r="A473" t="s">
        <v>1134</v>
      </c>
      <c r="B473" t="s">
        <v>1135</v>
      </c>
      <c r="C473" t="s">
        <v>40</v>
      </c>
      <c r="D473" s="1">
        <v>41086</v>
      </c>
      <c r="E473">
        <v>37.556561085972852</v>
      </c>
      <c r="F473">
        <v>4.9891540130151846</v>
      </c>
      <c r="G473">
        <v>69.958847736625515</v>
      </c>
      <c r="H473">
        <v>11.857707509881424</v>
      </c>
      <c r="I473">
        <v>0.18975332068311196</v>
      </c>
      <c r="J473">
        <v>84.615384615384613</v>
      </c>
      <c r="K473">
        <v>27.915591926390903</v>
      </c>
      <c r="L473">
        <v>11.857707509881424</v>
      </c>
      <c r="M473">
        <v>37.917686776392678</v>
      </c>
    </row>
    <row r="474" spans="1:13" x14ac:dyDescent="0.4">
      <c r="A474" t="s">
        <v>320</v>
      </c>
      <c r="B474" t="s">
        <v>321</v>
      </c>
      <c r="C474" t="s">
        <v>40</v>
      </c>
      <c r="D474" s="1">
        <v>41087</v>
      </c>
      <c r="E474">
        <v>97.737556561085967</v>
      </c>
      <c r="F474">
        <v>3.6876355748373104</v>
      </c>
      <c r="G474">
        <v>61.934156378600825</v>
      </c>
      <c r="H474">
        <v>36.166007905138343</v>
      </c>
      <c r="I474">
        <v>36.812144212523719</v>
      </c>
      <c r="J474">
        <v>19.316239316239315</v>
      </c>
      <c r="K474">
        <v>8.1875121938787547</v>
      </c>
      <c r="L474">
        <v>36.166007905138343</v>
      </c>
      <c r="M474">
        <v>65.671612716010557</v>
      </c>
    </row>
    <row r="475" spans="1:13" x14ac:dyDescent="0.4">
      <c r="A475" t="s">
        <v>606</v>
      </c>
      <c r="B475" t="s">
        <v>607</v>
      </c>
      <c r="C475" t="s">
        <v>40</v>
      </c>
      <c r="D475" s="1">
        <v>41115</v>
      </c>
      <c r="E475">
        <v>0.45248868778280543</v>
      </c>
      <c r="F475">
        <v>84.598698481561826</v>
      </c>
      <c r="G475">
        <v>87.242798353909464</v>
      </c>
      <c r="H475">
        <v>83.399209486166015</v>
      </c>
      <c r="I475">
        <v>43.453510436432637</v>
      </c>
      <c r="J475">
        <v>99.316239316239319</v>
      </c>
      <c r="K475">
        <v>88.836256678543265</v>
      </c>
      <c r="L475">
        <v>83.399209486166015</v>
      </c>
      <c r="M475">
        <v>45.74995281465759</v>
      </c>
    </row>
    <row r="476" spans="1:13" x14ac:dyDescent="0.4">
      <c r="A476" t="s">
        <v>1136</v>
      </c>
      <c r="B476" t="s">
        <v>1137</v>
      </c>
      <c r="C476" t="s">
        <v>40</v>
      </c>
      <c r="D476" s="1">
        <v>41116</v>
      </c>
      <c r="E476">
        <v>74.208144796380097</v>
      </c>
      <c r="F476">
        <v>90.455531453362255</v>
      </c>
      <c r="G476">
        <v>65.226337448559676</v>
      </c>
      <c r="H476">
        <v>95.256916996047437</v>
      </c>
      <c r="I476">
        <v>96.584440227703979</v>
      </c>
      <c r="J476">
        <v>0.17094017094017094</v>
      </c>
      <c r="K476">
        <v>64.460277616627721</v>
      </c>
      <c r="L476">
        <v>95.256916996047437</v>
      </c>
      <c r="M476">
        <v>77.831426917892287</v>
      </c>
    </row>
    <row r="477" spans="1:13" x14ac:dyDescent="0.4">
      <c r="A477" t="s">
        <v>67</v>
      </c>
      <c r="B477" t="s">
        <v>68</v>
      </c>
      <c r="C477" t="s">
        <v>40</v>
      </c>
      <c r="D477" s="1">
        <v>41117</v>
      </c>
      <c r="E477">
        <v>31.221719457013574</v>
      </c>
      <c r="F477">
        <v>25.162689804772235</v>
      </c>
      <c r="G477">
        <v>16.666666666666668</v>
      </c>
      <c r="H477">
        <v>17.588932806324109</v>
      </c>
      <c r="I477">
        <v>35.483870967741936</v>
      </c>
      <c r="J477">
        <v>24.786324786324787</v>
      </c>
      <c r="K477">
        <v>25.054324644661978</v>
      </c>
      <c r="L477">
        <v>17.588932806324109</v>
      </c>
      <c r="M477">
        <v>27.179782832434384</v>
      </c>
    </row>
    <row r="478" spans="1:13" x14ac:dyDescent="0.4">
      <c r="A478" t="s">
        <v>608</v>
      </c>
      <c r="B478" t="s">
        <v>609</v>
      </c>
      <c r="C478" t="s">
        <v>40</v>
      </c>
      <c r="D478" s="1">
        <v>41121</v>
      </c>
      <c r="E478">
        <v>11.538461538461538</v>
      </c>
      <c r="F478">
        <v>99.783080260303691</v>
      </c>
      <c r="G478">
        <v>96.296296296296291</v>
      </c>
      <c r="H478">
        <v>59.881422924901187</v>
      </c>
      <c r="I478">
        <v>7.5901328273244779</v>
      </c>
      <c r="J478">
        <v>91.965811965811966</v>
      </c>
      <c r="K478">
        <v>97.532287841146641</v>
      </c>
      <c r="L478">
        <v>59.881422924901187</v>
      </c>
      <c r="M478">
        <v>41.541805999261307</v>
      </c>
    </row>
    <row r="479" spans="1:13" x14ac:dyDescent="0.4">
      <c r="A479" t="s">
        <v>46</v>
      </c>
      <c r="B479" t="s">
        <v>47</v>
      </c>
      <c r="C479" t="s">
        <v>40</v>
      </c>
      <c r="D479" s="1">
        <v>41124</v>
      </c>
      <c r="E479">
        <v>14.479638009049774</v>
      </c>
      <c r="F479">
        <v>25.596529284164859</v>
      </c>
      <c r="G479">
        <v>6.5843621399176957</v>
      </c>
      <c r="H479">
        <v>57.905138339920946</v>
      </c>
      <c r="I479">
        <v>33.017077798861479</v>
      </c>
      <c r="J479">
        <v>3.4188034188034186</v>
      </c>
      <c r="K479">
        <v>19.210992115500421</v>
      </c>
      <c r="L479">
        <v>57.905138339920953</v>
      </c>
      <c r="M479">
        <v>17.313910662002588</v>
      </c>
    </row>
    <row r="480" spans="1:13" x14ac:dyDescent="0.4">
      <c r="A480" t="s">
        <v>610</v>
      </c>
      <c r="B480" t="s">
        <v>611</v>
      </c>
      <c r="C480" t="s">
        <v>64</v>
      </c>
      <c r="D480" s="1">
        <v>41130</v>
      </c>
      <c r="E480">
        <v>13.5678391959799</v>
      </c>
      <c r="F480">
        <v>57.330415754923415</v>
      </c>
      <c r="G480">
        <v>19.211195928753181</v>
      </c>
      <c r="H480">
        <v>68.965517241379317</v>
      </c>
      <c r="I480">
        <v>25.694915254237287</v>
      </c>
      <c r="J480">
        <v>64.02085747392816</v>
      </c>
      <c r="K480">
        <v>59.256765847392266</v>
      </c>
      <c r="L480">
        <v>68.965517241379317</v>
      </c>
      <c r="M480">
        <v>19.404043230409126</v>
      </c>
    </row>
    <row r="481" spans="1:13" x14ac:dyDescent="0.4">
      <c r="A481" t="s">
        <v>424</v>
      </c>
      <c r="B481" t="s">
        <v>425</v>
      </c>
      <c r="C481" t="s">
        <v>40</v>
      </c>
      <c r="D481" s="1">
        <v>41135</v>
      </c>
      <c r="E481">
        <v>89.366515837104075</v>
      </c>
      <c r="F481">
        <v>37.52711496746204</v>
      </c>
      <c r="G481">
        <v>28.395061728395063</v>
      </c>
      <c r="H481">
        <v>27.865612648221344</v>
      </c>
      <c r="I481">
        <v>69.639468690702088</v>
      </c>
      <c r="J481">
        <v>39.145299145299148</v>
      </c>
      <c r="K481">
        <v>37.993031774083867</v>
      </c>
      <c r="L481">
        <v>27.865612648221344</v>
      </c>
      <c r="M481">
        <v>60.791739429926459</v>
      </c>
    </row>
    <row r="482" spans="1:13" x14ac:dyDescent="0.4">
      <c r="A482" t="s">
        <v>130</v>
      </c>
      <c r="B482" t="s">
        <v>131</v>
      </c>
      <c r="C482" t="s">
        <v>40</v>
      </c>
      <c r="D482" s="1">
        <v>41137</v>
      </c>
      <c r="E482">
        <v>28.280542986425338</v>
      </c>
      <c r="F482">
        <v>3.0368763557483729</v>
      </c>
      <c r="G482">
        <v>6.9958847736625511</v>
      </c>
      <c r="H482">
        <v>73.913043478260875</v>
      </c>
      <c r="I482">
        <v>80.834914611005686</v>
      </c>
      <c r="J482">
        <v>34.700854700854698</v>
      </c>
      <c r="K482">
        <v>12.153749377713972</v>
      </c>
      <c r="L482">
        <v>73.913043478260875</v>
      </c>
      <c r="M482">
        <v>36.720623753453296</v>
      </c>
    </row>
    <row r="483" spans="1:13" x14ac:dyDescent="0.4">
      <c r="A483" t="s">
        <v>1138</v>
      </c>
      <c r="B483" t="s">
        <v>1139</v>
      </c>
      <c r="C483" t="s">
        <v>64</v>
      </c>
      <c r="D483" s="1">
        <v>41137</v>
      </c>
      <c r="E483">
        <v>77.386934673366838</v>
      </c>
      <c r="F483">
        <v>76.367614879649892</v>
      </c>
      <c r="G483">
        <v>25.826972010178118</v>
      </c>
      <c r="H483">
        <v>91.461412151067321</v>
      </c>
      <c r="I483">
        <v>20.203389830508474</v>
      </c>
      <c r="J483">
        <v>94.90150637311703</v>
      </c>
      <c r="K483">
        <v>81.70399849851195</v>
      </c>
      <c r="L483">
        <v>91.461412151067321</v>
      </c>
      <c r="M483">
        <v>40.675204273172525</v>
      </c>
    </row>
    <row r="484" spans="1:13" x14ac:dyDescent="0.4">
      <c r="A484" t="s">
        <v>322</v>
      </c>
      <c r="B484" t="s">
        <v>323</v>
      </c>
      <c r="C484" t="s">
        <v>40</v>
      </c>
      <c r="D484" s="1">
        <v>41142</v>
      </c>
      <c r="E484">
        <v>93.438914027149323</v>
      </c>
      <c r="F484">
        <v>23.644251626898047</v>
      </c>
      <c r="G484">
        <v>2.880658436213992</v>
      </c>
      <c r="H484">
        <v>67.391304347826093</v>
      </c>
      <c r="I484">
        <v>20.113851992409867</v>
      </c>
      <c r="J484">
        <v>51.794871794871796</v>
      </c>
      <c r="K484">
        <v>31.74953854832702</v>
      </c>
      <c r="L484">
        <v>67.391304347826093</v>
      </c>
      <c r="M484">
        <v>37.358610451783768</v>
      </c>
    </row>
    <row r="485" spans="1:13" x14ac:dyDescent="0.4">
      <c r="A485" t="s">
        <v>426</v>
      </c>
      <c r="B485" t="s">
        <v>427</v>
      </c>
      <c r="C485" t="s">
        <v>40</v>
      </c>
      <c r="D485" s="1">
        <v>41149</v>
      </c>
      <c r="E485">
        <v>85.294117647058826</v>
      </c>
      <c r="F485">
        <v>76.138828633405637</v>
      </c>
      <c r="G485">
        <v>57.407407407407405</v>
      </c>
      <c r="H485">
        <v>58.89328063241107</v>
      </c>
      <c r="I485">
        <v>83.491461100569254</v>
      </c>
      <c r="J485">
        <v>2.2222222222222223</v>
      </c>
      <c r="K485">
        <v>54.856338242569556</v>
      </c>
      <c r="L485">
        <v>58.893280632411077</v>
      </c>
      <c r="M485">
        <v>74.461587982760463</v>
      </c>
    </row>
    <row r="486" spans="1:13" x14ac:dyDescent="0.4">
      <c r="A486" t="s">
        <v>220</v>
      </c>
      <c r="B486" t="s">
        <v>221</v>
      </c>
      <c r="C486" t="s">
        <v>64</v>
      </c>
      <c r="D486" s="1">
        <v>41149</v>
      </c>
      <c r="E486">
        <v>26.13065326633166</v>
      </c>
      <c r="F486">
        <v>40.919037199124723</v>
      </c>
      <c r="G486">
        <v>19.592875318066159</v>
      </c>
      <c r="H486">
        <v>69.293924466338254</v>
      </c>
      <c r="I486">
        <v>42.983050847457626</v>
      </c>
      <c r="J486">
        <v>83.487833140208579</v>
      </c>
      <c r="K486">
        <v>53.175687423647325</v>
      </c>
      <c r="L486">
        <v>69.293924466338254</v>
      </c>
      <c r="M486">
        <v>28.943016143659232</v>
      </c>
    </row>
    <row r="487" spans="1:13" x14ac:dyDescent="0.4">
      <c r="A487" t="s">
        <v>428</v>
      </c>
      <c r="B487" t="s">
        <v>429</v>
      </c>
      <c r="C487" t="s">
        <v>40</v>
      </c>
      <c r="D487" s="1">
        <v>41156</v>
      </c>
      <c r="E487">
        <v>35.520361990950228</v>
      </c>
      <c r="F487">
        <v>70.498915401301517</v>
      </c>
      <c r="G487">
        <v>70.781893004115233</v>
      </c>
      <c r="H487">
        <v>71.936758893280626</v>
      </c>
      <c r="I487">
        <v>54.648956356736242</v>
      </c>
      <c r="J487">
        <v>87.008547008547012</v>
      </c>
      <c r="K487">
        <v>75.252462582335042</v>
      </c>
      <c r="L487">
        <v>71.936758893280626</v>
      </c>
      <c r="M487">
        <v>54.437655642616974</v>
      </c>
    </row>
    <row r="488" spans="1:13" x14ac:dyDescent="0.4">
      <c r="A488" t="s">
        <v>222</v>
      </c>
      <c r="B488" t="s">
        <v>223</v>
      </c>
      <c r="C488" t="s">
        <v>40</v>
      </c>
      <c r="D488" s="1">
        <v>41173</v>
      </c>
      <c r="E488">
        <v>6.1085972850678729</v>
      </c>
      <c r="F488">
        <v>40.130151843817785</v>
      </c>
      <c r="G488">
        <v>93.004115226337447</v>
      </c>
      <c r="H488">
        <v>58.695652173913047</v>
      </c>
      <c r="I488">
        <v>23.908918406072107</v>
      </c>
      <c r="J488">
        <v>93.675213675213669</v>
      </c>
      <c r="K488">
        <v>55.547151070814124</v>
      </c>
      <c r="L488">
        <v>58.695652173913047</v>
      </c>
      <c r="M488">
        <v>43.637428261444818</v>
      </c>
    </row>
    <row r="489" spans="1:13" x14ac:dyDescent="0.4">
      <c r="A489" t="s">
        <v>1140</v>
      </c>
      <c r="B489" t="s">
        <v>1141</v>
      </c>
      <c r="C489" t="s">
        <v>64</v>
      </c>
      <c r="D489" s="1">
        <v>41177</v>
      </c>
      <c r="E489">
        <v>51.758793969849243</v>
      </c>
      <c r="F489">
        <v>61.925601750547045</v>
      </c>
      <c r="G489">
        <v>30.152671755725191</v>
      </c>
      <c r="H489">
        <v>74.79474548440065</v>
      </c>
      <c r="I489">
        <v>18.508474576271187</v>
      </c>
      <c r="J489">
        <v>35.92120509849363</v>
      </c>
      <c r="K489">
        <v>54.438267729986777</v>
      </c>
      <c r="L489">
        <v>74.79474548440065</v>
      </c>
      <c r="M489">
        <v>33.497408365917515</v>
      </c>
    </row>
    <row r="490" spans="1:13" x14ac:dyDescent="0.4">
      <c r="A490" t="s">
        <v>1142</v>
      </c>
      <c r="B490" t="s">
        <v>1143</v>
      </c>
      <c r="C490" t="s">
        <v>64</v>
      </c>
      <c r="D490" s="1">
        <v>41177</v>
      </c>
      <c r="E490">
        <v>56.281407035175882</v>
      </c>
      <c r="F490">
        <v>68.70897155361051</v>
      </c>
      <c r="G490">
        <v>94.783715012722652</v>
      </c>
      <c r="H490">
        <v>23.80952380952381</v>
      </c>
      <c r="I490">
        <v>15.050847457627119</v>
      </c>
      <c r="J490">
        <v>83.082271147161066</v>
      </c>
      <c r="K490">
        <v>72.847413851443946</v>
      </c>
      <c r="L490">
        <v>23.80952380952381</v>
      </c>
      <c r="M490">
        <v>57.692885416155875</v>
      </c>
    </row>
    <row r="491" spans="1:13" x14ac:dyDescent="0.4">
      <c r="A491" t="s">
        <v>108</v>
      </c>
      <c r="B491" t="s">
        <v>109</v>
      </c>
      <c r="C491" t="s">
        <v>40</v>
      </c>
      <c r="D491" s="1">
        <v>41227</v>
      </c>
      <c r="E491">
        <v>19.23076923076923</v>
      </c>
      <c r="F491">
        <v>32.104121475054228</v>
      </c>
      <c r="G491">
        <v>52.263374485596707</v>
      </c>
      <c r="H491">
        <v>32.015810276679844</v>
      </c>
      <c r="I491">
        <v>39.848197343453513</v>
      </c>
      <c r="J491">
        <v>40.17094017094017</v>
      </c>
      <c r="K491">
        <v>34.42676586736814</v>
      </c>
      <c r="L491">
        <v>32.015810276679844</v>
      </c>
      <c r="M491">
        <v>37.788133225592311</v>
      </c>
    </row>
    <row r="492" spans="1:13" x14ac:dyDescent="0.4">
      <c r="A492" t="s">
        <v>612</v>
      </c>
      <c r="B492" t="s">
        <v>613</v>
      </c>
      <c r="C492" t="s">
        <v>40</v>
      </c>
      <c r="D492" s="1">
        <v>41233</v>
      </c>
      <c r="E492">
        <v>12.44343891402715</v>
      </c>
      <c r="F492">
        <v>97.396963123644255</v>
      </c>
      <c r="G492">
        <v>87.44855967078189</v>
      </c>
      <c r="H492">
        <v>35.770750988142289</v>
      </c>
      <c r="I492">
        <v>15.749525616698293</v>
      </c>
      <c r="J492">
        <v>67.521367521367523</v>
      </c>
      <c r="K492">
        <v>88.795011448685329</v>
      </c>
      <c r="L492">
        <v>35.770750988142289</v>
      </c>
      <c r="M492">
        <v>41.101158589950934</v>
      </c>
    </row>
    <row r="493" spans="1:13" x14ac:dyDescent="0.4">
      <c r="A493" t="s">
        <v>614</v>
      </c>
      <c r="B493" t="s">
        <v>615</v>
      </c>
      <c r="C493" t="s">
        <v>40</v>
      </c>
      <c r="D493" s="1">
        <v>41233</v>
      </c>
      <c r="E493">
        <v>11.764705882352942</v>
      </c>
      <c r="F493">
        <v>95.661605206073759</v>
      </c>
      <c r="G493">
        <v>41.769547325102877</v>
      </c>
      <c r="H493">
        <v>12.055335968379447</v>
      </c>
      <c r="I493">
        <v>18.026565464895636</v>
      </c>
      <c r="J493">
        <v>63.247863247863251</v>
      </c>
      <c r="K493">
        <v>86.328855973523986</v>
      </c>
      <c r="L493">
        <v>12.055335968379447</v>
      </c>
      <c r="M493">
        <v>24.759099179297362</v>
      </c>
    </row>
    <row r="494" spans="1:13" x14ac:dyDescent="0.4">
      <c r="A494" t="s">
        <v>616</v>
      </c>
      <c r="B494" t="s">
        <v>617</v>
      </c>
      <c r="C494" t="s">
        <v>40</v>
      </c>
      <c r="D494" s="1">
        <v>41241</v>
      </c>
      <c r="E494">
        <v>5.4298642533936654</v>
      </c>
      <c r="F494">
        <v>84.815618221258134</v>
      </c>
      <c r="G494">
        <v>84.567901234567898</v>
      </c>
      <c r="H494">
        <v>25.098814229249012</v>
      </c>
      <c r="I494">
        <v>11.764705882352942</v>
      </c>
      <c r="J494">
        <v>60</v>
      </c>
      <c r="K494">
        <v>77.670564058481034</v>
      </c>
      <c r="L494">
        <v>25.098814229249012</v>
      </c>
      <c r="M494">
        <v>36.548571636290937</v>
      </c>
    </row>
    <row r="495" spans="1:13" x14ac:dyDescent="0.4">
      <c r="A495" t="s">
        <v>195</v>
      </c>
      <c r="B495" t="s">
        <v>196</v>
      </c>
      <c r="C495" t="s">
        <v>40</v>
      </c>
      <c r="D495" s="1">
        <v>41254</v>
      </c>
      <c r="E495">
        <v>63.348416289592762</v>
      </c>
      <c r="F495">
        <v>20.824295010845987</v>
      </c>
      <c r="G495">
        <v>26.337448559670783</v>
      </c>
      <c r="H495">
        <v>69.565217391304344</v>
      </c>
      <c r="I495">
        <v>56.356736242884253</v>
      </c>
      <c r="J495">
        <v>82.393162393162399</v>
      </c>
      <c r="K495">
        <v>38.551554040429352</v>
      </c>
      <c r="L495">
        <v>69.565217391304344</v>
      </c>
      <c r="M495">
        <v>47.546713905724971</v>
      </c>
    </row>
    <row r="496" spans="1:13" x14ac:dyDescent="0.4">
      <c r="A496" t="s">
        <v>197</v>
      </c>
      <c r="B496" t="s">
        <v>198</v>
      </c>
      <c r="C496" t="s">
        <v>40</v>
      </c>
      <c r="D496" s="1">
        <v>41261</v>
      </c>
      <c r="E496">
        <v>36.877828054298639</v>
      </c>
      <c r="F496">
        <v>6.5075921908893708</v>
      </c>
      <c r="G496">
        <v>11.522633744855968</v>
      </c>
      <c r="H496">
        <v>80.830039525691703</v>
      </c>
      <c r="I496">
        <v>73.055028462998109</v>
      </c>
      <c r="J496">
        <v>5.8119658119658117</v>
      </c>
      <c r="K496">
        <v>6.3073034811683462</v>
      </c>
      <c r="L496">
        <v>80.830039525691703</v>
      </c>
      <c r="M496">
        <v>38.744448937725458</v>
      </c>
    </row>
    <row r="497" spans="1:13" x14ac:dyDescent="0.4">
      <c r="A497" t="s">
        <v>1144</v>
      </c>
      <c r="B497" t="s">
        <v>1145</v>
      </c>
      <c r="C497" t="s">
        <v>64</v>
      </c>
      <c r="D497" s="1">
        <v>41267</v>
      </c>
      <c r="E497">
        <v>97.989949748743712</v>
      </c>
      <c r="F497">
        <v>5.908096280087527</v>
      </c>
      <c r="G497">
        <v>50.763358778625957</v>
      </c>
      <c r="H497">
        <v>81.034482758620683</v>
      </c>
      <c r="I497">
        <v>88.33898305084746</v>
      </c>
      <c r="J497">
        <v>52.491309385863268</v>
      </c>
      <c r="K497">
        <v>19.320600363174659</v>
      </c>
      <c r="L497">
        <v>81.034482758620683</v>
      </c>
      <c r="M497">
        <v>77.600726789950173</v>
      </c>
    </row>
    <row r="498" spans="1:13" x14ac:dyDescent="0.4">
      <c r="A498" t="s">
        <v>1146</v>
      </c>
      <c r="B498" t="s">
        <v>1147</v>
      </c>
      <c r="C498" t="s">
        <v>64</v>
      </c>
      <c r="D498" s="1">
        <v>41304</v>
      </c>
      <c r="E498">
        <v>60.804020100502512</v>
      </c>
      <c r="F498">
        <v>69.146608315098462</v>
      </c>
      <c r="G498">
        <v>95.928753180661573</v>
      </c>
      <c r="H498">
        <v>25.697865353037766</v>
      </c>
      <c r="I498">
        <v>15.254237288135593</v>
      </c>
      <c r="J498">
        <v>54.924681344148318</v>
      </c>
      <c r="K498">
        <v>65.05175008507257</v>
      </c>
      <c r="L498">
        <v>25.697865353037763</v>
      </c>
      <c r="M498">
        <v>59.63299622524648</v>
      </c>
    </row>
    <row r="499" spans="1:13" x14ac:dyDescent="0.4">
      <c r="A499" t="s">
        <v>1148</v>
      </c>
      <c r="B499" t="s">
        <v>1149</v>
      </c>
      <c r="C499" t="s">
        <v>64</v>
      </c>
      <c r="D499" s="1">
        <v>41305</v>
      </c>
      <c r="E499">
        <v>30.653266331658291</v>
      </c>
      <c r="F499">
        <v>84.463894967177239</v>
      </c>
      <c r="G499">
        <v>37.022900763358777</v>
      </c>
      <c r="H499">
        <v>83.990147783251231</v>
      </c>
      <c r="I499">
        <v>25.898305084745761</v>
      </c>
      <c r="J499">
        <v>80.301274623406727</v>
      </c>
      <c r="K499">
        <v>83.265369605038984</v>
      </c>
      <c r="L499">
        <v>83.990147783251231</v>
      </c>
      <c r="M499">
        <v>31.526845807750878</v>
      </c>
    </row>
    <row r="500" spans="1:13" x14ac:dyDescent="0.4">
      <c r="A500" t="s">
        <v>1150</v>
      </c>
      <c r="B500" t="s">
        <v>1151</v>
      </c>
      <c r="C500" t="s">
        <v>40</v>
      </c>
      <c r="D500" s="1">
        <v>41311</v>
      </c>
      <c r="E500">
        <v>45.022624434389144</v>
      </c>
      <c r="F500">
        <v>95.444685466377436</v>
      </c>
      <c r="G500">
        <v>51.440329218106996</v>
      </c>
      <c r="H500">
        <v>19.169960474308301</v>
      </c>
      <c r="I500">
        <v>5.3130929791271351</v>
      </c>
      <c r="J500">
        <v>70.427350427350433</v>
      </c>
      <c r="K500">
        <v>88.241551848329422</v>
      </c>
      <c r="L500">
        <v>19.169960474308301</v>
      </c>
      <c r="M500">
        <v>35.084687145480338</v>
      </c>
    </row>
    <row r="501" spans="1:13" x14ac:dyDescent="0.4">
      <c r="A501" t="s">
        <v>656</v>
      </c>
      <c r="B501" t="s">
        <v>657</v>
      </c>
      <c r="C501" t="s">
        <v>40</v>
      </c>
      <c r="D501" s="1">
        <v>41312</v>
      </c>
      <c r="E501">
        <v>30.76923076923077</v>
      </c>
      <c r="F501">
        <v>45.336225596529282</v>
      </c>
      <c r="G501">
        <v>51.646090534979422</v>
      </c>
      <c r="H501">
        <v>66.007905138339922</v>
      </c>
      <c r="I501">
        <v>64.516129032258064</v>
      </c>
      <c r="J501">
        <v>93.162393162393158</v>
      </c>
      <c r="K501">
        <v>59.106608208372442</v>
      </c>
      <c r="L501">
        <v>66.007905138339922</v>
      </c>
      <c r="M501">
        <v>48.915785144798541</v>
      </c>
    </row>
    <row r="502" spans="1:13" x14ac:dyDescent="0.4">
      <c r="A502" t="s">
        <v>324</v>
      </c>
      <c r="B502" t="s">
        <v>325</v>
      </c>
      <c r="C502" t="s">
        <v>40</v>
      </c>
      <c r="D502" s="1">
        <v>41324</v>
      </c>
      <c r="E502">
        <v>39.819004524886878</v>
      </c>
      <c r="F502">
        <v>5.4229934924078087</v>
      </c>
      <c r="G502">
        <v>5.761316872427984</v>
      </c>
      <c r="H502">
        <v>0.98814229249011853</v>
      </c>
      <c r="I502">
        <v>60.531309297912713</v>
      </c>
      <c r="J502">
        <v>83.589743589743591</v>
      </c>
      <c r="K502">
        <v>27.929209464705728</v>
      </c>
      <c r="L502">
        <v>0.98814229249011853</v>
      </c>
      <c r="M502">
        <v>33.688285791939933</v>
      </c>
    </row>
    <row r="503" spans="1:13" x14ac:dyDescent="0.4">
      <c r="A503" t="s">
        <v>1152</v>
      </c>
      <c r="B503" t="s">
        <v>1153</v>
      </c>
      <c r="C503" t="s">
        <v>40</v>
      </c>
      <c r="D503" s="1">
        <v>41339</v>
      </c>
      <c r="E503">
        <v>47.963800904977376</v>
      </c>
      <c r="F503">
        <v>72.668112798264644</v>
      </c>
      <c r="G503">
        <v>46.296296296296298</v>
      </c>
      <c r="H503">
        <v>2.9644268774703559</v>
      </c>
      <c r="I503">
        <v>60.91081593927894</v>
      </c>
      <c r="J503">
        <v>54.017094017094017</v>
      </c>
      <c r="K503">
        <v>67.29800522350034</v>
      </c>
      <c r="L503">
        <v>2.9644268774703559</v>
      </c>
      <c r="M503">
        <v>51.360553864798348</v>
      </c>
    </row>
    <row r="504" spans="1:13" x14ac:dyDescent="0.4">
      <c r="A504" t="s">
        <v>618</v>
      </c>
      <c r="B504" t="s">
        <v>619</v>
      </c>
      <c r="C504" t="s">
        <v>64</v>
      </c>
      <c r="D504" s="1">
        <v>41351</v>
      </c>
      <c r="E504">
        <v>29.145728643216081</v>
      </c>
      <c r="F504">
        <v>88.621444201312912</v>
      </c>
      <c r="G504">
        <v>11.068702290076336</v>
      </c>
      <c r="H504">
        <v>54.761904761904759</v>
      </c>
      <c r="I504">
        <v>31.593220338983052</v>
      </c>
      <c r="J504">
        <v>71.90034762456547</v>
      </c>
      <c r="K504">
        <v>83.807010821630215</v>
      </c>
      <c r="L504">
        <v>54.761904761904759</v>
      </c>
      <c r="M504">
        <v>23.244025571967999</v>
      </c>
    </row>
    <row r="505" spans="1:13" x14ac:dyDescent="0.4">
      <c r="A505" t="s">
        <v>620</v>
      </c>
      <c r="B505" t="s">
        <v>621</v>
      </c>
      <c r="C505" t="s">
        <v>40</v>
      </c>
      <c r="D505" s="1">
        <v>41352</v>
      </c>
      <c r="E505">
        <v>12.217194570135746</v>
      </c>
      <c r="F505">
        <v>56.182212581344899</v>
      </c>
      <c r="G505">
        <v>39.711934156378604</v>
      </c>
      <c r="H505">
        <v>4.7430830039525693</v>
      </c>
      <c r="I505">
        <v>20.30360531309298</v>
      </c>
      <c r="J505">
        <v>28.717948717948719</v>
      </c>
      <c r="K505">
        <v>48.2745452770234</v>
      </c>
      <c r="L505">
        <v>4.7430830039525693</v>
      </c>
      <c r="M505">
        <v>24.852075162227521</v>
      </c>
    </row>
    <row r="506" spans="1:13" x14ac:dyDescent="0.4">
      <c r="A506" t="s">
        <v>326</v>
      </c>
      <c r="B506" t="s">
        <v>327</v>
      </c>
      <c r="C506" t="s">
        <v>40</v>
      </c>
      <c r="D506" s="1">
        <v>41352</v>
      </c>
      <c r="E506">
        <v>88.009049773755663</v>
      </c>
      <c r="F506">
        <v>29.501084598698483</v>
      </c>
      <c r="G506">
        <v>34.773662551440331</v>
      </c>
      <c r="H506">
        <v>33.003952569169961</v>
      </c>
      <c r="I506">
        <v>88.614800759013278</v>
      </c>
      <c r="J506">
        <v>57.094017094017097</v>
      </c>
      <c r="K506">
        <v>37.445798908496101</v>
      </c>
      <c r="L506">
        <v>33.003952569169961</v>
      </c>
      <c r="M506">
        <v>68.583679248287481</v>
      </c>
    </row>
    <row r="507" spans="1:13" x14ac:dyDescent="0.4">
      <c r="A507" t="s">
        <v>1154</v>
      </c>
      <c r="B507" t="s">
        <v>1155</v>
      </c>
      <c r="C507" t="s">
        <v>64</v>
      </c>
      <c r="D507" s="1">
        <v>41358</v>
      </c>
      <c r="E507">
        <v>70.35175879396985</v>
      </c>
      <c r="F507">
        <v>48.796498905908095</v>
      </c>
      <c r="G507">
        <v>17.430025445292621</v>
      </c>
      <c r="H507">
        <v>98.686371100164209</v>
      </c>
      <c r="I507">
        <v>41.627118644067799</v>
      </c>
      <c r="J507">
        <v>85.341830822711472</v>
      </c>
      <c r="K507">
        <v>59.318839055328262</v>
      </c>
      <c r="L507">
        <v>98.686371100164209</v>
      </c>
      <c r="M507">
        <v>41.955137178877479</v>
      </c>
    </row>
    <row r="508" spans="1:13" x14ac:dyDescent="0.4">
      <c r="A508" t="s">
        <v>622</v>
      </c>
      <c r="B508" t="s">
        <v>623</v>
      </c>
      <c r="C508" t="s">
        <v>40</v>
      </c>
      <c r="D508" s="1">
        <v>41359</v>
      </c>
      <c r="E508">
        <v>17.873303167420815</v>
      </c>
      <c r="F508">
        <v>46.420824295010846</v>
      </c>
      <c r="G508">
        <v>75.720164609053498</v>
      </c>
      <c r="H508">
        <v>70.355731225296438</v>
      </c>
      <c r="I508">
        <v>55.977229601518026</v>
      </c>
      <c r="J508">
        <v>58.29059829059829</v>
      </c>
      <c r="K508">
        <v>49.838437241108778</v>
      </c>
      <c r="L508">
        <v>70.355731225296438</v>
      </c>
      <c r="M508">
        <v>50.990229328251012</v>
      </c>
    </row>
    <row r="509" spans="1:13" x14ac:dyDescent="0.4">
      <c r="A509" t="s">
        <v>1156</v>
      </c>
      <c r="B509" t="s">
        <v>1157</v>
      </c>
      <c r="C509" t="s">
        <v>40</v>
      </c>
      <c r="D509" s="1">
        <v>41360</v>
      </c>
      <c r="E509">
        <v>23.303167420814479</v>
      </c>
      <c r="F509">
        <v>68.11279826464208</v>
      </c>
      <c r="G509">
        <v>94.032921810699591</v>
      </c>
      <c r="H509">
        <v>20.158102766798418</v>
      </c>
      <c r="I509">
        <v>30.170777988614802</v>
      </c>
      <c r="J509">
        <v>87.350427350427353</v>
      </c>
      <c r="K509">
        <v>73.651806019992009</v>
      </c>
      <c r="L509">
        <v>20.158102766798418</v>
      </c>
      <c r="M509">
        <v>51.489142886298801</v>
      </c>
    </row>
    <row r="510" spans="1:13" x14ac:dyDescent="0.4">
      <c r="A510" t="s">
        <v>1158</v>
      </c>
      <c r="B510" t="s">
        <v>1159</v>
      </c>
      <c r="C510" t="s">
        <v>64</v>
      </c>
      <c r="D510" s="1">
        <v>41373</v>
      </c>
      <c r="E510">
        <v>32.663316582914575</v>
      </c>
      <c r="F510">
        <v>86.87089715536105</v>
      </c>
      <c r="G510">
        <v>10.432569974554708</v>
      </c>
      <c r="H510">
        <v>86.288998357963877</v>
      </c>
      <c r="I510">
        <v>54.644067796610166</v>
      </c>
      <c r="J510">
        <v>65.46929316338354</v>
      </c>
      <c r="K510">
        <v>80.708825417732854</v>
      </c>
      <c r="L510">
        <v>86.288998357963877</v>
      </c>
      <c r="M510">
        <v>31.282867550584811</v>
      </c>
    </row>
    <row r="511" spans="1:13" x14ac:dyDescent="0.4">
      <c r="A511" t="s">
        <v>1160</v>
      </c>
      <c r="B511" t="s">
        <v>1161</v>
      </c>
      <c r="C511" t="s">
        <v>64</v>
      </c>
      <c r="D511" s="1">
        <v>41376</v>
      </c>
      <c r="E511">
        <v>55.778894472361806</v>
      </c>
      <c r="F511">
        <v>69.80306345733041</v>
      </c>
      <c r="G511">
        <v>18.320610687022899</v>
      </c>
      <c r="H511">
        <v>48.522167487684726</v>
      </c>
      <c r="I511">
        <v>5.0847457627118642</v>
      </c>
      <c r="J511">
        <v>74.971031286210888</v>
      </c>
      <c r="K511">
        <v>71.291054194438402</v>
      </c>
      <c r="L511">
        <v>48.522167487684726</v>
      </c>
      <c r="M511">
        <v>26.272990259821473</v>
      </c>
    </row>
    <row r="512" spans="1:13" x14ac:dyDescent="0.4">
      <c r="A512" t="s">
        <v>1162</v>
      </c>
      <c r="B512" t="s">
        <v>1163</v>
      </c>
      <c r="C512" t="s">
        <v>64</v>
      </c>
      <c r="D512" s="1">
        <v>41376</v>
      </c>
      <c r="E512">
        <v>49.748743718592962</v>
      </c>
      <c r="F512">
        <v>72.866520787746168</v>
      </c>
      <c r="G512">
        <v>8.1424936386768447</v>
      </c>
      <c r="H512">
        <v>64.696223316912977</v>
      </c>
      <c r="I512">
        <v>93.559322033898312</v>
      </c>
      <c r="J512">
        <v>64.252607184241015</v>
      </c>
      <c r="K512">
        <v>70.386353713052742</v>
      </c>
      <c r="L512">
        <v>64.696223316912977</v>
      </c>
      <c r="M512">
        <v>47.993019746164642</v>
      </c>
    </row>
    <row r="513" spans="1:13" x14ac:dyDescent="0.4">
      <c r="A513" t="s">
        <v>430</v>
      </c>
      <c r="B513" t="s">
        <v>431</v>
      </c>
      <c r="C513" t="s">
        <v>40</v>
      </c>
      <c r="D513" s="1">
        <v>41389</v>
      </c>
      <c r="E513">
        <v>78.50678733031674</v>
      </c>
      <c r="F513">
        <v>32.321041214750544</v>
      </c>
      <c r="G513">
        <v>98.353909465020578</v>
      </c>
      <c r="H513">
        <v>54.1501976284585</v>
      </c>
      <c r="I513">
        <v>10.62618595825427</v>
      </c>
      <c r="J513">
        <v>98.974358974358978</v>
      </c>
      <c r="K513">
        <v>51.512244161015509</v>
      </c>
      <c r="L513">
        <v>54.1501976284585</v>
      </c>
      <c r="M513">
        <v>64.788890036207405</v>
      </c>
    </row>
    <row r="514" spans="1:13" x14ac:dyDescent="0.4">
      <c r="A514" t="s">
        <v>1164</v>
      </c>
      <c r="B514" t="s">
        <v>1165</v>
      </c>
      <c r="C514" t="s">
        <v>40</v>
      </c>
      <c r="D514" s="1">
        <v>41397</v>
      </c>
      <c r="E514">
        <v>10.180995475113122</v>
      </c>
      <c r="F514">
        <v>61.171366594360087</v>
      </c>
      <c r="G514">
        <v>42.592592592592595</v>
      </c>
      <c r="H514">
        <v>5.5335968379446641</v>
      </c>
      <c r="I514">
        <v>1.1385199240986716</v>
      </c>
      <c r="J514">
        <v>90.769230769230774</v>
      </c>
      <c r="K514">
        <v>69.693352254616983</v>
      </c>
      <c r="L514">
        <v>5.5335968379446641</v>
      </c>
      <c r="M514">
        <v>19.320673399121418</v>
      </c>
    </row>
    <row r="515" spans="1:13" x14ac:dyDescent="0.4">
      <c r="A515" t="s">
        <v>1166</v>
      </c>
      <c r="B515" t="s">
        <v>1167</v>
      </c>
      <c r="C515" t="s">
        <v>64</v>
      </c>
      <c r="D515" s="1">
        <v>41404</v>
      </c>
      <c r="E515">
        <v>69.849246231155774</v>
      </c>
      <c r="F515">
        <v>39.824945295404817</v>
      </c>
      <c r="G515">
        <v>37.404580152671755</v>
      </c>
      <c r="H515">
        <v>97.865353037766837</v>
      </c>
      <c r="I515">
        <v>64.542372881355931</v>
      </c>
      <c r="J515">
        <v>75.028968713789112</v>
      </c>
      <c r="K515">
        <v>49.961088261069641</v>
      </c>
      <c r="L515">
        <v>97.865353037766837</v>
      </c>
      <c r="M515">
        <v>56.25183313334329</v>
      </c>
    </row>
    <row r="516" spans="1:13" x14ac:dyDescent="0.4">
      <c r="A516" t="s">
        <v>624</v>
      </c>
      <c r="B516" t="s">
        <v>625</v>
      </c>
      <c r="C516" t="s">
        <v>64</v>
      </c>
      <c r="D516" s="1">
        <v>41409</v>
      </c>
      <c r="E516">
        <v>23.115577889447238</v>
      </c>
      <c r="F516">
        <v>95.18599562363238</v>
      </c>
      <c r="G516">
        <v>96.055979643765909</v>
      </c>
      <c r="H516">
        <v>3.3661740558292284</v>
      </c>
      <c r="I516">
        <v>25.152542372881356</v>
      </c>
      <c r="J516">
        <v>10.312862108922364</v>
      </c>
      <c r="K516">
        <v>70.748839534257669</v>
      </c>
      <c r="L516">
        <v>3.3661740558292279</v>
      </c>
      <c r="M516">
        <v>50.619426623346264</v>
      </c>
    </row>
    <row r="517" spans="1:13" x14ac:dyDescent="0.4">
      <c r="A517" t="s">
        <v>432</v>
      </c>
      <c r="B517" t="s">
        <v>433</v>
      </c>
      <c r="C517" t="s">
        <v>64</v>
      </c>
      <c r="D517" s="1">
        <v>41416</v>
      </c>
      <c r="E517">
        <v>79.899497487437188</v>
      </c>
      <c r="F517">
        <v>45.951859956236326</v>
      </c>
      <c r="G517">
        <v>48.600508905852415</v>
      </c>
      <c r="H517">
        <v>93.185550082101813</v>
      </c>
      <c r="I517">
        <v>36</v>
      </c>
      <c r="J517">
        <v>80.648899188876015</v>
      </c>
      <c r="K517">
        <v>55.942029147058285</v>
      </c>
      <c r="L517">
        <v>93.185550082101813</v>
      </c>
      <c r="M517">
        <v>54.767848764501373</v>
      </c>
    </row>
    <row r="518" spans="1:13" x14ac:dyDescent="0.4">
      <c r="A518" t="s">
        <v>1168</v>
      </c>
      <c r="B518" t="s">
        <v>1169</v>
      </c>
      <c r="C518" t="s">
        <v>40</v>
      </c>
      <c r="D518" s="1">
        <v>41417</v>
      </c>
      <c r="E518">
        <v>46.832579185520359</v>
      </c>
      <c r="F518">
        <v>60.737527114967463</v>
      </c>
      <c r="G518">
        <v>3.9094650205761319</v>
      </c>
      <c r="H518">
        <v>80.434782608695656</v>
      </c>
      <c r="I518">
        <v>48.576850094876662</v>
      </c>
      <c r="J518">
        <v>28.034188034188034</v>
      </c>
      <c r="K518">
        <v>51.321395429170288</v>
      </c>
      <c r="L518">
        <v>80.434782608695656</v>
      </c>
      <c r="M518">
        <v>31.559190432793635</v>
      </c>
    </row>
    <row r="519" spans="1:13" x14ac:dyDescent="0.4">
      <c r="A519" t="s">
        <v>1170</v>
      </c>
      <c r="B519" t="s">
        <v>1171</v>
      </c>
      <c r="C519" t="s">
        <v>43</v>
      </c>
      <c r="D519" s="1">
        <v>41422</v>
      </c>
      <c r="E519">
        <v>55</v>
      </c>
      <c r="F519">
        <v>38.532110091743121</v>
      </c>
      <c r="G519">
        <v>37.820512820512818</v>
      </c>
      <c r="H519">
        <v>42.131979695431475</v>
      </c>
      <c r="I519">
        <v>22.935779816513762</v>
      </c>
      <c r="J519">
        <v>65.140845070422529</v>
      </c>
      <c r="K519">
        <v>46.193448645975892</v>
      </c>
      <c r="L519">
        <v>42.131979695431475</v>
      </c>
      <c r="M519">
        <v>38.736943685639964</v>
      </c>
    </row>
    <row r="520" spans="1:13" x14ac:dyDescent="0.4">
      <c r="A520" t="s">
        <v>1172</v>
      </c>
      <c r="B520" t="s">
        <v>1173</v>
      </c>
      <c r="C520" t="s">
        <v>40</v>
      </c>
      <c r="D520" s="1">
        <v>41422</v>
      </c>
      <c r="E520">
        <v>33.484162895927604</v>
      </c>
      <c r="F520">
        <v>70.932754880694148</v>
      </c>
      <c r="G520">
        <v>36.008230452674894</v>
      </c>
      <c r="H520">
        <v>9.0909090909090917</v>
      </c>
      <c r="I520">
        <v>86.717267552182165</v>
      </c>
      <c r="J520">
        <v>96.581196581196579</v>
      </c>
      <c r="K520">
        <v>78.317600323872867</v>
      </c>
      <c r="L520">
        <v>9.0909090909090917</v>
      </c>
      <c r="M520">
        <v>50.906156811535375</v>
      </c>
    </row>
    <row r="521" spans="1:13" x14ac:dyDescent="0.4">
      <c r="A521" t="s">
        <v>434</v>
      </c>
      <c r="B521" t="s">
        <v>435</v>
      </c>
      <c r="C521" t="s">
        <v>64</v>
      </c>
      <c r="D521" s="1">
        <v>41430</v>
      </c>
      <c r="E521">
        <v>42.211055276381913</v>
      </c>
      <c r="F521">
        <v>39.606126914660834</v>
      </c>
      <c r="G521">
        <v>8.6513994910941481</v>
      </c>
      <c r="H521">
        <v>3.284072249589491</v>
      </c>
      <c r="I521">
        <v>37.762711864406782</v>
      </c>
      <c r="J521">
        <v>71.610660486674391</v>
      </c>
      <c r="K521">
        <v>48.82105453756256</v>
      </c>
      <c r="L521">
        <v>3.284072249589491</v>
      </c>
      <c r="M521">
        <v>28.468836465891258</v>
      </c>
    </row>
    <row r="522" spans="1:13" x14ac:dyDescent="0.4">
      <c r="A522" t="s">
        <v>1174</v>
      </c>
      <c r="B522" t="s">
        <v>1175</v>
      </c>
      <c r="C522" t="s">
        <v>40</v>
      </c>
      <c r="D522" s="1">
        <v>41430</v>
      </c>
      <c r="E522">
        <v>67.194570135746602</v>
      </c>
      <c r="F522">
        <v>56.399132321041215</v>
      </c>
      <c r="G522">
        <v>19.547325102880659</v>
      </c>
      <c r="H522">
        <v>93.083003952569172</v>
      </c>
      <c r="I522">
        <v>69.259962049335869</v>
      </c>
      <c r="J522">
        <v>78.803418803418808</v>
      </c>
      <c r="K522">
        <v>62.849902113180889</v>
      </c>
      <c r="L522">
        <v>93.083003952569172</v>
      </c>
      <c r="M522">
        <v>50.280198168637646</v>
      </c>
    </row>
    <row r="523" spans="1:13" x14ac:dyDescent="0.4">
      <c r="A523" t="s">
        <v>436</v>
      </c>
      <c r="B523" t="s">
        <v>437</v>
      </c>
      <c r="C523" t="s">
        <v>40</v>
      </c>
      <c r="D523" s="1">
        <v>41432</v>
      </c>
      <c r="E523">
        <v>69.457013574660635</v>
      </c>
      <c r="F523">
        <v>69.197396963123637</v>
      </c>
      <c r="G523">
        <v>72.222222222222229</v>
      </c>
      <c r="H523">
        <v>53.359683794466406</v>
      </c>
      <c r="I523">
        <v>39.08918406072106</v>
      </c>
      <c r="J523">
        <v>85.982905982905976</v>
      </c>
      <c r="K523">
        <v>74.030376340336517</v>
      </c>
      <c r="L523">
        <v>53.359683794466399</v>
      </c>
      <c r="M523">
        <v>61.067559530807301</v>
      </c>
    </row>
    <row r="524" spans="1:13" x14ac:dyDescent="0.4">
      <c r="A524" t="s">
        <v>626</v>
      </c>
      <c r="B524" t="s">
        <v>627</v>
      </c>
      <c r="C524" t="s">
        <v>64</v>
      </c>
      <c r="D524" s="1">
        <v>41432</v>
      </c>
      <c r="E524">
        <v>2.512562814070352</v>
      </c>
      <c r="F524">
        <v>59.299781181619259</v>
      </c>
      <c r="G524">
        <v>15.776081424936386</v>
      </c>
      <c r="H524">
        <v>73.891625615763544</v>
      </c>
      <c r="I524">
        <v>36.474576271186443</v>
      </c>
      <c r="J524">
        <v>44.032444959443801</v>
      </c>
      <c r="K524">
        <v>54.903922764708057</v>
      </c>
      <c r="L524">
        <v>73.891625615763544</v>
      </c>
      <c r="M524">
        <v>17.920846567108399</v>
      </c>
    </row>
    <row r="525" spans="1:13" x14ac:dyDescent="0.4">
      <c r="A525" t="s">
        <v>124</v>
      </c>
      <c r="B525" t="s">
        <v>125</v>
      </c>
      <c r="C525" t="s">
        <v>40</v>
      </c>
      <c r="D525" s="1">
        <v>41439</v>
      </c>
      <c r="E525">
        <v>81.221719457013577</v>
      </c>
      <c r="F525">
        <v>19.305856832971802</v>
      </c>
      <c r="G525">
        <v>14.609053497942387</v>
      </c>
      <c r="H525">
        <v>42.490118577075101</v>
      </c>
      <c r="I525">
        <v>44.022770398481974</v>
      </c>
      <c r="J525">
        <v>69.059829059829056</v>
      </c>
      <c r="K525">
        <v>33.631303944729467</v>
      </c>
      <c r="L525">
        <v>42.490118577075101</v>
      </c>
      <c r="M525">
        <v>45.155656153719782</v>
      </c>
    </row>
    <row r="526" spans="1:13" x14ac:dyDescent="0.4">
      <c r="A526" t="s">
        <v>38</v>
      </c>
      <c r="B526" t="s">
        <v>39</v>
      </c>
      <c r="C526" t="s">
        <v>40</v>
      </c>
      <c r="D526" s="1">
        <v>41450</v>
      </c>
      <c r="E526">
        <v>60.407239819004523</v>
      </c>
      <c r="F526">
        <v>24.945770065075923</v>
      </c>
      <c r="G526">
        <v>16.460905349794238</v>
      </c>
      <c r="H526">
        <v>55.533596837944664</v>
      </c>
      <c r="I526">
        <v>6.4516129032258061</v>
      </c>
      <c r="J526">
        <v>31.965811965811966</v>
      </c>
      <c r="K526">
        <v>26.967020519467415</v>
      </c>
      <c r="L526">
        <v>55.533596837944664</v>
      </c>
      <c r="M526">
        <v>27.500567106440585</v>
      </c>
    </row>
    <row r="527" spans="1:13" x14ac:dyDescent="0.4">
      <c r="A527" t="s">
        <v>1176</v>
      </c>
      <c r="B527" t="s">
        <v>1177</v>
      </c>
      <c r="C527" t="s">
        <v>40</v>
      </c>
      <c r="D527" s="1">
        <v>41450</v>
      </c>
      <c r="E527">
        <v>4.9773755656108598</v>
      </c>
      <c r="F527">
        <v>79.392624728850322</v>
      </c>
      <c r="G527">
        <v>59.25925925925926</v>
      </c>
      <c r="H527">
        <v>51.778656126482211</v>
      </c>
      <c r="I527">
        <v>3.9848197343453511</v>
      </c>
      <c r="J527">
        <v>23.931623931623932</v>
      </c>
      <c r="K527">
        <v>63.423977440484826</v>
      </c>
      <c r="L527">
        <v>51.778656126482211</v>
      </c>
      <c r="M527">
        <v>24.668461949995951</v>
      </c>
    </row>
    <row r="528" spans="1:13" x14ac:dyDescent="0.4">
      <c r="A528" t="s">
        <v>628</v>
      </c>
      <c r="B528" t="s">
        <v>629</v>
      </c>
      <c r="C528" t="s">
        <v>40</v>
      </c>
      <c r="D528" s="1">
        <v>41452</v>
      </c>
      <c r="E528">
        <v>0.22624434389140272</v>
      </c>
      <c r="F528">
        <v>73.318872017353584</v>
      </c>
      <c r="G528">
        <v>85.802469135802468</v>
      </c>
      <c r="H528">
        <v>86.36363636363636</v>
      </c>
      <c r="I528">
        <v>61.48007590132827</v>
      </c>
      <c r="J528">
        <v>19.658119658119659</v>
      </c>
      <c r="K528">
        <v>57.868562514540109</v>
      </c>
      <c r="L528">
        <v>86.36363636363636</v>
      </c>
      <c r="M528">
        <v>50.731291723418629</v>
      </c>
    </row>
    <row r="529" spans="1:13" x14ac:dyDescent="0.4">
      <c r="A529" t="s">
        <v>1178</v>
      </c>
      <c r="B529" t="s">
        <v>1179</v>
      </c>
      <c r="C529" t="s">
        <v>64</v>
      </c>
      <c r="D529" s="1">
        <v>41470</v>
      </c>
      <c r="E529">
        <v>73.869346733668337</v>
      </c>
      <c r="F529">
        <v>81.838074398249447</v>
      </c>
      <c r="G529">
        <v>42.111959287531803</v>
      </c>
      <c r="H529">
        <v>96.141215106732346</v>
      </c>
      <c r="I529">
        <v>28.8135593220339</v>
      </c>
      <c r="J529">
        <v>51.448435689455387</v>
      </c>
      <c r="K529">
        <v>73.08811650376694</v>
      </c>
      <c r="L529">
        <v>96.141215106732346</v>
      </c>
      <c r="M529">
        <v>48.210585641535125</v>
      </c>
    </row>
    <row r="530" spans="1:13" x14ac:dyDescent="0.4">
      <c r="A530" t="s">
        <v>630</v>
      </c>
      <c r="B530" t="s">
        <v>631</v>
      </c>
      <c r="C530" t="s">
        <v>40</v>
      </c>
      <c r="D530" s="1">
        <v>41472</v>
      </c>
      <c r="E530">
        <v>10.859728506787331</v>
      </c>
      <c r="F530">
        <v>57.266811279826463</v>
      </c>
      <c r="G530">
        <v>89.91769547325103</v>
      </c>
      <c r="H530">
        <v>92.885375494071141</v>
      </c>
      <c r="I530">
        <v>92.979127134724862</v>
      </c>
      <c r="J530">
        <v>37.435897435897438</v>
      </c>
      <c r="K530">
        <v>51.556981597209123</v>
      </c>
      <c r="L530">
        <v>92.885375494071141</v>
      </c>
      <c r="M530">
        <v>65.427644858828771</v>
      </c>
    </row>
    <row r="531" spans="1:13" x14ac:dyDescent="0.4">
      <c r="A531" t="s">
        <v>1180</v>
      </c>
      <c r="B531" t="s">
        <v>1181</v>
      </c>
      <c r="C531" t="s">
        <v>64</v>
      </c>
      <c r="D531" s="1">
        <v>41484</v>
      </c>
      <c r="E531">
        <v>20.100502512562816</v>
      </c>
      <c r="F531">
        <v>70.459518599562358</v>
      </c>
      <c r="G531">
        <v>41.221374045801525</v>
      </c>
      <c r="H531">
        <v>89.326765188834159</v>
      </c>
      <c r="I531">
        <v>28.271186440677965</v>
      </c>
      <c r="J531">
        <v>1.969872537659328</v>
      </c>
      <c r="K531">
        <v>50.739589547683153</v>
      </c>
      <c r="L531">
        <v>89.326765188834159</v>
      </c>
      <c r="M531">
        <v>30.413224485791698</v>
      </c>
    </row>
    <row r="532" spans="1:13" x14ac:dyDescent="0.4">
      <c r="A532" t="s">
        <v>199</v>
      </c>
      <c r="B532" t="s">
        <v>200</v>
      </c>
      <c r="C532" t="s">
        <v>40</v>
      </c>
      <c r="D532" s="1">
        <v>41488</v>
      </c>
      <c r="E532">
        <v>51.131221719457017</v>
      </c>
      <c r="F532">
        <v>19.088937093275486</v>
      </c>
      <c r="G532">
        <v>8.6419753086419746</v>
      </c>
      <c r="H532">
        <v>34.980237154150196</v>
      </c>
      <c r="I532">
        <v>20.683111954459203</v>
      </c>
      <c r="J532">
        <v>81.880341880341874</v>
      </c>
      <c r="K532">
        <v>37.168196056734232</v>
      </c>
      <c r="L532">
        <v>34.980237154150196</v>
      </c>
      <c r="M532">
        <v>26.044202193541384</v>
      </c>
    </row>
    <row r="533" spans="1:13" x14ac:dyDescent="0.4">
      <c r="A533" t="s">
        <v>224</v>
      </c>
      <c r="B533" t="s">
        <v>225</v>
      </c>
      <c r="C533" t="s">
        <v>40</v>
      </c>
      <c r="D533" s="1">
        <v>41493</v>
      </c>
      <c r="E533">
        <v>23.755656108597286</v>
      </c>
      <c r="F533">
        <v>37.310195227765725</v>
      </c>
      <c r="G533">
        <v>92.592592592592595</v>
      </c>
      <c r="H533">
        <v>91.106719367588937</v>
      </c>
      <c r="I533">
        <v>88.804554079696388</v>
      </c>
      <c r="J533">
        <v>0.34188034188034189</v>
      </c>
      <c r="K533">
        <v>26.666067412325038</v>
      </c>
      <c r="L533">
        <v>91.106719367588937</v>
      </c>
      <c r="M533">
        <v>69.269341529153778</v>
      </c>
    </row>
    <row r="534" spans="1:13" x14ac:dyDescent="0.4">
      <c r="A534" t="s">
        <v>1182</v>
      </c>
      <c r="B534" t="s">
        <v>1183</v>
      </c>
      <c r="C534" t="s">
        <v>64</v>
      </c>
      <c r="D534" s="1">
        <v>41507</v>
      </c>
      <c r="E534">
        <v>76.884422110552762</v>
      </c>
      <c r="F534">
        <v>42.013129102844637</v>
      </c>
      <c r="G534">
        <v>16.921119592875318</v>
      </c>
      <c r="H534">
        <v>61.083743842364534</v>
      </c>
      <c r="I534">
        <v>11.254237288135593</v>
      </c>
      <c r="J534">
        <v>70.683661645422944</v>
      </c>
      <c r="K534">
        <v>50.268112156899697</v>
      </c>
      <c r="L534">
        <v>61.083743842364541</v>
      </c>
      <c r="M534">
        <v>34.459882583697855</v>
      </c>
    </row>
    <row r="535" spans="1:13" x14ac:dyDescent="0.4">
      <c r="A535" t="s">
        <v>181</v>
      </c>
      <c r="B535" t="s">
        <v>182</v>
      </c>
      <c r="C535" t="s">
        <v>40</v>
      </c>
      <c r="D535" s="1">
        <v>41512</v>
      </c>
      <c r="E535">
        <v>22.398190045248867</v>
      </c>
      <c r="F535">
        <v>21.691973969631235</v>
      </c>
      <c r="G535">
        <v>23.662551440329217</v>
      </c>
      <c r="H535">
        <v>44.664031620553359</v>
      </c>
      <c r="I535">
        <v>5.1233396584440225</v>
      </c>
      <c r="J535">
        <v>91.282051282051285</v>
      </c>
      <c r="K535">
        <v>41.728745455869827</v>
      </c>
      <c r="L535">
        <v>44.664031620553359</v>
      </c>
      <c r="M535">
        <v>17.512109972883188</v>
      </c>
    </row>
    <row r="536" spans="1:13" x14ac:dyDescent="0.4">
      <c r="A536" t="s">
        <v>201</v>
      </c>
      <c r="B536" t="s">
        <v>202</v>
      </c>
      <c r="C536" t="s">
        <v>203</v>
      </c>
      <c r="D536" s="1">
        <v>41521</v>
      </c>
      <c r="E536">
        <v>27.777777777777779</v>
      </c>
      <c r="F536">
        <v>16.666666666666668</v>
      </c>
      <c r="G536">
        <v>9.0909090909090917</v>
      </c>
      <c r="H536">
        <v>40.909090909090907</v>
      </c>
      <c r="I536">
        <v>4.5454545454545459</v>
      </c>
      <c r="J536">
        <v>4</v>
      </c>
      <c r="K536">
        <v>13.019607843137257</v>
      </c>
      <c r="L536">
        <v>40.909090909090907</v>
      </c>
      <c r="M536">
        <v>13.695568121405444</v>
      </c>
    </row>
    <row r="537" spans="1:13" x14ac:dyDescent="0.4">
      <c r="A537" t="s">
        <v>632</v>
      </c>
      <c r="B537" t="s">
        <v>633</v>
      </c>
      <c r="C537" t="s">
        <v>64</v>
      </c>
      <c r="D537" s="1">
        <v>41528</v>
      </c>
      <c r="E537">
        <v>17.08542713567839</v>
      </c>
      <c r="F537">
        <v>95.623632385120345</v>
      </c>
      <c r="G537">
        <v>96.564885496183209</v>
      </c>
      <c r="H537">
        <v>3.2019704433497536</v>
      </c>
      <c r="I537">
        <v>5.0169491525423728</v>
      </c>
      <c r="J537">
        <v>98.030127462340673</v>
      </c>
      <c r="K537">
        <v>96.316524156580073</v>
      </c>
      <c r="L537">
        <v>3.2019704433497536</v>
      </c>
      <c r="M537">
        <v>42.62841442922295</v>
      </c>
    </row>
    <row r="538" spans="1:13" x14ac:dyDescent="0.4">
      <c r="A538" t="s">
        <v>438</v>
      </c>
      <c r="B538" t="s">
        <v>439</v>
      </c>
      <c r="C538" t="s">
        <v>64</v>
      </c>
      <c r="D538" s="1">
        <v>41528</v>
      </c>
      <c r="E538">
        <v>71.356783919597987</v>
      </c>
      <c r="F538">
        <v>39.387308533916851</v>
      </c>
      <c r="G538">
        <v>93.129770992366417</v>
      </c>
      <c r="H538">
        <v>63.793103448275865</v>
      </c>
      <c r="I538">
        <v>3.3220338983050848</v>
      </c>
      <c r="J538">
        <v>99.826187717265356</v>
      </c>
      <c r="K538">
        <v>56.789214924168895</v>
      </c>
      <c r="L538">
        <v>63.793103448275858</v>
      </c>
      <c r="M538">
        <v>58.300659234069059</v>
      </c>
    </row>
    <row r="539" spans="1:13" x14ac:dyDescent="0.4">
      <c r="A539" t="s">
        <v>183</v>
      </c>
      <c r="B539" t="s">
        <v>184</v>
      </c>
      <c r="C539" t="s">
        <v>40</v>
      </c>
      <c r="D539" s="1">
        <v>41528</v>
      </c>
      <c r="E539">
        <v>16.289592760180994</v>
      </c>
      <c r="F539">
        <v>28.850325379609544</v>
      </c>
      <c r="G539">
        <v>20.164609053497941</v>
      </c>
      <c r="H539">
        <v>56.324110671936758</v>
      </c>
      <c r="I539">
        <v>56.546489563567363</v>
      </c>
      <c r="J539">
        <v>68.717948717948715</v>
      </c>
      <c r="K539">
        <v>40.329238600865096</v>
      </c>
      <c r="L539">
        <v>56.324110671936765</v>
      </c>
      <c r="M539">
        <v>30.189163681734453</v>
      </c>
    </row>
    <row r="540" spans="1:13" x14ac:dyDescent="0.4">
      <c r="A540" t="s">
        <v>1184</v>
      </c>
      <c r="B540" t="s">
        <v>1185</v>
      </c>
      <c r="C540" t="s">
        <v>64</v>
      </c>
      <c r="D540" s="1">
        <v>41534</v>
      </c>
      <c r="E540">
        <v>68.341708542713562</v>
      </c>
      <c r="F540">
        <v>41.356673960612689</v>
      </c>
      <c r="G540">
        <v>33.460559796437657</v>
      </c>
      <c r="H540">
        <v>78.653530377668304</v>
      </c>
      <c r="I540">
        <v>84.13559322033899</v>
      </c>
      <c r="J540">
        <v>1.2746234067207416</v>
      </c>
      <c r="K540">
        <v>29.816021633950299</v>
      </c>
      <c r="L540">
        <v>78.653530377668304</v>
      </c>
      <c r="M540">
        <v>60.383840501627454</v>
      </c>
    </row>
    <row r="541" spans="1:13" x14ac:dyDescent="0.4">
      <c r="A541" t="s">
        <v>140</v>
      </c>
      <c r="B541" t="s">
        <v>141</v>
      </c>
      <c r="C541" t="s">
        <v>40</v>
      </c>
      <c r="D541" s="1">
        <v>41541</v>
      </c>
      <c r="E541">
        <v>53.846153846153847</v>
      </c>
      <c r="F541">
        <v>9.5444685466377432</v>
      </c>
      <c r="G541">
        <v>9.4650205761316872</v>
      </c>
      <c r="H541">
        <v>43.873517786561266</v>
      </c>
      <c r="I541">
        <v>58.254269449715373</v>
      </c>
      <c r="J541">
        <v>64.102564102564102</v>
      </c>
      <c r="K541">
        <v>25.253146214443166</v>
      </c>
      <c r="L541">
        <v>43.873517786561266</v>
      </c>
      <c r="M541">
        <v>38.860882188445245</v>
      </c>
    </row>
    <row r="542" spans="1:13" x14ac:dyDescent="0.4">
      <c r="A542" t="s">
        <v>634</v>
      </c>
      <c r="B542" t="s">
        <v>635</v>
      </c>
      <c r="C542" t="s">
        <v>43</v>
      </c>
      <c r="D542" s="1">
        <v>41576</v>
      </c>
      <c r="E542">
        <v>17.5</v>
      </c>
      <c r="F542">
        <v>55.045871559633028</v>
      </c>
      <c r="G542">
        <v>0.64102564102564108</v>
      </c>
      <c r="H542">
        <v>62.43654822335025</v>
      </c>
      <c r="I542">
        <v>74.311926605504581</v>
      </c>
      <c r="J542">
        <v>78.16901408450704</v>
      </c>
      <c r="K542">
        <v>61.703618478559605</v>
      </c>
      <c r="L542">
        <v>62.436548223350243</v>
      </c>
      <c r="M542">
        <v>28.889623072083236</v>
      </c>
    </row>
    <row r="543" spans="1:13" x14ac:dyDescent="0.4">
      <c r="A543" t="s">
        <v>636</v>
      </c>
      <c r="B543" t="s">
        <v>637</v>
      </c>
      <c r="C543" t="s">
        <v>64</v>
      </c>
      <c r="D543" s="1">
        <v>41583</v>
      </c>
      <c r="E543">
        <v>10.050251256281408</v>
      </c>
      <c r="F543">
        <v>86.433260393873084</v>
      </c>
      <c r="G543">
        <v>38.295165394402034</v>
      </c>
      <c r="H543">
        <v>89.573070607553362</v>
      </c>
      <c r="I543">
        <v>52.813559322033896</v>
      </c>
      <c r="J543">
        <v>96.002317497103135</v>
      </c>
      <c r="K543">
        <v>89.188437826072445</v>
      </c>
      <c r="L543">
        <v>89.573070607553362</v>
      </c>
      <c r="M543">
        <v>33.704713389739602</v>
      </c>
    </row>
    <row r="544" spans="1:13" x14ac:dyDescent="0.4">
      <c r="A544" t="s">
        <v>1186</v>
      </c>
      <c r="B544" t="s">
        <v>1187</v>
      </c>
      <c r="C544" t="s">
        <v>40</v>
      </c>
      <c r="D544" s="1">
        <v>41589</v>
      </c>
      <c r="E544">
        <v>0.90497737556561086</v>
      </c>
      <c r="F544">
        <v>97.830802603036872</v>
      </c>
      <c r="G544">
        <v>65.637860082304528</v>
      </c>
      <c r="H544">
        <v>96.245059288537547</v>
      </c>
      <c r="I544">
        <v>85.578747628083491</v>
      </c>
      <c r="J544">
        <v>31.452991452991451</v>
      </c>
      <c r="K544">
        <v>78.71892508924671</v>
      </c>
      <c r="L544">
        <v>96.245059288537547</v>
      </c>
      <c r="M544">
        <v>50.986597434271012</v>
      </c>
    </row>
    <row r="545" spans="1:13" x14ac:dyDescent="0.4">
      <c r="A545" t="s">
        <v>1188</v>
      </c>
      <c r="B545" t="s">
        <v>1189</v>
      </c>
      <c r="C545" t="s">
        <v>40</v>
      </c>
      <c r="D545" s="1">
        <v>41590</v>
      </c>
      <c r="E545">
        <v>77.375565610859724</v>
      </c>
      <c r="F545">
        <v>8.026030368763557</v>
      </c>
      <c r="G545">
        <v>27.366255144032923</v>
      </c>
      <c r="H545">
        <v>60.671936758893281</v>
      </c>
      <c r="I545">
        <v>84.629981024667927</v>
      </c>
      <c r="J545">
        <v>88.205128205128204</v>
      </c>
      <c r="K545">
        <v>31.111652965611583</v>
      </c>
      <c r="L545">
        <v>60.671936758893274</v>
      </c>
      <c r="M545">
        <v>61.198563180708611</v>
      </c>
    </row>
    <row r="546" spans="1:13" x14ac:dyDescent="0.4">
      <c r="A546" t="s">
        <v>638</v>
      </c>
      <c r="B546" t="s">
        <v>639</v>
      </c>
      <c r="C546" t="s">
        <v>64</v>
      </c>
      <c r="D546" s="1">
        <v>41603</v>
      </c>
      <c r="E546">
        <v>8.5427135678391952</v>
      </c>
      <c r="F546">
        <v>86.652078774617067</v>
      </c>
      <c r="G546">
        <v>39.821882951653947</v>
      </c>
      <c r="H546">
        <v>4.9261083743842367</v>
      </c>
      <c r="I546">
        <v>36.542372881355931</v>
      </c>
      <c r="J546">
        <v>88.702201622247969</v>
      </c>
      <c r="K546">
        <v>87.242361823625345</v>
      </c>
      <c r="L546">
        <v>4.9261083743842367</v>
      </c>
      <c r="M546">
        <v>28.741153678384382</v>
      </c>
    </row>
    <row r="547" spans="1:13" x14ac:dyDescent="0.4">
      <c r="A547" t="s">
        <v>1190</v>
      </c>
      <c r="B547" t="s">
        <v>1191</v>
      </c>
      <c r="C547" t="s">
        <v>40</v>
      </c>
      <c r="D547" s="1">
        <v>41606</v>
      </c>
      <c r="E547">
        <v>26.244343891402714</v>
      </c>
      <c r="F547">
        <v>65.292841648590027</v>
      </c>
      <c r="G547">
        <v>11.728395061728396</v>
      </c>
      <c r="H547">
        <v>87.549407114624501</v>
      </c>
      <c r="I547">
        <v>6.8311195445920303</v>
      </c>
      <c r="J547">
        <v>27.350427350427349</v>
      </c>
      <c r="K547">
        <v>54.368245581317176</v>
      </c>
      <c r="L547">
        <v>87.549407114624501</v>
      </c>
      <c r="M547">
        <v>14.881978645752408</v>
      </c>
    </row>
    <row r="548" spans="1:13" x14ac:dyDescent="0.4">
      <c r="A548" t="s">
        <v>640</v>
      </c>
      <c r="B548" t="s">
        <v>641</v>
      </c>
      <c r="C548" t="s">
        <v>64</v>
      </c>
      <c r="D548" s="1">
        <v>41606</v>
      </c>
      <c r="E548">
        <v>1.0050251256281406</v>
      </c>
      <c r="F548">
        <v>91.247264770240704</v>
      </c>
      <c r="G548">
        <v>55.597964376590333</v>
      </c>
      <c r="H548">
        <v>97.536945812807886</v>
      </c>
      <c r="I548">
        <v>13.694915254237289</v>
      </c>
      <c r="J548">
        <v>2.7809965237543453</v>
      </c>
      <c r="K548">
        <v>65.775552860261655</v>
      </c>
      <c r="L548">
        <v>97.536945812807886</v>
      </c>
      <c r="M548">
        <v>25.049650523482359</v>
      </c>
    </row>
    <row r="549" spans="1:13" x14ac:dyDescent="0.4">
      <c r="A549" t="s">
        <v>642</v>
      </c>
      <c r="B549" t="s">
        <v>643</v>
      </c>
      <c r="C549" t="s">
        <v>64</v>
      </c>
      <c r="D549" s="1">
        <v>41612</v>
      </c>
      <c r="E549">
        <v>28.643216080402009</v>
      </c>
      <c r="F549">
        <v>96.280087527352293</v>
      </c>
      <c r="G549">
        <v>6.4885496183206106</v>
      </c>
      <c r="H549">
        <v>96.715927750410515</v>
      </c>
      <c r="I549">
        <v>29.694915254237287</v>
      </c>
      <c r="J549">
        <v>87.485515643105444</v>
      </c>
      <c r="K549">
        <v>93.747904291330755</v>
      </c>
      <c r="L549">
        <v>96.715927750410515</v>
      </c>
      <c r="M549">
        <v>20.806796003490842</v>
      </c>
    </row>
    <row r="550" spans="1:13" x14ac:dyDescent="0.4">
      <c r="A550" t="s">
        <v>1192</v>
      </c>
      <c r="B550" t="s">
        <v>1193</v>
      </c>
      <c r="C550" t="s">
        <v>64</v>
      </c>
      <c r="D550" s="1">
        <v>41619</v>
      </c>
      <c r="E550">
        <v>92.964824120603012</v>
      </c>
      <c r="F550">
        <v>29.540481400437638</v>
      </c>
      <c r="G550">
        <v>89.949109414758269</v>
      </c>
      <c r="H550">
        <v>63.957307060755333</v>
      </c>
      <c r="I550">
        <v>13.491525423728813</v>
      </c>
      <c r="J550">
        <v>97.624565469293159</v>
      </c>
      <c r="K550">
        <v>49.143638732956411</v>
      </c>
      <c r="L550">
        <v>63.957307060755326</v>
      </c>
      <c r="M550">
        <v>67.232258938915706</v>
      </c>
    </row>
    <row r="551" spans="1:13" x14ac:dyDescent="0.4">
      <c r="A551" t="s">
        <v>440</v>
      </c>
      <c r="B551" t="s">
        <v>441</v>
      </c>
      <c r="C551" t="s">
        <v>64</v>
      </c>
      <c r="D551" s="1">
        <v>41619</v>
      </c>
      <c r="E551">
        <v>58.793969849246231</v>
      </c>
      <c r="F551">
        <v>43.982494529540482</v>
      </c>
      <c r="G551">
        <v>36.386768447837149</v>
      </c>
      <c r="H551">
        <v>63.382594417077179</v>
      </c>
      <c r="I551">
        <v>47.457627118644069</v>
      </c>
      <c r="J551">
        <v>3.7659327925840094</v>
      </c>
      <c r="K551">
        <v>32.403112976794496</v>
      </c>
      <c r="L551">
        <v>63.382594417077179</v>
      </c>
      <c r="M551">
        <v>47.026588510897</v>
      </c>
    </row>
    <row r="552" spans="1:13" x14ac:dyDescent="0.4">
      <c r="A552" t="s">
        <v>1194</v>
      </c>
      <c r="B552" t="s">
        <v>1195</v>
      </c>
      <c r="C552" t="s">
        <v>64</v>
      </c>
      <c r="D552" s="1">
        <v>41620</v>
      </c>
      <c r="E552">
        <v>16.08040201005025</v>
      </c>
      <c r="F552">
        <v>53.172866520787743</v>
      </c>
      <c r="G552">
        <v>30.534351145038169</v>
      </c>
      <c r="H552">
        <v>7.389162561576355</v>
      </c>
      <c r="I552">
        <v>11.186440677966102</v>
      </c>
      <c r="J552">
        <v>87.717265353418313</v>
      </c>
      <c r="K552">
        <v>63.119086618108618</v>
      </c>
      <c r="L552">
        <v>7.3891625615763541</v>
      </c>
      <c r="M552">
        <v>19.889349795416859</v>
      </c>
    </row>
    <row r="553" spans="1:13" x14ac:dyDescent="0.4">
      <c r="A553" t="s">
        <v>644</v>
      </c>
      <c r="B553" t="s">
        <v>645</v>
      </c>
      <c r="C553" t="s">
        <v>64</v>
      </c>
      <c r="D553" s="1">
        <v>41621</v>
      </c>
      <c r="E553">
        <v>25.628140703517587</v>
      </c>
      <c r="F553">
        <v>42.888402625820568</v>
      </c>
      <c r="G553">
        <v>13.867684478371501</v>
      </c>
      <c r="H553">
        <v>45.073891625615765</v>
      </c>
      <c r="I553">
        <v>20.881355932203391</v>
      </c>
      <c r="J553">
        <v>91.888760139049822</v>
      </c>
      <c r="K553">
        <v>56.996864696193079</v>
      </c>
      <c r="L553">
        <v>45.073891625615765</v>
      </c>
      <c r="M553">
        <v>19.824746238068577</v>
      </c>
    </row>
    <row r="554" spans="1:13" x14ac:dyDescent="0.4">
      <c r="A554" t="s">
        <v>442</v>
      </c>
      <c r="B554" t="s">
        <v>443</v>
      </c>
      <c r="C554" t="s">
        <v>43</v>
      </c>
      <c r="D554" s="1">
        <v>41621</v>
      </c>
      <c r="E554">
        <v>60</v>
      </c>
      <c r="F554">
        <v>76.146788990825684</v>
      </c>
      <c r="G554">
        <v>20.512820512820515</v>
      </c>
      <c r="H554">
        <v>29.949238578680202</v>
      </c>
      <c r="I554">
        <v>56.88073394495413</v>
      </c>
      <c r="J554">
        <v>28.87323943661972</v>
      </c>
      <c r="K554">
        <v>62.535519304939761</v>
      </c>
      <c r="L554">
        <v>29.949238578680202</v>
      </c>
      <c r="M554">
        <v>44.485716279535687</v>
      </c>
    </row>
    <row r="555" spans="1:13" x14ac:dyDescent="0.4">
      <c r="A555" t="s">
        <v>1196</v>
      </c>
      <c r="B555" t="s">
        <v>1197</v>
      </c>
      <c r="C555" t="s">
        <v>64</v>
      </c>
      <c r="D555" s="1">
        <v>41625</v>
      </c>
      <c r="E555">
        <v>65.326633165829151</v>
      </c>
      <c r="F555">
        <v>48.140043763676147</v>
      </c>
      <c r="G555">
        <v>2.0356234096692112</v>
      </c>
      <c r="H555">
        <v>79.638752052545158</v>
      </c>
      <c r="I555">
        <v>15.932203389830509</v>
      </c>
      <c r="J555">
        <v>92.873696407879493</v>
      </c>
      <c r="K555">
        <v>61.020011862471542</v>
      </c>
      <c r="L555">
        <v>79.638752052545158</v>
      </c>
      <c r="M555">
        <v>26.706072978172557</v>
      </c>
    </row>
    <row r="556" spans="1:13" x14ac:dyDescent="0.4">
      <c r="A556" t="s">
        <v>328</v>
      </c>
      <c r="B556" t="s">
        <v>329</v>
      </c>
      <c r="C556" t="s">
        <v>64</v>
      </c>
      <c r="D556" s="1">
        <v>41627</v>
      </c>
      <c r="E556">
        <v>100</v>
      </c>
      <c r="F556">
        <v>19.25601750547046</v>
      </c>
      <c r="G556">
        <v>45.419847328244273</v>
      </c>
      <c r="H556">
        <v>21.428571428571427</v>
      </c>
      <c r="I556">
        <v>5.9661016949152543</v>
      </c>
      <c r="J556">
        <v>96.813441483198147</v>
      </c>
      <c r="K556">
        <v>41.586792830327042</v>
      </c>
      <c r="L556">
        <v>21.428571428571427</v>
      </c>
      <c r="M556">
        <v>50.759011143639107</v>
      </c>
    </row>
    <row r="557" spans="1:13" x14ac:dyDescent="0.4">
      <c r="A557" t="s">
        <v>444</v>
      </c>
      <c r="B557" t="s">
        <v>445</v>
      </c>
      <c r="C557" t="s">
        <v>40</v>
      </c>
      <c r="D557" s="1">
        <v>41627</v>
      </c>
      <c r="E557">
        <v>46.380090497737555</v>
      </c>
      <c r="F557">
        <v>98.698481561822121</v>
      </c>
      <c r="G557">
        <v>95.884773662551439</v>
      </c>
      <c r="H557">
        <v>52.173913043478258</v>
      </c>
      <c r="I557">
        <v>2.6565464895635675</v>
      </c>
      <c r="J557">
        <v>87.521367521367523</v>
      </c>
      <c r="K557">
        <v>95.480303215808874</v>
      </c>
      <c r="L557">
        <v>52.173913043478265</v>
      </c>
      <c r="M557">
        <v>51.072727479371061</v>
      </c>
    </row>
    <row r="558" spans="1:13" x14ac:dyDescent="0.4">
      <c r="A558" t="s">
        <v>646</v>
      </c>
      <c r="B558" t="s">
        <v>647</v>
      </c>
      <c r="C558" t="s">
        <v>64</v>
      </c>
      <c r="D558" s="1">
        <v>41631</v>
      </c>
      <c r="E558">
        <v>22.110552763819097</v>
      </c>
      <c r="F558">
        <v>93.654266958424515</v>
      </c>
      <c r="G558">
        <v>7.888040712468193</v>
      </c>
      <c r="H558">
        <v>79.802955665024626</v>
      </c>
      <c r="I558">
        <v>6.3050847457627119</v>
      </c>
      <c r="J558">
        <v>97.392815758980305</v>
      </c>
      <c r="K558">
        <v>94.7306912260768</v>
      </c>
      <c r="L558">
        <v>79.802955665024626</v>
      </c>
      <c r="M558">
        <v>11.974009787153211</v>
      </c>
    </row>
    <row r="559" spans="1:13" x14ac:dyDescent="0.4">
      <c r="A559" t="s">
        <v>446</v>
      </c>
      <c r="B559" t="s">
        <v>447</v>
      </c>
      <c r="C559" t="s">
        <v>64</v>
      </c>
      <c r="D559" s="1">
        <v>41639</v>
      </c>
      <c r="E559">
        <v>94.472361809045225</v>
      </c>
      <c r="F559">
        <v>44.201312910284464</v>
      </c>
      <c r="G559">
        <v>33.842239185750635</v>
      </c>
      <c r="H559">
        <v>81.691297208538586</v>
      </c>
      <c r="I559">
        <v>36.881355932203391</v>
      </c>
      <c r="J559">
        <v>92.468134414831979</v>
      </c>
      <c r="K559">
        <v>58.098571114380185</v>
      </c>
      <c r="L559">
        <v>81.691297208538586</v>
      </c>
      <c r="M559">
        <v>54.292758591250035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C23" sqref="C23"/>
    </sheetView>
  </sheetViews>
  <sheetFormatPr defaultRowHeight="13.9" x14ac:dyDescent="0.4"/>
  <cols>
    <col min="1" max="1" width="16.86328125" bestFit="1" customWidth="1"/>
    <col min="2" max="2" width="8.73046875" bestFit="1" customWidth="1"/>
    <col min="3" max="3" width="12.86328125" style="4" bestFit="1" customWidth="1"/>
    <col min="4" max="4" width="14.86328125" bestFit="1" customWidth="1"/>
    <col min="5" max="5" width="8.73046875" bestFit="1" customWidth="1"/>
    <col min="6" max="6" width="12.86328125" bestFit="1" customWidth="1"/>
    <col min="7" max="7" width="14.86328125" bestFit="1" customWidth="1"/>
    <col min="8" max="8" width="8.73046875" bestFit="1" customWidth="1"/>
    <col min="9" max="9" width="12.86328125" bestFit="1" customWidth="1"/>
  </cols>
  <sheetData>
    <row r="1" spans="1:9" x14ac:dyDescent="0.4">
      <c r="A1" t="s">
        <v>146</v>
      </c>
      <c r="B1" t="s">
        <v>148</v>
      </c>
      <c r="C1" t="s">
        <v>150</v>
      </c>
      <c r="D1" t="s">
        <v>151</v>
      </c>
      <c r="E1" t="s">
        <v>148</v>
      </c>
      <c r="F1" t="s">
        <v>149</v>
      </c>
      <c r="G1" t="s">
        <v>151</v>
      </c>
      <c r="H1" t="s">
        <v>147</v>
      </c>
      <c r="I1" t="s">
        <v>150</v>
      </c>
    </row>
    <row r="2" spans="1:9" x14ac:dyDescent="0.4">
      <c r="A2" s="2" t="str">
        <f>Sheet1!S3</f>
        <v>熊高震荡高牛高</v>
      </c>
      <c r="B2" s="2">
        <f>Sheet1!T3</f>
        <v>3</v>
      </c>
      <c r="C2" s="5">
        <f>Sheet1!U3</f>
        <v>5.3763440860215058E-3</v>
      </c>
      <c r="D2" s="2" t="str">
        <f>Sheet1!S12</f>
        <v>熊中震荡高牛高</v>
      </c>
      <c r="E2" s="2">
        <f>Sheet1!T12</f>
        <v>5</v>
      </c>
      <c r="F2" s="5">
        <f>Sheet1!U12</f>
        <v>8.9605734767025085E-3</v>
      </c>
      <c r="G2" t="str">
        <f>Sheet1!S21</f>
        <v>熊低震荡高牛高</v>
      </c>
      <c r="H2">
        <f>Sheet1!T21</f>
        <v>28</v>
      </c>
      <c r="I2" s="4">
        <f>Sheet1!U21</f>
        <v>5.0179211469534052E-2</v>
      </c>
    </row>
    <row r="3" spans="1:9" x14ac:dyDescent="0.4">
      <c r="A3" s="2" t="str">
        <f>Sheet1!S4</f>
        <v>熊高震荡高牛中</v>
      </c>
      <c r="B3" s="2">
        <f>Sheet1!T4</f>
        <v>15</v>
      </c>
      <c r="C3" s="5">
        <f>Sheet1!U4</f>
        <v>2.6881720430107527E-2</v>
      </c>
      <c r="D3" s="2" t="str">
        <f>Sheet1!S13</f>
        <v>熊中震荡高牛中</v>
      </c>
      <c r="E3" s="2">
        <f>Sheet1!T13</f>
        <v>20</v>
      </c>
      <c r="F3" s="5">
        <f>Sheet1!U13</f>
        <v>3.5842293906810034E-2</v>
      </c>
      <c r="G3" t="str">
        <f>Sheet1!S22</f>
        <v>熊低震荡高牛中</v>
      </c>
      <c r="H3">
        <f>Sheet1!T22</f>
        <v>34</v>
      </c>
      <c r="I3" s="4">
        <f>Sheet1!U22</f>
        <v>6.093189964157706E-2</v>
      </c>
    </row>
    <row r="4" spans="1:9" x14ac:dyDescent="0.4">
      <c r="A4" t="str">
        <f>Sheet1!S5</f>
        <v>熊高震荡高牛低</v>
      </c>
      <c r="B4">
        <f>Sheet1!T5</f>
        <v>15</v>
      </c>
      <c r="C4" s="4">
        <f>Sheet1!U5</f>
        <v>2.6881720430107527E-2</v>
      </c>
      <c r="D4" t="str">
        <f>Sheet1!S14</f>
        <v>熊中震荡高牛低</v>
      </c>
      <c r="E4">
        <f>Sheet1!T14</f>
        <v>10</v>
      </c>
      <c r="F4" s="4">
        <f>Sheet1!U14</f>
        <v>1.7921146953405017E-2</v>
      </c>
      <c r="G4" t="str">
        <f>Sheet1!S23</f>
        <v>熊低震荡高牛低</v>
      </c>
      <c r="H4">
        <f>Sheet1!T23</f>
        <v>22</v>
      </c>
      <c r="I4" s="4">
        <f>Sheet1!U23</f>
        <v>3.9426523297491037E-2</v>
      </c>
    </row>
    <row r="5" spans="1:9" x14ac:dyDescent="0.4">
      <c r="A5" s="2" t="str">
        <f>Sheet1!S6</f>
        <v>熊高震荡中牛高</v>
      </c>
      <c r="B5" s="2">
        <f>Sheet1!T6</f>
        <v>1</v>
      </c>
      <c r="C5" s="5">
        <f>Sheet1!U6</f>
        <v>1.7921146953405018E-3</v>
      </c>
      <c r="D5" s="2" t="str">
        <f>Sheet1!S15</f>
        <v>熊中震荡中牛高</v>
      </c>
      <c r="E5" s="2">
        <f>Sheet1!T15</f>
        <v>5</v>
      </c>
      <c r="F5" s="5">
        <f>Sheet1!U15</f>
        <v>8.9605734767025085E-3</v>
      </c>
      <c r="G5" t="str">
        <f>Sheet1!S24</f>
        <v>熊低震荡中牛高</v>
      </c>
      <c r="H5">
        <f>Sheet1!T24</f>
        <v>9</v>
      </c>
      <c r="I5" s="4">
        <f>Sheet1!U24</f>
        <v>1.6129032258064516E-2</v>
      </c>
    </row>
    <row r="6" spans="1:9" x14ac:dyDescent="0.4">
      <c r="A6" s="2" t="str">
        <f>Sheet1!S7</f>
        <v>熊高震荡中牛中</v>
      </c>
      <c r="B6" s="2">
        <f>Sheet1!T7</f>
        <v>10</v>
      </c>
      <c r="C6" s="5">
        <f>Sheet1!U7</f>
        <v>1.7921146953405017E-2</v>
      </c>
      <c r="D6" s="6" t="str">
        <f>Sheet1!S16</f>
        <v>熊中震荡中牛中</v>
      </c>
      <c r="E6" s="6">
        <f>Sheet1!T16</f>
        <v>12</v>
      </c>
      <c r="F6" s="7">
        <f>Sheet1!U16</f>
        <v>2.1505376344086023E-2</v>
      </c>
      <c r="G6" t="str">
        <f>Sheet1!S25</f>
        <v>熊低震荡中牛中</v>
      </c>
      <c r="H6">
        <f>Sheet1!T25</f>
        <v>19</v>
      </c>
      <c r="I6" s="4">
        <f>Sheet1!U25</f>
        <v>3.4050179211469536E-2</v>
      </c>
    </row>
    <row r="7" spans="1:9" x14ac:dyDescent="0.4">
      <c r="A7" t="str">
        <f>Sheet1!S8</f>
        <v>熊高震荡中牛低</v>
      </c>
      <c r="B7">
        <f>Sheet1!T8</f>
        <v>9</v>
      </c>
      <c r="C7" s="4">
        <f>Sheet1!U8</f>
        <v>1.6129032258064516E-2</v>
      </c>
      <c r="D7" t="str">
        <f>Sheet1!S17</f>
        <v>熊中震荡中牛低</v>
      </c>
      <c r="E7">
        <f>Sheet1!T17</f>
        <v>9</v>
      </c>
      <c r="F7" s="4">
        <f>Sheet1!U17</f>
        <v>1.6129032258064516E-2</v>
      </c>
      <c r="G7" t="str">
        <f>Sheet1!S26</f>
        <v>熊低震荡中牛低</v>
      </c>
      <c r="H7">
        <f>Sheet1!T26</f>
        <v>23</v>
      </c>
      <c r="I7" s="4">
        <f>Sheet1!U26</f>
        <v>4.1218637992831542E-2</v>
      </c>
    </row>
    <row r="8" spans="1:9" x14ac:dyDescent="0.4">
      <c r="A8" t="str">
        <f>Sheet1!S9</f>
        <v>熊高震荡低牛高</v>
      </c>
      <c r="B8">
        <f>Sheet1!T9</f>
        <v>3</v>
      </c>
      <c r="C8" s="4">
        <f>Sheet1!U9</f>
        <v>5.3763440860215058E-3</v>
      </c>
      <c r="D8" t="str">
        <f>Sheet1!S18</f>
        <v>熊中震荡低牛高</v>
      </c>
      <c r="E8">
        <f>Sheet1!T18</f>
        <v>5</v>
      </c>
      <c r="F8" s="4">
        <f>Sheet1!U18</f>
        <v>8.9605734767025085E-3</v>
      </c>
      <c r="G8" t="str">
        <f>Sheet1!S27</f>
        <v>熊低震荡低牛高</v>
      </c>
      <c r="H8">
        <f>Sheet1!T27</f>
        <v>31</v>
      </c>
      <c r="I8" s="4">
        <f>Sheet1!U27</f>
        <v>5.5555555555555552E-2</v>
      </c>
    </row>
    <row r="9" spans="1:9" x14ac:dyDescent="0.4">
      <c r="A9" t="str">
        <f>Sheet1!S10</f>
        <v>熊高震荡低牛中</v>
      </c>
      <c r="B9">
        <f>Sheet1!T10</f>
        <v>18</v>
      </c>
      <c r="C9" s="4">
        <f>Sheet1!U10</f>
        <v>3.2258064516129031E-2</v>
      </c>
      <c r="D9" t="str">
        <f>Sheet1!S19</f>
        <v>熊中震荡低牛中</v>
      </c>
      <c r="E9">
        <f>Sheet1!T19</f>
        <v>22</v>
      </c>
      <c r="F9" s="4">
        <f>Sheet1!U19</f>
        <v>3.9426523297491037E-2</v>
      </c>
      <c r="G9" t="str">
        <f>Sheet1!S28</f>
        <v>熊低震荡低牛中</v>
      </c>
      <c r="H9">
        <f>Sheet1!T28</f>
        <v>80</v>
      </c>
      <c r="I9" s="4">
        <f>Sheet1!U28</f>
        <v>0.14336917562724014</v>
      </c>
    </row>
    <row r="10" spans="1:9" x14ac:dyDescent="0.4">
      <c r="A10" t="str">
        <f>Sheet1!S11</f>
        <v>熊高震荡低牛低</v>
      </c>
      <c r="B10">
        <f>Sheet1!T11</f>
        <v>23</v>
      </c>
      <c r="C10" s="4">
        <f>Sheet1!U11</f>
        <v>4.1218637992831542E-2</v>
      </c>
      <c r="D10" t="str">
        <f>Sheet1!S20</f>
        <v>熊中震荡低牛低</v>
      </c>
      <c r="E10">
        <f>Sheet1!T20</f>
        <v>42</v>
      </c>
      <c r="F10" s="4">
        <f>Sheet1!U20</f>
        <v>7.5268817204301078E-2</v>
      </c>
      <c r="G10" t="str">
        <f>Sheet1!S29</f>
        <v>熊低震荡低牛低</v>
      </c>
      <c r="H10">
        <f>Sheet1!T29</f>
        <v>85</v>
      </c>
      <c r="I10" s="4">
        <f>Sheet1!U29</f>
        <v>0.15232974910394265</v>
      </c>
    </row>
    <row r="13" spans="1:9" x14ac:dyDescent="0.4">
      <c r="A13" t="s">
        <v>1198</v>
      </c>
      <c r="B13">
        <f>SUM(B2:B3,B5:B6,E2:E3,E5)</f>
        <v>59</v>
      </c>
      <c r="C13" s="4">
        <f>SUM(C2:C3,C5:C6,F2:F3,F5)</f>
        <v>0.1057347670250896</v>
      </c>
    </row>
    <row r="14" spans="1:9" x14ac:dyDescent="0.4">
      <c r="A14" t="s">
        <v>152</v>
      </c>
      <c r="B14">
        <f>SUM(B2:B3,B5,E2)</f>
        <v>24</v>
      </c>
      <c r="C14" s="4">
        <f>SUM(C2:C3,C5,F2)</f>
        <v>4.3010752688172046E-2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5"/>
  <sheetViews>
    <sheetView tabSelected="1" zoomScaleNormal="100" workbookViewId="0">
      <selection activeCell="D10" sqref="D10"/>
    </sheetView>
  </sheetViews>
  <sheetFormatPr defaultRowHeight="13.9" x14ac:dyDescent="0.4"/>
  <cols>
    <col min="1" max="1" width="24.6640625" customWidth="1"/>
    <col min="2" max="2" width="13.86328125" customWidth="1"/>
    <col min="3" max="3" width="14.86328125" bestFit="1" customWidth="1"/>
    <col min="4" max="4" width="21" bestFit="1" customWidth="1"/>
    <col min="5" max="5" width="14.86328125" bestFit="1" customWidth="1"/>
  </cols>
  <sheetData>
    <row r="1" spans="1:16" x14ac:dyDescent="0.4">
      <c r="A1" t="s">
        <v>117</v>
      </c>
      <c r="B1" t="s">
        <v>118</v>
      </c>
      <c r="C1" t="s">
        <v>119</v>
      </c>
      <c r="D1" t="s">
        <v>120</v>
      </c>
      <c r="E1" t="s">
        <v>166</v>
      </c>
      <c r="F1" t="s">
        <v>167</v>
      </c>
      <c r="G1" t="s">
        <v>168</v>
      </c>
      <c r="H1" t="s">
        <v>169</v>
      </c>
      <c r="I1" t="s">
        <v>170</v>
      </c>
      <c r="J1" t="s">
        <v>171</v>
      </c>
      <c r="K1" t="s">
        <v>121</v>
      </c>
      <c r="L1" t="s">
        <v>122</v>
      </c>
      <c r="M1" t="s">
        <v>123</v>
      </c>
      <c r="N1" t="s">
        <v>172</v>
      </c>
      <c r="O1" t="s">
        <v>122</v>
      </c>
      <c r="P1" t="s">
        <v>123</v>
      </c>
    </row>
    <row r="3" spans="1:16" x14ac:dyDescent="0.4">
      <c r="A3" t="s">
        <v>37</v>
      </c>
    </row>
    <row r="4" spans="1:16" x14ac:dyDescent="0.4">
      <c r="A4" t="s">
        <v>44</v>
      </c>
      <c r="B4" t="s">
        <v>45</v>
      </c>
      <c r="C4" t="s">
        <v>40</v>
      </c>
      <c r="D4">
        <v>39836</v>
      </c>
      <c r="E4">
        <v>2</v>
      </c>
      <c r="F4">
        <v>1</v>
      </c>
      <c r="G4">
        <v>3</v>
      </c>
      <c r="H4">
        <v>323</v>
      </c>
      <c r="I4">
        <v>160</v>
      </c>
      <c r="J4">
        <v>836</v>
      </c>
      <c r="K4">
        <v>16.631618897657862</v>
      </c>
      <c r="L4">
        <v>16.205533596837945</v>
      </c>
      <c r="M4">
        <v>22.686231732527105</v>
      </c>
      <c r="N4">
        <v>1</v>
      </c>
      <c r="O4">
        <v>1</v>
      </c>
      <c r="P4">
        <v>1</v>
      </c>
    </row>
    <row r="5" spans="1:16" x14ac:dyDescent="0.4">
      <c r="A5" t="s">
        <v>84</v>
      </c>
      <c r="B5" t="s">
        <v>85</v>
      </c>
      <c r="C5" t="s">
        <v>43</v>
      </c>
      <c r="D5">
        <v>39988</v>
      </c>
      <c r="E5">
        <v>2</v>
      </c>
      <c r="F5">
        <v>1</v>
      </c>
      <c r="G5">
        <v>3</v>
      </c>
      <c r="H5">
        <v>323</v>
      </c>
      <c r="I5">
        <v>160</v>
      </c>
      <c r="J5">
        <v>836</v>
      </c>
      <c r="K5">
        <v>17.347122471243516</v>
      </c>
      <c r="L5">
        <v>19.796954314720811</v>
      </c>
      <c r="M5">
        <v>19.925109093385291</v>
      </c>
      <c r="N5">
        <v>1</v>
      </c>
      <c r="O5">
        <v>1</v>
      </c>
      <c r="P5">
        <v>1</v>
      </c>
    </row>
    <row r="6" spans="1:16" x14ac:dyDescent="0.4">
      <c r="A6" t="s">
        <v>67</v>
      </c>
      <c r="B6" t="s">
        <v>68</v>
      </c>
      <c r="C6" t="s">
        <v>40</v>
      </c>
      <c r="D6">
        <v>41117</v>
      </c>
      <c r="E6">
        <v>2</v>
      </c>
      <c r="F6">
        <v>1</v>
      </c>
      <c r="G6">
        <v>3</v>
      </c>
      <c r="H6">
        <v>323</v>
      </c>
      <c r="I6">
        <v>160</v>
      </c>
      <c r="J6">
        <v>836</v>
      </c>
      <c r="K6">
        <v>25.054324644661978</v>
      </c>
      <c r="L6">
        <v>17.588932806324109</v>
      </c>
      <c r="M6">
        <v>27.179782832434384</v>
      </c>
      <c r="N6">
        <v>1</v>
      </c>
      <c r="O6">
        <v>1</v>
      </c>
      <c r="P6">
        <v>1</v>
      </c>
    </row>
    <row r="9" spans="1:16" x14ac:dyDescent="0.4">
      <c r="A9" t="s">
        <v>50</v>
      </c>
    </row>
    <row r="10" spans="1:16" x14ac:dyDescent="0.4">
      <c r="A10" t="s">
        <v>730</v>
      </c>
      <c r="B10" t="s">
        <v>731</v>
      </c>
      <c r="C10" t="s">
        <v>40</v>
      </c>
      <c r="D10">
        <v>38358</v>
      </c>
      <c r="E10">
        <v>2</v>
      </c>
      <c r="F10">
        <v>1</v>
      </c>
      <c r="G10">
        <v>3</v>
      </c>
      <c r="H10">
        <v>323</v>
      </c>
      <c r="I10">
        <v>160</v>
      </c>
      <c r="J10">
        <v>836</v>
      </c>
      <c r="K10">
        <v>18.440626551410084</v>
      </c>
      <c r="L10">
        <v>16.403162055335969</v>
      </c>
      <c r="M10">
        <v>32.24611244324506</v>
      </c>
      <c r="N10">
        <v>1</v>
      </c>
      <c r="O10">
        <v>1</v>
      </c>
      <c r="P10">
        <v>2</v>
      </c>
    </row>
    <row r="11" spans="1:16" x14ac:dyDescent="0.4">
      <c r="A11" t="s">
        <v>69</v>
      </c>
      <c r="B11" t="s">
        <v>70</v>
      </c>
      <c r="C11" t="s">
        <v>40</v>
      </c>
      <c r="D11">
        <v>38672</v>
      </c>
      <c r="E11">
        <v>2</v>
      </c>
      <c r="F11">
        <v>1</v>
      </c>
      <c r="G11">
        <v>3</v>
      </c>
      <c r="H11">
        <v>323</v>
      </c>
      <c r="I11">
        <v>160</v>
      </c>
      <c r="J11">
        <v>836</v>
      </c>
      <c r="K11">
        <v>28.506980193783011</v>
      </c>
      <c r="L11">
        <v>26.877470355731226</v>
      </c>
      <c r="M11">
        <v>32.999705026764296</v>
      </c>
      <c r="N11">
        <v>1</v>
      </c>
      <c r="O11">
        <v>1</v>
      </c>
      <c r="P11">
        <v>2</v>
      </c>
    </row>
    <row r="12" spans="1:16" x14ac:dyDescent="0.4">
      <c r="A12" t="s">
        <v>78</v>
      </c>
      <c r="B12" t="s">
        <v>79</v>
      </c>
      <c r="C12" t="s">
        <v>40</v>
      </c>
      <c r="D12">
        <v>38882</v>
      </c>
      <c r="E12">
        <v>2</v>
      </c>
      <c r="F12">
        <v>1</v>
      </c>
      <c r="G12">
        <v>3</v>
      </c>
      <c r="H12">
        <v>323</v>
      </c>
      <c r="I12">
        <v>160</v>
      </c>
      <c r="J12">
        <v>836</v>
      </c>
      <c r="K12">
        <v>24.447369540349538</v>
      </c>
      <c r="L12">
        <v>24.505928853754941</v>
      </c>
      <c r="M12">
        <v>36.784567936154211</v>
      </c>
      <c r="N12">
        <v>1</v>
      </c>
      <c r="O12">
        <v>1</v>
      </c>
      <c r="P12">
        <v>2</v>
      </c>
    </row>
    <row r="13" spans="1:16" x14ac:dyDescent="0.4">
      <c r="A13" t="s">
        <v>93</v>
      </c>
      <c r="B13" t="s">
        <v>94</v>
      </c>
      <c r="C13" t="s">
        <v>40</v>
      </c>
      <c r="D13">
        <v>38916</v>
      </c>
      <c r="E13">
        <v>2</v>
      </c>
      <c r="F13">
        <v>1</v>
      </c>
      <c r="G13">
        <v>3</v>
      </c>
      <c r="H13">
        <v>323</v>
      </c>
      <c r="I13">
        <v>160</v>
      </c>
      <c r="J13">
        <v>836</v>
      </c>
      <c r="K13">
        <v>27.020326603948153</v>
      </c>
      <c r="L13">
        <v>18.972332015810277</v>
      </c>
      <c r="M13">
        <v>43.409638148699592</v>
      </c>
      <c r="N13">
        <v>1</v>
      </c>
      <c r="O13">
        <v>1</v>
      </c>
      <c r="P13">
        <v>2</v>
      </c>
    </row>
    <row r="14" spans="1:16" x14ac:dyDescent="0.4">
      <c r="A14" t="s">
        <v>260</v>
      </c>
      <c r="B14" t="s">
        <v>261</v>
      </c>
      <c r="C14" t="s">
        <v>203</v>
      </c>
      <c r="D14">
        <v>38943</v>
      </c>
      <c r="E14">
        <v>2</v>
      </c>
      <c r="F14">
        <v>1</v>
      </c>
      <c r="G14">
        <v>3</v>
      </c>
      <c r="H14">
        <v>323</v>
      </c>
      <c r="I14">
        <v>160</v>
      </c>
      <c r="J14">
        <v>836</v>
      </c>
      <c r="K14">
        <v>24.03577571379429</v>
      </c>
      <c r="L14">
        <v>22.727272727272727</v>
      </c>
      <c r="M14">
        <v>46.336571456188679</v>
      </c>
      <c r="N14">
        <v>1</v>
      </c>
      <c r="O14">
        <v>1</v>
      </c>
      <c r="P14">
        <v>2</v>
      </c>
    </row>
    <row r="15" spans="1:16" x14ac:dyDescent="0.4">
      <c r="A15" t="s">
        <v>106</v>
      </c>
      <c r="B15" t="s">
        <v>107</v>
      </c>
      <c r="C15" t="s">
        <v>40</v>
      </c>
      <c r="D15">
        <v>38987</v>
      </c>
      <c r="E15">
        <v>2</v>
      </c>
      <c r="F15">
        <v>1</v>
      </c>
      <c r="G15">
        <v>3</v>
      </c>
      <c r="H15">
        <v>323</v>
      </c>
      <c r="I15">
        <v>160</v>
      </c>
      <c r="J15">
        <v>836</v>
      </c>
      <c r="K15">
        <v>20.20780694091507</v>
      </c>
      <c r="L15">
        <v>21.146245059288539</v>
      </c>
      <c r="M15">
        <v>38.806830718040587</v>
      </c>
      <c r="N15">
        <v>1</v>
      </c>
      <c r="O15">
        <v>1</v>
      </c>
      <c r="P15">
        <v>2</v>
      </c>
    </row>
    <row r="16" spans="1:16" x14ac:dyDescent="0.4">
      <c r="A16" t="s">
        <v>134</v>
      </c>
      <c r="B16" t="s">
        <v>135</v>
      </c>
      <c r="C16" t="s">
        <v>40</v>
      </c>
      <c r="D16">
        <v>39216</v>
      </c>
      <c r="E16">
        <v>2</v>
      </c>
      <c r="F16">
        <v>1</v>
      </c>
      <c r="G16">
        <v>3</v>
      </c>
      <c r="H16">
        <v>323</v>
      </c>
      <c r="I16">
        <v>160</v>
      </c>
      <c r="J16">
        <v>836</v>
      </c>
      <c r="K16">
        <v>25.743188174301046</v>
      </c>
      <c r="L16">
        <v>23.913043478260871</v>
      </c>
      <c r="M16">
        <v>34.485924075846064</v>
      </c>
      <c r="N16">
        <v>1</v>
      </c>
      <c r="O16">
        <v>1</v>
      </c>
      <c r="P16">
        <v>2</v>
      </c>
    </row>
    <row r="17" spans="1:16" x14ac:dyDescent="0.4">
      <c r="A17" t="s">
        <v>65</v>
      </c>
      <c r="B17" t="s">
        <v>66</v>
      </c>
      <c r="C17" t="s">
        <v>40</v>
      </c>
      <c r="D17">
        <v>39618</v>
      </c>
      <c r="E17">
        <v>2</v>
      </c>
      <c r="F17">
        <v>1</v>
      </c>
      <c r="G17">
        <v>3</v>
      </c>
      <c r="H17">
        <v>323</v>
      </c>
      <c r="I17">
        <v>160</v>
      </c>
      <c r="J17">
        <v>836</v>
      </c>
      <c r="K17">
        <v>14.535086255602296</v>
      </c>
      <c r="L17">
        <v>0.39525691699604742</v>
      </c>
      <c r="M17">
        <v>35.678913500107058</v>
      </c>
      <c r="N17">
        <v>1</v>
      </c>
      <c r="O17">
        <v>1</v>
      </c>
      <c r="P17">
        <v>2</v>
      </c>
    </row>
    <row r="18" spans="1:16" x14ac:dyDescent="0.4">
      <c r="A18" t="s">
        <v>918</v>
      </c>
      <c r="B18" t="s">
        <v>919</v>
      </c>
      <c r="C18" t="s">
        <v>40</v>
      </c>
      <c r="D18">
        <v>39743</v>
      </c>
      <c r="E18">
        <v>2</v>
      </c>
      <c r="F18">
        <v>1</v>
      </c>
      <c r="G18">
        <v>3</v>
      </c>
      <c r="H18">
        <v>323</v>
      </c>
      <c r="I18">
        <v>160</v>
      </c>
      <c r="J18">
        <v>836</v>
      </c>
      <c r="K18">
        <v>9.8578131314879389</v>
      </c>
      <c r="L18">
        <v>11.462450592885375</v>
      </c>
      <c r="M18">
        <v>48.003069728021735</v>
      </c>
      <c r="N18">
        <v>1</v>
      </c>
      <c r="O18">
        <v>1</v>
      </c>
      <c r="P18">
        <v>2</v>
      </c>
    </row>
    <row r="19" spans="1:16" x14ac:dyDescent="0.4">
      <c r="A19" t="s">
        <v>89</v>
      </c>
      <c r="B19" t="s">
        <v>90</v>
      </c>
      <c r="C19" t="s">
        <v>40</v>
      </c>
      <c r="D19">
        <v>39778</v>
      </c>
      <c r="E19">
        <v>2</v>
      </c>
      <c r="F19">
        <v>1</v>
      </c>
      <c r="G19">
        <v>3</v>
      </c>
      <c r="H19">
        <v>323</v>
      </c>
      <c r="I19">
        <v>160</v>
      </c>
      <c r="J19">
        <v>836</v>
      </c>
      <c r="K19">
        <v>18.585167387407772</v>
      </c>
      <c r="L19">
        <v>15.41501976284585</v>
      </c>
      <c r="M19">
        <v>38.945678281763591</v>
      </c>
      <c r="N19">
        <v>1</v>
      </c>
      <c r="O19">
        <v>1</v>
      </c>
      <c r="P19">
        <v>2</v>
      </c>
    </row>
    <row r="20" spans="1:16" x14ac:dyDescent="0.4">
      <c r="A20" t="s">
        <v>956</v>
      </c>
      <c r="B20" t="s">
        <v>957</v>
      </c>
      <c r="C20" t="s">
        <v>40</v>
      </c>
      <c r="D20">
        <v>40018</v>
      </c>
      <c r="E20">
        <v>2</v>
      </c>
      <c r="F20">
        <v>1</v>
      </c>
      <c r="G20">
        <v>3</v>
      </c>
      <c r="H20">
        <v>323</v>
      </c>
      <c r="I20">
        <v>160</v>
      </c>
      <c r="J20">
        <v>836</v>
      </c>
      <c r="K20">
        <v>26.625025377904766</v>
      </c>
      <c r="L20">
        <v>19.762845849802371</v>
      </c>
      <c r="M20">
        <v>37.700637183115518</v>
      </c>
      <c r="N20">
        <v>1</v>
      </c>
      <c r="O20">
        <v>1</v>
      </c>
      <c r="P20">
        <v>2</v>
      </c>
    </row>
    <row r="21" spans="1:16" x14ac:dyDescent="0.4">
      <c r="A21" t="s">
        <v>48</v>
      </c>
      <c r="B21" t="s">
        <v>49</v>
      </c>
      <c r="C21" t="s">
        <v>40</v>
      </c>
      <c r="D21">
        <v>40078</v>
      </c>
      <c r="E21">
        <v>2</v>
      </c>
      <c r="F21">
        <v>1</v>
      </c>
      <c r="G21">
        <v>3</v>
      </c>
      <c r="H21">
        <v>323</v>
      </c>
      <c r="I21">
        <v>160</v>
      </c>
      <c r="J21">
        <v>836</v>
      </c>
      <c r="K21">
        <v>6.7313964675334148</v>
      </c>
      <c r="L21">
        <v>17.786561264822133</v>
      </c>
      <c r="M21">
        <v>44.831740967597689</v>
      </c>
      <c r="N21">
        <v>1</v>
      </c>
      <c r="O21">
        <v>1</v>
      </c>
      <c r="P21">
        <v>2</v>
      </c>
    </row>
    <row r="22" spans="1:16" x14ac:dyDescent="0.4">
      <c r="A22" t="s">
        <v>1130</v>
      </c>
      <c r="B22" t="s">
        <v>1131</v>
      </c>
      <c r="C22" t="s">
        <v>40</v>
      </c>
      <c r="D22">
        <v>41072</v>
      </c>
      <c r="E22">
        <v>2</v>
      </c>
      <c r="F22">
        <v>1</v>
      </c>
      <c r="G22">
        <v>3</v>
      </c>
      <c r="H22">
        <v>323</v>
      </c>
      <c r="I22">
        <v>160</v>
      </c>
      <c r="J22">
        <v>836</v>
      </c>
      <c r="K22">
        <v>29.359254183199976</v>
      </c>
      <c r="L22">
        <v>3.7549407114624507</v>
      </c>
      <c r="M22">
        <v>37.204568893096031</v>
      </c>
      <c r="N22">
        <v>1</v>
      </c>
      <c r="O22">
        <v>1</v>
      </c>
      <c r="P22">
        <v>2</v>
      </c>
    </row>
    <row r="23" spans="1:16" x14ac:dyDescent="0.4">
      <c r="A23" t="s">
        <v>1134</v>
      </c>
      <c r="B23" t="s">
        <v>1135</v>
      </c>
      <c r="C23" t="s">
        <v>40</v>
      </c>
      <c r="D23">
        <v>41086</v>
      </c>
      <c r="E23">
        <v>2</v>
      </c>
      <c r="F23">
        <v>1</v>
      </c>
      <c r="G23">
        <v>3</v>
      </c>
      <c r="H23">
        <v>323</v>
      </c>
      <c r="I23">
        <v>160</v>
      </c>
      <c r="J23">
        <v>836</v>
      </c>
      <c r="K23">
        <v>27.915591926390903</v>
      </c>
      <c r="L23">
        <v>11.857707509881424</v>
      </c>
      <c r="M23">
        <v>37.917686776392678</v>
      </c>
      <c r="N23">
        <v>1</v>
      </c>
      <c r="O23">
        <v>1</v>
      </c>
      <c r="P23">
        <v>2</v>
      </c>
    </row>
    <row r="24" spans="1:16" x14ac:dyDescent="0.4">
      <c r="A24" t="s">
        <v>324</v>
      </c>
      <c r="B24" t="s">
        <v>325</v>
      </c>
      <c r="C24" t="s">
        <v>40</v>
      </c>
      <c r="D24">
        <v>41324</v>
      </c>
      <c r="E24">
        <v>2</v>
      </c>
      <c r="F24">
        <v>1</v>
      </c>
      <c r="G24">
        <v>3</v>
      </c>
      <c r="H24">
        <v>323</v>
      </c>
      <c r="I24">
        <v>160</v>
      </c>
      <c r="J24">
        <v>836</v>
      </c>
      <c r="K24">
        <v>27.929209464705728</v>
      </c>
      <c r="L24">
        <v>0.98814229249011853</v>
      </c>
      <c r="M24">
        <v>33.688285791939933</v>
      </c>
      <c r="N24">
        <v>1</v>
      </c>
      <c r="O24">
        <v>1</v>
      </c>
      <c r="P24">
        <v>2</v>
      </c>
    </row>
    <row r="27" spans="1:16" x14ac:dyDescent="0.4">
      <c r="A27" t="s">
        <v>63</v>
      </c>
    </row>
    <row r="28" spans="1:16" x14ac:dyDescent="0.4">
      <c r="A28" t="s">
        <v>201</v>
      </c>
      <c r="B28" t="s">
        <v>202</v>
      </c>
      <c r="C28" t="s">
        <v>203</v>
      </c>
      <c r="D28">
        <v>41521</v>
      </c>
      <c r="E28">
        <v>2</v>
      </c>
      <c r="F28">
        <v>1</v>
      </c>
      <c r="G28">
        <v>3</v>
      </c>
      <c r="H28">
        <v>323</v>
      </c>
      <c r="I28">
        <v>160</v>
      </c>
      <c r="J28">
        <v>836</v>
      </c>
      <c r="K28">
        <v>13.019607843137257</v>
      </c>
      <c r="L28">
        <v>40.909090909090907</v>
      </c>
      <c r="M28">
        <v>13.695568121405444</v>
      </c>
      <c r="N28">
        <v>1</v>
      </c>
      <c r="O28">
        <v>2</v>
      </c>
      <c r="P28">
        <v>1</v>
      </c>
    </row>
    <row r="31" spans="1:16" x14ac:dyDescent="0.4">
      <c r="A31" t="s">
        <v>73</v>
      </c>
    </row>
    <row r="32" spans="1:16" x14ac:dyDescent="0.4">
      <c r="A32" t="s">
        <v>204</v>
      </c>
      <c r="B32" t="s">
        <v>205</v>
      </c>
      <c r="C32" t="s">
        <v>40</v>
      </c>
      <c r="D32">
        <v>39153</v>
      </c>
      <c r="E32">
        <v>2</v>
      </c>
      <c r="F32">
        <v>1</v>
      </c>
      <c r="G32">
        <v>3</v>
      </c>
      <c r="H32">
        <v>323</v>
      </c>
      <c r="I32">
        <v>160</v>
      </c>
      <c r="J32">
        <v>836</v>
      </c>
      <c r="K32">
        <v>34.965443860630657</v>
      </c>
      <c r="L32">
        <v>2.5691699604743081</v>
      </c>
      <c r="M32">
        <v>23.717005025470684</v>
      </c>
      <c r="N32">
        <v>2</v>
      </c>
      <c r="O32">
        <v>1</v>
      </c>
      <c r="P32">
        <v>1</v>
      </c>
    </row>
    <row r="33" spans="1:16" x14ac:dyDescent="0.4">
      <c r="A33" t="s">
        <v>95</v>
      </c>
      <c r="B33" t="s">
        <v>96</v>
      </c>
      <c r="C33" t="s">
        <v>40</v>
      </c>
      <c r="D33">
        <v>40351</v>
      </c>
      <c r="E33">
        <v>2</v>
      </c>
      <c r="F33">
        <v>1</v>
      </c>
      <c r="G33">
        <v>3</v>
      </c>
      <c r="H33">
        <v>323</v>
      </c>
      <c r="I33">
        <v>160</v>
      </c>
      <c r="J33">
        <v>836</v>
      </c>
      <c r="K33">
        <v>31.772103573880567</v>
      </c>
      <c r="L33">
        <v>28.853754940711461</v>
      </c>
      <c r="M33">
        <v>29.958113755982087</v>
      </c>
      <c r="N33">
        <v>2</v>
      </c>
      <c r="O33">
        <v>1</v>
      </c>
      <c r="P33">
        <v>1</v>
      </c>
    </row>
    <row r="34" spans="1:16" x14ac:dyDescent="0.4">
      <c r="A34" t="s">
        <v>86</v>
      </c>
      <c r="B34" t="s">
        <v>87</v>
      </c>
      <c r="C34" t="s">
        <v>40</v>
      </c>
      <c r="D34">
        <v>40989</v>
      </c>
      <c r="E34">
        <v>2</v>
      </c>
      <c r="F34">
        <v>1</v>
      </c>
      <c r="G34">
        <v>3</v>
      </c>
      <c r="H34">
        <v>323</v>
      </c>
      <c r="I34">
        <v>160</v>
      </c>
      <c r="J34">
        <v>836</v>
      </c>
      <c r="K34">
        <v>35.169314320439547</v>
      </c>
      <c r="L34">
        <v>14.624505928853756</v>
      </c>
      <c r="M34">
        <v>25.390776344259042</v>
      </c>
      <c r="N34">
        <v>2</v>
      </c>
      <c r="O34">
        <v>1</v>
      </c>
      <c r="P34">
        <v>1</v>
      </c>
    </row>
    <row r="35" spans="1:16" x14ac:dyDescent="0.4">
      <c r="A35" t="s">
        <v>620</v>
      </c>
      <c r="B35" t="s">
        <v>621</v>
      </c>
      <c r="C35" t="s">
        <v>40</v>
      </c>
      <c r="D35">
        <v>41352</v>
      </c>
      <c r="E35">
        <v>2</v>
      </c>
      <c r="F35">
        <v>1</v>
      </c>
      <c r="G35">
        <v>3</v>
      </c>
      <c r="H35">
        <v>323</v>
      </c>
      <c r="I35">
        <v>160</v>
      </c>
      <c r="J35">
        <v>836</v>
      </c>
      <c r="K35">
        <v>48.2745452770234</v>
      </c>
      <c r="L35">
        <v>4.7430830039525693</v>
      </c>
      <c r="M35">
        <v>24.852075162227521</v>
      </c>
      <c r="N35">
        <v>2</v>
      </c>
      <c r="O35">
        <v>1</v>
      </c>
      <c r="P35">
        <v>1</v>
      </c>
    </row>
    <row r="36" spans="1:16" x14ac:dyDescent="0.4">
      <c r="A36" t="s">
        <v>434</v>
      </c>
      <c r="B36" t="s">
        <v>435</v>
      </c>
      <c r="C36" t="s">
        <v>64</v>
      </c>
      <c r="D36">
        <v>41430</v>
      </c>
      <c r="E36">
        <v>2</v>
      </c>
      <c r="F36">
        <v>1</v>
      </c>
      <c r="G36">
        <v>3</v>
      </c>
      <c r="H36">
        <v>323</v>
      </c>
      <c r="I36">
        <v>160</v>
      </c>
      <c r="J36">
        <v>836</v>
      </c>
      <c r="K36">
        <v>48.82105453756256</v>
      </c>
      <c r="L36">
        <v>3.284072249589491</v>
      </c>
      <c r="M36">
        <v>28.468836465891258</v>
      </c>
      <c r="N36">
        <v>2</v>
      </c>
      <c r="O36">
        <v>1</v>
      </c>
      <c r="P36">
        <v>1</v>
      </c>
    </row>
    <row r="39" spans="1:16" x14ac:dyDescent="0.4">
      <c r="A39" t="s">
        <v>88</v>
      </c>
    </row>
    <row r="40" spans="1:16" x14ac:dyDescent="0.4">
      <c r="A40" t="s">
        <v>91</v>
      </c>
      <c r="B40" t="s">
        <v>92</v>
      </c>
      <c r="C40" t="s">
        <v>40</v>
      </c>
      <c r="D40">
        <v>39036</v>
      </c>
      <c r="E40">
        <v>2</v>
      </c>
      <c r="F40">
        <v>1</v>
      </c>
      <c r="G40">
        <v>3</v>
      </c>
      <c r="H40">
        <v>323</v>
      </c>
      <c r="I40">
        <v>160</v>
      </c>
      <c r="J40">
        <v>836</v>
      </c>
      <c r="K40">
        <v>42.375578525823983</v>
      </c>
      <c r="L40">
        <v>32.806324110671937</v>
      </c>
      <c r="M40">
        <v>15.844958727960824</v>
      </c>
      <c r="N40">
        <v>2</v>
      </c>
      <c r="O40">
        <v>2</v>
      </c>
      <c r="P40">
        <v>1</v>
      </c>
    </row>
    <row r="41" spans="1:16" x14ac:dyDescent="0.4">
      <c r="A41" t="s">
        <v>1116</v>
      </c>
      <c r="B41" t="s">
        <v>1117</v>
      </c>
      <c r="C41" t="s">
        <v>40</v>
      </c>
      <c r="D41">
        <v>40981</v>
      </c>
      <c r="E41">
        <v>2</v>
      </c>
      <c r="F41">
        <v>1</v>
      </c>
      <c r="G41">
        <v>3</v>
      </c>
      <c r="H41">
        <v>323</v>
      </c>
      <c r="I41">
        <v>160</v>
      </c>
      <c r="J41">
        <v>836</v>
      </c>
      <c r="K41">
        <v>46.517869058449165</v>
      </c>
      <c r="L41">
        <v>33.992094861660078</v>
      </c>
      <c r="M41">
        <v>27.721507473246874</v>
      </c>
      <c r="N41">
        <v>2</v>
      </c>
      <c r="O41">
        <v>2</v>
      </c>
      <c r="P41">
        <v>1</v>
      </c>
    </row>
    <row r="42" spans="1:16" x14ac:dyDescent="0.4">
      <c r="A42" t="s">
        <v>218</v>
      </c>
      <c r="B42" t="s">
        <v>219</v>
      </c>
      <c r="C42" t="s">
        <v>40</v>
      </c>
      <c r="D42">
        <v>41080</v>
      </c>
      <c r="E42">
        <v>2</v>
      </c>
      <c r="F42">
        <v>1</v>
      </c>
      <c r="G42">
        <v>3</v>
      </c>
      <c r="H42">
        <v>323</v>
      </c>
      <c r="I42">
        <v>160</v>
      </c>
      <c r="J42">
        <v>836</v>
      </c>
      <c r="K42">
        <v>42.987596296126014</v>
      </c>
      <c r="L42">
        <v>37.549407114624508</v>
      </c>
      <c r="M42">
        <v>8.7715216743313551</v>
      </c>
      <c r="N42">
        <v>2</v>
      </c>
      <c r="O42">
        <v>2</v>
      </c>
      <c r="P42">
        <v>1</v>
      </c>
    </row>
    <row r="43" spans="1:16" x14ac:dyDescent="0.4">
      <c r="A43" t="s">
        <v>199</v>
      </c>
      <c r="B43" t="s">
        <v>200</v>
      </c>
      <c r="C43" t="s">
        <v>40</v>
      </c>
      <c r="D43">
        <v>41488</v>
      </c>
      <c r="E43">
        <v>2</v>
      </c>
      <c r="F43">
        <v>1</v>
      </c>
      <c r="G43">
        <v>3</v>
      </c>
      <c r="H43">
        <v>323</v>
      </c>
      <c r="I43">
        <v>160</v>
      </c>
      <c r="J43">
        <v>836</v>
      </c>
      <c r="K43">
        <v>37.168196056734232</v>
      </c>
      <c r="L43">
        <v>34.980237154150196</v>
      </c>
      <c r="M43">
        <v>26.044202193541384</v>
      </c>
      <c r="N43">
        <v>2</v>
      </c>
      <c r="O43">
        <v>2</v>
      </c>
      <c r="P43">
        <v>1</v>
      </c>
    </row>
    <row r="44" spans="1:16" x14ac:dyDescent="0.4">
      <c r="A44" t="s">
        <v>181</v>
      </c>
      <c r="B44" t="s">
        <v>182</v>
      </c>
      <c r="C44" t="s">
        <v>40</v>
      </c>
      <c r="D44">
        <v>41512</v>
      </c>
      <c r="E44">
        <v>2</v>
      </c>
      <c r="F44">
        <v>1</v>
      </c>
      <c r="G44">
        <v>3</v>
      </c>
      <c r="H44">
        <v>323</v>
      </c>
      <c r="I44">
        <v>160</v>
      </c>
      <c r="J44">
        <v>836</v>
      </c>
      <c r="K44">
        <v>41.728745455869827</v>
      </c>
      <c r="L44">
        <v>44.664031620553359</v>
      </c>
      <c r="M44">
        <v>17.512109972883188</v>
      </c>
      <c r="N44">
        <v>2</v>
      </c>
      <c r="O44">
        <v>2</v>
      </c>
      <c r="P44">
        <v>1</v>
      </c>
    </row>
    <row r="47" spans="1:16" x14ac:dyDescent="0.4">
      <c r="A47" t="s">
        <v>97</v>
      </c>
    </row>
    <row r="48" spans="1:16" x14ac:dyDescent="0.4">
      <c r="A48" t="s">
        <v>720</v>
      </c>
      <c r="B48" t="s">
        <v>721</v>
      </c>
      <c r="C48" t="s">
        <v>40</v>
      </c>
      <c r="D48">
        <v>38210</v>
      </c>
      <c r="E48">
        <v>2</v>
      </c>
      <c r="F48">
        <v>1</v>
      </c>
      <c r="G48">
        <v>3</v>
      </c>
      <c r="H48">
        <v>323</v>
      </c>
      <c r="I48">
        <v>160</v>
      </c>
      <c r="J48">
        <v>836</v>
      </c>
      <c r="K48">
        <v>46.593158134094175</v>
      </c>
      <c r="L48">
        <v>12.450592885375494</v>
      </c>
      <c r="M48">
        <v>44.644992029225854</v>
      </c>
      <c r="N48">
        <v>2</v>
      </c>
      <c r="O48">
        <v>1</v>
      </c>
      <c r="P48">
        <v>2</v>
      </c>
    </row>
    <row r="49" spans="1:16" x14ac:dyDescent="0.4">
      <c r="A49" t="s">
        <v>264</v>
      </c>
      <c r="B49" t="s">
        <v>265</v>
      </c>
      <c r="C49" t="s">
        <v>40</v>
      </c>
      <c r="D49">
        <v>38989</v>
      </c>
      <c r="E49">
        <v>2</v>
      </c>
      <c r="F49">
        <v>1</v>
      </c>
      <c r="G49">
        <v>3</v>
      </c>
      <c r="H49">
        <v>323</v>
      </c>
      <c r="I49">
        <v>160</v>
      </c>
      <c r="J49">
        <v>836</v>
      </c>
      <c r="K49">
        <v>46.673117260815296</v>
      </c>
      <c r="L49">
        <v>11.660079051383399</v>
      </c>
      <c r="M49">
        <v>41.787904457406334</v>
      </c>
      <c r="N49">
        <v>2</v>
      </c>
      <c r="O49">
        <v>1</v>
      </c>
      <c r="P49">
        <v>2</v>
      </c>
    </row>
    <row r="50" spans="1:16" x14ac:dyDescent="0.4">
      <c r="A50" t="s">
        <v>266</v>
      </c>
      <c r="B50" t="s">
        <v>267</v>
      </c>
      <c r="C50" t="s">
        <v>40</v>
      </c>
      <c r="D50">
        <v>39037</v>
      </c>
      <c r="E50">
        <v>2</v>
      </c>
      <c r="F50">
        <v>1</v>
      </c>
      <c r="G50">
        <v>3</v>
      </c>
      <c r="H50">
        <v>323</v>
      </c>
      <c r="I50">
        <v>160</v>
      </c>
      <c r="J50">
        <v>836</v>
      </c>
      <c r="K50">
        <v>33.795107019420833</v>
      </c>
      <c r="L50">
        <v>0.79051383399209485</v>
      </c>
      <c r="M50">
        <v>32.231674106403624</v>
      </c>
      <c r="N50">
        <v>2</v>
      </c>
      <c r="O50">
        <v>1</v>
      </c>
      <c r="P50">
        <v>2</v>
      </c>
    </row>
    <row r="51" spans="1:16" x14ac:dyDescent="0.4">
      <c r="A51" t="s">
        <v>822</v>
      </c>
      <c r="B51" t="s">
        <v>823</v>
      </c>
      <c r="C51" t="s">
        <v>40</v>
      </c>
      <c r="D51">
        <v>39098</v>
      </c>
      <c r="E51">
        <v>2</v>
      </c>
      <c r="F51">
        <v>1</v>
      </c>
      <c r="G51">
        <v>3</v>
      </c>
      <c r="H51">
        <v>323</v>
      </c>
      <c r="I51">
        <v>160</v>
      </c>
      <c r="J51">
        <v>836</v>
      </c>
      <c r="K51">
        <v>38.985176548422416</v>
      </c>
      <c r="L51">
        <v>24.110671936758894</v>
      </c>
      <c r="M51">
        <v>33.255357598849947</v>
      </c>
      <c r="N51">
        <v>2</v>
      </c>
      <c r="O51">
        <v>1</v>
      </c>
      <c r="P51">
        <v>2</v>
      </c>
    </row>
    <row r="52" spans="1:16" ht="17.25" customHeight="1" x14ac:dyDescent="0.4">
      <c r="A52" t="s">
        <v>826</v>
      </c>
      <c r="B52" t="s">
        <v>827</v>
      </c>
      <c r="C52" t="s">
        <v>40</v>
      </c>
      <c r="D52">
        <v>39106</v>
      </c>
      <c r="E52">
        <v>2</v>
      </c>
      <c r="F52">
        <v>1</v>
      </c>
      <c r="G52">
        <v>3</v>
      </c>
      <c r="H52">
        <v>323</v>
      </c>
      <c r="I52">
        <v>160</v>
      </c>
      <c r="J52">
        <v>836</v>
      </c>
      <c r="K52">
        <v>42.066070546356372</v>
      </c>
      <c r="L52">
        <v>22.92490118577075</v>
      </c>
      <c r="M52">
        <v>44.8892170056046</v>
      </c>
      <c r="N52">
        <v>2</v>
      </c>
      <c r="O52">
        <v>1</v>
      </c>
      <c r="P52">
        <v>2</v>
      </c>
    </row>
    <row r="53" spans="1:16" x14ac:dyDescent="0.4">
      <c r="A53" t="s">
        <v>850</v>
      </c>
      <c r="B53" t="s">
        <v>851</v>
      </c>
      <c r="C53" t="s">
        <v>40</v>
      </c>
      <c r="D53">
        <v>39191</v>
      </c>
      <c r="E53">
        <v>2</v>
      </c>
      <c r="F53">
        <v>1</v>
      </c>
      <c r="G53">
        <v>3</v>
      </c>
      <c r="H53">
        <v>323</v>
      </c>
      <c r="I53">
        <v>160</v>
      </c>
      <c r="J53">
        <v>836</v>
      </c>
      <c r="K53">
        <v>38.090885875282432</v>
      </c>
      <c r="L53">
        <v>5.9288537549407119</v>
      </c>
      <c r="M53">
        <v>37.080930413070853</v>
      </c>
      <c r="N53">
        <v>2</v>
      </c>
      <c r="O53">
        <v>1</v>
      </c>
      <c r="P53">
        <v>2</v>
      </c>
    </row>
    <row r="54" spans="1:16" x14ac:dyDescent="0.4">
      <c r="A54" t="s">
        <v>276</v>
      </c>
      <c r="B54" t="s">
        <v>277</v>
      </c>
      <c r="C54" t="s">
        <v>40</v>
      </c>
      <c r="D54">
        <v>39296</v>
      </c>
      <c r="E54">
        <v>2</v>
      </c>
      <c r="F54">
        <v>1</v>
      </c>
      <c r="G54">
        <v>3</v>
      </c>
      <c r="H54">
        <v>323</v>
      </c>
      <c r="I54">
        <v>160</v>
      </c>
      <c r="J54">
        <v>836</v>
      </c>
      <c r="K54">
        <v>32.727483749961472</v>
      </c>
      <c r="L54">
        <v>3.1620553359683794</v>
      </c>
      <c r="M54">
        <v>41.171370955706877</v>
      </c>
      <c r="N54">
        <v>2</v>
      </c>
      <c r="O54">
        <v>1</v>
      </c>
      <c r="P54">
        <v>2</v>
      </c>
    </row>
    <row r="55" spans="1:16" x14ac:dyDescent="0.4">
      <c r="A55" t="s">
        <v>278</v>
      </c>
      <c r="B55" t="s">
        <v>279</v>
      </c>
      <c r="C55" t="s">
        <v>40</v>
      </c>
      <c r="D55">
        <v>39300</v>
      </c>
      <c r="E55">
        <v>2</v>
      </c>
      <c r="F55">
        <v>1</v>
      </c>
      <c r="G55">
        <v>3</v>
      </c>
      <c r="H55">
        <v>323</v>
      </c>
      <c r="I55">
        <v>160</v>
      </c>
      <c r="J55">
        <v>836</v>
      </c>
      <c r="K55">
        <v>42.866013100595353</v>
      </c>
      <c r="L55">
        <v>9.2885375494071152</v>
      </c>
      <c r="M55">
        <v>42.25508314054315</v>
      </c>
      <c r="N55">
        <v>2</v>
      </c>
      <c r="O55">
        <v>1</v>
      </c>
      <c r="P55">
        <v>2</v>
      </c>
    </row>
    <row r="56" spans="1:16" x14ac:dyDescent="0.4">
      <c r="A56" t="s">
        <v>76</v>
      </c>
      <c r="B56" t="s">
        <v>77</v>
      </c>
      <c r="C56" t="s">
        <v>40</v>
      </c>
      <c r="D56">
        <v>39568</v>
      </c>
      <c r="E56">
        <v>2</v>
      </c>
      <c r="F56">
        <v>1</v>
      </c>
      <c r="G56">
        <v>3</v>
      </c>
      <c r="H56">
        <v>323</v>
      </c>
      <c r="I56">
        <v>160</v>
      </c>
      <c r="J56">
        <v>836</v>
      </c>
      <c r="K56">
        <v>35.464040692813782</v>
      </c>
      <c r="L56">
        <v>12.252964426877471</v>
      </c>
      <c r="M56">
        <v>31.231862067470225</v>
      </c>
      <c r="N56">
        <v>2</v>
      </c>
      <c r="O56">
        <v>1</v>
      </c>
      <c r="P56">
        <v>2</v>
      </c>
    </row>
    <row r="57" spans="1:16" x14ac:dyDescent="0.4">
      <c r="A57" t="s">
        <v>910</v>
      </c>
      <c r="B57" t="s">
        <v>911</v>
      </c>
      <c r="C57" t="s">
        <v>40</v>
      </c>
      <c r="D57">
        <v>39664</v>
      </c>
      <c r="E57">
        <v>2</v>
      </c>
      <c r="F57">
        <v>1</v>
      </c>
      <c r="G57">
        <v>3</v>
      </c>
      <c r="H57">
        <v>323</v>
      </c>
      <c r="I57">
        <v>160</v>
      </c>
      <c r="J57">
        <v>836</v>
      </c>
      <c r="K57">
        <v>47.263341459428851</v>
      </c>
      <c r="L57">
        <v>14.426877470355731</v>
      </c>
      <c r="M57">
        <v>40.860715820074212</v>
      </c>
      <c r="N57">
        <v>2</v>
      </c>
      <c r="O57">
        <v>1</v>
      </c>
      <c r="P57">
        <v>2</v>
      </c>
    </row>
    <row r="58" spans="1:16" x14ac:dyDescent="0.4">
      <c r="A58" t="s">
        <v>98</v>
      </c>
      <c r="B58" t="s">
        <v>99</v>
      </c>
      <c r="C58" t="s">
        <v>40</v>
      </c>
      <c r="D58">
        <v>39765</v>
      </c>
      <c r="E58">
        <v>2</v>
      </c>
      <c r="F58">
        <v>1</v>
      </c>
      <c r="G58">
        <v>3</v>
      </c>
      <c r="H58">
        <v>323</v>
      </c>
      <c r="I58">
        <v>160</v>
      </c>
      <c r="J58">
        <v>836</v>
      </c>
      <c r="K58">
        <v>31.304626639576238</v>
      </c>
      <c r="L58">
        <v>18.57707509881423</v>
      </c>
      <c r="M58">
        <v>37.37730743983726</v>
      </c>
      <c r="N58">
        <v>2</v>
      </c>
      <c r="O58">
        <v>1</v>
      </c>
      <c r="P58">
        <v>2</v>
      </c>
    </row>
    <row r="59" spans="1:16" x14ac:dyDescent="0.4">
      <c r="A59" t="s">
        <v>382</v>
      </c>
      <c r="B59" t="s">
        <v>383</v>
      </c>
      <c r="C59" t="s">
        <v>40</v>
      </c>
      <c r="D59">
        <v>39911</v>
      </c>
      <c r="E59">
        <v>2</v>
      </c>
      <c r="F59">
        <v>1</v>
      </c>
      <c r="G59">
        <v>3</v>
      </c>
      <c r="H59">
        <v>323</v>
      </c>
      <c r="I59">
        <v>160</v>
      </c>
      <c r="J59">
        <v>836</v>
      </c>
      <c r="K59">
        <v>38.033302354639062</v>
      </c>
      <c r="L59">
        <v>27.07509881422925</v>
      </c>
      <c r="M59">
        <v>49.571469777424262</v>
      </c>
      <c r="N59">
        <v>2</v>
      </c>
      <c r="O59">
        <v>1</v>
      </c>
      <c r="P59">
        <v>2</v>
      </c>
    </row>
    <row r="60" spans="1:16" x14ac:dyDescent="0.4">
      <c r="A60" t="s">
        <v>946</v>
      </c>
      <c r="B60" t="s">
        <v>947</v>
      </c>
      <c r="C60" t="s">
        <v>40</v>
      </c>
      <c r="D60">
        <v>39960</v>
      </c>
      <c r="E60">
        <v>2</v>
      </c>
      <c r="F60">
        <v>1</v>
      </c>
      <c r="G60">
        <v>3</v>
      </c>
      <c r="H60">
        <v>323</v>
      </c>
      <c r="I60">
        <v>160</v>
      </c>
      <c r="J60">
        <v>836</v>
      </c>
      <c r="K60">
        <v>43.0776669788644</v>
      </c>
      <c r="L60">
        <v>13.636363636363637</v>
      </c>
      <c r="M60">
        <v>48.816241180057105</v>
      </c>
      <c r="N60">
        <v>2</v>
      </c>
      <c r="O60">
        <v>1</v>
      </c>
      <c r="P60">
        <v>2</v>
      </c>
    </row>
    <row r="61" spans="1:16" x14ac:dyDescent="0.4">
      <c r="A61" t="s">
        <v>189</v>
      </c>
      <c r="B61" t="s">
        <v>190</v>
      </c>
      <c r="C61" t="s">
        <v>40</v>
      </c>
      <c r="D61">
        <v>40105</v>
      </c>
      <c r="E61">
        <v>2</v>
      </c>
      <c r="F61">
        <v>1</v>
      </c>
      <c r="G61">
        <v>3</v>
      </c>
      <c r="H61">
        <v>323</v>
      </c>
      <c r="I61">
        <v>160</v>
      </c>
      <c r="J61">
        <v>836</v>
      </c>
      <c r="K61">
        <v>32.248920610337109</v>
      </c>
      <c r="L61">
        <v>1.1857707509881423</v>
      </c>
      <c r="M61">
        <v>39.045350105555173</v>
      </c>
      <c r="N61">
        <v>2</v>
      </c>
      <c r="O61">
        <v>1</v>
      </c>
      <c r="P61">
        <v>2</v>
      </c>
    </row>
    <row r="62" spans="1:16" x14ac:dyDescent="0.4">
      <c r="A62" t="s">
        <v>994</v>
      </c>
      <c r="B62" t="s">
        <v>995</v>
      </c>
      <c r="C62" t="s">
        <v>40</v>
      </c>
      <c r="D62">
        <v>40177</v>
      </c>
      <c r="E62">
        <v>2</v>
      </c>
      <c r="F62">
        <v>1</v>
      </c>
      <c r="G62">
        <v>3</v>
      </c>
      <c r="H62">
        <v>323</v>
      </c>
      <c r="I62">
        <v>160</v>
      </c>
      <c r="J62">
        <v>836</v>
      </c>
      <c r="K62">
        <v>48.340494250516208</v>
      </c>
      <c r="L62">
        <v>10.671936758893281</v>
      </c>
      <c r="M62">
        <v>31.990840358712124</v>
      </c>
      <c r="N62">
        <v>2</v>
      </c>
      <c r="O62">
        <v>1</v>
      </c>
      <c r="P62">
        <v>2</v>
      </c>
    </row>
    <row r="63" spans="1:16" x14ac:dyDescent="0.4">
      <c r="A63" t="s">
        <v>1014</v>
      </c>
      <c r="B63" t="s">
        <v>1015</v>
      </c>
      <c r="C63" t="s">
        <v>40</v>
      </c>
      <c r="D63">
        <v>40358</v>
      </c>
      <c r="E63">
        <v>2</v>
      </c>
      <c r="F63">
        <v>1</v>
      </c>
      <c r="G63">
        <v>3</v>
      </c>
      <c r="H63">
        <v>323</v>
      </c>
      <c r="I63">
        <v>160</v>
      </c>
      <c r="J63">
        <v>836</v>
      </c>
      <c r="K63">
        <v>48.596114111113813</v>
      </c>
      <c r="L63">
        <v>8.4980237154150196</v>
      </c>
      <c r="M63">
        <v>39.250651180142846</v>
      </c>
      <c r="N63">
        <v>2</v>
      </c>
      <c r="O63">
        <v>1</v>
      </c>
      <c r="P63">
        <v>2</v>
      </c>
    </row>
    <row r="64" spans="1:16" x14ac:dyDescent="0.4">
      <c r="A64" t="s">
        <v>306</v>
      </c>
      <c r="B64" t="s">
        <v>307</v>
      </c>
      <c r="C64" t="s">
        <v>43</v>
      </c>
      <c r="D64">
        <v>40410</v>
      </c>
      <c r="E64">
        <v>2</v>
      </c>
      <c r="F64">
        <v>1</v>
      </c>
      <c r="G64">
        <v>3</v>
      </c>
      <c r="H64">
        <v>323</v>
      </c>
      <c r="I64">
        <v>160</v>
      </c>
      <c r="J64">
        <v>836</v>
      </c>
      <c r="K64">
        <v>37.566523062595181</v>
      </c>
      <c r="L64">
        <v>2.5380710659898478</v>
      </c>
      <c r="M64">
        <v>34.018509154614897</v>
      </c>
      <c r="N64">
        <v>2</v>
      </c>
      <c r="O64">
        <v>1</v>
      </c>
      <c r="P64">
        <v>2</v>
      </c>
    </row>
    <row r="65" spans="1:16" x14ac:dyDescent="0.4">
      <c r="A65" t="s">
        <v>570</v>
      </c>
      <c r="B65" t="s">
        <v>571</v>
      </c>
      <c r="C65" t="s">
        <v>40</v>
      </c>
      <c r="D65">
        <v>40541</v>
      </c>
      <c r="E65">
        <v>2</v>
      </c>
      <c r="F65">
        <v>1</v>
      </c>
      <c r="G65">
        <v>3</v>
      </c>
      <c r="H65">
        <v>323</v>
      </c>
      <c r="I65">
        <v>160</v>
      </c>
      <c r="J65">
        <v>836</v>
      </c>
      <c r="K65">
        <v>48.337773498045614</v>
      </c>
      <c r="L65">
        <v>15.810276679841897</v>
      </c>
      <c r="M65">
        <v>42.464747661186735</v>
      </c>
      <c r="N65">
        <v>2</v>
      </c>
      <c r="O65">
        <v>1</v>
      </c>
      <c r="P65">
        <v>2</v>
      </c>
    </row>
    <row r="66" spans="1:16" x14ac:dyDescent="0.4">
      <c r="A66" t="s">
        <v>71</v>
      </c>
      <c r="B66" t="s">
        <v>72</v>
      </c>
      <c r="C66" t="s">
        <v>40</v>
      </c>
      <c r="D66">
        <v>40654</v>
      </c>
      <c r="E66">
        <v>2</v>
      </c>
      <c r="F66">
        <v>1</v>
      </c>
      <c r="G66">
        <v>3</v>
      </c>
      <c r="H66">
        <v>323</v>
      </c>
      <c r="I66">
        <v>160</v>
      </c>
      <c r="J66">
        <v>836</v>
      </c>
      <c r="K66">
        <v>35.296352796873272</v>
      </c>
      <c r="L66">
        <v>13.83399209486166</v>
      </c>
      <c r="M66">
        <v>47.052785772866329</v>
      </c>
      <c r="N66">
        <v>2</v>
      </c>
      <c r="O66">
        <v>1</v>
      </c>
      <c r="P66">
        <v>2</v>
      </c>
    </row>
    <row r="67" spans="1:16" x14ac:dyDescent="0.4">
      <c r="A67" t="s">
        <v>1102</v>
      </c>
      <c r="B67" t="s">
        <v>1103</v>
      </c>
      <c r="C67" t="s">
        <v>64</v>
      </c>
      <c r="D67">
        <v>40890</v>
      </c>
      <c r="E67">
        <v>2</v>
      </c>
      <c r="F67">
        <v>1</v>
      </c>
      <c r="G67">
        <v>3</v>
      </c>
      <c r="H67">
        <v>323</v>
      </c>
      <c r="I67">
        <v>160</v>
      </c>
      <c r="J67">
        <v>836</v>
      </c>
      <c r="K67">
        <v>42.459704283815157</v>
      </c>
      <c r="L67">
        <v>15.35303776683087</v>
      </c>
      <c r="M67">
        <v>48.117121320082823</v>
      </c>
      <c r="N67">
        <v>2</v>
      </c>
      <c r="O67">
        <v>1</v>
      </c>
      <c r="P67">
        <v>2</v>
      </c>
    </row>
    <row r="70" spans="1:16" x14ac:dyDescent="0.4">
      <c r="A70" t="s">
        <v>110</v>
      </c>
    </row>
    <row r="71" spans="1:16" x14ac:dyDescent="0.4">
      <c r="A71" t="s">
        <v>74</v>
      </c>
      <c r="B71" t="s">
        <v>75</v>
      </c>
      <c r="C71" t="s">
        <v>40</v>
      </c>
      <c r="D71">
        <v>38072</v>
      </c>
      <c r="E71">
        <v>2</v>
      </c>
      <c r="F71">
        <v>1</v>
      </c>
      <c r="G71">
        <v>3</v>
      </c>
      <c r="H71">
        <v>323</v>
      </c>
      <c r="I71">
        <v>160</v>
      </c>
      <c r="J71">
        <v>836</v>
      </c>
      <c r="K71">
        <v>25.040125071957878</v>
      </c>
      <c r="L71">
        <v>36.363636363636367</v>
      </c>
      <c r="M71">
        <v>40.892890962661369</v>
      </c>
      <c r="N71">
        <v>1</v>
      </c>
      <c r="O71">
        <v>2</v>
      </c>
      <c r="P71">
        <v>2</v>
      </c>
    </row>
    <row r="72" spans="1:16" x14ac:dyDescent="0.4">
      <c r="A72" t="s">
        <v>102</v>
      </c>
      <c r="B72" t="s">
        <v>103</v>
      </c>
      <c r="C72" t="s">
        <v>40</v>
      </c>
      <c r="D72">
        <v>38548</v>
      </c>
      <c r="E72">
        <v>2</v>
      </c>
      <c r="F72">
        <v>1</v>
      </c>
      <c r="G72">
        <v>3</v>
      </c>
      <c r="H72">
        <v>323</v>
      </c>
      <c r="I72">
        <v>160</v>
      </c>
      <c r="J72">
        <v>836</v>
      </c>
      <c r="K72">
        <v>14.488006905889687</v>
      </c>
      <c r="L72">
        <v>37.351778656126484</v>
      </c>
      <c r="M72">
        <v>44.682223011089931</v>
      </c>
      <c r="N72">
        <v>1</v>
      </c>
      <c r="O72">
        <v>2</v>
      </c>
      <c r="P72">
        <v>2</v>
      </c>
    </row>
    <row r="73" spans="1:16" x14ac:dyDescent="0.4">
      <c r="A73" t="s">
        <v>100</v>
      </c>
      <c r="B73" t="s">
        <v>101</v>
      </c>
      <c r="C73" t="s">
        <v>40</v>
      </c>
      <c r="D73">
        <v>39731</v>
      </c>
      <c r="E73">
        <v>2</v>
      </c>
      <c r="F73">
        <v>1</v>
      </c>
      <c r="G73">
        <v>3</v>
      </c>
      <c r="H73">
        <v>323</v>
      </c>
      <c r="I73">
        <v>160</v>
      </c>
      <c r="J73">
        <v>836</v>
      </c>
      <c r="K73">
        <v>29.381819208753523</v>
      </c>
      <c r="L73">
        <v>45.652173913043477</v>
      </c>
      <c r="M73">
        <v>38.09932501716515</v>
      </c>
      <c r="N73">
        <v>1</v>
      </c>
      <c r="O73">
        <v>2</v>
      </c>
      <c r="P73">
        <v>2</v>
      </c>
    </row>
    <row r="74" spans="1:16" x14ac:dyDescent="0.4">
      <c r="A74" t="s">
        <v>115</v>
      </c>
      <c r="B74" t="s">
        <v>116</v>
      </c>
      <c r="C74" t="s">
        <v>40</v>
      </c>
      <c r="D74">
        <v>39876</v>
      </c>
      <c r="E74">
        <v>2</v>
      </c>
      <c r="F74">
        <v>1</v>
      </c>
      <c r="G74">
        <v>3</v>
      </c>
      <c r="H74">
        <v>323</v>
      </c>
      <c r="I74">
        <v>160</v>
      </c>
      <c r="J74">
        <v>836</v>
      </c>
      <c r="K74">
        <v>10.306027827098593</v>
      </c>
      <c r="L74">
        <v>41.501976284584977</v>
      </c>
      <c r="M74">
        <v>47.812685195337735</v>
      </c>
      <c r="N74">
        <v>1</v>
      </c>
      <c r="O74">
        <v>2</v>
      </c>
      <c r="P74">
        <v>2</v>
      </c>
    </row>
    <row r="75" spans="1:16" x14ac:dyDescent="0.4">
      <c r="A75" t="s">
        <v>57</v>
      </c>
      <c r="B75" t="s">
        <v>58</v>
      </c>
      <c r="C75" t="s">
        <v>40</v>
      </c>
      <c r="D75">
        <v>40296</v>
      </c>
      <c r="E75">
        <v>2</v>
      </c>
      <c r="F75">
        <v>1</v>
      </c>
      <c r="G75">
        <v>3</v>
      </c>
      <c r="H75">
        <v>323</v>
      </c>
      <c r="I75">
        <v>160</v>
      </c>
      <c r="J75">
        <v>836</v>
      </c>
      <c r="K75">
        <v>9.589157766964794</v>
      </c>
      <c r="L75">
        <v>48.418972332015812</v>
      </c>
      <c r="M75">
        <v>40.897390782123964</v>
      </c>
      <c r="N75">
        <v>1</v>
      </c>
      <c r="O75">
        <v>2</v>
      </c>
      <c r="P75">
        <v>2</v>
      </c>
    </row>
    <row r="76" spans="1:16" x14ac:dyDescent="0.4">
      <c r="A76" t="s">
        <v>41</v>
      </c>
      <c r="B76" t="s">
        <v>42</v>
      </c>
      <c r="C76" t="s">
        <v>43</v>
      </c>
      <c r="D76">
        <v>40505</v>
      </c>
      <c r="E76">
        <v>2</v>
      </c>
      <c r="F76">
        <v>1</v>
      </c>
      <c r="G76">
        <v>3</v>
      </c>
      <c r="H76">
        <v>323</v>
      </c>
      <c r="I76">
        <v>160</v>
      </c>
      <c r="J76">
        <v>836</v>
      </c>
      <c r="K76">
        <v>21.367519743392901</v>
      </c>
      <c r="L76">
        <v>43.147208121827411</v>
      </c>
      <c r="M76">
        <v>31.798964555483145</v>
      </c>
      <c r="N76">
        <v>1</v>
      </c>
      <c r="O76">
        <v>2</v>
      </c>
      <c r="P76">
        <v>2</v>
      </c>
    </row>
    <row r="77" spans="1:16" x14ac:dyDescent="0.4">
      <c r="A77" t="s">
        <v>111</v>
      </c>
      <c r="B77" t="s">
        <v>112</v>
      </c>
      <c r="C77" t="s">
        <v>40</v>
      </c>
      <c r="D77">
        <v>40584</v>
      </c>
      <c r="E77">
        <v>2</v>
      </c>
      <c r="F77">
        <v>1</v>
      </c>
      <c r="G77">
        <v>3</v>
      </c>
      <c r="H77">
        <v>323</v>
      </c>
      <c r="I77">
        <v>160</v>
      </c>
      <c r="J77">
        <v>836</v>
      </c>
      <c r="K77">
        <v>25.673151184121416</v>
      </c>
      <c r="L77">
        <v>44.268774703557312</v>
      </c>
      <c r="M77">
        <v>48.163167437139052</v>
      </c>
      <c r="N77">
        <v>1</v>
      </c>
      <c r="O77">
        <v>2</v>
      </c>
      <c r="P77">
        <v>2</v>
      </c>
    </row>
    <row r="78" spans="1:16" x14ac:dyDescent="0.4">
      <c r="A78" t="s">
        <v>82</v>
      </c>
      <c r="B78" t="s">
        <v>83</v>
      </c>
      <c r="C78" t="s">
        <v>40</v>
      </c>
      <c r="D78">
        <v>40716</v>
      </c>
      <c r="E78">
        <v>2</v>
      </c>
      <c r="F78">
        <v>1</v>
      </c>
      <c r="G78">
        <v>3</v>
      </c>
      <c r="H78">
        <v>323</v>
      </c>
      <c r="I78">
        <v>160</v>
      </c>
      <c r="J78">
        <v>836</v>
      </c>
      <c r="K78">
        <v>13.34081712462269</v>
      </c>
      <c r="L78">
        <v>49.011857707509883</v>
      </c>
      <c r="M78">
        <v>36.16012725573075</v>
      </c>
      <c r="N78">
        <v>1</v>
      </c>
      <c r="O78">
        <v>2</v>
      </c>
      <c r="P78">
        <v>2</v>
      </c>
    </row>
    <row r="79" spans="1:16" x14ac:dyDescent="0.4">
      <c r="A79" t="s">
        <v>1104</v>
      </c>
      <c r="B79" t="s">
        <v>1105</v>
      </c>
      <c r="C79" t="s">
        <v>40</v>
      </c>
      <c r="D79">
        <v>40897</v>
      </c>
      <c r="E79">
        <v>2</v>
      </c>
      <c r="F79">
        <v>1</v>
      </c>
      <c r="G79">
        <v>3</v>
      </c>
      <c r="H79">
        <v>323</v>
      </c>
      <c r="I79">
        <v>160</v>
      </c>
      <c r="J79">
        <v>836</v>
      </c>
      <c r="K79">
        <v>28.912203556367878</v>
      </c>
      <c r="L79">
        <v>30.434782608695649</v>
      </c>
      <c r="M79">
        <v>33.50925894383289</v>
      </c>
      <c r="N79">
        <v>1</v>
      </c>
      <c r="O79">
        <v>2</v>
      </c>
      <c r="P79">
        <v>2</v>
      </c>
    </row>
    <row r="80" spans="1:16" x14ac:dyDescent="0.4">
      <c r="A80" t="s">
        <v>140</v>
      </c>
      <c r="B80" t="s">
        <v>141</v>
      </c>
      <c r="C80" t="s">
        <v>40</v>
      </c>
      <c r="D80">
        <v>41541</v>
      </c>
      <c r="E80">
        <v>2</v>
      </c>
      <c r="F80">
        <v>1</v>
      </c>
      <c r="G80">
        <v>3</v>
      </c>
      <c r="H80">
        <v>323</v>
      </c>
      <c r="I80">
        <v>160</v>
      </c>
      <c r="J80">
        <v>836</v>
      </c>
      <c r="K80">
        <v>25.253146214443166</v>
      </c>
      <c r="L80">
        <v>43.873517786561266</v>
      </c>
      <c r="M80">
        <v>38.860882188445245</v>
      </c>
      <c r="N80">
        <v>1</v>
      </c>
      <c r="O80">
        <v>2</v>
      </c>
      <c r="P80">
        <v>2</v>
      </c>
    </row>
    <row r="83" spans="1:16" x14ac:dyDescent="0.4">
      <c r="A83" t="s">
        <v>15</v>
      </c>
    </row>
    <row r="84" spans="1:16" x14ac:dyDescent="0.4">
      <c r="A84" t="s">
        <v>736</v>
      </c>
      <c r="B84" t="s">
        <v>737</v>
      </c>
      <c r="C84" t="s">
        <v>40</v>
      </c>
      <c r="D84">
        <v>38447</v>
      </c>
      <c r="E84">
        <v>2</v>
      </c>
      <c r="F84">
        <v>1</v>
      </c>
      <c r="G84">
        <v>3</v>
      </c>
      <c r="H84">
        <v>323</v>
      </c>
      <c r="I84">
        <v>160</v>
      </c>
      <c r="J84">
        <v>836</v>
      </c>
      <c r="K84">
        <v>44.799324702348819</v>
      </c>
      <c r="L84">
        <v>30.039525691699605</v>
      </c>
      <c r="M84">
        <v>31.003356066191046</v>
      </c>
      <c r="N84">
        <v>2</v>
      </c>
      <c r="O84">
        <v>2</v>
      </c>
      <c r="P84">
        <v>2</v>
      </c>
    </row>
    <row r="85" spans="1:16" x14ac:dyDescent="0.4">
      <c r="A85" t="s">
        <v>136</v>
      </c>
      <c r="B85" t="s">
        <v>137</v>
      </c>
      <c r="C85" t="s">
        <v>40</v>
      </c>
      <c r="D85">
        <v>38589</v>
      </c>
      <c r="E85">
        <v>2</v>
      </c>
      <c r="F85">
        <v>1</v>
      </c>
      <c r="G85">
        <v>3</v>
      </c>
      <c r="H85">
        <v>323</v>
      </c>
      <c r="I85">
        <v>160</v>
      </c>
      <c r="J85">
        <v>836</v>
      </c>
      <c r="K85">
        <v>33.386959708927698</v>
      </c>
      <c r="L85">
        <v>38.537549407114625</v>
      </c>
      <c r="M85">
        <v>35.795474178770334</v>
      </c>
      <c r="N85">
        <v>2</v>
      </c>
      <c r="O85">
        <v>2</v>
      </c>
      <c r="P85">
        <v>2</v>
      </c>
    </row>
    <row r="86" spans="1:16" x14ac:dyDescent="0.4">
      <c r="A86" t="s">
        <v>812</v>
      </c>
      <c r="B86" t="s">
        <v>813</v>
      </c>
      <c r="C86" t="s">
        <v>40</v>
      </c>
      <c r="D86">
        <v>39048</v>
      </c>
      <c r="E86">
        <v>2</v>
      </c>
      <c r="F86">
        <v>1</v>
      </c>
      <c r="G86">
        <v>3</v>
      </c>
      <c r="H86">
        <v>323</v>
      </c>
      <c r="I86">
        <v>160</v>
      </c>
      <c r="J86">
        <v>836</v>
      </c>
      <c r="K86">
        <v>44.840569932206769</v>
      </c>
      <c r="L86">
        <v>31.225296442687743</v>
      </c>
      <c r="M86">
        <v>39.672839967456966</v>
      </c>
      <c r="N86">
        <v>2</v>
      </c>
      <c r="O86">
        <v>2</v>
      </c>
      <c r="P86">
        <v>2</v>
      </c>
    </row>
    <row r="87" spans="1:16" x14ac:dyDescent="0.4">
      <c r="A87" t="s">
        <v>974</v>
      </c>
      <c r="B87" t="s">
        <v>975</v>
      </c>
      <c r="C87" t="s">
        <v>40</v>
      </c>
      <c r="D87">
        <v>40085</v>
      </c>
      <c r="E87">
        <v>2</v>
      </c>
      <c r="F87">
        <v>1</v>
      </c>
      <c r="G87">
        <v>3</v>
      </c>
      <c r="H87">
        <v>323</v>
      </c>
      <c r="I87">
        <v>160</v>
      </c>
      <c r="J87">
        <v>836</v>
      </c>
      <c r="K87">
        <v>44.403441441916151</v>
      </c>
      <c r="L87">
        <v>30.632411067193676</v>
      </c>
      <c r="M87">
        <v>43.843744628141579</v>
      </c>
      <c r="N87">
        <v>2</v>
      </c>
      <c r="O87">
        <v>2</v>
      </c>
      <c r="P87">
        <v>2</v>
      </c>
    </row>
    <row r="88" spans="1:16" x14ac:dyDescent="0.4">
      <c r="A88" t="s">
        <v>210</v>
      </c>
      <c r="B88" t="s">
        <v>211</v>
      </c>
      <c r="C88" t="s">
        <v>40</v>
      </c>
      <c r="D88">
        <v>40142</v>
      </c>
      <c r="E88">
        <v>2</v>
      </c>
      <c r="F88">
        <v>1</v>
      </c>
      <c r="G88">
        <v>3</v>
      </c>
      <c r="H88">
        <v>323</v>
      </c>
      <c r="I88">
        <v>160</v>
      </c>
      <c r="J88">
        <v>836</v>
      </c>
      <c r="K88">
        <v>46.213031130057644</v>
      </c>
      <c r="L88">
        <v>43.675889328063242</v>
      </c>
      <c r="M88">
        <v>34.88593077294432</v>
      </c>
      <c r="N88">
        <v>2</v>
      </c>
      <c r="O88">
        <v>2</v>
      </c>
      <c r="P88">
        <v>2</v>
      </c>
    </row>
    <row r="89" spans="1:16" x14ac:dyDescent="0.4">
      <c r="A89" t="s">
        <v>552</v>
      </c>
      <c r="B89" t="s">
        <v>553</v>
      </c>
      <c r="C89" t="s">
        <v>40</v>
      </c>
      <c r="D89">
        <v>40316</v>
      </c>
      <c r="E89">
        <v>2</v>
      </c>
      <c r="F89">
        <v>1</v>
      </c>
      <c r="G89">
        <v>3</v>
      </c>
      <c r="H89">
        <v>323</v>
      </c>
      <c r="I89">
        <v>160</v>
      </c>
      <c r="J89">
        <v>836</v>
      </c>
      <c r="K89">
        <v>43.07727436395092</v>
      </c>
      <c r="L89">
        <v>40.711462450592883</v>
      </c>
      <c r="M89">
        <v>40.556359619771634</v>
      </c>
      <c r="N89">
        <v>2</v>
      </c>
      <c r="O89">
        <v>2</v>
      </c>
      <c r="P89">
        <v>2</v>
      </c>
    </row>
    <row r="90" spans="1:16" x14ac:dyDescent="0.4">
      <c r="A90" t="s">
        <v>310</v>
      </c>
      <c r="B90" t="s">
        <v>311</v>
      </c>
      <c r="C90" t="s">
        <v>43</v>
      </c>
      <c r="D90">
        <v>40669</v>
      </c>
      <c r="E90">
        <v>2</v>
      </c>
      <c r="F90">
        <v>1</v>
      </c>
      <c r="G90">
        <v>3</v>
      </c>
      <c r="H90">
        <v>323</v>
      </c>
      <c r="I90">
        <v>160</v>
      </c>
      <c r="J90">
        <v>836</v>
      </c>
      <c r="K90">
        <v>38.433318118155924</v>
      </c>
      <c r="L90">
        <v>43.654822335025379</v>
      </c>
      <c r="M90">
        <v>47.725278403392835</v>
      </c>
      <c r="N90">
        <v>2</v>
      </c>
      <c r="O90">
        <v>2</v>
      </c>
      <c r="P90">
        <v>2</v>
      </c>
    </row>
    <row r="91" spans="1:16" x14ac:dyDescent="0.4">
      <c r="A91" t="s">
        <v>132</v>
      </c>
      <c r="B91" t="s">
        <v>133</v>
      </c>
      <c r="C91" t="s">
        <v>40</v>
      </c>
      <c r="D91">
        <v>40708</v>
      </c>
      <c r="E91">
        <v>2</v>
      </c>
      <c r="F91">
        <v>1</v>
      </c>
      <c r="G91">
        <v>3</v>
      </c>
      <c r="H91">
        <v>323</v>
      </c>
      <c r="I91">
        <v>160</v>
      </c>
      <c r="J91">
        <v>836</v>
      </c>
      <c r="K91">
        <v>32.068968664336126</v>
      </c>
      <c r="L91">
        <v>38.735177865612648</v>
      </c>
      <c r="M91">
        <v>35.799074278634187</v>
      </c>
      <c r="N91">
        <v>2</v>
      </c>
      <c r="O91">
        <v>2</v>
      </c>
      <c r="P91">
        <v>2</v>
      </c>
    </row>
    <row r="92" spans="1:16" x14ac:dyDescent="0.4">
      <c r="A92" t="s">
        <v>598</v>
      </c>
      <c r="B92" t="s">
        <v>599</v>
      </c>
      <c r="C92" t="s">
        <v>40</v>
      </c>
      <c r="D92">
        <v>41025</v>
      </c>
      <c r="E92">
        <v>2</v>
      </c>
      <c r="F92">
        <v>1</v>
      </c>
      <c r="G92">
        <v>3</v>
      </c>
      <c r="H92">
        <v>323</v>
      </c>
      <c r="I92">
        <v>160</v>
      </c>
      <c r="J92">
        <v>836</v>
      </c>
      <c r="K92">
        <v>45.9066365179741</v>
      </c>
      <c r="L92">
        <v>46.837944664031617</v>
      </c>
      <c r="M92">
        <v>31.521794768185572</v>
      </c>
      <c r="N92">
        <v>2</v>
      </c>
      <c r="O92">
        <v>2</v>
      </c>
      <c r="P92">
        <v>2</v>
      </c>
    </row>
    <row r="93" spans="1:16" x14ac:dyDescent="0.4">
      <c r="A93" t="s">
        <v>108</v>
      </c>
      <c r="B93" t="s">
        <v>109</v>
      </c>
      <c r="C93" t="s">
        <v>40</v>
      </c>
      <c r="D93">
        <v>41227</v>
      </c>
      <c r="E93">
        <v>2</v>
      </c>
      <c r="F93">
        <v>1</v>
      </c>
      <c r="G93">
        <v>3</v>
      </c>
      <c r="H93">
        <v>323</v>
      </c>
      <c r="I93">
        <v>160</v>
      </c>
      <c r="J93">
        <v>836</v>
      </c>
      <c r="K93">
        <v>34.42676586736814</v>
      </c>
      <c r="L93">
        <v>32.015810276679844</v>
      </c>
      <c r="M93">
        <v>37.788133225592311</v>
      </c>
      <c r="N93">
        <v>2</v>
      </c>
      <c r="O93">
        <v>2</v>
      </c>
      <c r="P93">
        <v>2</v>
      </c>
    </row>
    <row r="94" spans="1:16" x14ac:dyDescent="0.4">
      <c r="A94" t="s">
        <v>1170</v>
      </c>
      <c r="B94" t="s">
        <v>1171</v>
      </c>
      <c r="C94" t="s">
        <v>43</v>
      </c>
      <c r="D94">
        <v>41422</v>
      </c>
      <c r="E94">
        <v>2</v>
      </c>
      <c r="F94">
        <v>1</v>
      </c>
      <c r="G94">
        <v>3</v>
      </c>
      <c r="H94">
        <v>323</v>
      </c>
      <c r="I94">
        <v>160</v>
      </c>
      <c r="J94">
        <v>836</v>
      </c>
      <c r="K94">
        <v>46.193448645975892</v>
      </c>
      <c r="L94">
        <v>42.131979695431475</v>
      </c>
      <c r="M94">
        <v>38.736943685639964</v>
      </c>
      <c r="N94">
        <v>2</v>
      </c>
      <c r="O94">
        <v>2</v>
      </c>
      <c r="P94">
        <v>2</v>
      </c>
    </row>
    <row r="95" spans="1:16" x14ac:dyDescent="0.4">
      <c r="A95" t="s">
        <v>124</v>
      </c>
      <c r="B95" t="s">
        <v>125</v>
      </c>
      <c r="C95" t="s">
        <v>40</v>
      </c>
      <c r="D95">
        <v>41439</v>
      </c>
      <c r="E95">
        <v>2</v>
      </c>
      <c r="F95">
        <v>1</v>
      </c>
      <c r="G95">
        <v>3</v>
      </c>
      <c r="H95">
        <v>323</v>
      </c>
      <c r="I95">
        <v>160</v>
      </c>
      <c r="J95">
        <v>836</v>
      </c>
      <c r="K95">
        <v>33.631303944729467</v>
      </c>
      <c r="L95">
        <v>42.490118577075101</v>
      </c>
      <c r="M95">
        <v>45.155656153719782</v>
      </c>
      <c r="N95">
        <v>2</v>
      </c>
      <c r="O95">
        <v>2</v>
      </c>
      <c r="P9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2"/>
  <sheetViews>
    <sheetView workbookViewId="0">
      <selection activeCell="G8" sqref="G8"/>
    </sheetView>
  </sheetViews>
  <sheetFormatPr defaultRowHeight="13.9" x14ac:dyDescent="0.4"/>
  <cols>
    <col min="1" max="1" width="10.265625" customWidth="1"/>
    <col min="2" max="2" width="22.33203125" customWidth="1"/>
    <col min="3" max="3" width="17" customWidth="1"/>
    <col min="4" max="4" width="12.265625" customWidth="1"/>
  </cols>
  <sheetData>
    <row r="1" ht="14.25" customHeight="1" x14ac:dyDescent="0.4"/>
    <row r="2" ht="14.25" customHeight="1" x14ac:dyDescent="0.4"/>
    <row r="3" ht="13.5" customHeight="1" x14ac:dyDescent="0.4"/>
    <row r="12" ht="15" customHeight="1" x14ac:dyDescent="0.4"/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category</vt:lpstr>
      <vt:lpstr>category2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2018-07-12T09:19:35Z</dcterms:created>
  <dcterms:modified xsi:type="dcterms:W3CDTF">2018-08-05T03:22:49Z</dcterms:modified>
</cp:coreProperties>
</file>