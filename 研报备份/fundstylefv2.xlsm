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240" yWindow="105" windowWidth="14805" windowHeight="6960" activeTab="2"/>
  </bookViews>
  <sheets>
    <sheet name="data" sheetId="1" r:id="rId1"/>
    <sheet name="Sheet1" sheetId="5" state="hidden" r:id="rId2"/>
    <sheet name="figure" sheetId="4" r:id="rId3"/>
    <sheet name="Sheet2" sheetId="2" state="hidden" r:id="rId4"/>
    <sheet name="说明" sheetId="3" r:id="rId5"/>
    <sheet name="Sheet3" sheetId="6" r:id="rId6"/>
  </sheets>
  <externalReferences>
    <externalReference r:id="rId7"/>
  </externalReferences>
  <definedNames>
    <definedName name="cash">OFFSET(figure!$E$2,0,0,figure!$G$2,1)</definedName>
    <definedName name="hs">OFFSET(figure!$B$2,0,0,figure!$G$2,1)</definedName>
    <definedName name="time">OFFSET(figure!$A$2,0,0,figure!$G$2,1)</definedName>
    <definedName name="zzwubai">OFFSET(figure!$C$2,0,0,figure!$G$2,1)</definedName>
    <definedName name="zzyiqian">OFFSET(figure!$D$2,0,0,figure!$G$2,1)</definedName>
  </definedNames>
  <calcPr calcId="162913"/>
</workbook>
</file>

<file path=xl/calcChain.xml><?xml version="1.0" encoding="utf-8"?>
<calcChain xmlns="http://schemas.openxmlformats.org/spreadsheetml/2006/main">
  <c r="A4" i="4" l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3" i="4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2" i="1"/>
  <c r="S33" i="1"/>
  <c r="S34" i="1"/>
  <c r="S35" i="1"/>
  <c r="S36" i="1"/>
  <c r="S37" i="1"/>
  <c r="S38" i="1"/>
  <c r="S31" i="1"/>
  <c r="AL5" i="1" l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4" i="1"/>
  <c r="E644" i="4" l="1"/>
  <c r="D644" i="4"/>
  <c r="C644" i="4"/>
  <c r="B644" i="4"/>
  <c r="E643" i="4"/>
  <c r="D643" i="4"/>
  <c r="C643" i="4"/>
  <c r="B643" i="4"/>
  <c r="E642" i="4"/>
  <c r="D642" i="4"/>
  <c r="C642" i="4"/>
  <c r="B642" i="4"/>
  <c r="E641" i="4"/>
  <c r="D641" i="4"/>
  <c r="C641" i="4"/>
  <c r="B641" i="4"/>
  <c r="E640" i="4"/>
  <c r="D640" i="4"/>
  <c r="C640" i="4"/>
  <c r="B640" i="4"/>
  <c r="E639" i="4"/>
  <c r="D639" i="4"/>
  <c r="C639" i="4"/>
  <c r="B639" i="4"/>
  <c r="E638" i="4"/>
  <c r="D638" i="4"/>
  <c r="C638" i="4"/>
  <c r="B638" i="4"/>
  <c r="E637" i="4"/>
  <c r="D637" i="4"/>
  <c r="C637" i="4"/>
  <c r="B637" i="4"/>
  <c r="E636" i="4"/>
  <c r="D636" i="4"/>
  <c r="C636" i="4"/>
  <c r="B636" i="4"/>
  <c r="E635" i="4"/>
  <c r="D635" i="4"/>
  <c r="C635" i="4"/>
  <c r="B635" i="4"/>
  <c r="E634" i="4"/>
  <c r="D634" i="4"/>
  <c r="C634" i="4"/>
  <c r="B634" i="4"/>
  <c r="E633" i="4"/>
  <c r="D633" i="4"/>
  <c r="C633" i="4"/>
  <c r="B633" i="4"/>
  <c r="E632" i="4"/>
  <c r="D632" i="4"/>
  <c r="C632" i="4"/>
  <c r="B632" i="4"/>
  <c r="E631" i="4"/>
  <c r="D631" i="4"/>
  <c r="C631" i="4"/>
  <c r="B631" i="4"/>
  <c r="E630" i="4"/>
  <c r="D630" i="4"/>
  <c r="C630" i="4"/>
  <c r="B630" i="4"/>
  <c r="E629" i="4"/>
  <c r="D629" i="4"/>
  <c r="C629" i="4"/>
  <c r="B629" i="4"/>
  <c r="E628" i="4"/>
  <c r="D628" i="4"/>
  <c r="C628" i="4"/>
  <c r="B628" i="4"/>
  <c r="E627" i="4"/>
  <c r="D627" i="4"/>
  <c r="C627" i="4"/>
  <c r="B627" i="4"/>
  <c r="E626" i="4"/>
  <c r="D626" i="4"/>
  <c r="C626" i="4"/>
  <c r="B626" i="4"/>
  <c r="E625" i="4"/>
  <c r="D625" i="4"/>
  <c r="C625" i="4"/>
  <c r="B625" i="4"/>
  <c r="E624" i="4"/>
  <c r="D624" i="4"/>
  <c r="C624" i="4"/>
  <c r="B624" i="4"/>
  <c r="E623" i="4"/>
  <c r="D623" i="4"/>
  <c r="C623" i="4"/>
  <c r="B623" i="4"/>
  <c r="E622" i="4"/>
  <c r="D622" i="4"/>
  <c r="C622" i="4"/>
  <c r="B622" i="4"/>
  <c r="E621" i="4"/>
  <c r="D621" i="4"/>
  <c r="C621" i="4"/>
  <c r="B621" i="4"/>
  <c r="E620" i="4"/>
  <c r="D620" i="4"/>
  <c r="C620" i="4"/>
  <c r="B620" i="4"/>
  <c r="E619" i="4"/>
  <c r="D619" i="4"/>
  <c r="C619" i="4"/>
  <c r="B619" i="4"/>
  <c r="E618" i="4"/>
  <c r="D618" i="4"/>
  <c r="C618" i="4"/>
  <c r="B618" i="4"/>
  <c r="E617" i="4"/>
  <c r="D617" i="4"/>
  <c r="C617" i="4"/>
  <c r="B617" i="4"/>
  <c r="E616" i="4"/>
  <c r="D616" i="4"/>
  <c r="C616" i="4"/>
  <c r="B616" i="4"/>
  <c r="E615" i="4"/>
  <c r="D615" i="4"/>
  <c r="C615" i="4"/>
  <c r="B615" i="4"/>
  <c r="E614" i="4"/>
  <c r="D614" i="4"/>
  <c r="C614" i="4"/>
  <c r="B614" i="4"/>
  <c r="E613" i="4"/>
  <c r="D613" i="4"/>
  <c r="C613" i="4"/>
  <c r="B613" i="4"/>
  <c r="E612" i="4"/>
  <c r="D612" i="4"/>
  <c r="C612" i="4"/>
  <c r="B612" i="4"/>
  <c r="E611" i="4"/>
  <c r="D611" i="4"/>
  <c r="C611" i="4"/>
  <c r="B611" i="4"/>
  <c r="E610" i="4"/>
  <c r="D610" i="4"/>
  <c r="C610" i="4"/>
  <c r="B610" i="4"/>
  <c r="E609" i="4"/>
  <c r="D609" i="4"/>
  <c r="C609" i="4"/>
  <c r="B609" i="4"/>
  <c r="E608" i="4"/>
  <c r="D608" i="4"/>
  <c r="C608" i="4"/>
  <c r="B608" i="4"/>
  <c r="E607" i="4"/>
  <c r="D607" i="4"/>
  <c r="C607" i="4"/>
  <c r="B607" i="4"/>
  <c r="E606" i="4"/>
  <c r="D606" i="4"/>
  <c r="C606" i="4"/>
  <c r="B606" i="4"/>
  <c r="E605" i="4"/>
  <c r="D605" i="4"/>
  <c r="C605" i="4"/>
  <c r="B605" i="4"/>
  <c r="E604" i="4"/>
  <c r="D604" i="4"/>
  <c r="C604" i="4"/>
  <c r="B604" i="4"/>
  <c r="E603" i="4"/>
  <c r="D603" i="4"/>
  <c r="C603" i="4"/>
  <c r="B603" i="4"/>
  <c r="E602" i="4"/>
  <c r="D602" i="4"/>
  <c r="C602" i="4"/>
  <c r="B602" i="4"/>
  <c r="E601" i="4"/>
  <c r="D601" i="4"/>
  <c r="C601" i="4"/>
  <c r="B601" i="4"/>
  <c r="E600" i="4"/>
  <c r="D600" i="4"/>
  <c r="C600" i="4"/>
  <c r="B600" i="4"/>
  <c r="E599" i="4"/>
  <c r="D599" i="4"/>
  <c r="C599" i="4"/>
  <c r="B599" i="4"/>
  <c r="E598" i="4"/>
  <c r="D598" i="4"/>
  <c r="C598" i="4"/>
  <c r="B598" i="4"/>
  <c r="E597" i="4"/>
  <c r="D597" i="4"/>
  <c r="C597" i="4"/>
  <c r="B597" i="4"/>
  <c r="E596" i="4"/>
  <c r="D596" i="4"/>
  <c r="C596" i="4"/>
  <c r="B596" i="4"/>
  <c r="E595" i="4"/>
  <c r="D595" i="4"/>
  <c r="C595" i="4"/>
  <c r="B595" i="4"/>
  <c r="E594" i="4"/>
  <c r="D594" i="4"/>
  <c r="C594" i="4"/>
  <c r="B594" i="4"/>
  <c r="E593" i="4"/>
  <c r="D593" i="4"/>
  <c r="C593" i="4"/>
  <c r="B593" i="4"/>
  <c r="E592" i="4"/>
  <c r="D592" i="4"/>
  <c r="C592" i="4"/>
  <c r="B592" i="4"/>
  <c r="E591" i="4"/>
  <c r="D591" i="4"/>
  <c r="C591" i="4"/>
  <c r="B591" i="4"/>
  <c r="E590" i="4"/>
  <c r="D590" i="4"/>
  <c r="C590" i="4"/>
  <c r="B590" i="4"/>
  <c r="E589" i="4"/>
  <c r="D589" i="4"/>
  <c r="C589" i="4"/>
  <c r="B589" i="4"/>
  <c r="E588" i="4"/>
  <c r="D588" i="4"/>
  <c r="C588" i="4"/>
  <c r="B588" i="4"/>
  <c r="E587" i="4"/>
  <c r="D587" i="4"/>
  <c r="C587" i="4"/>
  <c r="B587" i="4"/>
  <c r="E586" i="4"/>
  <c r="D586" i="4"/>
  <c r="C586" i="4"/>
  <c r="B586" i="4"/>
  <c r="E585" i="4"/>
  <c r="D585" i="4"/>
  <c r="C585" i="4"/>
  <c r="B585" i="4"/>
  <c r="E584" i="4"/>
  <c r="D584" i="4"/>
  <c r="C584" i="4"/>
  <c r="B584" i="4"/>
  <c r="E583" i="4"/>
  <c r="D583" i="4"/>
  <c r="C583" i="4"/>
  <c r="B583" i="4"/>
  <c r="E582" i="4"/>
  <c r="D582" i="4"/>
  <c r="C582" i="4"/>
  <c r="B582" i="4"/>
  <c r="E581" i="4"/>
  <c r="D581" i="4"/>
  <c r="C581" i="4"/>
  <c r="B581" i="4"/>
  <c r="E580" i="4"/>
  <c r="D580" i="4"/>
  <c r="C580" i="4"/>
  <c r="B580" i="4"/>
  <c r="E579" i="4"/>
  <c r="D579" i="4"/>
  <c r="C579" i="4"/>
  <c r="B579" i="4"/>
  <c r="E578" i="4"/>
  <c r="D578" i="4"/>
  <c r="C578" i="4"/>
  <c r="B578" i="4"/>
  <c r="E577" i="4"/>
  <c r="D577" i="4"/>
  <c r="C577" i="4"/>
  <c r="B577" i="4"/>
  <c r="E576" i="4"/>
  <c r="D576" i="4"/>
  <c r="C576" i="4"/>
  <c r="B576" i="4"/>
  <c r="E575" i="4"/>
  <c r="D575" i="4"/>
  <c r="C575" i="4"/>
  <c r="B575" i="4"/>
  <c r="E574" i="4"/>
  <c r="D574" i="4"/>
  <c r="C574" i="4"/>
  <c r="B574" i="4"/>
  <c r="E573" i="4"/>
  <c r="D573" i="4"/>
  <c r="C573" i="4"/>
  <c r="B573" i="4"/>
  <c r="E572" i="4"/>
  <c r="D572" i="4"/>
  <c r="C572" i="4"/>
  <c r="B572" i="4"/>
  <c r="E571" i="4"/>
  <c r="D571" i="4"/>
  <c r="C571" i="4"/>
  <c r="B571" i="4"/>
  <c r="E570" i="4"/>
  <c r="D570" i="4"/>
  <c r="C570" i="4"/>
  <c r="B570" i="4"/>
  <c r="E569" i="4"/>
  <c r="D569" i="4"/>
  <c r="C569" i="4"/>
  <c r="B569" i="4"/>
  <c r="E568" i="4"/>
  <c r="D568" i="4"/>
  <c r="C568" i="4"/>
  <c r="B568" i="4"/>
  <c r="E567" i="4"/>
  <c r="D567" i="4"/>
  <c r="C567" i="4"/>
  <c r="B567" i="4"/>
  <c r="E566" i="4"/>
  <c r="D566" i="4"/>
  <c r="C566" i="4"/>
  <c r="B566" i="4"/>
  <c r="E565" i="4"/>
  <c r="D565" i="4"/>
  <c r="C565" i="4"/>
  <c r="B565" i="4"/>
  <c r="E564" i="4"/>
  <c r="D564" i="4"/>
  <c r="C564" i="4"/>
  <c r="B564" i="4"/>
  <c r="E563" i="4"/>
  <c r="D563" i="4"/>
  <c r="C563" i="4"/>
  <c r="B563" i="4"/>
  <c r="E562" i="4"/>
  <c r="D562" i="4"/>
  <c r="C562" i="4"/>
  <c r="B562" i="4"/>
  <c r="E561" i="4"/>
  <c r="D561" i="4"/>
  <c r="C561" i="4"/>
  <c r="B561" i="4"/>
  <c r="E560" i="4"/>
  <c r="D560" i="4"/>
  <c r="C560" i="4"/>
  <c r="B560" i="4"/>
  <c r="E559" i="4"/>
  <c r="D559" i="4"/>
  <c r="C559" i="4"/>
  <c r="B559" i="4"/>
  <c r="E558" i="4"/>
  <c r="D558" i="4"/>
  <c r="C558" i="4"/>
  <c r="B558" i="4"/>
  <c r="E557" i="4"/>
  <c r="D557" i="4"/>
  <c r="C557" i="4"/>
  <c r="B557" i="4"/>
  <c r="E556" i="4"/>
  <c r="D556" i="4"/>
  <c r="C556" i="4"/>
  <c r="B556" i="4"/>
  <c r="E555" i="4"/>
  <c r="D555" i="4"/>
  <c r="C555" i="4"/>
  <c r="B555" i="4"/>
  <c r="E554" i="4"/>
  <c r="D554" i="4"/>
  <c r="C554" i="4"/>
  <c r="B554" i="4"/>
  <c r="E553" i="4"/>
  <c r="D553" i="4"/>
  <c r="C553" i="4"/>
  <c r="B553" i="4"/>
  <c r="E552" i="4"/>
  <c r="D552" i="4"/>
  <c r="C552" i="4"/>
  <c r="B552" i="4"/>
  <c r="E551" i="4"/>
  <c r="D551" i="4"/>
  <c r="C551" i="4"/>
  <c r="B551" i="4"/>
  <c r="E550" i="4"/>
  <c r="D550" i="4"/>
  <c r="C550" i="4"/>
  <c r="B550" i="4"/>
  <c r="E549" i="4"/>
  <c r="D549" i="4"/>
  <c r="C549" i="4"/>
  <c r="B549" i="4"/>
  <c r="E548" i="4"/>
  <c r="D548" i="4"/>
  <c r="C548" i="4"/>
  <c r="B548" i="4"/>
  <c r="E547" i="4"/>
  <c r="D547" i="4"/>
  <c r="C547" i="4"/>
  <c r="B547" i="4"/>
  <c r="E546" i="4"/>
  <c r="D546" i="4"/>
  <c r="C546" i="4"/>
  <c r="B546" i="4"/>
  <c r="E545" i="4"/>
  <c r="D545" i="4"/>
  <c r="C545" i="4"/>
  <c r="B545" i="4"/>
  <c r="E544" i="4"/>
  <c r="D544" i="4"/>
  <c r="C544" i="4"/>
  <c r="B544" i="4"/>
  <c r="E543" i="4"/>
  <c r="D543" i="4"/>
  <c r="C543" i="4"/>
  <c r="B543" i="4"/>
  <c r="E542" i="4"/>
  <c r="D542" i="4"/>
  <c r="C542" i="4"/>
  <c r="B542" i="4"/>
  <c r="E541" i="4"/>
  <c r="D541" i="4"/>
  <c r="C541" i="4"/>
  <c r="B541" i="4"/>
  <c r="E540" i="4"/>
  <c r="D540" i="4"/>
  <c r="C540" i="4"/>
  <c r="B540" i="4"/>
  <c r="E539" i="4"/>
  <c r="D539" i="4"/>
  <c r="C539" i="4"/>
  <c r="B539" i="4"/>
  <c r="E538" i="4"/>
  <c r="D538" i="4"/>
  <c r="C538" i="4"/>
  <c r="B538" i="4"/>
  <c r="E537" i="4"/>
  <c r="D537" i="4"/>
  <c r="C537" i="4"/>
  <c r="B537" i="4"/>
  <c r="E536" i="4"/>
  <c r="D536" i="4"/>
  <c r="C536" i="4"/>
  <c r="B536" i="4"/>
  <c r="E535" i="4"/>
  <c r="D535" i="4"/>
  <c r="C535" i="4"/>
  <c r="B535" i="4"/>
  <c r="E534" i="4"/>
  <c r="D534" i="4"/>
  <c r="C534" i="4"/>
  <c r="B534" i="4"/>
  <c r="E533" i="4"/>
  <c r="D533" i="4"/>
  <c r="C533" i="4"/>
  <c r="B533" i="4"/>
  <c r="E532" i="4"/>
  <c r="D532" i="4"/>
  <c r="C532" i="4"/>
  <c r="B532" i="4"/>
  <c r="E531" i="4"/>
  <c r="D531" i="4"/>
  <c r="C531" i="4"/>
  <c r="B531" i="4"/>
  <c r="E530" i="4"/>
  <c r="D530" i="4"/>
  <c r="C530" i="4"/>
  <c r="B530" i="4"/>
  <c r="E529" i="4"/>
  <c r="D529" i="4"/>
  <c r="C529" i="4"/>
  <c r="B529" i="4"/>
  <c r="E528" i="4"/>
  <c r="D528" i="4"/>
  <c r="C528" i="4"/>
  <c r="B528" i="4"/>
  <c r="E527" i="4"/>
  <c r="D527" i="4"/>
  <c r="C527" i="4"/>
  <c r="B527" i="4"/>
  <c r="E526" i="4"/>
  <c r="D526" i="4"/>
  <c r="C526" i="4"/>
  <c r="B526" i="4"/>
  <c r="E525" i="4"/>
  <c r="D525" i="4"/>
  <c r="C525" i="4"/>
  <c r="B525" i="4"/>
  <c r="E524" i="4"/>
  <c r="D524" i="4"/>
  <c r="C524" i="4"/>
  <c r="B524" i="4"/>
  <c r="E523" i="4"/>
  <c r="D523" i="4"/>
  <c r="C523" i="4"/>
  <c r="B523" i="4"/>
  <c r="E522" i="4"/>
  <c r="D522" i="4"/>
  <c r="C522" i="4"/>
  <c r="B522" i="4"/>
  <c r="E521" i="4"/>
  <c r="D521" i="4"/>
  <c r="C521" i="4"/>
  <c r="B521" i="4"/>
  <c r="E520" i="4"/>
  <c r="D520" i="4"/>
  <c r="C520" i="4"/>
  <c r="B520" i="4"/>
  <c r="E519" i="4"/>
  <c r="D519" i="4"/>
  <c r="C519" i="4"/>
  <c r="B519" i="4"/>
  <c r="E518" i="4"/>
  <c r="D518" i="4"/>
  <c r="C518" i="4"/>
  <c r="B518" i="4"/>
  <c r="E517" i="4"/>
  <c r="D517" i="4"/>
  <c r="C517" i="4"/>
  <c r="B517" i="4"/>
  <c r="E516" i="4"/>
  <c r="D516" i="4"/>
  <c r="C516" i="4"/>
  <c r="B516" i="4"/>
  <c r="E515" i="4"/>
  <c r="D515" i="4"/>
  <c r="C515" i="4"/>
  <c r="B515" i="4"/>
  <c r="E514" i="4"/>
  <c r="D514" i="4"/>
  <c r="C514" i="4"/>
  <c r="B514" i="4"/>
  <c r="E513" i="4"/>
  <c r="D513" i="4"/>
  <c r="C513" i="4"/>
  <c r="B513" i="4"/>
  <c r="E512" i="4"/>
  <c r="D512" i="4"/>
  <c r="C512" i="4"/>
  <c r="B512" i="4"/>
  <c r="E511" i="4"/>
  <c r="D511" i="4"/>
  <c r="C511" i="4"/>
  <c r="B511" i="4"/>
  <c r="E510" i="4"/>
  <c r="D510" i="4"/>
  <c r="C510" i="4"/>
  <c r="B510" i="4"/>
  <c r="E509" i="4"/>
  <c r="D509" i="4"/>
  <c r="C509" i="4"/>
  <c r="B509" i="4"/>
  <c r="E508" i="4"/>
  <c r="D508" i="4"/>
  <c r="C508" i="4"/>
  <c r="B508" i="4"/>
  <c r="E507" i="4"/>
  <c r="D507" i="4"/>
  <c r="C507" i="4"/>
  <c r="B507" i="4"/>
  <c r="E506" i="4"/>
  <c r="D506" i="4"/>
  <c r="C506" i="4"/>
  <c r="B506" i="4"/>
  <c r="E505" i="4"/>
  <c r="D505" i="4"/>
  <c r="C505" i="4"/>
  <c r="B505" i="4"/>
  <c r="E504" i="4"/>
  <c r="D504" i="4"/>
  <c r="C504" i="4"/>
  <c r="B504" i="4"/>
  <c r="E503" i="4"/>
  <c r="D503" i="4"/>
  <c r="C503" i="4"/>
  <c r="B503" i="4"/>
  <c r="E502" i="4"/>
  <c r="D502" i="4"/>
  <c r="C502" i="4"/>
  <c r="B502" i="4"/>
  <c r="E501" i="4"/>
  <c r="D501" i="4"/>
  <c r="C501" i="4"/>
  <c r="B501" i="4"/>
  <c r="E500" i="4"/>
  <c r="D500" i="4"/>
  <c r="C500" i="4"/>
  <c r="B500" i="4"/>
  <c r="E499" i="4"/>
  <c r="D499" i="4"/>
  <c r="C499" i="4"/>
  <c r="B499" i="4"/>
  <c r="E498" i="4"/>
  <c r="D498" i="4"/>
  <c r="C498" i="4"/>
  <c r="B498" i="4"/>
  <c r="E497" i="4"/>
  <c r="D497" i="4"/>
  <c r="C497" i="4"/>
  <c r="B497" i="4"/>
  <c r="E496" i="4"/>
  <c r="D496" i="4"/>
  <c r="C496" i="4"/>
  <c r="B496" i="4"/>
  <c r="E495" i="4"/>
  <c r="D495" i="4"/>
  <c r="C495" i="4"/>
  <c r="B495" i="4"/>
  <c r="E494" i="4"/>
  <c r="D494" i="4"/>
  <c r="C494" i="4"/>
  <c r="B494" i="4"/>
  <c r="E493" i="4"/>
  <c r="D493" i="4"/>
  <c r="C493" i="4"/>
  <c r="B493" i="4"/>
  <c r="E492" i="4"/>
  <c r="D492" i="4"/>
  <c r="C492" i="4"/>
  <c r="B492" i="4"/>
  <c r="E491" i="4"/>
  <c r="D491" i="4"/>
  <c r="C491" i="4"/>
  <c r="B491" i="4"/>
  <c r="E490" i="4"/>
  <c r="D490" i="4"/>
  <c r="C490" i="4"/>
  <c r="B490" i="4"/>
  <c r="E489" i="4"/>
  <c r="D489" i="4"/>
  <c r="C489" i="4"/>
  <c r="B489" i="4"/>
  <c r="E488" i="4"/>
  <c r="D488" i="4"/>
  <c r="C488" i="4"/>
  <c r="B488" i="4"/>
  <c r="E487" i="4"/>
  <c r="D487" i="4"/>
  <c r="C487" i="4"/>
  <c r="B487" i="4"/>
  <c r="E486" i="4"/>
  <c r="D486" i="4"/>
  <c r="C486" i="4"/>
  <c r="B486" i="4"/>
  <c r="E485" i="4"/>
  <c r="D485" i="4"/>
  <c r="C485" i="4"/>
  <c r="B485" i="4"/>
  <c r="E484" i="4"/>
  <c r="D484" i="4"/>
  <c r="C484" i="4"/>
  <c r="B484" i="4"/>
  <c r="E483" i="4"/>
  <c r="D483" i="4"/>
  <c r="C483" i="4"/>
  <c r="B483" i="4"/>
  <c r="E482" i="4"/>
  <c r="D482" i="4"/>
  <c r="C482" i="4"/>
  <c r="B482" i="4"/>
  <c r="E481" i="4"/>
  <c r="D481" i="4"/>
  <c r="C481" i="4"/>
  <c r="B481" i="4"/>
  <c r="E480" i="4"/>
  <c r="D480" i="4"/>
  <c r="C480" i="4"/>
  <c r="B480" i="4"/>
  <c r="E479" i="4"/>
  <c r="D479" i="4"/>
  <c r="C479" i="4"/>
  <c r="B479" i="4"/>
  <c r="E478" i="4"/>
  <c r="D478" i="4"/>
  <c r="C478" i="4"/>
  <c r="B478" i="4"/>
  <c r="E477" i="4"/>
  <c r="D477" i="4"/>
  <c r="C477" i="4"/>
  <c r="B477" i="4"/>
  <c r="E476" i="4"/>
  <c r="D476" i="4"/>
  <c r="C476" i="4"/>
  <c r="B476" i="4"/>
  <c r="E475" i="4"/>
  <c r="D475" i="4"/>
  <c r="C475" i="4"/>
  <c r="B475" i="4"/>
  <c r="E474" i="4"/>
  <c r="D474" i="4"/>
  <c r="C474" i="4"/>
  <c r="B474" i="4"/>
  <c r="E473" i="4"/>
  <c r="D473" i="4"/>
  <c r="C473" i="4"/>
  <c r="B473" i="4"/>
  <c r="E472" i="4"/>
  <c r="D472" i="4"/>
  <c r="C472" i="4"/>
  <c r="B472" i="4"/>
  <c r="E471" i="4"/>
  <c r="D471" i="4"/>
  <c r="C471" i="4"/>
  <c r="B471" i="4"/>
  <c r="E470" i="4"/>
  <c r="D470" i="4"/>
  <c r="C470" i="4"/>
  <c r="B470" i="4"/>
  <c r="E469" i="4"/>
  <c r="D469" i="4"/>
  <c r="C469" i="4"/>
  <c r="B469" i="4"/>
  <c r="E468" i="4"/>
  <c r="D468" i="4"/>
  <c r="C468" i="4"/>
  <c r="B468" i="4"/>
  <c r="E467" i="4"/>
  <c r="D467" i="4"/>
  <c r="C467" i="4"/>
  <c r="B467" i="4"/>
  <c r="E466" i="4"/>
  <c r="D466" i="4"/>
  <c r="C466" i="4"/>
  <c r="B466" i="4"/>
  <c r="E465" i="4"/>
  <c r="D465" i="4"/>
  <c r="C465" i="4"/>
  <c r="B465" i="4"/>
  <c r="E464" i="4"/>
  <c r="D464" i="4"/>
  <c r="C464" i="4"/>
  <c r="B464" i="4"/>
  <c r="E463" i="4"/>
  <c r="D463" i="4"/>
  <c r="C463" i="4"/>
  <c r="B463" i="4"/>
  <c r="E462" i="4"/>
  <c r="D462" i="4"/>
  <c r="C462" i="4"/>
  <c r="B462" i="4"/>
  <c r="E461" i="4"/>
  <c r="D461" i="4"/>
  <c r="C461" i="4"/>
  <c r="B461" i="4"/>
  <c r="E460" i="4"/>
  <c r="D460" i="4"/>
  <c r="C460" i="4"/>
  <c r="B460" i="4"/>
  <c r="E459" i="4"/>
  <c r="D459" i="4"/>
  <c r="C459" i="4"/>
  <c r="B459" i="4"/>
  <c r="E458" i="4"/>
  <c r="D458" i="4"/>
  <c r="C458" i="4"/>
  <c r="B458" i="4"/>
  <c r="E457" i="4"/>
  <c r="D457" i="4"/>
  <c r="C457" i="4"/>
  <c r="B457" i="4"/>
  <c r="E456" i="4"/>
  <c r="D456" i="4"/>
  <c r="C456" i="4"/>
  <c r="B456" i="4"/>
  <c r="E455" i="4"/>
  <c r="D455" i="4"/>
  <c r="C455" i="4"/>
  <c r="B455" i="4"/>
  <c r="E454" i="4"/>
  <c r="D454" i="4"/>
  <c r="C454" i="4"/>
  <c r="B454" i="4"/>
  <c r="E453" i="4"/>
  <c r="D453" i="4"/>
  <c r="C453" i="4"/>
  <c r="B453" i="4"/>
  <c r="E452" i="4"/>
  <c r="D452" i="4"/>
  <c r="C452" i="4"/>
  <c r="B452" i="4"/>
  <c r="E451" i="4"/>
  <c r="D451" i="4"/>
  <c r="C451" i="4"/>
  <c r="B451" i="4"/>
  <c r="E450" i="4"/>
  <c r="D450" i="4"/>
  <c r="C450" i="4"/>
  <c r="B450" i="4"/>
  <c r="E449" i="4"/>
  <c r="D449" i="4"/>
  <c r="C449" i="4"/>
  <c r="B449" i="4"/>
  <c r="E448" i="4"/>
  <c r="D448" i="4"/>
  <c r="C448" i="4"/>
  <c r="B448" i="4"/>
  <c r="E447" i="4"/>
  <c r="D447" i="4"/>
  <c r="C447" i="4"/>
  <c r="B447" i="4"/>
  <c r="E446" i="4"/>
  <c r="D446" i="4"/>
  <c r="C446" i="4"/>
  <c r="B446" i="4"/>
  <c r="E445" i="4"/>
  <c r="D445" i="4"/>
  <c r="C445" i="4"/>
  <c r="B445" i="4"/>
  <c r="E444" i="4"/>
  <c r="D444" i="4"/>
  <c r="C444" i="4"/>
  <c r="B444" i="4"/>
  <c r="E443" i="4"/>
  <c r="D443" i="4"/>
  <c r="C443" i="4"/>
  <c r="B443" i="4"/>
  <c r="E442" i="4"/>
  <c r="D442" i="4"/>
  <c r="C442" i="4"/>
  <c r="B442" i="4"/>
  <c r="E441" i="4"/>
  <c r="D441" i="4"/>
  <c r="C441" i="4"/>
  <c r="B441" i="4"/>
  <c r="E440" i="4"/>
  <c r="D440" i="4"/>
  <c r="C440" i="4"/>
  <c r="B440" i="4"/>
  <c r="E439" i="4"/>
  <c r="D439" i="4"/>
  <c r="C439" i="4"/>
  <c r="B439" i="4"/>
  <c r="E438" i="4"/>
  <c r="D438" i="4"/>
  <c r="C438" i="4"/>
  <c r="B438" i="4"/>
  <c r="E437" i="4"/>
  <c r="D437" i="4"/>
  <c r="C437" i="4"/>
  <c r="B437" i="4"/>
  <c r="E436" i="4"/>
  <c r="D436" i="4"/>
  <c r="C436" i="4"/>
  <c r="B436" i="4"/>
  <c r="E435" i="4"/>
  <c r="D435" i="4"/>
  <c r="C435" i="4"/>
  <c r="B435" i="4"/>
  <c r="E434" i="4"/>
  <c r="D434" i="4"/>
  <c r="C434" i="4"/>
  <c r="B434" i="4"/>
  <c r="E433" i="4"/>
  <c r="D433" i="4"/>
  <c r="C433" i="4"/>
  <c r="B433" i="4"/>
  <c r="E432" i="4"/>
  <c r="D432" i="4"/>
  <c r="C432" i="4"/>
  <c r="B432" i="4"/>
  <c r="E431" i="4"/>
  <c r="D431" i="4"/>
  <c r="C431" i="4"/>
  <c r="B431" i="4"/>
  <c r="E430" i="4"/>
  <c r="D430" i="4"/>
  <c r="C430" i="4"/>
  <c r="B430" i="4"/>
  <c r="E429" i="4"/>
  <c r="D429" i="4"/>
  <c r="C429" i="4"/>
  <c r="B429" i="4"/>
  <c r="E428" i="4"/>
  <c r="D428" i="4"/>
  <c r="C428" i="4"/>
  <c r="B428" i="4"/>
  <c r="E427" i="4"/>
  <c r="D427" i="4"/>
  <c r="C427" i="4"/>
  <c r="B427" i="4"/>
  <c r="E426" i="4"/>
  <c r="D426" i="4"/>
  <c r="C426" i="4"/>
  <c r="B426" i="4"/>
  <c r="E425" i="4"/>
  <c r="D425" i="4"/>
  <c r="C425" i="4"/>
  <c r="B425" i="4"/>
  <c r="E424" i="4"/>
  <c r="D424" i="4"/>
  <c r="C424" i="4"/>
  <c r="B424" i="4"/>
  <c r="E423" i="4"/>
  <c r="D423" i="4"/>
  <c r="C423" i="4"/>
  <c r="B423" i="4"/>
  <c r="E422" i="4"/>
  <c r="D422" i="4"/>
  <c r="C422" i="4"/>
  <c r="B422" i="4"/>
  <c r="E421" i="4"/>
  <c r="D421" i="4"/>
  <c r="C421" i="4"/>
  <c r="B421" i="4"/>
  <c r="E420" i="4"/>
  <c r="D420" i="4"/>
  <c r="C420" i="4"/>
  <c r="B420" i="4"/>
  <c r="E419" i="4"/>
  <c r="D419" i="4"/>
  <c r="C419" i="4"/>
  <c r="B419" i="4"/>
  <c r="E418" i="4"/>
  <c r="D418" i="4"/>
  <c r="C418" i="4"/>
  <c r="B418" i="4"/>
  <c r="E417" i="4"/>
  <c r="D417" i="4"/>
  <c r="C417" i="4"/>
  <c r="B417" i="4"/>
  <c r="E416" i="4"/>
  <c r="D416" i="4"/>
  <c r="C416" i="4"/>
  <c r="B416" i="4"/>
  <c r="E415" i="4"/>
  <c r="D415" i="4"/>
  <c r="C415" i="4"/>
  <c r="B415" i="4"/>
  <c r="E414" i="4"/>
  <c r="D414" i="4"/>
  <c r="C414" i="4"/>
  <c r="B414" i="4"/>
  <c r="E413" i="4"/>
  <c r="D413" i="4"/>
  <c r="C413" i="4"/>
  <c r="B413" i="4"/>
  <c r="E412" i="4"/>
  <c r="D412" i="4"/>
  <c r="C412" i="4"/>
  <c r="B412" i="4"/>
  <c r="E411" i="4"/>
  <c r="D411" i="4"/>
  <c r="C411" i="4"/>
  <c r="B411" i="4"/>
  <c r="E410" i="4"/>
  <c r="D410" i="4"/>
  <c r="C410" i="4"/>
  <c r="B410" i="4"/>
  <c r="E409" i="4"/>
  <c r="D409" i="4"/>
  <c r="C409" i="4"/>
  <c r="B409" i="4"/>
  <c r="E408" i="4"/>
  <c r="D408" i="4"/>
  <c r="C408" i="4"/>
  <c r="B408" i="4"/>
  <c r="E407" i="4"/>
  <c r="D407" i="4"/>
  <c r="C407" i="4"/>
  <c r="B407" i="4"/>
  <c r="E406" i="4"/>
  <c r="D406" i="4"/>
  <c r="C406" i="4"/>
  <c r="B406" i="4"/>
  <c r="E405" i="4"/>
  <c r="D405" i="4"/>
  <c r="C405" i="4"/>
  <c r="B405" i="4"/>
  <c r="E404" i="4"/>
  <c r="D404" i="4"/>
  <c r="C404" i="4"/>
  <c r="B404" i="4"/>
  <c r="E403" i="4"/>
  <c r="D403" i="4"/>
  <c r="C403" i="4"/>
  <c r="B403" i="4"/>
  <c r="E402" i="4"/>
  <c r="D402" i="4"/>
  <c r="C402" i="4"/>
  <c r="B402" i="4"/>
  <c r="E401" i="4"/>
  <c r="D401" i="4"/>
  <c r="C401" i="4"/>
  <c r="B401" i="4"/>
  <c r="E400" i="4"/>
  <c r="D400" i="4"/>
  <c r="C400" i="4"/>
  <c r="B400" i="4"/>
  <c r="E399" i="4"/>
  <c r="D399" i="4"/>
  <c r="C399" i="4"/>
  <c r="B399" i="4"/>
  <c r="E398" i="4"/>
  <c r="D398" i="4"/>
  <c r="C398" i="4"/>
  <c r="B398" i="4"/>
  <c r="E397" i="4"/>
  <c r="D397" i="4"/>
  <c r="C397" i="4"/>
  <c r="B397" i="4"/>
  <c r="E396" i="4"/>
  <c r="D396" i="4"/>
  <c r="C396" i="4"/>
  <c r="B396" i="4"/>
  <c r="E395" i="4"/>
  <c r="D395" i="4"/>
  <c r="C395" i="4"/>
  <c r="B395" i="4"/>
  <c r="E394" i="4"/>
  <c r="D394" i="4"/>
  <c r="C394" i="4"/>
  <c r="B394" i="4"/>
  <c r="E393" i="4"/>
  <c r="D393" i="4"/>
  <c r="C393" i="4"/>
  <c r="B393" i="4"/>
  <c r="E392" i="4"/>
  <c r="D392" i="4"/>
  <c r="C392" i="4"/>
  <c r="B392" i="4"/>
  <c r="E391" i="4"/>
  <c r="D391" i="4"/>
  <c r="C391" i="4"/>
  <c r="B391" i="4"/>
  <c r="E390" i="4"/>
  <c r="D390" i="4"/>
  <c r="C390" i="4"/>
  <c r="B390" i="4"/>
  <c r="E389" i="4"/>
  <c r="D389" i="4"/>
  <c r="C389" i="4"/>
  <c r="B389" i="4"/>
  <c r="E388" i="4"/>
  <c r="D388" i="4"/>
  <c r="C388" i="4"/>
  <c r="B388" i="4"/>
  <c r="E387" i="4"/>
  <c r="D387" i="4"/>
  <c r="C387" i="4"/>
  <c r="B387" i="4"/>
  <c r="E386" i="4"/>
  <c r="D386" i="4"/>
  <c r="C386" i="4"/>
  <c r="B386" i="4"/>
  <c r="E385" i="4"/>
  <c r="D385" i="4"/>
  <c r="C385" i="4"/>
  <c r="B385" i="4"/>
  <c r="E384" i="4"/>
  <c r="D384" i="4"/>
  <c r="C384" i="4"/>
  <c r="B384" i="4"/>
  <c r="E383" i="4"/>
  <c r="D383" i="4"/>
  <c r="C383" i="4"/>
  <c r="B383" i="4"/>
  <c r="E382" i="4"/>
  <c r="D382" i="4"/>
  <c r="C382" i="4"/>
  <c r="B382" i="4"/>
  <c r="E381" i="4"/>
  <c r="D381" i="4"/>
  <c r="C381" i="4"/>
  <c r="B381" i="4"/>
  <c r="E380" i="4"/>
  <c r="D380" i="4"/>
  <c r="C380" i="4"/>
  <c r="B380" i="4"/>
  <c r="E379" i="4"/>
  <c r="D379" i="4"/>
  <c r="C379" i="4"/>
  <c r="B379" i="4"/>
  <c r="E378" i="4"/>
  <c r="D378" i="4"/>
  <c r="C378" i="4"/>
  <c r="B378" i="4"/>
  <c r="E377" i="4"/>
  <c r="D377" i="4"/>
  <c r="C377" i="4"/>
  <c r="B377" i="4"/>
  <c r="E376" i="4"/>
  <c r="D376" i="4"/>
  <c r="C376" i="4"/>
  <c r="B376" i="4"/>
  <c r="E375" i="4"/>
  <c r="D375" i="4"/>
  <c r="C375" i="4"/>
  <c r="B375" i="4"/>
  <c r="E374" i="4"/>
  <c r="D374" i="4"/>
  <c r="C374" i="4"/>
  <c r="B374" i="4"/>
  <c r="E373" i="4"/>
  <c r="D373" i="4"/>
  <c r="C373" i="4"/>
  <c r="B373" i="4"/>
  <c r="E372" i="4"/>
  <c r="D372" i="4"/>
  <c r="C372" i="4"/>
  <c r="B372" i="4"/>
  <c r="E371" i="4"/>
  <c r="D371" i="4"/>
  <c r="C371" i="4"/>
  <c r="B371" i="4"/>
  <c r="E370" i="4"/>
  <c r="D370" i="4"/>
  <c r="C370" i="4"/>
  <c r="B370" i="4"/>
  <c r="E369" i="4"/>
  <c r="D369" i="4"/>
  <c r="C369" i="4"/>
  <c r="B369" i="4"/>
  <c r="E368" i="4"/>
  <c r="D368" i="4"/>
  <c r="C368" i="4"/>
  <c r="B368" i="4"/>
  <c r="E367" i="4"/>
  <c r="D367" i="4"/>
  <c r="C367" i="4"/>
  <c r="B367" i="4"/>
  <c r="E366" i="4"/>
  <c r="D366" i="4"/>
  <c r="C366" i="4"/>
  <c r="B366" i="4"/>
  <c r="E365" i="4"/>
  <c r="D365" i="4"/>
  <c r="C365" i="4"/>
  <c r="B365" i="4"/>
  <c r="E364" i="4"/>
  <c r="D364" i="4"/>
  <c r="C364" i="4"/>
  <c r="B364" i="4"/>
  <c r="E363" i="4"/>
  <c r="D363" i="4"/>
  <c r="C363" i="4"/>
  <c r="B363" i="4"/>
  <c r="E362" i="4"/>
  <c r="D362" i="4"/>
  <c r="C362" i="4"/>
  <c r="B362" i="4"/>
  <c r="E361" i="4"/>
  <c r="D361" i="4"/>
  <c r="C361" i="4"/>
  <c r="B361" i="4"/>
  <c r="E360" i="4"/>
  <c r="D360" i="4"/>
  <c r="C360" i="4"/>
  <c r="B360" i="4"/>
  <c r="E359" i="4"/>
  <c r="D359" i="4"/>
  <c r="C359" i="4"/>
  <c r="B359" i="4"/>
  <c r="E358" i="4"/>
  <c r="D358" i="4"/>
  <c r="C358" i="4"/>
  <c r="B358" i="4"/>
  <c r="E357" i="4"/>
  <c r="D357" i="4"/>
  <c r="C357" i="4"/>
  <c r="B357" i="4"/>
  <c r="E356" i="4"/>
  <c r="D356" i="4"/>
  <c r="C356" i="4"/>
  <c r="B356" i="4"/>
  <c r="E355" i="4"/>
  <c r="D355" i="4"/>
  <c r="C355" i="4"/>
  <c r="B355" i="4"/>
  <c r="E354" i="4"/>
  <c r="D354" i="4"/>
  <c r="C354" i="4"/>
  <c r="B354" i="4"/>
  <c r="E353" i="4"/>
  <c r="D353" i="4"/>
  <c r="C353" i="4"/>
  <c r="B353" i="4"/>
  <c r="E352" i="4"/>
  <c r="D352" i="4"/>
  <c r="C352" i="4"/>
  <c r="B352" i="4"/>
  <c r="E351" i="4"/>
  <c r="D351" i="4"/>
  <c r="C351" i="4"/>
  <c r="B351" i="4"/>
  <c r="E350" i="4"/>
  <c r="D350" i="4"/>
  <c r="C350" i="4"/>
  <c r="B350" i="4"/>
  <c r="E349" i="4"/>
  <c r="D349" i="4"/>
  <c r="C349" i="4"/>
  <c r="B349" i="4"/>
  <c r="E348" i="4"/>
  <c r="D348" i="4"/>
  <c r="C348" i="4"/>
  <c r="B348" i="4"/>
  <c r="E347" i="4"/>
  <c r="D347" i="4"/>
  <c r="C347" i="4"/>
  <c r="B347" i="4"/>
  <c r="E346" i="4"/>
  <c r="D346" i="4"/>
  <c r="C346" i="4"/>
  <c r="B346" i="4"/>
  <c r="E345" i="4"/>
  <c r="D345" i="4"/>
  <c r="C345" i="4"/>
  <c r="B345" i="4"/>
  <c r="E344" i="4"/>
  <c r="D344" i="4"/>
  <c r="C344" i="4"/>
  <c r="B344" i="4"/>
  <c r="E343" i="4"/>
  <c r="D343" i="4"/>
  <c r="C343" i="4"/>
  <c r="B343" i="4"/>
  <c r="E342" i="4"/>
  <c r="D342" i="4"/>
  <c r="C342" i="4"/>
  <c r="B342" i="4"/>
  <c r="E341" i="4"/>
  <c r="D341" i="4"/>
  <c r="C341" i="4"/>
  <c r="B341" i="4"/>
  <c r="E340" i="4"/>
  <c r="D340" i="4"/>
  <c r="C340" i="4"/>
  <c r="B340" i="4"/>
  <c r="E339" i="4"/>
  <c r="D339" i="4"/>
  <c r="C339" i="4"/>
  <c r="B339" i="4"/>
  <c r="E338" i="4"/>
  <c r="D338" i="4"/>
  <c r="C338" i="4"/>
  <c r="B338" i="4"/>
  <c r="E337" i="4"/>
  <c r="D337" i="4"/>
  <c r="C337" i="4"/>
  <c r="B337" i="4"/>
  <c r="E336" i="4"/>
  <c r="D336" i="4"/>
  <c r="C336" i="4"/>
  <c r="B336" i="4"/>
  <c r="E335" i="4"/>
  <c r="D335" i="4"/>
  <c r="C335" i="4"/>
  <c r="B335" i="4"/>
  <c r="E334" i="4"/>
  <c r="D334" i="4"/>
  <c r="C334" i="4"/>
  <c r="B334" i="4"/>
  <c r="E333" i="4"/>
  <c r="D333" i="4"/>
  <c r="C333" i="4"/>
  <c r="B333" i="4"/>
  <c r="E332" i="4"/>
  <c r="D332" i="4"/>
  <c r="C332" i="4"/>
  <c r="B332" i="4"/>
  <c r="E331" i="4"/>
  <c r="D331" i="4"/>
  <c r="C331" i="4"/>
  <c r="B331" i="4"/>
  <c r="E330" i="4"/>
  <c r="D330" i="4"/>
  <c r="C330" i="4"/>
  <c r="B330" i="4"/>
  <c r="E329" i="4"/>
  <c r="D329" i="4"/>
  <c r="C329" i="4"/>
  <c r="B329" i="4"/>
  <c r="E328" i="4"/>
  <c r="D328" i="4"/>
  <c r="C328" i="4"/>
  <c r="B328" i="4"/>
  <c r="E327" i="4"/>
  <c r="D327" i="4"/>
  <c r="C327" i="4"/>
  <c r="B327" i="4"/>
  <c r="E326" i="4"/>
  <c r="D326" i="4"/>
  <c r="C326" i="4"/>
  <c r="B326" i="4"/>
  <c r="E325" i="4"/>
  <c r="D325" i="4"/>
  <c r="C325" i="4"/>
  <c r="B325" i="4"/>
  <c r="E324" i="4"/>
  <c r="D324" i="4"/>
  <c r="C324" i="4"/>
  <c r="B324" i="4"/>
  <c r="E323" i="4"/>
  <c r="D323" i="4"/>
  <c r="C323" i="4"/>
  <c r="B323" i="4"/>
  <c r="E322" i="4"/>
  <c r="D322" i="4"/>
  <c r="C322" i="4"/>
  <c r="B322" i="4"/>
  <c r="E321" i="4"/>
  <c r="D321" i="4"/>
  <c r="C321" i="4"/>
  <c r="B321" i="4"/>
  <c r="E320" i="4"/>
  <c r="D320" i="4"/>
  <c r="C320" i="4"/>
  <c r="B320" i="4"/>
  <c r="E319" i="4"/>
  <c r="D319" i="4"/>
  <c r="C319" i="4"/>
  <c r="B319" i="4"/>
  <c r="E318" i="4"/>
  <c r="D318" i="4"/>
  <c r="C318" i="4"/>
  <c r="B318" i="4"/>
  <c r="E317" i="4"/>
  <c r="D317" i="4"/>
  <c r="C317" i="4"/>
  <c r="B317" i="4"/>
  <c r="E316" i="4"/>
  <c r="D316" i="4"/>
  <c r="C316" i="4"/>
  <c r="B316" i="4"/>
  <c r="E315" i="4"/>
  <c r="D315" i="4"/>
  <c r="C315" i="4"/>
  <c r="B315" i="4"/>
  <c r="E314" i="4"/>
  <c r="D314" i="4"/>
  <c r="C314" i="4"/>
  <c r="B314" i="4"/>
  <c r="E313" i="4"/>
  <c r="D313" i="4"/>
  <c r="C313" i="4"/>
  <c r="B313" i="4"/>
  <c r="E312" i="4"/>
  <c r="D312" i="4"/>
  <c r="C312" i="4"/>
  <c r="B312" i="4"/>
  <c r="E311" i="4"/>
  <c r="D311" i="4"/>
  <c r="C311" i="4"/>
  <c r="B311" i="4"/>
  <c r="E310" i="4"/>
  <c r="D310" i="4"/>
  <c r="C310" i="4"/>
  <c r="B310" i="4"/>
  <c r="E309" i="4"/>
  <c r="D309" i="4"/>
  <c r="C309" i="4"/>
  <c r="B309" i="4"/>
  <c r="E308" i="4"/>
  <c r="D308" i="4"/>
  <c r="C308" i="4"/>
  <c r="B308" i="4"/>
  <c r="E307" i="4"/>
  <c r="D307" i="4"/>
  <c r="C307" i="4"/>
  <c r="B307" i="4"/>
  <c r="E306" i="4"/>
  <c r="D306" i="4"/>
  <c r="C306" i="4"/>
  <c r="B306" i="4"/>
  <c r="E305" i="4"/>
  <c r="D305" i="4"/>
  <c r="C305" i="4"/>
  <c r="B305" i="4"/>
  <c r="E304" i="4"/>
  <c r="D304" i="4"/>
  <c r="C304" i="4"/>
  <c r="B304" i="4"/>
  <c r="E303" i="4"/>
  <c r="D303" i="4"/>
  <c r="C303" i="4"/>
  <c r="B303" i="4"/>
  <c r="E302" i="4"/>
  <c r="D302" i="4"/>
  <c r="C302" i="4"/>
  <c r="B302" i="4"/>
  <c r="E301" i="4"/>
  <c r="D301" i="4"/>
  <c r="C301" i="4"/>
  <c r="B301" i="4"/>
  <c r="E300" i="4"/>
  <c r="D300" i="4"/>
  <c r="C300" i="4"/>
  <c r="B300" i="4"/>
  <c r="E299" i="4"/>
  <c r="D299" i="4"/>
  <c r="C299" i="4"/>
  <c r="B299" i="4"/>
  <c r="E298" i="4"/>
  <c r="D298" i="4"/>
  <c r="C298" i="4"/>
  <c r="B298" i="4"/>
  <c r="E297" i="4"/>
  <c r="D297" i="4"/>
  <c r="C297" i="4"/>
  <c r="B297" i="4"/>
  <c r="E296" i="4"/>
  <c r="D296" i="4"/>
  <c r="C296" i="4"/>
  <c r="B296" i="4"/>
  <c r="E295" i="4"/>
  <c r="D295" i="4"/>
  <c r="C295" i="4"/>
  <c r="B295" i="4"/>
  <c r="E294" i="4"/>
  <c r="D294" i="4"/>
  <c r="C294" i="4"/>
  <c r="B294" i="4"/>
  <c r="E293" i="4"/>
  <c r="D293" i="4"/>
  <c r="C293" i="4"/>
  <c r="B293" i="4"/>
  <c r="E292" i="4"/>
  <c r="D292" i="4"/>
  <c r="C292" i="4"/>
  <c r="B292" i="4"/>
  <c r="E291" i="4"/>
  <c r="D291" i="4"/>
  <c r="C291" i="4"/>
  <c r="B291" i="4"/>
  <c r="E290" i="4"/>
  <c r="D290" i="4"/>
  <c r="C290" i="4"/>
  <c r="B290" i="4"/>
  <c r="E289" i="4"/>
  <c r="D289" i="4"/>
  <c r="C289" i="4"/>
  <c r="B289" i="4"/>
  <c r="E288" i="4"/>
  <c r="D288" i="4"/>
  <c r="C288" i="4"/>
  <c r="B288" i="4"/>
  <c r="E287" i="4"/>
  <c r="D287" i="4"/>
  <c r="C287" i="4"/>
  <c r="B287" i="4"/>
  <c r="E286" i="4"/>
  <c r="D286" i="4"/>
  <c r="C286" i="4"/>
  <c r="B286" i="4"/>
  <c r="E285" i="4"/>
  <c r="D285" i="4"/>
  <c r="C285" i="4"/>
  <c r="B285" i="4"/>
  <c r="E284" i="4"/>
  <c r="D284" i="4"/>
  <c r="C284" i="4"/>
  <c r="B284" i="4"/>
  <c r="E283" i="4"/>
  <c r="D283" i="4"/>
  <c r="C283" i="4"/>
  <c r="B283" i="4"/>
  <c r="E282" i="4"/>
  <c r="D282" i="4"/>
  <c r="C282" i="4"/>
  <c r="B282" i="4"/>
  <c r="E281" i="4"/>
  <c r="D281" i="4"/>
  <c r="C281" i="4"/>
  <c r="B281" i="4"/>
  <c r="E280" i="4"/>
  <c r="D280" i="4"/>
  <c r="C280" i="4"/>
  <c r="B280" i="4"/>
  <c r="E279" i="4"/>
  <c r="D279" i="4"/>
  <c r="C279" i="4"/>
  <c r="B279" i="4"/>
  <c r="E278" i="4"/>
  <c r="D278" i="4"/>
  <c r="C278" i="4"/>
  <c r="B278" i="4"/>
  <c r="E277" i="4"/>
  <c r="D277" i="4"/>
  <c r="C277" i="4"/>
  <c r="B277" i="4"/>
  <c r="E276" i="4"/>
  <c r="D276" i="4"/>
  <c r="C276" i="4"/>
  <c r="B276" i="4"/>
  <c r="E275" i="4"/>
  <c r="D275" i="4"/>
  <c r="C275" i="4"/>
  <c r="B275" i="4"/>
  <c r="E274" i="4"/>
  <c r="D274" i="4"/>
  <c r="C274" i="4"/>
  <c r="B274" i="4"/>
  <c r="E273" i="4"/>
  <c r="D273" i="4"/>
  <c r="C273" i="4"/>
  <c r="B273" i="4"/>
  <c r="E272" i="4"/>
  <c r="D272" i="4"/>
  <c r="C272" i="4"/>
  <c r="B272" i="4"/>
  <c r="E271" i="4"/>
  <c r="D271" i="4"/>
  <c r="C271" i="4"/>
  <c r="B271" i="4"/>
  <c r="E270" i="4"/>
  <c r="D270" i="4"/>
  <c r="C270" i="4"/>
  <c r="B270" i="4"/>
  <c r="E269" i="4"/>
  <c r="D269" i="4"/>
  <c r="C269" i="4"/>
  <c r="B269" i="4"/>
  <c r="E268" i="4"/>
  <c r="D268" i="4"/>
  <c r="C268" i="4"/>
  <c r="B268" i="4"/>
  <c r="E267" i="4"/>
  <c r="D267" i="4"/>
  <c r="C267" i="4"/>
  <c r="B267" i="4"/>
  <c r="E266" i="4"/>
  <c r="D266" i="4"/>
  <c r="C266" i="4"/>
  <c r="B266" i="4"/>
  <c r="E265" i="4"/>
  <c r="D265" i="4"/>
  <c r="C265" i="4"/>
  <c r="B265" i="4"/>
  <c r="E264" i="4"/>
  <c r="D264" i="4"/>
  <c r="C264" i="4"/>
  <c r="B264" i="4"/>
  <c r="E263" i="4"/>
  <c r="D263" i="4"/>
  <c r="C263" i="4"/>
  <c r="B263" i="4"/>
  <c r="E262" i="4"/>
  <c r="D262" i="4"/>
  <c r="C262" i="4"/>
  <c r="B262" i="4"/>
  <c r="E261" i="4"/>
  <c r="D261" i="4"/>
  <c r="C261" i="4"/>
  <c r="B261" i="4"/>
  <c r="E260" i="4"/>
  <c r="D260" i="4"/>
  <c r="C260" i="4"/>
  <c r="B260" i="4"/>
  <c r="E259" i="4"/>
  <c r="D259" i="4"/>
  <c r="C259" i="4"/>
  <c r="B259" i="4"/>
  <c r="E258" i="4"/>
  <c r="D258" i="4"/>
  <c r="C258" i="4"/>
  <c r="B258" i="4"/>
  <c r="E257" i="4"/>
  <c r="D257" i="4"/>
  <c r="C257" i="4"/>
  <c r="B257" i="4"/>
  <c r="E256" i="4"/>
  <c r="D256" i="4"/>
  <c r="C256" i="4"/>
  <c r="B256" i="4"/>
  <c r="E255" i="4"/>
  <c r="D255" i="4"/>
  <c r="C255" i="4"/>
  <c r="B255" i="4"/>
  <c r="E254" i="4"/>
  <c r="D254" i="4"/>
  <c r="C254" i="4"/>
  <c r="B254" i="4"/>
  <c r="E253" i="4"/>
  <c r="D253" i="4"/>
  <c r="C253" i="4"/>
  <c r="B253" i="4"/>
  <c r="E252" i="4"/>
  <c r="D252" i="4"/>
  <c r="C252" i="4"/>
  <c r="B252" i="4"/>
  <c r="E251" i="4"/>
  <c r="D251" i="4"/>
  <c r="C251" i="4"/>
  <c r="B251" i="4"/>
  <c r="E250" i="4"/>
  <c r="D250" i="4"/>
  <c r="C250" i="4"/>
  <c r="B250" i="4"/>
  <c r="E249" i="4"/>
  <c r="D249" i="4"/>
  <c r="C249" i="4"/>
  <c r="B249" i="4"/>
  <c r="E248" i="4"/>
  <c r="D248" i="4"/>
  <c r="C248" i="4"/>
  <c r="B248" i="4"/>
  <c r="E247" i="4"/>
  <c r="D247" i="4"/>
  <c r="C247" i="4"/>
  <c r="B247" i="4"/>
  <c r="E246" i="4"/>
  <c r="D246" i="4"/>
  <c r="C246" i="4"/>
  <c r="B246" i="4"/>
  <c r="E245" i="4"/>
  <c r="D245" i="4"/>
  <c r="C245" i="4"/>
  <c r="B245" i="4"/>
  <c r="E244" i="4"/>
  <c r="D244" i="4"/>
  <c r="C244" i="4"/>
  <c r="B244" i="4"/>
  <c r="E243" i="4"/>
  <c r="D243" i="4"/>
  <c r="C243" i="4"/>
  <c r="B243" i="4"/>
  <c r="E242" i="4"/>
  <c r="D242" i="4"/>
  <c r="C242" i="4"/>
  <c r="B242" i="4"/>
  <c r="E241" i="4"/>
  <c r="D241" i="4"/>
  <c r="C241" i="4"/>
  <c r="B241" i="4"/>
  <c r="E240" i="4"/>
  <c r="D240" i="4"/>
  <c r="C240" i="4"/>
  <c r="B240" i="4"/>
  <c r="E239" i="4"/>
  <c r="D239" i="4"/>
  <c r="C239" i="4"/>
  <c r="B239" i="4"/>
  <c r="E238" i="4"/>
  <c r="D238" i="4"/>
  <c r="C238" i="4"/>
  <c r="B238" i="4"/>
  <c r="E237" i="4"/>
  <c r="D237" i="4"/>
  <c r="C237" i="4"/>
  <c r="B237" i="4"/>
  <c r="E236" i="4"/>
  <c r="D236" i="4"/>
  <c r="C236" i="4"/>
  <c r="B236" i="4"/>
  <c r="E235" i="4"/>
  <c r="D235" i="4"/>
  <c r="C235" i="4"/>
  <c r="B235" i="4"/>
  <c r="E234" i="4"/>
  <c r="D234" i="4"/>
  <c r="C234" i="4"/>
  <c r="B234" i="4"/>
  <c r="E233" i="4"/>
  <c r="D233" i="4"/>
  <c r="C233" i="4"/>
  <c r="B233" i="4"/>
  <c r="E232" i="4"/>
  <c r="D232" i="4"/>
  <c r="C232" i="4"/>
  <c r="B232" i="4"/>
  <c r="E231" i="4"/>
  <c r="D231" i="4"/>
  <c r="C231" i="4"/>
  <c r="B231" i="4"/>
  <c r="E230" i="4"/>
  <c r="D230" i="4"/>
  <c r="C230" i="4"/>
  <c r="B230" i="4"/>
  <c r="E229" i="4"/>
  <c r="D229" i="4"/>
  <c r="C229" i="4"/>
  <c r="B229" i="4"/>
  <c r="E228" i="4"/>
  <c r="D228" i="4"/>
  <c r="C228" i="4"/>
  <c r="B228" i="4"/>
  <c r="E227" i="4"/>
  <c r="D227" i="4"/>
  <c r="C227" i="4"/>
  <c r="B227" i="4"/>
  <c r="E226" i="4"/>
  <c r="D226" i="4"/>
  <c r="C226" i="4"/>
  <c r="B226" i="4"/>
  <c r="E225" i="4"/>
  <c r="D225" i="4"/>
  <c r="C225" i="4"/>
  <c r="B225" i="4"/>
  <c r="E224" i="4"/>
  <c r="D224" i="4"/>
  <c r="C224" i="4"/>
  <c r="B224" i="4"/>
  <c r="E223" i="4"/>
  <c r="D223" i="4"/>
  <c r="C223" i="4"/>
  <c r="B223" i="4"/>
  <c r="E222" i="4"/>
  <c r="D222" i="4"/>
  <c r="C222" i="4"/>
  <c r="B222" i="4"/>
  <c r="E221" i="4"/>
  <c r="D221" i="4"/>
  <c r="C221" i="4"/>
  <c r="B221" i="4"/>
  <c r="E220" i="4"/>
  <c r="D220" i="4"/>
  <c r="C220" i="4"/>
  <c r="B220" i="4"/>
  <c r="E219" i="4"/>
  <c r="D219" i="4"/>
  <c r="C219" i="4"/>
  <c r="B219" i="4"/>
  <c r="E218" i="4"/>
  <c r="D218" i="4"/>
  <c r="C218" i="4"/>
  <c r="B218" i="4"/>
  <c r="E217" i="4"/>
  <c r="D217" i="4"/>
  <c r="C217" i="4"/>
  <c r="B217" i="4"/>
  <c r="E216" i="4"/>
  <c r="D216" i="4"/>
  <c r="C216" i="4"/>
  <c r="B216" i="4"/>
  <c r="E215" i="4"/>
  <c r="D215" i="4"/>
  <c r="C215" i="4"/>
  <c r="B215" i="4"/>
  <c r="E214" i="4"/>
  <c r="D214" i="4"/>
  <c r="C214" i="4"/>
  <c r="B214" i="4"/>
  <c r="E213" i="4"/>
  <c r="D213" i="4"/>
  <c r="C213" i="4"/>
  <c r="B213" i="4"/>
  <c r="E212" i="4"/>
  <c r="D212" i="4"/>
  <c r="C212" i="4"/>
  <c r="B212" i="4"/>
  <c r="E211" i="4"/>
  <c r="D211" i="4"/>
  <c r="C211" i="4"/>
  <c r="B211" i="4"/>
  <c r="E210" i="4"/>
  <c r="D210" i="4"/>
  <c r="C210" i="4"/>
  <c r="B210" i="4"/>
  <c r="E209" i="4"/>
  <c r="D209" i="4"/>
  <c r="C209" i="4"/>
  <c r="B209" i="4"/>
  <c r="E208" i="4"/>
  <c r="D208" i="4"/>
  <c r="C208" i="4"/>
  <c r="B208" i="4"/>
  <c r="E207" i="4"/>
  <c r="D207" i="4"/>
  <c r="C207" i="4"/>
  <c r="B207" i="4"/>
  <c r="E206" i="4"/>
  <c r="D206" i="4"/>
  <c r="C206" i="4"/>
  <c r="B206" i="4"/>
  <c r="E205" i="4"/>
  <c r="D205" i="4"/>
  <c r="C205" i="4"/>
  <c r="B205" i="4"/>
  <c r="E204" i="4"/>
  <c r="D204" i="4"/>
  <c r="C204" i="4"/>
  <c r="B204" i="4"/>
  <c r="E203" i="4"/>
  <c r="D203" i="4"/>
  <c r="C203" i="4"/>
  <c r="B203" i="4"/>
  <c r="E202" i="4"/>
  <c r="D202" i="4"/>
  <c r="C202" i="4"/>
  <c r="B202" i="4"/>
  <c r="E201" i="4"/>
  <c r="D201" i="4"/>
  <c r="C201" i="4"/>
  <c r="B201" i="4"/>
  <c r="E200" i="4"/>
  <c r="D200" i="4"/>
  <c r="C200" i="4"/>
  <c r="B200" i="4"/>
  <c r="E199" i="4"/>
  <c r="D199" i="4"/>
  <c r="C199" i="4"/>
  <c r="B199" i="4"/>
  <c r="E198" i="4"/>
  <c r="D198" i="4"/>
  <c r="C198" i="4"/>
  <c r="B198" i="4"/>
  <c r="E197" i="4"/>
  <c r="D197" i="4"/>
  <c r="C197" i="4"/>
  <c r="B197" i="4"/>
  <c r="E196" i="4"/>
  <c r="D196" i="4"/>
  <c r="C196" i="4"/>
  <c r="B196" i="4"/>
  <c r="E195" i="4"/>
  <c r="D195" i="4"/>
  <c r="C195" i="4"/>
  <c r="B195" i="4"/>
  <c r="E194" i="4"/>
  <c r="D194" i="4"/>
  <c r="C194" i="4"/>
  <c r="B194" i="4"/>
  <c r="E193" i="4"/>
  <c r="D193" i="4"/>
  <c r="C193" i="4"/>
  <c r="B193" i="4"/>
  <c r="E192" i="4"/>
  <c r="D192" i="4"/>
  <c r="C192" i="4"/>
  <c r="B192" i="4"/>
  <c r="E191" i="4"/>
  <c r="D191" i="4"/>
  <c r="C191" i="4"/>
  <c r="B191" i="4"/>
  <c r="E190" i="4"/>
  <c r="D190" i="4"/>
  <c r="C190" i="4"/>
  <c r="B190" i="4"/>
  <c r="E189" i="4"/>
  <c r="D189" i="4"/>
  <c r="C189" i="4"/>
  <c r="B189" i="4"/>
  <c r="E188" i="4"/>
  <c r="D188" i="4"/>
  <c r="C188" i="4"/>
  <c r="B188" i="4"/>
  <c r="E187" i="4"/>
  <c r="D187" i="4"/>
  <c r="C187" i="4"/>
  <c r="B187" i="4"/>
  <c r="E186" i="4"/>
  <c r="D186" i="4"/>
  <c r="C186" i="4"/>
  <c r="B186" i="4"/>
  <c r="E185" i="4"/>
  <c r="D185" i="4"/>
  <c r="C185" i="4"/>
  <c r="B185" i="4"/>
  <c r="E184" i="4"/>
  <c r="D184" i="4"/>
  <c r="C184" i="4"/>
  <c r="B184" i="4"/>
  <c r="E183" i="4"/>
  <c r="D183" i="4"/>
  <c r="C183" i="4"/>
  <c r="B183" i="4"/>
  <c r="E182" i="4"/>
  <c r="D182" i="4"/>
  <c r="C182" i="4"/>
  <c r="B182" i="4"/>
  <c r="E181" i="4"/>
  <c r="D181" i="4"/>
  <c r="C181" i="4"/>
  <c r="B181" i="4"/>
  <c r="E180" i="4"/>
  <c r="D180" i="4"/>
  <c r="C180" i="4"/>
  <c r="B180" i="4"/>
  <c r="E179" i="4"/>
  <c r="D179" i="4"/>
  <c r="C179" i="4"/>
  <c r="B179" i="4"/>
  <c r="E178" i="4"/>
  <c r="D178" i="4"/>
  <c r="C178" i="4"/>
  <c r="B178" i="4"/>
  <c r="E177" i="4"/>
  <c r="D177" i="4"/>
  <c r="C177" i="4"/>
  <c r="B177" i="4"/>
  <c r="E176" i="4"/>
  <c r="D176" i="4"/>
  <c r="C176" i="4"/>
  <c r="B176" i="4"/>
  <c r="E175" i="4"/>
  <c r="D175" i="4"/>
  <c r="C175" i="4"/>
  <c r="B175" i="4"/>
  <c r="E174" i="4"/>
  <c r="D174" i="4"/>
  <c r="C174" i="4"/>
  <c r="B174" i="4"/>
  <c r="E173" i="4"/>
  <c r="D173" i="4"/>
  <c r="C173" i="4"/>
  <c r="B173" i="4"/>
  <c r="E172" i="4"/>
  <c r="D172" i="4"/>
  <c r="C172" i="4"/>
  <c r="B172" i="4"/>
  <c r="E171" i="4"/>
  <c r="D171" i="4"/>
  <c r="C171" i="4"/>
  <c r="B171" i="4"/>
  <c r="E170" i="4"/>
  <c r="D170" i="4"/>
  <c r="C170" i="4"/>
  <c r="B170" i="4"/>
  <c r="E169" i="4"/>
  <c r="D169" i="4"/>
  <c r="C169" i="4"/>
  <c r="B169" i="4"/>
  <c r="E168" i="4"/>
  <c r="D168" i="4"/>
  <c r="C168" i="4"/>
  <c r="B168" i="4"/>
  <c r="E167" i="4"/>
  <c r="D167" i="4"/>
  <c r="C167" i="4"/>
  <c r="B167" i="4"/>
  <c r="E166" i="4"/>
  <c r="D166" i="4"/>
  <c r="C166" i="4"/>
  <c r="B166" i="4"/>
  <c r="E165" i="4"/>
  <c r="D165" i="4"/>
  <c r="C165" i="4"/>
  <c r="B165" i="4"/>
  <c r="E164" i="4"/>
  <c r="D164" i="4"/>
  <c r="C164" i="4"/>
  <c r="B164" i="4"/>
  <c r="E163" i="4"/>
  <c r="D163" i="4"/>
  <c r="C163" i="4"/>
  <c r="B163" i="4"/>
  <c r="E162" i="4"/>
  <c r="D162" i="4"/>
  <c r="C162" i="4"/>
  <c r="B162" i="4"/>
  <c r="E161" i="4"/>
  <c r="D161" i="4"/>
  <c r="C161" i="4"/>
  <c r="B161" i="4"/>
  <c r="E160" i="4"/>
  <c r="D160" i="4"/>
  <c r="C160" i="4"/>
  <c r="B160" i="4"/>
  <c r="E159" i="4"/>
  <c r="D159" i="4"/>
  <c r="C159" i="4"/>
  <c r="B159" i="4"/>
  <c r="E158" i="4"/>
  <c r="D158" i="4"/>
  <c r="C158" i="4"/>
  <c r="B158" i="4"/>
  <c r="E157" i="4"/>
  <c r="D157" i="4"/>
  <c r="C157" i="4"/>
  <c r="B157" i="4"/>
  <c r="E156" i="4"/>
  <c r="D156" i="4"/>
  <c r="C156" i="4"/>
  <c r="B156" i="4"/>
  <c r="E155" i="4"/>
  <c r="D155" i="4"/>
  <c r="C155" i="4"/>
  <c r="B155" i="4"/>
  <c r="E154" i="4"/>
  <c r="D154" i="4"/>
  <c r="C154" i="4"/>
  <c r="B154" i="4"/>
  <c r="E153" i="4"/>
  <c r="D153" i="4"/>
  <c r="C153" i="4"/>
  <c r="B153" i="4"/>
  <c r="E152" i="4"/>
  <c r="D152" i="4"/>
  <c r="C152" i="4"/>
  <c r="B152" i="4"/>
  <c r="E151" i="4"/>
  <c r="D151" i="4"/>
  <c r="C151" i="4"/>
  <c r="B151" i="4"/>
  <c r="E150" i="4"/>
  <c r="D150" i="4"/>
  <c r="C150" i="4"/>
  <c r="B150" i="4"/>
  <c r="E149" i="4"/>
  <c r="D149" i="4"/>
  <c r="C149" i="4"/>
  <c r="B149" i="4"/>
  <c r="E148" i="4"/>
  <c r="D148" i="4"/>
  <c r="C148" i="4"/>
  <c r="B148" i="4"/>
  <c r="E147" i="4"/>
  <c r="D147" i="4"/>
  <c r="C147" i="4"/>
  <c r="B147" i="4"/>
  <c r="E146" i="4"/>
  <c r="D146" i="4"/>
  <c r="C146" i="4"/>
  <c r="B146" i="4"/>
  <c r="E145" i="4"/>
  <c r="D145" i="4"/>
  <c r="C145" i="4"/>
  <c r="B145" i="4"/>
  <c r="E144" i="4"/>
  <c r="D144" i="4"/>
  <c r="C144" i="4"/>
  <c r="B144" i="4"/>
  <c r="E143" i="4"/>
  <c r="D143" i="4"/>
  <c r="C143" i="4"/>
  <c r="B143" i="4"/>
  <c r="E142" i="4"/>
  <c r="D142" i="4"/>
  <c r="C142" i="4"/>
  <c r="B142" i="4"/>
  <c r="E141" i="4"/>
  <c r="D141" i="4"/>
  <c r="C141" i="4"/>
  <c r="B141" i="4"/>
  <c r="E140" i="4"/>
  <c r="D140" i="4"/>
  <c r="C140" i="4"/>
  <c r="B140" i="4"/>
  <c r="E139" i="4"/>
  <c r="D139" i="4"/>
  <c r="C139" i="4"/>
  <c r="B139" i="4"/>
  <c r="E138" i="4"/>
  <c r="D138" i="4"/>
  <c r="C138" i="4"/>
  <c r="B138" i="4"/>
  <c r="E137" i="4"/>
  <c r="D137" i="4"/>
  <c r="C137" i="4"/>
  <c r="B137" i="4"/>
  <c r="E136" i="4"/>
  <c r="D136" i="4"/>
  <c r="C136" i="4"/>
  <c r="B136" i="4"/>
  <c r="E135" i="4"/>
  <c r="D135" i="4"/>
  <c r="C135" i="4"/>
  <c r="B135" i="4"/>
  <c r="E134" i="4"/>
  <c r="D134" i="4"/>
  <c r="C134" i="4"/>
  <c r="B134" i="4"/>
  <c r="E133" i="4"/>
  <c r="D133" i="4"/>
  <c r="C133" i="4"/>
  <c r="B133" i="4"/>
  <c r="E132" i="4"/>
  <c r="D132" i="4"/>
  <c r="C132" i="4"/>
  <c r="B132" i="4"/>
  <c r="E131" i="4"/>
  <c r="D131" i="4"/>
  <c r="C131" i="4"/>
  <c r="B131" i="4"/>
  <c r="E130" i="4"/>
  <c r="D130" i="4"/>
  <c r="C130" i="4"/>
  <c r="B130" i="4"/>
  <c r="E129" i="4"/>
  <c r="D129" i="4"/>
  <c r="C129" i="4"/>
  <c r="B129" i="4"/>
  <c r="E128" i="4"/>
  <c r="D128" i="4"/>
  <c r="C128" i="4"/>
  <c r="B128" i="4"/>
  <c r="E127" i="4"/>
  <c r="D127" i="4"/>
  <c r="C127" i="4"/>
  <c r="B127" i="4"/>
  <c r="E126" i="4"/>
  <c r="D126" i="4"/>
  <c r="C126" i="4"/>
  <c r="B126" i="4"/>
  <c r="E125" i="4"/>
  <c r="D125" i="4"/>
  <c r="C125" i="4"/>
  <c r="B125" i="4"/>
  <c r="E124" i="4"/>
  <c r="D124" i="4"/>
  <c r="C124" i="4"/>
  <c r="B124" i="4"/>
  <c r="E123" i="4"/>
  <c r="D123" i="4"/>
  <c r="C123" i="4"/>
  <c r="B123" i="4"/>
  <c r="E122" i="4"/>
  <c r="D122" i="4"/>
  <c r="C122" i="4"/>
  <c r="B122" i="4"/>
  <c r="E121" i="4"/>
  <c r="D121" i="4"/>
  <c r="C121" i="4"/>
  <c r="B121" i="4"/>
  <c r="E120" i="4"/>
  <c r="D120" i="4"/>
  <c r="C120" i="4"/>
  <c r="B120" i="4"/>
  <c r="E119" i="4"/>
  <c r="D119" i="4"/>
  <c r="C119" i="4"/>
  <c r="B119" i="4"/>
  <c r="E118" i="4"/>
  <c r="D118" i="4"/>
  <c r="C118" i="4"/>
  <c r="B118" i="4"/>
  <c r="E117" i="4"/>
  <c r="D117" i="4"/>
  <c r="C117" i="4"/>
  <c r="B117" i="4"/>
  <c r="E116" i="4"/>
  <c r="D116" i="4"/>
  <c r="C116" i="4"/>
  <c r="B116" i="4"/>
  <c r="E115" i="4"/>
  <c r="D115" i="4"/>
  <c r="C115" i="4"/>
  <c r="B115" i="4"/>
  <c r="E114" i="4"/>
  <c r="D114" i="4"/>
  <c r="C114" i="4"/>
  <c r="B114" i="4"/>
  <c r="E113" i="4"/>
  <c r="D113" i="4"/>
  <c r="C113" i="4"/>
  <c r="B113" i="4"/>
  <c r="E112" i="4"/>
  <c r="D112" i="4"/>
  <c r="C112" i="4"/>
  <c r="B112" i="4"/>
  <c r="E111" i="4"/>
  <c r="D111" i="4"/>
  <c r="C111" i="4"/>
  <c r="B111" i="4"/>
  <c r="E110" i="4"/>
  <c r="D110" i="4"/>
  <c r="C110" i="4"/>
  <c r="B110" i="4"/>
  <c r="E109" i="4"/>
  <c r="D109" i="4"/>
  <c r="C109" i="4"/>
  <c r="B109" i="4"/>
  <c r="E108" i="4"/>
  <c r="D108" i="4"/>
  <c r="C108" i="4"/>
  <c r="B108" i="4"/>
  <c r="E107" i="4"/>
  <c r="D107" i="4"/>
  <c r="C107" i="4"/>
  <c r="B107" i="4"/>
  <c r="E106" i="4"/>
  <c r="D106" i="4"/>
  <c r="C106" i="4"/>
  <c r="B106" i="4"/>
  <c r="E105" i="4"/>
  <c r="D105" i="4"/>
  <c r="C105" i="4"/>
  <c r="B105" i="4"/>
  <c r="E104" i="4"/>
  <c r="D104" i="4"/>
  <c r="C104" i="4"/>
  <c r="B104" i="4"/>
  <c r="E103" i="4"/>
  <c r="D103" i="4"/>
  <c r="C103" i="4"/>
  <c r="B103" i="4"/>
  <c r="E102" i="4"/>
  <c r="D102" i="4"/>
  <c r="C102" i="4"/>
  <c r="B102" i="4"/>
  <c r="E101" i="4"/>
  <c r="D101" i="4"/>
  <c r="C101" i="4"/>
  <c r="B101" i="4"/>
  <c r="E100" i="4"/>
  <c r="D100" i="4"/>
  <c r="C100" i="4"/>
  <c r="B100" i="4"/>
  <c r="E99" i="4"/>
  <c r="D99" i="4"/>
  <c r="C99" i="4"/>
  <c r="B99" i="4"/>
  <c r="E98" i="4"/>
  <c r="D98" i="4"/>
  <c r="C98" i="4"/>
  <c r="B98" i="4"/>
  <c r="E97" i="4"/>
  <c r="D97" i="4"/>
  <c r="C97" i="4"/>
  <c r="B97" i="4"/>
  <c r="E96" i="4"/>
  <c r="D96" i="4"/>
  <c r="C96" i="4"/>
  <c r="B96" i="4"/>
  <c r="E95" i="4"/>
  <c r="D95" i="4"/>
  <c r="C95" i="4"/>
  <c r="B95" i="4"/>
  <c r="E94" i="4"/>
  <c r="D94" i="4"/>
  <c r="C94" i="4"/>
  <c r="B94" i="4"/>
  <c r="E93" i="4"/>
  <c r="D93" i="4"/>
  <c r="C93" i="4"/>
  <c r="B93" i="4"/>
  <c r="E92" i="4"/>
  <c r="D92" i="4"/>
  <c r="C92" i="4"/>
  <c r="B92" i="4"/>
  <c r="E91" i="4"/>
  <c r="D91" i="4"/>
  <c r="C91" i="4"/>
  <c r="B91" i="4"/>
  <c r="E90" i="4"/>
  <c r="D90" i="4"/>
  <c r="C90" i="4"/>
  <c r="B90" i="4"/>
  <c r="E89" i="4"/>
  <c r="D89" i="4"/>
  <c r="C89" i="4"/>
  <c r="B89" i="4"/>
  <c r="E88" i="4"/>
  <c r="D88" i="4"/>
  <c r="C88" i="4"/>
  <c r="B88" i="4"/>
  <c r="E87" i="4"/>
  <c r="D87" i="4"/>
  <c r="C87" i="4"/>
  <c r="B87" i="4"/>
  <c r="E86" i="4"/>
  <c r="D86" i="4"/>
  <c r="C86" i="4"/>
  <c r="B86" i="4"/>
  <c r="E85" i="4"/>
  <c r="D85" i="4"/>
  <c r="C85" i="4"/>
  <c r="B85" i="4"/>
  <c r="E84" i="4"/>
  <c r="D84" i="4"/>
  <c r="C84" i="4"/>
  <c r="B84" i="4"/>
  <c r="E83" i="4"/>
  <c r="D83" i="4"/>
  <c r="C83" i="4"/>
  <c r="B83" i="4"/>
  <c r="E82" i="4"/>
  <c r="D82" i="4"/>
  <c r="C82" i="4"/>
  <c r="B82" i="4"/>
  <c r="E81" i="4"/>
  <c r="D81" i="4"/>
  <c r="C81" i="4"/>
  <c r="B81" i="4"/>
  <c r="E80" i="4"/>
  <c r="D80" i="4"/>
  <c r="C80" i="4"/>
  <c r="B80" i="4"/>
  <c r="E79" i="4"/>
  <c r="D79" i="4"/>
  <c r="C79" i="4"/>
  <c r="B79" i="4"/>
  <c r="E78" i="4"/>
  <c r="D78" i="4"/>
  <c r="C78" i="4"/>
  <c r="B78" i="4"/>
  <c r="E77" i="4"/>
  <c r="D77" i="4"/>
  <c r="C77" i="4"/>
  <c r="B77" i="4"/>
  <c r="E76" i="4"/>
  <c r="D76" i="4"/>
  <c r="C76" i="4"/>
  <c r="B76" i="4"/>
  <c r="E75" i="4"/>
  <c r="D75" i="4"/>
  <c r="C75" i="4"/>
  <c r="B75" i="4"/>
  <c r="E74" i="4"/>
  <c r="D74" i="4"/>
  <c r="C74" i="4"/>
  <c r="B74" i="4"/>
  <c r="E73" i="4"/>
  <c r="D73" i="4"/>
  <c r="C73" i="4"/>
  <c r="B73" i="4"/>
  <c r="E72" i="4"/>
  <c r="D72" i="4"/>
  <c r="C72" i="4"/>
  <c r="B72" i="4"/>
  <c r="E71" i="4"/>
  <c r="D71" i="4"/>
  <c r="C71" i="4"/>
  <c r="B71" i="4"/>
  <c r="E70" i="4"/>
  <c r="D70" i="4"/>
  <c r="C70" i="4"/>
  <c r="B70" i="4"/>
  <c r="E69" i="4"/>
  <c r="D69" i="4"/>
  <c r="C69" i="4"/>
  <c r="B69" i="4"/>
  <c r="E68" i="4"/>
  <c r="D68" i="4"/>
  <c r="C68" i="4"/>
  <c r="B68" i="4"/>
  <c r="E67" i="4"/>
  <c r="D67" i="4"/>
  <c r="C67" i="4"/>
  <c r="B67" i="4"/>
  <c r="E66" i="4"/>
  <c r="D66" i="4"/>
  <c r="C66" i="4"/>
  <c r="B66" i="4"/>
  <c r="E65" i="4"/>
  <c r="D65" i="4"/>
  <c r="C65" i="4"/>
  <c r="B65" i="4"/>
  <c r="E64" i="4"/>
  <c r="D64" i="4"/>
  <c r="C64" i="4"/>
  <c r="B64" i="4"/>
  <c r="E63" i="4"/>
  <c r="D63" i="4"/>
  <c r="C63" i="4"/>
  <c r="B63" i="4"/>
  <c r="E62" i="4"/>
  <c r="D62" i="4"/>
  <c r="C62" i="4"/>
  <c r="B62" i="4"/>
  <c r="E61" i="4"/>
  <c r="D61" i="4"/>
  <c r="C61" i="4"/>
  <c r="B61" i="4"/>
  <c r="E60" i="4"/>
  <c r="D60" i="4"/>
  <c r="C60" i="4"/>
  <c r="B60" i="4"/>
  <c r="E59" i="4"/>
  <c r="D59" i="4"/>
  <c r="C59" i="4"/>
  <c r="B59" i="4"/>
  <c r="E58" i="4"/>
  <c r="D58" i="4"/>
  <c r="C58" i="4"/>
  <c r="B58" i="4"/>
  <c r="E57" i="4"/>
  <c r="D57" i="4"/>
  <c r="C57" i="4"/>
  <c r="B57" i="4"/>
  <c r="E56" i="4"/>
  <c r="D56" i="4"/>
  <c r="C56" i="4"/>
  <c r="B56" i="4"/>
  <c r="E55" i="4"/>
  <c r="D55" i="4"/>
  <c r="C55" i="4"/>
  <c r="B55" i="4"/>
  <c r="E54" i="4"/>
  <c r="D54" i="4"/>
  <c r="C54" i="4"/>
  <c r="B54" i="4"/>
  <c r="E53" i="4"/>
  <c r="D53" i="4"/>
  <c r="C53" i="4"/>
  <c r="B53" i="4"/>
  <c r="E52" i="4"/>
  <c r="D52" i="4"/>
  <c r="C52" i="4"/>
  <c r="B52" i="4"/>
  <c r="E51" i="4"/>
  <c r="D51" i="4"/>
  <c r="C51" i="4"/>
  <c r="B51" i="4"/>
  <c r="E50" i="4"/>
  <c r="D50" i="4"/>
  <c r="C50" i="4"/>
  <c r="B50" i="4"/>
  <c r="E49" i="4"/>
  <c r="D49" i="4"/>
  <c r="C49" i="4"/>
  <c r="B49" i="4"/>
  <c r="E48" i="4"/>
  <c r="D48" i="4"/>
  <c r="C48" i="4"/>
  <c r="B48" i="4"/>
  <c r="E47" i="4"/>
  <c r="D47" i="4"/>
  <c r="C47" i="4"/>
  <c r="B47" i="4"/>
  <c r="E46" i="4"/>
  <c r="D46" i="4"/>
  <c r="C46" i="4"/>
  <c r="B46" i="4"/>
  <c r="E45" i="4"/>
  <c r="D45" i="4"/>
  <c r="C45" i="4"/>
  <c r="B45" i="4"/>
  <c r="E44" i="4"/>
  <c r="D44" i="4"/>
  <c r="C44" i="4"/>
  <c r="B44" i="4"/>
  <c r="E43" i="4"/>
  <c r="D43" i="4"/>
  <c r="C43" i="4"/>
  <c r="B43" i="4"/>
  <c r="E42" i="4"/>
  <c r="D42" i="4"/>
  <c r="C42" i="4"/>
  <c r="B42" i="4"/>
  <c r="E41" i="4"/>
  <c r="D41" i="4"/>
  <c r="C41" i="4"/>
  <c r="B41" i="4"/>
  <c r="E40" i="4"/>
  <c r="D40" i="4"/>
  <c r="C40" i="4"/>
  <c r="B40" i="4"/>
  <c r="E39" i="4"/>
  <c r="D39" i="4"/>
  <c r="C39" i="4"/>
  <c r="B39" i="4"/>
  <c r="E38" i="4"/>
  <c r="D38" i="4"/>
  <c r="C38" i="4"/>
  <c r="B38" i="4"/>
  <c r="E37" i="4"/>
  <c r="D37" i="4"/>
  <c r="C37" i="4"/>
  <c r="B37" i="4"/>
  <c r="E36" i="4"/>
  <c r="D36" i="4"/>
  <c r="C36" i="4"/>
  <c r="B36" i="4"/>
  <c r="E35" i="4"/>
  <c r="D35" i="4"/>
  <c r="C35" i="4"/>
  <c r="B35" i="4"/>
  <c r="E34" i="4"/>
  <c r="D34" i="4"/>
  <c r="C34" i="4"/>
  <c r="B34" i="4"/>
  <c r="E33" i="4"/>
  <c r="D33" i="4"/>
  <c r="C33" i="4"/>
  <c r="B33" i="4"/>
  <c r="E32" i="4"/>
  <c r="D32" i="4"/>
  <c r="C32" i="4"/>
  <c r="B32" i="4"/>
  <c r="E31" i="4"/>
  <c r="D31" i="4"/>
  <c r="C31" i="4"/>
  <c r="B31" i="4"/>
  <c r="E30" i="4"/>
  <c r="D30" i="4"/>
  <c r="C30" i="4"/>
  <c r="B30" i="4"/>
  <c r="E29" i="4"/>
  <c r="D29" i="4"/>
  <c r="C29" i="4"/>
  <c r="B29" i="4"/>
  <c r="E28" i="4"/>
  <c r="D28" i="4"/>
  <c r="C28" i="4"/>
  <c r="B28" i="4"/>
  <c r="E27" i="4"/>
  <c r="D27" i="4"/>
  <c r="C27" i="4"/>
  <c r="B27" i="4"/>
  <c r="E26" i="4"/>
  <c r="D26" i="4"/>
  <c r="C26" i="4"/>
  <c r="B26" i="4"/>
  <c r="E25" i="4"/>
  <c r="D25" i="4"/>
  <c r="C25" i="4"/>
  <c r="B25" i="4"/>
  <c r="E24" i="4"/>
  <c r="D24" i="4"/>
  <c r="C24" i="4"/>
  <c r="B24" i="4"/>
  <c r="E23" i="4"/>
  <c r="D23" i="4"/>
  <c r="C23" i="4"/>
  <c r="B23" i="4"/>
  <c r="E22" i="4"/>
  <c r="D22" i="4"/>
  <c r="C22" i="4"/>
  <c r="B22" i="4"/>
  <c r="E21" i="4"/>
  <c r="D21" i="4"/>
  <c r="C21" i="4"/>
  <c r="B21" i="4"/>
  <c r="E20" i="4"/>
  <c r="D20" i="4"/>
  <c r="C20" i="4"/>
  <c r="B20" i="4"/>
  <c r="E19" i="4"/>
  <c r="D19" i="4"/>
  <c r="C19" i="4"/>
  <c r="B19" i="4"/>
  <c r="E18" i="4"/>
  <c r="D18" i="4"/>
  <c r="C18" i="4"/>
  <c r="B18" i="4"/>
  <c r="E17" i="4"/>
  <c r="D17" i="4"/>
  <c r="C17" i="4"/>
  <c r="B17" i="4"/>
  <c r="E16" i="4"/>
  <c r="D16" i="4"/>
  <c r="C16" i="4"/>
  <c r="B16" i="4"/>
  <c r="E15" i="4"/>
  <c r="D15" i="4"/>
  <c r="C15" i="4"/>
  <c r="B15" i="4"/>
  <c r="E14" i="4"/>
  <c r="D14" i="4"/>
  <c r="C14" i="4"/>
  <c r="B14" i="4"/>
  <c r="E13" i="4"/>
  <c r="D13" i="4"/>
  <c r="C13" i="4"/>
  <c r="B13" i="4"/>
  <c r="E12" i="4"/>
  <c r="D12" i="4"/>
  <c r="C12" i="4"/>
  <c r="B12" i="4"/>
  <c r="E11" i="4"/>
  <c r="D11" i="4"/>
  <c r="C11" i="4"/>
  <c r="B11" i="4"/>
  <c r="E10" i="4"/>
  <c r="D10" i="4"/>
  <c r="C10" i="4"/>
  <c r="B10" i="4"/>
  <c r="E9" i="4"/>
  <c r="D9" i="4"/>
  <c r="C9" i="4"/>
  <c r="B9" i="4"/>
  <c r="E8" i="4"/>
  <c r="D8" i="4"/>
  <c r="C8" i="4"/>
  <c r="B8" i="4"/>
  <c r="E7" i="4"/>
  <c r="D7" i="4"/>
  <c r="C7" i="4"/>
  <c r="B7" i="4"/>
  <c r="E6" i="4"/>
  <c r="D6" i="4"/>
  <c r="C6" i="4"/>
  <c r="B6" i="4"/>
  <c r="E5" i="4"/>
  <c r="D5" i="4"/>
  <c r="C5" i="4"/>
  <c r="B5" i="4"/>
  <c r="E4" i="4"/>
  <c r="D4" i="4"/>
  <c r="C4" i="4"/>
  <c r="B4" i="4"/>
  <c r="E3" i="4"/>
  <c r="D3" i="4"/>
  <c r="C3" i="4"/>
  <c r="B3" i="4"/>
  <c r="E2" i="4"/>
  <c r="D2" i="4"/>
  <c r="C2" i="4"/>
  <c r="B2" i="4"/>
  <c r="A2" i="4"/>
  <c r="T3" i="1"/>
  <c r="AE2125" i="1"/>
  <c r="AE2124" i="1"/>
  <c r="AE2123" i="1"/>
  <c r="AE2122" i="1"/>
  <c r="AE2121" i="1"/>
  <c r="AE2120" i="1"/>
  <c r="AE2119" i="1"/>
  <c r="AE2118" i="1"/>
  <c r="AE2117" i="1"/>
  <c r="AE2116" i="1"/>
  <c r="AE2115" i="1"/>
  <c r="AE2114" i="1"/>
  <c r="AE2113" i="1"/>
  <c r="AE2112" i="1"/>
  <c r="AE2111" i="1"/>
  <c r="AE2110" i="1"/>
  <c r="AE2109" i="1"/>
  <c r="AE2108" i="1"/>
  <c r="AE2107" i="1"/>
  <c r="AE2106" i="1"/>
  <c r="AE2105" i="1"/>
  <c r="AE2104" i="1"/>
  <c r="AE2103" i="1"/>
  <c r="AE2102" i="1"/>
  <c r="AE2101" i="1"/>
  <c r="AE2100" i="1"/>
  <c r="AE2099" i="1"/>
  <c r="AE2098" i="1"/>
  <c r="AE2097" i="1"/>
  <c r="AE2096" i="1"/>
  <c r="AE2095" i="1"/>
  <c r="AE2094" i="1"/>
  <c r="AE2093" i="1"/>
  <c r="AE2092" i="1"/>
  <c r="AE2091" i="1"/>
  <c r="AE2090" i="1"/>
  <c r="AE2089" i="1"/>
  <c r="AE2088" i="1"/>
  <c r="AE2087" i="1"/>
  <c r="AE2086" i="1"/>
  <c r="AE2085" i="1"/>
  <c r="AE2084" i="1"/>
  <c r="AE2083" i="1"/>
  <c r="AE2082" i="1"/>
  <c r="AE2081" i="1"/>
  <c r="AE2080" i="1"/>
  <c r="AE2079" i="1"/>
  <c r="AE2078" i="1"/>
  <c r="AE2077" i="1"/>
  <c r="AE2076" i="1"/>
  <c r="AE2075" i="1"/>
  <c r="AE2074" i="1"/>
  <c r="AE2073" i="1"/>
  <c r="AE2072" i="1"/>
  <c r="AE2071" i="1"/>
  <c r="AE2070" i="1"/>
  <c r="AE2069" i="1"/>
  <c r="AE2068" i="1"/>
  <c r="AE2067" i="1"/>
  <c r="AE2066" i="1"/>
  <c r="AE2065" i="1"/>
  <c r="AE2064" i="1"/>
  <c r="AE2063" i="1"/>
  <c r="AE2062" i="1"/>
  <c r="AE2061" i="1"/>
  <c r="AE2060" i="1"/>
  <c r="AE2059" i="1"/>
  <c r="AE2058" i="1"/>
  <c r="AE2057" i="1"/>
  <c r="AE2056" i="1"/>
  <c r="AE2055" i="1"/>
  <c r="AE2054" i="1"/>
  <c r="AE2053" i="1"/>
  <c r="AE2052" i="1"/>
  <c r="AE2051" i="1"/>
  <c r="AE2050" i="1"/>
  <c r="AE2049" i="1"/>
  <c r="AE2048" i="1"/>
  <c r="AE2047" i="1"/>
  <c r="AE2046" i="1"/>
  <c r="AE2045" i="1"/>
  <c r="AE2044" i="1"/>
  <c r="AE2043" i="1"/>
  <c r="AE2042" i="1"/>
  <c r="AE2041" i="1"/>
  <c r="AE2040" i="1"/>
  <c r="AE2039" i="1"/>
  <c r="AE2038" i="1"/>
  <c r="AE2037" i="1"/>
  <c r="AE2036" i="1"/>
  <c r="AE2035" i="1"/>
  <c r="AE2034" i="1"/>
  <c r="AE2033" i="1"/>
  <c r="AE2032" i="1"/>
  <c r="AE2031" i="1"/>
  <c r="AE2030" i="1"/>
  <c r="AE2029" i="1"/>
  <c r="AE2028" i="1"/>
  <c r="AE2027" i="1"/>
  <c r="AE2026" i="1"/>
  <c r="AE2025" i="1"/>
  <c r="AE2024" i="1"/>
  <c r="AE2023" i="1"/>
  <c r="AE2022" i="1"/>
  <c r="AE2021" i="1"/>
  <c r="AE2020" i="1"/>
  <c r="AE2019" i="1"/>
  <c r="AE2018" i="1"/>
  <c r="AE2017" i="1"/>
  <c r="AE2016" i="1"/>
  <c r="AE2015" i="1"/>
  <c r="AE2014" i="1"/>
  <c r="AE2013" i="1"/>
  <c r="AE2012" i="1"/>
  <c r="AE2011" i="1"/>
  <c r="AE2010" i="1"/>
  <c r="AE2009" i="1"/>
  <c r="AE2008" i="1"/>
  <c r="AE2007" i="1"/>
  <c r="AE2006" i="1"/>
  <c r="AE2005" i="1"/>
  <c r="AE2004" i="1"/>
  <c r="AE2003" i="1"/>
  <c r="AE2002" i="1"/>
  <c r="AE2001" i="1"/>
  <c r="AE2000" i="1"/>
  <c r="AE1999" i="1"/>
  <c r="AE1998" i="1"/>
  <c r="AE1997" i="1"/>
  <c r="AE1996" i="1"/>
  <c r="AE1995" i="1"/>
  <c r="AE1994" i="1"/>
  <c r="AE1993" i="1"/>
  <c r="AE1992" i="1"/>
  <c r="AE1991" i="1"/>
  <c r="AE1990" i="1"/>
  <c r="AE1989" i="1"/>
  <c r="AE1988" i="1"/>
  <c r="AE1987" i="1"/>
  <c r="AE1986" i="1"/>
  <c r="AE1985" i="1"/>
  <c r="AE1984" i="1"/>
  <c r="AE1983" i="1"/>
  <c r="AE1982" i="1"/>
  <c r="AE1981" i="1"/>
  <c r="AE1980" i="1"/>
  <c r="AE1979" i="1"/>
  <c r="AE1978" i="1"/>
  <c r="AE1977" i="1"/>
  <c r="AE1976" i="1"/>
  <c r="AE1975" i="1"/>
  <c r="AE1974" i="1"/>
  <c r="AE1973" i="1"/>
  <c r="AE1972" i="1"/>
  <c r="AE1971" i="1"/>
  <c r="AE1970" i="1"/>
  <c r="AE1969" i="1"/>
  <c r="AE1968" i="1"/>
  <c r="AE1967" i="1"/>
  <c r="AE1966" i="1"/>
  <c r="AE1965" i="1"/>
  <c r="AE1964" i="1"/>
  <c r="AE1963" i="1"/>
  <c r="AE1962" i="1"/>
  <c r="AE1961" i="1"/>
  <c r="AE1960" i="1"/>
  <c r="AE1959" i="1"/>
  <c r="AE1958" i="1"/>
  <c r="AE1957" i="1"/>
  <c r="AE1956" i="1"/>
  <c r="AE1955" i="1"/>
  <c r="AE1954" i="1"/>
  <c r="AE1953" i="1"/>
  <c r="AE1952" i="1"/>
  <c r="AE1951" i="1"/>
  <c r="AE1950" i="1"/>
  <c r="AE1949" i="1"/>
  <c r="AE1948" i="1"/>
  <c r="AE1947" i="1"/>
  <c r="AE1946" i="1"/>
  <c r="AE1945" i="1"/>
  <c r="AE1944" i="1"/>
  <c r="AE1943" i="1"/>
  <c r="AE1942" i="1"/>
  <c r="AE1941" i="1"/>
  <c r="AE1940" i="1"/>
  <c r="AE1939" i="1"/>
  <c r="AE1938" i="1"/>
  <c r="AE1937" i="1"/>
  <c r="AE1936" i="1"/>
  <c r="AE1935" i="1"/>
  <c r="AE1934" i="1"/>
  <c r="AE1933" i="1"/>
  <c r="AE1932" i="1"/>
  <c r="AE1931" i="1"/>
  <c r="AE1930" i="1"/>
  <c r="AE1929" i="1"/>
  <c r="AE1928" i="1"/>
  <c r="AE1927" i="1"/>
  <c r="AE1926" i="1"/>
  <c r="AE1925" i="1"/>
  <c r="AE1924" i="1"/>
  <c r="AE1923" i="1"/>
  <c r="AE1922" i="1"/>
  <c r="AE1921" i="1"/>
  <c r="AE1920" i="1"/>
  <c r="AE1919" i="1"/>
  <c r="AE1918" i="1"/>
  <c r="AE1917" i="1"/>
  <c r="AE1916" i="1"/>
  <c r="AE1915" i="1"/>
  <c r="AE1914" i="1"/>
  <c r="AE1913" i="1"/>
  <c r="AE1912" i="1"/>
  <c r="AE1911" i="1"/>
  <c r="AE1910" i="1"/>
  <c r="AE1909" i="1"/>
  <c r="AE1908" i="1"/>
  <c r="AE1907" i="1"/>
  <c r="AE1906" i="1"/>
  <c r="AE1905" i="1"/>
  <c r="AE1904" i="1"/>
  <c r="AE1903" i="1"/>
  <c r="AE1902" i="1"/>
  <c r="AE1901" i="1"/>
  <c r="AE1900" i="1"/>
  <c r="AE1899" i="1"/>
  <c r="AE1898" i="1"/>
  <c r="AE1897" i="1"/>
  <c r="AE1896" i="1"/>
  <c r="AE1895" i="1"/>
  <c r="AE1894" i="1"/>
  <c r="AE1893" i="1"/>
  <c r="AE1892" i="1"/>
  <c r="AE1891" i="1"/>
  <c r="AE1890" i="1"/>
  <c r="AE1889" i="1"/>
  <c r="AE1888" i="1"/>
  <c r="AE1887" i="1"/>
  <c r="AE1886" i="1"/>
  <c r="AE1885" i="1"/>
  <c r="AE1884" i="1"/>
  <c r="AE1883" i="1"/>
  <c r="AE1882" i="1"/>
  <c r="AE1881" i="1"/>
  <c r="AE1880" i="1"/>
  <c r="AE1879" i="1"/>
  <c r="AE1878" i="1"/>
  <c r="AE1877" i="1"/>
  <c r="AE1876" i="1"/>
  <c r="AE1875" i="1"/>
  <c r="AE1874" i="1"/>
  <c r="AE1873" i="1"/>
  <c r="AE1872" i="1"/>
  <c r="AE1871" i="1"/>
  <c r="AE1870" i="1"/>
  <c r="AE1869" i="1"/>
  <c r="AE1868" i="1"/>
  <c r="AE1867" i="1"/>
  <c r="AE1866" i="1"/>
  <c r="AE1865" i="1"/>
  <c r="AE1864" i="1"/>
  <c r="AE1863" i="1"/>
  <c r="AE1862" i="1"/>
  <c r="AE1861" i="1"/>
  <c r="AE1860" i="1"/>
  <c r="AE1859" i="1"/>
  <c r="AE1858" i="1"/>
  <c r="AE1857" i="1"/>
  <c r="AE1856" i="1"/>
  <c r="AE1855" i="1"/>
  <c r="AE1854" i="1"/>
  <c r="AE1853" i="1"/>
  <c r="AE1852" i="1"/>
  <c r="AE1851" i="1"/>
  <c r="AE1850" i="1"/>
  <c r="AE1849" i="1"/>
  <c r="AE1848" i="1"/>
  <c r="AE1847" i="1"/>
  <c r="AE1846" i="1"/>
  <c r="AE1845" i="1"/>
  <c r="AE1844" i="1"/>
  <c r="AE1843" i="1"/>
  <c r="AE1842" i="1"/>
  <c r="AE1841" i="1"/>
  <c r="AE1840" i="1"/>
  <c r="AE1839" i="1"/>
  <c r="AE1838" i="1"/>
  <c r="AE1837" i="1"/>
  <c r="AE1836" i="1"/>
  <c r="AE1835" i="1"/>
  <c r="AE1834" i="1"/>
  <c r="AE1833" i="1"/>
  <c r="AE1832" i="1"/>
  <c r="AE1831" i="1"/>
  <c r="AE1830" i="1"/>
  <c r="AE1829" i="1"/>
  <c r="AE1828" i="1"/>
  <c r="AE1827" i="1"/>
  <c r="AE1826" i="1"/>
  <c r="AE1825" i="1"/>
  <c r="AE1824" i="1"/>
  <c r="AE1823" i="1"/>
  <c r="AE1822" i="1"/>
  <c r="AE1821" i="1"/>
  <c r="AE1820" i="1"/>
  <c r="AE1819" i="1"/>
  <c r="AE1818" i="1"/>
  <c r="AE1817" i="1"/>
  <c r="AE1816" i="1"/>
  <c r="AE1815" i="1"/>
  <c r="AE1814" i="1"/>
  <c r="AE1813" i="1"/>
  <c r="AE1812" i="1"/>
  <c r="AE1811" i="1"/>
  <c r="AE1810" i="1"/>
  <c r="AE1809" i="1"/>
  <c r="AE1808" i="1"/>
  <c r="AE1807" i="1"/>
  <c r="AE1806" i="1"/>
  <c r="AE1805" i="1"/>
  <c r="AE1804" i="1"/>
  <c r="AE1803" i="1"/>
  <c r="AE1802" i="1"/>
  <c r="AE1801" i="1"/>
  <c r="AE1800" i="1"/>
  <c r="AE1799" i="1"/>
  <c r="AE1798" i="1"/>
  <c r="AE1797" i="1"/>
  <c r="AE1796" i="1"/>
  <c r="AE1795" i="1"/>
  <c r="AE1794" i="1"/>
  <c r="AE1793" i="1"/>
  <c r="AE1792" i="1"/>
  <c r="AE1791" i="1"/>
  <c r="AE1790" i="1"/>
  <c r="AE1789" i="1"/>
  <c r="AE1788" i="1"/>
  <c r="AE1787" i="1"/>
  <c r="AE1786" i="1"/>
  <c r="AE1785" i="1"/>
  <c r="AE1784" i="1"/>
  <c r="AE1783" i="1"/>
  <c r="AE1782" i="1"/>
  <c r="AE1781" i="1"/>
  <c r="AE1780" i="1"/>
  <c r="AE1779" i="1"/>
  <c r="AE1778" i="1"/>
  <c r="AE1777" i="1"/>
  <c r="AE1776" i="1"/>
  <c r="AE1775" i="1"/>
  <c r="AE1774" i="1"/>
  <c r="AE1773" i="1"/>
  <c r="AE1772" i="1"/>
  <c r="AE1771" i="1"/>
  <c r="AE1770" i="1"/>
  <c r="AE1769" i="1"/>
  <c r="AE1768" i="1"/>
  <c r="AE1767" i="1"/>
  <c r="AE1766" i="1"/>
  <c r="AE1765" i="1"/>
  <c r="AE1764" i="1"/>
  <c r="AE1763" i="1"/>
  <c r="AE1762" i="1"/>
  <c r="AE1761" i="1"/>
  <c r="AE1760" i="1"/>
  <c r="AE1759" i="1"/>
  <c r="AE1758" i="1"/>
  <c r="AE1757" i="1"/>
  <c r="AE1756" i="1"/>
  <c r="AE1755" i="1"/>
  <c r="AE1754" i="1"/>
  <c r="AE1753" i="1"/>
  <c r="AE1752" i="1"/>
  <c r="AE1751" i="1"/>
  <c r="AE1750" i="1"/>
  <c r="AE1749" i="1"/>
  <c r="AE1748" i="1"/>
  <c r="AE1747" i="1"/>
  <c r="AE1746" i="1"/>
  <c r="AE1745" i="1"/>
  <c r="AE1744" i="1"/>
  <c r="AE1743" i="1"/>
  <c r="AE1742" i="1"/>
  <c r="AE1741" i="1"/>
  <c r="AE1740" i="1"/>
  <c r="AE1739" i="1"/>
  <c r="AE1738" i="1"/>
  <c r="AE1737" i="1"/>
  <c r="AE1736" i="1"/>
  <c r="AE1735" i="1"/>
  <c r="AE1734" i="1"/>
  <c r="AE1733" i="1"/>
  <c r="AE1732" i="1"/>
  <c r="AE1731" i="1"/>
  <c r="AE1730" i="1"/>
  <c r="AE1729" i="1"/>
  <c r="AE1728" i="1"/>
  <c r="AE1727" i="1"/>
  <c r="AE1726" i="1"/>
  <c r="AE1725" i="1"/>
  <c r="AE1724" i="1"/>
  <c r="AE1723" i="1"/>
  <c r="AE1722" i="1"/>
  <c r="AE1721" i="1"/>
  <c r="AE1720" i="1"/>
  <c r="AE1719" i="1"/>
  <c r="AE1718" i="1"/>
  <c r="AE1717" i="1"/>
  <c r="AE1716" i="1"/>
  <c r="AE1715" i="1"/>
  <c r="AE1714" i="1"/>
  <c r="AE1713" i="1"/>
  <c r="AE1712" i="1"/>
  <c r="AE1711" i="1"/>
  <c r="AE1710" i="1"/>
  <c r="AE1709" i="1"/>
  <c r="AE1708" i="1"/>
  <c r="AE1707" i="1"/>
  <c r="AE1706" i="1"/>
  <c r="AE1705" i="1"/>
  <c r="AE1704" i="1"/>
  <c r="AE1703" i="1"/>
  <c r="AE1702" i="1"/>
  <c r="AE1701" i="1"/>
  <c r="AE1700" i="1"/>
  <c r="AE1699" i="1"/>
  <c r="AE1698" i="1"/>
  <c r="AE1697" i="1"/>
  <c r="AE1696" i="1"/>
  <c r="AE1695" i="1"/>
  <c r="AE1694" i="1"/>
  <c r="AE1693" i="1"/>
  <c r="AE1692" i="1"/>
  <c r="AE1691" i="1"/>
  <c r="AE1690" i="1"/>
  <c r="AE1689" i="1"/>
  <c r="AE1688" i="1"/>
  <c r="AE1687" i="1"/>
  <c r="AE1686" i="1"/>
  <c r="AE1685" i="1"/>
  <c r="AE1684" i="1"/>
  <c r="AE1683" i="1"/>
  <c r="AE1682" i="1"/>
  <c r="AE1681" i="1"/>
  <c r="AE1680" i="1"/>
  <c r="AE1679" i="1"/>
  <c r="AE1678" i="1"/>
  <c r="AE1677" i="1"/>
  <c r="AE1676" i="1"/>
  <c r="AE1675" i="1"/>
  <c r="AE1674" i="1"/>
  <c r="AE1673" i="1"/>
  <c r="AE1672" i="1"/>
  <c r="AE1671" i="1"/>
  <c r="AE1670" i="1"/>
  <c r="AE1669" i="1"/>
  <c r="AE1668" i="1"/>
  <c r="AE1667" i="1"/>
  <c r="AE1666" i="1"/>
  <c r="AE1665" i="1"/>
  <c r="AE1664" i="1"/>
  <c r="AE1663" i="1"/>
  <c r="AE1662" i="1"/>
  <c r="AE1661" i="1"/>
  <c r="AE1660" i="1"/>
  <c r="AE1659" i="1"/>
  <c r="AE1658" i="1"/>
  <c r="AE1657" i="1"/>
  <c r="AE1656" i="1"/>
  <c r="AE1655" i="1"/>
  <c r="AE1654" i="1"/>
  <c r="AE1653" i="1"/>
  <c r="AE1652" i="1"/>
  <c r="AE1651" i="1"/>
  <c r="AE1650" i="1"/>
  <c r="AE1649" i="1"/>
  <c r="AE1648" i="1"/>
  <c r="AE1647" i="1"/>
  <c r="AE1646" i="1"/>
  <c r="AE1645" i="1"/>
  <c r="AE1644" i="1"/>
  <c r="AE1643" i="1"/>
  <c r="AE1642" i="1"/>
  <c r="AE1641" i="1"/>
  <c r="AE1640" i="1"/>
  <c r="AE1639" i="1"/>
  <c r="AE1638" i="1"/>
  <c r="AE1637" i="1"/>
  <c r="AE1636" i="1"/>
  <c r="AE1635" i="1"/>
  <c r="AE1634" i="1"/>
  <c r="AE1633" i="1"/>
  <c r="AE1632" i="1"/>
  <c r="AE1631" i="1"/>
  <c r="AE1630" i="1"/>
  <c r="AE1629" i="1"/>
  <c r="AE1628" i="1"/>
  <c r="AE1627" i="1"/>
  <c r="AE1626" i="1"/>
  <c r="AE1625" i="1"/>
  <c r="AE1624" i="1"/>
  <c r="AE1623" i="1"/>
  <c r="AE1622" i="1"/>
  <c r="AE1621" i="1"/>
  <c r="AE1620" i="1"/>
  <c r="AE1619" i="1"/>
  <c r="AE1618" i="1"/>
  <c r="AE1617" i="1"/>
  <c r="AE1616" i="1"/>
  <c r="AE1615" i="1"/>
  <c r="AE1614" i="1"/>
  <c r="AE1613" i="1"/>
  <c r="AE1612" i="1"/>
  <c r="AE1611" i="1"/>
  <c r="AE1610" i="1"/>
  <c r="AE1609" i="1"/>
  <c r="AE1608" i="1"/>
  <c r="AE1607" i="1"/>
  <c r="AE1606" i="1"/>
  <c r="AE1605" i="1"/>
  <c r="AE1604" i="1"/>
  <c r="AE1603" i="1"/>
  <c r="AE1602" i="1"/>
  <c r="AE1601" i="1"/>
  <c r="AE1600" i="1"/>
  <c r="AE1599" i="1"/>
  <c r="AE1598" i="1"/>
  <c r="AE1597" i="1"/>
  <c r="AE1596" i="1"/>
  <c r="AE1595" i="1"/>
  <c r="AE1594" i="1"/>
  <c r="AE1593" i="1"/>
  <c r="AE1592" i="1"/>
  <c r="AE1591" i="1"/>
  <c r="AE1590" i="1"/>
  <c r="AE1589" i="1"/>
  <c r="AE1588" i="1"/>
  <c r="AE1587" i="1"/>
  <c r="AE1586" i="1"/>
  <c r="AE1585" i="1"/>
  <c r="AE1584" i="1"/>
  <c r="AE1583" i="1"/>
  <c r="AE1582" i="1"/>
  <c r="AE1581" i="1"/>
  <c r="AE1580" i="1"/>
  <c r="AE1579" i="1"/>
  <c r="AE1578" i="1"/>
  <c r="AE1577" i="1"/>
  <c r="AE1576" i="1"/>
  <c r="AE1575" i="1"/>
  <c r="AE1574" i="1"/>
  <c r="AE1573" i="1"/>
  <c r="AE1572" i="1"/>
  <c r="AE1571" i="1"/>
  <c r="AE1570" i="1"/>
  <c r="AE1569" i="1"/>
  <c r="AE1568" i="1"/>
  <c r="AE1567" i="1"/>
  <c r="AE1566" i="1"/>
  <c r="AE1565" i="1"/>
  <c r="AE1564" i="1"/>
  <c r="AE1563" i="1"/>
  <c r="AE1562" i="1"/>
  <c r="AE1561" i="1"/>
  <c r="AE1560" i="1"/>
  <c r="AE1559" i="1"/>
  <c r="AE1558" i="1"/>
  <c r="AE1557" i="1"/>
  <c r="AE1556" i="1"/>
  <c r="AE1555" i="1"/>
  <c r="AE1554" i="1"/>
  <c r="AE1553" i="1"/>
  <c r="AE1552" i="1"/>
  <c r="AE1551" i="1"/>
  <c r="AE1550" i="1"/>
  <c r="AE1549" i="1"/>
  <c r="AE1548" i="1"/>
  <c r="AE1547" i="1"/>
  <c r="AE1546" i="1"/>
  <c r="AE1545" i="1"/>
  <c r="AE1544" i="1"/>
  <c r="AE1543" i="1"/>
  <c r="AE1542" i="1"/>
  <c r="AE1541" i="1"/>
  <c r="AE1540" i="1"/>
  <c r="AE1539" i="1"/>
  <c r="AE1538" i="1"/>
  <c r="AE1537" i="1"/>
  <c r="AE1536" i="1"/>
  <c r="AE1535" i="1"/>
  <c r="AE1534" i="1"/>
  <c r="AE1533" i="1"/>
  <c r="AE1532" i="1"/>
  <c r="AE1531" i="1"/>
  <c r="AE1530" i="1"/>
  <c r="AE1529" i="1"/>
  <c r="AE1528" i="1"/>
  <c r="AE1527" i="1"/>
  <c r="AE1526" i="1"/>
  <c r="AE1525" i="1"/>
  <c r="AE1524" i="1"/>
  <c r="AE1523" i="1"/>
  <c r="AE1522" i="1"/>
  <c r="AE1521" i="1"/>
  <c r="AE1520" i="1"/>
  <c r="AE1519" i="1"/>
  <c r="AE1518" i="1"/>
  <c r="AE1517" i="1"/>
  <c r="AE1516" i="1"/>
  <c r="AE1515" i="1"/>
  <c r="AE1514" i="1"/>
  <c r="AE1513" i="1"/>
  <c r="AE1512" i="1"/>
  <c r="AE1511" i="1"/>
  <c r="AE1510" i="1"/>
  <c r="AE1509" i="1"/>
  <c r="AE1508" i="1"/>
  <c r="AE1507" i="1"/>
  <c r="AE1506" i="1"/>
  <c r="AE1505" i="1"/>
  <c r="AE1504" i="1"/>
  <c r="AE1503" i="1"/>
  <c r="AE1502" i="1"/>
  <c r="AE1501" i="1"/>
  <c r="AE1500" i="1"/>
  <c r="AE1499" i="1"/>
  <c r="AE1498" i="1"/>
  <c r="AE1497" i="1"/>
  <c r="AE1496" i="1"/>
  <c r="AE1495" i="1"/>
  <c r="AE1494" i="1"/>
  <c r="AE1493" i="1"/>
  <c r="AE1492" i="1"/>
  <c r="AE1491" i="1"/>
  <c r="AE1490" i="1"/>
  <c r="AE1489" i="1"/>
  <c r="AE1488" i="1"/>
  <c r="AE1487" i="1"/>
  <c r="AE1486" i="1"/>
  <c r="AE1485" i="1"/>
  <c r="AE1484" i="1"/>
  <c r="AE1483" i="1"/>
  <c r="AE1482" i="1"/>
  <c r="AE1481" i="1"/>
  <c r="AE1480" i="1"/>
  <c r="AE1479" i="1"/>
  <c r="AE1478" i="1"/>
  <c r="AE1477" i="1"/>
  <c r="AE1476" i="1"/>
  <c r="AE1475" i="1"/>
  <c r="AE1474" i="1"/>
  <c r="AE1473" i="1"/>
  <c r="AE1472" i="1"/>
  <c r="AE1471" i="1"/>
  <c r="AE1470" i="1"/>
  <c r="AE1469" i="1"/>
  <c r="AE1468" i="1"/>
  <c r="AE1467" i="1"/>
  <c r="AE1466" i="1"/>
  <c r="AE1465" i="1"/>
  <c r="AE1464" i="1"/>
  <c r="AE1463" i="1"/>
  <c r="AE1462" i="1"/>
  <c r="AE1461" i="1"/>
  <c r="AE1460" i="1"/>
  <c r="AE1459" i="1"/>
  <c r="AE1458" i="1"/>
  <c r="AE1457" i="1"/>
  <c r="AE1456" i="1"/>
  <c r="AE1455" i="1"/>
  <c r="AE1454" i="1"/>
  <c r="AE1453" i="1"/>
  <c r="AE1452" i="1"/>
  <c r="AE1451" i="1"/>
  <c r="AE1450" i="1"/>
  <c r="AE1449" i="1"/>
  <c r="AE1448" i="1"/>
  <c r="AE1447" i="1"/>
  <c r="AE1446" i="1"/>
  <c r="AE1445" i="1"/>
  <c r="AE1444" i="1"/>
  <c r="AE1443" i="1"/>
  <c r="AE1442" i="1"/>
  <c r="AE1441" i="1"/>
  <c r="AE1440" i="1"/>
  <c r="AE1439" i="1"/>
  <c r="AE1438" i="1"/>
  <c r="AE1437" i="1"/>
  <c r="AE1436" i="1"/>
  <c r="AE1435" i="1"/>
  <c r="AE1434" i="1"/>
  <c r="AE1433" i="1"/>
  <c r="AE1432" i="1"/>
  <c r="AE1431" i="1"/>
  <c r="AE1430" i="1"/>
  <c r="AE1429" i="1"/>
  <c r="AE1428" i="1"/>
  <c r="AE1427" i="1"/>
  <c r="AE1426" i="1"/>
  <c r="AE1425" i="1"/>
  <c r="AE1424" i="1"/>
  <c r="AE1423" i="1"/>
  <c r="AE1422" i="1"/>
  <c r="AE1421" i="1"/>
  <c r="AE1420" i="1"/>
  <c r="AE1419" i="1"/>
  <c r="AE1418" i="1"/>
  <c r="AE1417" i="1"/>
  <c r="AE1416" i="1"/>
  <c r="AE1415" i="1"/>
  <c r="AE1414" i="1"/>
  <c r="AE1413" i="1"/>
  <c r="AE1412" i="1"/>
  <c r="AE1411" i="1"/>
  <c r="AE1410" i="1"/>
  <c r="AE1409" i="1"/>
  <c r="AE1408" i="1"/>
  <c r="AE1407" i="1"/>
  <c r="AE1406" i="1"/>
  <c r="AE1405" i="1"/>
  <c r="AE1404" i="1"/>
  <c r="AE1403" i="1"/>
  <c r="AE1402" i="1"/>
  <c r="AE1401" i="1"/>
  <c r="AE1400" i="1"/>
  <c r="AE1399" i="1"/>
  <c r="AE1398" i="1"/>
  <c r="AE1397" i="1"/>
  <c r="AE1396" i="1"/>
  <c r="AE1395" i="1"/>
  <c r="AE1394" i="1"/>
  <c r="AE1393" i="1"/>
  <c r="AE1392" i="1"/>
  <c r="AE1391" i="1"/>
  <c r="AE1390" i="1"/>
  <c r="AE1389" i="1"/>
  <c r="AE1388" i="1"/>
  <c r="AE1387" i="1"/>
  <c r="AE1386" i="1"/>
  <c r="AE1385" i="1"/>
  <c r="AE1384" i="1"/>
  <c r="AE1383" i="1"/>
  <c r="AE1382" i="1"/>
  <c r="AE1381" i="1"/>
  <c r="AE1380" i="1"/>
  <c r="AE1379" i="1"/>
  <c r="AE1378" i="1"/>
  <c r="AE1377" i="1"/>
  <c r="AE1376" i="1"/>
  <c r="AE1375" i="1"/>
  <c r="AE1374" i="1"/>
  <c r="AE1373" i="1"/>
  <c r="AE1372" i="1"/>
  <c r="AE1371" i="1"/>
  <c r="AE1370" i="1"/>
  <c r="AE1369" i="1"/>
  <c r="AE1368" i="1"/>
  <c r="AE1367" i="1"/>
  <c r="AE1366" i="1"/>
  <c r="AE1365" i="1"/>
  <c r="AE1364" i="1"/>
  <c r="AE1363" i="1"/>
  <c r="AE1362" i="1"/>
  <c r="AE1361" i="1"/>
  <c r="AE1360" i="1"/>
  <c r="AE1359" i="1"/>
  <c r="AE1358" i="1"/>
  <c r="AE1357" i="1"/>
  <c r="AE1356" i="1"/>
  <c r="AE1355" i="1"/>
  <c r="AE1354" i="1"/>
  <c r="AE1353" i="1"/>
  <c r="AE1352" i="1"/>
  <c r="AE1351" i="1"/>
  <c r="AE1350" i="1"/>
  <c r="AE1349" i="1"/>
  <c r="AE1348" i="1"/>
  <c r="AE1347" i="1"/>
  <c r="AE1346" i="1"/>
  <c r="AE1345" i="1"/>
  <c r="AE1344" i="1"/>
  <c r="AE1343" i="1"/>
  <c r="AE1342" i="1"/>
  <c r="AE1341" i="1"/>
  <c r="AE1340" i="1"/>
  <c r="AE1339" i="1"/>
  <c r="AE1338" i="1"/>
  <c r="AE1337" i="1"/>
  <c r="AE1336" i="1"/>
  <c r="AE1335" i="1"/>
  <c r="AE1334" i="1"/>
  <c r="AE1333" i="1"/>
  <c r="AE1332" i="1"/>
  <c r="AE1331" i="1"/>
  <c r="AE1330" i="1"/>
  <c r="AE1329" i="1"/>
  <c r="AE1328" i="1"/>
  <c r="AE1327" i="1"/>
  <c r="AE1326" i="1"/>
  <c r="AE1325" i="1"/>
  <c r="AE1324" i="1"/>
  <c r="AE1323" i="1"/>
  <c r="AE1322" i="1"/>
  <c r="AE1321" i="1"/>
  <c r="AE1320" i="1"/>
  <c r="AE1319" i="1"/>
  <c r="AE1318" i="1"/>
  <c r="AE1317" i="1"/>
  <c r="AE1316" i="1"/>
  <c r="AE1315" i="1"/>
  <c r="AE1314" i="1"/>
  <c r="AE1313" i="1"/>
  <c r="AE1312" i="1"/>
  <c r="AE1311" i="1"/>
  <c r="AE1310" i="1"/>
  <c r="AE1309" i="1"/>
  <c r="AE1308" i="1"/>
  <c r="AE1307" i="1"/>
  <c r="AE1306" i="1"/>
  <c r="AE1305" i="1"/>
  <c r="AE1304" i="1"/>
  <c r="AE1303" i="1"/>
  <c r="AE1302" i="1"/>
  <c r="AE1301" i="1"/>
  <c r="AE1300" i="1"/>
  <c r="AE1299" i="1"/>
  <c r="AE1298" i="1"/>
  <c r="AE1297" i="1"/>
  <c r="AE1296" i="1"/>
  <c r="AE1295" i="1"/>
  <c r="AE1294" i="1"/>
  <c r="AE1293" i="1"/>
  <c r="AE1292" i="1"/>
  <c r="AE1291" i="1"/>
  <c r="AE1290" i="1"/>
  <c r="AE1289" i="1"/>
  <c r="AE1288" i="1"/>
  <c r="AE1287" i="1"/>
  <c r="AE1286" i="1"/>
  <c r="AE1285" i="1"/>
  <c r="AE1284" i="1"/>
  <c r="AE1283" i="1"/>
  <c r="AE1282" i="1"/>
  <c r="AE1281" i="1"/>
  <c r="AE1280" i="1"/>
  <c r="AE1279" i="1"/>
  <c r="AE1278" i="1"/>
  <c r="AE1277" i="1"/>
  <c r="AE1276" i="1"/>
  <c r="AE1275" i="1"/>
  <c r="AE1274" i="1"/>
  <c r="AE1273" i="1"/>
  <c r="AE1272" i="1"/>
  <c r="AE1271" i="1"/>
  <c r="AE1270" i="1"/>
  <c r="AE1269" i="1"/>
  <c r="AE1268" i="1"/>
  <c r="AE1267" i="1"/>
  <c r="AE1266" i="1"/>
  <c r="AE1265" i="1"/>
  <c r="AE1264" i="1"/>
  <c r="AE1263" i="1"/>
  <c r="AE1262" i="1"/>
  <c r="AE1261" i="1"/>
  <c r="AE1260" i="1"/>
  <c r="AE1259" i="1"/>
  <c r="AE1258" i="1"/>
  <c r="AE1257" i="1"/>
  <c r="AE1256" i="1"/>
  <c r="AE1255" i="1"/>
  <c r="AE1254" i="1"/>
  <c r="AE1253" i="1"/>
  <c r="AE1252" i="1"/>
  <c r="AE1251" i="1"/>
  <c r="AE1250" i="1"/>
  <c r="AE1249" i="1"/>
  <c r="AE1248" i="1"/>
  <c r="AE1247" i="1"/>
  <c r="AE1246" i="1"/>
  <c r="AE1245" i="1"/>
  <c r="AE1244" i="1"/>
  <c r="AE1243" i="1"/>
  <c r="AE1242" i="1"/>
  <c r="AE1241" i="1"/>
  <c r="AE1240" i="1"/>
  <c r="AE1239" i="1"/>
  <c r="AE1238" i="1"/>
  <c r="AE1237" i="1"/>
  <c r="AE1236" i="1"/>
  <c r="AE1235" i="1"/>
  <c r="AE1234" i="1"/>
  <c r="AE1233" i="1"/>
  <c r="AE1232" i="1"/>
  <c r="AE1231" i="1"/>
  <c r="AE1230" i="1"/>
  <c r="AE1229" i="1"/>
  <c r="AE1228" i="1"/>
  <c r="AE1227" i="1"/>
  <c r="AE1226" i="1"/>
  <c r="AE1225" i="1"/>
  <c r="AE1224" i="1"/>
  <c r="AE1223" i="1"/>
  <c r="AE1222" i="1"/>
  <c r="AE1221" i="1"/>
  <c r="AE1220" i="1"/>
  <c r="AE1219" i="1"/>
  <c r="AE1218" i="1"/>
  <c r="AE1217" i="1"/>
  <c r="AE1216" i="1"/>
  <c r="AE1215" i="1"/>
  <c r="AE1214" i="1"/>
  <c r="AE1213" i="1"/>
  <c r="AE1212" i="1"/>
  <c r="AE1211" i="1"/>
  <c r="AE1210" i="1"/>
  <c r="AE1209" i="1"/>
  <c r="AE1208" i="1"/>
  <c r="AE1207" i="1"/>
  <c r="AE1206" i="1"/>
  <c r="AE1205" i="1"/>
  <c r="AE1204" i="1"/>
  <c r="AE1203" i="1"/>
  <c r="AE1202" i="1"/>
  <c r="AE1201" i="1"/>
  <c r="AE1200" i="1"/>
  <c r="AE1199" i="1"/>
  <c r="AE1198" i="1"/>
  <c r="AE1197" i="1"/>
  <c r="AE1196" i="1"/>
  <c r="AE1195" i="1"/>
  <c r="AE1194" i="1"/>
  <c r="AE1193" i="1"/>
  <c r="AE1192" i="1"/>
  <c r="AE1191" i="1"/>
  <c r="AE1190" i="1"/>
  <c r="AE1189" i="1"/>
  <c r="AE1188" i="1"/>
  <c r="AE1187" i="1"/>
  <c r="AE1186" i="1"/>
  <c r="AE1185" i="1"/>
  <c r="AE1184" i="1"/>
  <c r="AE1183" i="1"/>
  <c r="AE1182" i="1"/>
  <c r="AE1181" i="1"/>
  <c r="AE1180" i="1"/>
  <c r="AE1179" i="1"/>
  <c r="AE1178" i="1"/>
  <c r="AE1177" i="1"/>
  <c r="AE1176" i="1"/>
  <c r="AE1175" i="1"/>
  <c r="AE1174" i="1"/>
  <c r="AE1173" i="1"/>
  <c r="AE1172" i="1"/>
  <c r="AE1171" i="1"/>
  <c r="AE1170" i="1"/>
  <c r="AE1169" i="1"/>
  <c r="AE1168" i="1"/>
  <c r="AE1167" i="1"/>
  <c r="AE1166" i="1"/>
  <c r="AE1165" i="1"/>
  <c r="AE1164" i="1"/>
  <c r="AE1163" i="1"/>
  <c r="AE1162" i="1"/>
  <c r="AE1161" i="1"/>
  <c r="AE1160" i="1"/>
  <c r="AE1159" i="1"/>
  <c r="AE1158" i="1"/>
  <c r="AE1157" i="1"/>
  <c r="AE1156" i="1"/>
  <c r="AE1155" i="1"/>
  <c r="AE1154" i="1"/>
  <c r="AE1153" i="1"/>
  <c r="AE1152" i="1"/>
  <c r="AE1151" i="1"/>
  <c r="AE1150" i="1"/>
  <c r="AE1149" i="1"/>
  <c r="AE1148" i="1"/>
  <c r="AE1147" i="1"/>
  <c r="AE1146" i="1"/>
  <c r="AE1145" i="1"/>
  <c r="AE1144" i="1"/>
  <c r="AE1143" i="1"/>
  <c r="AE1142" i="1"/>
  <c r="AE1141" i="1"/>
  <c r="AE1140" i="1"/>
  <c r="AE1139" i="1"/>
  <c r="AE1138" i="1"/>
  <c r="AE1137" i="1"/>
  <c r="AE1136" i="1"/>
  <c r="AE1135" i="1"/>
  <c r="AE1134" i="1"/>
  <c r="AE1133" i="1"/>
  <c r="AE1132" i="1"/>
  <c r="AE1131" i="1"/>
  <c r="AE1130" i="1"/>
  <c r="AE1129" i="1"/>
  <c r="AE1128" i="1"/>
  <c r="AE1127" i="1"/>
  <c r="AE1126" i="1"/>
  <c r="AE1125" i="1"/>
  <c r="AE1124" i="1"/>
  <c r="AE1123" i="1"/>
  <c r="AE1122" i="1"/>
  <c r="AE1121" i="1"/>
  <c r="AE1120" i="1"/>
  <c r="AE1119" i="1"/>
  <c r="AE1118" i="1"/>
  <c r="AE1117" i="1"/>
  <c r="AE1116" i="1"/>
  <c r="AE1115" i="1"/>
  <c r="AE1114" i="1"/>
  <c r="AE1113" i="1"/>
  <c r="AE1112" i="1"/>
  <c r="AE1111" i="1"/>
  <c r="AE1110" i="1"/>
  <c r="AE1109" i="1"/>
  <c r="AE1108" i="1"/>
  <c r="AE1107" i="1"/>
  <c r="AE1106" i="1"/>
  <c r="AE1105" i="1"/>
  <c r="AE1104" i="1"/>
  <c r="AE1103" i="1"/>
  <c r="AE1102" i="1"/>
  <c r="AE1101" i="1"/>
  <c r="AE1100" i="1"/>
  <c r="AE1099" i="1"/>
  <c r="AE1098" i="1"/>
  <c r="AE1097" i="1"/>
  <c r="AE1096" i="1"/>
  <c r="AE1095" i="1"/>
  <c r="AE1094" i="1"/>
  <c r="AE1093" i="1"/>
  <c r="AE1092" i="1"/>
  <c r="AE1091" i="1"/>
  <c r="AE1090" i="1"/>
  <c r="AE1089" i="1"/>
  <c r="AE1088" i="1"/>
  <c r="AE1087" i="1"/>
  <c r="AE1086" i="1"/>
  <c r="AE1085" i="1"/>
  <c r="AE1084" i="1"/>
  <c r="AE1083" i="1"/>
  <c r="AE1082" i="1"/>
  <c r="AE1081" i="1"/>
  <c r="AE1080" i="1"/>
  <c r="AE1079" i="1"/>
  <c r="AE1078" i="1"/>
  <c r="AE1077" i="1"/>
  <c r="AE1076" i="1"/>
  <c r="AE1075" i="1"/>
  <c r="AE1074" i="1"/>
  <c r="AE1073" i="1"/>
  <c r="AE1072" i="1"/>
  <c r="AE1071" i="1"/>
  <c r="AE1070" i="1"/>
  <c r="AE1069" i="1"/>
  <c r="AE1068" i="1"/>
  <c r="AE1067" i="1"/>
  <c r="AE1066" i="1"/>
  <c r="AE1065" i="1"/>
  <c r="AE1064" i="1"/>
  <c r="AE1063" i="1"/>
  <c r="AE1062" i="1"/>
  <c r="AE1061" i="1"/>
  <c r="AE1060" i="1"/>
  <c r="AE1059" i="1"/>
  <c r="AE1058" i="1"/>
  <c r="AE1057" i="1"/>
  <c r="AE1056" i="1"/>
  <c r="AE1055" i="1"/>
  <c r="AE1054" i="1"/>
  <c r="AE1053" i="1"/>
  <c r="AE1052" i="1"/>
  <c r="AE1051" i="1"/>
  <c r="AE1050" i="1"/>
  <c r="AE1049" i="1"/>
  <c r="AE1048" i="1"/>
  <c r="AE1047" i="1"/>
  <c r="AE1046" i="1"/>
  <c r="AE1045" i="1"/>
  <c r="AE1044" i="1"/>
  <c r="AE1043" i="1"/>
  <c r="AE1042" i="1"/>
  <c r="AE1041" i="1"/>
  <c r="AE1040" i="1"/>
  <c r="AE1039" i="1"/>
  <c r="AE1038" i="1"/>
  <c r="AE1037" i="1"/>
  <c r="AE1036" i="1"/>
  <c r="AE1035" i="1"/>
  <c r="AE1034" i="1"/>
  <c r="AE1033" i="1"/>
  <c r="AE1032" i="1"/>
  <c r="AE1031" i="1"/>
  <c r="AE1030" i="1"/>
  <c r="AE1029" i="1"/>
  <c r="AE1028" i="1"/>
  <c r="AE1027" i="1"/>
  <c r="AE1026" i="1"/>
  <c r="AE1025" i="1"/>
  <c r="AE1024" i="1"/>
  <c r="AE1023" i="1"/>
  <c r="AE1022" i="1"/>
  <c r="AE1021" i="1"/>
  <c r="AE1020" i="1"/>
  <c r="AE1019" i="1"/>
  <c r="AE1018" i="1"/>
  <c r="AE1017" i="1"/>
  <c r="AE1016" i="1"/>
  <c r="AE1015" i="1"/>
  <c r="AE1014" i="1"/>
  <c r="AE1013" i="1"/>
  <c r="AE1012" i="1"/>
  <c r="AE1011" i="1"/>
  <c r="AE1010" i="1"/>
  <c r="AE1009" i="1"/>
  <c r="AE1008" i="1"/>
  <c r="AE1007" i="1"/>
  <c r="AE1006" i="1"/>
  <c r="AE1005" i="1"/>
  <c r="AE1004" i="1"/>
  <c r="AE1003" i="1"/>
  <c r="AE1002" i="1"/>
  <c r="AE1001" i="1"/>
  <c r="AE1000" i="1"/>
  <c r="AE999" i="1"/>
  <c r="AE998" i="1"/>
  <c r="AE997" i="1"/>
  <c r="AE996" i="1"/>
  <c r="AE995" i="1"/>
  <c r="AE994" i="1"/>
  <c r="AE993" i="1"/>
  <c r="AE992" i="1"/>
  <c r="AE991" i="1"/>
  <c r="AE990" i="1"/>
  <c r="AE989" i="1"/>
  <c r="AE988" i="1"/>
  <c r="AE987" i="1"/>
  <c r="AE986" i="1"/>
  <c r="AE985" i="1"/>
  <c r="AE984" i="1"/>
  <c r="AE983" i="1"/>
  <c r="AE982" i="1"/>
  <c r="AE981" i="1"/>
  <c r="AE980" i="1"/>
  <c r="AE979" i="1"/>
  <c r="AE978" i="1"/>
  <c r="AE977" i="1"/>
  <c r="AE976" i="1"/>
  <c r="AE975" i="1"/>
  <c r="AE974" i="1"/>
  <c r="AE973" i="1"/>
  <c r="AE972" i="1"/>
  <c r="AE971" i="1"/>
  <c r="AE970" i="1"/>
  <c r="AE969" i="1"/>
  <c r="AE968" i="1"/>
  <c r="AE967" i="1"/>
  <c r="AE966" i="1"/>
  <c r="AE965" i="1"/>
  <c r="AE964" i="1"/>
  <c r="AE963" i="1"/>
  <c r="AE962" i="1"/>
  <c r="AE961" i="1"/>
  <c r="AE960" i="1"/>
  <c r="AE959" i="1"/>
  <c r="AE958" i="1"/>
  <c r="AE957" i="1"/>
  <c r="AE956" i="1"/>
  <c r="AE955" i="1"/>
  <c r="AE954" i="1"/>
  <c r="AE953" i="1"/>
  <c r="AE952" i="1"/>
  <c r="AE951" i="1"/>
  <c r="AE950" i="1"/>
  <c r="AE949" i="1"/>
  <c r="AE948" i="1"/>
  <c r="AE947" i="1"/>
  <c r="AE946" i="1"/>
  <c r="AE945" i="1"/>
  <c r="AE944" i="1"/>
  <c r="AE943" i="1"/>
  <c r="AE942" i="1"/>
  <c r="AE941" i="1"/>
  <c r="AE940" i="1"/>
  <c r="AE939" i="1"/>
  <c r="AE938" i="1"/>
  <c r="AE937" i="1"/>
  <c r="AE936" i="1"/>
  <c r="AE935" i="1"/>
  <c r="AE934" i="1"/>
  <c r="AE933" i="1"/>
  <c r="AE932" i="1"/>
  <c r="AE931" i="1"/>
  <c r="AE930" i="1"/>
  <c r="AE929" i="1"/>
  <c r="AE928" i="1"/>
  <c r="AE927" i="1"/>
  <c r="AE926" i="1"/>
  <c r="AE925" i="1"/>
  <c r="AE924" i="1"/>
  <c r="AE923" i="1"/>
  <c r="AE922" i="1"/>
  <c r="AE921" i="1"/>
  <c r="AE920" i="1"/>
  <c r="AE919" i="1"/>
  <c r="AE918" i="1"/>
  <c r="AE917" i="1"/>
  <c r="AE916" i="1"/>
  <c r="AE915" i="1"/>
  <c r="AE914" i="1"/>
  <c r="AE913" i="1"/>
  <c r="AE912" i="1"/>
  <c r="AE911" i="1"/>
  <c r="AE910" i="1"/>
  <c r="AE909" i="1"/>
  <c r="AE908" i="1"/>
  <c r="AE907" i="1"/>
  <c r="AE906" i="1"/>
  <c r="AE905" i="1"/>
  <c r="AE904" i="1"/>
  <c r="AE903" i="1"/>
  <c r="AE902" i="1"/>
  <c r="AE901" i="1"/>
  <c r="AE900" i="1"/>
  <c r="AE899" i="1"/>
  <c r="AE898" i="1"/>
  <c r="AE897" i="1"/>
  <c r="AE896" i="1"/>
  <c r="AE895" i="1"/>
  <c r="AE894" i="1"/>
  <c r="AE893" i="1"/>
  <c r="AE892" i="1"/>
  <c r="AE891" i="1"/>
  <c r="AE890" i="1"/>
  <c r="AE889" i="1"/>
  <c r="AE888" i="1"/>
  <c r="AE887" i="1"/>
  <c r="AE886" i="1"/>
  <c r="AE885" i="1"/>
  <c r="AE884" i="1"/>
  <c r="AE883" i="1"/>
  <c r="AE882" i="1"/>
  <c r="AE881" i="1"/>
  <c r="AE880" i="1"/>
  <c r="AE879" i="1"/>
  <c r="AE878" i="1"/>
  <c r="AE877" i="1"/>
  <c r="AE876" i="1"/>
  <c r="AE875" i="1"/>
  <c r="AE874" i="1"/>
  <c r="AE873" i="1"/>
  <c r="AE872" i="1"/>
  <c r="AE871" i="1"/>
  <c r="AE870" i="1"/>
  <c r="AE869" i="1"/>
  <c r="AE868" i="1"/>
  <c r="AE867" i="1"/>
  <c r="AE866" i="1"/>
  <c r="AE865" i="1"/>
  <c r="AE864" i="1"/>
  <c r="AE863" i="1"/>
  <c r="AE862" i="1"/>
  <c r="AE861" i="1"/>
  <c r="AE860" i="1"/>
  <c r="AE859" i="1"/>
  <c r="AE858" i="1"/>
  <c r="AE857" i="1"/>
  <c r="AE856" i="1"/>
  <c r="AE855" i="1"/>
  <c r="AE854" i="1"/>
  <c r="AE853" i="1"/>
  <c r="AE852" i="1"/>
  <c r="AE851" i="1"/>
  <c r="AE850" i="1"/>
  <c r="AE849" i="1"/>
  <c r="AE848" i="1"/>
  <c r="AE847" i="1"/>
  <c r="AE846" i="1"/>
  <c r="AE845" i="1"/>
  <c r="AE844" i="1"/>
  <c r="AE843" i="1"/>
  <c r="AE842" i="1"/>
  <c r="AE841" i="1"/>
  <c r="AE840" i="1"/>
  <c r="AE839" i="1"/>
  <c r="AE838" i="1"/>
  <c r="AE837" i="1"/>
  <c r="AE836" i="1"/>
  <c r="AE835" i="1"/>
  <c r="AE834" i="1"/>
  <c r="AE833" i="1"/>
  <c r="AE832" i="1"/>
  <c r="AE831" i="1"/>
  <c r="AE830" i="1"/>
  <c r="AE829" i="1"/>
  <c r="AE828" i="1"/>
  <c r="AE827" i="1"/>
  <c r="AE826" i="1"/>
  <c r="AE825" i="1"/>
  <c r="AE824" i="1"/>
  <c r="AE823" i="1"/>
  <c r="AE822" i="1"/>
  <c r="AE821" i="1"/>
  <c r="AE820" i="1"/>
  <c r="AE819" i="1"/>
  <c r="AE818" i="1"/>
  <c r="AE817" i="1"/>
  <c r="AE816" i="1"/>
  <c r="AE815" i="1"/>
  <c r="AE814" i="1"/>
  <c r="AE813" i="1"/>
  <c r="AE812" i="1"/>
  <c r="AE811" i="1"/>
  <c r="AE810" i="1"/>
  <c r="AE809" i="1"/>
  <c r="AE808" i="1"/>
  <c r="AE807" i="1"/>
  <c r="AE806" i="1"/>
  <c r="AE805" i="1"/>
  <c r="AE804" i="1"/>
  <c r="AE803" i="1"/>
  <c r="AE802" i="1"/>
  <c r="AE801" i="1"/>
  <c r="AE800" i="1"/>
  <c r="AE799" i="1"/>
  <c r="AE798" i="1"/>
  <c r="AE797" i="1"/>
  <c r="AE796" i="1"/>
  <c r="AE795" i="1"/>
  <c r="AE794" i="1"/>
  <c r="AE793" i="1"/>
  <c r="AE792" i="1"/>
  <c r="AE791" i="1"/>
  <c r="AE790" i="1"/>
  <c r="AE789" i="1"/>
  <c r="AE788" i="1"/>
  <c r="AE787" i="1"/>
  <c r="AE786" i="1"/>
  <c r="AE785" i="1"/>
  <c r="AE784" i="1"/>
  <c r="AE783" i="1"/>
  <c r="AE782" i="1"/>
  <c r="AE781" i="1"/>
  <c r="AE780" i="1"/>
  <c r="AE779" i="1"/>
  <c r="AE778" i="1"/>
  <c r="AE777" i="1"/>
  <c r="AE776" i="1"/>
  <c r="AE775" i="1"/>
  <c r="AE774" i="1"/>
  <c r="AE773" i="1"/>
  <c r="AE772" i="1"/>
  <c r="AE771" i="1"/>
  <c r="AE770" i="1"/>
  <c r="AE769" i="1"/>
  <c r="AE768" i="1"/>
  <c r="AE767" i="1"/>
  <c r="AE766" i="1"/>
  <c r="AE765" i="1"/>
  <c r="AE764" i="1"/>
  <c r="AE763" i="1"/>
  <c r="AE762" i="1"/>
  <c r="AE761" i="1"/>
  <c r="AE760" i="1"/>
  <c r="AE759" i="1"/>
  <c r="AE758" i="1"/>
  <c r="AE757" i="1"/>
  <c r="AE756" i="1"/>
  <c r="AE755" i="1"/>
  <c r="AE754" i="1"/>
  <c r="AE753" i="1"/>
  <c r="AE752" i="1"/>
  <c r="AE751" i="1"/>
  <c r="AE750" i="1"/>
  <c r="AE749" i="1"/>
  <c r="AE748" i="1"/>
  <c r="AE747" i="1"/>
  <c r="AE746" i="1"/>
  <c r="AE745" i="1"/>
  <c r="AE744" i="1"/>
  <c r="AE743" i="1"/>
  <c r="AE742" i="1"/>
  <c r="AE741" i="1"/>
  <c r="AE740" i="1"/>
  <c r="AE739" i="1"/>
  <c r="AE738" i="1"/>
  <c r="AE737" i="1"/>
  <c r="AE736" i="1"/>
  <c r="AE735" i="1"/>
  <c r="AE734" i="1"/>
  <c r="AE733" i="1"/>
  <c r="AE732" i="1"/>
  <c r="AE731" i="1"/>
  <c r="AE730" i="1"/>
  <c r="AE729" i="1"/>
  <c r="AE728" i="1"/>
  <c r="AE727" i="1"/>
  <c r="AE726" i="1"/>
  <c r="AE725" i="1"/>
  <c r="AE724" i="1"/>
  <c r="AE723" i="1"/>
  <c r="AE722" i="1"/>
  <c r="AE721" i="1"/>
  <c r="AE720" i="1"/>
  <c r="AE719" i="1"/>
  <c r="AE718" i="1"/>
  <c r="AE717" i="1"/>
  <c r="AE716" i="1"/>
  <c r="AE715" i="1"/>
  <c r="AE714" i="1"/>
  <c r="AE713" i="1"/>
  <c r="AE712" i="1"/>
  <c r="AE711" i="1"/>
  <c r="AE710" i="1"/>
  <c r="AE709" i="1"/>
  <c r="AE708" i="1"/>
  <c r="AE707" i="1"/>
  <c r="AE706" i="1"/>
  <c r="AE705" i="1"/>
  <c r="AE704" i="1"/>
  <c r="AE703" i="1"/>
  <c r="AE702" i="1"/>
  <c r="AE701" i="1"/>
  <c r="AE700" i="1"/>
  <c r="AE699" i="1"/>
  <c r="AE698" i="1"/>
  <c r="AE697" i="1"/>
  <c r="AE696" i="1"/>
  <c r="AE695" i="1"/>
  <c r="AE694" i="1"/>
  <c r="AE693" i="1"/>
  <c r="AE692" i="1"/>
  <c r="AE691" i="1"/>
  <c r="AE690" i="1"/>
  <c r="AE689" i="1"/>
  <c r="AE688" i="1"/>
  <c r="AE687" i="1"/>
  <c r="AE686" i="1"/>
  <c r="AE685" i="1"/>
  <c r="AE684" i="1"/>
  <c r="AE683" i="1"/>
  <c r="AE682" i="1"/>
  <c r="AE681" i="1"/>
  <c r="AE680" i="1"/>
  <c r="AE679" i="1"/>
  <c r="AE678" i="1"/>
  <c r="AE677" i="1"/>
  <c r="AE676" i="1"/>
  <c r="AE675" i="1"/>
  <c r="AE674" i="1"/>
  <c r="AE673" i="1"/>
  <c r="AE672" i="1"/>
  <c r="AE671" i="1"/>
  <c r="AE670" i="1"/>
  <c r="AE669" i="1"/>
  <c r="AE668" i="1"/>
  <c r="AE667" i="1"/>
  <c r="AE666" i="1"/>
  <c r="AE665" i="1"/>
  <c r="AE664" i="1"/>
  <c r="AE663" i="1"/>
  <c r="AE662" i="1"/>
  <c r="AE661" i="1"/>
  <c r="AE660" i="1"/>
  <c r="AE659" i="1"/>
  <c r="AE658" i="1"/>
  <c r="AE657" i="1"/>
  <c r="AE656" i="1"/>
  <c r="AE655" i="1"/>
  <c r="AE654" i="1"/>
  <c r="AE653" i="1"/>
  <c r="AE652" i="1"/>
  <c r="AE651" i="1"/>
  <c r="AE650" i="1"/>
  <c r="AE649" i="1"/>
  <c r="AE648" i="1"/>
  <c r="AE647" i="1"/>
  <c r="AE646" i="1"/>
  <c r="AE645" i="1"/>
  <c r="AE644" i="1"/>
  <c r="AE643" i="1"/>
  <c r="AE642" i="1"/>
  <c r="AE641" i="1"/>
  <c r="AE640" i="1"/>
  <c r="AE639" i="1"/>
  <c r="AE638" i="1"/>
  <c r="AE637" i="1"/>
  <c r="AE636" i="1"/>
  <c r="AE635" i="1"/>
  <c r="AE634" i="1"/>
  <c r="AE633" i="1"/>
  <c r="AE632" i="1"/>
  <c r="AE631" i="1"/>
  <c r="AE630" i="1"/>
  <c r="AE629" i="1"/>
  <c r="AE628" i="1"/>
  <c r="AE627" i="1"/>
  <c r="AE626" i="1"/>
  <c r="AE625" i="1"/>
  <c r="AE624" i="1"/>
  <c r="AE623" i="1"/>
  <c r="AE622" i="1"/>
  <c r="AE621" i="1"/>
  <c r="AE620" i="1"/>
  <c r="AE619" i="1"/>
  <c r="AE618" i="1"/>
  <c r="AE617" i="1"/>
  <c r="AE616" i="1"/>
  <c r="AE615" i="1"/>
  <c r="AE614" i="1"/>
  <c r="AE613" i="1"/>
  <c r="AE612" i="1"/>
  <c r="AE611" i="1"/>
  <c r="AE610" i="1"/>
  <c r="AE609" i="1"/>
  <c r="AE608" i="1"/>
  <c r="AE607" i="1"/>
  <c r="AE606" i="1"/>
  <c r="AE605" i="1"/>
  <c r="AE604" i="1"/>
  <c r="AE603" i="1"/>
  <c r="AE602" i="1"/>
  <c r="AE601" i="1"/>
  <c r="AE600" i="1"/>
  <c r="AE599" i="1"/>
  <c r="AE598" i="1"/>
  <c r="AE597" i="1"/>
  <c r="AE596" i="1"/>
  <c r="AE595" i="1"/>
  <c r="AE594" i="1"/>
  <c r="AE593" i="1"/>
  <c r="AE592" i="1"/>
  <c r="AE591" i="1"/>
  <c r="AE590" i="1"/>
  <c r="AE589" i="1"/>
  <c r="AE588" i="1"/>
  <c r="AE587" i="1"/>
  <c r="AE586" i="1"/>
  <c r="AE585" i="1"/>
  <c r="AE584" i="1"/>
  <c r="AE583" i="1"/>
  <c r="AE582" i="1"/>
  <c r="AE581" i="1"/>
  <c r="AE580" i="1"/>
  <c r="AE579" i="1"/>
  <c r="AE578" i="1"/>
  <c r="AE577" i="1"/>
  <c r="AE576" i="1"/>
  <c r="AE575" i="1"/>
  <c r="AE574" i="1"/>
  <c r="AE573" i="1"/>
  <c r="AE572" i="1"/>
  <c r="AE571" i="1"/>
  <c r="AE570" i="1"/>
  <c r="AE569" i="1"/>
  <c r="AE568" i="1"/>
  <c r="AE567" i="1"/>
  <c r="AE566" i="1"/>
  <c r="AE565" i="1"/>
  <c r="AE564" i="1"/>
  <c r="AE563" i="1"/>
  <c r="AE562" i="1"/>
  <c r="AE561" i="1"/>
  <c r="AE560" i="1"/>
  <c r="AE559" i="1"/>
  <c r="AE558" i="1"/>
  <c r="AE557" i="1"/>
  <c r="AE556" i="1"/>
  <c r="AE555" i="1"/>
  <c r="AE554" i="1"/>
  <c r="AE553" i="1"/>
  <c r="AE552" i="1"/>
  <c r="AE551" i="1"/>
  <c r="AE550" i="1"/>
  <c r="AE549" i="1"/>
  <c r="AE548" i="1"/>
  <c r="AE547" i="1"/>
  <c r="AE546" i="1"/>
  <c r="AE545" i="1"/>
  <c r="AE544" i="1"/>
  <c r="AE543" i="1"/>
  <c r="AE542" i="1"/>
  <c r="AE541" i="1"/>
  <c r="AE540" i="1"/>
  <c r="AE539" i="1"/>
  <c r="AE538" i="1"/>
  <c r="AE537" i="1"/>
  <c r="AE536" i="1"/>
  <c r="AE535" i="1"/>
  <c r="AE534" i="1"/>
  <c r="AE533" i="1"/>
  <c r="AE532" i="1"/>
  <c r="AE531" i="1"/>
  <c r="AE530" i="1"/>
  <c r="AE529" i="1"/>
  <c r="AE528" i="1"/>
  <c r="AE527" i="1"/>
  <c r="AE526" i="1"/>
  <c r="AE525" i="1"/>
  <c r="AE524" i="1"/>
  <c r="AE523" i="1"/>
  <c r="AE522" i="1"/>
  <c r="AE521" i="1"/>
  <c r="AE520" i="1"/>
  <c r="AE519" i="1"/>
  <c r="AE518" i="1"/>
  <c r="AE517" i="1"/>
  <c r="AE516" i="1"/>
  <c r="AE515" i="1"/>
  <c r="AE514" i="1"/>
  <c r="AE513" i="1"/>
  <c r="AE512" i="1"/>
  <c r="AE511" i="1"/>
  <c r="AE510" i="1"/>
  <c r="AE509" i="1"/>
  <c r="AE508" i="1"/>
  <c r="AE507" i="1"/>
  <c r="AE506" i="1"/>
  <c r="AE505" i="1"/>
  <c r="AE504" i="1"/>
  <c r="AE503" i="1"/>
  <c r="AE502" i="1"/>
  <c r="AE501" i="1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T2" i="1" s="1"/>
  <c r="AF2125" i="1"/>
  <c r="AF2124" i="1"/>
  <c r="AF2123" i="1"/>
  <c r="AF2122" i="1"/>
  <c r="AF2121" i="1"/>
  <c r="AF2120" i="1"/>
  <c r="AF2119" i="1"/>
  <c r="AF2118" i="1"/>
  <c r="AF2117" i="1"/>
  <c r="AF2116" i="1"/>
  <c r="AF2115" i="1"/>
  <c r="AF2114" i="1"/>
  <c r="AF2113" i="1"/>
  <c r="AF2112" i="1"/>
  <c r="AF2111" i="1"/>
  <c r="AF2110" i="1"/>
  <c r="AF2109" i="1"/>
  <c r="AF2108" i="1"/>
  <c r="AF2107" i="1"/>
  <c r="AF2106" i="1"/>
  <c r="AF2105" i="1"/>
  <c r="AF2104" i="1"/>
  <c r="AF2103" i="1"/>
  <c r="AF2102" i="1"/>
  <c r="AF2101" i="1"/>
  <c r="AF2100" i="1"/>
  <c r="AF2099" i="1"/>
  <c r="AF2098" i="1"/>
  <c r="AF2097" i="1"/>
  <c r="AF1" i="1"/>
  <c r="AM2096" i="1"/>
  <c r="AF2096" i="1" s="1"/>
  <c r="AM2095" i="1"/>
  <c r="AF2095" i="1" s="1"/>
  <c r="AM2094" i="1"/>
  <c r="AF2094" i="1" s="1"/>
  <c r="AM2093" i="1"/>
  <c r="AF2093" i="1" s="1"/>
  <c r="AM2092" i="1"/>
  <c r="AF2092" i="1" s="1"/>
  <c r="AM2091" i="1"/>
  <c r="AF2091" i="1" s="1"/>
  <c r="AM2090" i="1"/>
  <c r="AF2090" i="1" s="1"/>
  <c r="AM2089" i="1"/>
  <c r="AF2089" i="1" s="1"/>
  <c r="AM2088" i="1"/>
  <c r="AF2088" i="1" s="1"/>
  <c r="AM2087" i="1"/>
  <c r="AF2087" i="1" s="1"/>
  <c r="AM2086" i="1"/>
  <c r="AF2086" i="1" s="1"/>
  <c r="AM2085" i="1"/>
  <c r="AF2085" i="1" s="1"/>
  <c r="AM2084" i="1"/>
  <c r="AF2084" i="1" s="1"/>
  <c r="AM2083" i="1"/>
  <c r="AF2083" i="1" s="1"/>
  <c r="AM2082" i="1"/>
  <c r="AF2082" i="1" s="1"/>
  <c r="AM2081" i="1"/>
  <c r="AF2081" i="1" s="1"/>
  <c r="AM2080" i="1"/>
  <c r="AF2080" i="1" s="1"/>
  <c r="AM2079" i="1"/>
  <c r="AF2079" i="1" s="1"/>
  <c r="AM2078" i="1"/>
  <c r="AF2078" i="1" s="1"/>
  <c r="AM2077" i="1"/>
  <c r="AF2077" i="1" s="1"/>
  <c r="AM2076" i="1"/>
  <c r="AF2076" i="1" s="1"/>
  <c r="AM2075" i="1"/>
  <c r="AF2075" i="1" s="1"/>
  <c r="AM2074" i="1"/>
  <c r="AF2074" i="1" s="1"/>
  <c r="AM2073" i="1"/>
  <c r="AF2073" i="1" s="1"/>
  <c r="AM2072" i="1"/>
  <c r="AF2072" i="1" s="1"/>
  <c r="AM2071" i="1"/>
  <c r="AF2071" i="1" s="1"/>
  <c r="AM2070" i="1"/>
  <c r="AF2070" i="1" s="1"/>
  <c r="AM2069" i="1"/>
  <c r="AF2069" i="1" s="1"/>
  <c r="AM2068" i="1"/>
  <c r="AF2068" i="1" s="1"/>
  <c r="AM2067" i="1"/>
  <c r="AF2067" i="1" s="1"/>
  <c r="AM2066" i="1"/>
  <c r="AF2066" i="1" s="1"/>
  <c r="AM2065" i="1"/>
  <c r="AF2065" i="1" s="1"/>
  <c r="AM2064" i="1"/>
  <c r="AF2064" i="1" s="1"/>
  <c r="AM2063" i="1"/>
  <c r="AF2063" i="1" s="1"/>
  <c r="AM2062" i="1"/>
  <c r="AF2062" i="1" s="1"/>
  <c r="AM2061" i="1"/>
  <c r="AF2061" i="1" s="1"/>
  <c r="AM2060" i="1"/>
  <c r="AF2060" i="1" s="1"/>
  <c r="AM2059" i="1"/>
  <c r="AF2059" i="1" s="1"/>
  <c r="AM2058" i="1"/>
  <c r="AF2058" i="1" s="1"/>
  <c r="AM2057" i="1"/>
  <c r="AF2057" i="1" s="1"/>
  <c r="AM2056" i="1"/>
  <c r="AF2056" i="1" s="1"/>
  <c r="AM2055" i="1"/>
  <c r="AF2055" i="1" s="1"/>
  <c r="AM2054" i="1"/>
  <c r="AF2054" i="1" s="1"/>
  <c r="AM2053" i="1"/>
  <c r="AF2053" i="1" s="1"/>
  <c r="AM2052" i="1"/>
  <c r="AF2052" i="1" s="1"/>
  <c r="AM2051" i="1"/>
  <c r="AF2051" i="1" s="1"/>
  <c r="AM2050" i="1"/>
  <c r="AF2050" i="1" s="1"/>
  <c r="AM2049" i="1"/>
  <c r="AF2049" i="1" s="1"/>
  <c r="AM2048" i="1"/>
  <c r="AF2048" i="1" s="1"/>
  <c r="AM2047" i="1"/>
  <c r="AF2047" i="1" s="1"/>
  <c r="AM2046" i="1"/>
  <c r="AF2046" i="1" s="1"/>
  <c r="AM2045" i="1"/>
  <c r="AF2045" i="1" s="1"/>
  <c r="AM2044" i="1"/>
  <c r="AF2044" i="1" s="1"/>
  <c r="AM2043" i="1"/>
  <c r="AF2043" i="1" s="1"/>
  <c r="AM2042" i="1"/>
  <c r="AF2042" i="1" s="1"/>
  <c r="AM2041" i="1"/>
  <c r="AF2041" i="1" s="1"/>
  <c r="AM2040" i="1"/>
  <c r="AF2040" i="1" s="1"/>
  <c r="AM2039" i="1"/>
  <c r="AF2039" i="1" s="1"/>
  <c r="AM2038" i="1"/>
  <c r="AF2038" i="1" s="1"/>
  <c r="AM2037" i="1"/>
  <c r="AF2037" i="1" s="1"/>
  <c r="AM2036" i="1"/>
  <c r="AF2036" i="1" s="1"/>
  <c r="AM2035" i="1"/>
  <c r="AF2035" i="1" s="1"/>
  <c r="AM2034" i="1"/>
  <c r="AF2034" i="1" s="1"/>
  <c r="AM2033" i="1"/>
  <c r="AF2033" i="1" s="1"/>
  <c r="AM2032" i="1"/>
  <c r="AF2032" i="1" s="1"/>
  <c r="AM2031" i="1"/>
  <c r="AF2031" i="1" s="1"/>
  <c r="AM2030" i="1"/>
  <c r="AF2030" i="1" s="1"/>
  <c r="AM2029" i="1"/>
  <c r="AF2029" i="1" s="1"/>
  <c r="AM2028" i="1"/>
  <c r="AF2028" i="1" s="1"/>
  <c r="AM2027" i="1"/>
  <c r="AF2027" i="1" s="1"/>
  <c r="AM2026" i="1"/>
  <c r="AF2026" i="1" s="1"/>
  <c r="AM2025" i="1"/>
  <c r="AF2025" i="1" s="1"/>
  <c r="AM2024" i="1"/>
  <c r="AF2024" i="1" s="1"/>
  <c r="AM2023" i="1"/>
  <c r="AF2023" i="1" s="1"/>
  <c r="AM2022" i="1"/>
  <c r="AF2022" i="1" s="1"/>
  <c r="AM2021" i="1"/>
  <c r="AF2021" i="1" s="1"/>
  <c r="AM2020" i="1"/>
  <c r="AF2020" i="1" s="1"/>
  <c r="AM2019" i="1"/>
  <c r="AF2019" i="1" s="1"/>
  <c r="AM2018" i="1"/>
  <c r="AF2018" i="1" s="1"/>
  <c r="AM2017" i="1"/>
  <c r="AF2017" i="1" s="1"/>
  <c r="AM2016" i="1"/>
  <c r="AF2016" i="1" s="1"/>
  <c r="AM2015" i="1"/>
  <c r="AF2015" i="1" s="1"/>
  <c r="AM2014" i="1"/>
  <c r="AF2014" i="1" s="1"/>
  <c r="AM2013" i="1"/>
  <c r="AF2013" i="1" s="1"/>
  <c r="AM2012" i="1"/>
  <c r="AF2012" i="1" s="1"/>
  <c r="AM2011" i="1"/>
  <c r="AF2011" i="1" s="1"/>
  <c r="AM2010" i="1"/>
  <c r="AF2010" i="1" s="1"/>
  <c r="AM2009" i="1"/>
  <c r="AF2009" i="1" s="1"/>
  <c r="AM2008" i="1"/>
  <c r="AF2008" i="1" s="1"/>
  <c r="AM2007" i="1"/>
  <c r="AF2007" i="1" s="1"/>
  <c r="AM2006" i="1"/>
  <c r="AF2006" i="1" s="1"/>
  <c r="AM2005" i="1"/>
  <c r="AF2005" i="1" s="1"/>
  <c r="AM2004" i="1"/>
  <c r="AF2004" i="1" s="1"/>
  <c r="AM2003" i="1"/>
  <c r="AF2003" i="1" s="1"/>
  <c r="AM2002" i="1"/>
  <c r="AF2002" i="1" s="1"/>
  <c r="AM2001" i="1"/>
  <c r="AF2001" i="1" s="1"/>
  <c r="AM2000" i="1"/>
  <c r="AF2000" i="1" s="1"/>
  <c r="AM1999" i="1"/>
  <c r="AF1999" i="1" s="1"/>
  <c r="AM1998" i="1"/>
  <c r="AF1998" i="1" s="1"/>
  <c r="AM1997" i="1"/>
  <c r="AF1997" i="1" s="1"/>
  <c r="AM1996" i="1"/>
  <c r="AF1996" i="1" s="1"/>
  <c r="AM1995" i="1"/>
  <c r="AF1995" i="1" s="1"/>
  <c r="AM1994" i="1"/>
  <c r="AF1994" i="1" s="1"/>
  <c r="AM1993" i="1"/>
  <c r="AF1993" i="1" s="1"/>
  <c r="AM1992" i="1"/>
  <c r="AF1992" i="1" s="1"/>
  <c r="AM1991" i="1"/>
  <c r="AF1991" i="1" s="1"/>
  <c r="AM1990" i="1"/>
  <c r="AF1990" i="1" s="1"/>
  <c r="AM1989" i="1"/>
  <c r="AF1989" i="1" s="1"/>
  <c r="AM1988" i="1"/>
  <c r="AF1988" i="1" s="1"/>
  <c r="AM1987" i="1"/>
  <c r="AF1987" i="1" s="1"/>
  <c r="AM1986" i="1"/>
  <c r="AF1986" i="1" s="1"/>
  <c r="AM1985" i="1"/>
  <c r="AF1985" i="1" s="1"/>
  <c r="AM1984" i="1"/>
  <c r="AF1984" i="1" s="1"/>
  <c r="AM1983" i="1"/>
  <c r="AF1983" i="1" s="1"/>
  <c r="AM1982" i="1"/>
  <c r="AF1982" i="1" s="1"/>
  <c r="AM1981" i="1"/>
  <c r="AF1981" i="1" s="1"/>
  <c r="AM1980" i="1"/>
  <c r="AF1980" i="1" s="1"/>
  <c r="AM1979" i="1"/>
  <c r="AF1979" i="1" s="1"/>
  <c r="AM1978" i="1"/>
  <c r="AF1978" i="1" s="1"/>
  <c r="AM1977" i="1"/>
  <c r="AF1977" i="1" s="1"/>
  <c r="AM1976" i="1"/>
  <c r="AF1976" i="1" s="1"/>
  <c r="AM1975" i="1"/>
  <c r="AF1975" i="1" s="1"/>
  <c r="AM1974" i="1"/>
  <c r="AF1974" i="1" s="1"/>
  <c r="AM1973" i="1"/>
  <c r="AF1973" i="1" s="1"/>
  <c r="AM1972" i="1"/>
  <c r="AF1972" i="1" s="1"/>
  <c r="AM1971" i="1"/>
  <c r="AF1971" i="1" s="1"/>
  <c r="AM1970" i="1"/>
  <c r="AF1970" i="1" s="1"/>
  <c r="AM1969" i="1"/>
  <c r="AF1969" i="1" s="1"/>
  <c r="AM1968" i="1"/>
  <c r="AF1968" i="1" s="1"/>
  <c r="AM1967" i="1"/>
  <c r="AF1967" i="1" s="1"/>
  <c r="AM1966" i="1"/>
  <c r="AF1966" i="1" s="1"/>
  <c r="AM1965" i="1"/>
  <c r="AF1965" i="1" s="1"/>
  <c r="AM1964" i="1"/>
  <c r="AF1964" i="1" s="1"/>
  <c r="AM1963" i="1"/>
  <c r="AF1963" i="1" s="1"/>
  <c r="AM1962" i="1"/>
  <c r="AF1962" i="1" s="1"/>
  <c r="AM1961" i="1"/>
  <c r="AF1961" i="1" s="1"/>
  <c r="AM1960" i="1"/>
  <c r="AF1960" i="1" s="1"/>
  <c r="AM1959" i="1"/>
  <c r="AF1959" i="1" s="1"/>
  <c r="AM1958" i="1"/>
  <c r="AF1958" i="1" s="1"/>
  <c r="AM1957" i="1"/>
  <c r="AF1957" i="1" s="1"/>
  <c r="AM1956" i="1"/>
  <c r="AF1956" i="1" s="1"/>
  <c r="AM1955" i="1"/>
  <c r="AF1955" i="1" s="1"/>
  <c r="AM1954" i="1"/>
  <c r="AF1954" i="1" s="1"/>
  <c r="AM1953" i="1"/>
  <c r="AF1953" i="1" s="1"/>
  <c r="AM1952" i="1"/>
  <c r="AF1952" i="1" s="1"/>
  <c r="AM1951" i="1"/>
  <c r="AF1951" i="1" s="1"/>
  <c r="AM1950" i="1"/>
  <c r="AF1950" i="1" s="1"/>
  <c r="AM1949" i="1"/>
  <c r="AF1949" i="1" s="1"/>
  <c r="AM1948" i="1"/>
  <c r="AF1948" i="1" s="1"/>
  <c r="AM1947" i="1"/>
  <c r="AF1947" i="1" s="1"/>
  <c r="AM1946" i="1"/>
  <c r="AF1946" i="1" s="1"/>
  <c r="AM1945" i="1"/>
  <c r="AF1945" i="1" s="1"/>
  <c r="AM1944" i="1"/>
  <c r="AF1944" i="1" s="1"/>
  <c r="AM1943" i="1"/>
  <c r="AF1943" i="1" s="1"/>
  <c r="AM1942" i="1"/>
  <c r="AF1942" i="1" s="1"/>
  <c r="AM1941" i="1"/>
  <c r="AF1941" i="1" s="1"/>
  <c r="AM1940" i="1"/>
  <c r="AF1940" i="1" s="1"/>
  <c r="AM1939" i="1"/>
  <c r="AF1939" i="1" s="1"/>
  <c r="AM1938" i="1"/>
  <c r="AF1938" i="1" s="1"/>
  <c r="AM1937" i="1"/>
  <c r="AF1937" i="1" s="1"/>
  <c r="AM1936" i="1"/>
  <c r="AF1936" i="1" s="1"/>
  <c r="AM1935" i="1"/>
  <c r="AF1935" i="1" s="1"/>
  <c r="AM1934" i="1"/>
  <c r="AF1934" i="1" s="1"/>
  <c r="AM1933" i="1"/>
  <c r="AF1933" i="1" s="1"/>
  <c r="AM1932" i="1"/>
  <c r="AF1932" i="1" s="1"/>
  <c r="AM1931" i="1"/>
  <c r="AF1931" i="1" s="1"/>
  <c r="AM1930" i="1"/>
  <c r="AF1930" i="1" s="1"/>
  <c r="AM1929" i="1"/>
  <c r="AF1929" i="1" s="1"/>
  <c r="AM1928" i="1"/>
  <c r="AF1928" i="1" s="1"/>
  <c r="AM1927" i="1"/>
  <c r="AF1927" i="1" s="1"/>
  <c r="AM1926" i="1"/>
  <c r="AF1926" i="1" s="1"/>
  <c r="AM1925" i="1"/>
  <c r="AF1925" i="1" s="1"/>
  <c r="AM1924" i="1"/>
  <c r="AF1924" i="1" s="1"/>
  <c r="AM1923" i="1"/>
  <c r="AF1923" i="1" s="1"/>
  <c r="AM1922" i="1"/>
  <c r="AF1922" i="1" s="1"/>
  <c r="AM1921" i="1"/>
  <c r="AF1921" i="1" s="1"/>
  <c r="AM1920" i="1"/>
  <c r="AF1920" i="1" s="1"/>
  <c r="AM1919" i="1"/>
  <c r="AF1919" i="1" s="1"/>
  <c r="AM1918" i="1"/>
  <c r="AF1918" i="1" s="1"/>
  <c r="AM1917" i="1"/>
  <c r="AF1917" i="1" s="1"/>
  <c r="AM1916" i="1"/>
  <c r="AF1916" i="1" s="1"/>
  <c r="AM1915" i="1"/>
  <c r="AF1915" i="1" s="1"/>
  <c r="AM1914" i="1"/>
  <c r="AF1914" i="1" s="1"/>
  <c r="AM1913" i="1"/>
  <c r="AF1913" i="1" s="1"/>
  <c r="AM1912" i="1"/>
  <c r="AF1912" i="1" s="1"/>
  <c r="AM1911" i="1"/>
  <c r="AF1911" i="1" s="1"/>
  <c r="AM1910" i="1"/>
  <c r="AF1910" i="1" s="1"/>
  <c r="AM1909" i="1"/>
  <c r="AF1909" i="1" s="1"/>
  <c r="AM1908" i="1"/>
  <c r="AF1908" i="1" s="1"/>
  <c r="AM1907" i="1"/>
  <c r="AF1907" i="1" s="1"/>
  <c r="AM1906" i="1"/>
  <c r="AF1906" i="1" s="1"/>
  <c r="AM1905" i="1"/>
  <c r="AF1905" i="1" s="1"/>
  <c r="AM1904" i="1"/>
  <c r="AF1904" i="1" s="1"/>
  <c r="AM1903" i="1"/>
  <c r="AF1903" i="1" s="1"/>
  <c r="AM1902" i="1"/>
  <c r="AF1902" i="1" s="1"/>
  <c r="AM1901" i="1"/>
  <c r="AF1901" i="1" s="1"/>
  <c r="AM1900" i="1"/>
  <c r="AF1900" i="1" s="1"/>
  <c r="AM1899" i="1"/>
  <c r="AF1899" i="1" s="1"/>
  <c r="AM1898" i="1"/>
  <c r="AF1898" i="1" s="1"/>
  <c r="AM1897" i="1"/>
  <c r="AF1897" i="1" s="1"/>
  <c r="AM1896" i="1"/>
  <c r="AF1896" i="1" s="1"/>
  <c r="AM1895" i="1"/>
  <c r="AF1895" i="1" s="1"/>
  <c r="AM1894" i="1"/>
  <c r="AF1894" i="1" s="1"/>
  <c r="AM1893" i="1"/>
  <c r="AF1893" i="1" s="1"/>
  <c r="AM1892" i="1"/>
  <c r="AF1892" i="1" s="1"/>
  <c r="AM1891" i="1"/>
  <c r="AF1891" i="1" s="1"/>
  <c r="AM1890" i="1"/>
  <c r="AF1890" i="1" s="1"/>
  <c r="AM1889" i="1"/>
  <c r="AF1889" i="1" s="1"/>
  <c r="AM1888" i="1"/>
  <c r="AF1888" i="1" s="1"/>
  <c r="AM1887" i="1"/>
  <c r="AF1887" i="1" s="1"/>
  <c r="AM1886" i="1"/>
  <c r="AF1886" i="1" s="1"/>
  <c r="AM1885" i="1"/>
  <c r="AF1885" i="1" s="1"/>
  <c r="AM1884" i="1"/>
  <c r="AF1884" i="1" s="1"/>
  <c r="AM1883" i="1"/>
  <c r="AF1883" i="1" s="1"/>
  <c r="AM1882" i="1"/>
  <c r="AF1882" i="1" s="1"/>
  <c r="AM1881" i="1"/>
  <c r="AF1881" i="1" s="1"/>
  <c r="AM1880" i="1"/>
  <c r="AF1880" i="1" s="1"/>
  <c r="AM1879" i="1"/>
  <c r="AF1879" i="1" s="1"/>
  <c r="AM1878" i="1"/>
  <c r="AF1878" i="1" s="1"/>
  <c r="AM1877" i="1"/>
  <c r="AF1877" i="1" s="1"/>
  <c r="AM1876" i="1"/>
  <c r="AF1876" i="1" s="1"/>
  <c r="AM1875" i="1"/>
  <c r="AF1875" i="1" s="1"/>
  <c r="AM1874" i="1"/>
  <c r="AF1874" i="1" s="1"/>
  <c r="AM1873" i="1"/>
  <c r="AF1873" i="1" s="1"/>
  <c r="AM1872" i="1"/>
  <c r="AF1872" i="1" s="1"/>
  <c r="AM1871" i="1"/>
  <c r="AF1871" i="1" s="1"/>
  <c r="AM1870" i="1"/>
  <c r="AF1870" i="1" s="1"/>
  <c r="AM1869" i="1"/>
  <c r="AF1869" i="1" s="1"/>
  <c r="AM1868" i="1"/>
  <c r="AF1868" i="1" s="1"/>
  <c r="AM1867" i="1"/>
  <c r="AF1867" i="1" s="1"/>
  <c r="AM1866" i="1"/>
  <c r="AF1866" i="1" s="1"/>
  <c r="AM1865" i="1"/>
  <c r="AF1865" i="1" s="1"/>
  <c r="AM1864" i="1"/>
  <c r="AF1864" i="1" s="1"/>
  <c r="AM1863" i="1"/>
  <c r="AF1863" i="1" s="1"/>
  <c r="AM1862" i="1"/>
  <c r="AF1862" i="1" s="1"/>
  <c r="AM1861" i="1"/>
  <c r="AF1861" i="1" s="1"/>
  <c r="AM1860" i="1"/>
  <c r="AF1860" i="1" s="1"/>
  <c r="AM1859" i="1"/>
  <c r="AF1859" i="1" s="1"/>
  <c r="AM1858" i="1"/>
  <c r="AF1858" i="1" s="1"/>
  <c r="AM1857" i="1"/>
  <c r="AF1857" i="1" s="1"/>
  <c r="AM1856" i="1"/>
  <c r="AF1856" i="1" s="1"/>
  <c r="AM1855" i="1"/>
  <c r="AF1855" i="1" s="1"/>
  <c r="AM1854" i="1"/>
  <c r="AF1854" i="1" s="1"/>
  <c r="AM1853" i="1"/>
  <c r="AF1853" i="1" s="1"/>
  <c r="AM1852" i="1"/>
  <c r="AF1852" i="1" s="1"/>
  <c r="AM1851" i="1"/>
  <c r="AF1851" i="1" s="1"/>
  <c r="AM1850" i="1"/>
  <c r="AF1850" i="1" s="1"/>
  <c r="AM1849" i="1"/>
  <c r="AF1849" i="1" s="1"/>
  <c r="AM1848" i="1"/>
  <c r="AF1848" i="1" s="1"/>
  <c r="AM1847" i="1"/>
  <c r="AF1847" i="1" s="1"/>
  <c r="AM1846" i="1"/>
  <c r="AF1846" i="1" s="1"/>
  <c r="AM1845" i="1"/>
  <c r="AF1845" i="1" s="1"/>
  <c r="AM1844" i="1"/>
  <c r="AF1844" i="1" s="1"/>
  <c r="AM1843" i="1"/>
  <c r="AF1843" i="1" s="1"/>
  <c r="AM1842" i="1"/>
  <c r="AF1842" i="1" s="1"/>
  <c r="AM1841" i="1"/>
  <c r="AF1841" i="1" s="1"/>
  <c r="AM1840" i="1"/>
  <c r="AF1840" i="1" s="1"/>
  <c r="AM1839" i="1"/>
  <c r="AF1839" i="1" s="1"/>
  <c r="AM1838" i="1"/>
  <c r="AF1838" i="1" s="1"/>
  <c r="AM1837" i="1"/>
  <c r="AF1837" i="1" s="1"/>
  <c r="AM1836" i="1"/>
  <c r="AF1836" i="1" s="1"/>
  <c r="AM1835" i="1"/>
  <c r="AF1835" i="1" s="1"/>
  <c r="AM1834" i="1"/>
  <c r="AF1834" i="1" s="1"/>
  <c r="AM1833" i="1"/>
  <c r="AF1833" i="1" s="1"/>
  <c r="AM1832" i="1"/>
  <c r="AF1832" i="1" s="1"/>
  <c r="AM1831" i="1"/>
  <c r="AF1831" i="1" s="1"/>
  <c r="AM1830" i="1"/>
  <c r="AF1830" i="1" s="1"/>
  <c r="AM1829" i="1"/>
  <c r="AF1829" i="1" s="1"/>
  <c r="AM1828" i="1"/>
  <c r="AF1828" i="1" s="1"/>
  <c r="AM1827" i="1"/>
  <c r="AF1827" i="1" s="1"/>
  <c r="AM1826" i="1"/>
  <c r="AF1826" i="1" s="1"/>
  <c r="AM1825" i="1"/>
  <c r="AF1825" i="1" s="1"/>
  <c r="AM1824" i="1"/>
  <c r="AF1824" i="1" s="1"/>
  <c r="AM1823" i="1"/>
  <c r="AF1823" i="1" s="1"/>
  <c r="AM1822" i="1"/>
  <c r="AF1822" i="1" s="1"/>
  <c r="AM1821" i="1"/>
  <c r="AF1821" i="1" s="1"/>
  <c r="AM1820" i="1"/>
  <c r="AF1820" i="1" s="1"/>
  <c r="AM1819" i="1"/>
  <c r="AF1819" i="1" s="1"/>
  <c r="AM1818" i="1"/>
  <c r="AF1818" i="1" s="1"/>
  <c r="AM1817" i="1"/>
  <c r="AF1817" i="1" s="1"/>
  <c r="AM1816" i="1"/>
  <c r="AF1816" i="1" s="1"/>
  <c r="AM1815" i="1"/>
  <c r="AF1815" i="1" s="1"/>
  <c r="AM1814" i="1"/>
  <c r="AF1814" i="1" s="1"/>
  <c r="AM1813" i="1"/>
  <c r="AF1813" i="1" s="1"/>
  <c r="AM1812" i="1"/>
  <c r="AF1812" i="1" s="1"/>
  <c r="AM1811" i="1"/>
  <c r="AF1811" i="1" s="1"/>
  <c r="AM1810" i="1"/>
  <c r="AF1810" i="1" s="1"/>
  <c r="AM1809" i="1"/>
  <c r="AF1809" i="1" s="1"/>
  <c r="AM1808" i="1"/>
  <c r="AF1808" i="1" s="1"/>
  <c r="AM1807" i="1"/>
  <c r="AF1807" i="1" s="1"/>
  <c r="AM1806" i="1"/>
  <c r="AF1806" i="1" s="1"/>
  <c r="AM1805" i="1"/>
  <c r="AF1805" i="1" s="1"/>
  <c r="AM1804" i="1"/>
  <c r="AF1804" i="1" s="1"/>
  <c r="AM1803" i="1"/>
  <c r="AF1803" i="1" s="1"/>
  <c r="AM1802" i="1"/>
  <c r="AF1802" i="1" s="1"/>
  <c r="AM1801" i="1"/>
  <c r="AF1801" i="1" s="1"/>
  <c r="AM1800" i="1"/>
  <c r="AF1800" i="1" s="1"/>
  <c r="AM1799" i="1"/>
  <c r="AF1799" i="1" s="1"/>
  <c r="AM1798" i="1"/>
  <c r="AF1798" i="1" s="1"/>
  <c r="AM1797" i="1"/>
  <c r="AF1797" i="1" s="1"/>
  <c r="AM1796" i="1"/>
  <c r="AF1796" i="1" s="1"/>
  <c r="AM1795" i="1"/>
  <c r="AF1795" i="1" s="1"/>
  <c r="AM1794" i="1"/>
  <c r="AF1794" i="1" s="1"/>
  <c r="AM1793" i="1"/>
  <c r="AF1793" i="1" s="1"/>
  <c r="AM1792" i="1"/>
  <c r="AF1792" i="1" s="1"/>
  <c r="AM1791" i="1"/>
  <c r="AF1791" i="1" s="1"/>
  <c r="AM1790" i="1"/>
  <c r="AF1790" i="1" s="1"/>
  <c r="AM1789" i="1"/>
  <c r="AF1789" i="1" s="1"/>
  <c r="AM1788" i="1"/>
  <c r="AF1788" i="1" s="1"/>
  <c r="AM1787" i="1"/>
  <c r="AF1787" i="1" s="1"/>
  <c r="AM1786" i="1"/>
  <c r="AF1786" i="1" s="1"/>
  <c r="AM1785" i="1"/>
  <c r="AF1785" i="1" s="1"/>
  <c r="AM1784" i="1"/>
  <c r="AF1784" i="1" s="1"/>
  <c r="AM1783" i="1"/>
  <c r="AF1783" i="1" s="1"/>
  <c r="AM1782" i="1"/>
  <c r="AF1782" i="1" s="1"/>
  <c r="AM1781" i="1"/>
  <c r="AF1781" i="1" s="1"/>
  <c r="AM1780" i="1"/>
  <c r="AF1780" i="1" s="1"/>
  <c r="AM1779" i="1"/>
  <c r="AF1779" i="1" s="1"/>
  <c r="AM1778" i="1"/>
  <c r="AF1778" i="1" s="1"/>
  <c r="AM1777" i="1"/>
  <c r="AF1777" i="1" s="1"/>
  <c r="AM1776" i="1"/>
  <c r="AF1776" i="1" s="1"/>
  <c r="AM1775" i="1"/>
  <c r="AF1775" i="1" s="1"/>
  <c r="AM1774" i="1"/>
  <c r="AF1774" i="1" s="1"/>
  <c r="AM1773" i="1"/>
  <c r="AF1773" i="1" s="1"/>
  <c r="AM1772" i="1"/>
  <c r="AF1772" i="1" s="1"/>
  <c r="AM1771" i="1"/>
  <c r="AF1771" i="1" s="1"/>
  <c r="AM1770" i="1"/>
  <c r="AF1770" i="1" s="1"/>
  <c r="AM1769" i="1"/>
  <c r="AF1769" i="1" s="1"/>
  <c r="AM1768" i="1"/>
  <c r="AF1768" i="1" s="1"/>
  <c r="AM1767" i="1"/>
  <c r="AF1767" i="1" s="1"/>
  <c r="AM1766" i="1"/>
  <c r="AF1766" i="1" s="1"/>
  <c r="AM1765" i="1"/>
  <c r="AF1765" i="1" s="1"/>
  <c r="AM1764" i="1"/>
  <c r="AF1764" i="1" s="1"/>
  <c r="AM1763" i="1"/>
  <c r="AF1763" i="1" s="1"/>
  <c r="AM1762" i="1"/>
  <c r="AF1762" i="1" s="1"/>
  <c r="AM1761" i="1"/>
  <c r="AF1761" i="1" s="1"/>
  <c r="AM1760" i="1"/>
  <c r="AF1760" i="1" s="1"/>
  <c r="AM1759" i="1"/>
  <c r="AF1759" i="1" s="1"/>
  <c r="AM1758" i="1"/>
  <c r="AF1758" i="1" s="1"/>
  <c r="AM1757" i="1"/>
  <c r="AF1757" i="1" s="1"/>
  <c r="AM1756" i="1"/>
  <c r="AF1756" i="1" s="1"/>
  <c r="AM1755" i="1"/>
  <c r="AF1755" i="1" s="1"/>
  <c r="AM1754" i="1"/>
  <c r="AF1754" i="1" s="1"/>
  <c r="AM1753" i="1"/>
  <c r="AF1753" i="1" s="1"/>
  <c r="AM1752" i="1"/>
  <c r="AF1752" i="1" s="1"/>
  <c r="AM1751" i="1"/>
  <c r="AF1751" i="1" s="1"/>
  <c r="AM1750" i="1"/>
  <c r="AF1750" i="1" s="1"/>
  <c r="AM1749" i="1"/>
  <c r="AF1749" i="1" s="1"/>
  <c r="AM1748" i="1"/>
  <c r="AF1748" i="1" s="1"/>
  <c r="AM1747" i="1"/>
  <c r="AF1747" i="1" s="1"/>
  <c r="AM1746" i="1"/>
  <c r="AF1746" i="1" s="1"/>
  <c r="AM1745" i="1"/>
  <c r="AF1745" i="1" s="1"/>
  <c r="AM1744" i="1"/>
  <c r="AF1744" i="1" s="1"/>
  <c r="AM1743" i="1"/>
  <c r="AF1743" i="1" s="1"/>
  <c r="AM1742" i="1"/>
  <c r="AF1742" i="1" s="1"/>
  <c r="AM1741" i="1"/>
  <c r="AF1741" i="1" s="1"/>
  <c r="AM1740" i="1"/>
  <c r="AF1740" i="1" s="1"/>
  <c r="AM1739" i="1"/>
  <c r="AF1739" i="1" s="1"/>
  <c r="AM1738" i="1"/>
  <c r="AF1738" i="1" s="1"/>
  <c r="AM1737" i="1"/>
  <c r="AF1737" i="1" s="1"/>
  <c r="AM1736" i="1"/>
  <c r="AF1736" i="1" s="1"/>
  <c r="AM1735" i="1"/>
  <c r="AF1735" i="1" s="1"/>
  <c r="AM1734" i="1"/>
  <c r="AF1734" i="1" s="1"/>
  <c r="AM1733" i="1"/>
  <c r="AF1733" i="1" s="1"/>
  <c r="AM1732" i="1"/>
  <c r="AF1732" i="1" s="1"/>
  <c r="AM1731" i="1"/>
  <c r="AF1731" i="1" s="1"/>
  <c r="AM1730" i="1"/>
  <c r="AF1730" i="1" s="1"/>
  <c r="AM1729" i="1"/>
  <c r="AF1729" i="1" s="1"/>
  <c r="AM1728" i="1"/>
  <c r="AF1728" i="1" s="1"/>
  <c r="AM1727" i="1"/>
  <c r="AF1727" i="1" s="1"/>
  <c r="AM1726" i="1"/>
  <c r="AF1726" i="1" s="1"/>
  <c r="AM1725" i="1"/>
  <c r="AF1725" i="1" s="1"/>
  <c r="AM1724" i="1"/>
  <c r="AF1724" i="1" s="1"/>
  <c r="AM1723" i="1"/>
  <c r="AF1723" i="1" s="1"/>
  <c r="AM1722" i="1"/>
  <c r="AF1722" i="1" s="1"/>
  <c r="AM1721" i="1"/>
  <c r="AF1721" i="1" s="1"/>
  <c r="AM1720" i="1"/>
  <c r="AF1720" i="1" s="1"/>
  <c r="AM1719" i="1"/>
  <c r="AF1719" i="1" s="1"/>
  <c r="AM1718" i="1"/>
  <c r="AF1718" i="1" s="1"/>
  <c r="AM1717" i="1"/>
  <c r="AF1717" i="1" s="1"/>
  <c r="AM1716" i="1"/>
  <c r="AF1716" i="1" s="1"/>
  <c r="AM1715" i="1"/>
  <c r="AF1715" i="1" s="1"/>
  <c r="AM1714" i="1"/>
  <c r="AF1714" i="1" s="1"/>
  <c r="AM1713" i="1"/>
  <c r="AF1713" i="1" s="1"/>
  <c r="AM1712" i="1"/>
  <c r="AF1712" i="1" s="1"/>
  <c r="AM1711" i="1"/>
  <c r="AF1711" i="1" s="1"/>
  <c r="AM1710" i="1"/>
  <c r="AF1710" i="1" s="1"/>
  <c r="AM1709" i="1"/>
  <c r="AF1709" i="1" s="1"/>
  <c r="AM1708" i="1"/>
  <c r="AF1708" i="1" s="1"/>
  <c r="AM1707" i="1"/>
  <c r="AF1707" i="1" s="1"/>
  <c r="AM1706" i="1"/>
  <c r="AF1706" i="1" s="1"/>
  <c r="AM1705" i="1"/>
  <c r="AF1705" i="1" s="1"/>
  <c r="AM1704" i="1"/>
  <c r="AF1704" i="1" s="1"/>
  <c r="AM1703" i="1"/>
  <c r="AF1703" i="1" s="1"/>
  <c r="AM1702" i="1"/>
  <c r="AF1702" i="1" s="1"/>
  <c r="AM1701" i="1"/>
  <c r="AF1701" i="1" s="1"/>
  <c r="AM1700" i="1"/>
  <c r="AF1700" i="1" s="1"/>
  <c r="AM1699" i="1"/>
  <c r="AF1699" i="1" s="1"/>
  <c r="AM1698" i="1"/>
  <c r="AF1698" i="1" s="1"/>
  <c r="AM1697" i="1"/>
  <c r="AF1697" i="1" s="1"/>
  <c r="AM1696" i="1"/>
  <c r="AF1696" i="1" s="1"/>
  <c r="AM1695" i="1"/>
  <c r="AF1695" i="1" s="1"/>
  <c r="AM1694" i="1"/>
  <c r="AF1694" i="1" s="1"/>
  <c r="AM1693" i="1"/>
  <c r="AF1693" i="1" s="1"/>
  <c r="AM1692" i="1"/>
  <c r="AF1692" i="1" s="1"/>
  <c r="AM1691" i="1"/>
  <c r="AF1691" i="1" s="1"/>
  <c r="AM1690" i="1"/>
  <c r="AF1690" i="1" s="1"/>
  <c r="AM1689" i="1"/>
  <c r="AF1689" i="1" s="1"/>
  <c r="AM1688" i="1"/>
  <c r="AF1688" i="1" s="1"/>
  <c r="AM1687" i="1"/>
  <c r="AF1687" i="1" s="1"/>
  <c r="AM1686" i="1"/>
  <c r="AF1686" i="1" s="1"/>
  <c r="AM1685" i="1"/>
  <c r="AF1685" i="1" s="1"/>
  <c r="AM1684" i="1"/>
  <c r="AF1684" i="1" s="1"/>
  <c r="AM1683" i="1"/>
  <c r="AF1683" i="1" s="1"/>
  <c r="AM1682" i="1"/>
  <c r="AF1682" i="1" s="1"/>
  <c r="AM1681" i="1"/>
  <c r="AF1681" i="1" s="1"/>
  <c r="AM1680" i="1"/>
  <c r="AF1680" i="1" s="1"/>
  <c r="AM1679" i="1"/>
  <c r="AF1679" i="1" s="1"/>
  <c r="AM1678" i="1"/>
  <c r="AF1678" i="1" s="1"/>
  <c r="AM1677" i="1"/>
  <c r="AF1677" i="1" s="1"/>
  <c r="AM1676" i="1"/>
  <c r="AF1676" i="1" s="1"/>
  <c r="AM1675" i="1"/>
  <c r="AF1675" i="1" s="1"/>
  <c r="AM1674" i="1"/>
  <c r="AF1674" i="1" s="1"/>
  <c r="AM1673" i="1"/>
  <c r="AF1673" i="1" s="1"/>
  <c r="AM1672" i="1"/>
  <c r="AF1672" i="1" s="1"/>
  <c r="AM1671" i="1"/>
  <c r="AF1671" i="1" s="1"/>
  <c r="AM1670" i="1"/>
  <c r="AF1670" i="1" s="1"/>
  <c r="AM1669" i="1"/>
  <c r="AF1669" i="1" s="1"/>
  <c r="AM1668" i="1"/>
  <c r="AF1668" i="1" s="1"/>
  <c r="AM1667" i="1"/>
  <c r="AF1667" i="1" s="1"/>
  <c r="AM1666" i="1"/>
  <c r="AF1666" i="1" s="1"/>
  <c r="AM1665" i="1"/>
  <c r="AF1665" i="1" s="1"/>
  <c r="AM1664" i="1"/>
  <c r="AF1664" i="1" s="1"/>
  <c r="AM1663" i="1"/>
  <c r="AF1663" i="1" s="1"/>
  <c r="AM1662" i="1"/>
  <c r="AF1662" i="1" s="1"/>
  <c r="AM1661" i="1"/>
  <c r="AF1661" i="1" s="1"/>
  <c r="AM1660" i="1"/>
  <c r="AF1660" i="1" s="1"/>
  <c r="AM1659" i="1"/>
  <c r="AF1659" i="1" s="1"/>
  <c r="AM1658" i="1"/>
  <c r="AF1658" i="1" s="1"/>
  <c r="AM1657" i="1"/>
  <c r="AF1657" i="1" s="1"/>
  <c r="AM1656" i="1"/>
  <c r="AF1656" i="1" s="1"/>
  <c r="AM1655" i="1"/>
  <c r="AF1655" i="1" s="1"/>
  <c r="AM1654" i="1"/>
  <c r="AF1654" i="1" s="1"/>
  <c r="AM1653" i="1"/>
  <c r="AF1653" i="1" s="1"/>
  <c r="AM1652" i="1"/>
  <c r="AF1652" i="1" s="1"/>
  <c r="AM1651" i="1"/>
  <c r="AF1651" i="1" s="1"/>
  <c r="AM1650" i="1"/>
  <c r="AF1650" i="1" s="1"/>
  <c r="AM1649" i="1"/>
  <c r="AF1649" i="1" s="1"/>
  <c r="AM1648" i="1"/>
  <c r="AF1648" i="1" s="1"/>
  <c r="AM1647" i="1"/>
  <c r="AF1647" i="1" s="1"/>
  <c r="AM1646" i="1"/>
  <c r="AF1646" i="1" s="1"/>
  <c r="AM1645" i="1"/>
  <c r="AF1645" i="1" s="1"/>
  <c r="AM1644" i="1"/>
  <c r="AF1644" i="1" s="1"/>
  <c r="AM1643" i="1"/>
  <c r="AF1643" i="1" s="1"/>
  <c r="AM1642" i="1"/>
  <c r="AF1642" i="1" s="1"/>
  <c r="AM1641" i="1"/>
  <c r="AF1641" i="1" s="1"/>
  <c r="AM1640" i="1"/>
  <c r="AF1640" i="1" s="1"/>
  <c r="AM1639" i="1"/>
  <c r="AF1639" i="1" s="1"/>
  <c r="AM1638" i="1"/>
  <c r="AF1638" i="1" s="1"/>
  <c r="AM1637" i="1"/>
  <c r="AF1637" i="1" s="1"/>
  <c r="AM1636" i="1"/>
  <c r="AF1636" i="1" s="1"/>
  <c r="AM1635" i="1"/>
  <c r="AF1635" i="1" s="1"/>
  <c r="AM1634" i="1"/>
  <c r="AF1634" i="1" s="1"/>
  <c r="AM1633" i="1"/>
  <c r="AF1633" i="1" s="1"/>
  <c r="AM1632" i="1"/>
  <c r="AF1632" i="1" s="1"/>
  <c r="AM1631" i="1"/>
  <c r="AF1631" i="1" s="1"/>
  <c r="AM1630" i="1"/>
  <c r="AF1630" i="1" s="1"/>
  <c r="AM1629" i="1"/>
  <c r="AF1629" i="1" s="1"/>
  <c r="AM1628" i="1"/>
  <c r="AF1628" i="1" s="1"/>
  <c r="AM1627" i="1"/>
  <c r="AF1627" i="1" s="1"/>
  <c r="AM1626" i="1"/>
  <c r="AF1626" i="1" s="1"/>
  <c r="AM1625" i="1"/>
  <c r="AF1625" i="1" s="1"/>
  <c r="AM1624" i="1"/>
  <c r="AF1624" i="1" s="1"/>
  <c r="AM1623" i="1"/>
  <c r="AF1623" i="1" s="1"/>
  <c r="AM1622" i="1"/>
  <c r="AF1622" i="1" s="1"/>
  <c r="AM1621" i="1"/>
  <c r="AF1621" i="1" s="1"/>
  <c r="AM1620" i="1"/>
  <c r="AF1620" i="1" s="1"/>
  <c r="AM1619" i="1"/>
  <c r="AF1619" i="1" s="1"/>
  <c r="AM1618" i="1"/>
  <c r="AF1618" i="1" s="1"/>
  <c r="AM1617" i="1"/>
  <c r="AF1617" i="1" s="1"/>
  <c r="AM1616" i="1"/>
  <c r="AF1616" i="1" s="1"/>
  <c r="AM1615" i="1"/>
  <c r="AF1615" i="1" s="1"/>
  <c r="AM1614" i="1"/>
  <c r="AF1614" i="1" s="1"/>
  <c r="AM1613" i="1"/>
  <c r="AF1613" i="1" s="1"/>
  <c r="AM1612" i="1"/>
  <c r="AF1612" i="1" s="1"/>
  <c r="AM1611" i="1"/>
  <c r="AF1611" i="1" s="1"/>
  <c r="AM1610" i="1"/>
  <c r="AF1610" i="1" s="1"/>
  <c r="AM1609" i="1"/>
  <c r="AF1609" i="1" s="1"/>
  <c r="AM1608" i="1"/>
  <c r="AF1608" i="1" s="1"/>
  <c r="AM1607" i="1"/>
  <c r="AF1607" i="1" s="1"/>
  <c r="AM1606" i="1"/>
  <c r="AF1606" i="1" s="1"/>
  <c r="AM1605" i="1"/>
  <c r="AF1605" i="1" s="1"/>
  <c r="AM1604" i="1"/>
  <c r="AF1604" i="1" s="1"/>
  <c r="AM1603" i="1"/>
  <c r="AF1603" i="1" s="1"/>
  <c r="AM1602" i="1"/>
  <c r="AF1602" i="1" s="1"/>
  <c r="AM1601" i="1"/>
  <c r="AF1601" i="1" s="1"/>
  <c r="AM1600" i="1"/>
  <c r="AF1600" i="1" s="1"/>
  <c r="AM1599" i="1"/>
  <c r="AF1599" i="1" s="1"/>
  <c r="AM1598" i="1"/>
  <c r="AF1598" i="1" s="1"/>
  <c r="AM1597" i="1"/>
  <c r="AF1597" i="1" s="1"/>
  <c r="AM1596" i="1"/>
  <c r="AF1596" i="1" s="1"/>
  <c r="AM1595" i="1"/>
  <c r="AF1595" i="1" s="1"/>
  <c r="AM1594" i="1"/>
  <c r="AF1594" i="1" s="1"/>
  <c r="AM1593" i="1"/>
  <c r="AF1593" i="1" s="1"/>
  <c r="AM1592" i="1"/>
  <c r="AF1592" i="1" s="1"/>
  <c r="AM1591" i="1"/>
  <c r="AF1591" i="1" s="1"/>
  <c r="AM1590" i="1"/>
  <c r="AF1590" i="1" s="1"/>
  <c r="AM1589" i="1"/>
  <c r="AF1589" i="1" s="1"/>
  <c r="AM1588" i="1"/>
  <c r="AF1588" i="1" s="1"/>
  <c r="AM1587" i="1"/>
  <c r="AF1587" i="1" s="1"/>
  <c r="AM1586" i="1"/>
  <c r="AF1586" i="1" s="1"/>
  <c r="AM1585" i="1"/>
  <c r="AF1585" i="1" s="1"/>
  <c r="AM1584" i="1"/>
  <c r="AF1584" i="1" s="1"/>
  <c r="AM1583" i="1"/>
  <c r="AF1583" i="1" s="1"/>
  <c r="AM1582" i="1"/>
  <c r="AF1582" i="1" s="1"/>
  <c r="AM1581" i="1"/>
  <c r="AF1581" i="1" s="1"/>
  <c r="AM1580" i="1"/>
  <c r="AF1580" i="1" s="1"/>
  <c r="AM1579" i="1"/>
  <c r="AF1579" i="1" s="1"/>
  <c r="AM1578" i="1"/>
  <c r="AF1578" i="1" s="1"/>
  <c r="AM1577" i="1"/>
  <c r="AF1577" i="1" s="1"/>
  <c r="AM1576" i="1"/>
  <c r="AF1576" i="1" s="1"/>
  <c r="AM1575" i="1"/>
  <c r="AF1575" i="1" s="1"/>
  <c r="AM1574" i="1"/>
  <c r="AF1574" i="1" s="1"/>
  <c r="AM1573" i="1"/>
  <c r="AF1573" i="1" s="1"/>
  <c r="AM1572" i="1"/>
  <c r="AF1572" i="1" s="1"/>
  <c r="AM1571" i="1"/>
  <c r="AF1571" i="1" s="1"/>
  <c r="AM1570" i="1"/>
  <c r="AF1570" i="1" s="1"/>
  <c r="AM1569" i="1"/>
  <c r="AF1569" i="1" s="1"/>
  <c r="AM1568" i="1"/>
  <c r="AF1568" i="1" s="1"/>
  <c r="AM1567" i="1"/>
  <c r="AF1567" i="1" s="1"/>
  <c r="AM1566" i="1"/>
  <c r="AF1566" i="1" s="1"/>
  <c r="AM1565" i="1"/>
  <c r="AF1565" i="1" s="1"/>
  <c r="AM1564" i="1"/>
  <c r="AF1564" i="1" s="1"/>
  <c r="AM1563" i="1"/>
  <c r="AF1563" i="1" s="1"/>
  <c r="AM1562" i="1"/>
  <c r="AF1562" i="1" s="1"/>
  <c r="AM1561" i="1"/>
  <c r="AF1561" i="1" s="1"/>
  <c r="AM1560" i="1"/>
  <c r="AF1560" i="1" s="1"/>
  <c r="AM1559" i="1"/>
  <c r="AF1559" i="1" s="1"/>
  <c r="AM1558" i="1"/>
  <c r="AF1558" i="1" s="1"/>
  <c r="AM1557" i="1"/>
  <c r="AF1557" i="1" s="1"/>
  <c r="AM1556" i="1"/>
  <c r="AF1556" i="1" s="1"/>
  <c r="AM1555" i="1"/>
  <c r="AF1555" i="1" s="1"/>
  <c r="AM1554" i="1"/>
  <c r="AF1554" i="1" s="1"/>
  <c r="AM1553" i="1"/>
  <c r="AF1553" i="1" s="1"/>
  <c r="AM1552" i="1"/>
  <c r="AF1552" i="1" s="1"/>
  <c r="AM1551" i="1"/>
  <c r="AF1551" i="1" s="1"/>
  <c r="AM1550" i="1"/>
  <c r="AF1550" i="1" s="1"/>
  <c r="AM1549" i="1"/>
  <c r="AF1549" i="1" s="1"/>
  <c r="AM1548" i="1"/>
  <c r="AF1548" i="1" s="1"/>
  <c r="AM1547" i="1"/>
  <c r="AF1547" i="1" s="1"/>
  <c r="AM1546" i="1"/>
  <c r="AF1546" i="1" s="1"/>
  <c r="AM1545" i="1"/>
  <c r="AF1545" i="1" s="1"/>
  <c r="AM1544" i="1"/>
  <c r="AF1544" i="1" s="1"/>
  <c r="AM1543" i="1"/>
  <c r="AF1543" i="1" s="1"/>
  <c r="AM1542" i="1"/>
  <c r="AF1542" i="1" s="1"/>
  <c r="AM1541" i="1"/>
  <c r="AF1541" i="1" s="1"/>
  <c r="AM1540" i="1"/>
  <c r="AF1540" i="1" s="1"/>
  <c r="AM1539" i="1"/>
  <c r="AF1539" i="1" s="1"/>
  <c r="AM1538" i="1"/>
  <c r="AF1538" i="1" s="1"/>
  <c r="AM1537" i="1"/>
  <c r="AF1537" i="1" s="1"/>
  <c r="AM1536" i="1"/>
  <c r="AF1536" i="1" s="1"/>
  <c r="AM1535" i="1"/>
  <c r="AF1535" i="1" s="1"/>
  <c r="AM1534" i="1"/>
  <c r="AF1534" i="1" s="1"/>
  <c r="AM1533" i="1"/>
  <c r="AF1533" i="1" s="1"/>
  <c r="AM1532" i="1"/>
  <c r="AF1532" i="1" s="1"/>
  <c r="AM1531" i="1"/>
  <c r="AF1531" i="1" s="1"/>
  <c r="AM1530" i="1"/>
  <c r="AF1530" i="1" s="1"/>
  <c r="AM1529" i="1"/>
  <c r="AF1529" i="1" s="1"/>
  <c r="AM1528" i="1"/>
  <c r="AF1528" i="1" s="1"/>
  <c r="AM1527" i="1"/>
  <c r="AF1527" i="1" s="1"/>
  <c r="AM1526" i="1"/>
  <c r="AF1526" i="1" s="1"/>
  <c r="AM1525" i="1"/>
  <c r="AF1525" i="1" s="1"/>
  <c r="AM1524" i="1"/>
  <c r="AF1524" i="1" s="1"/>
  <c r="AM1523" i="1"/>
  <c r="AF1523" i="1" s="1"/>
  <c r="AM1522" i="1"/>
  <c r="AF1522" i="1" s="1"/>
  <c r="AM1521" i="1"/>
  <c r="AF1521" i="1" s="1"/>
  <c r="AM1520" i="1"/>
  <c r="AF1520" i="1" s="1"/>
  <c r="AM1519" i="1"/>
  <c r="AF1519" i="1" s="1"/>
  <c r="AM1518" i="1"/>
  <c r="AF1518" i="1" s="1"/>
  <c r="AM1517" i="1"/>
  <c r="AF1517" i="1" s="1"/>
  <c r="AM1516" i="1"/>
  <c r="AF1516" i="1" s="1"/>
  <c r="AM1515" i="1"/>
  <c r="AF1515" i="1" s="1"/>
  <c r="AM1514" i="1"/>
  <c r="AF1514" i="1" s="1"/>
  <c r="AM1513" i="1"/>
  <c r="AF1513" i="1" s="1"/>
  <c r="AM1512" i="1"/>
  <c r="AF1512" i="1" s="1"/>
  <c r="AM1511" i="1"/>
  <c r="AF1511" i="1" s="1"/>
  <c r="AM1510" i="1"/>
  <c r="AF1510" i="1" s="1"/>
  <c r="AM1509" i="1"/>
  <c r="AF1509" i="1" s="1"/>
  <c r="AM1508" i="1"/>
  <c r="AF1508" i="1" s="1"/>
  <c r="AM1507" i="1"/>
  <c r="AF1507" i="1" s="1"/>
  <c r="AM1506" i="1"/>
  <c r="AF1506" i="1" s="1"/>
  <c r="AM1505" i="1"/>
  <c r="AF1505" i="1" s="1"/>
  <c r="AM1504" i="1"/>
  <c r="AF1504" i="1" s="1"/>
  <c r="AM1503" i="1"/>
  <c r="AF1503" i="1" s="1"/>
  <c r="AM1502" i="1"/>
  <c r="AF1502" i="1" s="1"/>
  <c r="AM1501" i="1"/>
  <c r="AF1501" i="1" s="1"/>
  <c r="AM1500" i="1"/>
  <c r="AF1500" i="1" s="1"/>
  <c r="AM1499" i="1"/>
  <c r="AF1499" i="1" s="1"/>
  <c r="AM1498" i="1"/>
  <c r="AF1498" i="1" s="1"/>
  <c r="AM1497" i="1"/>
  <c r="AF1497" i="1" s="1"/>
  <c r="AM1496" i="1"/>
  <c r="AF1496" i="1" s="1"/>
  <c r="AM1495" i="1"/>
  <c r="AF1495" i="1" s="1"/>
  <c r="AM1494" i="1"/>
  <c r="AF1494" i="1" s="1"/>
  <c r="AM1493" i="1"/>
  <c r="AF1493" i="1" s="1"/>
  <c r="AM1492" i="1"/>
  <c r="AF1492" i="1" s="1"/>
  <c r="AM1491" i="1"/>
  <c r="AF1491" i="1" s="1"/>
  <c r="AM1490" i="1"/>
  <c r="AF1490" i="1" s="1"/>
  <c r="AM1489" i="1"/>
  <c r="AF1489" i="1" s="1"/>
  <c r="AM1488" i="1"/>
  <c r="AF1488" i="1" s="1"/>
  <c r="AM1487" i="1"/>
  <c r="AF1487" i="1" s="1"/>
  <c r="AM1486" i="1"/>
  <c r="AF1486" i="1" s="1"/>
  <c r="AM1485" i="1"/>
  <c r="AF1485" i="1" s="1"/>
  <c r="AM1484" i="1"/>
  <c r="AF1484" i="1" s="1"/>
  <c r="AM1483" i="1"/>
  <c r="AF1483" i="1" s="1"/>
  <c r="AM1482" i="1"/>
  <c r="AF1482" i="1" s="1"/>
  <c r="AM1481" i="1"/>
  <c r="AF1481" i="1" s="1"/>
  <c r="AM1480" i="1"/>
  <c r="AF1480" i="1" s="1"/>
  <c r="AM1479" i="1"/>
  <c r="AF1479" i="1" s="1"/>
  <c r="AM1478" i="1"/>
  <c r="AF1478" i="1" s="1"/>
  <c r="AM1477" i="1"/>
  <c r="AF1477" i="1" s="1"/>
  <c r="AM1476" i="1"/>
  <c r="AF1476" i="1" s="1"/>
  <c r="AM1475" i="1"/>
  <c r="AF1475" i="1" s="1"/>
  <c r="AM1474" i="1"/>
  <c r="AF1474" i="1" s="1"/>
  <c r="AM1473" i="1"/>
  <c r="AF1473" i="1" s="1"/>
  <c r="AM1472" i="1"/>
  <c r="AF1472" i="1" s="1"/>
  <c r="AM1471" i="1"/>
  <c r="AF1471" i="1" s="1"/>
  <c r="AM1470" i="1"/>
  <c r="AF1470" i="1" s="1"/>
  <c r="AM1469" i="1"/>
  <c r="AF1469" i="1" s="1"/>
  <c r="AM1468" i="1"/>
  <c r="AF1468" i="1" s="1"/>
  <c r="AM1467" i="1"/>
  <c r="AF1467" i="1" s="1"/>
  <c r="AM1466" i="1"/>
  <c r="AF1466" i="1" s="1"/>
  <c r="AM1465" i="1"/>
  <c r="AF1465" i="1" s="1"/>
  <c r="AM1464" i="1"/>
  <c r="AF1464" i="1" s="1"/>
  <c r="AM1463" i="1"/>
  <c r="AF1463" i="1" s="1"/>
  <c r="AM1462" i="1"/>
  <c r="AF1462" i="1" s="1"/>
  <c r="AM1461" i="1"/>
  <c r="AF1461" i="1" s="1"/>
  <c r="AM1460" i="1"/>
  <c r="AF1460" i="1" s="1"/>
  <c r="AM1459" i="1"/>
  <c r="AF1459" i="1" s="1"/>
  <c r="AM1458" i="1"/>
  <c r="AF1458" i="1" s="1"/>
  <c r="AM1457" i="1"/>
  <c r="AF1457" i="1" s="1"/>
  <c r="AM1456" i="1"/>
  <c r="AF1456" i="1" s="1"/>
  <c r="AM1455" i="1"/>
  <c r="AF1455" i="1" s="1"/>
  <c r="AM1454" i="1"/>
  <c r="AF1454" i="1" s="1"/>
  <c r="AM1453" i="1"/>
  <c r="AF1453" i="1" s="1"/>
  <c r="AM1452" i="1"/>
  <c r="AF1452" i="1" s="1"/>
  <c r="AM1451" i="1"/>
  <c r="AF1451" i="1" s="1"/>
  <c r="AM1450" i="1"/>
  <c r="AF1450" i="1" s="1"/>
  <c r="AM1449" i="1"/>
  <c r="AF1449" i="1" s="1"/>
  <c r="AM1448" i="1"/>
  <c r="AF1448" i="1" s="1"/>
  <c r="AM1447" i="1"/>
  <c r="AF1447" i="1" s="1"/>
  <c r="AM1446" i="1"/>
  <c r="AF1446" i="1" s="1"/>
  <c r="AM1445" i="1"/>
  <c r="AF1445" i="1" s="1"/>
  <c r="AM1444" i="1"/>
  <c r="AF1444" i="1" s="1"/>
  <c r="AM1443" i="1"/>
  <c r="AF1443" i="1" s="1"/>
  <c r="AM1442" i="1"/>
  <c r="AF1442" i="1" s="1"/>
  <c r="AM1441" i="1"/>
  <c r="AF1441" i="1" s="1"/>
  <c r="AM1440" i="1"/>
  <c r="AF1440" i="1" s="1"/>
  <c r="AM1439" i="1"/>
  <c r="AF1439" i="1" s="1"/>
  <c r="AM1438" i="1"/>
  <c r="AF1438" i="1" s="1"/>
  <c r="AM1437" i="1"/>
  <c r="AF1437" i="1" s="1"/>
  <c r="AM1436" i="1"/>
  <c r="AF1436" i="1" s="1"/>
  <c r="AM1435" i="1"/>
  <c r="AF1435" i="1" s="1"/>
  <c r="AM1434" i="1"/>
  <c r="AF1434" i="1" s="1"/>
  <c r="AM1433" i="1"/>
  <c r="AF1433" i="1" s="1"/>
  <c r="AM1432" i="1"/>
  <c r="AF1432" i="1" s="1"/>
  <c r="AM1431" i="1"/>
  <c r="AF1431" i="1" s="1"/>
  <c r="AM1430" i="1"/>
  <c r="AF1430" i="1" s="1"/>
  <c r="AM1429" i="1"/>
  <c r="AF1429" i="1" s="1"/>
  <c r="AM1428" i="1"/>
  <c r="AF1428" i="1" s="1"/>
  <c r="AM1427" i="1"/>
  <c r="AF1427" i="1" s="1"/>
  <c r="AM1426" i="1"/>
  <c r="AF1426" i="1" s="1"/>
  <c r="AM1425" i="1"/>
  <c r="AF1425" i="1" s="1"/>
  <c r="AM1424" i="1"/>
  <c r="AF1424" i="1" s="1"/>
  <c r="AM1423" i="1"/>
  <c r="AF1423" i="1" s="1"/>
  <c r="AM1422" i="1"/>
  <c r="AF1422" i="1" s="1"/>
  <c r="AM1421" i="1"/>
  <c r="AF1421" i="1" s="1"/>
  <c r="AM1420" i="1"/>
  <c r="AF1420" i="1" s="1"/>
  <c r="AM1419" i="1"/>
  <c r="AF1419" i="1" s="1"/>
  <c r="AM1418" i="1"/>
  <c r="AF1418" i="1" s="1"/>
  <c r="AM1417" i="1"/>
  <c r="AF1417" i="1" s="1"/>
  <c r="AM1416" i="1"/>
  <c r="AF1416" i="1" s="1"/>
  <c r="AM1415" i="1"/>
  <c r="AF1415" i="1" s="1"/>
  <c r="AM1414" i="1"/>
  <c r="AF1414" i="1" s="1"/>
  <c r="AM1413" i="1"/>
  <c r="AF1413" i="1" s="1"/>
  <c r="AM1412" i="1"/>
  <c r="AF1412" i="1" s="1"/>
  <c r="AM1411" i="1"/>
  <c r="AF1411" i="1" s="1"/>
  <c r="AM1410" i="1"/>
  <c r="AF1410" i="1" s="1"/>
  <c r="AM1409" i="1"/>
  <c r="AF1409" i="1" s="1"/>
  <c r="AM1408" i="1"/>
  <c r="AF1408" i="1" s="1"/>
  <c r="AM1407" i="1"/>
  <c r="AF1407" i="1" s="1"/>
  <c r="AM1406" i="1"/>
  <c r="AF1406" i="1" s="1"/>
  <c r="AM1405" i="1"/>
  <c r="AF1405" i="1" s="1"/>
  <c r="AM1404" i="1"/>
  <c r="AF1404" i="1" s="1"/>
  <c r="AM1403" i="1"/>
  <c r="AF1403" i="1" s="1"/>
  <c r="AM1402" i="1"/>
  <c r="AF1402" i="1" s="1"/>
  <c r="AM1401" i="1"/>
  <c r="AF1401" i="1" s="1"/>
  <c r="AM1400" i="1"/>
  <c r="AF1400" i="1" s="1"/>
  <c r="AM1399" i="1"/>
  <c r="AF1399" i="1" s="1"/>
  <c r="AM1398" i="1"/>
  <c r="AF1398" i="1" s="1"/>
  <c r="AM1397" i="1"/>
  <c r="AF1397" i="1" s="1"/>
  <c r="AM1396" i="1"/>
  <c r="AF1396" i="1" s="1"/>
  <c r="AM1395" i="1"/>
  <c r="AF1395" i="1" s="1"/>
  <c r="AM1394" i="1"/>
  <c r="AF1394" i="1" s="1"/>
  <c r="AM1393" i="1"/>
  <c r="AF1393" i="1" s="1"/>
  <c r="AM1392" i="1"/>
  <c r="AF1392" i="1" s="1"/>
  <c r="AM1391" i="1"/>
  <c r="AF1391" i="1" s="1"/>
  <c r="AM1390" i="1"/>
  <c r="AF1390" i="1" s="1"/>
  <c r="AM1389" i="1"/>
  <c r="AF1389" i="1" s="1"/>
  <c r="AM1388" i="1"/>
  <c r="AF1388" i="1" s="1"/>
  <c r="AM1387" i="1"/>
  <c r="AF1387" i="1" s="1"/>
  <c r="AM1386" i="1"/>
  <c r="AF1386" i="1" s="1"/>
  <c r="AM1385" i="1"/>
  <c r="AF1385" i="1" s="1"/>
  <c r="AM1384" i="1"/>
  <c r="AF1384" i="1" s="1"/>
  <c r="AM1383" i="1"/>
  <c r="AF1383" i="1" s="1"/>
  <c r="AM1382" i="1"/>
  <c r="AF1382" i="1" s="1"/>
  <c r="AM1381" i="1"/>
  <c r="AF1381" i="1" s="1"/>
  <c r="AM1380" i="1"/>
  <c r="AF1380" i="1" s="1"/>
  <c r="AM1379" i="1"/>
  <c r="AF1379" i="1" s="1"/>
  <c r="AM1378" i="1"/>
  <c r="AF1378" i="1" s="1"/>
  <c r="AM1377" i="1"/>
  <c r="AF1377" i="1" s="1"/>
  <c r="AM1376" i="1"/>
  <c r="AF1376" i="1" s="1"/>
  <c r="AM1375" i="1"/>
  <c r="AF1375" i="1" s="1"/>
  <c r="AM1374" i="1"/>
  <c r="AF1374" i="1" s="1"/>
  <c r="AM1373" i="1"/>
  <c r="AF1373" i="1" s="1"/>
  <c r="AM1372" i="1"/>
  <c r="AF1372" i="1" s="1"/>
  <c r="AM1371" i="1"/>
  <c r="AF1371" i="1" s="1"/>
  <c r="AM1370" i="1"/>
  <c r="AF1370" i="1" s="1"/>
  <c r="AM1369" i="1"/>
  <c r="AF1369" i="1" s="1"/>
  <c r="AM1368" i="1"/>
  <c r="AF1368" i="1" s="1"/>
  <c r="AM1367" i="1"/>
  <c r="AF1367" i="1" s="1"/>
  <c r="AM1366" i="1"/>
  <c r="AF1366" i="1" s="1"/>
  <c r="AM1365" i="1"/>
  <c r="AF1365" i="1" s="1"/>
  <c r="AM1364" i="1"/>
  <c r="AF1364" i="1" s="1"/>
  <c r="AM1363" i="1"/>
  <c r="AF1363" i="1" s="1"/>
  <c r="AM1362" i="1"/>
  <c r="AF1362" i="1" s="1"/>
  <c r="AM1361" i="1"/>
  <c r="AF1361" i="1" s="1"/>
  <c r="AM1360" i="1"/>
  <c r="AF1360" i="1" s="1"/>
  <c r="AM1359" i="1"/>
  <c r="AF1359" i="1" s="1"/>
  <c r="AM1358" i="1"/>
  <c r="AF1358" i="1" s="1"/>
  <c r="AM1357" i="1"/>
  <c r="AF1357" i="1" s="1"/>
  <c r="AM1356" i="1"/>
  <c r="AF1356" i="1" s="1"/>
  <c r="AM1355" i="1"/>
  <c r="AF1355" i="1" s="1"/>
  <c r="AM1354" i="1"/>
  <c r="AF1354" i="1" s="1"/>
  <c r="AM1353" i="1"/>
  <c r="AF1353" i="1" s="1"/>
  <c r="AM1352" i="1"/>
  <c r="AF1352" i="1" s="1"/>
  <c r="AM1351" i="1"/>
  <c r="AF1351" i="1" s="1"/>
  <c r="AM1350" i="1"/>
  <c r="AF1350" i="1" s="1"/>
  <c r="AM1349" i="1"/>
  <c r="AF1349" i="1" s="1"/>
  <c r="AM1348" i="1"/>
  <c r="AF1348" i="1" s="1"/>
  <c r="AM1347" i="1"/>
  <c r="AF1347" i="1" s="1"/>
  <c r="AM1346" i="1"/>
  <c r="AF1346" i="1" s="1"/>
  <c r="AM1345" i="1"/>
  <c r="AF1345" i="1" s="1"/>
  <c r="AM1344" i="1"/>
  <c r="AF1344" i="1" s="1"/>
  <c r="AM1343" i="1"/>
  <c r="AF1343" i="1" s="1"/>
  <c r="AM1342" i="1"/>
  <c r="AF1342" i="1" s="1"/>
  <c r="AM1341" i="1"/>
  <c r="AF1341" i="1" s="1"/>
  <c r="AM1340" i="1"/>
  <c r="AF1340" i="1" s="1"/>
  <c r="AM1339" i="1"/>
  <c r="AF1339" i="1" s="1"/>
  <c r="AM1338" i="1"/>
  <c r="AF1338" i="1" s="1"/>
  <c r="AM1337" i="1"/>
  <c r="AF1337" i="1" s="1"/>
  <c r="AM1336" i="1"/>
  <c r="AF1336" i="1" s="1"/>
  <c r="AM1335" i="1"/>
  <c r="AF1335" i="1" s="1"/>
  <c r="AM1334" i="1"/>
  <c r="AF1334" i="1" s="1"/>
  <c r="AM1333" i="1"/>
  <c r="AF1333" i="1" s="1"/>
  <c r="AM1332" i="1"/>
  <c r="AF1332" i="1" s="1"/>
  <c r="AM1331" i="1"/>
  <c r="AF1331" i="1" s="1"/>
  <c r="AM1330" i="1"/>
  <c r="AF1330" i="1" s="1"/>
  <c r="AM1329" i="1"/>
  <c r="AF1329" i="1" s="1"/>
  <c r="AM1328" i="1"/>
  <c r="AF1328" i="1" s="1"/>
  <c r="AM1327" i="1"/>
  <c r="AF1327" i="1" s="1"/>
  <c r="AM1326" i="1"/>
  <c r="AF1326" i="1" s="1"/>
  <c r="AM1325" i="1"/>
  <c r="AF1325" i="1" s="1"/>
  <c r="AM1324" i="1"/>
  <c r="AF1324" i="1" s="1"/>
  <c r="AM1323" i="1"/>
  <c r="AF1323" i="1" s="1"/>
  <c r="AM1322" i="1"/>
  <c r="AF1322" i="1" s="1"/>
  <c r="AM1321" i="1"/>
  <c r="AF1321" i="1" s="1"/>
  <c r="AM1320" i="1"/>
  <c r="AF1320" i="1" s="1"/>
  <c r="AM1319" i="1"/>
  <c r="AF1319" i="1" s="1"/>
  <c r="AM1318" i="1"/>
  <c r="AF1318" i="1" s="1"/>
  <c r="AM1317" i="1"/>
  <c r="AF1317" i="1" s="1"/>
  <c r="AM1316" i="1"/>
  <c r="AF1316" i="1" s="1"/>
  <c r="AM1315" i="1"/>
  <c r="AF1315" i="1" s="1"/>
  <c r="AM1314" i="1"/>
  <c r="AF1314" i="1" s="1"/>
  <c r="AM1313" i="1"/>
  <c r="AF1313" i="1" s="1"/>
  <c r="AM1312" i="1"/>
  <c r="AF1312" i="1" s="1"/>
  <c r="AM1311" i="1"/>
  <c r="AF1311" i="1" s="1"/>
  <c r="AM1310" i="1"/>
  <c r="AF1310" i="1" s="1"/>
  <c r="AM1309" i="1"/>
  <c r="AF1309" i="1" s="1"/>
  <c r="AM1308" i="1"/>
  <c r="AF1308" i="1" s="1"/>
  <c r="AM1307" i="1"/>
  <c r="AF1307" i="1" s="1"/>
  <c r="AM1306" i="1"/>
  <c r="AF1306" i="1" s="1"/>
  <c r="AM1305" i="1"/>
  <c r="AF1305" i="1" s="1"/>
  <c r="AM1304" i="1"/>
  <c r="AF1304" i="1" s="1"/>
  <c r="AM1303" i="1"/>
  <c r="AF1303" i="1" s="1"/>
  <c r="AM1302" i="1"/>
  <c r="AF1302" i="1" s="1"/>
  <c r="AM1301" i="1"/>
  <c r="AF1301" i="1" s="1"/>
  <c r="AM1300" i="1"/>
  <c r="AF1300" i="1" s="1"/>
  <c r="AM1299" i="1"/>
  <c r="AF1299" i="1" s="1"/>
  <c r="AM1298" i="1"/>
  <c r="AF1298" i="1" s="1"/>
  <c r="AM1297" i="1"/>
  <c r="AF1297" i="1" s="1"/>
  <c r="AM1296" i="1"/>
  <c r="AF1296" i="1" s="1"/>
  <c r="AM1295" i="1"/>
  <c r="AF1295" i="1" s="1"/>
  <c r="AM1294" i="1"/>
  <c r="AF1294" i="1" s="1"/>
  <c r="AM1293" i="1"/>
  <c r="AF1293" i="1" s="1"/>
  <c r="AM1292" i="1"/>
  <c r="AF1292" i="1" s="1"/>
  <c r="AM1291" i="1"/>
  <c r="AF1291" i="1" s="1"/>
  <c r="AM1290" i="1"/>
  <c r="AF1290" i="1" s="1"/>
  <c r="AM1289" i="1"/>
  <c r="AF1289" i="1" s="1"/>
  <c r="AM1288" i="1"/>
  <c r="AF1288" i="1" s="1"/>
  <c r="AM1287" i="1"/>
  <c r="AF1287" i="1" s="1"/>
  <c r="AM1286" i="1"/>
  <c r="AF1286" i="1" s="1"/>
  <c r="AM1285" i="1"/>
  <c r="AF1285" i="1" s="1"/>
  <c r="AM1284" i="1"/>
  <c r="AF1284" i="1" s="1"/>
  <c r="AM1283" i="1"/>
  <c r="AF1283" i="1" s="1"/>
  <c r="AM1282" i="1"/>
  <c r="AF1282" i="1" s="1"/>
  <c r="AM1281" i="1"/>
  <c r="AF1281" i="1" s="1"/>
  <c r="AM1280" i="1"/>
  <c r="AF1280" i="1" s="1"/>
  <c r="AM1279" i="1"/>
  <c r="AF1279" i="1" s="1"/>
  <c r="AM1278" i="1"/>
  <c r="AF1278" i="1" s="1"/>
  <c r="AM1277" i="1"/>
  <c r="AF1277" i="1" s="1"/>
  <c r="AM1276" i="1"/>
  <c r="AF1276" i="1" s="1"/>
  <c r="AM1275" i="1"/>
  <c r="AF1275" i="1" s="1"/>
  <c r="AM1274" i="1"/>
  <c r="AF1274" i="1" s="1"/>
  <c r="AM1273" i="1"/>
  <c r="AF1273" i="1" s="1"/>
  <c r="AM1272" i="1"/>
  <c r="AF1272" i="1" s="1"/>
  <c r="AM1271" i="1"/>
  <c r="AF1271" i="1" s="1"/>
  <c r="AM1270" i="1"/>
  <c r="AF1270" i="1" s="1"/>
  <c r="AM1269" i="1"/>
  <c r="AF1269" i="1" s="1"/>
  <c r="AM1268" i="1"/>
  <c r="AF1268" i="1" s="1"/>
  <c r="AM1267" i="1"/>
  <c r="AF1267" i="1" s="1"/>
  <c r="AM1266" i="1"/>
  <c r="AF1266" i="1" s="1"/>
  <c r="AM1265" i="1"/>
  <c r="AF1265" i="1" s="1"/>
  <c r="AM1264" i="1"/>
  <c r="AF1264" i="1" s="1"/>
  <c r="AM1263" i="1"/>
  <c r="AF1263" i="1" s="1"/>
  <c r="AM1262" i="1"/>
  <c r="AF1262" i="1" s="1"/>
  <c r="AM1261" i="1"/>
  <c r="AF1261" i="1" s="1"/>
  <c r="AM1260" i="1"/>
  <c r="AF1260" i="1" s="1"/>
  <c r="AM1259" i="1"/>
  <c r="AF1259" i="1" s="1"/>
  <c r="AM1258" i="1"/>
  <c r="AF1258" i="1" s="1"/>
  <c r="AM1257" i="1"/>
  <c r="AF1257" i="1" s="1"/>
  <c r="AM1256" i="1"/>
  <c r="AF1256" i="1" s="1"/>
  <c r="AM1255" i="1"/>
  <c r="AF1255" i="1" s="1"/>
  <c r="AM1254" i="1"/>
  <c r="AF1254" i="1" s="1"/>
  <c r="AM1253" i="1"/>
  <c r="AF1253" i="1" s="1"/>
  <c r="AM1252" i="1"/>
  <c r="AF1252" i="1" s="1"/>
  <c r="AM1251" i="1"/>
  <c r="AF1251" i="1" s="1"/>
  <c r="AM1250" i="1"/>
  <c r="AF1250" i="1" s="1"/>
  <c r="AM1249" i="1"/>
  <c r="AF1249" i="1" s="1"/>
  <c r="AM1248" i="1"/>
  <c r="AF1248" i="1" s="1"/>
  <c r="AM1247" i="1"/>
  <c r="AF1247" i="1" s="1"/>
  <c r="AM1246" i="1"/>
  <c r="AF1246" i="1" s="1"/>
  <c r="AM1245" i="1"/>
  <c r="AF1245" i="1" s="1"/>
  <c r="AM1244" i="1"/>
  <c r="AF1244" i="1" s="1"/>
  <c r="AM1243" i="1"/>
  <c r="AF1243" i="1" s="1"/>
  <c r="AM1242" i="1"/>
  <c r="AF1242" i="1" s="1"/>
  <c r="AM1241" i="1"/>
  <c r="AF1241" i="1" s="1"/>
  <c r="AM1240" i="1"/>
  <c r="AF1240" i="1" s="1"/>
  <c r="AM1239" i="1"/>
  <c r="AF1239" i="1" s="1"/>
  <c r="AM1238" i="1"/>
  <c r="AF1238" i="1" s="1"/>
  <c r="AM1237" i="1"/>
  <c r="AF1237" i="1" s="1"/>
  <c r="AM1236" i="1"/>
  <c r="AF1236" i="1" s="1"/>
  <c r="AM1235" i="1"/>
  <c r="AF1235" i="1" s="1"/>
  <c r="AM1234" i="1"/>
  <c r="AF1234" i="1" s="1"/>
  <c r="AM1233" i="1"/>
  <c r="AF1233" i="1" s="1"/>
  <c r="AM1232" i="1"/>
  <c r="AF1232" i="1" s="1"/>
  <c r="AM1231" i="1"/>
  <c r="AF1231" i="1" s="1"/>
  <c r="AM1230" i="1"/>
  <c r="AF1230" i="1" s="1"/>
  <c r="AM1229" i="1"/>
  <c r="AF1229" i="1" s="1"/>
  <c r="AM1228" i="1"/>
  <c r="AF1228" i="1" s="1"/>
  <c r="AM1227" i="1"/>
  <c r="AF1227" i="1" s="1"/>
  <c r="AM1226" i="1"/>
  <c r="AF1226" i="1" s="1"/>
  <c r="AM1225" i="1"/>
  <c r="AF1225" i="1" s="1"/>
  <c r="AM1224" i="1"/>
  <c r="AF1224" i="1" s="1"/>
  <c r="AM1223" i="1"/>
  <c r="AF1223" i="1" s="1"/>
  <c r="AM1222" i="1"/>
  <c r="AF1222" i="1" s="1"/>
  <c r="AM1221" i="1"/>
  <c r="AF1221" i="1" s="1"/>
  <c r="AM1220" i="1"/>
  <c r="AF1220" i="1" s="1"/>
  <c r="AM1219" i="1"/>
  <c r="AF1219" i="1" s="1"/>
  <c r="AM1218" i="1"/>
  <c r="AF1218" i="1" s="1"/>
  <c r="AM1217" i="1"/>
  <c r="AF1217" i="1" s="1"/>
  <c r="AM1216" i="1"/>
  <c r="AF1216" i="1" s="1"/>
  <c r="AM1215" i="1"/>
  <c r="AF1215" i="1" s="1"/>
  <c r="AM1214" i="1"/>
  <c r="AF1214" i="1" s="1"/>
  <c r="AM1213" i="1"/>
  <c r="AF1213" i="1" s="1"/>
  <c r="AM1212" i="1"/>
  <c r="AF1212" i="1" s="1"/>
  <c r="AM1211" i="1"/>
  <c r="AF1211" i="1" s="1"/>
  <c r="AM1210" i="1"/>
  <c r="AF1210" i="1" s="1"/>
  <c r="AM1209" i="1"/>
  <c r="AF1209" i="1" s="1"/>
  <c r="AM1208" i="1"/>
  <c r="AF1208" i="1" s="1"/>
  <c r="AM1207" i="1"/>
  <c r="AF1207" i="1" s="1"/>
  <c r="AM1206" i="1"/>
  <c r="AF1206" i="1" s="1"/>
  <c r="AM1205" i="1"/>
  <c r="AF1205" i="1" s="1"/>
  <c r="AM1204" i="1"/>
  <c r="AF1204" i="1" s="1"/>
  <c r="AM1203" i="1"/>
  <c r="AF1203" i="1" s="1"/>
  <c r="AM1202" i="1"/>
  <c r="AF1202" i="1" s="1"/>
  <c r="AM1201" i="1"/>
  <c r="AF1201" i="1" s="1"/>
  <c r="AM1200" i="1"/>
  <c r="AF1200" i="1" s="1"/>
  <c r="AM1199" i="1"/>
  <c r="AF1199" i="1" s="1"/>
  <c r="AM1198" i="1"/>
  <c r="AF1198" i="1" s="1"/>
  <c r="AM1197" i="1"/>
  <c r="AF1197" i="1" s="1"/>
  <c r="AM1196" i="1"/>
  <c r="AF1196" i="1" s="1"/>
  <c r="AM1195" i="1"/>
  <c r="AF1195" i="1" s="1"/>
  <c r="AM1194" i="1"/>
  <c r="AF1194" i="1" s="1"/>
  <c r="AM1193" i="1"/>
  <c r="AF1193" i="1" s="1"/>
  <c r="AM1192" i="1"/>
  <c r="AF1192" i="1" s="1"/>
  <c r="AM1191" i="1"/>
  <c r="AF1191" i="1" s="1"/>
  <c r="AM1190" i="1"/>
  <c r="AF1190" i="1" s="1"/>
  <c r="AM1189" i="1"/>
  <c r="AF1189" i="1" s="1"/>
  <c r="AM1188" i="1"/>
  <c r="AF1188" i="1" s="1"/>
  <c r="AM1187" i="1"/>
  <c r="AF1187" i="1" s="1"/>
  <c r="AM1186" i="1"/>
  <c r="AF1186" i="1" s="1"/>
  <c r="AM1185" i="1"/>
  <c r="AF1185" i="1" s="1"/>
  <c r="AM1184" i="1"/>
  <c r="AF1184" i="1" s="1"/>
  <c r="AM1183" i="1"/>
  <c r="AF1183" i="1" s="1"/>
  <c r="AM1182" i="1"/>
  <c r="AF1182" i="1" s="1"/>
  <c r="AM1181" i="1"/>
  <c r="AF1181" i="1" s="1"/>
  <c r="AM1180" i="1"/>
  <c r="AF1180" i="1" s="1"/>
  <c r="AM1179" i="1"/>
  <c r="AF1179" i="1" s="1"/>
  <c r="AM1178" i="1"/>
  <c r="AF1178" i="1" s="1"/>
  <c r="AM1177" i="1"/>
  <c r="AF1177" i="1" s="1"/>
  <c r="AM1176" i="1"/>
  <c r="AF1176" i="1" s="1"/>
  <c r="AM1175" i="1"/>
  <c r="AF1175" i="1" s="1"/>
  <c r="AM1174" i="1"/>
  <c r="AF1174" i="1" s="1"/>
  <c r="AM1173" i="1"/>
  <c r="AF1173" i="1" s="1"/>
  <c r="AM1172" i="1"/>
  <c r="AF1172" i="1" s="1"/>
  <c r="AM1171" i="1"/>
  <c r="AF1171" i="1" s="1"/>
  <c r="AM1170" i="1"/>
  <c r="AF1170" i="1" s="1"/>
  <c r="AM1169" i="1"/>
  <c r="AF1169" i="1" s="1"/>
  <c r="AM1168" i="1"/>
  <c r="AF1168" i="1" s="1"/>
  <c r="AM1167" i="1"/>
  <c r="AF1167" i="1" s="1"/>
  <c r="AM1166" i="1"/>
  <c r="AF1166" i="1" s="1"/>
  <c r="AM1165" i="1"/>
  <c r="AF1165" i="1" s="1"/>
  <c r="AM1164" i="1"/>
  <c r="AF1164" i="1" s="1"/>
  <c r="AM1163" i="1"/>
  <c r="AF1163" i="1" s="1"/>
  <c r="AM1162" i="1"/>
  <c r="AF1162" i="1" s="1"/>
  <c r="AM1161" i="1"/>
  <c r="AF1161" i="1" s="1"/>
  <c r="AM1160" i="1"/>
  <c r="AF1160" i="1" s="1"/>
  <c r="AM1159" i="1"/>
  <c r="AF1159" i="1" s="1"/>
  <c r="AM1158" i="1"/>
  <c r="AF1158" i="1" s="1"/>
  <c r="AM1157" i="1"/>
  <c r="AF1157" i="1" s="1"/>
  <c r="AM1156" i="1"/>
  <c r="AF1156" i="1" s="1"/>
  <c r="AM1155" i="1"/>
  <c r="AF1155" i="1" s="1"/>
  <c r="AM1154" i="1"/>
  <c r="AF1154" i="1" s="1"/>
  <c r="AM1153" i="1"/>
  <c r="AF1153" i="1" s="1"/>
  <c r="AM1152" i="1"/>
  <c r="AF1152" i="1" s="1"/>
  <c r="AM1151" i="1"/>
  <c r="AF1151" i="1" s="1"/>
  <c r="AM1150" i="1"/>
  <c r="AF1150" i="1" s="1"/>
  <c r="AM1149" i="1"/>
  <c r="AF1149" i="1" s="1"/>
  <c r="AM1148" i="1"/>
  <c r="AF1148" i="1" s="1"/>
  <c r="AM1147" i="1"/>
  <c r="AF1147" i="1" s="1"/>
  <c r="AM1146" i="1"/>
  <c r="AF1146" i="1" s="1"/>
  <c r="AM1145" i="1"/>
  <c r="AF1145" i="1" s="1"/>
  <c r="AM1144" i="1"/>
  <c r="AF1144" i="1" s="1"/>
  <c r="AM1143" i="1"/>
  <c r="AF1143" i="1" s="1"/>
  <c r="AM1142" i="1"/>
  <c r="AF1142" i="1" s="1"/>
  <c r="AM1141" i="1"/>
  <c r="AF1141" i="1" s="1"/>
  <c r="AM1140" i="1"/>
  <c r="AF1140" i="1" s="1"/>
  <c r="AM1139" i="1"/>
  <c r="AF1139" i="1" s="1"/>
  <c r="AM1138" i="1"/>
  <c r="AF1138" i="1" s="1"/>
  <c r="AM1137" i="1"/>
  <c r="AF1137" i="1" s="1"/>
  <c r="AM1136" i="1"/>
  <c r="AF1136" i="1" s="1"/>
  <c r="AM1135" i="1"/>
  <c r="AF1135" i="1" s="1"/>
  <c r="AM1134" i="1"/>
  <c r="AF1134" i="1" s="1"/>
  <c r="AM1133" i="1"/>
  <c r="AF1133" i="1" s="1"/>
  <c r="AM1132" i="1"/>
  <c r="AF1132" i="1" s="1"/>
  <c r="AM1131" i="1"/>
  <c r="AF1131" i="1" s="1"/>
  <c r="AM1130" i="1"/>
  <c r="AF1130" i="1" s="1"/>
  <c r="AM1129" i="1"/>
  <c r="AF1129" i="1" s="1"/>
  <c r="AM1128" i="1"/>
  <c r="AF1128" i="1" s="1"/>
  <c r="AM1127" i="1"/>
  <c r="AF1127" i="1" s="1"/>
  <c r="AM1126" i="1"/>
  <c r="AF1126" i="1" s="1"/>
  <c r="AM1125" i="1"/>
  <c r="AF1125" i="1" s="1"/>
  <c r="AM1124" i="1"/>
  <c r="AF1124" i="1" s="1"/>
  <c r="AM1123" i="1"/>
  <c r="AF1123" i="1" s="1"/>
  <c r="AM1122" i="1"/>
  <c r="AF1122" i="1" s="1"/>
  <c r="AM1121" i="1"/>
  <c r="AF1121" i="1" s="1"/>
  <c r="AM1120" i="1"/>
  <c r="AF1120" i="1" s="1"/>
  <c r="AM1119" i="1"/>
  <c r="AF1119" i="1" s="1"/>
  <c r="AM1118" i="1"/>
  <c r="AF1118" i="1" s="1"/>
  <c r="AM1117" i="1"/>
  <c r="AF1117" i="1" s="1"/>
  <c r="AM1116" i="1"/>
  <c r="AF1116" i="1" s="1"/>
  <c r="AM1115" i="1"/>
  <c r="AF1115" i="1" s="1"/>
  <c r="AM1114" i="1"/>
  <c r="AF1114" i="1" s="1"/>
  <c r="AM1113" i="1"/>
  <c r="AF1113" i="1" s="1"/>
  <c r="AM1112" i="1"/>
  <c r="AF1112" i="1" s="1"/>
  <c r="AM1111" i="1"/>
  <c r="AF1111" i="1" s="1"/>
  <c r="AM1110" i="1"/>
  <c r="AF1110" i="1" s="1"/>
  <c r="AM1109" i="1"/>
  <c r="AF1109" i="1" s="1"/>
  <c r="AM1108" i="1"/>
  <c r="AF1108" i="1" s="1"/>
  <c r="AM1107" i="1"/>
  <c r="AF1107" i="1" s="1"/>
  <c r="AM1106" i="1"/>
  <c r="AF1106" i="1" s="1"/>
  <c r="AM1105" i="1"/>
  <c r="AF1105" i="1" s="1"/>
  <c r="AM1104" i="1"/>
  <c r="AF1104" i="1" s="1"/>
  <c r="AM1103" i="1"/>
  <c r="AF1103" i="1" s="1"/>
  <c r="AM1102" i="1"/>
  <c r="AF1102" i="1" s="1"/>
  <c r="AM1101" i="1"/>
  <c r="AF1101" i="1" s="1"/>
  <c r="AM1100" i="1"/>
  <c r="AF1100" i="1" s="1"/>
  <c r="AM1099" i="1"/>
  <c r="AF1099" i="1" s="1"/>
  <c r="AM1098" i="1"/>
  <c r="AF1098" i="1" s="1"/>
  <c r="AM1097" i="1"/>
  <c r="AF1097" i="1" s="1"/>
  <c r="AM1096" i="1"/>
  <c r="AF1096" i="1" s="1"/>
  <c r="AM1095" i="1"/>
  <c r="AF1095" i="1" s="1"/>
  <c r="AM1094" i="1"/>
  <c r="AF1094" i="1" s="1"/>
  <c r="AM1093" i="1"/>
  <c r="AF1093" i="1" s="1"/>
  <c r="AM1092" i="1"/>
  <c r="AF1092" i="1" s="1"/>
  <c r="AM1091" i="1"/>
  <c r="AF1091" i="1" s="1"/>
  <c r="AM1090" i="1"/>
  <c r="AF1090" i="1" s="1"/>
  <c r="AM1089" i="1"/>
  <c r="AF1089" i="1" s="1"/>
  <c r="AM1088" i="1"/>
  <c r="AF1088" i="1" s="1"/>
  <c r="AM1087" i="1"/>
  <c r="AF1087" i="1" s="1"/>
  <c r="AM1086" i="1"/>
  <c r="AF1086" i="1" s="1"/>
  <c r="AM1085" i="1"/>
  <c r="AF1085" i="1" s="1"/>
  <c r="AM1084" i="1"/>
  <c r="AF1084" i="1" s="1"/>
  <c r="AM1083" i="1"/>
  <c r="AF1083" i="1" s="1"/>
  <c r="AM1082" i="1"/>
  <c r="AF1082" i="1" s="1"/>
  <c r="AM1081" i="1"/>
  <c r="AF1081" i="1" s="1"/>
  <c r="AM1080" i="1"/>
  <c r="AF1080" i="1" s="1"/>
  <c r="AM1079" i="1"/>
  <c r="AF1079" i="1" s="1"/>
  <c r="AM1078" i="1"/>
  <c r="AF1078" i="1" s="1"/>
  <c r="AM1077" i="1"/>
  <c r="AF1077" i="1" s="1"/>
  <c r="AM1076" i="1"/>
  <c r="AF1076" i="1" s="1"/>
  <c r="AM1075" i="1"/>
  <c r="AF1075" i="1" s="1"/>
  <c r="AM1074" i="1"/>
  <c r="AF1074" i="1" s="1"/>
  <c r="AM1073" i="1"/>
  <c r="AF1073" i="1" s="1"/>
  <c r="AM1072" i="1"/>
  <c r="AF1072" i="1" s="1"/>
  <c r="AM1071" i="1"/>
  <c r="AF1071" i="1" s="1"/>
  <c r="AM1070" i="1"/>
  <c r="AF1070" i="1" s="1"/>
  <c r="AM1069" i="1"/>
  <c r="AF1069" i="1" s="1"/>
  <c r="AM1068" i="1"/>
  <c r="AF1068" i="1" s="1"/>
  <c r="AM1067" i="1"/>
  <c r="AF1067" i="1" s="1"/>
  <c r="AM1066" i="1"/>
  <c r="AF1066" i="1" s="1"/>
  <c r="AM1065" i="1"/>
  <c r="AF1065" i="1" s="1"/>
  <c r="AM1064" i="1"/>
  <c r="AF1064" i="1" s="1"/>
  <c r="AM1063" i="1"/>
  <c r="AF1063" i="1" s="1"/>
  <c r="AM1062" i="1"/>
  <c r="AF1062" i="1" s="1"/>
  <c r="AM1061" i="1"/>
  <c r="AF1061" i="1" s="1"/>
  <c r="AM1060" i="1"/>
  <c r="AF1060" i="1" s="1"/>
  <c r="AM1059" i="1"/>
  <c r="AF1059" i="1" s="1"/>
  <c r="AM1058" i="1"/>
  <c r="AF1058" i="1" s="1"/>
  <c r="AM1057" i="1"/>
  <c r="AF1057" i="1" s="1"/>
  <c r="AM1056" i="1"/>
  <c r="AF1056" i="1" s="1"/>
  <c r="AM1055" i="1"/>
  <c r="AF1055" i="1" s="1"/>
  <c r="AM1054" i="1"/>
  <c r="AF1054" i="1" s="1"/>
  <c r="AM1053" i="1"/>
  <c r="AF1053" i="1" s="1"/>
  <c r="AM1052" i="1"/>
  <c r="AF1052" i="1" s="1"/>
  <c r="AM1051" i="1"/>
  <c r="AF1051" i="1" s="1"/>
  <c r="AM1050" i="1"/>
  <c r="AF1050" i="1" s="1"/>
  <c r="AM1049" i="1"/>
  <c r="AF1049" i="1" s="1"/>
  <c r="AM1048" i="1"/>
  <c r="AF1048" i="1" s="1"/>
  <c r="AM1047" i="1"/>
  <c r="AF1047" i="1" s="1"/>
  <c r="AM1046" i="1"/>
  <c r="AF1046" i="1" s="1"/>
  <c r="AM1045" i="1"/>
  <c r="AF1045" i="1" s="1"/>
  <c r="AM1044" i="1"/>
  <c r="AF1044" i="1" s="1"/>
  <c r="AM1043" i="1"/>
  <c r="AF1043" i="1" s="1"/>
  <c r="AM1042" i="1"/>
  <c r="AF1042" i="1" s="1"/>
  <c r="AM1041" i="1"/>
  <c r="AF1041" i="1" s="1"/>
  <c r="AM1040" i="1"/>
  <c r="AF1040" i="1" s="1"/>
  <c r="AM1039" i="1"/>
  <c r="AF1039" i="1" s="1"/>
  <c r="AM1038" i="1"/>
  <c r="AF1038" i="1" s="1"/>
  <c r="AM1037" i="1"/>
  <c r="AF1037" i="1" s="1"/>
  <c r="AM1036" i="1"/>
  <c r="AF1036" i="1" s="1"/>
  <c r="AM1035" i="1"/>
  <c r="AF1035" i="1" s="1"/>
  <c r="AM1034" i="1"/>
  <c r="AF1034" i="1" s="1"/>
  <c r="AM1033" i="1"/>
  <c r="AF1033" i="1" s="1"/>
  <c r="AM1032" i="1"/>
  <c r="AF1032" i="1" s="1"/>
  <c r="AM1031" i="1"/>
  <c r="AF1031" i="1" s="1"/>
  <c r="AM1030" i="1"/>
  <c r="AF1030" i="1" s="1"/>
  <c r="AM1029" i="1"/>
  <c r="AF1029" i="1" s="1"/>
  <c r="AM1028" i="1"/>
  <c r="AF1028" i="1" s="1"/>
  <c r="AM1027" i="1"/>
  <c r="AF1027" i="1" s="1"/>
  <c r="AM1026" i="1"/>
  <c r="AF1026" i="1" s="1"/>
  <c r="AM1025" i="1"/>
  <c r="AF1025" i="1" s="1"/>
  <c r="AM1024" i="1"/>
  <c r="AF1024" i="1" s="1"/>
  <c r="AM1023" i="1"/>
  <c r="AF1023" i="1" s="1"/>
  <c r="AM1022" i="1"/>
  <c r="AF1022" i="1" s="1"/>
  <c r="AM1021" i="1"/>
  <c r="AF1021" i="1" s="1"/>
  <c r="AM1020" i="1"/>
  <c r="AF1020" i="1" s="1"/>
  <c r="AM1019" i="1"/>
  <c r="AF1019" i="1" s="1"/>
  <c r="AM1018" i="1"/>
  <c r="AF1018" i="1" s="1"/>
  <c r="AM1017" i="1"/>
  <c r="AF1017" i="1" s="1"/>
  <c r="AM1016" i="1"/>
  <c r="AF1016" i="1" s="1"/>
  <c r="AM1015" i="1"/>
  <c r="AF1015" i="1" s="1"/>
  <c r="AM1014" i="1"/>
  <c r="AF1014" i="1" s="1"/>
  <c r="AM1013" i="1"/>
  <c r="AF1013" i="1" s="1"/>
  <c r="AM1012" i="1"/>
  <c r="AF1012" i="1" s="1"/>
  <c r="AM1011" i="1"/>
  <c r="AF1011" i="1" s="1"/>
  <c r="AM1010" i="1"/>
  <c r="AF1010" i="1" s="1"/>
  <c r="AM1009" i="1"/>
  <c r="AF1009" i="1" s="1"/>
  <c r="AM1008" i="1"/>
  <c r="AF1008" i="1" s="1"/>
  <c r="AM1007" i="1"/>
  <c r="AF1007" i="1" s="1"/>
  <c r="AM1006" i="1"/>
  <c r="AF1006" i="1" s="1"/>
  <c r="AM1005" i="1"/>
  <c r="AF1005" i="1" s="1"/>
  <c r="AM1004" i="1"/>
  <c r="AF1004" i="1" s="1"/>
  <c r="AM1003" i="1"/>
  <c r="AF1003" i="1" s="1"/>
  <c r="AM1002" i="1"/>
  <c r="AF1002" i="1" s="1"/>
  <c r="AM1001" i="1"/>
  <c r="AF1001" i="1" s="1"/>
  <c r="AM1000" i="1"/>
  <c r="AF1000" i="1" s="1"/>
  <c r="AM999" i="1"/>
  <c r="AF999" i="1" s="1"/>
  <c r="AM998" i="1"/>
  <c r="AF998" i="1" s="1"/>
  <c r="AM997" i="1"/>
  <c r="AF997" i="1" s="1"/>
  <c r="AM996" i="1"/>
  <c r="AF996" i="1" s="1"/>
  <c r="AM995" i="1"/>
  <c r="AF995" i="1" s="1"/>
  <c r="AM994" i="1"/>
  <c r="AF994" i="1" s="1"/>
  <c r="AM993" i="1"/>
  <c r="AF993" i="1" s="1"/>
  <c r="AM992" i="1"/>
  <c r="AF992" i="1" s="1"/>
  <c r="AM991" i="1"/>
  <c r="AF991" i="1" s="1"/>
  <c r="AM990" i="1"/>
  <c r="AF990" i="1" s="1"/>
  <c r="AM989" i="1"/>
  <c r="AF989" i="1" s="1"/>
  <c r="AM988" i="1"/>
  <c r="AF988" i="1" s="1"/>
  <c r="AM987" i="1"/>
  <c r="AF987" i="1" s="1"/>
  <c r="AM986" i="1"/>
  <c r="AF986" i="1" s="1"/>
  <c r="AM985" i="1"/>
  <c r="AF985" i="1" s="1"/>
  <c r="AM984" i="1"/>
  <c r="AF984" i="1" s="1"/>
  <c r="AM983" i="1"/>
  <c r="AF983" i="1" s="1"/>
  <c r="AM982" i="1"/>
  <c r="AF982" i="1" s="1"/>
  <c r="AM981" i="1"/>
  <c r="AF981" i="1" s="1"/>
  <c r="AM980" i="1"/>
  <c r="AF980" i="1" s="1"/>
  <c r="AM979" i="1"/>
  <c r="AF979" i="1" s="1"/>
  <c r="AM978" i="1"/>
  <c r="AF978" i="1" s="1"/>
  <c r="AM977" i="1"/>
  <c r="AF977" i="1" s="1"/>
  <c r="AM976" i="1"/>
  <c r="AF976" i="1" s="1"/>
  <c r="AM975" i="1"/>
  <c r="AF975" i="1" s="1"/>
  <c r="AM974" i="1"/>
  <c r="AF974" i="1" s="1"/>
  <c r="AM973" i="1"/>
  <c r="AF973" i="1" s="1"/>
  <c r="AM972" i="1"/>
  <c r="AF972" i="1" s="1"/>
  <c r="AM971" i="1"/>
  <c r="AF971" i="1" s="1"/>
  <c r="AM970" i="1"/>
  <c r="AF970" i="1" s="1"/>
  <c r="AM969" i="1"/>
  <c r="AF969" i="1" s="1"/>
  <c r="AM968" i="1"/>
  <c r="AF968" i="1" s="1"/>
  <c r="AM967" i="1"/>
  <c r="AF967" i="1" s="1"/>
  <c r="AM966" i="1"/>
  <c r="AF966" i="1" s="1"/>
  <c r="AM965" i="1"/>
  <c r="AF965" i="1" s="1"/>
  <c r="AM964" i="1"/>
  <c r="AF964" i="1" s="1"/>
  <c r="AM963" i="1"/>
  <c r="AF963" i="1" s="1"/>
  <c r="AM962" i="1"/>
  <c r="AF962" i="1" s="1"/>
  <c r="AM961" i="1"/>
  <c r="AF961" i="1" s="1"/>
  <c r="AM960" i="1"/>
  <c r="AF960" i="1" s="1"/>
  <c r="AM959" i="1"/>
  <c r="AF959" i="1" s="1"/>
  <c r="AM958" i="1"/>
  <c r="AF958" i="1" s="1"/>
  <c r="AM957" i="1"/>
  <c r="AF957" i="1" s="1"/>
  <c r="AM956" i="1"/>
  <c r="AF956" i="1" s="1"/>
  <c r="AM955" i="1"/>
  <c r="AF955" i="1" s="1"/>
  <c r="AM954" i="1"/>
  <c r="AF954" i="1" s="1"/>
  <c r="AM953" i="1"/>
  <c r="AF953" i="1" s="1"/>
  <c r="AM952" i="1"/>
  <c r="AF952" i="1" s="1"/>
  <c r="AM951" i="1"/>
  <c r="AF951" i="1" s="1"/>
  <c r="AM950" i="1"/>
  <c r="AF950" i="1" s="1"/>
  <c r="AM949" i="1"/>
  <c r="AF949" i="1" s="1"/>
  <c r="AM948" i="1"/>
  <c r="AF948" i="1" s="1"/>
  <c r="AM947" i="1"/>
  <c r="AF947" i="1" s="1"/>
  <c r="AM946" i="1"/>
  <c r="AF946" i="1" s="1"/>
  <c r="AM945" i="1"/>
  <c r="AF945" i="1" s="1"/>
  <c r="AM944" i="1"/>
  <c r="AF944" i="1" s="1"/>
  <c r="AM943" i="1"/>
  <c r="AF943" i="1" s="1"/>
  <c r="AM942" i="1"/>
  <c r="AF942" i="1" s="1"/>
  <c r="AM941" i="1"/>
  <c r="AF941" i="1" s="1"/>
  <c r="AM940" i="1"/>
  <c r="AF940" i="1" s="1"/>
  <c r="AM939" i="1"/>
  <c r="AF939" i="1" s="1"/>
  <c r="AM938" i="1"/>
  <c r="AF938" i="1" s="1"/>
  <c r="AM937" i="1"/>
  <c r="AF937" i="1" s="1"/>
  <c r="AM936" i="1"/>
  <c r="AF936" i="1" s="1"/>
  <c r="AM935" i="1"/>
  <c r="AF935" i="1" s="1"/>
  <c r="AM934" i="1"/>
  <c r="AF934" i="1" s="1"/>
  <c r="AM933" i="1"/>
  <c r="AF933" i="1" s="1"/>
  <c r="AM932" i="1"/>
  <c r="AF932" i="1" s="1"/>
  <c r="AM931" i="1"/>
  <c r="AF931" i="1" s="1"/>
  <c r="AM930" i="1"/>
  <c r="AF930" i="1" s="1"/>
  <c r="AM929" i="1"/>
  <c r="AF929" i="1" s="1"/>
  <c r="AM928" i="1"/>
  <c r="AF928" i="1" s="1"/>
  <c r="AM927" i="1"/>
  <c r="AF927" i="1" s="1"/>
  <c r="AM926" i="1"/>
  <c r="AF926" i="1" s="1"/>
  <c r="AM925" i="1"/>
  <c r="AF925" i="1" s="1"/>
  <c r="AM924" i="1"/>
  <c r="AF924" i="1" s="1"/>
  <c r="AM923" i="1"/>
  <c r="AF923" i="1" s="1"/>
  <c r="AM922" i="1"/>
  <c r="AF922" i="1" s="1"/>
  <c r="AM921" i="1"/>
  <c r="AF921" i="1" s="1"/>
  <c r="AM920" i="1"/>
  <c r="AF920" i="1" s="1"/>
  <c r="AM919" i="1"/>
  <c r="AF919" i="1" s="1"/>
  <c r="AM918" i="1"/>
  <c r="AF918" i="1" s="1"/>
  <c r="AM917" i="1"/>
  <c r="AF917" i="1" s="1"/>
  <c r="AM916" i="1"/>
  <c r="AF916" i="1" s="1"/>
  <c r="AM915" i="1"/>
  <c r="AF915" i="1" s="1"/>
  <c r="AM914" i="1"/>
  <c r="AF914" i="1" s="1"/>
  <c r="AM913" i="1"/>
  <c r="AF913" i="1" s="1"/>
  <c r="AM912" i="1"/>
  <c r="AF912" i="1" s="1"/>
  <c r="AM911" i="1"/>
  <c r="AF911" i="1" s="1"/>
  <c r="AM910" i="1"/>
  <c r="AF910" i="1" s="1"/>
  <c r="AM909" i="1"/>
  <c r="AF909" i="1" s="1"/>
  <c r="AM908" i="1"/>
  <c r="AF908" i="1" s="1"/>
  <c r="AM907" i="1"/>
  <c r="AF907" i="1" s="1"/>
  <c r="AM906" i="1"/>
  <c r="AF906" i="1" s="1"/>
  <c r="AM905" i="1"/>
  <c r="AF905" i="1" s="1"/>
  <c r="AM904" i="1"/>
  <c r="AF904" i="1" s="1"/>
  <c r="AM903" i="1"/>
  <c r="AF903" i="1" s="1"/>
  <c r="AM902" i="1"/>
  <c r="AF902" i="1" s="1"/>
  <c r="AM901" i="1"/>
  <c r="AF901" i="1" s="1"/>
  <c r="AM900" i="1"/>
  <c r="AF900" i="1" s="1"/>
  <c r="AM899" i="1"/>
  <c r="AF899" i="1" s="1"/>
  <c r="AM898" i="1"/>
  <c r="AF898" i="1" s="1"/>
  <c r="AM897" i="1"/>
  <c r="AF897" i="1" s="1"/>
  <c r="AM896" i="1"/>
  <c r="AF896" i="1" s="1"/>
  <c r="AM895" i="1"/>
  <c r="AF895" i="1" s="1"/>
  <c r="AM894" i="1"/>
  <c r="AF894" i="1" s="1"/>
  <c r="AM893" i="1"/>
  <c r="AF893" i="1" s="1"/>
  <c r="AM892" i="1"/>
  <c r="AF892" i="1" s="1"/>
  <c r="AM891" i="1"/>
  <c r="AF891" i="1" s="1"/>
  <c r="AM890" i="1"/>
  <c r="AF890" i="1" s="1"/>
  <c r="AM889" i="1"/>
  <c r="AF889" i="1" s="1"/>
  <c r="AM888" i="1"/>
  <c r="AF888" i="1" s="1"/>
  <c r="AM887" i="1"/>
  <c r="AF887" i="1" s="1"/>
  <c r="AM886" i="1"/>
  <c r="AF886" i="1" s="1"/>
  <c r="AM885" i="1"/>
  <c r="AF885" i="1" s="1"/>
  <c r="AM884" i="1"/>
  <c r="AF884" i="1" s="1"/>
  <c r="AM883" i="1"/>
  <c r="AF883" i="1" s="1"/>
  <c r="AM882" i="1"/>
  <c r="AF882" i="1" s="1"/>
  <c r="AM881" i="1"/>
  <c r="AF881" i="1" s="1"/>
  <c r="AM880" i="1"/>
  <c r="AF880" i="1" s="1"/>
  <c r="AM879" i="1"/>
  <c r="AF879" i="1" s="1"/>
  <c r="AM878" i="1"/>
  <c r="AF878" i="1" s="1"/>
  <c r="AM877" i="1"/>
  <c r="AF877" i="1" s="1"/>
  <c r="AM876" i="1"/>
  <c r="AF876" i="1" s="1"/>
  <c r="AM875" i="1"/>
  <c r="AF875" i="1" s="1"/>
  <c r="AM874" i="1"/>
  <c r="AF874" i="1" s="1"/>
  <c r="AM873" i="1"/>
  <c r="AF873" i="1" s="1"/>
  <c r="AM872" i="1"/>
  <c r="AF872" i="1" s="1"/>
  <c r="AM871" i="1"/>
  <c r="AF871" i="1" s="1"/>
  <c r="AM870" i="1"/>
  <c r="AF870" i="1" s="1"/>
  <c r="AM869" i="1"/>
  <c r="AF869" i="1" s="1"/>
  <c r="AM868" i="1"/>
  <c r="AF868" i="1" s="1"/>
  <c r="AM867" i="1"/>
  <c r="AF867" i="1" s="1"/>
  <c r="AM866" i="1"/>
  <c r="AF866" i="1" s="1"/>
  <c r="AM865" i="1"/>
  <c r="AF865" i="1" s="1"/>
  <c r="AM864" i="1"/>
  <c r="AF864" i="1" s="1"/>
  <c r="AM863" i="1"/>
  <c r="AF863" i="1" s="1"/>
  <c r="AM862" i="1"/>
  <c r="AF862" i="1" s="1"/>
  <c r="AM861" i="1"/>
  <c r="AF861" i="1" s="1"/>
  <c r="AM860" i="1"/>
  <c r="AF860" i="1" s="1"/>
  <c r="AM859" i="1"/>
  <c r="AF859" i="1" s="1"/>
  <c r="AM858" i="1"/>
  <c r="AF858" i="1" s="1"/>
  <c r="AM857" i="1"/>
  <c r="AF857" i="1" s="1"/>
  <c r="AM856" i="1"/>
  <c r="AF856" i="1" s="1"/>
  <c r="AM855" i="1"/>
  <c r="AF855" i="1" s="1"/>
  <c r="AM854" i="1"/>
  <c r="AF854" i="1" s="1"/>
  <c r="AM853" i="1"/>
  <c r="AF853" i="1" s="1"/>
  <c r="AM852" i="1"/>
  <c r="AF852" i="1" s="1"/>
  <c r="AM851" i="1"/>
  <c r="AF851" i="1" s="1"/>
  <c r="AM850" i="1"/>
  <c r="AF850" i="1" s="1"/>
  <c r="AM849" i="1"/>
  <c r="AF849" i="1" s="1"/>
  <c r="AM848" i="1"/>
  <c r="AF848" i="1" s="1"/>
  <c r="AM847" i="1"/>
  <c r="AF847" i="1" s="1"/>
  <c r="AM846" i="1"/>
  <c r="AF846" i="1" s="1"/>
  <c r="AM845" i="1"/>
  <c r="AF845" i="1" s="1"/>
  <c r="AM844" i="1"/>
  <c r="AF844" i="1" s="1"/>
  <c r="AM843" i="1"/>
  <c r="AF843" i="1" s="1"/>
  <c r="AM842" i="1"/>
  <c r="AF842" i="1" s="1"/>
  <c r="AM841" i="1"/>
  <c r="AF841" i="1" s="1"/>
  <c r="AM840" i="1"/>
  <c r="AF840" i="1" s="1"/>
  <c r="AM839" i="1"/>
  <c r="AF839" i="1" s="1"/>
  <c r="AM838" i="1"/>
  <c r="AF838" i="1" s="1"/>
  <c r="AM837" i="1"/>
  <c r="AF837" i="1" s="1"/>
  <c r="AM836" i="1"/>
  <c r="AF836" i="1" s="1"/>
  <c r="AM835" i="1"/>
  <c r="AF835" i="1" s="1"/>
  <c r="AM834" i="1"/>
  <c r="AF834" i="1" s="1"/>
  <c r="AM833" i="1"/>
  <c r="AF833" i="1" s="1"/>
  <c r="AM832" i="1"/>
  <c r="AF832" i="1" s="1"/>
  <c r="AM831" i="1"/>
  <c r="AF831" i="1" s="1"/>
  <c r="AM830" i="1"/>
  <c r="AF830" i="1" s="1"/>
  <c r="AM829" i="1"/>
  <c r="AF829" i="1" s="1"/>
  <c r="AM828" i="1"/>
  <c r="AF828" i="1" s="1"/>
  <c r="AM827" i="1"/>
  <c r="AF827" i="1" s="1"/>
  <c r="AM826" i="1"/>
  <c r="AF826" i="1" s="1"/>
  <c r="AM825" i="1"/>
  <c r="AF825" i="1" s="1"/>
  <c r="AM824" i="1"/>
  <c r="AF824" i="1" s="1"/>
  <c r="AM823" i="1"/>
  <c r="AF823" i="1" s="1"/>
  <c r="AM822" i="1"/>
  <c r="AF822" i="1" s="1"/>
  <c r="AM821" i="1"/>
  <c r="AF821" i="1" s="1"/>
  <c r="AM820" i="1"/>
  <c r="AF820" i="1" s="1"/>
  <c r="AM819" i="1"/>
  <c r="AF819" i="1" s="1"/>
  <c r="AM818" i="1"/>
  <c r="AF818" i="1" s="1"/>
  <c r="AM817" i="1"/>
  <c r="AF817" i="1" s="1"/>
  <c r="AM816" i="1"/>
  <c r="AF816" i="1" s="1"/>
  <c r="AM815" i="1"/>
  <c r="AF815" i="1" s="1"/>
  <c r="AM814" i="1"/>
  <c r="AF814" i="1" s="1"/>
  <c r="AM813" i="1"/>
  <c r="AF813" i="1" s="1"/>
  <c r="AM812" i="1"/>
  <c r="AF812" i="1" s="1"/>
  <c r="AM811" i="1"/>
  <c r="AF811" i="1" s="1"/>
  <c r="AM810" i="1"/>
  <c r="AF810" i="1" s="1"/>
  <c r="AM809" i="1"/>
  <c r="AF809" i="1" s="1"/>
  <c r="AM808" i="1"/>
  <c r="AF808" i="1" s="1"/>
  <c r="AM807" i="1"/>
  <c r="AF807" i="1" s="1"/>
  <c r="AM806" i="1"/>
  <c r="AF806" i="1" s="1"/>
  <c r="AM805" i="1"/>
  <c r="AF805" i="1" s="1"/>
  <c r="AM804" i="1"/>
  <c r="AF804" i="1" s="1"/>
  <c r="AM803" i="1"/>
  <c r="AF803" i="1" s="1"/>
  <c r="AM802" i="1"/>
  <c r="AF802" i="1" s="1"/>
  <c r="AM801" i="1"/>
  <c r="AF801" i="1" s="1"/>
  <c r="AM800" i="1"/>
  <c r="AF800" i="1" s="1"/>
  <c r="AM799" i="1"/>
  <c r="AF799" i="1" s="1"/>
  <c r="AM798" i="1"/>
  <c r="AF798" i="1" s="1"/>
  <c r="AM797" i="1"/>
  <c r="AF797" i="1" s="1"/>
  <c r="AM796" i="1"/>
  <c r="AF796" i="1" s="1"/>
  <c r="AM795" i="1"/>
  <c r="AF795" i="1" s="1"/>
  <c r="AM794" i="1"/>
  <c r="AF794" i="1" s="1"/>
  <c r="AM793" i="1"/>
  <c r="AF793" i="1" s="1"/>
  <c r="AM792" i="1"/>
  <c r="AF792" i="1" s="1"/>
  <c r="AM791" i="1"/>
  <c r="AF791" i="1" s="1"/>
  <c r="AM790" i="1"/>
  <c r="AF790" i="1" s="1"/>
  <c r="AM789" i="1"/>
  <c r="AF789" i="1" s="1"/>
  <c r="AM788" i="1"/>
  <c r="AF788" i="1" s="1"/>
  <c r="AM787" i="1"/>
  <c r="AF787" i="1" s="1"/>
  <c r="AM786" i="1"/>
  <c r="AF786" i="1" s="1"/>
  <c r="AM785" i="1"/>
  <c r="AF785" i="1" s="1"/>
  <c r="AM784" i="1"/>
  <c r="AF784" i="1" s="1"/>
  <c r="AM783" i="1"/>
  <c r="AF783" i="1" s="1"/>
  <c r="AM782" i="1"/>
  <c r="AF782" i="1" s="1"/>
  <c r="AM781" i="1"/>
  <c r="AF781" i="1" s="1"/>
  <c r="AM780" i="1"/>
  <c r="AF780" i="1" s="1"/>
  <c r="AM779" i="1"/>
  <c r="AF779" i="1" s="1"/>
  <c r="AM778" i="1"/>
  <c r="AF778" i="1" s="1"/>
  <c r="AM777" i="1"/>
  <c r="AF777" i="1" s="1"/>
  <c r="AM776" i="1"/>
  <c r="AF776" i="1" s="1"/>
  <c r="AM775" i="1"/>
  <c r="AF775" i="1" s="1"/>
  <c r="AM774" i="1"/>
  <c r="AF774" i="1" s="1"/>
  <c r="AM773" i="1"/>
  <c r="AF773" i="1" s="1"/>
  <c r="AM772" i="1"/>
  <c r="AF772" i="1" s="1"/>
  <c r="AM771" i="1"/>
  <c r="AF771" i="1" s="1"/>
  <c r="AM770" i="1"/>
  <c r="AF770" i="1" s="1"/>
  <c r="AM769" i="1"/>
  <c r="AF769" i="1" s="1"/>
  <c r="AM768" i="1"/>
  <c r="AF768" i="1" s="1"/>
  <c r="AM767" i="1"/>
  <c r="AF767" i="1" s="1"/>
  <c r="AM766" i="1"/>
  <c r="AF766" i="1" s="1"/>
  <c r="AM765" i="1"/>
  <c r="AF765" i="1" s="1"/>
  <c r="AM764" i="1"/>
  <c r="AF764" i="1" s="1"/>
  <c r="AM763" i="1"/>
  <c r="AF763" i="1" s="1"/>
  <c r="AM762" i="1"/>
  <c r="AF762" i="1" s="1"/>
  <c r="AM761" i="1"/>
  <c r="AF761" i="1" s="1"/>
  <c r="AM760" i="1"/>
  <c r="AF760" i="1" s="1"/>
  <c r="AM759" i="1"/>
  <c r="AF759" i="1" s="1"/>
  <c r="AM758" i="1"/>
  <c r="AF758" i="1" s="1"/>
  <c r="AM757" i="1"/>
  <c r="AF757" i="1" s="1"/>
  <c r="AM756" i="1"/>
  <c r="AF756" i="1" s="1"/>
  <c r="AM755" i="1"/>
  <c r="AF755" i="1" s="1"/>
  <c r="AM754" i="1"/>
  <c r="AF754" i="1" s="1"/>
  <c r="AM753" i="1"/>
  <c r="AF753" i="1" s="1"/>
  <c r="AM752" i="1"/>
  <c r="AF752" i="1" s="1"/>
  <c r="AM751" i="1"/>
  <c r="AF751" i="1" s="1"/>
  <c r="AM750" i="1"/>
  <c r="AF750" i="1" s="1"/>
  <c r="AM749" i="1"/>
  <c r="AF749" i="1" s="1"/>
  <c r="AM748" i="1"/>
  <c r="AF748" i="1" s="1"/>
  <c r="AM747" i="1"/>
  <c r="AF747" i="1" s="1"/>
  <c r="AM746" i="1"/>
  <c r="AF746" i="1" s="1"/>
  <c r="AM745" i="1"/>
  <c r="AF745" i="1" s="1"/>
  <c r="AM744" i="1"/>
  <c r="AF744" i="1" s="1"/>
  <c r="AM743" i="1"/>
  <c r="AF743" i="1" s="1"/>
  <c r="AM742" i="1"/>
  <c r="AF742" i="1" s="1"/>
  <c r="AM741" i="1"/>
  <c r="AF741" i="1" s="1"/>
  <c r="AM740" i="1"/>
  <c r="AF740" i="1" s="1"/>
  <c r="AM739" i="1"/>
  <c r="AF739" i="1" s="1"/>
  <c r="AM738" i="1"/>
  <c r="AF738" i="1" s="1"/>
  <c r="AM737" i="1"/>
  <c r="AF737" i="1" s="1"/>
  <c r="AM736" i="1"/>
  <c r="AF736" i="1" s="1"/>
  <c r="AM735" i="1"/>
  <c r="AF735" i="1" s="1"/>
  <c r="AM734" i="1"/>
  <c r="AF734" i="1" s="1"/>
  <c r="AM733" i="1"/>
  <c r="AF733" i="1" s="1"/>
  <c r="AM732" i="1"/>
  <c r="AF732" i="1" s="1"/>
  <c r="AM731" i="1"/>
  <c r="AF731" i="1" s="1"/>
  <c r="AM730" i="1"/>
  <c r="AF730" i="1" s="1"/>
  <c r="AM729" i="1"/>
  <c r="AF729" i="1" s="1"/>
  <c r="AM728" i="1"/>
  <c r="AF728" i="1" s="1"/>
  <c r="AM727" i="1"/>
  <c r="AF727" i="1" s="1"/>
  <c r="AM726" i="1"/>
  <c r="AF726" i="1" s="1"/>
  <c r="AM725" i="1"/>
  <c r="AF725" i="1" s="1"/>
  <c r="AM724" i="1"/>
  <c r="AF724" i="1" s="1"/>
  <c r="AM723" i="1"/>
  <c r="AF723" i="1" s="1"/>
  <c r="AM722" i="1"/>
  <c r="AF722" i="1" s="1"/>
  <c r="AM721" i="1"/>
  <c r="AF721" i="1" s="1"/>
  <c r="AM720" i="1"/>
  <c r="AF720" i="1" s="1"/>
  <c r="AM719" i="1"/>
  <c r="AF719" i="1" s="1"/>
  <c r="AM718" i="1"/>
  <c r="AF718" i="1" s="1"/>
  <c r="AM717" i="1"/>
  <c r="AF717" i="1" s="1"/>
  <c r="AM716" i="1"/>
  <c r="AF716" i="1" s="1"/>
  <c r="AM715" i="1"/>
  <c r="AF715" i="1" s="1"/>
  <c r="AM714" i="1"/>
  <c r="AF714" i="1" s="1"/>
  <c r="AM713" i="1"/>
  <c r="AF713" i="1" s="1"/>
  <c r="AM712" i="1"/>
  <c r="AF712" i="1" s="1"/>
  <c r="AM711" i="1"/>
  <c r="AF711" i="1" s="1"/>
  <c r="AM710" i="1"/>
  <c r="AF710" i="1" s="1"/>
  <c r="AM709" i="1"/>
  <c r="AF709" i="1" s="1"/>
  <c r="AM708" i="1"/>
  <c r="AF708" i="1" s="1"/>
  <c r="AM707" i="1"/>
  <c r="AF707" i="1" s="1"/>
  <c r="AM706" i="1"/>
  <c r="AF706" i="1" s="1"/>
  <c r="AM705" i="1"/>
  <c r="AF705" i="1" s="1"/>
  <c r="AM704" i="1"/>
  <c r="AF704" i="1" s="1"/>
  <c r="AM703" i="1"/>
  <c r="AF703" i="1" s="1"/>
  <c r="AM702" i="1"/>
  <c r="AF702" i="1" s="1"/>
  <c r="AM701" i="1"/>
  <c r="AF701" i="1" s="1"/>
  <c r="AM700" i="1"/>
  <c r="AF700" i="1" s="1"/>
  <c r="AM699" i="1"/>
  <c r="AF699" i="1" s="1"/>
  <c r="AM698" i="1"/>
  <c r="AF698" i="1" s="1"/>
  <c r="AM697" i="1"/>
  <c r="AF697" i="1" s="1"/>
  <c r="AM696" i="1"/>
  <c r="AF696" i="1" s="1"/>
  <c r="AM695" i="1"/>
  <c r="AF695" i="1" s="1"/>
  <c r="AM694" i="1"/>
  <c r="AF694" i="1" s="1"/>
  <c r="AM693" i="1"/>
  <c r="AF693" i="1" s="1"/>
  <c r="AM692" i="1"/>
  <c r="AF692" i="1" s="1"/>
  <c r="AM691" i="1"/>
  <c r="AF691" i="1" s="1"/>
  <c r="AM690" i="1"/>
  <c r="AF690" i="1" s="1"/>
  <c r="AM689" i="1"/>
  <c r="AF689" i="1" s="1"/>
  <c r="AM688" i="1"/>
  <c r="AF688" i="1" s="1"/>
  <c r="AM687" i="1"/>
  <c r="AF687" i="1" s="1"/>
  <c r="AM686" i="1"/>
  <c r="AF686" i="1" s="1"/>
  <c r="AM685" i="1"/>
  <c r="AF685" i="1" s="1"/>
  <c r="AM684" i="1"/>
  <c r="AF684" i="1" s="1"/>
  <c r="AM683" i="1"/>
  <c r="AF683" i="1" s="1"/>
  <c r="AM682" i="1"/>
  <c r="AF682" i="1" s="1"/>
  <c r="AM681" i="1"/>
  <c r="AF681" i="1" s="1"/>
  <c r="AM680" i="1"/>
  <c r="AF680" i="1" s="1"/>
  <c r="AM679" i="1"/>
  <c r="AF679" i="1" s="1"/>
  <c r="AM678" i="1"/>
  <c r="AF678" i="1" s="1"/>
  <c r="AM677" i="1"/>
  <c r="AF677" i="1" s="1"/>
  <c r="AM676" i="1"/>
  <c r="AF676" i="1" s="1"/>
  <c r="AM675" i="1"/>
  <c r="AF675" i="1" s="1"/>
  <c r="AM674" i="1"/>
  <c r="AF674" i="1" s="1"/>
  <c r="AM673" i="1"/>
  <c r="AF673" i="1" s="1"/>
  <c r="AM672" i="1"/>
  <c r="AF672" i="1" s="1"/>
  <c r="AM671" i="1"/>
  <c r="AF671" i="1" s="1"/>
  <c r="AM670" i="1"/>
  <c r="AF670" i="1" s="1"/>
  <c r="AM669" i="1"/>
  <c r="AF669" i="1" s="1"/>
  <c r="AM668" i="1"/>
  <c r="AF668" i="1" s="1"/>
  <c r="AM667" i="1"/>
  <c r="AF667" i="1" s="1"/>
  <c r="AM666" i="1"/>
  <c r="AF666" i="1" s="1"/>
  <c r="AM665" i="1"/>
  <c r="AF665" i="1" s="1"/>
  <c r="AM664" i="1"/>
  <c r="AF664" i="1" s="1"/>
  <c r="AM663" i="1"/>
  <c r="AF663" i="1" s="1"/>
  <c r="AM662" i="1"/>
  <c r="AF662" i="1" s="1"/>
  <c r="AM661" i="1"/>
  <c r="AF661" i="1" s="1"/>
  <c r="AM660" i="1"/>
  <c r="AF660" i="1" s="1"/>
  <c r="AM659" i="1"/>
  <c r="AF659" i="1" s="1"/>
  <c r="AM658" i="1"/>
  <c r="AF658" i="1" s="1"/>
  <c r="AM657" i="1"/>
  <c r="AF657" i="1" s="1"/>
  <c r="AM656" i="1"/>
  <c r="AF656" i="1" s="1"/>
  <c r="AM655" i="1"/>
  <c r="AF655" i="1" s="1"/>
  <c r="AM654" i="1"/>
  <c r="AF654" i="1" s="1"/>
  <c r="AM653" i="1"/>
  <c r="AF653" i="1" s="1"/>
  <c r="AM652" i="1"/>
  <c r="AF652" i="1" s="1"/>
  <c r="AM651" i="1"/>
  <c r="AF651" i="1" s="1"/>
  <c r="AM650" i="1"/>
  <c r="AF650" i="1" s="1"/>
  <c r="AM649" i="1"/>
  <c r="AF649" i="1" s="1"/>
  <c r="AM648" i="1"/>
  <c r="AF648" i="1" s="1"/>
  <c r="AM647" i="1"/>
  <c r="AF647" i="1" s="1"/>
  <c r="AM646" i="1"/>
  <c r="AF646" i="1" s="1"/>
  <c r="AM645" i="1"/>
  <c r="AF645" i="1" s="1"/>
  <c r="AM644" i="1"/>
  <c r="AF644" i="1" s="1"/>
  <c r="AM643" i="1"/>
  <c r="AF643" i="1" s="1"/>
  <c r="AM642" i="1"/>
  <c r="AF642" i="1" s="1"/>
  <c r="AM641" i="1"/>
  <c r="AF641" i="1" s="1"/>
  <c r="AM640" i="1"/>
  <c r="AF640" i="1" s="1"/>
  <c r="AM639" i="1"/>
  <c r="AF639" i="1" s="1"/>
  <c r="AM638" i="1"/>
  <c r="AF638" i="1" s="1"/>
  <c r="AM637" i="1"/>
  <c r="AF637" i="1" s="1"/>
  <c r="AM636" i="1"/>
  <c r="AF636" i="1" s="1"/>
  <c r="AM635" i="1"/>
  <c r="AF635" i="1" s="1"/>
  <c r="AM634" i="1"/>
  <c r="AF634" i="1" s="1"/>
  <c r="AM633" i="1"/>
  <c r="AF633" i="1" s="1"/>
  <c r="AM632" i="1"/>
  <c r="AF632" i="1" s="1"/>
  <c r="AM631" i="1"/>
  <c r="AF631" i="1" s="1"/>
  <c r="AM630" i="1"/>
  <c r="AF630" i="1" s="1"/>
  <c r="AM629" i="1"/>
  <c r="AF629" i="1" s="1"/>
  <c r="AM628" i="1"/>
  <c r="AF628" i="1" s="1"/>
  <c r="AM627" i="1"/>
  <c r="AF627" i="1" s="1"/>
  <c r="AM626" i="1"/>
  <c r="AF626" i="1" s="1"/>
  <c r="AM625" i="1"/>
  <c r="AF625" i="1" s="1"/>
  <c r="AM624" i="1"/>
  <c r="AF624" i="1" s="1"/>
  <c r="AM623" i="1"/>
  <c r="AF623" i="1" s="1"/>
  <c r="AM622" i="1"/>
  <c r="AF622" i="1" s="1"/>
  <c r="AM621" i="1"/>
  <c r="AF621" i="1" s="1"/>
  <c r="AM620" i="1"/>
  <c r="AF620" i="1" s="1"/>
  <c r="AM619" i="1"/>
  <c r="AF619" i="1" s="1"/>
  <c r="AM618" i="1"/>
  <c r="AF618" i="1" s="1"/>
  <c r="AM617" i="1"/>
  <c r="AF617" i="1" s="1"/>
  <c r="AM616" i="1"/>
  <c r="AF616" i="1" s="1"/>
  <c r="AM615" i="1"/>
  <c r="AF615" i="1" s="1"/>
  <c r="AM614" i="1"/>
  <c r="AF614" i="1" s="1"/>
  <c r="AM613" i="1"/>
  <c r="AF613" i="1" s="1"/>
  <c r="AM612" i="1"/>
  <c r="AF612" i="1" s="1"/>
  <c r="AM611" i="1"/>
  <c r="AF611" i="1" s="1"/>
  <c r="AM610" i="1"/>
  <c r="AF610" i="1" s="1"/>
  <c r="AM609" i="1"/>
  <c r="AF609" i="1" s="1"/>
  <c r="AM608" i="1"/>
  <c r="AF608" i="1" s="1"/>
  <c r="AM607" i="1"/>
  <c r="AF607" i="1" s="1"/>
  <c r="AM606" i="1"/>
  <c r="AF606" i="1" s="1"/>
  <c r="AM605" i="1"/>
  <c r="AF605" i="1" s="1"/>
  <c r="AM604" i="1"/>
  <c r="AF604" i="1" s="1"/>
  <c r="AM603" i="1"/>
  <c r="AF603" i="1" s="1"/>
  <c r="AM602" i="1"/>
  <c r="AF602" i="1" s="1"/>
  <c r="AM601" i="1"/>
  <c r="AF601" i="1" s="1"/>
  <c r="AM600" i="1"/>
  <c r="AF600" i="1" s="1"/>
  <c r="AM599" i="1"/>
  <c r="AF599" i="1" s="1"/>
  <c r="AM598" i="1"/>
  <c r="AF598" i="1" s="1"/>
  <c r="AM597" i="1"/>
  <c r="AF597" i="1" s="1"/>
  <c r="AM596" i="1"/>
  <c r="AF596" i="1" s="1"/>
  <c r="AM595" i="1"/>
  <c r="AF595" i="1" s="1"/>
  <c r="AM594" i="1"/>
  <c r="AF594" i="1" s="1"/>
  <c r="AM593" i="1"/>
  <c r="AF593" i="1" s="1"/>
  <c r="AM592" i="1"/>
  <c r="AF592" i="1" s="1"/>
  <c r="AM591" i="1"/>
  <c r="AF591" i="1" s="1"/>
  <c r="AM590" i="1"/>
  <c r="AF590" i="1" s="1"/>
  <c r="AM589" i="1"/>
  <c r="AF589" i="1" s="1"/>
  <c r="AM588" i="1"/>
  <c r="AF588" i="1" s="1"/>
  <c r="AM587" i="1"/>
  <c r="AF587" i="1" s="1"/>
  <c r="AM586" i="1"/>
  <c r="AF586" i="1" s="1"/>
  <c r="AM585" i="1"/>
  <c r="AF585" i="1" s="1"/>
  <c r="AM584" i="1"/>
  <c r="AF584" i="1" s="1"/>
  <c r="AM583" i="1"/>
  <c r="AF583" i="1" s="1"/>
  <c r="AM582" i="1"/>
  <c r="AF582" i="1" s="1"/>
  <c r="AM581" i="1"/>
  <c r="AF581" i="1" s="1"/>
  <c r="AM580" i="1"/>
  <c r="AF580" i="1" s="1"/>
  <c r="AM579" i="1"/>
  <c r="AF579" i="1" s="1"/>
  <c r="AM578" i="1"/>
  <c r="AF578" i="1" s="1"/>
  <c r="AM577" i="1"/>
  <c r="AF577" i="1" s="1"/>
  <c r="AM576" i="1"/>
  <c r="AF576" i="1" s="1"/>
  <c r="AM575" i="1"/>
  <c r="AF575" i="1" s="1"/>
  <c r="AM574" i="1"/>
  <c r="AF574" i="1" s="1"/>
  <c r="AM573" i="1"/>
  <c r="AF573" i="1" s="1"/>
  <c r="AM572" i="1"/>
  <c r="AF572" i="1" s="1"/>
  <c r="AM571" i="1"/>
  <c r="AF571" i="1" s="1"/>
  <c r="AM570" i="1"/>
  <c r="AF570" i="1" s="1"/>
  <c r="AM569" i="1"/>
  <c r="AF569" i="1" s="1"/>
  <c r="AM568" i="1"/>
  <c r="AF568" i="1" s="1"/>
  <c r="AM567" i="1"/>
  <c r="AF567" i="1" s="1"/>
  <c r="AM566" i="1"/>
  <c r="AF566" i="1" s="1"/>
  <c r="AM565" i="1"/>
  <c r="AF565" i="1" s="1"/>
  <c r="AM564" i="1"/>
  <c r="AF564" i="1" s="1"/>
  <c r="AM563" i="1"/>
  <c r="AF563" i="1" s="1"/>
  <c r="AM562" i="1"/>
  <c r="AF562" i="1" s="1"/>
  <c r="AM561" i="1"/>
  <c r="AF561" i="1" s="1"/>
  <c r="AM560" i="1"/>
  <c r="AF560" i="1" s="1"/>
  <c r="AM559" i="1"/>
  <c r="AF559" i="1" s="1"/>
  <c r="AM558" i="1"/>
  <c r="AF558" i="1" s="1"/>
  <c r="AM557" i="1"/>
  <c r="AF557" i="1" s="1"/>
  <c r="AM556" i="1"/>
  <c r="AF556" i="1" s="1"/>
  <c r="AM555" i="1"/>
  <c r="AF555" i="1" s="1"/>
  <c r="AM554" i="1"/>
  <c r="AF554" i="1" s="1"/>
  <c r="AM553" i="1"/>
  <c r="AF553" i="1" s="1"/>
  <c r="AM552" i="1"/>
  <c r="AF552" i="1" s="1"/>
  <c r="AM551" i="1"/>
  <c r="AF551" i="1" s="1"/>
  <c r="AM550" i="1"/>
  <c r="AF550" i="1" s="1"/>
  <c r="AM549" i="1"/>
  <c r="AF549" i="1" s="1"/>
  <c r="AM548" i="1"/>
  <c r="AF548" i="1" s="1"/>
  <c r="AM547" i="1"/>
  <c r="AF547" i="1" s="1"/>
  <c r="AM546" i="1"/>
  <c r="AF546" i="1" s="1"/>
  <c r="AM545" i="1"/>
  <c r="AF545" i="1" s="1"/>
  <c r="AM544" i="1"/>
  <c r="AF544" i="1" s="1"/>
  <c r="AM543" i="1"/>
  <c r="AF543" i="1" s="1"/>
  <c r="AM542" i="1"/>
  <c r="AF542" i="1" s="1"/>
  <c r="AM541" i="1"/>
  <c r="AF541" i="1" s="1"/>
  <c r="AM540" i="1"/>
  <c r="AF540" i="1" s="1"/>
  <c r="AM539" i="1"/>
  <c r="AF539" i="1" s="1"/>
  <c r="AM538" i="1"/>
  <c r="AF538" i="1" s="1"/>
  <c r="AM537" i="1"/>
  <c r="AF537" i="1" s="1"/>
  <c r="AM536" i="1"/>
  <c r="AF536" i="1" s="1"/>
  <c r="AM535" i="1"/>
  <c r="AF535" i="1" s="1"/>
  <c r="AM534" i="1"/>
  <c r="AF534" i="1" s="1"/>
  <c r="AM533" i="1"/>
  <c r="AF533" i="1" s="1"/>
  <c r="AM532" i="1"/>
  <c r="AF532" i="1" s="1"/>
  <c r="AM531" i="1"/>
  <c r="AF531" i="1" s="1"/>
  <c r="AM530" i="1"/>
  <c r="AF530" i="1" s="1"/>
  <c r="AM529" i="1"/>
  <c r="AF529" i="1" s="1"/>
  <c r="AM528" i="1"/>
  <c r="AF528" i="1" s="1"/>
  <c r="AM527" i="1"/>
  <c r="AF527" i="1" s="1"/>
  <c r="AM526" i="1"/>
  <c r="AF526" i="1" s="1"/>
  <c r="AM525" i="1"/>
  <c r="AF525" i="1" s="1"/>
  <c r="AM524" i="1"/>
  <c r="AF524" i="1" s="1"/>
  <c r="AM523" i="1"/>
  <c r="AF523" i="1" s="1"/>
  <c r="AM522" i="1"/>
  <c r="AF522" i="1" s="1"/>
  <c r="AM521" i="1"/>
  <c r="AF521" i="1" s="1"/>
  <c r="AM520" i="1"/>
  <c r="AF520" i="1" s="1"/>
  <c r="AM519" i="1"/>
  <c r="AF519" i="1" s="1"/>
  <c r="AM518" i="1"/>
  <c r="AF518" i="1" s="1"/>
  <c r="AM517" i="1"/>
  <c r="AF517" i="1" s="1"/>
  <c r="AM516" i="1"/>
  <c r="AF516" i="1" s="1"/>
  <c r="AM515" i="1"/>
  <c r="AF515" i="1" s="1"/>
  <c r="AM514" i="1"/>
  <c r="AF514" i="1" s="1"/>
  <c r="AM513" i="1"/>
  <c r="AF513" i="1" s="1"/>
  <c r="AM512" i="1"/>
  <c r="AF512" i="1" s="1"/>
  <c r="AM511" i="1"/>
  <c r="AF511" i="1" s="1"/>
  <c r="AM510" i="1"/>
  <c r="AF510" i="1" s="1"/>
  <c r="AM509" i="1"/>
  <c r="AF509" i="1" s="1"/>
  <c r="AM508" i="1"/>
  <c r="AF508" i="1" s="1"/>
  <c r="AM507" i="1"/>
  <c r="AF507" i="1" s="1"/>
  <c r="AM506" i="1"/>
  <c r="AF506" i="1" s="1"/>
  <c r="AM505" i="1"/>
  <c r="AF505" i="1" s="1"/>
  <c r="AM504" i="1"/>
  <c r="AF504" i="1" s="1"/>
  <c r="AM503" i="1"/>
  <c r="AF503" i="1" s="1"/>
  <c r="AM502" i="1"/>
  <c r="AF502" i="1" s="1"/>
  <c r="AM501" i="1"/>
  <c r="AF501" i="1" s="1"/>
  <c r="AM500" i="1"/>
  <c r="AF500" i="1" s="1"/>
  <c r="AM499" i="1"/>
  <c r="AF499" i="1" s="1"/>
  <c r="AM498" i="1"/>
  <c r="AF498" i="1" s="1"/>
  <c r="AM497" i="1"/>
  <c r="AF497" i="1" s="1"/>
  <c r="AM496" i="1"/>
  <c r="AF496" i="1" s="1"/>
  <c r="AM495" i="1"/>
  <c r="AF495" i="1" s="1"/>
  <c r="AM494" i="1"/>
  <c r="AF494" i="1" s="1"/>
  <c r="AM493" i="1"/>
  <c r="AF493" i="1" s="1"/>
  <c r="AM492" i="1"/>
  <c r="AF492" i="1" s="1"/>
  <c r="AM491" i="1"/>
  <c r="AF491" i="1" s="1"/>
  <c r="AM490" i="1"/>
  <c r="AF490" i="1" s="1"/>
  <c r="AM489" i="1"/>
  <c r="AF489" i="1" s="1"/>
  <c r="AM488" i="1"/>
  <c r="AF488" i="1" s="1"/>
  <c r="AM487" i="1"/>
  <c r="AF487" i="1" s="1"/>
  <c r="AM486" i="1"/>
  <c r="AF486" i="1" s="1"/>
  <c r="AM485" i="1"/>
  <c r="AF485" i="1" s="1"/>
  <c r="AM484" i="1"/>
  <c r="AF484" i="1" s="1"/>
  <c r="AM483" i="1"/>
  <c r="AF483" i="1" s="1"/>
  <c r="AM482" i="1"/>
  <c r="AF482" i="1" s="1"/>
  <c r="AM481" i="1"/>
  <c r="AF481" i="1" s="1"/>
  <c r="AM480" i="1"/>
  <c r="AF480" i="1" s="1"/>
  <c r="AM479" i="1"/>
  <c r="AF479" i="1" s="1"/>
  <c r="AM478" i="1"/>
  <c r="AF478" i="1" s="1"/>
  <c r="AM477" i="1"/>
  <c r="AF477" i="1" s="1"/>
  <c r="AM476" i="1"/>
  <c r="AF476" i="1" s="1"/>
  <c r="AM475" i="1"/>
  <c r="AF475" i="1" s="1"/>
  <c r="AM474" i="1"/>
  <c r="AF474" i="1" s="1"/>
  <c r="AM473" i="1"/>
  <c r="AF473" i="1" s="1"/>
  <c r="AM472" i="1"/>
  <c r="AF472" i="1" s="1"/>
  <c r="AM471" i="1"/>
  <c r="AF471" i="1" s="1"/>
  <c r="AM470" i="1"/>
  <c r="AF470" i="1" s="1"/>
  <c r="AM469" i="1"/>
  <c r="AF469" i="1" s="1"/>
  <c r="AM468" i="1"/>
  <c r="AF468" i="1" s="1"/>
  <c r="AM467" i="1"/>
  <c r="AF467" i="1" s="1"/>
  <c r="AM466" i="1"/>
  <c r="AF466" i="1" s="1"/>
  <c r="AM465" i="1"/>
  <c r="AF465" i="1" s="1"/>
  <c r="AM464" i="1"/>
  <c r="AF464" i="1" s="1"/>
  <c r="AM463" i="1"/>
  <c r="AF463" i="1" s="1"/>
  <c r="AM462" i="1"/>
  <c r="AF462" i="1" s="1"/>
  <c r="AM461" i="1"/>
  <c r="AF461" i="1" s="1"/>
  <c r="AM460" i="1"/>
  <c r="AF460" i="1" s="1"/>
  <c r="AM459" i="1"/>
  <c r="AF459" i="1" s="1"/>
  <c r="AM458" i="1"/>
  <c r="AF458" i="1" s="1"/>
  <c r="AM457" i="1"/>
  <c r="AF457" i="1" s="1"/>
  <c r="AM456" i="1"/>
  <c r="AF456" i="1" s="1"/>
  <c r="AM455" i="1"/>
  <c r="AF455" i="1" s="1"/>
  <c r="AM454" i="1"/>
  <c r="AF454" i="1" s="1"/>
  <c r="AM453" i="1"/>
  <c r="AF453" i="1" s="1"/>
  <c r="AM452" i="1"/>
  <c r="AF452" i="1" s="1"/>
  <c r="AM451" i="1"/>
  <c r="AF451" i="1" s="1"/>
  <c r="AM450" i="1"/>
  <c r="AF450" i="1" s="1"/>
  <c r="AM449" i="1"/>
  <c r="AF449" i="1" s="1"/>
  <c r="AM448" i="1"/>
  <c r="AF448" i="1" s="1"/>
  <c r="AM447" i="1"/>
  <c r="AF447" i="1" s="1"/>
  <c r="AM446" i="1"/>
  <c r="AF446" i="1" s="1"/>
  <c r="AM445" i="1"/>
  <c r="AF445" i="1" s="1"/>
  <c r="AM444" i="1"/>
  <c r="AF444" i="1" s="1"/>
  <c r="AM443" i="1"/>
  <c r="AF443" i="1" s="1"/>
  <c r="AM442" i="1"/>
  <c r="AF442" i="1" s="1"/>
  <c r="AM441" i="1"/>
  <c r="AF441" i="1" s="1"/>
  <c r="AM440" i="1"/>
  <c r="AF440" i="1" s="1"/>
  <c r="AM439" i="1"/>
  <c r="AF439" i="1" s="1"/>
  <c r="AM438" i="1"/>
  <c r="AF438" i="1" s="1"/>
  <c r="AM437" i="1"/>
  <c r="AF437" i="1" s="1"/>
  <c r="AM436" i="1"/>
  <c r="AF436" i="1" s="1"/>
  <c r="AM435" i="1"/>
  <c r="AF435" i="1" s="1"/>
  <c r="AM434" i="1"/>
  <c r="AF434" i="1" s="1"/>
  <c r="AM433" i="1"/>
  <c r="AF433" i="1" s="1"/>
  <c r="AM432" i="1"/>
  <c r="AF432" i="1" s="1"/>
  <c r="AM431" i="1"/>
  <c r="AF431" i="1" s="1"/>
  <c r="AM430" i="1"/>
  <c r="AF430" i="1" s="1"/>
  <c r="AM429" i="1"/>
  <c r="AF429" i="1" s="1"/>
  <c r="AM428" i="1"/>
  <c r="AF428" i="1" s="1"/>
  <c r="AM427" i="1"/>
  <c r="AF427" i="1" s="1"/>
  <c r="AM426" i="1"/>
  <c r="AF426" i="1" s="1"/>
  <c r="AM425" i="1"/>
  <c r="AF425" i="1" s="1"/>
  <c r="AM424" i="1"/>
  <c r="AF424" i="1" s="1"/>
  <c r="AM423" i="1"/>
  <c r="AF423" i="1" s="1"/>
  <c r="AM422" i="1"/>
  <c r="AF422" i="1" s="1"/>
  <c r="AM421" i="1"/>
  <c r="AF421" i="1" s="1"/>
  <c r="AM420" i="1"/>
  <c r="AF420" i="1" s="1"/>
  <c r="AM419" i="1"/>
  <c r="AF419" i="1" s="1"/>
  <c r="AM418" i="1"/>
  <c r="AF418" i="1" s="1"/>
  <c r="AM417" i="1"/>
  <c r="AF417" i="1" s="1"/>
  <c r="AM416" i="1"/>
  <c r="AF416" i="1" s="1"/>
  <c r="AM415" i="1"/>
  <c r="AF415" i="1" s="1"/>
  <c r="AM414" i="1"/>
  <c r="AF414" i="1" s="1"/>
  <c r="AM413" i="1"/>
  <c r="AF413" i="1" s="1"/>
  <c r="AM412" i="1"/>
  <c r="AF412" i="1" s="1"/>
  <c r="AM411" i="1"/>
  <c r="AF411" i="1" s="1"/>
  <c r="AM410" i="1"/>
  <c r="AF410" i="1" s="1"/>
  <c r="AM409" i="1"/>
  <c r="AF409" i="1" s="1"/>
  <c r="AM408" i="1"/>
  <c r="AF408" i="1" s="1"/>
  <c r="AM407" i="1"/>
  <c r="AF407" i="1" s="1"/>
  <c r="AM406" i="1"/>
  <c r="AF406" i="1" s="1"/>
  <c r="AM405" i="1"/>
  <c r="AF405" i="1" s="1"/>
  <c r="AM404" i="1"/>
  <c r="AF404" i="1" s="1"/>
  <c r="AM403" i="1"/>
  <c r="AF403" i="1" s="1"/>
  <c r="AM402" i="1"/>
  <c r="AF402" i="1" s="1"/>
  <c r="AM401" i="1"/>
  <c r="AF401" i="1" s="1"/>
  <c r="AM400" i="1"/>
  <c r="AF400" i="1" s="1"/>
  <c r="AM399" i="1"/>
  <c r="AF399" i="1" s="1"/>
  <c r="AM398" i="1"/>
  <c r="AF398" i="1" s="1"/>
  <c r="AM397" i="1"/>
  <c r="AF397" i="1" s="1"/>
  <c r="AM396" i="1"/>
  <c r="AF396" i="1" s="1"/>
  <c r="AM395" i="1"/>
  <c r="AF395" i="1" s="1"/>
  <c r="AM394" i="1"/>
  <c r="AF394" i="1" s="1"/>
  <c r="AM393" i="1"/>
  <c r="AF393" i="1" s="1"/>
  <c r="AM392" i="1"/>
  <c r="AF392" i="1" s="1"/>
  <c r="AM391" i="1"/>
  <c r="AF391" i="1" s="1"/>
  <c r="AM390" i="1"/>
  <c r="AF390" i="1" s="1"/>
  <c r="AM389" i="1"/>
  <c r="AF389" i="1" s="1"/>
  <c r="AM388" i="1"/>
  <c r="AF388" i="1" s="1"/>
  <c r="AM387" i="1"/>
  <c r="AF387" i="1" s="1"/>
  <c r="AM386" i="1"/>
  <c r="AF386" i="1" s="1"/>
  <c r="AM385" i="1"/>
  <c r="AF385" i="1" s="1"/>
  <c r="AM384" i="1"/>
  <c r="AF384" i="1" s="1"/>
  <c r="AM383" i="1"/>
  <c r="AF383" i="1" s="1"/>
  <c r="AM382" i="1"/>
  <c r="AF382" i="1" s="1"/>
  <c r="AM381" i="1"/>
  <c r="AF381" i="1" s="1"/>
  <c r="AM380" i="1"/>
  <c r="AF380" i="1" s="1"/>
  <c r="AM379" i="1"/>
  <c r="AF379" i="1" s="1"/>
  <c r="AM378" i="1"/>
  <c r="AF378" i="1" s="1"/>
  <c r="AM377" i="1"/>
  <c r="AF377" i="1" s="1"/>
  <c r="AM376" i="1"/>
  <c r="AF376" i="1" s="1"/>
  <c r="AM375" i="1"/>
  <c r="AF375" i="1" s="1"/>
  <c r="AM374" i="1"/>
  <c r="AF374" i="1" s="1"/>
  <c r="AM373" i="1"/>
  <c r="AF373" i="1" s="1"/>
  <c r="AM372" i="1"/>
  <c r="AF372" i="1" s="1"/>
  <c r="AM371" i="1"/>
  <c r="AF371" i="1" s="1"/>
  <c r="AM370" i="1"/>
  <c r="AF370" i="1" s="1"/>
  <c r="AM369" i="1"/>
  <c r="AF369" i="1" s="1"/>
  <c r="AM368" i="1"/>
  <c r="AF368" i="1" s="1"/>
  <c r="AM367" i="1"/>
  <c r="AF367" i="1" s="1"/>
  <c r="AM366" i="1"/>
  <c r="AF366" i="1" s="1"/>
  <c r="AM365" i="1"/>
  <c r="AF365" i="1" s="1"/>
  <c r="AM364" i="1"/>
  <c r="AF364" i="1" s="1"/>
  <c r="AM363" i="1"/>
  <c r="AF363" i="1" s="1"/>
  <c r="AM362" i="1"/>
  <c r="AF362" i="1" s="1"/>
  <c r="AM361" i="1"/>
  <c r="AF361" i="1" s="1"/>
  <c r="AM360" i="1"/>
  <c r="AF360" i="1" s="1"/>
  <c r="AM359" i="1"/>
  <c r="AF359" i="1" s="1"/>
  <c r="AM358" i="1"/>
  <c r="AF358" i="1" s="1"/>
  <c r="AM357" i="1"/>
  <c r="AF357" i="1" s="1"/>
  <c r="AM356" i="1"/>
  <c r="AF356" i="1" s="1"/>
  <c r="AM355" i="1"/>
  <c r="AF355" i="1" s="1"/>
  <c r="AM354" i="1"/>
  <c r="AF354" i="1" s="1"/>
  <c r="AM353" i="1"/>
  <c r="AF353" i="1" s="1"/>
  <c r="AM352" i="1"/>
  <c r="AF352" i="1" s="1"/>
  <c r="AM351" i="1"/>
  <c r="AF351" i="1" s="1"/>
  <c r="AM350" i="1"/>
  <c r="AF350" i="1" s="1"/>
  <c r="AM349" i="1"/>
  <c r="AF349" i="1" s="1"/>
  <c r="AM348" i="1"/>
  <c r="AF348" i="1" s="1"/>
  <c r="AM347" i="1"/>
  <c r="AF347" i="1" s="1"/>
  <c r="AM346" i="1"/>
  <c r="AF346" i="1" s="1"/>
  <c r="AM345" i="1"/>
  <c r="AF345" i="1" s="1"/>
  <c r="AM344" i="1"/>
  <c r="AF344" i="1" s="1"/>
  <c r="AM343" i="1"/>
  <c r="AF343" i="1" s="1"/>
  <c r="AM342" i="1"/>
  <c r="AF342" i="1" s="1"/>
  <c r="AM341" i="1"/>
  <c r="AF341" i="1" s="1"/>
  <c r="AM340" i="1"/>
  <c r="AF340" i="1" s="1"/>
  <c r="AM339" i="1"/>
  <c r="AF339" i="1" s="1"/>
  <c r="AM338" i="1"/>
  <c r="AF338" i="1" s="1"/>
  <c r="AM337" i="1"/>
  <c r="AF337" i="1" s="1"/>
  <c r="AM336" i="1"/>
  <c r="AF336" i="1" s="1"/>
  <c r="AM335" i="1"/>
  <c r="AF335" i="1" s="1"/>
  <c r="AM334" i="1"/>
  <c r="AF334" i="1" s="1"/>
  <c r="AM333" i="1"/>
  <c r="AF333" i="1" s="1"/>
  <c r="AM332" i="1"/>
  <c r="AF332" i="1" s="1"/>
  <c r="AM331" i="1"/>
  <c r="AF331" i="1" s="1"/>
  <c r="AM330" i="1"/>
  <c r="AF330" i="1" s="1"/>
  <c r="AM329" i="1"/>
  <c r="AF329" i="1" s="1"/>
  <c r="AM328" i="1"/>
  <c r="AF328" i="1" s="1"/>
  <c r="AM327" i="1"/>
  <c r="AF327" i="1" s="1"/>
  <c r="AM326" i="1"/>
  <c r="AF326" i="1" s="1"/>
  <c r="AM325" i="1"/>
  <c r="AF325" i="1" s="1"/>
  <c r="AM324" i="1"/>
  <c r="AF324" i="1" s="1"/>
  <c r="AM323" i="1"/>
  <c r="AF323" i="1" s="1"/>
  <c r="AM322" i="1"/>
  <c r="AF322" i="1" s="1"/>
  <c r="AM321" i="1"/>
  <c r="AF321" i="1" s="1"/>
  <c r="AM320" i="1"/>
  <c r="AF320" i="1" s="1"/>
  <c r="AM319" i="1"/>
  <c r="AF319" i="1" s="1"/>
  <c r="AM318" i="1"/>
  <c r="AF318" i="1" s="1"/>
  <c r="AM317" i="1"/>
  <c r="AF317" i="1" s="1"/>
  <c r="AM316" i="1"/>
  <c r="AF316" i="1" s="1"/>
  <c r="AM315" i="1"/>
  <c r="AF315" i="1" s="1"/>
  <c r="AM314" i="1"/>
  <c r="AF314" i="1" s="1"/>
  <c r="AM313" i="1"/>
  <c r="AF313" i="1" s="1"/>
  <c r="AM312" i="1"/>
  <c r="AF312" i="1" s="1"/>
  <c r="AM311" i="1"/>
  <c r="AF311" i="1" s="1"/>
  <c r="AM310" i="1"/>
  <c r="AF310" i="1" s="1"/>
  <c r="AM309" i="1"/>
  <c r="AF309" i="1" s="1"/>
  <c r="AM308" i="1"/>
  <c r="AF308" i="1" s="1"/>
  <c r="AM307" i="1"/>
  <c r="AF307" i="1" s="1"/>
  <c r="AM306" i="1"/>
  <c r="AF306" i="1" s="1"/>
  <c r="AM305" i="1"/>
  <c r="AF305" i="1" s="1"/>
  <c r="AM304" i="1"/>
  <c r="AF304" i="1" s="1"/>
  <c r="AM303" i="1"/>
  <c r="AF303" i="1" s="1"/>
  <c r="AM302" i="1"/>
  <c r="AF302" i="1" s="1"/>
  <c r="AM301" i="1"/>
  <c r="AF301" i="1" s="1"/>
  <c r="AM300" i="1"/>
  <c r="AF300" i="1" s="1"/>
  <c r="AM299" i="1"/>
  <c r="AF299" i="1" s="1"/>
  <c r="AM298" i="1"/>
  <c r="AF298" i="1" s="1"/>
  <c r="AM297" i="1"/>
  <c r="AF297" i="1" s="1"/>
  <c r="AM296" i="1"/>
  <c r="AF296" i="1" s="1"/>
  <c r="AM295" i="1"/>
  <c r="AF295" i="1" s="1"/>
  <c r="AM294" i="1"/>
  <c r="AF294" i="1" s="1"/>
  <c r="AM293" i="1"/>
  <c r="AF293" i="1" s="1"/>
  <c r="AM292" i="1"/>
  <c r="AF292" i="1" s="1"/>
  <c r="AM291" i="1"/>
  <c r="AF291" i="1" s="1"/>
  <c r="AM290" i="1"/>
  <c r="AF290" i="1" s="1"/>
  <c r="AM289" i="1"/>
  <c r="AF289" i="1" s="1"/>
  <c r="AM288" i="1"/>
  <c r="AF288" i="1" s="1"/>
  <c r="AM287" i="1"/>
  <c r="AF287" i="1" s="1"/>
  <c r="AM286" i="1"/>
  <c r="AF286" i="1" s="1"/>
  <c r="AM285" i="1"/>
  <c r="AF285" i="1" s="1"/>
  <c r="AM284" i="1"/>
  <c r="AF284" i="1" s="1"/>
  <c r="AM283" i="1"/>
  <c r="AF283" i="1" s="1"/>
  <c r="AM282" i="1"/>
  <c r="AF282" i="1" s="1"/>
  <c r="AM281" i="1"/>
  <c r="AF281" i="1" s="1"/>
  <c r="AM280" i="1"/>
  <c r="AF280" i="1" s="1"/>
  <c r="AM279" i="1"/>
  <c r="AF279" i="1" s="1"/>
  <c r="AM278" i="1"/>
  <c r="AF278" i="1" s="1"/>
  <c r="AM277" i="1"/>
  <c r="AF277" i="1" s="1"/>
  <c r="AM276" i="1"/>
  <c r="AF276" i="1" s="1"/>
  <c r="AM275" i="1"/>
  <c r="AF275" i="1" s="1"/>
  <c r="AM274" i="1"/>
  <c r="AF274" i="1" s="1"/>
  <c r="AM273" i="1"/>
  <c r="AF273" i="1" s="1"/>
  <c r="AM272" i="1"/>
  <c r="AF272" i="1" s="1"/>
  <c r="AM271" i="1"/>
  <c r="AF271" i="1" s="1"/>
  <c r="AM270" i="1"/>
  <c r="AF270" i="1" s="1"/>
  <c r="AM269" i="1"/>
  <c r="AF269" i="1" s="1"/>
  <c r="AM268" i="1"/>
  <c r="AF268" i="1" s="1"/>
  <c r="AM267" i="1"/>
  <c r="AF267" i="1" s="1"/>
  <c r="AM266" i="1"/>
  <c r="AF266" i="1" s="1"/>
  <c r="AM265" i="1"/>
  <c r="AF265" i="1" s="1"/>
  <c r="AM264" i="1"/>
  <c r="AF264" i="1" s="1"/>
  <c r="AM263" i="1"/>
  <c r="AF263" i="1" s="1"/>
  <c r="AM262" i="1"/>
  <c r="AF262" i="1" s="1"/>
  <c r="AM261" i="1"/>
  <c r="AF261" i="1" s="1"/>
  <c r="AM260" i="1"/>
  <c r="AF260" i="1" s="1"/>
  <c r="AM259" i="1"/>
  <c r="AF259" i="1" s="1"/>
  <c r="AM258" i="1"/>
  <c r="AF258" i="1" s="1"/>
  <c r="AM257" i="1"/>
  <c r="AF257" i="1" s="1"/>
  <c r="AM256" i="1"/>
  <c r="AF256" i="1" s="1"/>
  <c r="AM255" i="1"/>
  <c r="AF255" i="1" s="1"/>
  <c r="AM254" i="1"/>
  <c r="AF254" i="1" s="1"/>
  <c r="AM253" i="1"/>
  <c r="AF253" i="1" s="1"/>
  <c r="AM252" i="1"/>
  <c r="AF252" i="1" s="1"/>
  <c r="AM251" i="1"/>
  <c r="AF251" i="1" s="1"/>
  <c r="AM250" i="1"/>
  <c r="AF250" i="1" s="1"/>
  <c r="AM249" i="1"/>
  <c r="AF249" i="1" s="1"/>
  <c r="AM248" i="1"/>
  <c r="AF248" i="1" s="1"/>
  <c r="AM247" i="1"/>
  <c r="AF247" i="1" s="1"/>
  <c r="AM246" i="1"/>
  <c r="AF246" i="1" s="1"/>
  <c r="AM245" i="1"/>
  <c r="AF245" i="1" s="1"/>
  <c r="AM244" i="1"/>
  <c r="AF244" i="1" s="1"/>
  <c r="AM243" i="1"/>
  <c r="AF243" i="1" s="1"/>
  <c r="AM242" i="1"/>
  <c r="AF242" i="1" s="1"/>
  <c r="AM241" i="1"/>
  <c r="AF241" i="1" s="1"/>
  <c r="AM240" i="1"/>
  <c r="AF240" i="1" s="1"/>
  <c r="AM239" i="1"/>
  <c r="AF239" i="1" s="1"/>
  <c r="AM238" i="1"/>
  <c r="AF238" i="1" s="1"/>
  <c r="AM237" i="1"/>
  <c r="AF237" i="1" s="1"/>
  <c r="AM236" i="1"/>
  <c r="AF236" i="1" s="1"/>
  <c r="AM235" i="1"/>
  <c r="AF235" i="1" s="1"/>
  <c r="AM234" i="1"/>
  <c r="AF234" i="1" s="1"/>
  <c r="AM233" i="1"/>
  <c r="AF233" i="1" s="1"/>
  <c r="AM232" i="1"/>
  <c r="AF232" i="1" s="1"/>
  <c r="AM231" i="1"/>
  <c r="AF231" i="1" s="1"/>
  <c r="AM230" i="1"/>
  <c r="AF230" i="1" s="1"/>
  <c r="AM229" i="1"/>
  <c r="AF229" i="1" s="1"/>
  <c r="AM228" i="1"/>
  <c r="AF228" i="1" s="1"/>
  <c r="AM227" i="1"/>
  <c r="AF227" i="1" s="1"/>
  <c r="AM226" i="1"/>
  <c r="AF226" i="1" s="1"/>
  <c r="AM225" i="1"/>
  <c r="AF225" i="1" s="1"/>
  <c r="AM224" i="1"/>
  <c r="AF224" i="1" s="1"/>
  <c r="AM223" i="1"/>
  <c r="AF223" i="1" s="1"/>
  <c r="AM222" i="1"/>
  <c r="AF222" i="1" s="1"/>
  <c r="AM221" i="1"/>
  <c r="AF221" i="1" s="1"/>
  <c r="AM220" i="1"/>
  <c r="AF220" i="1" s="1"/>
  <c r="AM219" i="1"/>
  <c r="AF219" i="1" s="1"/>
  <c r="AM218" i="1"/>
  <c r="AF218" i="1" s="1"/>
  <c r="AM217" i="1"/>
  <c r="AF217" i="1" s="1"/>
  <c r="AM216" i="1"/>
  <c r="AF216" i="1" s="1"/>
  <c r="AM215" i="1"/>
  <c r="AF215" i="1" s="1"/>
  <c r="AM214" i="1"/>
  <c r="AF214" i="1" s="1"/>
  <c r="AM213" i="1"/>
  <c r="AF213" i="1" s="1"/>
  <c r="AM212" i="1"/>
  <c r="AF212" i="1" s="1"/>
  <c r="AM211" i="1"/>
  <c r="AF211" i="1" s="1"/>
  <c r="AM210" i="1"/>
  <c r="AF210" i="1" s="1"/>
  <c r="AM209" i="1"/>
  <c r="AF209" i="1" s="1"/>
  <c r="AM208" i="1"/>
  <c r="AF208" i="1" s="1"/>
  <c r="AM207" i="1"/>
  <c r="AF207" i="1" s="1"/>
  <c r="AM206" i="1"/>
  <c r="AF206" i="1" s="1"/>
  <c r="AM205" i="1"/>
  <c r="AF205" i="1" s="1"/>
  <c r="AM204" i="1"/>
  <c r="AF204" i="1" s="1"/>
  <c r="AM203" i="1"/>
  <c r="AF203" i="1" s="1"/>
  <c r="AM202" i="1"/>
  <c r="AF202" i="1" s="1"/>
  <c r="AM201" i="1"/>
  <c r="AF201" i="1" s="1"/>
  <c r="AM200" i="1"/>
  <c r="AF200" i="1" s="1"/>
  <c r="AM199" i="1"/>
  <c r="AF199" i="1" s="1"/>
  <c r="AM198" i="1"/>
  <c r="AF198" i="1" s="1"/>
  <c r="AM197" i="1"/>
  <c r="AF197" i="1" s="1"/>
  <c r="AM196" i="1"/>
  <c r="AF196" i="1" s="1"/>
  <c r="AM195" i="1"/>
  <c r="AF195" i="1" s="1"/>
  <c r="AM194" i="1"/>
  <c r="AF194" i="1" s="1"/>
  <c r="AM193" i="1"/>
  <c r="AF193" i="1" s="1"/>
  <c r="AM192" i="1"/>
  <c r="AF192" i="1" s="1"/>
  <c r="AM191" i="1"/>
  <c r="AF191" i="1" s="1"/>
  <c r="AM190" i="1"/>
  <c r="AF190" i="1" s="1"/>
  <c r="AM189" i="1"/>
  <c r="AF189" i="1" s="1"/>
  <c r="AM188" i="1"/>
  <c r="AF188" i="1" s="1"/>
  <c r="AM187" i="1"/>
  <c r="AF187" i="1" s="1"/>
  <c r="AM186" i="1"/>
  <c r="AF186" i="1" s="1"/>
  <c r="AM185" i="1"/>
  <c r="AF185" i="1" s="1"/>
  <c r="AM184" i="1"/>
  <c r="AF184" i="1" s="1"/>
  <c r="AM183" i="1"/>
  <c r="AF183" i="1" s="1"/>
  <c r="AM182" i="1"/>
  <c r="AF182" i="1" s="1"/>
  <c r="AM181" i="1"/>
  <c r="AF181" i="1" s="1"/>
  <c r="AM180" i="1"/>
  <c r="AF180" i="1" s="1"/>
  <c r="AM179" i="1"/>
  <c r="AF179" i="1" s="1"/>
  <c r="AM178" i="1"/>
  <c r="AF178" i="1" s="1"/>
  <c r="AM177" i="1"/>
  <c r="AF177" i="1" s="1"/>
  <c r="AM176" i="1"/>
  <c r="AF176" i="1" s="1"/>
  <c r="AM175" i="1"/>
  <c r="AF175" i="1" s="1"/>
  <c r="AM174" i="1"/>
  <c r="AF174" i="1" s="1"/>
  <c r="AM173" i="1"/>
  <c r="AF173" i="1" s="1"/>
  <c r="AM172" i="1"/>
  <c r="AF172" i="1" s="1"/>
  <c r="AM171" i="1"/>
  <c r="AF171" i="1" s="1"/>
  <c r="AM170" i="1"/>
  <c r="AF170" i="1" s="1"/>
  <c r="AM169" i="1"/>
  <c r="AF169" i="1" s="1"/>
  <c r="AM168" i="1"/>
  <c r="AF168" i="1" s="1"/>
  <c r="AM167" i="1"/>
  <c r="AF167" i="1" s="1"/>
  <c r="AM166" i="1"/>
  <c r="AF166" i="1" s="1"/>
  <c r="AM165" i="1"/>
  <c r="AF165" i="1" s="1"/>
  <c r="AM164" i="1"/>
  <c r="AF164" i="1" s="1"/>
  <c r="AM163" i="1"/>
  <c r="AF163" i="1" s="1"/>
  <c r="AM162" i="1"/>
  <c r="AF162" i="1" s="1"/>
  <c r="AM161" i="1"/>
  <c r="AF161" i="1" s="1"/>
  <c r="AM160" i="1"/>
  <c r="AF160" i="1" s="1"/>
  <c r="AM159" i="1"/>
  <c r="AF159" i="1" s="1"/>
  <c r="AM158" i="1"/>
  <c r="AF158" i="1" s="1"/>
  <c r="AM157" i="1"/>
  <c r="AF157" i="1" s="1"/>
  <c r="AM156" i="1"/>
  <c r="AF156" i="1" s="1"/>
  <c r="AM155" i="1"/>
  <c r="AF155" i="1" s="1"/>
  <c r="AM154" i="1"/>
  <c r="AF154" i="1" s="1"/>
  <c r="AM153" i="1"/>
  <c r="AF153" i="1" s="1"/>
  <c r="AM152" i="1"/>
  <c r="AF152" i="1" s="1"/>
  <c r="AM151" i="1"/>
  <c r="AF151" i="1" s="1"/>
  <c r="AM150" i="1"/>
  <c r="AF150" i="1" s="1"/>
  <c r="AM149" i="1"/>
  <c r="AF149" i="1" s="1"/>
  <c r="AM148" i="1"/>
  <c r="AF148" i="1" s="1"/>
  <c r="AM147" i="1"/>
  <c r="AF147" i="1" s="1"/>
  <c r="AM146" i="1"/>
  <c r="AF146" i="1" s="1"/>
  <c r="AM145" i="1"/>
  <c r="AF145" i="1" s="1"/>
  <c r="AM144" i="1"/>
  <c r="AF144" i="1" s="1"/>
  <c r="AM143" i="1"/>
  <c r="AF143" i="1" s="1"/>
  <c r="AM142" i="1"/>
  <c r="AF142" i="1" s="1"/>
  <c r="AM141" i="1"/>
  <c r="AF141" i="1" s="1"/>
  <c r="AM140" i="1"/>
  <c r="AF140" i="1" s="1"/>
  <c r="AM139" i="1"/>
  <c r="AF139" i="1" s="1"/>
  <c r="AM138" i="1"/>
  <c r="AF138" i="1" s="1"/>
  <c r="AM137" i="1"/>
  <c r="AF137" i="1" s="1"/>
  <c r="AM136" i="1"/>
  <c r="AF136" i="1" s="1"/>
  <c r="AM135" i="1"/>
  <c r="AF135" i="1" s="1"/>
  <c r="AM134" i="1"/>
  <c r="AF134" i="1" s="1"/>
  <c r="AM133" i="1"/>
  <c r="AF133" i="1" s="1"/>
  <c r="AM132" i="1"/>
  <c r="AF132" i="1" s="1"/>
  <c r="AM131" i="1"/>
  <c r="AF131" i="1" s="1"/>
  <c r="AM130" i="1"/>
  <c r="AF130" i="1" s="1"/>
  <c r="AM129" i="1"/>
  <c r="AF129" i="1" s="1"/>
  <c r="AM128" i="1"/>
  <c r="AF128" i="1" s="1"/>
  <c r="AM127" i="1"/>
  <c r="AF127" i="1" s="1"/>
  <c r="AM126" i="1"/>
  <c r="AF126" i="1" s="1"/>
  <c r="AM125" i="1"/>
  <c r="AF125" i="1" s="1"/>
  <c r="AM124" i="1"/>
  <c r="AF124" i="1" s="1"/>
  <c r="AM123" i="1"/>
  <c r="AF123" i="1" s="1"/>
  <c r="AM122" i="1"/>
  <c r="AF122" i="1" s="1"/>
  <c r="AM121" i="1"/>
  <c r="AF121" i="1" s="1"/>
  <c r="AM120" i="1"/>
  <c r="AF120" i="1" s="1"/>
  <c r="AM119" i="1"/>
  <c r="AF119" i="1" s="1"/>
  <c r="AM118" i="1"/>
  <c r="AF118" i="1" s="1"/>
  <c r="AM117" i="1"/>
  <c r="AF117" i="1" s="1"/>
  <c r="AM116" i="1"/>
  <c r="AF116" i="1" s="1"/>
  <c r="AM115" i="1"/>
  <c r="AF115" i="1" s="1"/>
  <c r="AM114" i="1"/>
  <c r="AF114" i="1" s="1"/>
  <c r="AM113" i="1"/>
  <c r="AF113" i="1" s="1"/>
  <c r="AM112" i="1"/>
  <c r="AF112" i="1" s="1"/>
  <c r="AM111" i="1"/>
  <c r="AF111" i="1" s="1"/>
  <c r="AM110" i="1"/>
  <c r="AF110" i="1" s="1"/>
  <c r="AM109" i="1"/>
  <c r="AF109" i="1" s="1"/>
  <c r="AM108" i="1"/>
  <c r="AF108" i="1" s="1"/>
  <c r="AM107" i="1"/>
  <c r="AF107" i="1" s="1"/>
  <c r="AM106" i="1"/>
  <c r="AF106" i="1" s="1"/>
  <c r="AM105" i="1"/>
  <c r="AF105" i="1" s="1"/>
  <c r="AM104" i="1"/>
  <c r="AF104" i="1" s="1"/>
  <c r="AM103" i="1"/>
  <c r="AF103" i="1" s="1"/>
  <c r="AM102" i="1"/>
  <c r="AF102" i="1" s="1"/>
  <c r="AM101" i="1"/>
  <c r="AF101" i="1" s="1"/>
  <c r="AM100" i="1"/>
  <c r="AF100" i="1" s="1"/>
  <c r="AM99" i="1"/>
  <c r="AF99" i="1" s="1"/>
  <c r="AM98" i="1"/>
  <c r="AF98" i="1" s="1"/>
  <c r="AM97" i="1"/>
  <c r="AF97" i="1" s="1"/>
  <c r="AM96" i="1"/>
  <c r="AF96" i="1" s="1"/>
  <c r="AM95" i="1"/>
  <c r="AF95" i="1" s="1"/>
  <c r="AM94" i="1"/>
  <c r="AF94" i="1" s="1"/>
  <c r="AM93" i="1"/>
  <c r="AF93" i="1" s="1"/>
  <c r="AM92" i="1"/>
  <c r="AF92" i="1" s="1"/>
  <c r="AM91" i="1"/>
  <c r="AF91" i="1" s="1"/>
  <c r="AM90" i="1"/>
  <c r="AF90" i="1" s="1"/>
  <c r="AM89" i="1"/>
  <c r="AF89" i="1" s="1"/>
  <c r="AM88" i="1"/>
  <c r="AF88" i="1" s="1"/>
  <c r="AM87" i="1"/>
  <c r="AF87" i="1" s="1"/>
  <c r="AM86" i="1"/>
  <c r="AF86" i="1" s="1"/>
  <c r="AM85" i="1"/>
  <c r="AF85" i="1" s="1"/>
  <c r="AM84" i="1"/>
  <c r="AF84" i="1" s="1"/>
  <c r="AM83" i="1"/>
  <c r="AF83" i="1" s="1"/>
  <c r="AM82" i="1"/>
  <c r="AF82" i="1" s="1"/>
  <c r="AM81" i="1"/>
  <c r="AF81" i="1" s="1"/>
  <c r="AM80" i="1"/>
  <c r="AF80" i="1" s="1"/>
  <c r="AM79" i="1"/>
  <c r="AF79" i="1" s="1"/>
  <c r="AM78" i="1"/>
  <c r="AF78" i="1" s="1"/>
  <c r="AM77" i="1"/>
  <c r="AF77" i="1" s="1"/>
  <c r="AM76" i="1"/>
  <c r="AF76" i="1" s="1"/>
  <c r="AM75" i="1"/>
  <c r="AF75" i="1" s="1"/>
  <c r="AM74" i="1"/>
  <c r="AF74" i="1" s="1"/>
  <c r="AM73" i="1"/>
  <c r="AF73" i="1" s="1"/>
  <c r="AM72" i="1"/>
  <c r="AF72" i="1" s="1"/>
  <c r="AM71" i="1"/>
  <c r="AF71" i="1" s="1"/>
  <c r="AM70" i="1"/>
  <c r="AF70" i="1" s="1"/>
  <c r="AM69" i="1"/>
  <c r="AF69" i="1" s="1"/>
  <c r="AM68" i="1"/>
  <c r="AF68" i="1" s="1"/>
  <c r="AM67" i="1"/>
  <c r="AF67" i="1" s="1"/>
  <c r="AM66" i="1"/>
  <c r="AF66" i="1" s="1"/>
  <c r="AM65" i="1"/>
  <c r="AF65" i="1" s="1"/>
  <c r="AM64" i="1"/>
  <c r="AF64" i="1" s="1"/>
  <c r="AM63" i="1"/>
  <c r="AF63" i="1" s="1"/>
  <c r="AM62" i="1"/>
  <c r="AF62" i="1" s="1"/>
  <c r="AM61" i="1"/>
  <c r="AF61" i="1" s="1"/>
  <c r="AM60" i="1"/>
  <c r="AF60" i="1" s="1"/>
  <c r="AM59" i="1"/>
  <c r="AF59" i="1" s="1"/>
  <c r="AM58" i="1"/>
  <c r="AF58" i="1" s="1"/>
  <c r="AM57" i="1"/>
  <c r="AF57" i="1" s="1"/>
  <c r="AM56" i="1"/>
  <c r="AF56" i="1" s="1"/>
  <c r="AM55" i="1"/>
  <c r="AF55" i="1" s="1"/>
  <c r="AM54" i="1"/>
  <c r="AF54" i="1" s="1"/>
  <c r="AM53" i="1"/>
  <c r="AF53" i="1" s="1"/>
  <c r="AM52" i="1"/>
  <c r="AF52" i="1" s="1"/>
  <c r="AM51" i="1"/>
  <c r="AF51" i="1" s="1"/>
  <c r="AM50" i="1"/>
  <c r="AF50" i="1" s="1"/>
  <c r="AM49" i="1"/>
  <c r="AF49" i="1" s="1"/>
  <c r="AM48" i="1"/>
  <c r="AF48" i="1" s="1"/>
  <c r="AM47" i="1"/>
  <c r="AF47" i="1" s="1"/>
  <c r="AM46" i="1"/>
  <c r="AF46" i="1" s="1"/>
  <c r="AM45" i="1"/>
  <c r="AF45" i="1" s="1"/>
  <c r="AM44" i="1"/>
  <c r="AF44" i="1" s="1"/>
  <c r="AM43" i="1"/>
  <c r="AF43" i="1" s="1"/>
  <c r="AM42" i="1"/>
  <c r="AF42" i="1" s="1"/>
  <c r="AM41" i="1"/>
  <c r="AF41" i="1" s="1"/>
  <c r="AM40" i="1"/>
  <c r="AF40" i="1" s="1"/>
  <c r="AM39" i="1"/>
  <c r="AF39" i="1" s="1"/>
  <c r="AM38" i="1"/>
  <c r="AF38" i="1" s="1"/>
  <c r="AM37" i="1"/>
  <c r="AF37" i="1" s="1"/>
  <c r="AM36" i="1"/>
  <c r="AF36" i="1" s="1"/>
  <c r="AM35" i="1"/>
  <c r="AF35" i="1" s="1"/>
  <c r="AM34" i="1"/>
  <c r="AF34" i="1" s="1"/>
  <c r="AM33" i="1"/>
  <c r="AF33" i="1" s="1"/>
  <c r="AM32" i="1"/>
  <c r="AF32" i="1" s="1"/>
  <c r="AM31" i="1"/>
  <c r="AF31" i="1" s="1"/>
  <c r="AM30" i="1"/>
  <c r="AF30" i="1" s="1"/>
  <c r="AM29" i="1"/>
  <c r="AF29" i="1" s="1"/>
  <c r="AM28" i="1"/>
  <c r="AF28" i="1" s="1"/>
  <c r="AM27" i="1"/>
  <c r="AF27" i="1" s="1"/>
  <c r="AM26" i="1"/>
  <c r="AF26" i="1" s="1"/>
  <c r="AM25" i="1"/>
  <c r="AF25" i="1" s="1"/>
  <c r="AM24" i="1"/>
  <c r="AF24" i="1" s="1"/>
  <c r="AM23" i="1"/>
  <c r="AF23" i="1" s="1"/>
  <c r="AM22" i="1"/>
  <c r="AF22" i="1" s="1"/>
  <c r="AM21" i="1"/>
  <c r="AF21" i="1" s="1"/>
  <c r="AM20" i="1"/>
  <c r="AF20" i="1" s="1"/>
  <c r="AM19" i="1"/>
  <c r="AF19" i="1" s="1"/>
  <c r="AM18" i="1"/>
  <c r="AF18" i="1" s="1"/>
  <c r="AM17" i="1"/>
  <c r="AF17" i="1" s="1"/>
  <c r="AM16" i="1"/>
  <c r="AF16" i="1" s="1"/>
  <c r="AM15" i="1"/>
  <c r="AF15" i="1" s="1"/>
  <c r="AM14" i="1"/>
  <c r="AF14" i="1" s="1"/>
  <c r="AM13" i="1"/>
  <c r="AF13" i="1" s="1"/>
  <c r="AM12" i="1"/>
  <c r="AF12" i="1" s="1"/>
  <c r="AM11" i="1"/>
  <c r="AF11" i="1" s="1"/>
  <c r="AM10" i="1"/>
  <c r="AF10" i="1" s="1"/>
  <c r="AM9" i="1"/>
  <c r="AF9" i="1" s="1"/>
  <c r="AM8" i="1"/>
  <c r="AF8" i="1" s="1"/>
  <c r="AM7" i="1"/>
  <c r="AF7" i="1" s="1"/>
  <c r="AM6" i="1"/>
  <c r="AF6" i="1" s="1"/>
  <c r="AM5" i="1"/>
  <c r="AF5" i="1" s="1"/>
  <c r="AM2" i="1"/>
  <c r="S14" i="1"/>
  <c r="AM3" i="1"/>
  <c r="AG1" i="1"/>
  <c r="AN20" i="1"/>
  <c r="T8" i="1"/>
  <c r="AQ20" i="1"/>
  <c r="AN22" i="1"/>
  <c r="AN6" i="1"/>
  <c r="U7" i="1"/>
  <c r="AN15" i="1"/>
  <c r="AN23" i="1"/>
  <c r="AP9" i="1"/>
  <c r="AP8" i="1"/>
  <c r="AQ7" i="1"/>
  <c r="AO5" i="1"/>
  <c r="AP18" i="1"/>
  <c r="AN13" i="1"/>
  <c r="AQ23" i="1"/>
  <c r="AO7" i="1"/>
  <c r="AO21" i="1"/>
  <c r="AQ8" i="1"/>
  <c r="AN4" i="1"/>
  <c r="AQ19" i="1"/>
  <c r="AN18" i="1"/>
  <c r="AO6" i="1"/>
  <c r="AN17" i="1"/>
  <c r="AN19" i="1"/>
  <c r="AN8" i="1"/>
  <c r="AQ9" i="1"/>
  <c r="AN5" i="1"/>
  <c r="AQ11" i="1"/>
  <c r="AP14" i="1"/>
  <c r="AP10" i="1"/>
  <c r="AN10" i="1"/>
  <c r="AO13" i="1"/>
  <c r="AN14" i="1"/>
  <c r="AQ12" i="1"/>
  <c r="J6" i="1"/>
  <c r="AP6" i="1"/>
  <c r="T7" i="1"/>
  <c r="U6" i="1"/>
  <c r="AN21" i="1"/>
  <c r="AN9" i="1"/>
  <c r="AN12" i="1"/>
  <c r="AP22" i="1"/>
  <c r="AQ15" i="1"/>
  <c r="AN7" i="1"/>
  <c r="AQ6" i="1"/>
  <c r="K6" i="1"/>
  <c r="AN16" i="1"/>
  <c r="AQ16" i="1"/>
  <c r="AO17" i="1"/>
  <c r="AN11" i="1"/>
  <c r="I285" i="4" l="1"/>
  <c r="G2" i="4"/>
  <c r="T4" i="1"/>
  <c r="AT10" i="1"/>
  <c r="AT14" i="1"/>
  <c r="AT22" i="1"/>
  <c r="AU11" i="1"/>
  <c r="AU15" i="1"/>
  <c r="AU19" i="1"/>
  <c r="AU23" i="1"/>
  <c r="AU12" i="1"/>
  <c r="AU16" i="1"/>
  <c r="AU20" i="1"/>
  <c r="AT18" i="1"/>
  <c r="AS13" i="1"/>
  <c r="AS17" i="1"/>
  <c r="AS21" i="1"/>
  <c r="AS6" i="1"/>
  <c r="AT6" i="1"/>
  <c r="AT8" i="1"/>
  <c r="AT9" i="1"/>
  <c r="AS7" i="1"/>
  <c r="AU6" i="1"/>
  <c r="AU7" i="1"/>
  <c r="AU8" i="1"/>
  <c r="AU9" i="1"/>
  <c r="AS5" i="1"/>
  <c r="AR6" i="1"/>
  <c r="AR12" i="1"/>
  <c r="AR16" i="1"/>
  <c r="AR20" i="1"/>
  <c r="AR7" i="1"/>
  <c r="AR13" i="1"/>
  <c r="AR17" i="1"/>
  <c r="AR21" i="1"/>
  <c r="AR8" i="1"/>
  <c r="AR10" i="1"/>
  <c r="AR14" i="1"/>
  <c r="AR18" i="1"/>
  <c r="AR22" i="1"/>
  <c r="AR5" i="1"/>
  <c r="AR9" i="1"/>
  <c r="AR11" i="1"/>
  <c r="AR15" i="1"/>
  <c r="AR19" i="1"/>
  <c r="AR23" i="1"/>
  <c r="AM4" i="1"/>
  <c r="AR4" i="1" s="1"/>
  <c r="G10" i="1"/>
  <c r="AP5" i="1"/>
  <c r="AP13" i="1"/>
  <c r="AP7" i="1"/>
  <c r="AP11" i="1"/>
  <c r="AP12" i="1"/>
  <c r="AP21" i="1"/>
  <c r="AO16" i="1"/>
  <c r="AP17" i="1"/>
  <c r="AO23" i="1"/>
  <c r="AO9" i="1"/>
  <c r="AQ17" i="1"/>
  <c r="AP16" i="1"/>
  <c r="AP20" i="1"/>
  <c r="AQ5" i="1"/>
  <c r="AQ22" i="1"/>
  <c r="AO15" i="1"/>
  <c r="AO14" i="1"/>
  <c r="AP23" i="1"/>
  <c r="AQ21" i="1"/>
  <c r="AP19" i="1"/>
  <c r="AO11" i="1"/>
  <c r="AQ18" i="1"/>
  <c r="AQ13" i="1"/>
  <c r="AO19" i="1"/>
  <c r="AO8" i="1"/>
  <c r="AO22" i="1"/>
  <c r="AO18" i="1"/>
  <c r="AQ10" i="1"/>
  <c r="AP15" i="1"/>
  <c r="AO12" i="1"/>
  <c r="AO10" i="1"/>
  <c r="AQ14" i="1"/>
  <c r="AO20" i="1"/>
  <c r="AS8" i="1" l="1"/>
  <c r="AT5" i="1"/>
  <c r="AU5" i="1"/>
  <c r="AS9" i="1"/>
  <c r="AT7" i="1"/>
  <c r="AT23" i="1"/>
  <c r="AT15" i="1"/>
  <c r="AS23" i="1"/>
  <c r="AU17" i="1"/>
  <c r="AT12" i="1"/>
  <c r="AS20" i="1"/>
  <c r="AU14" i="1"/>
  <c r="AS14" i="1"/>
  <c r="AU18" i="1"/>
  <c r="AT11" i="1"/>
  <c r="AU22" i="1"/>
  <c r="AS12" i="1"/>
  <c r="AS22" i="1"/>
  <c r="AU21" i="1"/>
  <c r="AT16" i="1"/>
  <c r="AS11" i="1"/>
  <c r="AT13" i="1"/>
  <c r="AT19" i="1"/>
  <c r="AT20" i="1"/>
  <c r="AS15" i="1"/>
  <c r="AT17" i="1"/>
  <c r="AS18" i="1"/>
  <c r="AS10" i="1"/>
  <c r="AS19" i="1"/>
  <c r="AU13" i="1"/>
  <c r="AT21" i="1"/>
  <c r="AS16" i="1"/>
  <c r="AU10" i="1"/>
  <c r="AF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4" i="1"/>
  <c r="AR3" i="1" l="1"/>
  <c r="AR1" i="1" s="1"/>
  <c r="T5" i="1" s="1"/>
  <c r="N1" i="1"/>
  <c r="Q31" i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Q105" i="1" s="1"/>
  <c r="Q106" i="1" s="1"/>
  <c r="Q107" i="1" s="1"/>
  <c r="Q108" i="1" s="1"/>
  <c r="Q109" i="1" s="1"/>
  <c r="Q110" i="1" s="1"/>
  <c r="Q111" i="1" s="1"/>
  <c r="Q112" i="1" s="1"/>
  <c r="Q113" i="1" s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Q159" i="1" s="1"/>
  <c r="Q160" i="1" s="1"/>
  <c r="Q161" i="1" s="1"/>
  <c r="Q162" i="1" s="1"/>
  <c r="Q163" i="1" s="1"/>
  <c r="Q164" i="1" s="1"/>
  <c r="Q165" i="1" s="1"/>
  <c r="Q166" i="1" s="1"/>
  <c r="Q167" i="1" s="1"/>
  <c r="Q168" i="1" s="1"/>
  <c r="Q169" i="1" s="1"/>
  <c r="Q170" i="1" s="1"/>
  <c r="Q171" i="1" s="1"/>
  <c r="Q172" i="1" s="1"/>
  <c r="Q173" i="1" s="1"/>
  <c r="Q174" i="1" s="1"/>
  <c r="Q175" i="1" s="1"/>
  <c r="Q176" i="1" s="1"/>
  <c r="Q177" i="1" s="1"/>
  <c r="Q178" i="1" s="1"/>
  <c r="Q179" i="1" s="1"/>
  <c r="Q180" i="1" s="1"/>
  <c r="Q181" i="1" s="1"/>
  <c r="Q182" i="1" s="1"/>
  <c r="Q183" i="1" s="1"/>
  <c r="Q184" i="1" s="1"/>
  <c r="Q185" i="1" s="1"/>
  <c r="Q186" i="1" s="1"/>
  <c r="Q187" i="1" s="1"/>
  <c r="Q188" i="1" s="1"/>
  <c r="Q189" i="1" s="1"/>
  <c r="Q190" i="1" s="1"/>
  <c r="Q191" i="1" s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Q204" i="1" s="1"/>
  <c r="Q205" i="1" s="1"/>
  <c r="Q206" i="1" s="1"/>
  <c r="Q207" i="1" s="1"/>
  <c r="Q208" i="1" s="1"/>
  <c r="Q209" i="1" s="1"/>
  <c r="Q210" i="1" s="1"/>
  <c r="Q211" i="1" s="1"/>
  <c r="Q212" i="1" s="1"/>
  <c r="Q213" i="1" s="1"/>
  <c r="Q214" i="1" s="1"/>
  <c r="Q215" i="1" s="1"/>
  <c r="Q216" i="1" s="1"/>
  <c r="Q217" i="1" s="1"/>
  <c r="Q218" i="1" s="1"/>
  <c r="Q219" i="1" s="1"/>
  <c r="Q220" i="1" s="1"/>
  <c r="Q221" i="1" s="1"/>
  <c r="Q222" i="1" s="1"/>
  <c r="Q223" i="1" s="1"/>
  <c r="Q224" i="1" s="1"/>
  <c r="Q225" i="1" s="1"/>
  <c r="Q226" i="1" s="1"/>
  <c r="Q227" i="1" s="1"/>
  <c r="Q228" i="1" s="1"/>
  <c r="Q229" i="1" s="1"/>
  <c r="Q230" i="1" s="1"/>
  <c r="Q231" i="1" s="1"/>
  <c r="Q232" i="1" s="1"/>
  <c r="Q233" i="1" s="1"/>
  <c r="Q234" i="1" s="1"/>
  <c r="Q235" i="1" s="1"/>
  <c r="Q236" i="1" s="1"/>
  <c r="Q237" i="1" s="1"/>
  <c r="Q238" i="1" s="1"/>
  <c r="Q239" i="1" s="1"/>
  <c r="Q240" i="1" s="1"/>
  <c r="Q241" i="1" s="1"/>
  <c r="Q242" i="1" s="1"/>
  <c r="Q243" i="1" s="1"/>
  <c r="Q244" i="1" s="1"/>
  <c r="Q245" i="1" s="1"/>
  <c r="Q246" i="1" s="1"/>
  <c r="Q247" i="1" s="1"/>
  <c r="Q248" i="1" s="1"/>
  <c r="Q249" i="1" s="1"/>
  <c r="Q250" i="1" s="1"/>
  <c r="Q251" i="1" s="1"/>
  <c r="Q252" i="1" s="1"/>
  <c r="Q253" i="1" s="1"/>
  <c r="Q254" i="1" s="1"/>
  <c r="Q255" i="1" s="1"/>
  <c r="Q256" i="1" s="1"/>
  <c r="Q257" i="1" s="1"/>
  <c r="Q258" i="1" s="1"/>
  <c r="Q259" i="1" s="1"/>
  <c r="Q260" i="1" s="1"/>
  <c r="Q261" i="1" s="1"/>
  <c r="Q262" i="1" s="1"/>
  <c r="Q263" i="1" s="1"/>
  <c r="Q264" i="1" s="1"/>
  <c r="Q265" i="1" s="1"/>
  <c r="Q266" i="1" s="1"/>
  <c r="Q267" i="1" s="1"/>
  <c r="Q268" i="1" s="1"/>
  <c r="Q269" i="1" s="1"/>
  <c r="Q270" i="1" s="1"/>
  <c r="Q271" i="1" s="1"/>
  <c r="Q272" i="1" s="1"/>
  <c r="Q273" i="1" s="1"/>
  <c r="Q274" i="1" s="1"/>
  <c r="Q275" i="1" s="1"/>
  <c r="Q276" i="1" s="1"/>
  <c r="Q277" i="1" s="1"/>
  <c r="Q278" i="1" s="1"/>
  <c r="Q279" i="1" s="1"/>
  <c r="Q280" i="1" s="1"/>
  <c r="Q281" i="1" s="1"/>
  <c r="Q282" i="1" s="1"/>
  <c r="Q283" i="1" s="1"/>
  <c r="Q284" i="1" s="1"/>
  <c r="Q285" i="1" s="1"/>
  <c r="Q286" i="1" s="1"/>
  <c r="Q287" i="1" s="1"/>
  <c r="Q288" i="1" s="1"/>
  <c r="Q289" i="1" s="1"/>
  <c r="Q290" i="1" s="1"/>
  <c r="Q291" i="1" s="1"/>
  <c r="Q292" i="1" s="1"/>
  <c r="Q293" i="1" s="1"/>
  <c r="Q294" i="1" s="1"/>
  <c r="Q295" i="1" s="1"/>
  <c r="Q296" i="1" s="1"/>
  <c r="Q297" i="1" s="1"/>
  <c r="Q298" i="1" s="1"/>
  <c r="Q299" i="1" s="1"/>
  <c r="Q300" i="1" s="1"/>
  <c r="Q301" i="1" s="1"/>
  <c r="Q302" i="1" s="1"/>
  <c r="Q303" i="1" s="1"/>
  <c r="Q304" i="1" s="1"/>
  <c r="Q305" i="1" s="1"/>
  <c r="Q306" i="1" s="1"/>
  <c r="Q307" i="1" s="1"/>
  <c r="Q308" i="1" s="1"/>
  <c r="Q309" i="1" s="1"/>
  <c r="Q310" i="1" s="1"/>
  <c r="Q311" i="1" s="1"/>
  <c r="Q312" i="1" s="1"/>
  <c r="Q313" i="1" s="1"/>
  <c r="Q314" i="1" s="1"/>
  <c r="Q315" i="1" s="1"/>
  <c r="Q316" i="1" s="1"/>
  <c r="Q317" i="1" s="1"/>
  <c r="Q318" i="1" s="1"/>
  <c r="Q319" i="1" s="1"/>
  <c r="Q320" i="1" s="1"/>
  <c r="Q321" i="1" s="1"/>
  <c r="Q322" i="1" s="1"/>
  <c r="Q323" i="1" s="1"/>
  <c r="Q324" i="1" s="1"/>
  <c r="Q325" i="1" s="1"/>
  <c r="Q326" i="1" s="1"/>
  <c r="Q327" i="1" s="1"/>
  <c r="Q328" i="1" s="1"/>
  <c r="Q329" i="1" s="1"/>
  <c r="Q330" i="1" s="1"/>
  <c r="Q331" i="1" s="1"/>
  <c r="Q332" i="1" s="1"/>
  <c r="Q333" i="1" s="1"/>
  <c r="Q334" i="1" s="1"/>
  <c r="Q335" i="1" s="1"/>
  <c r="Q336" i="1" s="1"/>
  <c r="Q337" i="1" s="1"/>
  <c r="Q338" i="1" s="1"/>
  <c r="Q339" i="1" s="1"/>
  <c r="Q340" i="1" s="1"/>
  <c r="Q341" i="1" s="1"/>
  <c r="Q342" i="1" s="1"/>
  <c r="Q343" i="1" s="1"/>
  <c r="Q344" i="1" s="1"/>
  <c r="Q345" i="1" s="1"/>
  <c r="Q346" i="1" s="1"/>
  <c r="U14" i="1" l="1"/>
  <c r="T14" i="1"/>
  <c r="AC2125" i="1" l="1"/>
  <c r="AC2124" i="1"/>
  <c r="AC2123" i="1"/>
  <c r="AC2122" i="1"/>
  <c r="AC2121" i="1"/>
  <c r="AC2120" i="1"/>
  <c r="AC2119" i="1"/>
  <c r="AC2118" i="1"/>
  <c r="AC2117" i="1"/>
  <c r="AC2116" i="1"/>
  <c r="AC2115" i="1"/>
  <c r="AC2114" i="1"/>
  <c r="AC2113" i="1"/>
  <c r="AC2112" i="1"/>
  <c r="AC2111" i="1"/>
  <c r="AC2110" i="1"/>
  <c r="AC2109" i="1"/>
  <c r="AC2108" i="1"/>
  <c r="AC2107" i="1"/>
  <c r="AC2106" i="1"/>
  <c r="AC2105" i="1"/>
  <c r="AC2104" i="1"/>
  <c r="AC2103" i="1"/>
  <c r="AC2102" i="1"/>
  <c r="AC2101" i="1"/>
  <c r="AC2100" i="1"/>
  <c r="AC2099" i="1"/>
  <c r="AC2098" i="1"/>
  <c r="AC2097" i="1"/>
  <c r="AC2096" i="1"/>
  <c r="AC2095" i="1"/>
  <c r="AC2094" i="1"/>
  <c r="AC2093" i="1"/>
  <c r="AC2092" i="1"/>
  <c r="AC2091" i="1"/>
  <c r="AC2090" i="1"/>
  <c r="AC2089" i="1"/>
  <c r="AC2088" i="1"/>
  <c r="AC2087" i="1"/>
  <c r="AC2086" i="1"/>
  <c r="AC2085" i="1"/>
  <c r="AC2084" i="1"/>
  <c r="AC2083" i="1"/>
  <c r="AC2082" i="1"/>
  <c r="AC2081" i="1"/>
  <c r="AC2080" i="1"/>
  <c r="AC2079" i="1"/>
  <c r="AC2078" i="1"/>
  <c r="AC2077" i="1"/>
  <c r="AC2076" i="1"/>
  <c r="AC2075" i="1"/>
  <c r="AC2074" i="1"/>
  <c r="AC2073" i="1"/>
  <c r="AC2072" i="1"/>
  <c r="AC2071" i="1"/>
  <c r="AC2070" i="1"/>
  <c r="AC2069" i="1"/>
  <c r="AC2068" i="1"/>
  <c r="AC2067" i="1"/>
  <c r="AC2066" i="1"/>
  <c r="AC2065" i="1"/>
  <c r="AC2064" i="1"/>
  <c r="AC2063" i="1"/>
  <c r="AC2062" i="1"/>
  <c r="AC2061" i="1"/>
  <c r="AC2060" i="1"/>
  <c r="AC2059" i="1"/>
  <c r="AC2058" i="1"/>
  <c r="AC2057" i="1"/>
  <c r="AC2056" i="1"/>
  <c r="AC2055" i="1"/>
  <c r="AC2054" i="1"/>
  <c r="AC2053" i="1"/>
  <c r="AC2052" i="1"/>
  <c r="AC2051" i="1"/>
  <c r="AC2050" i="1"/>
  <c r="AC2049" i="1"/>
  <c r="AC2048" i="1"/>
  <c r="AC2047" i="1"/>
  <c r="AC2046" i="1"/>
  <c r="AC2045" i="1"/>
  <c r="AC2044" i="1"/>
  <c r="AC2043" i="1"/>
  <c r="AC2042" i="1"/>
  <c r="AC2041" i="1"/>
  <c r="AC2040" i="1"/>
  <c r="AC2039" i="1"/>
  <c r="AC2038" i="1"/>
  <c r="AC2037" i="1"/>
  <c r="AC2036" i="1"/>
  <c r="AC2035" i="1"/>
  <c r="AC2034" i="1"/>
  <c r="AC2033" i="1"/>
  <c r="AC2032" i="1"/>
  <c r="AC2031" i="1"/>
  <c r="AC2030" i="1"/>
  <c r="AC2029" i="1"/>
  <c r="AC2028" i="1"/>
  <c r="AC2027" i="1"/>
  <c r="AC2026" i="1"/>
  <c r="AC2025" i="1"/>
  <c r="AC2024" i="1"/>
  <c r="AC2023" i="1"/>
  <c r="AC2022" i="1"/>
  <c r="AC2021" i="1"/>
  <c r="AC2020" i="1"/>
  <c r="AC2019" i="1"/>
  <c r="AC2018" i="1"/>
  <c r="AC2017" i="1"/>
  <c r="AC2016" i="1"/>
  <c r="AC2015" i="1"/>
  <c r="AC2014" i="1"/>
  <c r="AC2013" i="1"/>
  <c r="AC2012" i="1"/>
  <c r="AC2011" i="1"/>
  <c r="AC2010" i="1"/>
  <c r="AC2009" i="1"/>
  <c r="AC2008" i="1"/>
  <c r="AC2007" i="1"/>
  <c r="AC2006" i="1"/>
  <c r="AC2005" i="1"/>
  <c r="AC2004" i="1"/>
  <c r="AC2003" i="1"/>
  <c r="AC2002" i="1"/>
  <c r="AC2001" i="1"/>
  <c r="AC2000" i="1"/>
  <c r="AC1999" i="1"/>
  <c r="AC1998" i="1"/>
  <c r="AC1997" i="1"/>
  <c r="AC1996" i="1"/>
  <c r="AC1995" i="1"/>
  <c r="AC1994" i="1"/>
  <c r="AC1993" i="1"/>
  <c r="AC1992" i="1"/>
  <c r="AC1991" i="1"/>
  <c r="AC1990" i="1"/>
  <c r="AC1989" i="1"/>
  <c r="AC1988" i="1"/>
  <c r="AC1987" i="1"/>
  <c r="AC1986" i="1"/>
  <c r="AC1985" i="1"/>
  <c r="AC1984" i="1"/>
  <c r="AC1983" i="1"/>
  <c r="AC1982" i="1"/>
  <c r="AC1981" i="1"/>
  <c r="AC1980" i="1"/>
  <c r="AC1979" i="1"/>
  <c r="AC1978" i="1"/>
  <c r="AC1977" i="1"/>
  <c r="AC1976" i="1"/>
  <c r="AC1975" i="1"/>
  <c r="AC1974" i="1"/>
  <c r="AC1973" i="1"/>
  <c r="AC1972" i="1"/>
  <c r="AC1971" i="1"/>
  <c r="AC1970" i="1"/>
  <c r="AC1969" i="1"/>
  <c r="AC1968" i="1"/>
  <c r="AC1967" i="1"/>
  <c r="AC1966" i="1"/>
  <c r="AC1965" i="1"/>
  <c r="AC1964" i="1"/>
  <c r="AC1963" i="1"/>
  <c r="AC1962" i="1"/>
  <c r="AC1961" i="1"/>
  <c r="AC1960" i="1"/>
  <c r="AC1959" i="1"/>
  <c r="AC1958" i="1"/>
  <c r="AC1957" i="1"/>
  <c r="AC1956" i="1"/>
  <c r="AC1955" i="1"/>
  <c r="AC1954" i="1"/>
  <c r="AC1953" i="1"/>
  <c r="AC1952" i="1"/>
  <c r="AC1951" i="1"/>
  <c r="AC1950" i="1"/>
  <c r="AC1949" i="1"/>
  <c r="AC1948" i="1"/>
  <c r="AC1947" i="1"/>
  <c r="AC1946" i="1"/>
  <c r="AC1945" i="1"/>
  <c r="AC1944" i="1"/>
  <c r="AC1943" i="1"/>
  <c r="AC1942" i="1"/>
  <c r="AC1941" i="1"/>
  <c r="AC1940" i="1"/>
  <c r="AC1939" i="1"/>
  <c r="AC1938" i="1"/>
  <c r="AC1937" i="1"/>
  <c r="AC1936" i="1"/>
  <c r="AC1935" i="1"/>
  <c r="AC1934" i="1"/>
  <c r="AC1933" i="1"/>
  <c r="AC1932" i="1"/>
  <c r="AC1931" i="1"/>
  <c r="AC1930" i="1"/>
  <c r="AC1929" i="1"/>
  <c r="AC1928" i="1"/>
  <c r="AC1927" i="1"/>
  <c r="AC1926" i="1"/>
  <c r="AC1925" i="1"/>
  <c r="AC1924" i="1"/>
  <c r="AC1923" i="1"/>
  <c r="AC1922" i="1"/>
  <c r="AC1921" i="1"/>
  <c r="AC1920" i="1"/>
  <c r="AC1919" i="1"/>
  <c r="AC1918" i="1"/>
  <c r="AC1917" i="1"/>
  <c r="AC1916" i="1"/>
  <c r="AC1915" i="1"/>
  <c r="AC1914" i="1"/>
  <c r="AC1913" i="1"/>
  <c r="AC1912" i="1"/>
  <c r="AC1911" i="1"/>
  <c r="AC1910" i="1"/>
  <c r="AC1909" i="1"/>
  <c r="AC1908" i="1"/>
  <c r="AC1907" i="1"/>
  <c r="AC1906" i="1"/>
  <c r="AC1905" i="1"/>
  <c r="AC1904" i="1"/>
  <c r="AC1903" i="1"/>
  <c r="AC1902" i="1"/>
  <c r="AC1901" i="1"/>
  <c r="AC1900" i="1"/>
  <c r="AC1899" i="1"/>
  <c r="AC1898" i="1"/>
  <c r="AC1897" i="1"/>
  <c r="AC1896" i="1"/>
  <c r="AC1895" i="1"/>
  <c r="AC1894" i="1"/>
  <c r="AC1893" i="1"/>
  <c r="AC1892" i="1"/>
  <c r="AC1891" i="1"/>
  <c r="AC1890" i="1"/>
  <c r="AC1889" i="1"/>
  <c r="AC1888" i="1"/>
  <c r="AC1887" i="1"/>
  <c r="AC1886" i="1"/>
  <c r="AC1885" i="1"/>
  <c r="AC1884" i="1"/>
  <c r="AC1883" i="1"/>
  <c r="AC1882" i="1"/>
  <c r="AC1881" i="1"/>
  <c r="AC1880" i="1"/>
  <c r="AC1879" i="1"/>
  <c r="AC1878" i="1"/>
  <c r="AC1877" i="1"/>
  <c r="AC1876" i="1"/>
  <c r="AC1875" i="1"/>
  <c r="AC1874" i="1"/>
  <c r="AC1873" i="1"/>
  <c r="AC1872" i="1"/>
  <c r="AC1871" i="1"/>
  <c r="AC1870" i="1"/>
  <c r="AC1869" i="1"/>
  <c r="AC1868" i="1"/>
  <c r="AC1867" i="1"/>
  <c r="AC1866" i="1"/>
  <c r="AC1865" i="1"/>
  <c r="AC1864" i="1"/>
  <c r="AC1863" i="1"/>
  <c r="AC1862" i="1"/>
  <c r="AC1861" i="1"/>
  <c r="AC1860" i="1"/>
  <c r="AC1859" i="1"/>
  <c r="AC1858" i="1"/>
  <c r="AC1857" i="1"/>
  <c r="AC1856" i="1"/>
  <c r="AC1855" i="1"/>
  <c r="AC1854" i="1"/>
  <c r="AC1853" i="1"/>
  <c r="AC1852" i="1"/>
  <c r="AC1851" i="1"/>
  <c r="AC1850" i="1"/>
  <c r="AC1849" i="1"/>
  <c r="AC1848" i="1"/>
  <c r="AC1847" i="1"/>
  <c r="AC1846" i="1"/>
  <c r="AC1845" i="1"/>
  <c r="AC1844" i="1"/>
  <c r="AC1843" i="1"/>
  <c r="AC1842" i="1"/>
  <c r="AC1841" i="1"/>
  <c r="AC1840" i="1"/>
  <c r="AC1839" i="1"/>
  <c r="AC1838" i="1"/>
  <c r="AC1837" i="1"/>
  <c r="AC1836" i="1"/>
  <c r="AC1835" i="1"/>
  <c r="AC1834" i="1"/>
  <c r="AC1833" i="1"/>
  <c r="AC1832" i="1"/>
  <c r="AC1831" i="1"/>
  <c r="AC1830" i="1"/>
  <c r="AC1829" i="1"/>
  <c r="AC1828" i="1"/>
  <c r="AC1827" i="1"/>
  <c r="AC1826" i="1"/>
  <c r="AC1825" i="1"/>
  <c r="AC1824" i="1"/>
  <c r="AC1823" i="1"/>
  <c r="AC1822" i="1"/>
  <c r="AC1821" i="1"/>
  <c r="AC1820" i="1"/>
  <c r="AC1819" i="1"/>
  <c r="AC1818" i="1"/>
  <c r="AC1817" i="1"/>
  <c r="AC1816" i="1"/>
  <c r="AC1815" i="1"/>
  <c r="AC1814" i="1"/>
  <c r="AC1813" i="1"/>
  <c r="AC1812" i="1"/>
  <c r="AC1811" i="1"/>
  <c r="AC1810" i="1"/>
  <c r="AC1809" i="1"/>
  <c r="AC1808" i="1"/>
  <c r="AC1807" i="1"/>
  <c r="AC1806" i="1"/>
  <c r="AC1805" i="1"/>
  <c r="AC1804" i="1"/>
  <c r="AC1803" i="1"/>
  <c r="AC1802" i="1"/>
  <c r="AC1801" i="1"/>
  <c r="AC1800" i="1"/>
  <c r="AC1799" i="1"/>
  <c r="AC1798" i="1"/>
  <c r="AC1797" i="1"/>
  <c r="AC1796" i="1"/>
  <c r="AC1795" i="1"/>
  <c r="AC1794" i="1"/>
  <c r="AC1793" i="1"/>
  <c r="AC1792" i="1"/>
  <c r="AC1791" i="1"/>
  <c r="AC1790" i="1"/>
  <c r="AC1789" i="1"/>
  <c r="AC1788" i="1"/>
  <c r="AC1787" i="1"/>
  <c r="AC1786" i="1"/>
  <c r="AC1785" i="1"/>
  <c r="AC1784" i="1"/>
  <c r="AC1783" i="1"/>
  <c r="AC1782" i="1"/>
  <c r="AC1781" i="1"/>
  <c r="AC1780" i="1"/>
  <c r="AC1779" i="1"/>
  <c r="AC1778" i="1"/>
  <c r="AC1777" i="1"/>
  <c r="AC1776" i="1"/>
  <c r="AC1775" i="1"/>
  <c r="AC1774" i="1"/>
  <c r="AC1773" i="1"/>
  <c r="AC1772" i="1"/>
  <c r="AC1771" i="1"/>
  <c r="AC1770" i="1"/>
  <c r="AC1769" i="1"/>
  <c r="AC1768" i="1"/>
  <c r="AC1767" i="1"/>
  <c r="AC1766" i="1"/>
  <c r="AC1765" i="1"/>
  <c r="AC1764" i="1"/>
  <c r="AC1763" i="1"/>
  <c r="AC1762" i="1"/>
  <c r="AC1761" i="1"/>
  <c r="AC1760" i="1"/>
  <c r="AC1759" i="1"/>
  <c r="AC1758" i="1"/>
  <c r="AC1757" i="1"/>
  <c r="AC1756" i="1"/>
  <c r="AC1755" i="1"/>
  <c r="AC1754" i="1"/>
  <c r="AC1753" i="1"/>
  <c r="AC1752" i="1"/>
  <c r="AC1751" i="1"/>
  <c r="AC1750" i="1"/>
  <c r="AC1749" i="1"/>
  <c r="AC1748" i="1"/>
  <c r="AC1747" i="1"/>
  <c r="AC1746" i="1"/>
  <c r="AC1745" i="1"/>
  <c r="AC1744" i="1"/>
  <c r="AC1743" i="1"/>
  <c r="AC1742" i="1"/>
  <c r="AC1741" i="1"/>
  <c r="AC1740" i="1"/>
  <c r="AC1739" i="1"/>
  <c r="AC1738" i="1"/>
  <c r="AC1737" i="1"/>
  <c r="AC1736" i="1"/>
  <c r="AC1735" i="1"/>
  <c r="AC1734" i="1"/>
  <c r="AC1733" i="1"/>
  <c r="AC1732" i="1"/>
  <c r="AC1731" i="1"/>
  <c r="AC1730" i="1"/>
  <c r="AC1729" i="1"/>
  <c r="AC1728" i="1"/>
  <c r="AC1727" i="1"/>
  <c r="AC1726" i="1"/>
  <c r="AC1725" i="1"/>
  <c r="AC1724" i="1"/>
  <c r="AC1723" i="1"/>
  <c r="AC1722" i="1"/>
  <c r="AC1721" i="1"/>
  <c r="AC1720" i="1"/>
  <c r="AC1719" i="1"/>
  <c r="AC1718" i="1"/>
  <c r="AC1717" i="1"/>
  <c r="AC1716" i="1"/>
  <c r="AC1715" i="1"/>
  <c r="AC1714" i="1"/>
  <c r="AC1713" i="1"/>
  <c r="AC1712" i="1"/>
  <c r="AC1711" i="1"/>
  <c r="AC1710" i="1"/>
  <c r="AC1709" i="1"/>
  <c r="AC1708" i="1"/>
  <c r="AC1707" i="1"/>
  <c r="AC1706" i="1"/>
  <c r="AC1705" i="1"/>
  <c r="AC1704" i="1"/>
  <c r="AC1703" i="1"/>
  <c r="AC1702" i="1"/>
  <c r="AC1701" i="1"/>
  <c r="AC1700" i="1"/>
  <c r="AC1699" i="1"/>
  <c r="AC1698" i="1"/>
  <c r="AC1697" i="1"/>
  <c r="AC1696" i="1"/>
  <c r="AC1695" i="1"/>
  <c r="AC1694" i="1"/>
  <c r="AC1693" i="1"/>
  <c r="AC1692" i="1"/>
  <c r="AC1691" i="1"/>
  <c r="AC1690" i="1"/>
  <c r="AC1689" i="1"/>
  <c r="AC1688" i="1"/>
  <c r="AC1687" i="1"/>
  <c r="AC1686" i="1"/>
  <c r="AC1685" i="1"/>
  <c r="AC1684" i="1"/>
  <c r="AC1683" i="1"/>
  <c r="AC1682" i="1"/>
  <c r="AC1681" i="1"/>
  <c r="AC1680" i="1"/>
  <c r="AC1679" i="1"/>
  <c r="AC1678" i="1"/>
  <c r="AC1677" i="1"/>
  <c r="AC1676" i="1"/>
  <c r="AC1675" i="1"/>
  <c r="AC1674" i="1"/>
  <c r="AC1673" i="1"/>
  <c r="AC1672" i="1"/>
  <c r="AC1671" i="1"/>
  <c r="AC1670" i="1"/>
  <c r="AC1669" i="1"/>
  <c r="AC1668" i="1"/>
  <c r="AC1667" i="1"/>
  <c r="AC1666" i="1"/>
  <c r="AC1665" i="1"/>
  <c r="AC1664" i="1"/>
  <c r="AC1663" i="1"/>
  <c r="AC1662" i="1"/>
  <c r="AC1661" i="1"/>
  <c r="AC1660" i="1"/>
  <c r="AC1659" i="1"/>
  <c r="AC1658" i="1"/>
  <c r="AC1657" i="1"/>
  <c r="AC1656" i="1"/>
  <c r="AC1655" i="1"/>
  <c r="AC1654" i="1"/>
  <c r="AC1653" i="1"/>
  <c r="AC1652" i="1"/>
  <c r="AC1651" i="1"/>
  <c r="AC1650" i="1"/>
  <c r="AC1649" i="1"/>
  <c r="AC1648" i="1"/>
  <c r="AC1647" i="1"/>
  <c r="AC1646" i="1"/>
  <c r="AC1645" i="1"/>
  <c r="AC1644" i="1"/>
  <c r="AC1643" i="1"/>
  <c r="AC1642" i="1"/>
  <c r="AC1641" i="1"/>
  <c r="AC1640" i="1"/>
  <c r="AC1639" i="1"/>
  <c r="AC1638" i="1"/>
  <c r="AC1637" i="1"/>
  <c r="AC1636" i="1"/>
  <c r="AC1635" i="1"/>
  <c r="AC1634" i="1"/>
  <c r="AC1633" i="1"/>
  <c r="AC1632" i="1"/>
  <c r="AC1631" i="1"/>
  <c r="AC1630" i="1"/>
  <c r="AC1629" i="1"/>
  <c r="AC1628" i="1"/>
  <c r="AC1627" i="1"/>
  <c r="AC1626" i="1"/>
  <c r="AC1625" i="1"/>
  <c r="AC1624" i="1"/>
  <c r="AC1623" i="1"/>
  <c r="AC1622" i="1"/>
  <c r="AC1621" i="1"/>
  <c r="AC1620" i="1"/>
  <c r="AC1619" i="1"/>
  <c r="AC1618" i="1"/>
  <c r="AC1617" i="1"/>
  <c r="AC1616" i="1"/>
  <c r="AC1615" i="1"/>
  <c r="AC1614" i="1"/>
  <c r="AC1613" i="1"/>
  <c r="AC1612" i="1"/>
  <c r="AC1611" i="1"/>
  <c r="AC1610" i="1"/>
  <c r="AC1609" i="1"/>
  <c r="AC1608" i="1"/>
  <c r="AC1607" i="1"/>
  <c r="AC1606" i="1"/>
  <c r="AC1605" i="1"/>
  <c r="AC1604" i="1"/>
  <c r="AC1603" i="1"/>
  <c r="AC1602" i="1"/>
  <c r="AC1601" i="1"/>
  <c r="AC1600" i="1"/>
  <c r="AC1599" i="1"/>
  <c r="AC1598" i="1"/>
  <c r="AC1597" i="1"/>
  <c r="AC1596" i="1"/>
  <c r="AC1595" i="1"/>
  <c r="AC1594" i="1"/>
  <c r="AC1593" i="1"/>
  <c r="AC1592" i="1"/>
  <c r="AC1591" i="1"/>
  <c r="AC1590" i="1"/>
  <c r="AC1589" i="1"/>
  <c r="AC1588" i="1"/>
  <c r="AC1587" i="1"/>
  <c r="AC1586" i="1"/>
  <c r="AC1585" i="1"/>
  <c r="AC1584" i="1"/>
  <c r="AC1583" i="1"/>
  <c r="AC1582" i="1"/>
  <c r="AC1581" i="1"/>
  <c r="AC1580" i="1"/>
  <c r="AC1579" i="1"/>
  <c r="AC1578" i="1"/>
  <c r="AC1577" i="1"/>
  <c r="AC1576" i="1"/>
  <c r="AC1575" i="1"/>
  <c r="AC1574" i="1"/>
  <c r="AC1573" i="1"/>
  <c r="AC1572" i="1"/>
  <c r="AC1571" i="1"/>
  <c r="AC1570" i="1"/>
  <c r="AC1569" i="1"/>
  <c r="AC1568" i="1"/>
  <c r="AC1567" i="1"/>
  <c r="AC1566" i="1"/>
  <c r="AC1565" i="1"/>
  <c r="AC1564" i="1"/>
  <c r="AC1563" i="1"/>
  <c r="AC1562" i="1"/>
  <c r="AC1561" i="1"/>
  <c r="AC1560" i="1"/>
  <c r="AC1559" i="1"/>
  <c r="AC1558" i="1"/>
  <c r="AC1557" i="1"/>
  <c r="AC1556" i="1"/>
  <c r="AC1555" i="1"/>
  <c r="AC1554" i="1"/>
  <c r="AC1553" i="1"/>
  <c r="AC1552" i="1"/>
  <c r="AC1551" i="1"/>
  <c r="AC1550" i="1"/>
  <c r="AC1549" i="1"/>
  <c r="AC1548" i="1"/>
  <c r="AC1547" i="1"/>
  <c r="AC1546" i="1"/>
  <c r="AC1545" i="1"/>
  <c r="AC1544" i="1"/>
  <c r="AC1543" i="1"/>
  <c r="AC1542" i="1"/>
  <c r="AC1541" i="1"/>
  <c r="AC1540" i="1"/>
  <c r="AC1539" i="1"/>
  <c r="AC1538" i="1"/>
  <c r="AC1537" i="1"/>
  <c r="AC1536" i="1"/>
  <c r="AC1535" i="1"/>
  <c r="AC1534" i="1"/>
  <c r="AC1533" i="1"/>
  <c r="AC1532" i="1"/>
  <c r="AC1531" i="1"/>
  <c r="AC1530" i="1"/>
  <c r="AC1529" i="1"/>
  <c r="AC1528" i="1"/>
  <c r="AC1527" i="1"/>
  <c r="AC1526" i="1"/>
  <c r="AC1525" i="1"/>
  <c r="AC1524" i="1"/>
  <c r="AC1523" i="1"/>
  <c r="AC1522" i="1"/>
  <c r="AC1521" i="1"/>
  <c r="AC1520" i="1"/>
  <c r="AC1519" i="1"/>
  <c r="AC1518" i="1"/>
  <c r="AC1517" i="1"/>
  <c r="AC1516" i="1"/>
  <c r="AC1515" i="1"/>
  <c r="AC1514" i="1"/>
  <c r="AC1513" i="1"/>
  <c r="AC1512" i="1"/>
  <c r="AC1511" i="1"/>
  <c r="AC1510" i="1"/>
  <c r="AC1509" i="1"/>
  <c r="AC1508" i="1"/>
  <c r="AC1507" i="1"/>
  <c r="AC1506" i="1"/>
  <c r="AC1505" i="1"/>
  <c r="AC1504" i="1"/>
  <c r="AC1503" i="1"/>
  <c r="AC1502" i="1"/>
  <c r="AC1501" i="1"/>
  <c r="AC1500" i="1"/>
  <c r="AC1499" i="1"/>
  <c r="AC1498" i="1"/>
  <c r="AC1497" i="1"/>
  <c r="AC1496" i="1"/>
  <c r="AC1495" i="1"/>
  <c r="AC1494" i="1"/>
  <c r="AC1493" i="1"/>
  <c r="AC1492" i="1"/>
  <c r="AC1491" i="1"/>
  <c r="AC1490" i="1"/>
  <c r="AC1489" i="1"/>
  <c r="AC1488" i="1"/>
  <c r="AC1487" i="1"/>
  <c r="AC1486" i="1"/>
  <c r="AC1485" i="1"/>
  <c r="AC1484" i="1"/>
  <c r="AC1483" i="1"/>
  <c r="AC1482" i="1"/>
  <c r="AC1481" i="1"/>
  <c r="AC1480" i="1"/>
  <c r="AC1479" i="1"/>
  <c r="AC1478" i="1"/>
  <c r="AC1477" i="1"/>
  <c r="AC1476" i="1"/>
  <c r="AC1475" i="1"/>
  <c r="AC1474" i="1"/>
  <c r="AC1473" i="1"/>
  <c r="AC1472" i="1"/>
  <c r="AC1471" i="1"/>
  <c r="AC1470" i="1"/>
  <c r="AC1469" i="1"/>
  <c r="AC1468" i="1"/>
  <c r="AC1467" i="1"/>
  <c r="AC1466" i="1"/>
  <c r="AC1465" i="1"/>
  <c r="AC1464" i="1"/>
  <c r="AC1463" i="1"/>
  <c r="AC1462" i="1"/>
  <c r="AC1461" i="1"/>
  <c r="AC1460" i="1"/>
  <c r="AC1459" i="1"/>
  <c r="AC1458" i="1"/>
  <c r="AC1457" i="1"/>
  <c r="AC1456" i="1"/>
  <c r="AC1455" i="1"/>
  <c r="AC1454" i="1"/>
  <c r="AC1453" i="1"/>
  <c r="AC1452" i="1"/>
  <c r="AC1451" i="1"/>
  <c r="AC1450" i="1"/>
  <c r="AC1449" i="1"/>
  <c r="AC1448" i="1"/>
  <c r="AC1447" i="1"/>
  <c r="AC1446" i="1"/>
  <c r="AC1445" i="1"/>
  <c r="AC1444" i="1"/>
  <c r="AC1443" i="1"/>
  <c r="AC1442" i="1"/>
  <c r="AC1441" i="1"/>
  <c r="AC1440" i="1"/>
  <c r="AC1439" i="1"/>
  <c r="AC1438" i="1"/>
  <c r="AC1437" i="1"/>
  <c r="AC1436" i="1"/>
  <c r="AC1435" i="1"/>
  <c r="AC1434" i="1"/>
  <c r="AC1433" i="1"/>
  <c r="AC1432" i="1"/>
  <c r="AC1431" i="1"/>
  <c r="AC1430" i="1"/>
  <c r="AC1429" i="1"/>
  <c r="AC1428" i="1"/>
  <c r="AC1427" i="1"/>
  <c r="AC1426" i="1"/>
  <c r="AC1425" i="1"/>
  <c r="AC1424" i="1"/>
  <c r="AC1423" i="1"/>
  <c r="AC1422" i="1"/>
  <c r="AC1421" i="1"/>
  <c r="AC1420" i="1"/>
  <c r="AC1419" i="1"/>
  <c r="AC1418" i="1"/>
  <c r="AC1417" i="1"/>
  <c r="AC1416" i="1"/>
  <c r="AC1415" i="1"/>
  <c r="AC1414" i="1"/>
  <c r="AC1413" i="1"/>
  <c r="AC1412" i="1"/>
  <c r="AC1411" i="1"/>
  <c r="AC1410" i="1"/>
  <c r="AC1409" i="1"/>
  <c r="AC1408" i="1"/>
  <c r="AC1407" i="1"/>
  <c r="AC1406" i="1"/>
  <c r="AC1405" i="1"/>
  <c r="AC1404" i="1"/>
  <c r="AC1403" i="1"/>
  <c r="AC1402" i="1"/>
  <c r="AC1401" i="1"/>
  <c r="AC1400" i="1"/>
  <c r="AC1399" i="1"/>
  <c r="AC1398" i="1"/>
  <c r="AC1397" i="1"/>
  <c r="AC1396" i="1"/>
  <c r="AC1395" i="1"/>
  <c r="AC1394" i="1"/>
  <c r="AC1393" i="1"/>
  <c r="AC1392" i="1"/>
  <c r="AC1391" i="1"/>
  <c r="AC1390" i="1"/>
  <c r="AC1389" i="1"/>
  <c r="AC1388" i="1"/>
  <c r="AC1387" i="1"/>
  <c r="AC1386" i="1"/>
  <c r="AC1385" i="1"/>
  <c r="AC1384" i="1"/>
  <c r="AC1383" i="1"/>
  <c r="AC1382" i="1"/>
  <c r="AC1381" i="1"/>
  <c r="AC1380" i="1"/>
  <c r="AC1379" i="1"/>
  <c r="AC1378" i="1"/>
  <c r="AC1377" i="1"/>
  <c r="AC1376" i="1"/>
  <c r="AC1375" i="1"/>
  <c r="AC1374" i="1"/>
  <c r="AC1373" i="1"/>
  <c r="AC1372" i="1"/>
  <c r="AC1371" i="1"/>
  <c r="AC1370" i="1"/>
  <c r="AC1369" i="1"/>
  <c r="AC1368" i="1"/>
  <c r="AC1367" i="1"/>
  <c r="AC1366" i="1"/>
  <c r="AC1365" i="1"/>
  <c r="AC1364" i="1"/>
  <c r="AC1363" i="1"/>
  <c r="AC1362" i="1"/>
  <c r="AC1361" i="1"/>
  <c r="AC1360" i="1"/>
  <c r="AC1359" i="1"/>
  <c r="AC1358" i="1"/>
  <c r="AC1357" i="1"/>
  <c r="AC1356" i="1"/>
  <c r="AC1355" i="1"/>
  <c r="AC1354" i="1"/>
  <c r="AC1353" i="1"/>
  <c r="AC1352" i="1"/>
  <c r="AC1351" i="1"/>
  <c r="AC1350" i="1"/>
  <c r="AC1349" i="1"/>
  <c r="AC1348" i="1"/>
  <c r="AC1347" i="1"/>
  <c r="AC1346" i="1"/>
  <c r="AC1345" i="1"/>
  <c r="AC1344" i="1"/>
  <c r="AC1343" i="1"/>
  <c r="AC1342" i="1"/>
  <c r="AC1341" i="1"/>
  <c r="AC1340" i="1"/>
  <c r="AC1339" i="1"/>
  <c r="AC1338" i="1"/>
  <c r="AC1337" i="1"/>
  <c r="AC1336" i="1"/>
  <c r="AC1335" i="1"/>
  <c r="AC1334" i="1"/>
  <c r="AC1333" i="1"/>
  <c r="AC1332" i="1"/>
  <c r="AC1331" i="1"/>
  <c r="AC1330" i="1"/>
  <c r="AC1329" i="1"/>
  <c r="AC1328" i="1"/>
  <c r="AC1327" i="1"/>
  <c r="AC1326" i="1"/>
  <c r="AC1325" i="1"/>
  <c r="AC1324" i="1"/>
  <c r="AC1323" i="1"/>
  <c r="AC1322" i="1"/>
  <c r="AC1321" i="1"/>
  <c r="AC1320" i="1"/>
  <c r="AC1319" i="1"/>
  <c r="AC1318" i="1"/>
  <c r="AC1317" i="1"/>
  <c r="AC1316" i="1"/>
  <c r="AC1315" i="1"/>
  <c r="AC1314" i="1"/>
  <c r="AC1313" i="1"/>
  <c r="AC1312" i="1"/>
  <c r="AC1311" i="1"/>
  <c r="AC1310" i="1"/>
  <c r="AC1309" i="1"/>
  <c r="AC1308" i="1"/>
  <c r="AC1307" i="1"/>
  <c r="AC1306" i="1"/>
  <c r="AC1305" i="1"/>
  <c r="AC1304" i="1"/>
  <c r="AC1303" i="1"/>
  <c r="AC1302" i="1"/>
  <c r="AC1301" i="1"/>
  <c r="AC1300" i="1"/>
  <c r="AC1299" i="1"/>
  <c r="AC1298" i="1"/>
  <c r="AC1297" i="1"/>
  <c r="AC1296" i="1"/>
  <c r="AC1295" i="1"/>
  <c r="AC1294" i="1"/>
  <c r="AC1293" i="1"/>
  <c r="AC1292" i="1"/>
  <c r="AC1291" i="1"/>
  <c r="AC1290" i="1"/>
  <c r="AC1289" i="1"/>
  <c r="AC1288" i="1"/>
  <c r="AC1287" i="1"/>
  <c r="AC1286" i="1"/>
  <c r="AC1285" i="1"/>
  <c r="AC1284" i="1"/>
  <c r="AC1283" i="1"/>
  <c r="AC1282" i="1"/>
  <c r="AC1281" i="1"/>
  <c r="AC1280" i="1"/>
  <c r="AC1279" i="1"/>
  <c r="AC1278" i="1"/>
  <c r="AC1277" i="1"/>
  <c r="AC1276" i="1"/>
  <c r="AC1275" i="1"/>
  <c r="AC1274" i="1"/>
  <c r="AC1273" i="1"/>
  <c r="AC1272" i="1"/>
  <c r="AC1271" i="1"/>
  <c r="AC1270" i="1"/>
  <c r="AC1269" i="1"/>
  <c r="AC1268" i="1"/>
  <c r="AC1267" i="1"/>
  <c r="AC1266" i="1"/>
  <c r="AC1265" i="1"/>
  <c r="AC1264" i="1"/>
  <c r="AC1263" i="1"/>
  <c r="AC1262" i="1"/>
  <c r="AC1261" i="1"/>
  <c r="AC1260" i="1"/>
  <c r="AC1259" i="1"/>
  <c r="AC1258" i="1"/>
  <c r="AC1257" i="1"/>
  <c r="AC1256" i="1"/>
  <c r="AC1255" i="1"/>
  <c r="AC1254" i="1"/>
  <c r="AC1253" i="1"/>
  <c r="AC1252" i="1"/>
  <c r="AC1251" i="1"/>
  <c r="AC1250" i="1"/>
  <c r="AC1249" i="1"/>
  <c r="AC1248" i="1"/>
  <c r="AC1247" i="1"/>
  <c r="AC1246" i="1"/>
  <c r="AC1245" i="1"/>
  <c r="AC1244" i="1"/>
  <c r="AC1243" i="1"/>
  <c r="AC1242" i="1"/>
  <c r="AC1241" i="1"/>
  <c r="AC1240" i="1"/>
  <c r="AC1239" i="1"/>
  <c r="AC1238" i="1"/>
  <c r="AC1237" i="1"/>
  <c r="AC1236" i="1"/>
  <c r="AC1235" i="1"/>
  <c r="AC1234" i="1"/>
  <c r="AC1233" i="1"/>
  <c r="AC1232" i="1"/>
  <c r="AC1231" i="1"/>
  <c r="AC1230" i="1"/>
  <c r="AC1229" i="1"/>
  <c r="AC1228" i="1"/>
  <c r="AC1227" i="1"/>
  <c r="AC1226" i="1"/>
  <c r="AC1225" i="1"/>
  <c r="AC1224" i="1"/>
  <c r="AC1223" i="1"/>
  <c r="AC1222" i="1"/>
  <c r="AC1221" i="1"/>
  <c r="AC1220" i="1"/>
  <c r="AC1219" i="1"/>
  <c r="AC1218" i="1"/>
  <c r="AC1217" i="1"/>
  <c r="AC1216" i="1"/>
  <c r="AC1215" i="1"/>
  <c r="AC1214" i="1"/>
  <c r="AC1213" i="1"/>
  <c r="AC1212" i="1"/>
  <c r="AC1211" i="1"/>
  <c r="AC1210" i="1"/>
  <c r="AC1209" i="1"/>
  <c r="AC1208" i="1"/>
  <c r="AC1207" i="1"/>
  <c r="AC1206" i="1"/>
  <c r="AC1205" i="1"/>
  <c r="AC1204" i="1"/>
  <c r="AC1203" i="1"/>
  <c r="AC1202" i="1"/>
  <c r="AC1201" i="1"/>
  <c r="AC1200" i="1"/>
  <c r="AC1199" i="1"/>
  <c r="AC1198" i="1"/>
  <c r="AC1197" i="1"/>
  <c r="AC1196" i="1"/>
  <c r="AC1195" i="1"/>
  <c r="AC1194" i="1"/>
  <c r="AC1193" i="1"/>
  <c r="AC1192" i="1"/>
  <c r="AC1191" i="1"/>
  <c r="AC1190" i="1"/>
  <c r="AC1189" i="1"/>
  <c r="AC1188" i="1"/>
  <c r="AC1187" i="1"/>
  <c r="AC1186" i="1"/>
  <c r="AC1185" i="1"/>
  <c r="AC1184" i="1"/>
  <c r="AC1183" i="1"/>
  <c r="AC1182" i="1"/>
  <c r="AC1181" i="1"/>
  <c r="AC1180" i="1"/>
  <c r="AC1179" i="1"/>
  <c r="AC1178" i="1"/>
  <c r="AC1177" i="1"/>
  <c r="AC1176" i="1"/>
  <c r="AC1175" i="1"/>
  <c r="AC1174" i="1"/>
  <c r="AC1173" i="1"/>
  <c r="AC1172" i="1"/>
  <c r="AC1171" i="1"/>
  <c r="AC1170" i="1"/>
  <c r="AC1169" i="1"/>
  <c r="AC1168" i="1"/>
  <c r="AC1167" i="1"/>
  <c r="AC1166" i="1"/>
  <c r="AC1165" i="1"/>
  <c r="AC1164" i="1"/>
  <c r="AC1163" i="1"/>
  <c r="AC1162" i="1"/>
  <c r="AC1161" i="1"/>
  <c r="AC1160" i="1"/>
  <c r="AC1159" i="1"/>
  <c r="AC1158" i="1"/>
  <c r="AC1157" i="1"/>
  <c r="AC1156" i="1"/>
  <c r="AC1155" i="1"/>
  <c r="AC1154" i="1"/>
  <c r="AC1153" i="1"/>
  <c r="AC1152" i="1"/>
  <c r="AC1151" i="1"/>
  <c r="AC1150" i="1"/>
  <c r="AC1149" i="1"/>
  <c r="AC1148" i="1"/>
  <c r="AC1147" i="1"/>
  <c r="AC1146" i="1"/>
  <c r="AC1145" i="1"/>
  <c r="AC1144" i="1"/>
  <c r="AC1143" i="1"/>
  <c r="AC1142" i="1"/>
  <c r="AC1141" i="1"/>
  <c r="AC1140" i="1"/>
  <c r="AC1139" i="1"/>
  <c r="AC1138" i="1"/>
  <c r="AC1137" i="1"/>
  <c r="AC1136" i="1"/>
  <c r="AC1135" i="1"/>
  <c r="AC1134" i="1"/>
  <c r="AC1133" i="1"/>
  <c r="AC1132" i="1"/>
  <c r="AC1131" i="1"/>
  <c r="AC1130" i="1"/>
  <c r="AC1129" i="1"/>
  <c r="AC1128" i="1"/>
  <c r="AC1127" i="1"/>
  <c r="AC1126" i="1"/>
  <c r="AC1125" i="1"/>
  <c r="AC1124" i="1"/>
  <c r="AC1123" i="1"/>
  <c r="AC1122" i="1"/>
  <c r="AC1121" i="1"/>
  <c r="AC1120" i="1"/>
  <c r="AC1119" i="1"/>
  <c r="AC1118" i="1"/>
  <c r="AC1117" i="1"/>
  <c r="AC1116" i="1"/>
  <c r="AC1115" i="1"/>
  <c r="AC1114" i="1"/>
  <c r="AC1113" i="1"/>
  <c r="AC1112" i="1"/>
  <c r="AC1111" i="1"/>
  <c r="AC1110" i="1"/>
  <c r="AC1109" i="1"/>
  <c r="AC1108" i="1"/>
  <c r="AC1107" i="1"/>
  <c r="AC1106" i="1"/>
  <c r="AC1105" i="1"/>
  <c r="AC1104" i="1"/>
  <c r="AC1103" i="1"/>
  <c r="AC1102" i="1"/>
  <c r="AC1101" i="1"/>
  <c r="AC1100" i="1"/>
  <c r="AC1099" i="1"/>
  <c r="AC1098" i="1"/>
  <c r="AC1097" i="1"/>
  <c r="AC1096" i="1"/>
  <c r="AC1095" i="1"/>
  <c r="AC1094" i="1"/>
  <c r="AC1093" i="1"/>
  <c r="AC1092" i="1"/>
  <c r="AC1091" i="1"/>
  <c r="AC1090" i="1"/>
  <c r="AC1089" i="1"/>
  <c r="AC1088" i="1"/>
  <c r="AC1087" i="1"/>
  <c r="AC1086" i="1"/>
  <c r="AC1085" i="1"/>
  <c r="AC1084" i="1"/>
  <c r="AC1083" i="1"/>
  <c r="AC1082" i="1"/>
  <c r="AC1081" i="1"/>
  <c r="AC1080" i="1"/>
  <c r="AC1079" i="1"/>
  <c r="AC1078" i="1"/>
  <c r="AC1077" i="1"/>
  <c r="AC1076" i="1"/>
  <c r="AC1075" i="1"/>
  <c r="AC1074" i="1"/>
  <c r="AC1073" i="1"/>
  <c r="AC1072" i="1"/>
  <c r="AC1071" i="1"/>
  <c r="AC1070" i="1"/>
  <c r="AC1069" i="1"/>
  <c r="AC1068" i="1"/>
  <c r="AC1067" i="1"/>
  <c r="AC1066" i="1"/>
  <c r="AC1065" i="1"/>
  <c r="AC1064" i="1"/>
  <c r="AC1063" i="1"/>
  <c r="AC1062" i="1"/>
  <c r="AC1061" i="1"/>
  <c r="AC1060" i="1"/>
  <c r="AC1059" i="1"/>
  <c r="AC1058" i="1"/>
  <c r="AC1057" i="1"/>
  <c r="AC1056" i="1"/>
  <c r="AC1055" i="1"/>
  <c r="AC1054" i="1"/>
  <c r="AC1053" i="1"/>
  <c r="AC1052" i="1"/>
  <c r="AC1051" i="1"/>
  <c r="AC1050" i="1"/>
  <c r="AC1049" i="1"/>
  <c r="AC1048" i="1"/>
  <c r="AC1047" i="1"/>
  <c r="AC1046" i="1"/>
  <c r="AC1045" i="1"/>
  <c r="AC1044" i="1"/>
  <c r="AC1043" i="1"/>
  <c r="AC1042" i="1"/>
  <c r="AC1041" i="1"/>
  <c r="AC1040" i="1"/>
  <c r="AC1039" i="1"/>
  <c r="AC1038" i="1"/>
  <c r="AC1037" i="1"/>
  <c r="AC1036" i="1"/>
  <c r="AC1035" i="1"/>
  <c r="AC1034" i="1"/>
  <c r="AC1033" i="1"/>
  <c r="AC1032" i="1"/>
  <c r="AC1031" i="1"/>
  <c r="AC1030" i="1"/>
  <c r="AC1029" i="1"/>
  <c r="AC1028" i="1"/>
  <c r="AC1027" i="1"/>
  <c r="AC1026" i="1"/>
  <c r="AC1025" i="1"/>
  <c r="AC1024" i="1"/>
  <c r="AC1023" i="1"/>
  <c r="AC1022" i="1"/>
  <c r="AC1021" i="1"/>
  <c r="AC1020" i="1"/>
  <c r="AC1019" i="1"/>
  <c r="AC1018" i="1"/>
  <c r="AC1017" i="1"/>
  <c r="AC1016" i="1"/>
  <c r="AC1015" i="1"/>
  <c r="AC1014" i="1"/>
  <c r="AC1013" i="1"/>
  <c r="AC1012" i="1"/>
  <c r="AC1011" i="1"/>
  <c r="AC1010" i="1"/>
  <c r="AC1009" i="1"/>
  <c r="AC1008" i="1"/>
  <c r="AC1007" i="1"/>
  <c r="AC1006" i="1"/>
  <c r="AC1005" i="1"/>
  <c r="AC1004" i="1"/>
  <c r="AC1003" i="1"/>
  <c r="AC1002" i="1"/>
  <c r="AC1001" i="1"/>
  <c r="AC1000" i="1"/>
  <c r="AC999" i="1"/>
  <c r="AC998" i="1"/>
  <c r="AC997" i="1"/>
  <c r="AC996" i="1"/>
  <c r="AC995" i="1"/>
  <c r="AC994" i="1"/>
  <c r="AC993" i="1"/>
  <c r="AC992" i="1"/>
  <c r="AC991" i="1"/>
  <c r="AC990" i="1"/>
  <c r="AC989" i="1"/>
  <c r="AC988" i="1"/>
  <c r="AC987" i="1"/>
  <c r="AC986" i="1"/>
  <c r="AC985" i="1"/>
  <c r="AC984" i="1"/>
  <c r="AC983" i="1"/>
  <c r="AC982" i="1"/>
  <c r="AC981" i="1"/>
  <c r="AC980" i="1"/>
  <c r="AC979" i="1"/>
  <c r="AC978" i="1"/>
  <c r="AC977" i="1"/>
  <c r="AC976" i="1"/>
  <c r="AC975" i="1"/>
  <c r="AC974" i="1"/>
  <c r="AC973" i="1"/>
  <c r="AC972" i="1"/>
  <c r="AC971" i="1"/>
  <c r="AC970" i="1"/>
  <c r="AC969" i="1"/>
  <c r="AC968" i="1"/>
  <c r="AC967" i="1"/>
  <c r="AC966" i="1"/>
  <c r="AC965" i="1"/>
  <c r="AC964" i="1"/>
  <c r="AC963" i="1"/>
  <c r="AC962" i="1"/>
  <c r="AC961" i="1"/>
  <c r="AC960" i="1"/>
  <c r="AC959" i="1"/>
  <c r="AC958" i="1"/>
  <c r="AC957" i="1"/>
  <c r="AC956" i="1"/>
  <c r="AC955" i="1"/>
  <c r="AC954" i="1"/>
  <c r="AC953" i="1"/>
  <c r="AC952" i="1"/>
  <c r="AC951" i="1"/>
  <c r="AC950" i="1"/>
  <c r="AC949" i="1"/>
  <c r="AC948" i="1"/>
  <c r="AC947" i="1"/>
  <c r="AC946" i="1"/>
  <c r="AC945" i="1"/>
  <c r="AC944" i="1"/>
  <c r="AC943" i="1"/>
  <c r="AC942" i="1"/>
  <c r="AC941" i="1"/>
  <c r="AC940" i="1"/>
  <c r="AC939" i="1"/>
  <c r="AC938" i="1"/>
  <c r="AC937" i="1"/>
  <c r="AC936" i="1"/>
  <c r="AC935" i="1"/>
  <c r="AC934" i="1"/>
  <c r="AC933" i="1"/>
  <c r="AC932" i="1"/>
  <c r="AC931" i="1"/>
  <c r="AC930" i="1"/>
  <c r="AC929" i="1"/>
  <c r="AC928" i="1"/>
  <c r="AC927" i="1"/>
  <c r="AC926" i="1"/>
  <c r="AC925" i="1"/>
  <c r="AC924" i="1"/>
  <c r="AC923" i="1"/>
  <c r="AC922" i="1"/>
  <c r="AC921" i="1"/>
  <c r="AC920" i="1"/>
  <c r="AC919" i="1"/>
  <c r="AC918" i="1"/>
  <c r="AC917" i="1"/>
  <c r="AC916" i="1"/>
  <c r="AC915" i="1"/>
  <c r="AC914" i="1"/>
  <c r="AC913" i="1"/>
  <c r="AC912" i="1"/>
  <c r="AC911" i="1"/>
  <c r="AC910" i="1"/>
  <c r="AC909" i="1"/>
  <c r="AC908" i="1"/>
  <c r="AC907" i="1"/>
  <c r="AC906" i="1"/>
  <c r="AC905" i="1"/>
  <c r="AC904" i="1"/>
  <c r="AC903" i="1"/>
  <c r="AC902" i="1"/>
  <c r="AC901" i="1"/>
  <c r="AC900" i="1"/>
  <c r="AC899" i="1"/>
  <c r="AC898" i="1"/>
  <c r="AC897" i="1"/>
  <c r="AC896" i="1"/>
  <c r="AC895" i="1"/>
  <c r="AC894" i="1"/>
  <c r="AC893" i="1"/>
  <c r="AC892" i="1"/>
  <c r="AC891" i="1"/>
  <c r="AC890" i="1"/>
  <c r="AC889" i="1"/>
  <c r="AC888" i="1"/>
  <c r="AC887" i="1"/>
  <c r="AC886" i="1"/>
  <c r="AC885" i="1"/>
  <c r="AC884" i="1"/>
  <c r="AC883" i="1"/>
  <c r="AC882" i="1"/>
  <c r="AC881" i="1"/>
  <c r="AC880" i="1"/>
  <c r="AC879" i="1"/>
  <c r="AC878" i="1"/>
  <c r="AC877" i="1"/>
  <c r="AC876" i="1"/>
  <c r="AC875" i="1"/>
  <c r="AC874" i="1"/>
  <c r="AC873" i="1"/>
  <c r="AC872" i="1"/>
  <c r="AC871" i="1"/>
  <c r="AC870" i="1"/>
  <c r="AC869" i="1"/>
  <c r="AC868" i="1"/>
  <c r="AC867" i="1"/>
  <c r="AC866" i="1"/>
  <c r="AC865" i="1"/>
  <c r="AC864" i="1"/>
  <c r="AC863" i="1"/>
  <c r="AC862" i="1"/>
  <c r="AC861" i="1"/>
  <c r="AC860" i="1"/>
  <c r="AC859" i="1"/>
  <c r="AC858" i="1"/>
  <c r="AC857" i="1"/>
  <c r="AC856" i="1"/>
  <c r="AC855" i="1"/>
  <c r="AC854" i="1"/>
  <c r="AC853" i="1"/>
  <c r="AC852" i="1"/>
  <c r="AC851" i="1"/>
  <c r="AC850" i="1"/>
  <c r="AC849" i="1"/>
  <c r="AC848" i="1"/>
  <c r="AC847" i="1"/>
  <c r="AC846" i="1"/>
  <c r="AC845" i="1"/>
  <c r="AC844" i="1"/>
  <c r="AC843" i="1"/>
  <c r="AC842" i="1"/>
  <c r="AC841" i="1"/>
  <c r="AC840" i="1"/>
  <c r="AC839" i="1"/>
  <c r="AC838" i="1"/>
  <c r="AC837" i="1"/>
  <c r="AC836" i="1"/>
  <c r="AC835" i="1"/>
  <c r="AC834" i="1"/>
  <c r="AC833" i="1"/>
  <c r="AC832" i="1"/>
  <c r="AC831" i="1"/>
  <c r="AC830" i="1"/>
  <c r="AC829" i="1"/>
  <c r="AC828" i="1"/>
  <c r="AC827" i="1"/>
  <c r="AC826" i="1"/>
  <c r="AC825" i="1"/>
  <c r="AC824" i="1"/>
  <c r="AC823" i="1"/>
  <c r="AC822" i="1"/>
  <c r="AC821" i="1"/>
  <c r="AC820" i="1"/>
  <c r="AC819" i="1"/>
  <c r="AC818" i="1"/>
  <c r="AC817" i="1"/>
  <c r="AC816" i="1"/>
  <c r="AC815" i="1"/>
  <c r="AC814" i="1"/>
  <c r="AC813" i="1"/>
  <c r="AC812" i="1"/>
  <c r="AC811" i="1"/>
  <c r="AC810" i="1"/>
  <c r="AC809" i="1"/>
  <c r="AC808" i="1"/>
  <c r="AC807" i="1"/>
  <c r="AC806" i="1"/>
  <c r="AC805" i="1"/>
  <c r="AC804" i="1"/>
  <c r="AC803" i="1"/>
  <c r="AC802" i="1"/>
  <c r="AC801" i="1"/>
  <c r="AC800" i="1"/>
  <c r="AC799" i="1"/>
  <c r="AC798" i="1"/>
  <c r="AC797" i="1"/>
  <c r="AC796" i="1"/>
  <c r="AC795" i="1"/>
  <c r="AC794" i="1"/>
  <c r="AC793" i="1"/>
  <c r="AC792" i="1"/>
  <c r="AC791" i="1"/>
  <c r="AC790" i="1"/>
  <c r="AC789" i="1"/>
  <c r="AC788" i="1"/>
  <c r="AC787" i="1"/>
  <c r="AC786" i="1"/>
  <c r="AC785" i="1"/>
  <c r="AC784" i="1"/>
  <c r="AC783" i="1"/>
  <c r="AC782" i="1"/>
  <c r="AC781" i="1"/>
  <c r="AC780" i="1"/>
  <c r="AC779" i="1"/>
  <c r="AC778" i="1"/>
  <c r="AC777" i="1"/>
  <c r="AC776" i="1"/>
  <c r="AC775" i="1"/>
  <c r="AC774" i="1"/>
  <c r="AC773" i="1"/>
  <c r="AC772" i="1"/>
  <c r="AC771" i="1"/>
  <c r="AC770" i="1"/>
  <c r="AC769" i="1"/>
  <c r="AC768" i="1"/>
  <c r="AC767" i="1"/>
  <c r="AC766" i="1"/>
  <c r="AC765" i="1"/>
  <c r="AC764" i="1"/>
  <c r="AC763" i="1"/>
  <c r="AC762" i="1"/>
  <c r="AC761" i="1"/>
  <c r="AC760" i="1"/>
  <c r="AC759" i="1"/>
  <c r="AC758" i="1"/>
  <c r="AC757" i="1"/>
  <c r="AC756" i="1"/>
  <c r="AC755" i="1"/>
  <c r="AC754" i="1"/>
  <c r="AC753" i="1"/>
  <c r="AC752" i="1"/>
  <c r="AC751" i="1"/>
  <c r="AC750" i="1"/>
  <c r="AC749" i="1"/>
  <c r="AC748" i="1"/>
  <c r="AC747" i="1"/>
  <c r="AC746" i="1"/>
  <c r="AC745" i="1"/>
  <c r="AC744" i="1"/>
  <c r="AC743" i="1"/>
  <c r="AC742" i="1"/>
  <c r="AC741" i="1"/>
  <c r="AC740" i="1"/>
  <c r="AC739" i="1"/>
  <c r="AC738" i="1"/>
  <c r="AC737" i="1"/>
  <c r="AC736" i="1"/>
  <c r="AC735" i="1"/>
  <c r="AC734" i="1"/>
  <c r="AC733" i="1"/>
  <c r="AC732" i="1"/>
  <c r="AC731" i="1"/>
  <c r="AC730" i="1"/>
  <c r="AC729" i="1"/>
  <c r="AC728" i="1"/>
  <c r="AC727" i="1"/>
  <c r="AC726" i="1"/>
  <c r="AC725" i="1"/>
  <c r="AC724" i="1"/>
  <c r="AC723" i="1"/>
  <c r="AC722" i="1"/>
  <c r="AC721" i="1"/>
  <c r="AC720" i="1"/>
  <c r="AC719" i="1"/>
  <c r="AC718" i="1"/>
  <c r="AC717" i="1"/>
  <c r="AC716" i="1"/>
  <c r="AC715" i="1"/>
  <c r="AC714" i="1"/>
  <c r="AC713" i="1"/>
  <c r="AC712" i="1"/>
  <c r="AC711" i="1"/>
  <c r="AC710" i="1"/>
  <c r="AC709" i="1"/>
  <c r="AC708" i="1"/>
  <c r="AC707" i="1"/>
  <c r="AC706" i="1"/>
  <c r="AC705" i="1"/>
  <c r="AC704" i="1"/>
  <c r="AC703" i="1"/>
  <c r="AC702" i="1"/>
  <c r="AC701" i="1"/>
  <c r="AC700" i="1"/>
  <c r="AC699" i="1"/>
  <c r="AC698" i="1"/>
  <c r="AC697" i="1"/>
  <c r="AC696" i="1"/>
  <c r="AC695" i="1"/>
  <c r="AC694" i="1"/>
  <c r="AC693" i="1"/>
  <c r="AC692" i="1"/>
  <c r="AC691" i="1"/>
  <c r="AC690" i="1"/>
  <c r="AC689" i="1"/>
  <c r="AC688" i="1"/>
  <c r="AC687" i="1"/>
  <c r="AC686" i="1"/>
  <c r="AC685" i="1"/>
  <c r="AC684" i="1"/>
  <c r="AC683" i="1"/>
  <c r="AC682" i="1"/>
  <c r="AC681" i="1"/>
  <c r="AC680" i="1"/>
  <c r="AC679" i="1"/>
  <c r="AC678" i="1"/>
  <c r="AC677" i="1"/>
  <c r="AC676" i="1"/>
  <c r="AC675" i="1"/>
  <c r="AC674" i="1"/>
  <c r="AC673" i="1"/>
  <c r="AC672" i="1"/>
  <c r="AC671" i="1"/>
  <c r="AC670" i="1"/>
  <c r="AC669" i="1"/>
  <c r="AC668" i="1"/>
  <c r="AC667" i="1"/>
  <c r="AC666" i="1"/>
  <c r="AC665" i="1"/>
  <c r="AC664" i="1"/>
  <c r="AC663" i="1"/>
  <c r="AC662" i="1"/>
  <c r="AC661" i="1"/>
  <c r="AC660" i="1"/>
  <c r="AC659" i="1"/>
  <c r="AC658" i="1"/>
  <c r="AC657" i="1"/>
  <c r="AC656" i="1"/>
  <c r="AC655" i="1"/>
  <c r="AC654" i="1"/>
  <c r="AC653" i="1"/>
  <c r="AC652" i="1"/>
  <c r="AC651" i="1"/>
  <c r="AC650" i="1"/>
  <c r="AC649" i="1"/>
  <c r="AC648" i="1"/>
  <c r="AC647" i="1"/>
  <c r="AC646" i="1"/>
  <c r="AC645" i="1"/>
  <c r="AC644" i="1"/>
  <c r="AC643" i="1"/>
  <c r="AC642" i="1"/>
  <c r="AC641" i="1"/>
  <c r="AC640" i="1"/>
  <c r="AC639" i="1"/>
  <c r="AC638" i="1"/>
  <c r="AC637" i="1"/>
  <c r="AC636" i="1"/>
  <c r="AC635" i="1"/>
  <c r="AC634" i="1"/>
  <c r="AC633" i="1"/>
  <c r="AC632" i="1"/>
  <c r="AC631" i="1"/>
  <c r="AC630" i="1"/>
  <c r="AC629" i="1"/>
  <c r="AC628" i="1"/>
  <c r="AC627" i="1"/>
  <c r="AC626" i="1"/>
  <c r="AC625" i="1"/>
  <c r="AC624" i="1"/>
  <c r="AC623" i="1"/>
  <c r="AC622" i="1"/>
  <c r="AC621" i="1"/>
  <c r="AC620" i="1"/>
  <c r="AC619" i="1"/>
  <c r="AC618" i="1"/>
  <c r="AC617" i="1"/>
  <c r="AC616" i="1"/>
  <c r="AC615" i="1"/>
  <c r="AC614" i="1"/>
  <c r="AC613" i="1"/>
  <c r="AC612" i="1"/>
  <c r="AC611" i="1"/>
  <c r="AC610" i="1"/>
  <c r="AC609" i="1"/>
  <c r="AC608" i="1"/>
  <c r="AC607" i="1"/>
  <c r="AC606" i="1"/>
  <c r="AC605" i="1"/>
  <c r="AC604" i="1"/>
  <c r="AC603" i="1"/>
  <c r="AC602" i="1"/>
  <c r="AC601" i="1"/>
  <c r="AC600" i="1"/>
  <c r="AC599" i="1"/>
  <c r="AC598" i="1"/>
  <c r="AC597" i="1"/>
  <c r="AC596" i="1"/>
  <c r="AC595" i="1"/>
  <c r="AC594" i="1"/>
  <c r="AC593" i="1"/>
  <c r="AC592" i="1"/>
  <c r="AC591" i="1"/>
  <c r="AC590" i="1"/>
  <c r="AC589" i="1"/>
  <c r="AC588" i="1"/>
  <c r="AC587" i="1"/>
  <c r="AC586" i="1"/>
  <c r="AC585" i="1"/>
  <c r="AC584" i="1"/>
  <c r="AC583" i="1"/>
  <c r="AC582" i="1"/>
  <c r="AC581" i="1"/>
  <c r="AC580" i="1"/>
  <c r="AC579" i="1"/>
  <c r="AC578" i="1"/>
  <c r="AC577" i="1"/>
  <c r="AC576" i="1"/>
  <c r="AC575" i="1"/>
  <c r="AC574" i="1"/>
  <c r="AC573" i="1"/>
  <c r="AC572" i="1"/>
  <c r="AC571" i="1"/>
  <c r="AC570" i="1"/>
  <c r="AC569" i="1"/>
  <c r="AC568" i="1"/>
  <c r="AC567" i="1"/>
  <c r="AC566" i="1"/>
  <c r="AC565" i="1"/>
  <c r="AC564" i="1"/>
  <c r="AC563" i="1"/>
  <c r="AC562" i="1"/>
  <c r="AC561" i="1"/>
  <c r="AC560" i="1"/>
  <c r="AC559" i="1"/>
  <c r="AC558" i="1"/>
  <c r="AC557" i="1"/>
  <c r="AC556" i="1"/>
  <c r="AC555" i="1"/>
  <c r="AC554" i="1"/>
  <c r="AC553" i="1"/>
  <c r="AC552" i="1"/>
  <c r="AC551" i="1"/>
  <c r="AC550" i="1"/>
  <c r="AC549" i="1"/>
  <c r="AC548" i="1"/>
  <c r="AC547" i="1"/>
  <c r="AC546" i="1"/>
  <c r="AC545" i="1"/>
  <c r="AC544" i="1"/>
  <c r="AC543" i="1"/>
  <c r="AC542" i="1"/>
  <c r="AC541" i="1"/>
  <c r="AC540" i="1"/>
  <c r="AC539" i="1"/>
  <c r="AC538" i="1"/>
  <c r="AC537" i="1"/>
  <c r="AC536" i="1"/>
  <c r="AC535" i="1"/>
  <c r="AC534" i="1"/>
  <c r="AC533" i="1"/>
  <c r="AC532" i="1"/>
  <c r="AC531" i="1"/>
  <c r="AC530" i="1"/>
  <c r="AC529" i="1"/>
  <c r="AC528" i="1"/>
  <c r="AC527" i="1"/>
  <c r="AC526" i="1"/>
  <c r="AC525" i="1"/>
  <c r="AC524" i="1"/>
  <c r="AC523" i="1"/>
  <c r="AC522" i="1"/>
  <c r="AC521" i="1"/>
  <c r="AC520" i="1"/>
  <c r="AC519" i="1"/>
  <c r="AC518" i="1"/>
  <c r="AC517" i="1"/>
  <c r="AC516" i="1"/>
  <c r="AC515" i="1"/>
  <c r="AC514" i="1"/>
  <c r="AC513" i="1"/>
  <c r="AC512" i="1"/>
  <c r="AC511" i="1"/>
  <c r="AC510" i="1"/>
  <c r="AC509" i="1"/>
  <c r="AC508" i="1"/>
  <c r="AC507" i="1"/>
  <c r="AC506" i="1"/>
  <c r="AC505" i="1"/>
  <c r="AC504" i="1"/>
  <c r="AC503" i="1"/>
  <c r="AC502" i="1"/>
  <c r="AC501" i="1"/>
  <c r="AC500" i="1"/>
  <c r="AC499" i="1"/>
  <c r="AC498" i="1"/>
  <c r="AC497" i="1"/>
  <c r="AC496" i="1"/>
  <c r="AC495" i="1"/>
  <c r="AC494" i="1"/>
  <c r="AC493" i="1"/>
  <c r="AC492" i="1"/>
  <c r="AC491" i="1"/>
  <c r="AC490" i="1"/>
  <c r="AC489" i="1"/>
  <c r="AC488" i="1"/>
  <c r="AC487" i="1"/>
  <c r="AC486" i="1"/>
  <c r="AC485" i="1"/>
  <c r="AC484" i="1"/>
  <c r="AC483" i="1"/>
  <c r="AC482" i="1"/>
  <c r="AC481" i="1"/>
  <c r="AC480" i="1"/>
  <c r="AC479" i="1"/>
  <c r="AC478" i="1"/>
  <c r="AC477" i="1"/>
  <c r="AC476" i="1"/>
  <c r="AC475" i="1"/>
  <c r="AC474" i="1"/>
  <c r="AC473" i="1"/>
  <c r="AC472" i="1"/>
  <c r="AC471" i="1"/>
  <c r="AC470" i="1"/>
  <c r="AC469" i="1"/>
  <c r="AC468" i="1"/>
  <c r="AC467" i="1"/>
  <c r="AC466" i="1"/>
  <c r="AC465" i="1"/>
  <c r="AC464" i="1"/>
  <c r="AC463" i="1"/>
  <c r="AC462" i="1"/>
  <c r="AC461" i="1"/>
  <c r="AC460" i="1"/>
  <c r="AC459" i="1"/>
  <c r="AC458" i="1"/>
  <c r="AC457" i="1"/>
  <c r="AC456" i="1"/>
  <c r="AC455" i="1"/>
  <c r="AC454" i="1"/>
  <c r="AC453" i="1"/>
  <c r="AC452" i="1"/>
  <c r="AC451" i="1"/>
  <c r="AC450" i="1"/>
  <c r="AC449" i="1"/>
  <c r="AC448" i="1"/>
  <c r="AC447" i="1"/>
  <c r="AC446" i="1"/>
  <c r="AC445" i="1"/>
  <c r="AC444" i="1"/>
  <c r="AC443" i="1"/>
  <c r="AC442" i="1"/>
  <c r="AC441" i="1"/>
  <c r="AC440" i="1"/>
  <c r="AC439" i="1"/>
  <c r="AC438" i="1"/>
  <c r="AC437" i="1"/>
  <c r="AC436" i="1"/>
  <c r="AC435" i="1"/>
  <c r="AC434" i="1"/>
  <c r="AC433" i="1"/>
  <c r="AC432" i="1"/>
  <c r="AC431" i="1"/>
  <c r="AC430" i="1"/>
  <c r="AC429" i="1"/>
  <c r="AC428" i="1"/>
  <c r="AC427" i="1"/>
  <c r="AC426" i="1"/>
  <c r="AC425" i="1"/>
  <c r="AC424" i="1"/>
  <c r="AC423" i="1"/>
  <c r="AC422" i="1"/>
  <c r="AC421" i="1"/>
  <c r="AC420" i="1"/>
  <c r="AC419" i="1"/>
  <c r="AC418" i="1"/>
  <c r="AC417" i="1"/>
  <c r="AC416" i="1"/>
  <c r="AC415" i="1"/>
  <c r="AC414" i="1"/>
  <c r="AC413" i="1"/>
  <c r="AC412" i="1"/>
  <c r="AC411" i="1"/>
  <c r="AC410" i="1"/>
  <c r="AC409" i="1"/>
  <c r="AC408" i="1"/>
  <c r="AC407" i="1"/>
  <c r="AC406" i="1"/>
  <c r="AC405" i="1"/>
  <c r="AC404" i="1"/>
  <c r="AC403" i="1"/>
  <c r="AC402" i="1"/>
  <c r="AC401" i="1"/>
  <c r="AC400" i="1"/>
  <c r="AC399" i="1"/>
  <c r="AC398" i="1"/>
  <c r="AC397" i="1"/>
  <c r="AC396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9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C115" i="1"/>
  <c r="AC114" i="1"/>
  <c r="AC113" i="1"/>
  <c r="AC112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C9" i="1"/>
  <c r="AC8" i="1"/>
  <c r="AC7" i="1"/>
  <c r="AC6" i="1"/>
  <c r="AC5" i="1"/>
  <c r="W8" i="1" l="1"/>
  <c r="W10" i="1" s="1"/>
  <c r="Y14" i="1"/>
  <c r="R14" i="1"/>
  <c r="B1" i="2" l="1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X14" i="1" l="1"/>
  <c r="W14" i="1"/>
  <c r="V14" i="1"/>
  <c r="G4" i="1" l="1"/>
  <c r="G8" i="1"/>
  <c r="G12" i="1"/>
  <c r="G16" i="1"/>
  <c r="G7" i="1"/>
  <c r="G11" i="1"/>
  <c r="G15" i="1"/>
  <c r="G19" i="1"/>
  <c r="G23" i="1"/>
  <c r="G6" i="1"/>
  <c r="G14" i="1"/>
  <c r="G18" i="1"/>
  <c r="G22" i="1"/>
  <c r="G20" i="1"/>
  <c r="G5" i="1"/>
  <c r="G9" i="1"/>
  <c r="G13" i="1"/>
  <c r="G17" i="1"/>
  <c r="G21" i="1"/>
  <c r="P1" i="1" l="1"/>
  <c r="M2" i="1"/>
  <c r="H15" i="1"/>
  <c r="H22" i="1"/>
  <c r="H14" i="1"/>
  <c r="H6" i="1"/>
  <c r="H11" i="1"/>
  <c r="H21" i="1"/>
  <c r="H13" i="1"/>
  <c r="H5" i="1"/>
  <c r="H19" i="1"/>
  <c r="H16" i="1"/>
  <c r="H8" i="1"/>
  <c r="H18" i="1"/>
  <c r="H10" i="1"/>
  <c r="H23" i="1"/>
  <c r="H17" i="1"/>
  <c r="H9" i="1"/>
  <c r="H7" i="1"/>
  <c r="H20" i="1"/>
  <c r="H12" i="1"/>
  <c r="H4" i="1"/>
  <c r="Q1" i="1" l="1"/>
  <c r="R1" i="1" s="1"/>
  <c r="Z14" i="1" s="1"/>
</calcChain>
</file>

<file path=xl/comments1.xml><?xml version="1.0" encoding="utf-8"?>
<comments xmlns="http://schemas.openxmlformats.org/spreadsheetml/2006/main">
  <authors>
    <author>作者</author>
  </authors>
  <commentList>
    <comment ref="AE1" authorId="0" shapeId="0">
      <text>
        <r>
          <rPr>
            <b/>
            <sz val="9"/>
            <color indexed="81"/>
            <rFont val="宋体"/>
            <family val="3"/>
            <charset val="134"/>
          </rPr>
          <t>cgBvAHcAcwA9ADgALABjAG8AbABzAD0AMgA=</t>
        </r>
      </text>
    </comment>
    <comment ref="AG1" authorId="0" shapeId="0">
      <text>
        <r>
          <rPr>
            <b/>
            <sz val="9"/>
            <color indexed="81"/>
            <rFont val="宋体"/>
            <family val="3"/>
            <charset val="134"/>
          </rPr>
          <t>cgBvAHcAcwA9ADgALABjAG8AbABzAD0ANAA=</t>
        </r>
      </text>
    </comment>
    <comment ref="AK1" authorId="0" shapeId="0">
      <text>
        <r>
          <rPr>
            <b/>
            <sz val="9"/>
            <color indexed="81"/>
            <rFont val="宋体"/>
            <family val="3"/>
            <charset val="134"/>
          </rPr>
          <t>cgBvAHcAcwA9ADgALABjAG8AbABzAD0AMgA=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cgBvAHcAcwA9ADEAMgAzACwAYwBvAGwAcwA9ADIA</t>
        </r>
      </text>
    </comment>
  </commentList>
</comments>
</file>

<file path=xl/sharedStrings.xml><?xml version="1.0" encoding="utf-8"?>
<sst xmlns="http://schemas.openxmlformats.org/spreadsheetml/2006/main" count="16480" uniqueCount="80">
  <si>
    <t>日期</t>
  </si>
  <si>
    <t>净值涨跌幅</t>
  </si>
  <si>
    <t>000300.SH</t>
  </si>
  <si>
    <t>000300.SH</t>
    <phoneticPr fontId="2" type="noConversion"/>
  </si>
  <si>
    <t>000905.SH</t>
  </si>
  <si>
    <t>000905.SH</t>
    <phoneticPr fontId="2" type="noConversion"/>
  </si>
  <si>
    <t>000852.SH</t>
  </si>
  <si>
    <t>000852.SH</t>
    <phoneticPr fontId="2" type="noConversion"/>
  </si>
  <si>
    <t>系数之和</t>
    <phoneticPr fontId="2" type="noConversion"/>
  </si>
  <si>
    <t>误差平方和</t>
    <phoneticPr fontId="2" type="noConversion"/>
  </si>
  <si>
    <t>误差平方</t>
    <phoneticPr fontId="2" type="noConversion"/>
  </si>
  <si>
    <t>回归系数1</t>
    <phoneticPr fontId="2" type="noConversion"/>
  </si>
  <si>
    <t>回归系数2</t>
    <phoneticPr fontId="2" type="noConversion"/>
  </si>
  <si>
    <t>回归系数3</t>
    <phoneticPr fontId="2" type="noConversion"/>
  </si>
  <si>
    <t>最小误差和</t>
    <phoneticPr fontId="2" type="noConversion"/>
  </si>
  <si>
    <t>总平方和</t>
    <phoneticPr fontId="2" type="noConversion"/>
  </si>
  <si>
    <t>平均涨跌幅</t>
    <phoneticPr fontId="2" type="noConversion"/>
  </si>
  <si>
    <t>166005.OF</t>
    <phoneticPr fontId="2" type="noConversion"/>
  </si>
  <si>
    <t>基金代码</t>
    <phoneticPr fontId="2" type="noConversion"/>
  </si>
  <si>
    <t>基金名称</t>
    <phoneticPr fontId="2" type="noConversion"/>
  </si>
  <si>
    <t>期初日期</t>
    <phoneticPr fontId="2" type="noConversion"/>
  </si>
  <si>
    <t>期末日期</t>
    <phoneticPr fontId="2" type="noConversion"/>
  </si>
  <si>
    <t>中证500回归系数</t>
    <phoneticPr fontId="2" type="noConversion"/>
  </si>
  <si>
    <t>国债因子回回归系数</t>
    <phoneticPr fontId="4" type="noConversion"/>
  </si>
  <si>
    <t>R方</t>
    <phoneticPr fontId="2" type="noConversion"/>
  </si>
  <si>
    <t>回归系数4</t>
    <phoneticPr fontId="2" type="noConversion"/>
  </si>
  <si>
    <t>沪深300回归系数</t>
    <phoneticPr fontId="2" type="noConversion"/>
  </si>
  <si>
    <t>基金代码</t>
    <phoneticPr fontId="2" type="noConversion"/>
  </si>
  <si>
    <t>基金名称</t>
    <phoneticPr fontId="2" type="noConversion"/>
  </si>
  <si>
    <t>成立日期</t>
    <phoneticPr fontId="2" type="noConversion"/>
  </si>
  <si>
    <t>沪深300</t>
  </si>
  <si>
    <t>中证500</t>
  </si>
  <si>
    <t>中证1000</t>
  </si>
  <si>
    <t>计算一个有多少个交易日</t>
    <phoneticPr fontId="2" type="noConversion"/>
  </si>
  <si>
    <t>序号</t>
    <phoneticPr fontId="2" type="noConversion"/>
  </si>
  <si>
    <t>中证1000回归系数</t>
    <phoneticPr fontId="2" type="noConversion"/>
  </si>
  <si>
    <t>中证1000回归系数</t>
    <phoneticPr fontId="2" type="noConversion"/>
  </si>
  <si>
    <t>沪深300最低可能仓位</t>
    <phoneticPr fontId="2" type="noConversion"/>
  </si>
  <si>
    <t>中证500可能最低仓位</t>
    <phoneticPr fontId="2" type="noConversion"/>
  </si>
  <si>
    <t>周涨跌幅(%)</t>
  </si>
  <si>
    <t>取3的倍数</t>
    <phoneticPr fontId="2" type="noConversion"/>
  </si>
  <si>
    <t>一共有多少周</t>
    <phoneticPr fontId="2" type="noConversion"/>
  </si>
  <si>
    <t>误差平方和</t>
    <phoneticPr fontId="2" type="noConversion"/>
  </si>
  <si>
    <t>期末日期</t>
    <phoneticPr fontId="2" type="noConversion"/>
  </si>
  <si>
    <t>T6改变代码</t>
    <phoneticPr fontId="2" type="noConversion"/>
  </si>
  <si>
    <t>总回归平方和</t>
    <phoneticPr fontId="2" type="noConversion"/>
  </si>
  <si>
    <t>误差平方和</t>
    <phoneticPr fontId="2" type="noConversion"/>
  </si>
  <si>
    <t>R方</t>
    <phoneticPr fontId="2" type="noConversion"/>
  </si>
  <si>
    <t>基金净值收益率算术平均数</t>
    <phoneticPr fontId="2" type="noConversion"/>
  </si>
  <si>
    <t>一共多少周</t>
    <phoneticPr fontId="2" type="noConversion"/>
  </si>
  <si>
    <t>周复权单位净值</t>
  </si>
  <si>
    <t>基金净值增长率</t>
    <phoneticPr fontId="2" type="noConversion"/>
  </si>
  <si>
    <t>沪深300</t>
    <phoneticPr fontId="2" type="noConversion"/>
  </si>
  <si>
    <t>中证500</t>
    <phoneticPr fontId="2" type="noConversion"/>
  </si>
  <si>
    <t>中证1000</t>
    <phoneticPr fontId="2" type="noConversion"/>
  </si>
  <si>
    <t>现金因子</t>
    <phoneticPr fontId="4" type="noConversion"/>
  </si>
  <si>
    <t>博时主题行业</t>
  </si>
  <si>
    <t>现金因子</t>
  </si>
  <si>
    <t/>
  </si>
  <si>
    <t>汇添富价值精选A</t>
  </si>
  <si>
    <t>汇丰晋信双核策略A</t>
  </si>
  <si>
    <t>安信价值精选</t>
  </si>
  <si>
    <t>南方新优享</t>
  </si>
  <si>
    <t>易方达中小盘</t>
  </si>
  <si>
    <t>国泰价值经典</t>
  </si>
  <si>
    <t>成立后3个月，起始日期</t>
    <phoneticPr fontId="2" type="noConversion"/>
  </si>
  <si>
    <t>上一个工作日，结束日期</t>
    <phoneticPr fontId="2" type="noConversion"/>
  </si>
  <si>
    <t>计算的是基金经理的投资风格，也可以计算基金的，改变S9即可</t>
    <phoneticPr fontId="2" type="noConversion"/>
  </si>
  <si>
    <t>代码输入后，要刷新数据，确保T2-T5都是正确的</t>
    <phoneticPr fontId="2" type="noConversion"/>
  </si>
  <si>
    <t>按beta按钮计算即可</t>
    <phoneticPr fontId="2" type="noConversion"/>
  </si>
  <si>
    <t>图形与数据在figure中</t>
    <phoneticPr fontId="2" type="noConversion"/>
  </si>
  <si>
    <t>南方绩优成长A</t>
  </si>
  <si>
    <t>160215.OF</t>
  </si>
  <si>
    <t>160215.OF</t>
    <phoneticPr fontId="2" type="noConversion"/>
  </si>
  <si>
    <t>基金代码是否一致</t>
    <phoneticPr fontId="2" type="noConversion"/>
  </si>
  <si>
    <t>HisQuote(T6,"[NAV_Adj]","1",T9,T10,-1,"M",1,2,1,1,1,1,2,2,1,,1)</t>
    <phoneticPr fontId="2" type="noConversion"/>
  </si>
  <si>
    <t>样本基金</t>
    <phoneticPr fontId="2" type="noConversion"/>
  </si>
  <si>
    <t>样本基金</t>
    <phoneticPr fontId="2" type="noConversion"/>
  </si>
  <si>
    <t>期中日期</t>
    <phoneticPr fontId="2" type="noConversion"/>
  </si>
  <si>
    <t>日期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</si>
</sst>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yyyy\-mm\-dd"/>
    <numFmt numFmtId="177" formatCode="#,##0.0000_ ;\-#,##0.0000\ "/>
    <numFmt numFmtId="178" formatCode="0.00_);[Red]\(0.00\)"/>
    <numFmt numFmtId="179" formatCode="0.00_ "/>
    <numFmt numFmtId="180" formatCode="0.000_ "/>
    <numFmt numFmtId="181" formatCode="###,###,##0.0000"/>
    <numFmt numFmtId="182" formatCode="#,##0.0000_ "/>
  </numFmts>
  <fonts count="6" x14ac:knownFonts="1">
    <font>
      <sz val="11"/>
      <color theme="1"/>
      <name val="宋体"/>
      <family val="2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NumberFormat="1" applyAlignment="1">
      <alignment horizontal="right"/>
    </xf>
    <xf numFmtId="0" fontId="1" fillId="0" borderId="0" xfId="0" applyNumberFormat="1" applyFont="1" applyAlignment="1">
      <alignment horizontal="right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10" fontId="0" fillId="0" borderId="0" xfId="0" applyNumberFormat="1" applyAlignment="1">
      <alignment vertical="center"/>
    </xf>
    <xf numFmtId="178" fontId="0" fillId="0" borderId="0" xfId="0" applyNumberFormat="1"/>
    <xf numFmtId="179" fontId="0" fillId="0" borderId="0" xfId="0" applyNumberFormat="1" applyAlignment="1">
      <alignment horizontal="right"/>
    </xf>
    <xf numFmtId="10" fontId="0" fillId="0" borderId="0" xfId="0" applyNumberFormat="1"/>
    <xf numFmtId="179" fontId="0" fillId="0" borderId="0" xfId="0" applyNumberFormat="1"/>
    <xf numFmtId="14" fontId="0" fillId="0" borderId="0" xfId="0" applyNumberFormat="1"/>
    <xf numFmtId="37" fontId="0" fillId="0" borderId="0" xfId="0" applyNumberFormat="1" applyAlignment="1">
      <alignment horizontal="right"/>
    </xf>
    <xf numFmtId="0" fontId="0" fillId="2" borderId="0" xfId="0" applyFill="1"/>
    <xf numFmtId="176" fontId="0" fillId="2" borderId="0" xfId="0" applyNumberFormat="1" applyFill="1" applyAlignment="1">
      <alignment horizontal="right"/>
    </xf>
    <xf numFmtId="0" fontId="0" fillId="3" borderId="0" xfId="0" applyNumberFormat="1" applyFill="1" applyAlignment="1">
      <alignment horizontal="right"/>
    </xf>
    <xf numFmtId="0" fontId="0" fillId="4" borderId="0" xfId="0" applyFill="1"/>
    <xf numFmtId="180" fontId="0" fillId="3" borderId="0" xfId="0" applyNumberFormat="1" applyFill="1"/>
    <xf numFmtId="181" fontId="0" fillId="0" borderId="0" xfId="0" applyNumberFormat="1" applyAlignment="1">
      <alignment horizontal="right"/>
    </xf>
    <xf numFmtId="177" fontId="0" fillId="2" borderId="0" xfId="0" applyNumberFormat="1" applyFill="1" applyAlignment="1">
      <alignment horizontal="right"/>
    </xf>
    <xf numFmtId="181" fontId="0" fillId="0" borderId="0" xfId="0" applyNumberFormat="1"/>
    <xf numFmtId="10" fontId="0" fillId="0" borderId="0" xfId="0" applyNumberFormat="1" applyAlignment="1">
      <alignment horizontal="right"/>
    </xf>
    <xf numFmtId="182" fontId="0" fillId="0" borderId="0" xfId="0" applyNumberFormat="1"/>
    <xf numFmtId="14" fontId="0" fillId="0" borderId="0" xfId="0" applyNumberFormat="1" applyAlignment="1">
      <alignment horizontal="right"/>
    </xf>
    <xf numFmtId="0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baseline="0">
                <a:solidFill>
                  <a:schemeClr val="tx1"/>
                </a:solidFill>
              </a:defRPr>
            </a:pPr>
            <a:r>
              <a:rPr lang="zh-CN" altLang="en-US"/>
              <a:t>市场基金风格分析</a:t>
            </a:r>
          </a:p>
        </c:rich>
      </c:tx>
      <c:layout>
        <c:manualLayout>
          <c:xMode val="edge"/>
          <c:yMode val="edge"/>
          <c:x val="0.37646614518787214"/>
          <c:y val="2.3426065094332951E-2"/>
        </c:manualLayout>
      </c:layout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figure!$B$1</c:f>
              <c:strCache>
                <c:ptCount val="1"/>
                <c:pt idx="0">
                  <c:v>沪深300</c:v>
                </c:pt>
              </c:strCache>
            </c:strRef>
          </c:tx>
          <c:cat>
            <c:strRef>
              <c:f>[0]!time</c:f>
              <c:strCache>
                <c:ptCount val="642"/>
                <c:pt idx="1">
                  <c:v>2014/3/17</c:v>
                </c:pt>
                <c:pt idx="2">
                  <c:v>2014/3/24</c:v>
                </c:pt>
                <c:pt idx="3">
                  <c:v>2014/3/31</c:v>
                </c:pt>
                <c:pt idx="4">
                  <c:v>2014/4/7</c:v>
                </c:pt>
                <c:pt idx="5">
                  <c:v>2014/4/14</c:v>
                </c:pt>
                <c:pt idx="6">
                  <c:v>2014/4/21</c:v>
                </c:pt>
                <c:pt idx="7">
                  <c:v>2014/4/28</c:v>
                </c:pt>
                <c:pt idx="8">
                  <c:v>2014/5/5</c:v>
                </c:pt>
                <c:pt idx="9">
                  <c:v>2014/5/12</c:v>
                </c:pt>
                <c:pt idx="10">
                  <c:v>2014/5/19</c:v>
                </c:pt>
                <c:pt idx="11">
                  <c:v>2014/5/26</c:v>
                </c:pt>
                <c:pt idx="12">
                  <c:v>2014/6/2</c:v>
                </c:pt>
                <c:pt idx="13">
                  <c:v>2014/6/9</c:v>
                </c:pt>
                <c:pt idx="14">
                  <c:v>2014/6/16</c:v>
                </c:pt>
                <c:pt idx="15">
                  <c:v>2014/6/23</c:v>
                </c:pt>
                <c:pt idx="16">
                  <c:v>2014/6/30</c:v>
                </c:pt>
                <c:pt idx="17">
                  <c:v>2014/7/6</c:v>
                </c:pt>
                <c:pt idx="18">
                  <c:v>2014/7/14</c:v>
                </c:pt>
                <c:pt idx="19">
                  <c:v>2014/7/21</c:v>
                </c:pt>
                <c:pt idx="20">
                  <c:v>2014/7/27</c:v>
                </c:pt>
                <c:pt idx="21">
                  <c:v>2014/8/4</c:v>
                </c:pt>
                <c:pt idx="22">
                  <c:v>2014/8/11</c:v>
                </c:pt>
                <c:pt idx="23">
                  <c:v>2014/8/18</c:v>
                </c:pt>
                <c:pt idx="24">
                  <c:v>2014/8/25</c:v>
                </c:pt>
                <c:pt idx="25">
                  <c:v>2014/9/1</c:v>
                </c:pt>
                <c:pt idx="26">
                  <c:v>2014/9/8</c:v>
                </c:pt>
                <c:pt idx="27">
                  <c:v>2014/9/15</c:v>
                </c:pt>
                <c:pt idx="28">
                  <c:v>2014/9/22</c:v>
                </c:pt>
                <c:pt idx="29">
                  <c:v>2014/9/29</c:v>
                </c:pt>
                <c:pt idx="30">
                  <c:v>2014/10/6</c:v>
                </c:pt>
                <c:pt idx="31">
                  <c:v>2014/10/13</c:v>
                </c:pt>
                <c:pt idx="32">
                  <c:v>2014/10/20</c:v>
                </c:pt>
                <c:pt idx="33">
                  <c:v>2014/10/26</c:v>
                </c:pt>
                <c:pt idx="34">
                  <c:v>2014/11/3</c:v>
                </c:pt>
                <c:pt idx="35">
                  <c:v>2014/11/10</c:v>
                </c:pt>
                <c:pt idx="36">
                  <c:v>2014/11/17</c:v>
                </c:pt>
                <c:pt idx="37">
                  <c:v>2014/11/24</c:v>
                </c:pt>
                <c:pt idx="38">
                  <c:v>2014/12/1</c:v>
                </c:pt>
                <c:pt idx="39">
                  <c:v>2014/12/7</c:v>
                </c:pt>
                <c:pt idx="40">
                  <c:v>2014/12/14</c:v>
                </c:pt>
                <c:pt idx="41">
                  <c:v>2014/12/22</c:v>
                </c:pt>
                <c:pt idx="42">
                  <c:v>2014/12/29</c:v>
                </c:pt>
                <c:pt idx="43">
                  <c:v>2015/1/5</c:v>
                </c:pt>
                <c:pt idx="44">
                  <c:v>2015/1/12</c:v>
                </c:pt>
                <c:pt idx="45">
                  <c:v>2015/1/19</c:v>
                </c:pt>
                <c:pt idx="46">
                  <c:v>2015/1/26</c:v>
                </c:pt>
                <c:pt idx="47">
                  <c:v>2015/2/2</c:v>
                </c:pt>
                <c:pt idx="48">
                  <c:v>2015/2/9</c:v>
                </c:pt>
                <c:pt idx="49">
                  <c:v>2015/2/16</c:v>
                </c:pt>
                <c:pt idx="50">
                  <c:v>2015/2/23</c:v>
                </c:pt>
                <c:pt idx="51">
                  <c:v>2015/3/2</c:v>
                </c:pt>
                <c:pt idx="52">
                  <c:v>2015/3/8</c:v>
                </c:pt>
                <c:pt idx="53">
                  <c:v>2015/3/16</c:v>
                </c:pt>
                <c:pt idx="54">
                  <c:v>2015/3/23</c:v>
                </c:pt>
                <c:pt idx="55">
                  <c:v>2015/3/30</c:v>
                </c:pt>
                <c:pt idx="56">
                  <c:v>2015/4/6</c:v>
                </c:pt>
                <c:pt idx="57">
                  <c:v>2015/4/13</c:v>
                </c:pt>
                <c:pt idx="58">
                  <c:v>2015/4/20</c:v>
                </c:pt>
                <c:pt idx="59">
                  <c:v>2015/4/26</c:v>
                </c:pt>
                <c:pt idx="60">
                  <c:v>2015/5/4</c:v>
                </c:pt>
                <c:pt idx="61">
                  <c:v>2015/5/11</c:v>
                </c:pt>
                <c:pt idx="62">
                  <c:v>2015/5/18</c:v>
                </c:pt>
                <c:pt idx="63">
                  <c:v>2015/5/25</c:v>
                </c:pt>
                <c:pt idx="64">
                  <c:v>2015/6/1</c:v>
                </c:pt>
                <c:pt idx="65">
                  <c:v>2015/6/8</c:v>
                </c:pt>
                <c:pt idx="66">
                  <c:v>2015/6/15</c:v>
                </c:pt>
                <c:pt idx="67">
                  <c:v>2015/6/22</c:v>
                </c:pt>
                <c:pt idx="68">
                  <c:v>2015/6/28</c:v>
                </c:pt>
                <c:pt idx="69">
                  <c:v>2015/7/6</c:v>
                </c:pt>
                <c:pt idx="70">
                  <c:v>2015/7/13</c:v>
                </c:pt>
                <c:pt idx="71">
                  <c:v>2015/7/20</c:v>
                </c:pt>
                <c:pt idx="72">
                  <c:v>2015/7/26</c:v>
                </c:pt>
                <c:pt idx="73">
                  <c:v>2015/8/3</c:v>
                </c:pt>
                <c:pt idx="74">
                  <c:v>2015/8/10</c:v>
                </c:pt>
                <c:pt idx="75">
                  <c:v>2015/8/17</c:v>
                </c:pt>
                <c:pt idx="76">
                  <c:v>2015/8/24</c:v>
                </c:pt>
                <c:pt idx="77">
                  <c:v>2015/8/31</c:v>
                </c:pt>
                <c:pt idx="78">
                  <c:v>2015/9/7</c:v>
                </c:pt>
                <c:pt idx="79">
                  <c:v>2015/9/14</c:v>
                </c:pt>
                <c:pt idx="80">
                  <c:v>2015/9/21</c:v>
                </c:pt>
                <c:pt idx="81">
                  <c:v>2015/9/28</c:v>
                </c:pt>
                <c:pt idx="82">
                  <c:v>2015/10/5</c:v>
                </c:pt>
                <c:pt idx="83">
                  <c:v>2015/10/12</c:v>
                </c:pt>
                <c:pt idx="84">
                  <c:v>2015/10/19</c:v>
                </c:pt>
                <c:pt idx="85">
                  <c:v>2015/10/26</c:v>
                </c:pt>
                <c:pt idx="86">
                  <c:v>2015/11/2</c:v>
                </c:pt>
                <c:pt idx="87">
                  <c:v>2015/11/8</c:v>
                </c:pt>
                <c:pt idx="88">
                  <c:v>2015/11/16</c:v>
                </c:pt>
                <c:pt idx="89">
                  <c:v>2015/11/23</c:v>
                </c:pt>
                <c:pt idx="90">
                  <c:v>2015/11/30</c:v>
                </c:pt>
                <c:pt idx="91">
                  <c:v>2015/12/10</c:v>
                </c:pt>
                <c:pt idx="92">
                  <c:v>2015/12/18</c:v>
                </c:pt>
                <c:pt idx="93">
                  <c:v>2015/12/25</c:v>
                </c:pt>
                <c:pt idx="94">
                  <c:v>2016/1/1</c:v>
                </c:pt>
                <c:pt idx="95">
                  <c:v>2016/1/8</c:v>
                </c:pt>
                <c:pt idx="96">
                  <c:v>2016/1/15</c:v>
                </c:pt>
                <c:pt idx="97">
                  <c:v>2016/1/22</c:v>
                </c:pt>
                <c:pt idx="98">
                  <c:v>2016/1/29</c:v>
                </c:pt>
                <c:pt idx="99">
                  <c:v>2016/2/5</c:v>
                </c:pt>
                <c:pt idx="100">
                  <c:v>2016/2/12</c:v>
                </c:pt>
                <c:pt idx="101">
                  <c:v>2016/2/19</c:v>
                </c:pt>
                <c:pt idx="102">
                  <c:v>2016/2/26</c:v>
                </c:pt>
                <c:pt idx="103">
                  <c:v>2016/3/4</c:v>
                </c:pt>
                <c:pt idx="104">
                  <c:v>2016/3/10</c:v>
                </c:pt>
                <c:pt idx="105">
                  <c:v>2016/3/18</c:v>
                </c:pt>
                <c:pt idx="106">
                  <c:v>2016/3/25</c:v>
                </c:pt>
                <c:pt idx="107">
                  <c:v>2016/3/31</c:v>
                </c:pt>
                <c:pt idx="108">
                  <c:v>2016/4/8</c:v>
                </c:pt>
                <c:pt idx="109">
                  <c:v>2016/4/15</c:v>
                </c:pt>
                <c:pt idx="110">
                  <c:v>2016/4/25</c:v>
                </c:pt>
                <c:pt idx="111">
                  <c:v>2016/5/2</c:v>
                </c:pt>
                <c:pt idx="112">
                  <c:v>2016/5/9</c:v>
                </c:pt>
                <c:pt idx="113">
                  <c:v>2016/5/16</c:v>
                </c:pt>
                <c:pt idx="114">
                  <c:v>2016/5/23</c:v>
                </c:pt>
                <c:pt idx="115">
                  <c:v>2016/5/30</c:v>
                </c:pt>
                <c:pt idx="116">
                  <c:v>2016/6/6</c:v>
                </c:pt>
                <c:pt idx="117">
                  <c:v>2016/6/13</c:v>
                </c:pt>
                <c:pt idx="118">
                  <c:v>2016/6/20</c:v>
                </c:pt>
                <c:pt idx="119">
                  <c:v>2016/6/27</c:v>
                </c:pt>
                <c:pt idx="120">
                  <c:v>2016/7/4</c:v>
                </c:pt>
                <c:pt idx="121">
                  <c:v>2016/7/10</c:v>
                </c:pt>
                <c:pt idx="122">
                  <c:v>2016/7/18</c:v>
                </c:pt>
                <c:pt idx="123">
                  <c:v>2016/7/25</c:v>
                </c:pt>
                <c:pt idx="124">
                  <c:v>2016/8/5</c:v>
                </c:pt>
                <c:pt idx="125">
                  <c:v>2016/8/12</c:v>
                </c:pt>
                <c:pt idx="126">
                  <c:v>2016/8/18</c:v>
                </c:pt>
                <c:pt idx="127">
                  <c:v>2016/8/26</c:v>
                </c:pt>
                <c:pt idx="128">
                  <c:v>2016/9/2</c:v>
                </c:pt>
                <c:pt idx="129">
                  <c:v>2016/9/9</c:v>
                </c:pt>
                <c:pt idx="130">
                  <c:v>2016/9/16</c:v>
                </c:pt>
                <c:pt idx="131">
                  <c:v>2016/9/23</c:v>
                </c:pt>
                <c:pt idx="132">
                  <c:v>2016/9/30</c:v>
                </c:pt>
                <c:pt idx="133">
                  <c:v>2016/10/7</c:v>
                </c:pt>
                <c:pt idx="134">
                  <c:v>2016/10/14</c:v>
                </c:pt>
                <c:pt idx="135">
                  <c:v>2016/10/21</c:v>
                </c:pt>
                <c:pt idx="136">
                  <c:v>2016/10/28</c:v>
                </c:pt>
                <c:pt idx="137">
                  <c:v>2016/11/4</c:v>
                </c:pt>
                <c:pt idx="138">
                  <c:v>2016/11/11</c:v>
                </c:pt>
                <c:pt idx="139">
                  <c:v>2016/11/17</c:v>
                </c:pt>
                <c:pt idx="140">
                  <c:v>2016/11/24</c:v>
                </c:pt>
                <c:pt idx="141">
                  <c:v>2016/12/2</c:v>
                </c:pt>
                <c:pt idx="142">
                  <c:v>2016/12/9</c:v>
                </c:pt>
                <c:pt idx="143">
                  <c:v>2016/12/19</c:v>
                </c:pt>
                <c:pt idx="144">
                  <c:v>2016/12/26</c:v>
                </c:pt>
                <c:pt idx="145">
                  <c:v>2017/1/2</c:v>
                </c:pt>
                <c:pt idx="146">
                  <c:v>2017/1/9</c:v>
                </c:pt>
                <c:pt idx="147">
                  <c:v>2017/1/16</c:v>
                </c:pt>
                <c:pt idx="148">
                  <c:v>2017/1/23</c:v>
                </c:pt>
                <c:pt idx="149">
                  <c:v>2017/1/30</c:v>
                </c:pt>
                <c:pt idx="150">
                  <c:v>2017/2/6</c:v>
                </c:pt>
                <c:pt idx="151">
                  <c:v>2017/2/13</c:v>
                </c:pt>
                <c:pt idx="152">
                  <c:v>2017/2/20</c:v>
                </c:pt>
                <c:pt idx="153">
                  <c:v>2017/2/27</c:v>
                </c:pt>
                <c:pt idx="154">
                  <c:v>2017/3/6</c:v>
                </c:pt>
                <c:pt idx="155">
                  <c:v>2017/3/13</c:v>
                </c:pt>
                <c:pt idx="156">
                  <c:v>2017/3/20</c:v>
                </c:pt>
                <c:pt idx="157">
                  <c:v>2017/3/27</c:v>
                </c:pt>
                <c:pt idx="158">
                  <c:v>2017/4/3</c:v>
                </c:pt>
                <c:pt idx="159">
                  <c:v>2017/4/10</c:v>
                </c:pt>
                <c:pt idx="160">
                  <c:v>2017/4/17</c:v>
                </c:pt>
                <c:pt idx="161">
                  <c:v>2017/4/24</c:v>
                </c:pt>
                <c:pt idx="162">
                  <c:v>2017/5/1</c:v>
                </c:pt>
                <c:pt idx="163">
                  <c:v>2017/5/8</c:v>
                </c:pt>
                <c:pt idx="164">
                  <c:v>2017/5/15</c:v>
                </c:pt>
                <c:pt idx="165">
                  <c:v>2017/5/22</c:v>
                </c:pt>
                <c:pt idx="166">
                  <c:v>2017/5/29</c:v>
                </c:pt>
                <c:pt idx="167">
                  <c:v>2017/6/5</c:v>
                </c:pt>
                <c:pt idx="168">
                  <c:v>2017/6/12</c:v>
                </c:pt>
                <c:pt idx="169">
                  <c:v>2017/6/19</c:v>
                </c:pt>
                <c:pt idx="170">
                  <c:v>2017/6/26</c:v>
                </c:pt>
                <c:pt idx="171">
                  <c:v>2017/7/3</c:v>
                </c:pt>
                <c:pt idx="172">
                  <c:v>2017/7/10</c:v>
                </c:pt>
                <c:pt idx="173">
                  <c:v>2017/7/17</c:v>
                </c:pt>
                <c:pt idx="174">
                  <c:v>2017/7/24</c:v>
                </c:pt>
                <c:pt idx="175">
                  <c:v>2017/8/4</c:v>
                </c:pt>
                <c:pt idx="176">
                  <c:v>2017/8/11</c:v>
                </c:pt>
                <c:pt idx="177">
                  <c:v>2017/8/18</c:v>
                </c:pt>
                <c:pt idx="178">
                  <c:v>2017/8/25</c:v>
                </c:pt>
                <c:pt idx="179">
                  <c:v>2017/9/1</c:v>
                </c:pt>
                <c:pt idx="180">
                  <c:v>2017/9/8</c:v>
                </c:pt>
                <c:pt idx="181">
                  <c:v>2017/9/15</c:v>
                </c:pt>
                <c:pt idx="182">
                  <c:v>2017/9/22</c:v>
                </c:pt>
                <c:pt idx="183">
                  <c:v>2017/9/29</c:v>
                </c:pt>
                <c:pt idx="184">
                  <c:v>2017/10/6</c:v>
                </c:pt>
                <c:pt idx="185">
                  <c:v>2017/10/13</c:v>
                </c:pt>
                <c:pt idx="186">
                  <c:v>2017/10/20</c:v>
                </c:pt>
                <c:pt idx="187">
                  <c:v>2017/10/27</c:v>
                </c:pt>
                <c:pt idx="188">
                  <c:v>2017/11/3</c:v>
                </c:pt>
                <c:pt idx="189">
                  <c:v>2017/11/10</c:v>
                </c:pt>
                <c:pt idx="190">
                  <c:v>2017/11/17</c:v>
                </c:pt>
                <c:pt idx="191">
                  <c:v>2017/11/24</c:v>
                </c:pt>
                <c:pt idx="192">
                  <c:v>2017/12/1</c:v>
                </c:pt>
                <c:pt idx="193">
                  <c:v>2017/12/7</c:v>
                </c:pt>
                <c:pt idx="194">
                  <c:v>2017/12/18</c:v>
                </c:pt>
                <c:pt idx="195">
                  <c:v>2017/12/25</c:v>
                </c:pt>
                <c:pt idx="196">
                  <c:v>2018/1/1</c:v>
                </c:pt>
                <c:pt idx="197">
                  <c:v>2018/1/8</c:v>
                </c:pt>
                <c:pt idx="198">
                  <c:v>2018/1/15</c:v>
                </c:pt>
                <c:pt idx="199">
                  <c:v>2018/1/22</c:v>
                </c:pt>
                <c:pt idx="200">
                  <c:v>2018/1/28</c:v>
                </c:pt>
                <c:pt idx="201">
                  <c:v>2018/2/5</c:v>
                </c:pt>
                <c:pt idx="202">
                  <c:v>2018/2/12</c:v>
                </c:pt>
                <c:pt idx="203">
                  <c:v>2018/2/19</c:v>
                </c:pt>
                <c:pt idx="204">
                  <c:v>2018/2/26</c:v>
                </c:pt>
                <c:pt idx="205">
                  <c:v>2018/3/5</c:v>
                </c:pt>
                <c:pt idx="206">
                  <c:v>2018/3/12</c:v>
                </c:pt>
                <c:pt idx="207">
                  <c:v>2018/3/19</c:v>
                </c:pt>
                <c:pt idx="208">
                  <c:v>2018/3/26</c:v>
                </c:pt>
                <c:pt idx="209">
                  <c:v>2018/4/2</c:v>
                </c:pt>
                <c:pt idx="210">
                  <c:v>2018/4/9</c:v>
                </c:pt>
                <c:pt idx="211">
                  <c:v>2018/4/16</c:v>
                </c:pt>
                <c:pt idx="212">
                  <c:v>2018/4/22</c:v>
                </c:pt>
                <c:pt idx="213">
                  <c:v>2018/4/30</c:v>
                </c:pt>
                <c:pt idx="214">
                  <c:v>2018/5/7</c:v>
                </c:pt>
                <c:pt idx="215">
                  <c:v>2018/5/14</c:v>
                </c:pt>
                <c:pt idx="216">
                  <c:v>1900/1/0</c:v>
                </c:pt>
                <c:pt idx="217">
                  <c:v>1900/1/0</c:v>
                </c:pt>
                <c:pt idx="218">
                  <c:v>1900/1/0</c:v>
                </c:pt>
                <c:pt idx="219">
                  <c:v>1900/1/0</c:v>
                </c:pt>
                <c:pt idx="220">
                  <c:v>1900/1/0</c:v>
                </c:pt>
                <c:pt idx="221">
                  <c:v>1900/1/0</c:v>
                </c:pt>
                <c:pt idx="222">
                  <c:v>1900/1/0</c:v>
                </c:pt>
                <c:pt idx="223">
                  <c:v>1900/1/0</c:v>
                </c:pt>
                <c:pt idx="224">
                  <c:v>1900/1/0</c:v>
                </c:pt>
                <c:pt idx="225">
                  <c:v>1900/1/0</c:v>
                </c:pt>
                <c:pt idx="226">
                  <c:v>1900/1/0</c:v>
                </c:pt>
                <c:pt idx="227">
                  <c:v>1900/1/0</c:v>
                </c:pt>
                <c:pt idx="228">
                  <c:v>1900/1/0</c:v>
                </c:pt>
                <c:pt idx="229">
                  <c:v>1900/1/0</c:v>
                </c:pt>
                <c:pt idx="230">
                  <c:v>1900/1/0</c:v>
                </c:pt>
                <c:pt idx="231">
                  <c:v>1900/1/0</c:v>
                </c:pt>
                <c:pt idx="232">
                  <c:v>1900/1/0</c:v>
                </c:pt>
                <c:pt idx="233">
                  <c:v>1900/1/0</c:v>
                </c:pt>
                <c:pt idx="234">
                  <c:v>1900/1/0</c:v>
                </c:pt>
                <c:pt idx="235">
                  <c:v>1900/1/0</c:v>
                </c:pt>
                <c:pt idx="236">
                  <c:v>1900/1/0</c:v>
                </c:pt>
                <c:pt idx="237">
                  <c:v>1900/1/0</c:v>
                </c:pt>
                <c:pt idx="238">
                  <c:v>1900/1/0</c:v>
                </c:pt>
                <c:pt idx="239">
                  <c:v>1900/1/0</c:v>
                </c:pt>
                <c:pt idx="240">
                  <c:v>1900/1/0</c:v>
                </c:pt>
                <c:pt idx="241">
                  <c:v>1900/1/0</c:v>
                </c:pt>
                <c:pt idx="242">
                  <c:v>1900/1/0</c:v>
                </c:pt>
                <c:pt idx="243">
                  <c:v>1900/1/0</c:v>
                </c:pt>
                <c:pt idx="244">
                  <c:v>1900/1/0</c:v>
                </c:pt>
                <c:pt idx="245">
                  <c:v>1900/1/0</c:v>
                </c:pt>
                <c:pt idx="246">
                  <c:v>1900/1/0</c:v>
                </c:pt>
                <c:pt idx="247">
                  <c:v>1900/1/0</c:v>
                </c:pt>
                <c:pt idx="248">
                  <c:v>1900/1/0</c:v>
                </c:pt>
                <c:pt idx="249">
                  <c:v>1900/1/0</c:v>
                </c:pt>
                <c:pt idx="250">
                  <c:v>1900/1/0</c:v>
                </c:pt>
                <c:pt idx="251">
                  <c:v>1900/1/0</c:v>
                </c:pt>
                <c:pt idx="252">
                  <c:v>1900/1/0</c:v>
                </c:pt>
                <c:pt idx="253">
                  <c:v>1900/1/0</c:v>
                </c:pt>
                <c:pt idx="254">
                  <c:v>1900/1/0</c:v>
                </c:pt>
                <c:pt idx="255">
                  <c:v>1900/1/0</c:v>
                </c:pt>
                <c:pt idx="256">
                  <c:v>1900/1/0</c:v>
                </c:pt>
                <c:pt idx="257">
                  <c:v>1900/1/0</c:v>
                </c:pt>
                <c:pt idx="258">
                  <c:v>1900/1/0</c:v>
                </c:pt>
                <c:pt idx="259">
                  <c:v>1900/1/0</c:v>
                </c:pt>
                <c:pt idx="260">
                  <c:v>1900/1/0</c:v>
                </c:pt>
                <c:pt idx="261">
                  <c:v>1900/1/0</c:v>
                </c:pt>
                <c:pt idx="262">
                  <c:v>1900/1/0</c:v>
                </c:pt>
                <c:pt idx="263">
                  <c:v>1900/1/0</c:v>
                </c:pt>
                <c:pt idx="264">
                  <c:v>1900/1/0</c:v>
                </c:pt>
                <c:pt idx="265">
                  <c:v>1900/1/0</c:v>
                </c:pt>
                <c:pt idx="266">
                  <c:v>1900/1/0</c:v>
                </c:pt>
                <c:pt idx="267">
                  <c:v>1900/1/0</c:v>
                </c:pt>
                <c:pt idx="268">
                  <c:v>1900/1/0</c:v>
                </c:pt>
                <c:pt idx="269">
                  <c:v>1900/1/0</c:v>
                </c:pt>
                <c:pt idx="270">
                  <c:v>1900/1/0</c:v>
                </c:pt>
                <c:pt idx="271">
                  <c:v>1900/1/0</c:v>
                </c:pt>
                <c:pt idx="272">
                  <c:v>1900/1/0</c:v>
                </c:pt>
                <c:pt idx="273">
                  <c:v>1900/1/0</c:v>
                </c:pt>
                <c:pt idx="274">
                  <c:v>1900/1/0</c:v>
                </c:pt>
                <c:pt idx="275">
                  <c:v>1900/1/0</c:v>
                </c:pt>
                <c:pt idx="276">
                  <c:v>1900/1/0</c:v>
                </c:pt>
                <c:pt idx="277">
                  <c:v>1900/1/0</c:v>
                </c:pt>
                <c:pt idx="278">
                  <c:v>1900/1/0</c:v>
                </c:pt>
                <c:pt idx="279">
                  <c:v>1900/1/0</c:v>
                </c:pt>
                <c:pt idx="280">
                  <c:v>1900/1/0</c:v>
                </c:pt>
                <c:pt idx="281">
                  <c:v>1900/1/0</c:v>
                </c:pt>
                <c:pt idx="282">
                  <c:v>1900/1/0</c:v>
                </c:pt>
                <c:pt idx="283">
                  <c:v>1900/1/0</c:v>
                </c:pt>
                <c:pt idx="284">
                  <c:v>1900/1/0</c:v>
                </c:pt>
                <c:pt idx="285">
                  <c:v>1900/1/0</c:v>
                </c:pt>
                <c:pt idx="286">
                  <c:v>1900/1/0</c:v>
                </c:pt>
                <c:pt idx="287">
                  <c:v>1900/1/0</c:v>
                </c:pt>
                <c:pt idx="288">
                  <c:v>1900/1/0</c:v>
                </c:pt>
                <c:pt idx="289">
                  <c:v>1900/1/0</c:v>
                </c:pt>
                <c:pt idx="290">
                  <c:v>1900/1/0</c:v>
                </c:pt>
                <c:pt idx="291">
                  <c:v>1900/1/0</c:v>
                </c:pt>
                <c:pt idx="292">
                  <c:v>1900/1/0</c:v>
                </c:pt>
                <c:pt idx="293">
                  <c:v>1900/1/0</c:v>
                </c:pt>
                <c:pt idx="294">
                  <c:v>1900/1/0</c:v>
                </c:pt>
                <c:pt idx="295">
                  <c:v>1900/1/0</c:v>
                </c:pt>
                <c:pt idx="296">
                  <c:v>1900/1/0</c:v>
                </c:pt>
                <c:pt idx="297">
                  <c:v>1900/1/0</c:v>
                </c:pt>
                <c:pt idx="298">
                  <c:v>1900/1/0</c:v>
                </c:pt>
                <c:pt idx="299">
                  <c:v>1900/1/0</c:v>
                </c:pt>
                <c:pt idx="300">
                  <c:v>1900/1/0</c:v>
                </c:pt>
                <c:pt idx="301">
                  <c:v>1900/1/0</c:v>
                </c:pt>
                <c:pt idx="302">
                  <c:v>1900/1/0</c:v>
                </c:pt>
                <c:pt idx="303">
                  <c:v>1900/1/0</c:v>
                </c:pt>
                <c:pt idx="304">
                  <c:v>1900/1/0</c:v>
                </c:pt>
                <c:pt idx="305">
                  <c:v>1900/1/0</c:v>
                </c:pt>
                <c:pt idx="306">
                  <c:v>1900/1/0</c:v>
                </c:pt>
                <c:pt idx="307">
                  <c:v>1900/1/0</c:v>
                </c:pt>
                <c:pt idx="308">
                  <c:v>1900/1/0</c:v>
                </c:pt>
                <c:pt idx="309">
                  <c:v>1900/1/0</c:v>
                </c:pt>
                <c:pt idx="310">
                  <c:v>1900/1/0</c:v>
                </c:pt>
                <c:pt idx="311">
                  <c:v>1900/1/0</c:v>
                </c:pt>
                <c:pt idx="312">
                  <c:v>1900/1/0</c:v>
                </c:pt>
                <c:pt idx="313">
                  <c:v>1900/1/0</c:v>
                </c:pt>
                <c:pt idx="314">
                  <c:v>1900/1/0</c:v>
                </c:pt>
                <c:pt idx="315">
                  <c:v>1900/1/0</c:v>
                </c:pt>
                <c:pt idx="316">
                  <c:v>1900/1/0</c:v>
                </c:pt>
                <c:pt idx="317">
                  <c:v>1900/1/0</c:v>
                </c:pt>
                <c:pt idx="318">
                  <c:v>1900/1/0</c:v>
                </c:pt>
                <c:pt idx="319">
                  <c:v>1900/1/0</c:v>
                </c:pt>
                <c:pt idx="320">
                  <c:v>1900/1/0</c:v>
                </c:pt>
                <c:pt idx="321">
                  <c:v>1900/1/0</c:v>
                </c:pt>
                <c:pt idx="322">
                  <c:v>1900/1/0</c:v>
                </c:pt>
                <c:pt idx="323">
                  <c:v>1900/1/0</c:v>
                </c:pt>
                <c:pt idx="324">
                  <c:v>1900/1/0</c:v>
                </c:pt>
                <c:pt idx="325">
                  <c:v>1900/1/0</c:v>
                </c:pt>
                <c:pt idx="326">
                  <c:v>1900/1/0</c:v>
                </c:pt>
                <c:pt idx="327">
                  <c:v>1900/1/0</c:v>
                </c:pt>
                <c:pt idx="328">
                  <c:v>1900/1/0</c:v>
                </c:pt>
                <c:pt idx="329">
                  <c:v>1900/1/0</c:v>
                </c:pt>
                <c:pt idx="330">
                  <c:v>1900/1/0</c:v>
                </c:pt>
                <c:pt idx="331">
                  <c:v>1900/1/0</c:v>
                </c:pt>
                <c:pt idx="332">
                  <c:v>1900/1/0</c:v>
                </c:pt>
                <c:pt idx="333">
                  <c:v>1900/1/0</c:v>
                </c:pt>
                <c:pt idx="334">
                  <c:v>1900/1/0</c:v>
                </c:pt>
                <c:pt idx="335">
                  <c:v>1900/1/0</c:v>
                </c:pt>
                <c:pt idx="336">
                  <c:v>1900/1/0</c:v>
                </c:pt>
                <c:pt idx="337">
                  <c:v>1900/1/0</c:v>
                </c:pt>
                <c:pt idx="338">
                  <c:v>1900/1/0</c:v>
                </c:pt>
                <c:pt idx="339">
                  <c:v>1900/1/0</c:v>
                </c:pt>
                <c:pt idx="340">
                  <c:v>1900/1/0</c:v>
                </c:pt>
                <c:pt idx="341">
                  <c:v>1900/1/0</c:v>
                </c:pt>
                <c:pt idx="342">
                  <c:v>1900/1/0</c:v>
                </c:pt>
                <c:pt idx="343">
                  <c:v>1900/1/0</c:v>
                </c:pt>
                <c:pt idx="344">
                  <c:v>1900/1/0</c:v>
                </c:pt>
                <c:pt idx="345">
                  <c:v>1900/1/0</c:v>
                </c:pt>
                <c:pt idx="346">
                  <c:v>1900/1/0</c:v>
                </c:pt>
                <c:pt idx="347">
                  <c:v>1900/1/0</c:v>
                </c:pt>
                <c:pt idx="348">
                  <c:v>1900/1/0</c:v>
                </c:pt>
                <c:pt idx="349">
                  <c:v>1900/1/0</c:v>
                </c:pt>
                <c:pt idx="350">
                  <c:v>1900/1/0</c:v>
                </c:pt>
                <c:pt idx="351">
                  <c:v>1900/1/0</c:v>
                </c:pt>
                <c:pt idx="352">
                  <c:v>1900/1/0</c:v>
                </c:pt>
                <c:pt idx="353">
                  <c:v>1900/1/0</c:v>
                </c:pt>
                <c:pt idx="354">
                  <c:v>1900/1/0</c:v>
                </c:pt>
                <c:pt idx="355">
                  <c:v>1900/1/0</c:v>
                </c:pt>
                <c:pt idx="356">
                  <c:v>1900/1/0</c:v>
                </c:pt>
                <c:pt idx="357">
                  <c:v>1900/1/0</c:v>
                </c:pt>
                <c:pt idx="358">
                  <c:v>1900/1/0</c:v>
                </c:pt>
                <c:pt idx="359">
                  <c:v>1900/1/0</c:v>
                </c:pt>
                <c:pt idx="360">
                  <c:v>1900/1/0</c:v>
                </c:pt>
                <c:pt idx="361">
                  <c:v>1900/1/0</c:v>
                </c:pt>
                <c:pt idx="362">
                  <c:v>1900/1/0</c:v>
                </c:pt>
                <c:pt idx="363">
                  <c:v>1900/1/0</c:v>
                </c:pt>
                <c:pt idx="364">
                  <c:v>1900/1/0</c:v>
                </c:pt>
                <c:pt idx="365">
                  <c:v>1900/1/0</c:v>
                </c:pt>
                <c:pt idx="366">
                  <c:v>1900/1/0</c:v>
                </c:pt>
                <c:pt idx="367">
                  <c:v>1900/1/0</c:v>
                </c:pt>
                <c:pt idx="368">
                  <c:v>1900/1/0</c:v>
                </c:pt>
                <c:pt idx="369">
                  <c:v>1900/1/0</c:v>
                </c:pt>
                <c:pt idx="370">
                  <c:v>1900/1/0</c:v>
                </c:pt>
                <c:pt idx="371">
                  <c:v>1900/1/0</c:v>
                </c:pt>
                <c:pt idx="372">
                  <c:v>1900/1/0</c:v>
                </c:pt>
                <c:pt idx="373">
                  <c:v>1900/1/0</c:v>
                </c:pt>
                <c:pt idx="374">
                  <c:v>1900/1/0</c:v>
                </c:pt>
                <c:pt idx="375">
                  <c:v>1900/1/0</c:v>
                </c:pt>
                <c:pt idx="376">
                  <c:v>1900/1/0</c:v>
                </c:pt>
                <c:pt idx="377">
                  <c:v>1900/1/0</c:v>
                </c:pt>
                <c:pt idx="378">
                  <c:v>1900/1/0</c:v>
                </c:pt>
                <c:pt idx="379">
                  <c:v>1900/1/0</c:v>
                </c:pt>
                <c:pt idx="380">
                  <c:v>1900/1/0</c:v>
                </c:pt>
                <c:pt idx="381">
                  <c:v>1900/1/0</c:v>
                </c:pt>
                <c:pt idx="382">
                  <c:v>1900/1/0</c:v>
                </c:pt>
                <c:pt idx="383">
                  <c:v>1900/1/0</c:v>
                </c:pt>
                <c:pt idx="384">
                  <c:v>1900/1/0</c:v>
                </c:pt>
                <c:pt idx="385">
                  <c:v>1900/1/0</c:v>
                </c:pt>
                <c:pt idx="386">
                  <c:v>1900/1/0</c:v>
                </c:pt>
                <c:pt idx="387">
                  <c:v>1900/1/0</c:v>
                </c:pt>
                <c:pt idx="388">
                  <c:v>1900/1/0</c:v>
                </c:pt>
                <c:pt idx="389">
                  <c:v>1900/1/0</c:v>
                </c:pt>
                <c:pt idx="390">
                  <c:v>1900/1/0</c:v>
                </c:pt>
                <c:pt idx="391">
                  <c:v>1900/1/0</c:v>
                </c:pt>
                <c:pt idx="392">
                  <c:v>1900/1/0</c:v>
                </c:pt>
                <c:pt idx="393">
                  <c:v>1900/1/0</c:v>
                </c:pt>
                <c:pt idx="394">
                  <c:v>1900/1/0</c:v>
                </c:pt>
                <c:pt idx="395">
                  <c:v>1900/1/0</c:v>
                </c:pt>
                <c:pt idx="396">
                  <c:v>1900/1/0</c:v>
                </c:pt>
                <c:pt idx="397">
                  <c:v>1900/1/0</c:v>
                </c:pt>
                <c:pt idx="398">
                  <c:v>1900/1/0</c:v>
                </c:pt>
                <c:pt idx="399">
                  <c:v>1900/1/0</c:v>
                </c:pt>
                <c:pt idx="400">
                  <c:v>1900/1/0</c:v>
                </c:pt>
                <c:pt idx="401">
                  <c:v>1900/1/0</c:v>
                </c:pt>
                <c:pt idx="402">
                  <c:v>1900/1/0</c:v>
                </c:pt>
                <c:pt idx="403">
                  <c:v>1900/1/0</c:v>
                </c:pt>
                <c:pt idx="404">
                  <c:v>1900/1/0</c:v>
                </c:pt>
                <c:pt idx="405">
                  <c:v>1900/1/0</c:v>
                </c:pt>
                <c:pt idx="406">
                  <c:v>1900/1/0</c:v>
                </c:pt>
                <c:pt idx="407">
                  <c:v>1900/1/0</c:v>
                </c:pt>
                <c:pt idx="408">
                  <c:v>1900/1/0</c:v>
                </c:pt>
                <c:pt idx="409">
                  <c:v>1900/1/0</c:v>
                </c:pt>
                <c:pt idx="410">
                  <c:v>1900/1/0</c:v>
                </c:pt>
                <c:pt idx="411">
                  <c:v>1900/1/0</c:v>
                </c:pt>
                <c:pt idx="412">
                  <c:v>1900/1/0</c:v>
                </c:pt>
                <c:pt idx="413">
                  <c:v>1900/1/0</c:v>
                </c:pt>
                <c:pt idx="414">
                  <c:v>1900/1/0</c:v>
                </c:pt>
                <c:pt idx="415">
                  <c:v>1900/1/0</c:v>
                </c:pt>
                <c:pt idx="416">
                  <c:v>1900/1/0</c:v>
                </c:pt>
                <c:pt idx="417">
                  <c:v>1900/1/0</c:v>
                </c:pt>
                <c:pt idx="418">
                  <c:v>1900/1/0</c:v>
                </c:pt>
                <c:pt idx="419">
                  <c:v>1900/1/0</c:v>
                </c:pt>
                <c:pt idx="420">
                  <c:v>1900/1/0</c:v>
                </c:pt>
                <c:pt idx="421">
                  <c:v>1900/1/0</c:v>
                </c:pt>
                <c:pt idx="422">
                  <c:v>1900/1/0</c:v>
                </c:pt>
                <c:pt idx="423">
                  <c:v>1900/1/0</c:v>
                </c:pt>
                <c:pt idx="424">
                  <c:v>1900/1/0</c:v>
                </c:pt>
                <c:pt idx="425">
                  <c:v>1900/1/0</c:v>
                </c:pt>
                <c:pt idx="426">
                  <c:v>1900/1/0</c:v>
                </c:pt>
                <c:pt idx="427">
                  <c:v>1900/1/0</c:v>
                </c:pt>
                <c:pt idx="428">
                  <c:v>1900/1/0</c:v>
                </c:pt>
                <c:pt idx="429">
                  <c:v>1900/1/0</c:v>
                </c:pt>
                <c:pt idx="430">
                  <c:v>1900/1/0</c:v>
                </c:pt>
                <c:pt idx="431">
                  <c:v>1900/1/0</c:v>
                </c:pt>
                <c:pt idx="432">
                  <c:v>1900/1/0</c:v>
                </c:pt>
                <c:pt idx="433">
                  <c:v>1900/1/0</c:v>
                </c:pt>
                <c:pt idx="434">
                  <c:v>1900/1/0</c:v>
                </c:pt>
                <c:pt idx="435">
                  <c:v>1900/1/0</c:v>
                </c:pt>
                <c:pt idx="436">
                  <c:v>1900/1/0</c:v>
                </c:pt>
                <c:pt idx="437">
                  <c:v>1900/1/0</c:v>
                </c:pt>
                <c:pt idx="438">
                  <c:v>1900/1/0</c:v>
                </c:pt>
                <c:pt idx="439">
                  <c:v>1900/1/0</c:v>
                </c:pt>
                <c:pt idx="440">
                  <c:v>1900/1/0</c:v>
                </c:pt>
                <c:pt idx="441">
                  <c:v>1900/1/0</c:v>
                </c:pt>
                <c:pt idx="442">
                  <c:v>1900/1/0</c:v>
                </c:pt>
                <c:pt idx="443">
                  <c:v>1900/1/0</c:v>
                </c:pt>
                <c:pt idx="444">
                  <c:v>1900/1/0</c:v>
                </c:pt>
                <c:pt idx="445">
                  <c:v>1900/1/0</c:v>
                </c:pt>
                <c:pt idx="446">
                  <c:v>1900/1/0</c:v>
                </c:pt>
                <c:pt idx="447">
                  <c:v>1900/1/0</c:v>
                </c:pt>
                <c:pt idx="448">
                  <c:v>1900/1/0</c:v>
                </c:pt>
                <c:pt idx="449">
                  <c:v>1900/1/0</c:v>
                </c:pt>
                <c:pt idx="450">
                  <c:v>1900/1/0</c:v>
                </c:pt>
                <c:pt idx="451">
                  <c:v>1900/1/0</c:v>
                </c:pt>
                <c:pt idx="452">
                  <c:v>1900/1/0</c:v>
                </c:pt>
                <c:pt idx="453">
                  <c:v>1900/1/0</c:v>
                </c:pt>
                <c:pt idx="454">
                  <c:v>1900/1/0</c:v>
                </c:pt>
                <c:pt idx="455">
                  <c:v>1900/1/0</c:v>
                </c:pt>
                <c:pt idx="456">
                  <c:v>1900/1/0</c:v>
                </c:pt>
                <c:pt idx="457">
                  <c:v>1900/1/0</c:v>
                </c:pt>
                <c:pt idx="458">
                  <c:v>1900/1/0</c:v>
                </c:pt>
                <c:pt idx="459">
                  <c:v>1900/1/0</c:v>
                </c:pt>
                <c:pt idx="460">
                  <c:v>1900/1/0</c:v>
                </c:pt>
                <c:pt idx="461">
                  <c:v>1900/1/0</c:v>
                </c:pt>
                <c:pt idx="462">
                  <c:v>1900/1/0</c:v>
                </c:pt>
                <c:pt idx="463">
                  <c:v>1900/1/0</c:v>
                </c:pt>
                <c:pt idx="464">
                  <c:v>1900/1/0</c:v>
                </c:pt>
                <c:pt idx="465">
                  <c:v>1900/1/0</c:v>
                </c:pt>
                <c:pt idx="466">
                  <c:v>1900/1/0</c:v>
                </c:pt>
                <c:pt idx="467">
                  <c:v>1900/1/0</c:v>
                </c:pt>
                <c:pt idx="468">
                  <c:v>1900/1/0</c:v>
                </c:pt>
                <c:pt idx="469">
                  <c:v>1900/1/0</c:v>
                </c:pt>
                <c:pt idx="470">
                  <c:v>1900/1/0</c:v>
                </c:pt>
                <c:pt idx="471">
                  <c:v>1900/1/0</c:v>
                </c:pt>
                <c:pt idx="472">
                  <c:v>1900/1/0</c:v>
                </c:pt>
                <c:pt idx="473">
                  <c:v>1900/1/0</c:v>
                </c:pt>
                <c:pt idx="474">
                  <c:v>1900/1/0</c:v>
                </c:pt>
                <c:pt idx="475">
                  <c:v>1900/1/0</c:v>
                </c:pt>
                <c:pt idx="476">
                  <c:v>1900/1/0</c:v>
                </c:pt>
                <c:pt idx="477">
                  <c:v>1900/1/0</c:v>
                </c:pt>
                <c:pt idx="478">
                  <c:v>1900/1/0</c:v>
                </c:pt>
                <c:pt idx="479">
                  <c:v>1900/1/0</c:v>
                </c:pt>
                <c:pt idx="480">
                  <c:v>1900/1/0</c:v>
                </c:pt>
                <c:pt idx="481">
                  <c:v>1900/1/0</c:v>
                </c:pt>
                <c:pt idx="482">
                  <c:v>1900/1/0</c:v>
                </c:pt>
                <c:pt idx="483">
                  <c:v>1900/1/0</c:v>
                </c:pt>
                <c:pt idx="484">
                  <c:v>1900/1/0</c:v>
                </c:pt>
                <c:pt idx="485">
                  <c:v>1900/1/0</c:v>
                </c:pt>
                <c:pt idx="486">
                  <c:v>1900/1/0</c:v>
                </c:pt>
                <c:pt idx="487">
                  <c:v>1900/1/0</c:v>
                </c:pt>
                <c:pt idx="488">
                  <c:v>1900/1/0</c:v>
                </c:pt>
                <c:pt idx="489">
                  <c:v>1900/1/0</c:v>
                </c:pt>
                <c:pt idx="490">
                  <c:v>1900/1/0</c:v>
                </c:pt>
                <c:pt idx="491">
                  <c:v>1900/1/0</c:v>
                </c:pt>
                <c:pt idx="492">
                  <c:v>1900/1/0</c:v>
                </c:pt>
                <c:pt idx="493">
                  <c:v>1900/1/0</c:v>
                </c:pt>
                <c:pt idx="494">
                  <c:v>1900/1/0</c:v>
                </c:pt>
                <c:pt idx="495">
                  <c:v>1900/1/0</c:v>
                </c:pt>
                <c:pt idx="496">
                  <c:v>1900/1/0</c:v>
                </c:pt>
                <c:pt idx="497">
                  <c:v>1900/1/0</c:v>
                </c:pt>
                <c:pt idx="498">
                  <c:v>1900/1/0</c:v>
                </c:pt>
                <c:pt idx="499">
                  <c:v>1900/1/0</c:v>
                </c:pt>
                <c:pt idx="500">
                  <c:v>1900/1/0</c:v>
                </c:pt>
                <c:pt idx="501">
                  <c:v>1900/1/0</c:v>
                </c:pt>
                <c:pt idx="502">
                  <c:v>1900/1/0</c:v>
                </c:pt>
                <c:pt idx="503">
                  <c:v>1900/1/0</c:v>
                </c:pt>
                <c:pt idx="504">
                  <c:v>1900/1/0</c:v>
                </c:pt>
                <c:pt idx="505">
                  <c:v>1900/1/0</c:v>
                </c:pt>
                <c:pt idx="506">
                  <c:v>1900/1/0</c:v>
                </c:pt>
                <c:pt idx="507">
                  <c:v>1900/1/0</c:v>
                </c:pt>
                <c:pt idx="508">
                  <c:v>1900/1/0</c:v>
                </c:pt>
                <c:pt idx="509">
                  <c:v>1900/1/0</c:v>
                </c:pt>
                <c:pt idx="510">
                  <c:v>1900/1/0</c:v>
                </c:pt>
                <c:pt idx="511">
                  <c:v>1900/1/0</c:v>
                </c:pt>
                <c:pt idx="512">
                  <c:v>1900/1/0</c:v>
                </c:pt>
                <c:pt idx="513">
                  <c:v>1900/1/0</c:v>
                </c:pt>
                <c:pt idx="514">
                  <c:v>1900/1/0</c:v>
                </c:pt>
                <c:pt idx="515">
                  <c:v>1900/1/0</c:v>
                </c:pt>
                <c:pt idx="516">
                  <c:v>1900/1/0</c:v>
                </c:pt>
                <c:pt idx="517">
                  <c:v>1900/1/0</c:v>
                </c:pt>
                <c:pt idx="518">
                  <c:v>1900/1/0</c:v>
                </c:pt>
                <c:pt idx="519">
                  <c:v>1900/1/0</c:v>
                </c:pt>
                <c:pt idx="520">
                  <c:v>1900/1/0</c:v>
                </c:pt>
                <c:pt idx="521">
                  <c:v>1900/1/0</c:v>
                </c:pt>
                <c:pt idx="522">
                  <c:v>1900/1/0</c:v>
                </c:pt>
                <c:pt idx="523">
                  <c:v>1900/1/0</c:v>
                </c:pt>
                <c:pt idx="524">
                  <c:v>1900/1/0</c:v>
                </c:pt>
                <c:pt idx="525">
                  <c:v>1900/1/0</c:v>
                </c:pt>
                <c:pt idx="526">
                  <c:v>1900/1/0</c:v>
                </c:pt>
                <c:pt idx="527">
                  <c:v>1900/1/0</c:v>
                </c:pt>
                <c:pt idx="528">
                  <c:v>1900/1/0</c:v>
                </c:pt>
                <c:pt idx="529">
                  <c:v>1900/1/0</c:v>
                </c:pt>
                <c:pt idx="530">
                  <c:v>1900/1/0</c:v>
                </c:pt>
                <c:pt idx="531">
                  <c:v>1900/1/0</c:v>
                </c:pt>
                <c:pt idx="532">
                  <c:v>1900/1/0</c:v>
                </c:pt>
                <c:pt idx="533">
                  <c:v>1900/1/0</c:v>
                </c:pt>
                <c:pt idx="534">
                  <c:v>1900/1/0</c:v>
                </c:pt>
                <c:pt idx="535">
                  <c:v>1900/1/0</c:v>
                </c:pt>
                <c:pt idx="536">
                  <c:v>1900/1/0</c:v>
                </c:pt>
                <c:pt idx="537">
                  <c:v>1900/1/0</c:v>
                </c:pt>
                <c:pt idx="538">
                  <c:v>1900/1/0</c:v>
                </c:pt>
                <c:pt idx="539">
                  <c:v>1900/1/0</c:v>
                </c:pt>
                <c:pt idx="540">
                  <c:v>1900/1/0</c:v>
                </c:pt>
                <c:pt idx="541">
                  <c:v>1900/1/0</c:v>
                </c:pt>
                <c:pt idx="542">
                  <c:v>1900/1/0</c:v>
                </c:pt>
                <c:pt idx="543">
                  <c:v>1900/1/0</c:v>
                </c:pt>
                <c:pt idx="544">
                  <c:v>1900/1/0</c:v>
                </c:pt>
                <c:pt idx="545">
                  <c:v>1900/1/0</c:v>
                </c:pt>
                <c:pt idx="546">
                  <c:v>1900/1/0</c:v>
                </c:pt>
                <c:pt idx="547">
                  <c:v>1900/1/0</c:v>
                </c:pt>
                <c:pt idx="548">
                  <c:v>1900/1/0</c:v>
                </c:pt>
                <c:pt idx="549">
                  <c:v>1900/1/0</c:v>
                </c:pt>
                <c:pt idx="550">
                  <c:v>1900/1/0</c:v>
                </c:pt>
                <c:pt idx="551">
                  <c:v>1900/1/0</c:v>
                </c:pt>
                <c:pt idx="552">
                  <c:v>1900/1/0</c:v>
                </c:pt>
                <c:pt idx="553">
                  <c:v>1900/1/0</c:v>
                </c:pt>
                <c:pt idx="554">
                  <c:v>1900/1/0</c:v>
                </c:pt>
                <c:pt idx="555">
                  <c:v>1900/1/0</c:v>
                </c:pt>
                <c:pt idx="556">
                  <c:v>1900/1/0</c:v>
                </c:pt>
                <c:pt idx="557">
                  <c:v>1900/1/0</c:v>
                </c:pt>
                <c:pt idx="558">
                  <c:v>1900/1/0</c:v>
                </c:pt>
                <c:pt idx="559">
                  <c:v>1900/1/0</c:v>
                </c:pt>
                <c:pt idx="560">
                  <c:v>1900/1/0</c:v>
                </c:pt>
                <c:pt idx="561">
                  <c:v>1900/1/0</c:v>
                </c:pt>
                <c:pt idx="562">
                  <c:v>1900/1/0</c:v>
                </c:pt>
                <c:pt idx="563">
                  <c:v>1900/1/0</c:v>
                </c:pt>
                <c:pt idx="564">
                  <c:v>1900/1/0</c:v>
                </c:pt>
                <c:pt idx="565">
                  <c:v>1900/1/0</c:v>
                </c:pt>
                <c:pt idx="566">
                  <c:v>1900/1/0</c:v>
                </c:pt>
                <c:pt idx="567">
                  <c:v>1900/1/0</c:v>
                </c:pt>
                <c:pt idx="568">
                  <c:v>1900/1/0</c:v>
                </c:pt>
                <c:pt idx="569">
                  <c:v>1900/1/0</c:v>
                </c:pt>
                <c:pt idx="570">
                  <c:v>1900/1/0</c:v>
                </c:pt>
                <c:pt idx="571">
                  <c:v>1900/1/0</c:v>
                </c:pt>
                <c:pt idx="572">
                  <c:v>1900/1/0</c:v>
                </c:pt>
                <c:pt idx="573">
                  <c:v>1900/1/0</c:v>
                </c:pt>
                <c:pt idx="574">
                  <c:v>1900/1/0</c:v>
                </c:pt>
                <c:pt idx="575">
                  <c:v>1900/1/0</c:v>
                </c:pt>
                <c:pt idx="576">
                  <c:v>1900/1/0</c:v>
                </c:pt>
                <c:pt idx="577">
                  <c:v>1900/1/0</c:v>
                </c:pt>
                <c:pt idx="578">
                  <c:v>1900/1/0</c:v>
                </c:pt>
                <c:pt idx="579">
                  <c:v>1900/1/0</c:v>
                </c:pt>
                <c:pt idx="580">
                  <c:v>1900/1/0</c:v>
                </c:pt>
                <c:pt idx="581">
                  <c:v>1900/1/0</c:v>
                </c:pt>
                <c:pt idx="582">
                  <c:v>1900/1/0</c:v>
                </c:pt>
                <c:pt idx="583">
                  <c:v>1900/1/0</c:v>
                </c:pt>
                <c:pt idx="584">
                  <c:v>1900/1/0</c:v>
                </c:pt>
                <c:pt idx="585">
                  <c:v>1900/1/0</c:v>
                </c:pt>
                <c:pt idx="586">
                  <c:v>1900/1/0</c:v>
                </c:pt>
                <c:pt idx="587">
                  <c:v>1900/1/0</c:v>
                </c:pt>
                <c:pt idx="588">
                  <c:v>1900/1/0</c:v>
                </c:pt>
                <c:pt idx="589">
                  <c:v>1900/1/0</c:v>
                </c:pt>
                <c:pt idx="590">
                  <c:v>1900/1/0</c:v>
                </c:pt>
                <c:pt idx="591">
                  <c:v>1900/1/0</c:v>
                </c:pt>
                <c:pt idx="592">
                  <c:v>1900/1/0</c:v>
                </c:pt>
                <c:pt idx="593">
                  <c:v>1900/1/0</c:v>
                </c:pt>
                <c:pt idx="594">
                  <c:v>1900/1/0</c:v>
                </c:pt>
                <c:pt idx="595">
                  <c:v>1900/1/0</c:v>
                </c:pt>
                <c:pt idx="596">
                  <c:v>1900/1/0</c:v>
                </c:pt>
                <c:pt idx="597">
                  <c:v>1900/1/0</c:v>
                </c:pt>
                <c:pt idx="598">
                  <c:v>1900/1/0</c:v>
                </c:pt>
                <c:pt idx="599">
                  <c:v>1900/1/0</c:v>
                </c:pt>
                <c:pt idx="600">
                  <c:v>1900/1/0</c:v>
                </c:pt>
                <c:pt idx="601">
                  <c:v>1900/1/0</c:v>
                </c:pt>
                <c:pt idx="602">
                  <c:v>1900/1/0</c:v>
                </c:pt>
                <c:pt idx="603">
                  <c:v>1900/1/0</c:v>
                </c:pt>
                <c:pt idx="604">
                  <c:v>1900/1/0</c:v>
                </c:pt>
                <c:pt idx="605">
                  <c:v>1900/1/0</c:v>
                </c:pt>
                <c:pt idx="606">
                  <c:v>1900/1/0</c:v>
                </c:pt>
                <c:pt idx="607">
                  <c:v>1900/1/0</c:v>
                </c:pt>
                <c:pt idx="608">
                  <c:v>1900/1/0</c:v>
                </c:pt>
                <c:pt idx="609">
                  <c:v>1900/1/0</c:v>
                </c:pt>
                <c:pt idx="610">
                  <c:v>1900/1/0</c:v>
                </c:pt>
                <c:pt idx="611">
                  <c:v>1900/1/0</c:v>
                </c:pt>
                <c:pt idx="612">
                  <c:v>1900/1/0</c:v>
                </c:pt>
                <c:pt idx="613">
                  <c:v>1900/1/0</c:v>
                </c:pt>
                <c:pt idx="614">
                  <c:v>1900/1/0</c:v>
                </c:pt>
                <c:pt idx="615">
                  <c:v>1900/1/0</c:v>
                </c:pt>
                <c:pt idx="616">
                  <c:v>1900/1/0</c:v>
                </c:pt>
                <c:pt idx="617">
                  <c:v>1900/1/0</c:v>
                </c:pt>
                <c:pt idx="618">
                  <c:v>1900/1/0</c:v>
                </c:pt>
                <c:pt idx="619">
                  <c:v>1900/1/0</c:v>
                </c:pt>
                <c:pt idx="620">
                  <c:v>1900/1/0</c:v>
                </c:pt>
                <c:pt idx="621">
                  <c:v>1900/1/0</c:v>
                </c:pt>
                <c:pt idx="622">
                  <c:v>1900/1/0</c:v>
                </c:pt>
                <c:pt idx="623">
                  <c:v>1900/1/0</c:v>
                </c:pt>
                <c:pt idx="624">
                  <c:v>1900/1/0</c:v>
                </c:pt>
                <c:pt idx="625">
                  <c:v>1900/1/0</c:v>
                </c:pt>
                <c:pt idx="626">
                  <c:v>1900/1/0</c:v>
                </c:pt>
                <c:pt idx="627">
                  <c:v>1900/1/0</c:v>
                </c:pt>
                <c:pt idx="628">
                  <c:v>1900/1/0</c:v>
                </c:pt>
                <c:pt idx="629">
                  <c:v>1900/1/0</c:v>
                </c:pt>
                <c:pt idx="630">
                  <c:v>1900/1/0</c:v>
                </c:pt>
                <c:pt idx="631">
                  <c:v>1900/1/0</c:v>
                </c:pt>
                <c:pt idx="632">
                  <c:v>1900/1/0</c:v>
                </c:pt>
                <c:pt idx="633">
                  <c:v>1900/1/0</c:v>
                </c:pt>
                <c:pt idx="634">
                  <c:v>1900/1/0</c:v>
                </c:pt>
                <c:pt idx="635">
                  <c:v>1900/1/0</c:v>
                </c:pt>
                <c:pt idx="636">
                  <c:v>1900/1/0</c:v>
                </c:pt>
                <c:pt idx="637">
                  <c:v>1900/1/0</c:v>
                </c:pt>
                <c:pt idx="638">
                  <c:v>1900/1/0</c:v>
                </c:pt>
                <c:pt idx="639">
                  <c:v>1900/1/0</c:v>
                </c:pt>
                <c:pt idx="640">
                  <c:v>1900/1/0</c:v>
                </c:pt>
                <c:pt idx="641">
                  <c:v>1900/1/0</c:v>
                </c:pt>
              </c:strCache>
            </c:strRef>
          </c:cat>
          <c:val>
            <c:numRef>
              <c:f>[0]!hs</c:f>
              <c:numCache>
                <c:formatCode>0.00%</c:formatCode>
                <c:ptCount val="642"/>
                <c:pt idx="0">
                  <c:v>0</c:v>
                </c:pt>
                <c:pt idx="1">
                  <c:v>0.21635360399723985</c:v>
                </c:pt>
                <c:pt idx="2">
                  <c:v>0.23682641047636177</c:v>
                </c:pt>
                <c:pt idx="3">
                  <c:v>0.22154322014805863</c:v>
                </c:pt>
                <c:pt idx="4">
                  <c:v>0.22433044638344221</c:v>
                </c:pt>
                <c:pt idx="5">
                  <c:v>0.21144160311378324</c:v>
                </c:pt>
                <c:pt idx="6">
                  <c:v>0.21923317470344697</c:v>
                </c:pt>
                <c:pt idx="7">
                  <c:v>0.28899782448795847</c:v>
                </c:pt>
                <c:pt idx="8">
                  <c:v>0.30609492295309471</c:v>
                </c:pt>
                <c:pt idx="9">
                  <c:v>0.25717166468218727</c:v>
                </c:pt>
                <c:pt idx="10">
                  <c:v>0.23132510353508889</c:v>
                </c:pt>
                <c:pt idx="11">
                  <c:v>0.2322753030451539</c:v>
                </c:pt>
                <c:pt idx="12">
                  <c:v>0.27079108000673746</c:v>
                </c:pt>
                <c:pt idx="13">
                  <c:v>0.29180402650317977</c:v>
                </c:pt>
                <c:pt idx="14">
                  <c:v>0.29074076608927274</c:v>
                </c:pt>
                <c:pt idx="15">
                  <c:v>0.29025710031102886</c:v>
                </c:pt>
                <c:pt idx="16">
                  <c:v>0.25742531140512359</c:v>
                </c:pt>
                <c:pt idx="17">
                  <c:v>0.26862376317039105</c:v>
                </c:pt>
                <c:pt idx="18">
                  <c:v>0.27242739467816141</c:v>
                </c:pt>
                <c:pt idx="19">
                  <c:v>0.26673760030582883</c:v>
                </c:pt>
                <c:pt idx="20">
                  <c:v>0.27748183513929248</c:v>
                </c:pt>
                <c:pt idx="21">
                  <c:v>0.29386665853486982</c:v>
                </c:pt>
                <c:pt idx="22">
                  <c:v>0.29489385760885095</c:v>
                </c:pt>
                <c:pt idx="23">
                  <c:v>0.29705175044825732</c:v>
                </c:pt>
                <c:pt idx="24">
                  <c:v>0.26981351458911618</c:v>
                </c:pt>
                <c:pt idx="25">
                  <c:v>0.26787363716675783</c:v>
                </c:pt>
                <c:pt idx="26">
                  <c:v>0.23350524636985723</c:v>
                </c:pt>
                <c:pt idx="27">
                  <c:v>0.22923230573429423</c:v>
                </c:pt>
                <c:pt idx="28">
                  <c:v>0.27652367232687608</c:v>
                </c:pt>
                <c:pt idx="29">
                  <c:v>0.31673347053664769</c:v>
                </c:pt>
                <c:pt idx="30">
                  <c:v>0.31693038831610276</c:v>
                </c:pt>
                <c:pt idx="31">
                  <c:v>0.32554821283648899</c:v>
                </c:pt>
                <c:pt idx="32">
                  <c:v>0.32385432831778949</c:v>
                </c:pt>
                <c:pt idx="33">
                  <c:v>0.33505989014720494</c:v>
                </c:pt>
                <c:pt idx="34">
                  <c:v>0.33494334451383351</c:v>
                </c:pt>
                <c:pt idx="35">
                  <c:v>0.34285774333466756</c:v>
                </c:pt>
                <c:pt idx="36">
                  <c:v>0.34682172526879645</c:v>
                </c:pt>
                <c:pt idx="37">
                  <c:v>0.35157247657360796</c:v>
                </c:pt>
                <c:pt idx="38">
                  <c:v>0.34415907508193694</c:v>
                </c:pt>
                <c:pt idx="39">
                  <c:v>0.35102196607936981</c:v>
                </c:pt>
                <c:pt idx="40">
                  <c:v>0.35165884524212837</c:v>
                </c:pt>
                <c:pt idx="41">
                  <c:v>0.34954300926100268</c:v>
                </c:pt>
                <c:pt idx="42">
                  <c:v>0.35342257771019603</c:v>
                </c:pt>
                <c:pt idx="43">
                  <c:v>0.35685298239298713</c:v>
                </c:pt>
                <c:pt idx="44">
                  <c:v>0.36629755994870733</c:v>
                </c:pt>
                <c:pt idx="45">
                  <c:v>0.36616137340295324</c:v>
                </c:pt>
                <c:pt idx="46">
                  <c:v>0.37700573244378571</c:v>
                </c:pt>
                <c:pt idx="47">
                  <c:v>0.3785764564189471</c:v>
                </c:pt>
                <c:pt idx="48">
                  <c:v>0.34146218438943066</c:v>
                </c:pt>
                <c:pt idx="49">
                  <c:v>0.33450137351607634</c:v>
                </c:pt>
                <c:pt idx="50">
                  <c:v>0.27482396699050338</c:v>
                </c:pt>
                <c:pt idx="51">
                  <c:v>0.29026121517427583</c:v>
                </c:pt>
                <c:pt idx="52">
                  <c:v>0.27226696410859047</c:v>
                </c:pt>
                <c:pt idx="53">
                  <c:v>0.23412389548214271</c:v>
                </c:pt>
                <c:pt idx="54">
                  <c:v>0.23867984444237583</c:v>
                </c:pt>
                <c:pt idx="55">
                  <c:v>0.21615069944658361</c:v>
                </c:pt>
                <c:pt idx="56">
                  <c:v>0.19048633711174232</c:v>
                </c:pt>
                <c:pt idx="57">
                  <c:v>0.21023157442126381</c:v>
                </c:pt>
                <c:pt idx="58">
                  <c:v>0.21454371377842327</c:v>
                </c:pt>
                <c:pt idx="59">
                  <c:v>0.21570584848569685</c:v>
                </c:pt>
                <c:pt idx="60">
                  <c:v>0.22595122367901541</c:v>
                </c:pt>
                <c:pt idx="61">
                  <c:v>0.20423441564425834</c:v>
                </c:pt>
                <c:pt idx="62">
                  <c:v>0.17236495011416439</c:v>
                </c:pt>
                <c:pt idx="63">
                  <c:v>0.18236506088689175</c:v>
                </c:pt>
                <c:pt idx="64">
                  <c:v>0.18527757776749243</c:v>
                </c:pt>
                <c:pt idx="65">
                  <c:v>0.18971406675557781</c:v>
                </c:pt>
                <c:pt idx="66">
                  <c:v>0.20767427305128125</c:v>
                </c:pt>
                <c:pt idx="67">
                  <c:v>0.19375757292046744</c:v>
                </c:pt>
                <c:pt idx="68">
                  <c:v>0.25013516289138682</c:v>
                </c:pt>
                <c:pt idx="69">
                  <c:v>0.26792744460920292</c:v>
                </c:pt>
                <c:pt idx="70">
                  <c:v>0.26565293677003438</c:v>
                </c:pt>
                <c:pt idx="71">
                  <c:v>0.28048287289946461</c:v>
                </c:pt>
                <c:pt idx="72">
                  <c:v>0.28068464777444962</c:v>
                </c:pt>
                <c:pt idx="73">
                  <c:v>0.28064318093533797</c:v>
                </c:pt>
                <c:pt idx="74">
                  <c:v>0.28032570089018694</c:v>
                </c:pt>
                <c:pt idx="75">
                  <c:v>0.29014536007233632</c:v>
                </c:pt>
                <c:pt idx="76">
                  <c:v>0.29018898936782811</c:v>
                </c:pt>
                <c:pt idx="77">
                  <c:v>0.26654349855059761</c:v>
                </c:pt>
                <c:pt idx="78">
                  <c:v>0.25549114915768301</c:v>
                </c:pt>
                <c:pt idx="79">
                  <c:v>0.25590167285720217</c:v>
                </c:pt>
                <c:pt idx="80">
                  <c:v>0.25331941820419007</c:v>
                </c:pt>
                <c:pt idx="81">
                  <c:v>0.28774477733375403</c:v>
                </c:pt>
                <c:pt idx="82">
                  <c:v>0.30015692660493226</c:v>
                </c:pt>
                <c:pt idx="83">
                  <c:v>0.2895970100139173</c:v>
                </c:pt>
                <c:pt idx="84">
                  <c:v>0.28719949717396481</c:v>
                </c:pt>
                <c:pt idx="85">
                  <c:v>0.28789763769743421</c:v>
                </c:pt>
                <c:pt idx="86">
                  <c:v>0.25475834060050229</c:v>
                </c:pt>
                <c:pt idx="87">
                  <c:v>0.26225240413909023</c:v>
                </c:pt>
                <c:pt idx="88">
                  <c:v>0.25364556679327244</c:v>
                </c:pt>
                <c:pt idx="89">
                  <c:v>0.18454126555011968</c:v>
                </c:pt>
                <c:pt idx="90">
                  <c:v>0.15405241805030026</c:v>
                </c:pt>
                <c:pt idx="91">
                  <c:v>0.17401588237671731</c:v>
                </c:pt>
                <c:pt idx="92">
                  <c:v>0.18557235357106094</c:v>
                </c:pt>
                <c:pt idx="93">
                  <c:v>0.15869666492749007</c:v>
                </c:pt>
                <c:pt idx="94">
                  <c:v>0.16326566381920665</c:v>
                </c:pt>
                <c:pt idx="95">
                  <c:v>0.15992364796146696</c:v>
                </c:pt>
                <c:pt idx="96">
                  <c:v>0.16633916798819898</c:v>
                </c:pt>
                <c:pt idx="97">
                  <c:v>0.12590814391633368</c:v>
                </c:pt>
                <c:pt idx="98">
                  <c:v>0.11175144338476539</c:v>
                </c:pt>
                <c:pt idx="99">
                  <c:v>0.10226131304108514</c:v>
                </c:pt>
                <c:pt idx="100">
                  <c:v>0.111099484988289</c:v>
                </c:pt>
                <c:pt idx="101">
                  <c:v>0.12086710790321961</c:v>
                </c:pt>
                <c:pt idx="102">
                  <c:v>0.12380152381017903</c:v>
                </c:pt>
                <c:pt idx="103">
                  <c:v>0.14185315158543976</c:v>
                </c:pt>
                <c:pt idx="104">
                  <c:v>0.14722353206572017</c:v>
                </c:pt>
                <c:pt idx="105">
                  <c:v>0.14196053903940811</c:v>
                </c:pt>
                <c:pt idx="106">
                  <c:v>0.11135095541765429</c:v>
                </c:pt>
                <c:pt idx="107">
                  <c:v>0.12659019610576561</c:v>
                </c:pt>
                <c:pt idx="108">
                  <c:v>0.12906113083597959</c:v>
                </c:pt>
                <c:pt idx="109">
                  <c:v>0.13084610588743967</c:v>
                </c:pt>
                <c:pt idx="110">
                  <c:v>0.15564574242043377</c:v>
                </c:pt>
                <c:pt idx="111">
                  <c:v>0.1474192872302427</c:v>
                </c:pt>
                <c:pt idx="112">
                  <c:v>0.12106769044880886</c:v>
                </c:pt>
                <c:pt idx="113">
                  <c:v>0.26068180432031557</c:v>
                </c:pt>
                <c:pt idx="114">
                  <c:v>0.29895048853530332</c:v>
                </c:pt>
                <c:pt idx="115">
                  <c:v>0.22379132152099249</c:v>
                </c:pt>
                <c:pt idx="116">
                  <c:v>0.13273916509999584</c:v>
                </c:pt>
                <c:pt idx="117">
                  <c:v>0.12534137856534486</c:v>
                </c:pt>
                <c:pt idx="118">
                  <c:v>7.5355638529244498E-2</c:v>
                </c:pt>
                <c:pt idx="119">
                  <c:v>3.310507155796398E-2</c:v>
                </c:pt>
                <c:pt idx="120">
                  <c:v>2.8217339321927378E-2</c:v>
                </c:pt>
                <c:pt idx="121">
                  <c:v>2.4556890880131934E-2</c:v>
                </c:pt>
                <c:pt idx="122">
                  <c:v>2.4296074487695257E-2</c:v>
                </c:pt>
                <c:pt idx="123">
                  <c:v>2.3720897570546763E-3</c:v>
                </c:pt>
                <c:pt idx="124">
                  <c:v>1.5093002146373187E-5</c:v>
                </c:pt>
                <c:pt idx="125">
                  <c:v>1.5677940975419524E-5</c:v>
                </c:pt>
                <c:pt idx="126">
                  <c:v>1.4135861506662227E-5</c:v>
                </c:pt>
                <c:pt idx="127">
                  <c:v>1.4527815133046421E-5</c:v>
                </c:pt>
                <c:pt idx="128">
                  <c:v>1.4804784580742306E-5</c:v>
                </c:pt>
                <c:pt idx="129">
                  <c:v>1.3484995972227648E-5</c:v>
                </c:pt>
                <c:pt idx="130">
                  <c:v>1.1529414255978873E-5</c:v>
                </c:pt>
                <c:pt idx="131">
                  <c:v>2.0194212352209192E-2</c:v>
                </c:pt>
                <c:pt idx="132">
                  <c:v>1.1104773496007581E-5</c:v>
                </c:pt>
                <c:pt idx="133">
                  <c:v>8.7056615983444455E-2</c:v>
                </c:pt>
                <c:pt idx="134">
                  <c:v>8.7137106768211195E-2</c:v>
                </c:pt>
                <c:pt idx="135">
                  <c:v>9.9328957138566265E-2</c:v>
                </c:pt>
                <c:pt idx="136">
                  <c:v>0.1325261095632459</c:v>
                </c:pt>
                <c:pt idx="137">
                  <c:v>0.11903475940068511</c:v>
                </c:pt>
                <c:pt idx="138">
                  <c:v>0.16585384503594056</c:v>
                </c:pt>
                <c:pt idx="139">
                  <c:v>0.17427859402981044</c:v>
                </c:pt>
                <c:pt idx="140">
                  <c:v>0.19841594410569088</c:v>
                </c:pt>
                <c:pt idx="141">
                  <c:v>0.19618734255904755</c:v>
                </c:pt>
                <c:pt idx="142">
                  <c:v>0.20827584556493506</c:v>
                </c:pt>
                <c:pt idx="143">
                  <c:v>0.20550483999799846</c:v>
                </c:pt>
                <c:pt idx="144">
                  <c:v>0.17883638105337898</c:v>
                </c:pt>
                <c:pt idx="145">
                  <c:v>0.20468545554654016</c:v>
                </c:pt>
                <c:pt idx="146">
                  <c:v>0.21246487643285358</c:v>
                </c:pt>
                <c:pt idx="147">
                  <c:v>0.1736188328851471</c:v>
                </c:pt>
                <c:pt idx="148">
                  <c:v>0.17222669847734132</c:v>
                </c:pt>
                <c:pt idx="149">
                  <c:v>0.17468808775879818</c:v>
                </c:pt>
                <c:pt idx="150">
                  <c:v>0.26695871412314687</c:v>
                </c:pt>
                <c:pt idx="151">
                  <c:v>0.43415409834923785</c:v>
                </c:pt>
                <c:pt idx="152">
                  <c:v>0.46327330761896729</c:v>
                </c:pt>
                <c:pt idx="153">
                  <c:v>0.52999840786198171</c:v>
                </c:pt>
                <c:pt idx="154">
                  <c:v>0.60076399982318784</c:v>
                </c:pt>
                <c:pt idx="155">
                  <c:v>0.58216845067775513</c:v>
                </c:pt>
                <c:pt idx="156">
                  <c:v>0.38573236314858772</c:v>
                </c:pt>
                <c:pt idx="157">
                  <c:v>0.35879030674876872</c:v>
                </c:pt>
                <c:pt idx="158">
                  <c:v>0.44804946747214952</c:v>
                </c:pt>
                <c:pt idx="159">
                  <c:v>0.44241845563925847</c:v>
                </c:pt>
                <c:pt idx="160">
                  <c:v>0.46960325843254758</c:v>
                </c:pt>
                <c:pt idx="161">
                  <c:v>0.46911478485281605</c:v>
                </c:pt>
                <c:pt idx="162">
                  <c:v>0.4712700734989092</c:v>
                </c:pt>
                <c:pt idx="163">
                  <c:v>0.44640045818324292</c:v>
                </c:pt>
                <c:pt idx="164">
                  <c:v>0.46953444233192454</c:v>
                </c:pt>
                <c:pt idx="165">
                  <c:v>0.46624196780365912</c:v>
                </c:pt>
                <c:pt idx="166">
                  <c:v>0.47831755223870748</c:v>
                </c:pt>
                <c:pt idx="167">
                  <c:v>0.43709914003430073</c:v>
                </c:pt>
                <c:pt idx="168">
                  <c:v>0.41850214826929355</c:v>
                </c:pt>
                <c:pt idx="169">
                  <c:v>0.40737171948293432</c:v>
                </c:pt>
                <c:pt idx="170">
                  <c:v>0.35065757861217151</c:v>
                </c:pt>
                <c:pt idx="171">
                  <c:v>0.3707178946085829</c:v>
                </c:pt>
                <c:pt idx="172">
                  <c:v>0.37317149727295529</c:v>
                </c:pt>
                <c:pt idx="173">
                  <c:v>0.38999508085613033</c:v>
                </c:pt>
                <c:pt idx="174">
                  <c:v>0.33803592058174764</c:v>
                </c:pt>
                <c:pt idx="175">
                  <c:v>0.35026050297611683</c:v>
                </c:pt>
                <c:pt idx="176">
                  <c:v>0.42244696772591911</c:v>
                </c:pt>
                <c:pt idx="177">
                  <c:v>0.46748178108382688</c:v>
                </c:pt>
                <c:pt idx="178">
                  <c:v>0.44560211113854403</c:v>
                </c:pt>
                <c:pt idx="179">
                  <c:v>0.5022318763904724</c:v>
                </c:pt>
                <c:pt idx="180">
                  <c:v>0.48766547330951743</c:v>
                </c:pt>
                <c:pt idx="181">
                  <c:v>0.48722431242492237</c:v>
                </c:pt>
                <c:pt idx="182">
                  <c:v>0.49242023184095524</c:v>
                </c:pt>
                <c:pt idx="183">
                  <c:v>0.53911870476003132</c:v>
                </c:pt>
                <c:pt idx="184">
                  <c:v>0.52858768320657445</c:v>
                </c:pt>
                <c:pt idx="185">
                  <c:v>0.53859285260383882</c:v>
                </c:pt>
                <c:pt idx="186">
                  <c:v>0.53633660007833006</c:v>
                </c:pt>
                <c:pt idx="187">
                  <c:v>0.54603205863400384</c:v>
                </c:pt>
                <c:pt idx="188">
                  <c:v>0.52337008207563296</c:v>
                </c:pt>
                <c:pt idx="189">
                  <c:v>0.50213234006255969</c:v>
                </c:pt>
                <c:pt idx="190">
                  <c:v>0.51605600065783697</c:v>
                </c:pt>
                <c:pt idx="191">
                  <c:v>0.53443864601700353</c:v>
                </c:pt>
                <c:pt idx="192">
                  <c:v>0.56698469348549485</c:v>
                </c:pt>
                <c:pt idx="193">
                  <c:v>0.57219832530869419</c:v>
                </c:pt>
                <c:pt idx="194">
                  <c:v>0.57529055358674974</c:v>
                </c:pt>
                <c:pt idx="195">
                  <c:v>0.58807650862352268</c:v>
                </c:pt>
                <c:pt idx="196">
                  <c:v>0.57987172706202528</c:v>
                </c:pt>
                <c:pt idx="197">
                  <c:v>0.57034114585379436</c:v>
                </c:pt>
                <c:pt idx="198">
                  <c:v>0.56262268943139027</c:v>
                </c:pt>
                <c:pt idx="199">
                  <c:v>0.53521185434959861</c:v>
                </c:pt>
                <c:pt idx="200">
                  <c:v>0.54943474581337803</c:v>
                </c:pt>
                <c:pt idx="201">
                  <c:v>0.55541723735510939</c:v>
                </c:pt>
                <c:pt idx="202">
                  <c:v>0.55580597284693811</c:v>
                </c:pt>
                <c:pt idx="203">
                  <c:v>0.54957053761542218</c:v>
                </c:pt>
                <c:pt idx="204">
                  <c:v>0.55767232416698709</c:v>
                </c:pt>
                <c:pt idx="205">
                  <c:v>0.53933595366942533</c:v>
                </c:pt>
                <c:pt idx="206">
                  <c:v>0.53768434460083847</c:v>
                </c:pt>
                <c:pt idx="207">
                  <c:v>0.52900263810403114</c:v>
                </c:pt>
                <c:pt idx="208">
                  <c:v>0.55145861092923021</c:v>
                </c:pt>
                <c:pt idx="209">
                  <c:v>0.59621391887650566</c:v>
                </c:pt>
                <c:pt idx="210">
                  <c:v>0.58513921080935494</c:v>
                </c:pt>
                <c:pt idx="211">
                  <c:v>0.56259732462682932</c:v>
                </c:pt>
                <c:pt idx="212">
                  <c:v>0.47026484025308157</c:v>
                </c:pt>
                <c:pt idx="213">
                  <c:v>0.45151123483151873</c:v>
                </c:pt>
                <c:pt idx="214">
                  <c:v>0.512082267107277</c:v>
                </c:pt>
                <c:pt idx="215">
                  <c:v>0.4779312619090248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BD-4945-A0CC-9CCF2CAFED03}"/>
            </c:ext>
          </c:extLst>
        </c:ser>
        <c:ser>
          <c:idx val="1"/>
          <c:order val="1"/>
          <c:tx>
            <c:strRef>
              <c:f>figure!$C$1</c:f>
              <c:strCache>
                <c:ptCount val="1"/>
                <c:pt idx="0">
                  <c:v>中证500</c:v>
                </c:pt>
              </c:strCache>
            </c:strRef>
          </c:tx>
          <c:cat>
            <c:strRef>
              <c:f>[0]!time</c:f>
              <c:strCache>
                <c:ptCount val="642"/>
                <c:pt idx="1">
                  <c:v>2014/3/17</c:v>
                </c:pt>
                <c:pt idx="2">
                  <c:v>2014/3/24</c:v>
                </c:pt>
                <c:pt idx="3">
                  <c:v>2014/3/31</c:v>
                </c:pt>
                <c:pt idx="4">
                  <c:v>2014/4/7</c:v>
                </c:pt>
                <c:pt idx="5">
                  <c:v>2014/4/14</c:v>
                </c:pt>
                <c:pt idx="6">
                  <c:v>2014/4/21</c:v>
                </c:pt>
                <c:pt idx="7">
                  <c:v>2014/4/28</c:v>
                </c:pt>
                <c:pt idx="8">
                  <c:v>2014/5/5</c:v>
                </c:pt>
                <c:pt idx="9">
                  <c:v>2014/5/12</c:v>
                </c:pt>
                <c:pt idx="10">
                  <c:v>2014/5/19</c:v>
                </c:pt>
                <c:pt idx="11">
                  <c:v>2014/5/26</c:v>
                </c:pt>
                <c:pt idx="12">
                  <c:v>2014/6/2</c:v>
                </c:pt>
                <c:pt idx="13">
                  <c:v>2014/6/9</c:v>
                </c:pt>
                <c:pt idx="14">
                  <c:v>2014/6/16</c:v>
                </c:pt>
                <c:pt idx="15">
                  <c:v>2014/6/23</c:v>
                </c:pt>
                <c:pt idx="16">
                  <c:v>2014/6/30</c:v>
                </c:pt>
                <c:pt idx="17">
                  <c:v>2014/7/6</c:v>
                </c:pt>
                <c:pt idx="18">
                  <c:v>2014/7/14</c:v>
                </c:pt>
                <c:pt idx="19">
                  <c:v>2014/7/21</c:v>
                </c:pt>
                <c:pt idx="20">
                  <c:v>2014/7/27</c:v>
                </c:pt>
                <c:pt idx="21">
                  <c:v>2014/8/4</c:v>
                </c:pt>
                <c:pt idx="22">
                  <c:v>2014/8/11</c:v>
                </c:pt>
                <c:pt idx="23">
                  <c:v>2014/8/18</c:v>
                </c:pt>
                <c:pt idx="24">
                  <c:v>2014/8/25</c:v>
                </c:pt>
                <c:pt idx="25">
                  <c:v>2014/9/1</c:v>
                </c:pt>
                <c:pt idx="26">
                  <c:v>2014/9/8</c:v>
                </c:pt>
                <c:pt idx="27">
                  <c:v>2014/9/15</c:v>
                </c:pt>
                <c:pt idx="28">
                  <c:v>2014/9/22</c:v>
                </c:pt>
                <c:pt idx="29">
                  <c:v>2014/9/29</c:v>
                </c:pt>
                <c:pt idx="30">
                  <c:v>2014/10/6</c:v>
                </c:pt>
                <c:pt idx="31">
                  <c:v>2014/10/13</c:v>
                </c:pt>
                <c:pt idx="32">
                  <c:v>2014/10/20</c:v>
                </c:pt>
                <c:pt idx="33">
                  <c:v>2014/10/26</c:v>
                </c:pt>
                <c:pt idx="34">
                  <c:v>2014/11/3</c:v>
                </c:pt>
                <c:pt idx="35">
                  <c:v>2014/11/10</c:v>
                </c:pt>
                <c:pt idx="36">
                  <c:v>2014/11/17</c:v>
                </c:pt>
                <c:pt idx="37">
                  <c:v>2014/11/24</c:v>
                </c:pt>
                <c:pt idx="38">
                  <c:v>2014/12/1</c:v>
                </c:pt>
                <c:pt idx="39">
                  <c:v>2014/12/7</c:v>
                </c:pt>
                <c:pt idx="40">
                  <c:v>2014/12/14</c:v>
                </c:pt>
                <c:pt idx="41">
                  <c:v>2014/12/22</c:v>
                </c:pt>
                <c:pt idx="42">
                  <c:v>2014/12/29</c:v>
                </c:pt>
                <c:pt idx="43">
                  <c:v>2015/1/5</c:v>
                </c:pt>
                <c:pt idx="44">
                  <c:v>2015/1/12</c:v>
                </c:pt>
                <c:pt idx="45">
                  <c:v>2015/1/19</c:v>
                </c:pt>
                <c:pt idx="46">
                  <c:v>2015/1/26</c:v>
                </c:pt>
                <c:pt idx="47">
                  <c:v>2015/2/2</c:v>
                </c:pt>
                <c:pt idx="48">
                  <c:v>2015/2/9</c:v>
                </c:pt>
                <c:pt idx="49">
                  <c:v>2015/2/16</c:v>
                </c:pt>
                <c:pt idx="50">
                  <c:v>2015/2/23</c:v>
                </c:pt>
                <c:pt idx="51">
                  <c:v>2015/3/2</c:v>
                </c:pt>
                <c:pt idx="52">
                  <c:v>2015/3/8</c:v>
                </c:pt>
                <c:pt idx="53">
                  <c:v>2015/3/16</c:v>
                </c:pt>
                <c:pt idx="54">
                  <c:v>2015/3/23</c:v>
                </c:pt>
                <c:pt idx="55">
                  <c:v>2015/3/30</c:v>
                </c:pt>
                <c:pt idx="56">
                  <c:v>2015/4/6</c:v>
                </c:pt>
                <c:pt idx="57">
                  <c:v>2015/4/13</c:v>
                </c:pt>
                <c:pt idx="58">
                  <c:v>2015/4/20</c:v>
                </c:pt>
                <c:pt idx="59">
                  <c:v>2015/4/26</c:v>
                </c:pt>
                <c:pt idx="60">
                  <c:v>2015/5/4</c:v>
                </c:pt>
                <c:pt idx="61">
                  <c:v>2015/5/11</c:v>
                </c:pt>
                <c:pt idx="62">
                  <c:v>2015/5/18</c:v>
                </c:pt>
                <c:pt idx="63">
                  <c:v>2015/5/25</c:v>
                </c:pt>
                <c:pt idx="64">
                  <c:v>2015/6/1</c:v>
                </c:pt>
                <c:pt idx="65">
                  <c:v>2015/6/8</c:v>
                </c:pt>
                <c:pt idx="66">
                  <c:v>2015/6/15</c:v>
                </c:pt>
                <c:pt idx="67">
                  <c:v>2015/6/22</c:v>
                </c:pt>
                <c:pt idx="68">
                  <c:v>2015/6/28</c:v>
                </c:pt>
                <c:pt idx="69">
                  <c:v>2015/7/6</c:v>
                </c:pt>
                <c:pt idx="70">
                  <c:v>2015/7/13</c:v>
                </c:pt>
                <c:pt idx="71">
                  <c:v>2015/7/20</c:v>
                </c:pt>
                <c:pt idx="72">
                  <c:v>2015/7/26</c:v>
                </c:pt>
                <c:pt idx="73">
                  <c:v>2015/8/3</c:v>
                </c:pt>
                <c:pt idx="74">
                  <c:v>2015/8/10</c:v>
                </c:pt>
                <c:pt idx="75">
                  <c:v>2015/8/17</c:v>
                </c:pt>
                <c:pt idx="76">
                  <c:v>2015/8/24</c:v>
                </c:pt>
                <c:pt idx="77">
                  <c:v>2015/8/31</c:v>
                </c:pt>
                <c:pt idx="78">
                  <c:v>2015/9/7</c:v>
                </c:pt>
                <c:pt idx="79">
                  <c:v>2015/9/14</c:v>
                </c:pt>
                <c:pt idx="80">
                  <c:v>2015/9/21</c:v>
                </c:pt>
                <c:pt idx="81">
                  <c:v>2015/9/28</c:v>
                </c:pt>
                <c:pt idx="82">
                  <c:v>2015/10/5</c:v>
                </c:pt>
                <c:pt idx="83">
                  <c:v>2015/10/12</c:v>
                </c:pt>
                <c:pt idx="84">
                  <c:v>2015/10/19</c:v>
                </c:pt>
                <c:pt idx="85">
                  <c:v>2015/10/26</c:v>
                </c:pt>
                <c:pt idx="86">
                  <c:v>2015/11/2</c:v>
                </c:pt>
                <c:pt idx="87">
                  <c:v>2015/11/8</c:v>
                </c:pt>
                <c:pt idx="88">
                  <c:v>2015/11/16</c:v>
                </c:pt>
                <c:pt idx="89">
                  <c:v>2015/11/23</c:v>
                </c:pt>
                <c:pt idx="90">
                  <c:v>2015/11/30</c:v>
                </c:pt>
                <c:pt idx="91">
                  <c:v>2015/12/10</c:v>
                </c:pt>
                <c:pt idx="92">
                  <c:v>2015/12/18</c:v>
                </c:pt>
                <c:pt idx="93">
                  <c:v>2015/12/25</c:v>
                </c:pt>
                <c:pt idx="94">
                  <c:v>2016/1/1</c:v>
                </c:pt>
                <c:pt idx="95">
                  <c:v>2016/1/8</c:v>
                </c:pt>
                <c:pt idx="96">
                  <c:v>2016/1/15</c:v>
                </c:pt>
                <c:pt idx="97">
                  <c:v>2016/1/22</c:v>
                </c:pt>
                <c:pt idx="98">
                  <c:v>2016/1/29</c:v>
                </c:pt>
                <c:pt idx="99">
                  <c:v>2016/2/5</c:v>
                </c:pt>
                <c:pt idx="100">
                  <c:v>2016/2/12</c:v>
                </c:pt>
                <c:pt idx="101">
                  <c:v>2016/2/19</c:v>
                </c:pt>
                <c:pt idx="102">
                  <c:v>2016/2/26</c:v>
                </c:pt>
                <c:pt idx="103">
                  <c:v>2016/3/4</c:v>
                </c:pt>
                <c:pt idx="104">
                  <c:v>2016/3/10</c:v>
                </c:pt>
                <c:pt idx="105">
                  <c:v>2016/3/18</c:v>
                </c:pt>
                <c:pt idx="106">
                  <c:v>2016/3/25</c:v>
                </c:pt>
                <c:pt idx="107">
                  <c:v>2016/3/31</c:v>
                </c:pt>
                <c:pt idx="108">
                  <c:v>2016/4/8</c:v>
                </c:pt>
                <c:pt idx="109">
                  <c:v>2016/4/15</c:v>
                </c:pt>
                <c:pt idx="110">
                  <c:v>2016/4/25</c:v>
                </c:pt>
                <c:pt idx="111">
                  <c:v>2016/5/2</c:v>
                </c:pt>
                <c:pt idx="112">
                  <c:v>2016/5/9</c:v>
                </c:pt>
                <c:pt idx="113">
                  <c:v>2016/5/16</c:v>
                </c:pt>
                <c:pt idx="114">
                  <c:v>2016/5/23</c:v>
                </c:pt>
                <c:pt idx="115">
                  <c:v>2016/5/30</c:v>
                </c:pt>
                <c:pt idx="116">
                  <c:v>2016/6/6</c:v>
                </c:pt>
                <c:pt idx="117">
                  <c:v>2016/6/13</c:v>
                </c:pt>
                <c:pt idx="118">
                  <c:v>2016/6/20</c:v>
                </c:pt>
                <c:pt idx="119">
                  <c:v>2016/6/27</c:v>
                </c:pt>
                <c:pt idx="120">
                  <c:v>2016/7/4</c:v>
                </c:pt>
                <c:pt idx="121">
                  <c:v>2016/7/10</c:v>
                </c:pt>
                <c:pt idx="122">
                  <c:v>2016/7/18</c:v>
                </c:pt>
                <c:pt idx="123">
                  <c:v>2016/7/25</c:v>
                </c:pt>
                <c:pt idx="124">
                  <c:v>2016/8/5</c:v>
                </c:pt>
                <c:pt idx="125">
                  <c:v>2016/8/12</c:v>
                </c:pt>
                <c:pt idx="126">
                  <c:v>2016/8/18</c:v>
                </c:pt>
                <c:pt idx="127">
                  <c:v>2016/8/26</c:v>
                </c:pt>
                <c:pt idx="128">
                  <c:v>2016/9/2</c:v>
                </c:pt>
                <c:pt idx="129">
                  <c:v>2016/9/9</c:v>
                </c:pt>
                <c:pt idx="130">
                  <c:v>2016/9/16</c:v>
                </c:pt>
                <c:pt idx="131">
                  <c:v>2016/9/23</c:v>
                </c:pt>
                <c:pt idx="132">
                  <c:v>2016/9/30</c:v>
                </c:pt>
                <c:pt idx="133">
                  <c:v>2016/10/7</c:v>
                </c:pt>
                <c:pt idx="134">
                  <c:v>2016/10/14</c:v>
                </c:pt>
                <c:pt idx="135">
                  <c:v>2016/10/21</c:v>
                </c:pt>
                <c:pt idx="136">
                  <c:v>2016/10/28</c:v>
                </c:pt>
                <c:pt idx="137">
                  <c:v>2016/11/4</c:v>
                </c:pt>
                <c:pt idx="138">
                  <c:v>2016/11/11</c:v>
                </c:pt>
                <c:pt idx="139">
                  <c:v>2016/11/17</c:v>
                </c:pt>
                <c:pt idx="140">
                  <c:v>2016/11/24</c:v>
                </c:pt>
                <c:pt idx="141">
                  <c:v>2016/12/2</c:v>
                </c:pt>
                <c:pt idx="142">
                  <c:v>2016/12/9</c:v>
                </c:pt>
                <c:pt idx="143">
                  <c:v>2016/12/19</c:v>
                </c:pt>
                <c:pt idx="144">
                  <c:v>2016/12/26</c:v>
                </c:pt>
                <c:pt idx="145">
                  <c:v>2017/1/2</c:v>
                </c:pt>
                <c:pt idx="146">
                  <c:v>2017/1/9</c:v>
                </c:pt>
                <c:pt idx="147">
                  <c:v>2017/1/16</c:v>
                </c:pt>
                <c:pt idx="148">
                  <c:v>2017/1/23</c:v>
                </c:pt>
                <c:pt idx="149">
                  <c:v>2017/1/30</c:v>
                </c:pt>
                <c:pt idx="150">
                  <c:v>2017/2/6</c:v>
                </c:pt>
                <c:pt idx="151">
                  <c:v>2017/2/13</c:v>
                </c:pt>
                <c:pt idx="152">
                  <c:v>2017/2/20</c:v>
                </c:pt>
                <c:pt idx="153">
                  <c:v>2017/2/27</c:v>
                </c:pt>
                <c:pt idx="154">
                  <c:v>2017/3/6</c:v>
                </c:pt>
                <c:pt idx="155">
                  <c:v>2017/3/13</c:v>
                </c:pt>
                <c:pt idx="156">
                  <c:v>2017/3/20</c:v>
                </c:pt>
                <c:pt idx="157">
                  <c:v>2017/3/27</c:v>
                </c:pt>
                <c:pt idx="158">
                  <c:v>2017/4/3</c:v>
                </c:pt>
                <c:pt idx="159">
                  <c:v>2017/4/10</c:v>
                </c:pt>
                <c:pt idx="160">
                  <c:v>2017/4/17</c:v>
                </c:pt>
                <c:pt idx="161">
                  <c:v>2017/4/24</c:v>
                </c:pt>
                <c:pt idx="162">
                  <c:v>2017/5/1</c:v>
                </c:pt>
                <c:pt idx="163">
                  <c:v>2017/5/8</c:v>
                </c:pt>
                <c:pt idx="164">
                  <c:v>2017/5/15</c:v>
                </c:pt>
                <c:pt idx="165">
                  <c:v>2017/5/22</c:v>
                </c:pt>
                <c:pt idx="166">
                  <c:v>2017/5/29</c:v>
                </c:pt>
                <c:pt idx="167">
                  <c:v>2017/6/5</c:v>
                </c:pt>
                <c:pt idx="168">
                  <c:v>2017/6/12</c:v>
                </c:pt>
                <c:pt idx="169">
                  <c:v>2017/6/19</c:v>
                </c:pt>
                <c:pt idx="170">
                  <c:v>2017/6/26</c:v>
                </c:pt>
                <c:pt idx="171">
                  <c:v>2017/7/3</c:v>
                </c:pt>
                <c:pt idx="172">
                  <c:v>2017/7/10</c:v>
                </c:pt>
                <c:pt idx="173">
                  <c:v>2017/7/17</c:v>
                </c:pt>
                <c:pt idx="174">
                  <c:v>2017/7/24</c:v>
                </c:pt>
                <c:pt idx="175">
                  <c:v>2017/8/4</c:v>
                </c:pt>
                <c:pt idx="176">
                  <c:v>2017/8/11</c:v>
                </c:pt>
                <c:pt idx="177">
                  <c:v>2017/8/18</c:v>
                </c:pt>
                <c:pt idx="178">
                  <c:v>2017/8/25</c:v>
                </c:pt>
                <c:pt idx="179">
                  <c:v>2017/9/1</c:v>
                </c:pt>
                <c:pt idx="180">
                  <c:v>2017/9/8</c:v>
                </c:pt>
                <c:pt idx="181">
                  <c:v>2017/9/15</c:v>
                </c:pt>
                <c:pt idx="182">
                  <c:v>2017/9/22</c:v>
                </c:pt>
                <c:pt idx="183">
                  <c:v>2017/9/29</c:v>
                </c:pt>
                <c:pt idx="184">
                  <c:v>2017/10/6</c:v>
                </c:pt>
                <c:pt idx="185">
                  <c:v>2017/10/13</c:v>
                </c:pt>
                <c:pt idx="186">
                  <c:v>2017/10/20</c:v>
                </c:pt>
                <c:pt idx="187">
                  <c:v>2017/10/27</c:v>
                </c:pt>
                <c:pt idx="188">
                  <c:v>2017/11/3</c:v>
                </c:pt>
                <c:pt idx="189">
                  <c:v>2017/11/10</c:v>
                </c:pt>
                <c:pt idx="190">
                  <c:v>2017/11/17</c:v>
                </c:pt>
                <c:pt idx="191">
                  <c:v>2017/11/24</c:v>
                </c:pt>
                <c:pt idx="192">
                  <c:v>2017/12/1</c:v>
                </c:pt>
                <c:pt idx="193">
                  <c:v>2017/12/7</c:v>
                </c:pt>
                <c:pt idx="194">
                  <c:v>2017/12/18</c:v>
                </c:pt>
                <c:pt idx="195">
                  <c:v>2017/12/25</c:v>
                </c:pt>
                <c:pt idx="196">
                  <c:v>2018/1/1</c:v>
                </c:pt>
                <c:pt idx="197">
                  <c:v>2018/1/8</c:v>
                </c:pt>
                <c:pt idx="198">
                  <c:v>2018/1/15</c:v>
                </c:pt>
                <c:pt idx="199">
                  <c:v>2018/1/22</c:v>
                </c:pt>
                <c:pt idx="200">
                  <c:v>2018/1/28</c:v>
                </c:pt>
                <c:pt idx="201">
                  <c:v>2018/2/5</c:v>
                </c:pt>
                <c:pt idx="202">
                  <c:v>2018/2/12</c:v>
                </c:pt>
                <c:pt idx="203">
                  <c:v>2018/2/19</c:v>
                </c:pt>
                <c:pt idx="204">
                  <c:v>2018/2/26</c:v>
                </c:pt>
                <c:pt idx="205">
                  <c:v>2018/3/5</c:v>
                </c:pt>
                <c:pt idx="206">
                  <c:v>2018/3/12</c:v>
                </c:pt>
                <c:pt idx="207">
                  <c:v>2018/3/19</c:v>
                </c:pt>
                <c:pt idx="208">
                  <c:v>2018/3/26</c:v>
                </c:pt>
                <c:pt idx="209">
                  <c:v>2018/4/2</c:v>
                </c:pt>
                <c:pt idx="210">
                  <c:v>2018/4/9</c:v>
                </c:pt>
                <c:pt idx="211">
                  <c:v>2018/4/16</c:v>
                </c:pt>
                <c:pt idx="212">
                  <c:v>2018/4/22</c:v>
                </c:pt>
                <c:pt idx="213">
                  <c:v>2018/4/30</c:v>
                </c:pt>
                <c:pt idx="214">
                  <c:v>2018/5/7</c:v>
                </c:pt>
                <c:pt idx="215">
                  <c:v>2018/5/14</c:v>
                </c:pt>
                <c:pt idx="216">
                  <c:v>1900/1/0</c:v>
                </c:pt>
                <c:pt idx="217">
                  <c:v>1900/1/0</c:v>
                </c:pt>
                <c:pt idx="218">
                  <c:v>1900/1/0</c:v>
                </c:pt>
                <c:pt idx="219">
                  <c:v>1900/1/0</c:v>
                </c:pt>
                <c:pt idx="220">
                  <c:v>1900/1/0</c:v>
                </c:pt>
                <c:pt idx="221">
                  <c:v>1900/1/0</c:v>
                </c:pt>
                <c:pt idx="222">
                  <c:v>1900/1/0</c:v>
                </c:pt>
                <c:pt idx="223">
                  <c:v>1900/1/0</c:v>
                </c:pt>
                <c:pt idx="224">
                  <c:v>1900/1/0</c:v>
                </c:pt>
                <c:pt idx="225">
                  <c:v>1900/1/0</c:v>
                </c:pt>
                <c:pt idx="226">
                  <c:v>1900/1/0</c:v>
                </c:pt>
                <c:pt idx="227">
                  <c:v>1900/1/0</c:v>
                </c:pt>
                <c:pt idx="228">
                  <c:v>1900/1/0</c:v>
                </c:pt>
                <c:pt idx="229">
                  <c:v>1900/1/0</c:v>
                </c:pt>
                <c:pt idx="230">
                  <c:v>1900/1/0</c:v>
                </c:pt>
                <c:pt idx="231">
                  <c:v>1900/1/0</c:v>
                </c:pt>
                <c:pt idx="232">
                  <c:v>1900/1/0</c:v>
                </c:pt>
                <c:pt idx="233">
                  <c:v>1900/1/0</c:v>
                </c:pt>
                <c:pt idx="234">
                  <c:v>1900/1/0</c:v>
                </c:pt>
                <c:pt idx="235">
                  <c:v>1900/1/0</c:v>
                </c:pt>
                <c:pt idx="236">
                  <c:v>1900/1/0</c:v>
                </c:pt>
                <c:pt idx="237">
                  <c:v>1900/1/0</c:v>
                </c:pt>
                <c:pt idx="238">
                  <c:v>1900/1/0</c:v>
                </c:pt>
                <c:pt idx="239">
                  <c:v>1900/1/0</c:v>
                </c:pt>
                <c:pt idx="240">
                  <c:v>1900/1/0</c:v>
                </c:pt>
                <c:pt idx="241">
                  <c:v>1900/1/0</c:v>
                </c:pt>
                <c:pt idx="242">
                  <c:v>1900/1/0</c:v>
                </c:pt>
                <c:pt idx="243">
                  <c:v>1900/1/0</c:v>
                </c:pt>
                <c:pt idx="244">
                  <c:v>1900/1/0</c:v>
                </c:pt>
                <c:pt idx="245">
                  <c:v>1900/1/0</c:v>
                </c:pt>
                <c:pt idx="246">
                  <c:v>1900/1/0</c:v>
                </c:pt>
                <c:pt idx="247">
                  <c:v>1900/1/0</c:v>
                </c:pt>
                <c:pt idx="248">
                  <c:v>1900/1/0</c:v>
                </c:pt>
                <c:pt idx="249">
                  <c:v>1900/1/0</c:v>
                </c:pt>
                <c:pt idx="250">
                  <c:v>1900/1/0</c:v>
                </c:pt>
                <c:pt idx="251">
                  <c:v>1900/1/0</c:v>
                </c:pt>
                <c:pt idx="252">
                  <c:v>1900/1/0</c:v>
                </c:pt>
                <c:pt idx="253">
                  <c:v>1900/1/0</c:v>
                </c:pt>
                <c:pt idx="254">
                  <c:v>1900/1/0</c:v>
                </c:pt>
                <c:pt idx="255">
                  <c:v>1900/1/0</c:v>
                </c:pt>
                <c:pt idx="256">
                  <c:v>1900/1/0</c:v>
                </c:pt>
                <c:pt idx="257">
                  <c:v>1900/1/0</c:v>
                </c:pt>
                <c:pt idx="258">
                  <c:v>1900/1/0</c:v>
                </c:pt>
                <c:pt idx="259">
                  <c:v>1900/1/0</c:v>
                </c:pt>
                <c:pt idx="260">
                  <c:v>1900/1/0</c:v>
                </c:pt>
                <c:pt idx="261">
                  <c:v>1900/1/0</c:v>
                </c:pt>
                <c:pt idx="262">
                  <c:v>1900/1/0</c:v>
                </c:pt>
                <c:pt idx="263">
                  <c:v>1900/1/0</c:v>
                </c:pt>
                <c:pt idx="264">
                  <c:v>1900/1/0</c:v>
                </c:pt>
                <c:pt idx="265">
                  <c:v>1900/1/0</c:v>
                </c:pt>
                <c:pt idx="266">
                  <c:v>1900/1/0</c:v>
                </c:pt>
                <c:pt idx="267">
                  <c:v>1900/1/0</c:v>
                </c:pt>
                <c:pt idx="268">
                  <c:v>1900/1/0</c:v>
                </c:pt>
                <c:pt idx="269">
                  <c:v>1900/1/0</c:v>
                </c:pt>
                <c:pt idx="270">
                  <c:v>1900/1/0</c:v>
                </c:pt>
                <c:pt idx="271">
                  <c:v>1900/1/0</c:v>
                </c:pt>
                <c:pt idx="272">
                  <c:v>1900/1/0</c:v>
                </c:pt>
                <c:pt idx="273">
                  <c:v>1900/1/0</c:v>
                </c:pt>
                <c:pt idx="274">
                  <c:v>1900/1/0</c:v>
                </c:pt>
                <c:pt idx="275">
                  <c:v>1900/1/0</c:v>
                </c:pt>
                <c:pt idx="276">
                  <c:v>1900/1/0</c:v>
                </c:pt>
                <c:pt idx="277">
                  <c:v>1900/1/0</c:v>
                </c:pt>
                <c:pt idx="278">
                  <c:v>1900/1/0</c:v>
                </c:pt>
                <c:pt idx="279">
                  <c:v>1900/1/0</c:v>
                </c:pt>
                <c:pt idx="280">
                  <c:v>1900/1/0</c:v>
                </c:pt>
                <c:pt idx="281">
                  <c:v>1900/1/0</c:v>
                </c:pt>
                <c:pt idx="282">
                  <c:v>1900/1/0</c:v>
                </c:pt>
                <c:pt idx="283">
                  <c:v>1900/1/0</c:v>
                </c:pt>
                <c:pt idx="284">
                  <c:v>1900/1/0</c:v>
                </c:pt>
                <c:pt idx="285">
                  <c:v>1900/1/0</c:v>
                </c:pt>
                <c:pt idx="286">
                  <c:v>1900/1/0</c:v>
                </c:pt>
                <c:pt idx="287">
                  <c:v>1900/1/0</c:v>
                </c:pt>
                <c:pt idx="288">
                  <c:v>1900/1/0</c:v>
                </c:pt>
                <c:pt idx="289">
                  <c:v>1900/1/0</c:v>
                </c:pt>
                <c:pt idx="290">
                  <c:v>1900/1/0</c:v>
                </c:pt>
                <c:pt idx="291">
                  <c:v>1900/1/0</c:v>
                </c:pt>
                <c:pt idx="292">
                  <c:v>1900/1/0</c:v>
                </c:pt>
                <c:pt idx="293">
                  <c:v>1900/1/0</c:v>
                </c:pt>
                <c:pt idx="294">
                  <c:v>1900/1/0</c:v>
                </c:pt>
                <c:pt idx="295">
                  <c:v>1900/1/0</c:v>
                </c:pt>
                <c:pt idx="296">
                  <c:v>1900/1/0</c:v>
                </c:pt>
                <c:pt idx="297">
                  <c:v>1900/1/0</c:v>
                </c:pt>
                <c:pt idx="298">
                  <c:v>1900/1/0</c:v>
                </c:pt>
                <c:pt idx="299">
                  <c:v>1900/1/0</c:v>
                </c:pt>
                <c:pt idx="300">
                  <c:v>1900/1/0</c:v>
                </c:pt>
                <c:pt idx="301">
                  <c:v>1900/1/0</c:v>
                </c:pt>
                <c:pt idx="302">
                  <c:v>1900/1/0</c:v>
                </c:pt>
                <c:pt idx="303">
                  <c:v>1900/1/0</c:v>
                </c:pt>
                <c:pt idx="304">
                  <c:v>1900/1/0</c:v>
                </c:pt>
                <c:pt idx="305">
                  <c:v>1900/1/0</c:v>
                </c:pt>
                <c:pt idx="306">
                  <c:v>1900/1/0</c:v>
                </c:pt>
                <c:pt idx="307">
                  <c:v>1900/1/0</c:v>
                </c:pt>
                <c:pt idx="308">
                  <c:v>1900/1/0</c:v>
                </c:pt>
                <c:pt idx="309">
                  <c:v>1900/1/0</c:v>
                </c:pt>
                <c:pt idx="310">
                  <c:v>1900/1/0</c:v>
                </c:pt>
                <c:pt idx="311">
                  <c:v>1900/1/0</c:v>
                </c:pt>
                <c:pt idx="312">
                  <c:v>1900/1/0</c:v>
                </c:pt>
                <c:pt idx="313">
                  <c:v>1900/1/0</c:v>
                </c:pt>
                <c:pt idx="314">
                  <c:v>1900/1/0</c:v>
                </c:pt>
                <c:pt idx="315">
                  <c:v>1900/1/0</c:v>
                </c:pt>
                <c:pt idx="316">
                  <c:v>1900/1/0</c:v>
                </c:pt>
                <c:pt idx="317">
                  <c:v>1900/1/0</c:v>
                </c:pt>
                <c:pt idx="318">
                  <c:v>1900/1/0</c:v>
                </c:pt>
                <c:pt idx="319">
                  <c:v>1900/1/0</c:v>
                </c:pt>
                <c:pt idx="320">
                  <c:v>1900/1/0</c:v>
                </c:pt>
                <c:pt idx="321">
                  <c:v>1900/1/0</c:v>
                </c:pt>
                <c:pt idx="322">
                  <c:v>1900/1/0</c:v>
                </c:pt>
                <c:pt idx="323">
                  <c:v>1900/1/0</c:v>
                </c:pt>
                <c:pt idx="324">
                  <c:v>1900/1/0</c:v>
                </c:pt>
                <c:pt idx="325">
                  <c:v>1900/1/0</c:v>
                </c:pt>
                <c:pt idx="326">
                  <c:v>1900/1/0</c:v>
                </c:pt>
                <c:pt idx="327">
                  <c:v>1900/1/0</c:v>
                </c:pt>
                <c:pt idx="328">
                  <c:v>1900/1/0</c:v>
                </c:pt>
                <c:pt idx="329">
                  <c:v>1900/1/0</c:v>
                </c:pt>
                <c:pt idx="330">
                  <c:v>1900/1/0</c:v>
                </c:pt>
                <c:pt idx="331">
                  <c:v>1900/1/0</c:v>
                </c:pt>
                <c:pt idx="332">
                  <c:v>1900/1/0</c:v>
                </c:pt>
                <c:pt idx="333">
                  <c:v>1900/1/0</c:v>
                </c:pt>
                <c:pt idx="334">
                  <c:v>1900/1/0</c:v>
                </c:pt>
                <c:pt idx="335">
                  <c:v>1900/1/0</c:v>
                </c:pt>
                <c:pt idx="336">
                  <c:v>1900/1/0</c:v>
                </c:pt>
                <c:pt idx="337">
                  <c:v>1900/1/0</c:v>
                </c:pt>
                <c:pt idx="338">
                  <c:v>1900/1/0</c:v>
                </c:pt>
                <c:pt idx="339">
                  <c:v>1900/1/0</c:v>
                </c:pt>
                <c:pt idx="340">
                  <c:v>1900/1/0</c:v>
                </c:pt>
                <c:pt idx="341">
                  <c:v>1900/1/0</c:v>
                </c:pt>
                <c:pt idx="342">
                  <c:v>1900/1/0</c:v>
                </c:pt>
                <c:pt idx="343">
                  <c:v>1900/1/0</c:v>
                </c:pt>
                <c:pt idx="344">
                  <c:v>1900/1/0</c:v>
                </c:pt>
                <c:pt idx="345">
                  <c:v>1900/1/0</c:v>
                </c:pt>
                <c:pt idx="346">
                  <c:v>1900/1/0</c:v>
                </c:pt>
                <c:pt idx="347">
                  <c:v>1900/1/0</c:v>
                </c:pt>
                <c:pt idx="348">
                  <c:v>1900/1/0</c:v>
                </c:pt>
                <c:pt idx="349">
                  <c:v>1900/1/0</c:v>
                </c:pt>
                <c:pt idx="350">
                  <c:v>1900/1/0</c:v>
                </c:pt>
                <c:pt idx="351">
                  <c:v>1900/1/0</c:v>
                </c:pt>
                <c:pt idx="352">
                  <c:v>1900/1/0</c:v>
                </c:pt>
                <c:pt idx="353">
                  <c:v>1900/1/0</c:v>
                </c:pt>
                <c:pt idx="354">
                  <c:v>1900/1/0</c:v>
                </c:pt>
                <c:pt idx="355">
                  <c:v>1900/1/0</c:v>
                </c:pt>
                <c:pt idx="356">
                  <c:v>1900/1/0</c:v>
                </c:pt>
                <c:pt idx="357">
                  <c:v>1900/1/0</c:v>
                </c:pt>
                <c:pt idx="358">
                  <c:v>1900/1/0</c:v>
                </c:pt>
                <c:pt idx="359">
                  <c:v>1900/1/0</c:v>
                </c:pt>
                <c:pt idx="360">
                  <c:v>1900/1/0</c:v>
                </c:pt>
                <c:pt idx="361">
                  <c:v>1900/1/0</c:v>
                </c:pt>
                <c:pt idx="362">
                  <c:v>1900/1/0</c:v>
                </c:pt>
                <c:pt idx="363">
                  <c:v>1900/1/0</c:v>
                </c:pt>
                <c:pt idx="364">
                  <c:v>1900/1/0</c:v>
                </c:pt>
                <c:pt idx="365">
                  <c:v>1900/1/0</c:v>
                </c:pt>
                <c:pt idx="366">
                  <c:v>1900/1/0</c:v>
                </c:pt>
                <c:pt idx="367">
                  <c:v>1900/1/0</c:v>
                </c:pt>
                <c:pt idx="368">
                  <c:v>1900/1/0</c:v>
                </c:pt>
                <c:pt idx="369">
                  <c:v>1900/1/0</c:v>
                </c:pt>
                <c:pt idx="370">
                  <c:v>1900/1/0</c:v>
                </c:pt>
                <c:pt idx="371">
                  <c:v>1900/1/0</c:v>
                </c:pt>
                <c:pt idx="372">
                  <c:v>1900/1/0</c:v>
                </c:pt>
                <c:pt idx="373">
                  <c:v>1900/1/0</c:v>
                </c:pt>
                <c:pt idx="374">
                  <c:v>1900/1/0</c:v>
                </c:pt>
                <c:pt idx="375">
                  <c:v>1900/1/0</c:v>
                </c:pt>
                <c:pt idx="376">
                  <c:v>1900/1/0</c:v>
                </c:pt>
                <c:pt idx="377">
                  <c:v>1900/1/0</c:v>
                </c:pt>
                <c:pt idx="378">
                  <c:v>1900/1/0</c:v>
                </c:pt>
                <c:pt idx="379">
                  <c:v>1900/1/0</c:v>
                </c:pt>
                <c:pt idx="380">
                  <c:v>1900/1/0</c:v>
                </c:pt>
                <c:pt idx="381">
                  <c:v>1900/1/0</c:v>
                </c:pt>
                <c:pt idx="382">
                  <c:v>1900/1/0</c:v>
                </c:pt>
                <c:pt idx="383">
                  <c:v>1900/1/0</c:v>
                </c:pt>
                <c:pt idx="384">
                  <c:v>1900/1/0</c:v>
                </c:pt>
                <c:pt idx="385">
                  <c:v>1900/1/0</c:v>
                </c:pt>
                <c:pt idx="386">
                  <c:v>1900/1/0</c:v>
                </c:pt>
                <c:pt idx="387">
                  <c:v>1900/1/0</c:v>
                </c:pt>
                <c:pt idx="388">
                  <c:v>1900/1/0</c:v>
                </c:pt>
                <c:pt idx="389">
                  <c:v>1900/1/0</c:v>
                </c:pt>
                <c:pt idx="390">
                  <c:v>1900/1/0</c:v>
                </c:pt>
                <c:pt idx="391">
                  <c:v>1900/1/0</c:v>
                </c:pt>
                <c:pt idx="392">
                  <c:v>1900/1/0</c:v>
                </c:pt>
                <c:pt idx="393">
                  <c:v>1900/1/0</c:v>
                </c:pt>
                <c:pt idx="394">
                  <c:v>1900/1/0</c:v>
                </c:pt>
                <c:pt idx="395">
                  <c:v>1900/1/0</c:v>
                </c:pt>
                <c:pt idx="396">
                  <c:v>1900/1/0</c:v>
                </c:pt>
                <c:pt idx="397">
                  <c:v>1900/1/0</c:v>
                </c:pt>
                <c:pt idx="398">
                  <c:v>1900/1/0</c:v>
                </c:pt>
                <c:pt idx="399">
                  <c:v>1900/1/0</c:v>
                </c:pt>
                <c:pt idx="400">
                  <c:v>1900/1/0</c:v>
                </c:pt>
                <c:pt idx="401">
                  <c:v>1900/1/0</c:v>
                </c:pt>
                <c:pt idx="402">
                  <c:v>1900/1/0</c:v>
                </c:pt>
                <c:pt idx="403">
                  <c:v>1900/1/0</c:v>
                </c:pt>
                <c:pt idx="404">
                  <c:v>1900/1/0</c:v>
                </c:pt>
                <c:pt idx="405">
                  <c:v>1900/1/0</c:v>
                </c:pt>
                <c:pt idx="406">
                  <c:v>1900/1/0</c:v>
                </c:pt>
                <c:pt idx="407">
                  <c:v>1900/1/0</c:v>
                </c:pt>
                <c:pt idx="408">
                  <c:v>1900/1/0</c:v>
                </c:pt>
                <c:pt idx="409">
                  <c:v>1900/1/0</c:v>
                </c:pt>
                <c:pt idx="410">
                  <c:v>1900/1/0</c:v>
                </c:pt>
                <c:pt idx="411">
                  <c:v>1900/1/0</c:v>
                </c:pt>
                <c:pt idx="412">
                  <c:v>1900/1/0</c:v>
                </c:pt>
                <c:pt idx="413">
                  <c:v>1900/1/0</c:v>
                </c:pt>
                <c:pt idx="414">
                  <c:v>1900/1/0</c:v>
                </c:pt>
                <c:pt idx="415">
                  <c:v>1900/1/0</c:v>
                </c:pt>
                <c:pt idx="416">
                  <c:v>1900/1/0</c:v>
                </c:pt>
                <c:pt idx="417">
                  <c:v>1900/1/0</c:v>
                </c:pt>
                <c:pt idx="418">
                  <c:v>1900/1/0</c:v>
                </c:pt>
                <c:pt idx="419">
                  <c:v>1900/1/0</c:v>
                </c:pt>
                <c:pt idx="420">
                  <c:v>1900/1/0</c:v>
                </c:pt>
                <c:pt idx="421">
                  <c:v>1900/1/0</c:v>
                </c:pt>
                <c:pt idx="422">
                  <c:v>1900/1/0</c:v>
                </c:pt>
                <c:pt idx="423">
                  <c:v>1900/1/0</c:v>
                </c:pt>
                <c:pt idx="424">
                  <c:v>1900/1/0</c:v>
                </c:pt>
                <c:pt idx="425">
                  <c:v>1900/1/0</c:v>
                </c:pt>
                <c:pt idx="426">
                  <c:v>1900/1/0</c:v>
                </c:pt>
                <c:pt idx="427">
                  <c:v>1900/1/0</c:v>
                </c:pt>
                <c:pt idx="428">
                  <c:v>1900/1/0</c:v>
                </c:pt>
                <c:pt idx="429">
                  <c:v>1900/1/0</c:v>
                </c:pt>
                <c:pt idx="430">
                  <c:v>1900/1/0</c:v>
                </c:pt>
                <c:pt idx="431">
                  <c:v>1900/1/0</c:v>
                </c:pt>
                <c:pt idx="432">
                  <c:v>1900/1/0</c:v>
                </c:pt>
                <c:pt idx="433">
                  <c:v>1900/1/0</c:v>
                </c:pt>
                <c:pt idx="434">
                  <c:v>1900/1/0</c:v>
                </c:pt>
                <c:pt idx="435">
                  <c:v>1900/1/0</c:v>
                </c:pt>
                <c:pt idx="436">
                  <c:v>1900/1/0</c:v>
                </c:pt>
                <c:pt idx="437">
                  <c:v>1900/1/0</c:v>
                </c:pt>
                <c:pt idx="438">
                  <c:v>1900/1/0</c:v>
                </c:pt>
                <c:pt idx="439">
                  <c:v>1900/1/0</c:v>
                </c:pt>
                <c:pt idx="440">
                  <c:v>1900/1/0</c:v>
                </c:pt>
                <c:pt idx="441">
                  <c:v>1900/1/0</c:v>
                </c:pt>
                <c:pt idx="442">
                  <c:v>1900/1/0</c:v>
                </c:pt>
                <c:pt idx="443">
                  <c:v>1900/1/0</c:v>
                </c:pt>
                <c:pt idx="444">
                  <c:v>1900/1/0</c:v>
                </c:pt>
                <c:pt idx="445">
                  <c:v>1900/1/0</c:v>
                </c:pt>
                <c:pt idx="446">
                  <c:v>1900/1/0</c:v>
                </c:pt>
                <c:pt idx="447">
                  <c:v>1900/1/0</c:v>
                </c:pt>
                <c:pt idx="448">
                  <c:v>1900/1/0</c:v>
                </c:pt>
                <c:pt idx="449">
                  <c:v>1900/1/0</c:v>
                </c:pt>
                <c:pt idx="450">
                  <c:v>1900/1/0</c:v>
                </c:pt>
                <c:pt idx="451">
                  <c:v>1900/1/0</c:v>
                </c:pt>
                <c:pt idx="452">
                  <c:v>1900/1/0</c:v>
                </c:pt>
                <c:pt idx="453">
                  <c:v>1900/1/0</c:v>
                </c:pt>
                <c:pt idx="454">
                  <c:v>1900/1/0</c:v>
                </c:pt>
                <c:pt idx="455">
                  <c:v>1900/1/0</c:v>
                </c:pt>
                <c:pt idx="456">
                  <c:v>1900/1/0</c:v>
                </c:pt>
                <c:pt idx="457">
                  <c:v>1900/1/0</c:v>
                </c:pt>
                <c:pt idx="458">
                  <c:v>1900/1/0</c:v>
                </c:pt>
                <c:pt idx="459">
                  <c:v>1900/1/0</c:v>
                </c:pt>
                <c:pt idx="460">
                  <c:v>1900/1/0</c:v>
                </c:pt>
                <c:pt idx="461">
                  <c:v>1900/1/0</c:v>
                </c:pt>
                <c:pt idx="462">
                  <c:v>1900/1/0</c:v>
                </c:pt>
                <c:pt idx="463">
                  <c:v>1900/1/0</c:v>
                </c:pt>
                <c:pt idx="464">
                  <c:v>1900/1/0</c:v>
                </c:pt>
                <c:pt idx="465">
                  <c:v>1900/1/0</c:v>
                </c:pt>
                <c:pt idx="466">
                  <c:v>1900/1/0</c:v>
                </c:pt>
                <c:pt idx="467">
                  <c:v>1900/1/0</c:v>
                </c:pt>
                <c:pt idx="468">
                  <c:v>1900/1/0</c:v>
                </c:pt>
                <c:pt idx="469">
                  <c:v>1900/1/0</c:v>
                </c:pt>
                <c:pt idx="470">
                  <c:v>1900/1/0</c:v>
                </c:pt>
                <c:pt idx="471">
                  <c:v>1900/1/0</c:v>
                </c:pt>
                <c:pt idx="472">
                  <c:v>1900/1/0</c:v>
                </c:pt>
                <c:pt idx="473">
                  <c:v>1900/1/0</c:v>
                </c:pt>
                <c:pt idx="474">
                  <c:v>1900/1/0</c:v>
                </c:pt>
                <c:pt idx="475">
                  <c:v>1900/1/0</c:v>
                </c:pt>
                <c:pt idx="476">
                  <c:v>1900/1/0</c:v>
                </c:pt>
                <c:pt idx="477">
                  <c:v>1900/1/0</c:v>
                </c:pt>
                <c:pt idx="478">
                  <c:v>1900/1/0</c:v>
                </c:pt>
                <c:pt idx="479">
                  <c:v>1900/1/0</c:v>
                </c:pt>
                <c:pt idx="480">
                  <c:v>1900/1/0</c:v>
                </c:pt>
                <c:pt idx="481">
                  <c:v>1900/1/0</c:v>
                </c:pt>
                <c:pt idx="482">
                  <c:v>1900/1/0</c:v>
                </c:pt>
                <c:pt idx="483">
                  <c:v>1900/1/0</c:v>
                </c:pt>
                <c:pt idx="484">
                  <c:v>1900/1/0</c:v>
                </c:pt>
                <c:pt idx="485">
                  <c:v>1900/1/0</c:v>
                </c:pt>
                <c:pt idx="486">
                  <c:v>1900/1/0</c:v>
                </c:pt>
                <c:pt idx="487">
                  <c:v>1900/1/0</c:v>
                </c:pt>
                <c:pt idx="488">
                  <c:v>1900/1/0</c:v>
                </c:pt>
                <c:pt idx="489">
                  <c:v>1900/1/0</c:v>
                </c:pt>
                <c:pt idx="490">
                  <c:v>1900/1/0</c:v>
                </c:pt>
                <c:pt idx="491">
                  <c:v>1900/1/0</c:v>
                </c:pt>
                <c:pt idx="492">
                  <c:v>1900/1/0</c:v>
                </c:pt>
                <c:pt idx="493">
                  <c:v>1900/1/0</c:v>
                </c:pt>
                <c:pt idx="494">
                  <c:v>1900/1/0</c:v>
                </c:pt>
                <c:pt idx="495">
                  <c:v>1900/1/0</c:v>
                </c:pt>
                <c:pt idx="496">
                  <c:v>1900/1/0</c:v>
                </c:pt>
                <c:pt idx="497">
                  <c:v>1900/1/0</c:v>
                </c:pt>
                <c:pt idx="498">
                  <c:v>1900/1/0</c:v>
                </c:pt>
                <c:pt idx="499">
                  <c:v>1900/1/0</c:v>
                </c:pt>
                <c:pt idx="500">
                  <c:v>1900/1/0</c:v>
                </c:pt>
                <c:pt idx="501">
                  <c:v>1900/1/0</c:v>
                </c:pt>
                <c:pt idx="502">
                  <c:v>1900/1/0</c:v>
                </c:pt>
                <c:pt idx="503">
                  <c:v>1900/1/0</c:v>
                </c:pt>
                <c:pt idx="504">
                  <c:v>1900/1/0</c:v>
                </c:pt>
                <c:pt idx="505">
                  <c:v>1900/1/0</c:v>
                </c:pt>
                <c:pt idx="506">
                  <c:v>1900/1/0</c:v>
                </c:pt>
                <c:pt idx="507">
                  <c:v>1900/1/0</c:v>
                </c:pt>
                <c:pt idx="508">
                  <c:v>1900/1/0</c:v>
                </c:pt>
                <c:pt idx="509">
                  <c:v>1900/1/0</c:v>
                </c:pt>
                <c:pt idx="510">
                  <c:v>1900/1/0</c:v>
                </c:pt>
                <c:pt idx="511">
                  <c:v>1900/1/0</c:v>
                </c:pt>
                <c:pt idx="512">
                  <c:v>1900/1/0</c:v>
                </c:pt>
                <c:pt idx="513">
                  <c:v>1900/1/0</c:v>
                </c:pt>
                <c:pt idx="514">
                  <c:v>1900/1/0</c:v>
                </c:pt>
                <c:pt idx="515">
                  <c:v>1900/1/0</c:v>
                </c:pt>
                <c:pt idx="516">
                  <c:v>1900/1/0</c:v>
                </c:pt>
                <c:pt idx="517">
                  <c:v>1900/1/0</c:v>
                </c:pt>
                <c:pt idx="518">
                  <c:v>1900/1/0</c:v>
                </c:pt>
                <c:pt idx="519">
                  <c:v>1900/1/0</c:v>
                </c:pt>
                <c:pt idx="520">
                  <c:v>1900/1/0</c:v>
                </c:pt>
                <c:pt idx="521">
                  <c:v>1900/1/0</c:v>
                </c:pt>
                <c:pt idx="522">
                  <c:v>1900/1/0</c:v>
                </c:pt>
                <c:pt idx="523">
                  <c:v>1900/1/0</c:v>
                </c:pt>
                <c:pt idx="524">
                  <c:v>1900/1/0</c:v>
                </c:pt>
                <c:pt idx="525">
                  <c:v>1900/1/0</c:v>
                </c:pt>
                <c:pt idx="526">
                  <c:v>1900/1/0</c:v>
                </c:pt>
                <c:pt idx="527">
                  <c:v>1900/1/0</c:v>
                </c:pt>
                <c:pt idx="528">
                  <c:v>1900/1/0</c:v>
                </c:pt>
                <c:pt idx="529">
                  <c:v>1900/1/0</c:v>
                </c:pt>
                <c:pt idx="530">
                  <c:v>1900/1/0</c:v>
                </c:pt>
                <c:pt idx="531">
                  <c:v>1900/1/0</c:v>
                </c:pt>
                <c:pt idx="532">
                  <c:v>1900/1/0</c:v>
                </c:pt>
                <c:pt idx="533">
                  <c:v>1900/1/0</c:v>
                </c:pt>
                <c:pt idx="534">
                  <c:v>1900/1/0</c:v>
                </c:pt>
                <c:pt idx="535">
                  <c:v>1900/1/0</c:v>
                </c:pt>
                <c:pt idx="536">
                  <c:v>1900/1/0</c:v>
                </c:pt>
                <c:pt idx="537">
                  <c:v>1900/1/0</c:v>
                </c:pt>
                <c:pt idx="538">
                  <c:v>1900/1/0</c:v>
                </c:pt>
                <c:pt idx="539">
                  <c:v>1900/1/0</c:v>
                </c:pt>
                <c:pt idx="540">
                  <c:v>1900/1/0</c:v>
                </c:pt>
                <c:pt idx="541">
                  <c:v>1900/1/0</c:v>
                </c:pt>
                <c:pt idx="542">
                  <c:v>1900/1/0</c:v>
                </c:pt>
                <c:pt idx="543">
                  <c:v>1900/1/0</c:v>
                </c:pt>
                <c:pt idx="544">
                  <c:v>1900/1/0</c:v>
                </c:pt>
                <c:pt idx="545">
                  <c:v>1900/1/0</c:v>
                </c:pt>
                <c:pt idx="546">
                  <c:v>1900/1/0</c:v>
                </c:pt>
                <c:pt idx="547">
                  <c:v>1900/1/0</c:v>
                </c:pt>
                <c:pt idx="548">
                  <c:v>1900/1/0</c:v>
                </c:pt>
                <c:pt idx="549">
                  <c:v>1900/1/0</c:v>
                </c:pt>
                <c:pt idx="550">
                  <c:v>1900/1/0</c:v>
                </c:pt>
                <c:pt idx="551">
                  <c:v>1900/1/0</c:v>
                </c:pt>
                <c:pt idx="552">
                  <c:v>1900/1/0</c:v>
                </c:pt>
                <c:pt idx="553">
                  <c:v>1900/1/0</c:v>
                </c:pt>
                <c:pt idx="554">
                  <c:v>1900/1/0</c:v>
                </c:pt>
                <c:pt idx="555">
                  <c:v>1900/1/0</c:v>
                </c:pt>
                <c:pt idx="556">
                  <c:v>1900/1/0</c:v>
                </c:pt>
                <c:pt idx="557">
                  <c:v>1900/1/0</c:v>
                </c:pt>
                <c:pt idx="558">
                  <c:v>1900/1/0</c:v>
                </c:pt>
                <c:pt idx="559">
                  <c:v>1900/1/0</c:v>
                </c:pt>
                <c:pt idx="560">
                  <c:v>1900/1/0</c:v>
                </c:pt>
                <c:pt idx="561">
                  <c:v>1900/1/0</c:v>
                </c:pt>
                <c:pt idx="562">
                  <c:v>1900/1/0</c:v>
                </c:pt>
                <c:pt idx="563">
                  <c:v>1900/1/0</c:v>
                </c:pt>
                <c:pt idx="564">
                  <c:v>1900/1/0</c:v>
                </c:pt>
                <c:pt idx="565">
                  <c:v>1900/1/0</c:v>
                </c:pt>
                <c:pt idx="566">
                  <c:v>1900/1/0</c:v>
                </c:pt>
                <c:pt idx="567">
                  <c:v>1900/1/0</c:v>
                </c:pt>
                <c:pt idx="568">
                  <c:v>1900/1/0</c:v>
                </c:pt>
                <c:pt idx="569">
                  <c:v>1900/1/0</c:v>
                </c:pt>
                <c:pt idx="570">
                  <c:v>1900/1/0</c:v>
                </c:pt>
                <c:pt idx="571">
                  <c:v>1900/1/0</c:v>
                </c:pt>
                <c:pt idx="572">
                  <c:v>1900/1/0</c:v>
                </c:pt>
                <c:pt idx="573">
                  <c:v>1900/1/0</c:v>
                </c:pt>
                <c:pt idx="574">
                  <c:v>1900/1/0</c:v>
                </c:pt>
                <c:pt idx="575">
                  <c:v>1900/1/0</c:v>
                </c:pt>
                <c:pt idx="576">
                  <c:v>1900/1/0</c:v>
                </c:pt>
                <c:pt idx="577">
                  <c:v>1900/1/0</c:v>
                </c:pt>
                <c:pt idx="578">
                  <c:v>1900/1/0</c:v>
                </c:pt>
                <c:pt idx="579">
                  <c:v>1900/1/0</c:v>
                </c:pt>
                <c:pt idx="580">
                  <c:v>1900/1/0</c:v>
                </c:pt>
                <c:pt idx="581">
                  <c:v>1900/1/0</c:v>
                </c:pt>
                <c:pt idx="582">
                  <c:v>1900/1/0</c:v>
                </c:pt>
                <c:pt idx="583">
                  <c:v>1900/1/0</c:v>
                </c:pt>
                <c:pt idx="584">
                  <c:v>1900/1/0</c:v>
                </c:pt>
                <c:pt idx="585">
                  <c:v>1900/1/0</c:v>
                </c:pt>
                <c:pt idx="586">
                  <c:v>1900/1/0</c:v>
                </c:pt>
                <c:pt idx="587">
                  <c:v>1900/1/0</c:v>
                </c:pt>
                <c:pt idx="588">
                  <c:v>1900/1/0</c:v>
                </c:pt>
                <c:pt idx="589">
                  <c:v>1900/1/0</c:v>
                </c:pt>
                <c:pt idx="590">
                  <c:v>1900/1/0</c:v>
                </c:pt>
                <c:pt idx="591">
                  <c:v>1900/1/0</c:v>
                </c:pt>
                <c:pt idx="592">
                  <c:v>1900/1/0</c:v>
                </c:pt>
                <c:pt idx="593">
                  <c:v>1900/1/0</c:v>
                </c:pt>
                <c:pt idx="594">
                  <c:v>1900/1/0</c:v>
                </c:pt>
                <c:pt idx="595">
                  <c:v>1900/1/0</c:v>
                </c:pt>
                <c:pt idx="596">
                  <c:v>1900/1/0</c:v>
                </c:pt>
                <c:pt idx="597">
                  <c:v>1900/1/0</c:v>
                </c:pt>
                <c:pt idx="598">
                  <c:v>1900/1/0</c:v>
                </c:pt>
                <c:pt idx="599">
                  <c:v>1900/1/0</c:v>
                </c:pt>
                <c:pt idx="600">
                  <c:v>1900/1/0</c:v>
                </c:pt>
                <c:pt idx="601">
                  <c:v>1900/1/0</c:v>
                </c:pt>
                <c:pt idx="602">
                  <c:v>1900/1/0</c:v>
                </c:pt>
                <c:pt idx="603">
                  <c:v>1900/1/0</c:v>
                </c:pt>
                <c:pt idx="604">
                  <c:v>1900/1/0</c:v>
                </c:pt>
                <c:pt idx="605">
                  <c:v>1900/1/0</c:v>
                </c:pt>
                <c:pt idx="606">
                  <c:v>1900/1/0</c:v>
                </c:pt>
                <c:pt idx="607">
                  <c:v>1900/1/0</c:v>
                </c:pt>
                <c:pt idx="608">
                  <c:v>1900/1/0</c:v>
                </c:pt>
                <c:pt idx="609">
                  <c:v>1900/1/0</c:v>
                </c:pt>
                <c:pt idx="610">
                  <c:v>1900/1/0</c:v>
                </c:pt>
                <c:pt idx="611">
                  <c:v>1900/1/0</c:v>
                </c:pt>
                <c:pt idx="612">
                  <c:v>1900/1/0</c:v>
                </c:pt>
                <c:pt idx="613">
                  <c:v>1900/1/0</c:v>
                </c:pt>
                <c:pt idx="614">
                  <c:v>1900/1/0</c:v>
                </c:pt>
                <c:pt idx="615">
                  <c:v>1900/1/0</c:v>
                </c:pt>
                <c:pt idx="616">
                  <c:v>1900/1/0</c:v>
                </c:pt>
                <c:pt idx="617">
                  <c:v>1900/1/0</c:v>
                </c:pt>
                <c:pt idx="618">
                  <c:v>1900/1/0</c:v>
                </c:pt>
                <c:pt idx="619">
                  <c:v>1900/1/0</c:v>
                </c:pt>
                <c:pt idx="620">
                  <c:v>1900/1/0</c:v>
                </c:pt>
                <c:pt idx="621">
                  <c:v>1900/1/0</c:v>
                </c:pt>
                <c:pt idx="622">
                  <c:v>1900/1/0</c:v>
                </c:pt>
                <c:pt idx="623">
                  <c:v>1900/1/0</c:v>
                </c:pt>
                <c:pt idx="624">
                  <c:v>1900/1/0</c:v>
                </c:pt>
                <c:pt idx="625">
                  <c:v>1900/1/0</c:v>
                </c:pt>
                <c:pt idx="626">
                  <c:v>1900/1/0</c:v>
                </c:pt>
                <c:pt idx="627">
                  <c:v>1900/1/0</c:v>
                </c:pt>
                <c:pt idx="628">
                  <c:v>1900/1/0</c:v>
                </c:pt>
                <c:pt idx="629">
                  <c:v>1900/1/0</c:v>
                </c:pt>
                <c:pt idx="630">
                  <c:v>1900/1/0</c:v>
                </c:pt>
                <c:pt idx="631">
                  <c:v>1900/1/0</c:v>
                </c:pt>
                <c:pt idx="632">
                  <c:v>1900/1/0</c:v>
                </c:pt>
                <c:pt idx="633">
                  <c:v>1900/1/0</c:v>
                </c:pt>
                <c:pt idx="634">
                  <c:v>1900/1/0</c:v>
                </c:pt>
                <c:pt idx="635">
                  <c:v>1900/1/0</c:v>
                </c:pt>
                <c:pt idx="636">
                  <c:v>1900/1/0</c:v>
                </c:pt>
                <c:pt idx="637">
                  <c:v>1900/1/0</c:v>
                </c:pt>
                <c:pt idx="638">
                  <c:v>1900/1/0</c:v>
                </c:pt>
                <c:pt idx="639">
                  <c:v>1900/1/0</c:v>
                </c:pt>
                <c:pt idx="640">
                  <c:v>1900/1/0</c:v>
                </c:pt>
                <c:pt idx="641">
                  <c:v>1900/1/0</c:v>
                </c:pt>
              </c:strCache>
            </c:strRef>
          </c:cat>
          <c:val>
            <c:numRef>
              <c:f>[0]!zzwubai</c:f>
              <c:numCache>
                <c:formatCode>0.00%</c:formatCode>
                <c:ptCount val="642"/>
                <c:pt idx="0">
                  <c:v>0</c:v>
                </c:pt>
                <c:pt idx="1">
                  <c:v>1.9381378000691271E-5</c:v>
                </c:pt>
                <c:pt idx="2">
                  <c:v>2.3202449381807135E-5</c:v>
                </c:pt>
                <c:pt idx="3">
                  <c:v>1.6410502019406802E-5</c:v>
                </c:pt>
                <c:pt idx="4">
                  <c:v>1.6645277964376374E-5</c:v>
                </c:pt>
                <c:pt idx="5">
                  <c:v>2.0202698433150935E-5</c:v>
                </c:pt>
                <c:pt idx="6">
                  <c:v>2.1743490952252399E-5</c:v>
                </c:pt>
                <c:pt idx="7">
                  <c:v>1.8205867700739899E-5</c:v>
                </c:pt>
                <c:pt idx="8">
                  <c:v>1.7101978050583137E-5</c:v>
                </c:pt>
                <c:pt idx="9">
                  <c:v>1.7919176549766837E-5</c:v>
                </c:pt>
                <c:pt idx="10">
                  <c:v>1.854772279361667E-5</c:v>
                </c:pt>
                <c:pt idx="11">
                  <c:v>2.0930845253370271E-5</c:v>
                </c:pt>
                <c:pt idx="12">
                  <c:v>1.6410945500265294E-5</c:v>
                </c:pt>
                <c:pt idx="13">
                  <c:v>1.8202444602591538E-5</c:v>
                </c:pt>
                <c:pt idx="14">
                  <c:v>1.6687858615066285E-5</c:v>
                </c:pt>
                <c:pt idx="15">
                  <c:v>2.2728695998180065E-5</c:v>
                </c:pt>
                <c:pt idx="16">
                  <c:v>1.6793551130423843E-5</c:v>
                </c:pt>
                <c:pt idx="17">
                  <c:v>1.7169053288587889E-5</c:v>
                </c:pt>
                <c:pt idx="18">
                  <c:v>2.3055654820946973E-5</c:v>
                </c:pt>
                <c:pt idx="19">
                  <c:v>2.1999838880389897E-5</c:v>
                </c:pt>
                <c:pt idx="20">
                  <c:v>1.7350492897501133E-5</c:v>
                </c:pt>
                <c:pt idx="21">
                  <c:v>1.8484255876773828E-5</c:v>
                </c:pt>
                <c:pt idx="22">
                  <c:v>2.0925099328577197E-5</c:v>
                </c:pt>
                <c:pt idx="23">
                  <c:v>2.2407403357957211E-5</c:v>
                </c:pt>
                <c:pt idx="24">
                  <c:v>1.7363616939492653E-5</c:v>
                </c:pt>
                <c:pt idx="25">
                  <c:v>1.6822143883935903E-5</c:v>
                </c:pt>
                <c:pt idx="26">
                  <c:v>2.3197676810785945E-5</c:v>
                </c:pt>
                <c:pt idx="27">
                  <c:v>2.314554036593928E-5</c:v>
                </c:pt>
                <c:pt idx="28">
                  <c:v>1.7384227984092374E-5</c:v>
                </c:pt>
                <c:pt idx="29">
                  <c:v>2.1049287606752736E-5</c:v>
                </c:pt>
                <c:pt idx="30">
                  <c:v>1.6828622900412425E-5</c:v>
                </c:pt>
                <c:pt idx="31">
                  <c:v>1.8064924534167013E-5</c:v>
                </c:pt>
                <c:pt idx="32">
                  <c:v>1.8003897059583161E-5</c:v>
                </c:pt>
                <c:pt idx="33">
                  <c:v>1.8587232584839084E-5</c:v>
                </c:pt>
                <c:pt idx="34">
                  <c:v>1.9651794728075119E-5</c:v>
                </c:pt>
                <c:pt idx="35">
                  <c:v>2.0188429957938668E-5</c:v>
                </c:pt>
                <c:pt idx="36">
                  <c:v>2.2204469207182069E-5</c:v>
                </c:pt>
                <c:pt idx="37">
                  <c:v>2.0838897125626153E-5</c:v>
                </c:pt>
                <c:pt idx="38">
                  <c:v>1.6688370481219972E-5</c:v>
                </c:pt>
                <c:pt idx="39">
                  <c:v>1.63551714063641E-5</c:v>
                </c:pt>
                <c:pt idx="40">
                  <c:v>1.6455973630077132E-5</c:v>
                </c:pt>
                <c:pt idx="41">
                  <c:v>2.1614185809300336E-5</c:v>
                </c:pt>
                <c:pt idx="42">
                  <c:v>1.8528481489441646E-5</c:v>
                </c:pt>
                <c:pt idx="43">
                  <c:v>1.7382286031707628E-5</c:v>
                </c:pt>
                <c:pt idx="44">
                  <c:v>1.9072471746572273E-5</c:v>
                </c:pt>
                <c:pt idx="45">
                  <c:v>2.2869693964768551E-5</c:v>
                </c:pt>
                <c:pt idx="46">
                  <c:v>2.0068048747462093E-5</c:v>
                </c:pt>
                <c:pt idx="47">
                  <c:v>2.2367026035301618E-5</c:v>
                </c:pt>
                <c:pt idx="48">
                  <c:v>2.1335141142441584E-5</c:v>
                </c:pt>
                <c:pt idx="49">
                  <c:v>2.1271760162466495E-5</c:v>
                </c:pt>
                <c:pt idx="50">
                  <c:v>0.29750317775846524</c:v>
                </c:pt>
                <c:pt idx="51">
                  <c:v>1.7145696127783966E-5</c:v>
                </c:pt>
                <c:pt idx="52">
                  <c:v>1.6376259632676697E-5</c:v>
                </c:pt>
                <c:pt idx="53">
                  <c:v>1.9524177563509914E-5</c:v>
                </c:pt>
                <c:pt idx="54">
                  <c:v>1.8421536975082016E-5</c:v>
                </c:pt>
                <c:pt idx="55">
                  <c:v>1.9771988296742703E-5</c:v>
                </c:pt>
                <c:pt idx="56">
                  <c:v>1.6797439883597387E-5</c:v>
                </c:pt>
                <c:pt idx="57">
                  <c:v>1.7886009600593776E-5</c:v>
                </c:pt>
                <c:pt idx="58">
                  <c:v>1.7294260767512585E-5</c:v>
                </c:pt>
                <c:pt idx="59">
                  <c:v>1.6632465219335161E-5</c:v>
                </c:pt>
                <c:pt idx="60">
                  <c:v>1.9169224763778131E-5</c:v>
                </c:pt>
                <c:pt idx="61">
                  <c:v>2.0153154006532877E-5</c:v>
                </c:pt>
                <c:pt idx="62">
                  <c:v>3.9887733929216261E-2</c:v>
                </c:pt>
                <c:pt idx="63">
                  <c:v>1.851380362280422E-2</c:v>
                </c:pt>
                <c:pt idx="64">
                  <c:v>1.3924678928401947E-2</c:v>
                </c:pt>
                <c:pt idx="65">
                  <c:v>1.7666975570410341E-5</c:v>
                </c:pt>
                <c:pt idx="66">
                  <c:v>2.1871362159508011E-5</c:v>
                </c:pt>
                <c:pt idx="67">
                  <c:v>1.7290689912061686E-5</c:v>
                </c:pt>
                <c:pt idx="68">
                  <c:v>1.968953048438562E-5</c:v>
                </c:pt>
                <c:pt idx="69">
                  <c:v>2.1934473759477135E-5</c:v>
                </c:pt>
                <c:pt idx="70">
                  <c:v>2.2098367577029362E-5</c:v>
                </c:pt>
                <c:pt idx="71">
                  <c:v>2.2740856151669751E-5</c:v>
                </c:pt>
                <c:pt idx="72">
                  <c:v>2.1546865532821972E-5</c:v>
                </c:pt>
                <c:pt idx="73">
                  <c:v>2.1460920532159784E-5</c:v>
                </c:pt>
                <c:pt idx="74">
                  <c:v>2.1784678523964954E-5</c:v>
                </c:pt>
                <c:pt idx="75">
                  <c:v>1.945416278391168E-5</c:v>
                </c:pt>
                <c:pt idx="76">
                  <c:v>2.6514448760175569E-5</c:v>
                </c:pt>
                <c:pt idx="77">
                  <c:v>7.4610207640988272E-3</c:v>
                </c:pt>
                <c:pt idx="78">
                  <c:v>1.3249221978172973E-2</c:v>
                </c:pt>
                <c:pt idx="79">
                  <c:v>9.6002459000902231E-3</c:v>
                </c:pt>
                <c:pt idx="80">
                  <c:v>3.2379136237509008E-2</c:v>
                </c:pt>
                <c:pt idx="81">
                  <c:v>1.7530644187921508E-5</c:v>
                </c:pt>
                <c:pt idx="82">
                  <c:v>2.0035434404945115E-5</c:v>
                </c:pt>
                <c:pt idx="83">
                  <c:v>2.1311665699126414E-5</c:v>
                </c:pt>
                <c:pt idx="84">
                  <c:v>2.2069385865044068E-5</c:v>
                </c:pt>
                <c:pt idx="85">
                  <c:v>1.8126136316331879E-5</c:v>
                </c:pt>
                <c:pt idx="86">
                  <c:v>2.091408587904593E-5</c:v>
                </c:pt>
                <c:pt idx="87">
                  <c:v>1.9326986318117936E-5</c:v>
                </c:pt>
                <c:pt idx="88">
                  <c:v>1.900126975731525E-5</c:v>
                </c:pt>
                <c:pt idx="89">
                  <c:v>2.0652969053390373E-5</c:v>
                </c:pt>
                <c:pt idx="90">
                  <c:v>4.9663731639853718E-3</c:v>
                </c:pt>
                <c:pt idx="91">
                  <c:v>2.2335271950928365E-5</c:v>
                </c:pt>
                <c:pt idx="92">
                  <c:v>2.0592544925715501E-5</c:v>
                </c:pt>
                <c:pt idx="93">
                  <c:v>2.0701834612118875E-5</c:v>
                </c:pt>
                <c:pt idx="94">
                  <c:v>2.0610401063778275E-5</c:v>
                </c:pt>
                <c:pt idx="95">
                  <c:v>1.8089297441493069E-5</c:v>
                </c:pt>
                <c:pt idx="96">
                  <c:v>2.1754505148870394E-5</c:v>
                </c:pt>
                <c:pt idx="97">
                  <c:v>3.6553554446940587E-4</c:v>
                </c:pt>
                <c:pt idx="98">
                  <c:v>1.7903624320595104E-5</c:v>
                </c:pt>
                <c:pt idx="99">
                  <c:v>2.2903309882118942E-5</c:v>
                </c:pt>
                <c:pt idx="100">
                  <c:v>2.2207649722732707E-5</c:v>
                </c:pt>
                <c:pt idx="101">
                  <c:v>1.9990213357108707E-5</c:v>
                </c:pt>
                <c:pt idx="102">
                  <c:v>1.9608434319202367E-5</c:v>
                </c:pt>
                <c:pt idx="103">
                  <c:v>2.1701165329950821E-5</c:v>
                </c:pt>
                <c:pt idx="104">
                  <c:v>1.9998433246811945E-5</c:v>
                </c:pt>
                <c:pt idx="105">
                  <c:v>2.1401562657587914E-5</c:v>
                </c:pt>
                <c:pt idx="106">
                  <c:v>5.147462542925163E-2</c:v>
                </c:pt>
                <c:pt idx="107">
                  <c:v>8.4695995269012156E-2</c:v>
                </c:pt>
                <c:pt idx="108">
                  <c:v>3.4673627661294233E-2</c:v>
                </c:pt>
                <c:pt idx="109">
                  <c:v>2.8564063926926141E-2</c:v>
                </c:pt>
                <c:pt idx="110">
                  <c:v>1.6767294351099586E-5</c:v>
                </c:pt>
                <c:pt idx="111">
                  <c:v>2.3036441404548195E-2</c:v>
                </c:pt>
                <c:pt idx="112">
                  <c:v>9.0467677914007602E-2</c:v>
                </c:pt>
                <c:pt idx="113">
                  <c:v>2.03265934048958E-5</c:v>
                </c:pt>
                <c:pt idx="114">
                  <c:v>2.1574229432659286E-5</c:v>
                </c:pt>
                <c:pt idx="115">
                  <c:v>0.11830584990368948</c:v>
                </c:pt>
                <c:pt idx="116">
                  <c:v>0.20364816653969833</c:v>
                </c:pt>
                <c:pt idx="117">
                  <c:v>0.19984754026196236</c:v>
                </c:pt>
                <c:pt idx="118">
                  <c:v>0.24884237624188016</c:v>
                </c:pt>
                <c:pt idx="119">
                  <c:v>0.30746106330220302</c:v>
                </c:pt>
                <c:pt idx="120">
                  <c:v>0.31108292449451991</c:v>
                </c:pt>
                <c:pt idx="121">
                  <c:v>0.35509523776586249</c:v>
                </c:pt>
                <c:pt idx="122">
                  <c:v>0.37274279753070338</c:v>
                </c:pt>
                <c:pt idx="123">
                  <c:v>0.3615823157776995</c:v>
                </c:pt>
                <c:pt idx="124">
                  <c:v>0.36520562267601442</c:v>
                </c:pt>
                <c:pt idx="125">
                  <c:v>0.37094282038342574</c:v>
                </c:pt>
                <c:pt idx="126">
                  <c:v>0.38819410311070274</c:v>
                </c:pt>
                <c:pt idx="127">
                  <c:v>0.39926339518973014</c:v>
                </c:pt>
                <c:pt idx="128">
                  <c:v>0.43597186242761438</c:v>
                </c:pt>
                <c:pt idx="129">
                  <c:v>0.48721522668724304</c:v>
                </c:pt>
                <c:pt idx="130">
                  <c:v>0.50875269757420394</c:v>
                </c:pt>
                <c:pt idx="131">
                  <c:v>0.44167826332637505</c:v>
                </c:pt>
                <c:pt idx="132">
                  <c:v>0.61006594356258792</c:v>
                </c:pt>
                <c:pt idx="133">
                  <c:v>0.3917169721397718</c:v>
                </c:pt>
                <c:pt idx="134">
                  <c:v>0.28775192231531738</c:v>
                </c:pt>
                <c:pt idx="135">
                  <c:v>0.23998053606090344</c:v>
                </c:pt>
                <c:pt idx="136">
                  <c:v>0.20061976748412078</c:v>
                </c:pt>
                <c:pt idx="137">
                  <c:v>0.18426078370865059</c:v>
                </c:pt>
                <c:pt idx="138">
                  <c:v>0.37523470049325958</c:v>
                </c:pt>
                <c:pt idx="139">
                  <c:v>0.37496376283866156</c:v>
                </c:pt>
                <c:pt idx="140">
                  <c:v>0.30211348518445891</c:v>
                </c:pt>
                <c:pt idx="141">
                  <c:v>0.32218226654038606</c:v>
                </c:pt>
                <c:pt idx="142">
                  <c:v>0.24122486809666502</c:v>
                </c:pt>
                <c:pt idx="143">
                  <c:v>0.26200439310386087</c:v>
                </c:pt>
                <c:pt idx="144">
                  <c:v>0.31051872118025825</c:v>
                </c:pt>
                <c:pt idx="145">
                  <c:v>0.19613368181898444</c:v>
                </c:pt>
                <c:pt idx="146">
                  <c:v>0.1731362915820602</c:v>
                </c:pt>
                <c:pt idx="147">
                  <c:v>0.52902019574165271</c:v>
                </c:pt>
                <c:pt idx="148">
                  <c:v>0.61070225384895316</c:v>
                </c:pt>
                <c:pt idx="149">
                  <c:v>0.58277332598271592</c:v>
                </c:pt>
                <c:pt idx="150">
                  <c:v>0.41842740676396062</c:v>
                </c:pt>
                <c:pt idx="151">
                  <c:v>0.32392362545304049</c:v>
                </c:pt>
                <c:pt idx="152">
                  <c:v>0.24620096235716185</c:v>
                </c:pt>
                <c:pt idx="153">
                  <c:v>0.17062349761675927</c:v>
                </c:pt>
                <c:pt idx="154">
                  <c:v>9.3257502004429504E-2</c:v>
                </c:pt>
                <c:pt idx="155">
                  <c:v>0.13583984647253117</c:v>
                </c:pt>
                <c:pt idx="156">
                  <c:v>0.27265798631108751</c:v>
                </c:pt>
                <c:pt idx="157">
                  <c:v>0.31963993410253755</c:v>
                </c:pt>
                <c:pt idx="158">
                  <c:v>0.32606531802746147</c:v>
                </c:pt>
                <c:pt idx="159">
                  <c:v>0.31772018671070668</c:v>
                </c:pt>
                <c:pt idx="160">
                  <c:v>0.30646036867814391</c:v>
                </c:pt>
                <c:pt idx="161">
                  <c:v>0.30808955045856873</c:v>
                </c:pt>
                <c:pt idx="162">
                  <c:v>0.30845232279928786</c:v>
                </c:pt>
                <c:pt idx="163">
                  <c:v>0.30800506428833679</c:v>
                </c:pt>
                <c:pt idx="164">
                  <c:v>0.33567470397173771</c:v>
                </c:pt>
                <c:pt idx="165">
                  <c:v>0.35411973990076873</c:v>
                </c:pt>
                <c:pt idx="166">
                  <c:v>0.33134902373228425</c:v>
                </c:pt>
                <c:pt idx="167">
                  <c:v>0.26790160199456636</c:v>
                </c:pt>
                <c:pt idx="168">
                  <c:v>0.28308426556127686</c:v>
                </c:pt>
                <c:pt idx="169">
                  <c:v>0.27577386410100907</c:v>
                </c:pt>
                <c:pt idx="170">
                  <c:v>0.48632852072370192</c:v>
                </c:pt>
                <c:pt idx="171">
                  <c:v>0.44453625241974237</c:v>
                </c:pt>
                <c:pt idx="172">
                  <c:v>0.47028386626301644</c:v>
                </c:pt>
                <c:pt idx="173">
                  <c:v>0.44241434284532216</c:v>
                </c:pt>
                <c:pt idx="174">
                  <c:v>0.60195811067792615</c:v>
                </c:pt>
                <c:pt idx="175">
                  <c:v>0.60239791424313194</c:v>
                </c:pt>
                <c:pt idx="176">
                  <c:v>0.5376455601504524</c:v>
                </c:pt>
                <c:pt idx="177">
                  <c:v>0.52534337828432776</c:v>
                </c:pt>
                <c:pt idx="178">
                  <c:v>0.44010769242124737</c:v>
                </c:pt>
                <c:pt idx="179">
                  <c:v>0.46998404836819657</c:v>
                </c:pt>
                <c:pt idx="180">
                  <c:v>0.48964579284783533</c:v>
                </c:pt>
                <c:pt idx="181">
                  <c:v>0.51275750493667061</c:v>
                </c:pt>
                <c:pt idx="182">
                  <c:v>0.50755297532457855</c:v>
                </c:pt>
                <c:pt idx="183">
                  <c:v>0.46084686015835291</c:v>
                </c:pt>
                <c:pt idx="184">
                  <c:v>0.47138437213831857</c:v>
                </c:pt>
                <c:pt idx="185">
                  <c:v>0.46137711184514862</c:v>
                </c:pt>
                <c:pt idx="186">
                  <c:v>0.46363251674077538</c:v>
                </c:pt>
                <c:pt idx="187">
                  <c:v>0.45394282446779544</c:v>
                </c:pt>
                <c:pt idx="188">
                  <c:v>0.47660819644469221</c:v>
                </c:pt>
                <c:pt idx="189">
                  <c:v>0.49784665362292363</c:v>
                </c:pt>
                <c:pt idx="190">
                  <c:v>0.48392461422122807</c:v>
                </c:pt>
                <c:pt idx="191">
                  <c:v>0.4004361015037643</c:v>
                </c:pt>
                <c:pt idx="192">
                  <c:v>0.40092230360577674</c:v>
                </c:pt>
                <c:pt idx="193">
                  <c:v>0.41573588410936108</c:v>
                </c:pt>
                <c:pt idx="194">
                  <c:v>0.41018110593671175</c:v>
                </c:pt>
                <c:pt idx="195">
                  <c:v>0.3957395940990468</c:v>
                </c:pt>
                <c:pt idx="196">
                  <c:v>0.40712364974795484</c:v>
                </c:pt>
                <c:pt idx="197">
                  <c:v>0.41163138943549599</c:v>
                </c:pt>
                <c:pt idx="198">
                  <c:v>0.41997549683125873</c:v>
                </c:pt>
                <c:pt idx="199">
                  <c:v>0.43826578673065741</c:v>
                </c:pt>
                <c:pt idx="200">
                  <c:v>0.42060344627802582</c:v>
                </c:pt>
                <c:pt idx="201">
                  <c:v>0.40983284993268304</c:v>
                </c:pt>
                <c:pt idx="202">
                  <c:v>0.40645831235005814</c:v>
                </c:pt>
                <c:pt idx="203">
                  <c:v>0.41343775892123175</c:v>
                </c:pt>
                <c:pt idx="204">
                  <c:v>0.40827671642571106</c:v>
                </c:pt>
                <c:pt idx="205">
                  <c:v>0.41921274208270315</c:v>
                </c:pt>
                <c:pt idx="206">
                  <c:v>0.42061916932400795</c:v>
                </c:pt>
                <c:pt idx="207">
                  <c:v>0.42606951391032044</c:v>
                </c:pt>
                <c:pt idx="208">
                  <c:v>0.40261564688535939</c:v>
                </c:pt>
                <c:pt idx="209">
                  <c:v>0.36185816376614643</c:v>
                </c:pt>
                <c:pt idx="210">
                  <c:v>0.37292808490116874</c:v>
                </c:pt>
                <c:pt idx="211">
                  <c:v>0.37752243189211615</c:v>
                </c:pt>
                <c:pt idx="212">
                  <c:v>0.40815658434769997</c:v>
                </c:pt>
                <c:pt idx="213">
                  <c:v>0.40406834127533198</c:v>
                </c:pt>
                <c:pt idx="214">
                  <c:v>0.41298268072101052</c:v>
                </c:pt>
                <c:pt idx="215">
                  <c:v>0.43970204258069961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BD-4945-A0CC-9CCF2CAFED03}"/>
            </c:ext>
          </c:extLst>
        </c:ser>
        <c:ser>
          <c:idx val="2"/>
          <c:order val="2"/>
          <c:tx>
            <c:strRef>
              <c:f>figure!$D$1</c:f>
              <c:strCache>
                <c:ptCount val="1"/>
                <c:pt idx="0">
                  <c:v>中证1000</c:v>
                </c:pt>
              </c:strCache>
            </c:strRef>
          </c:tx>
          <c:cat>
            <c:strRef>
              <c:f>[0]!time</c:f>
              <c:strCache>
                <c:ptCount val="642"/>
                <c:pt idx="1">
                  <c:v>2014/3/17</c:v>
                </c:pt>
                <c:pt idx="2">
                  <c:v>2014/3/24</c:v>
                </c:pt>
                <c:pt idx="3">
                  <c:v>2014/3/31</c:v>
                </c:pt>
                <c:pt idx="4">
                  <c:v>2014/4/7</c:v>
                </c:pt>
                <c:pt idx="5">
                  <c:v>2014/4/14</c:v>
                </c:pt>
                <c:pt idx="6">
                  <c:v>2014/4/21</c:v>
                </c:pt>
                <c:pt idx="7">
                  <c:v>2014/4/28</c:v>
                </c:pt>
                <c:pt idx="8">
                  <c:v>2014/5/5</c:v>
                </c:pt>
                <c:pt idx="9">
                  <c:v>2014/5/12</c:v>
                </c:pt>
                <c:pt idx="10">
                  <c:v>2014/5/19</c:v>
                </c:pt>
                <c:pt idx="11">
                  <c:v>2014/5/26</c:v>
                </c:pt>
                <c:pt idx="12">
                  <c:v>2014/6/2</c:v>
                </c:pt>
                <c:pt idx="13">
                  <c:v>2014/6/9</c:v>
                </c:pt>
                <c:pt idx="14">
                  <c:v>2014/6/16</c:v>
                </c:pt>
                <c:pt idx="15">
                  <c:v>2014/6/23</c:v>
                </c:pt>
                <c:pt idx="16">
                  <c:v>2014/6/30</c:v>
                </c:pt>
                <c:pt idx="17">
                  <c:v>2014/7/6</c:v>
                </c:pt>
                <c:pt idx="18">
                  <c:v>2014/7/14</c:v>
                </c:pt>
                <c:pt idx="19">
                  <c:v>2014/7/21</c:v>
                </c:pt>
                <c:pt idx="20">
                  <c:v>2014/7/27</c:v>
                </c:pt>
                <c:pt idx="21">
                  <c:v>2014/8/4</c:v>
                </c:pt>
                <c:pt idx="22">
                  <c:v>2014/8/11</c:v>
                </c:pt>
                <c:pt idx="23">
                  <c:v>2014/8/18</c:v>
                </c:pt>
                <c:pt idx="24">
                  <c:v>2014/8/25</c:v>
                </c:pt>
                <c:pt idx="25">
                  <c:v>2014/9/1</c:v>
                </c:pt>
                <c:pt idx="26">
                  <c:v>2014/9/8</c:v>
                </c:pt>
                <c:pt idx="27">
                  <c:v>2014/9/15</c:v>
                </c:pt>
                <c:pt idx="28">
                  <c:v>2014/9/22</c:v>
                </c:pt>
                <c:pt idx="29">
                  <c:v>2014/9/29</c:v>
                </c:pt>
                <c:pt idx="30">
                  <c:v>2014/10/6</c:v>
                </c:pt>
                <c:pt idx="31">
                  <c:v>2014/10/13</c:v>
                </c:pt>
                <c:pt idx="32">
                  <c:v>2014/10/20</c:v>
                </c:pt>
                <c:pt idx="33">
                  <c:v>2014/10/26</c:v>
                </c:pt>
                <c:pt idx="34">
                  <c:v>2014/11/3</c:v>
                </c:pt>
                <c:pt idx="35">
                  <c:v>2014/11/10</c:v>
                </c:pt>
                <c:pt idx="36">
                  <c:v>2014/11/17</c:v>
                </c:pt>
                <c:pt idx="37">
                  <c:v>2014/11/24</c:v>
                </c:pt>
                <c:pt idx="38">
                  <c:v>2014/12/1</c:v>
                </c:pt>
                <c:pt idx="39">
                  <c:v>2014/12/7</c:v>
                </c:pt>
                <c:pt idx="40">
                  <c:v>2014/12/14</c:v>
                </c:pt>
                <c:pt idx="41">
                  <c:v>2014/12/22</c:v>
                </c:pt>
                <c:pt idx="42">
                  <c:v>2014/12/29</c:v>
                </c:pt>
                <c:pt idx="43">
                  <c:v>2015/1/5</c:v>
                </c:pt>
                <c:pt idx="44">
                  <c:v>2015/1/12</c:v>
                </c:pt>
                <c:pt idx="45">
                  <c:v>2015/1/19</c:v>
                </c:pt>
                <c:pt idx="46">
                  <c:v>2015/1/26</c:v>
                </c:pt>
                <c:pt idx="47">
                  <c:v>2015/2/2</c:v>
                </c:pt>
                <c:pt idx="48">
                  <c:v>2015/2/9</c:v>
                </c:pt>
                <c:pt idx="49">
                  <c:v>2015/2/16</c:v>
                </c:pt>
                <c:pt idx="50">
                  <c:v>2015/2/23</c:v>
                </c:pt>
                <c:pt idx="51">
                  <c:v>2015/3/2</c:v>
                </c:pt>
                <c:pt idx="52">
                  <c:v>2015/3/8</c:v>
                </c:pt>
                <c:pt idx="53">
                  <c:v>2015/3/16</c:v>
                </c:pt>
                <c:pt idx="54">
                  <c:v>2015/3/23</c:v>
                </c:pt>
                <c:pt idx="55">
                  <c:v>2015/3/30</c:v>
                </c:pt>
                <c:pt idx="56">
                  <c:v>2015/4/6</c:v>
                </c:pt>
                <c:pt idx="57">
                  <c:v>2015/4/13</c:v>
                </c:pt>
                <c:pt idx="58">
                  <c:v>2015/4/20</c:v>
                </c:pt>
                <c:pt idx="59">
                  <c:v>2015/4/26</c:v>
                </c:pt>
                <c:pt idx="60">
                  <c:v>2015/5/4</c:v>
                </c:pt>
                <c:pt idx="61">
                  <c:v>2015/5/11</c:v>
                </c:pt>
                <c:pt idx="62">
                  <c:v>2015/5/18</c:v>
                </c:pt>
                <c:pt idx="63">
                  <c:v>2015/5/25</c:v>
                </c:pt>
                <c:pt idx="64">
                  <c:v>2015/6/1</c:v>
                </c:pt>
                <c:pt idx="65">
                  <c:v>2015/6/8</c:v>
                </c:pt>
                <c:pt idx="66">
                  <c:v>2015/6/15</c:v>
                </c:pt>
                <c:pt idx="67">
                  <c:v>2015/6/22</c:v>
                </c:pt>
                <c:pt idx="68">
                  <c:v>2015/6/28</c:v>
                </c:pt>
                <c:pt idx="69">
                  <c:v>2015/7/6</c:v>
                </c:pt>
                <c:pt idx="70">
                  <c:v>2015/7/13</c:v>
                </c:pt>
                <c:pt idx="71">
                  <c:v>2015/7/20</c:v>
                </c:pt>
                <c:pt idx="72">
                  <c:v>2015/7/26</c:v>
                </c:pt>
                <c:pt idx="73">
                  <c:v>2015/8/3</c:v>
                </c:pt>
                <c:pt idx="74">
                  <c:v>2015/8/10</c:v>
                </c:pt>
                <c:pt idx="75">
                  <c:v>2015/8/17</c:v>
                </c:pt>
                <c:pt idx="76">
                  <c:v>2015/8/24</c:v>
                </c:pt>
                <c:pt idx="77">
                  <c:v>2015/8/31</c:v>
                </c:pt>
                <c:pt idx="78">
                  <c:v>2015/9/7</c:v>
                </c:pt>
                <c:pt idx="79">
                  <c:v>2015/9/14</c:v>
                </c:pt>
                <c:pt idx="80">
                  <c:v>2015/9/21</c:v>
                </c:pt>
                <c:pt idx="81">
                  <c:v>2015/9/28</c:v>
                </c:pt>
                <c:pt idx="82">
                  <c:v>2015/10/5</c:v>
                </c:pt>
                <c:pt idx="83">
                  <c:v>2015/10/12</c:v>
                </c:pt>
                <c:pt idx="84">
                  <c:v>2015/10/19</c:v>
                </c:pt>
                <c:pt idx="85">
                  <c:v>2015/10/26</c:v>
                </c:pt>
                <c:pt idx="86">
                  <c:v>2015/11/2</c:v>
                </c:pt>
                <c:pt idx="87">
                  <c:v>2015/11/8</c:v>
                </c:pt>
                <c:pt idx="88">
                  <c:v>2015/11/16</c:v>
                </c:pt>
                <c:pt idx="89">
                  <c:v>2015/11/23</c:v>
                </c:pt>
                <c:pt idx="90">
                  <c:v>2015/11/30</c:v>
                </c:pt>
                <c:pt idx="91">
                  <c:v>2015/12/10</c:v>
                </c:pt>
                <c:pt idx="92">
                  <c:v>2015/12/18</c:v>
                </c:pt>
                <c:pt idx="93">
                  <c:v>2015/12/25</c:v>
                </c:pt>
                <c:pt idx="94">
                  <c:v>2016/1/1</c:v>
                </c:pt>
                <c:pt idx="95">
                  <c:v>2016/1/8</c:v>
                </c:pt>
                <c:pt idx="96">
                  <c:v>2016/1/15</c:v>
                </c:pt>
                <c:pt idx="97">
                  <c:v>2016/1/22</c:v>
                </c:pt>
                <c:pt idx="98">
                  <c:v>2016/1/29</c:v>
                </c:pt>
                <c:pt idx="99">
                  <c:v>2016/2/5</c:v>
                </c:pt>
                <c:pt idx="100">
                  <c:v>2016/2/12</c:v>
                </c:pt>
                <c:pt idx="101">
                  <c:v>2016/2/19</c:v>
                </c:pt>
                <c:pt idx="102">
                  <c:v>2016/2/26</c:v>
                </c:pt>
                <c:pt idx="103">
                  <c:v>2016/3/4</c:v>
                </c:pt>
                <c:pt idx="104">
                  <c:v>2016/3/10</c:v>
                </c:pt>
                <c:pt idx="105">
                  <c:v>2016/3/18</c:v>
                </c:pt>
                <c:pt idx="106">
                  <c:v>2016/3/25</c:v>
                </c:pt>
                <c:pt idx="107">
                  <c:v>2016/3/31</c:v>
                </c:pt>
                <c:pt idx="108">
                  <c:v>2016/4/8</c:v>
                </c:pt>
                <c:pt idx="109">
                  <c:v>2016/4/15</c:v>
                </c:pt>
                <c:pt idx="110">
                  <c:v>2016/4/25</c:v>
                </c:pt>
                <c:pt idx="111">
                  <c:v>2016/5/2</c:v>
                </c:pt>
                <c:pt idx="112">
                  <c:v>2016/5/9</c:v>
                </c:pt>
                <c:pt idx="113">
                  <c:v>2016/5/16</c:v>
                </c:pt>
                <c:pt idx="114">
                  <c:v>2016/5/23</c:v>
                </c:pt>
                <c:pt idx="115">
                  <c:v>2016/5/30</c:v>
                </c:pt>
                <c:pt idx="116">
                  <c:v>2016/6/6</c:v>
                </c:pt>
                <c:pt idx="117">
                  <c:v>2016/6/13</c:v>
                </c:pt>
                <c:pt idx="118">
                  <c:v>2016/6/20</c:v>
                </c:pt>
                <c:pt idx="119">
                  <c:v>2016/6/27</c:v>
                </c:pt>
                <c:pt idx="120">
                  <c:v>2016/7/4</c:v>
                </c:pt>
                <c:pt idx="121">
                  <c:v>2016/7/10</c:v>
                </c:pt>
                <c:pt idx="122">
                  <c:v>2016/7/18</c:v>
                </c:pt>
                <c:pt idx="123">
                  <c:v>2016/7/25</c:v>
                </c:pt>
                <c:pt idx="124">
                  <c:v>2016/8/5</c:v>
                </c:pt>
                <c:pt idx="125">
                  <c:v>2016/8/12</c:v>
                </c:pt>
                <c:pt idx="126">
                  <c:v>2016/8/18</c:v>
                </c:pt>
                <c:pt idx="127">
                  <c:v>2016/8/26</c:v>
                </c:pt>
                <c:pt idx="128">
                  <c:v>2016/9/2</c:v>
                </c:pt>
                <c:pt idx="129">
                  <c:v>2016/9/9</c:v>
                </c:pt>
                <c:pt idx="130">
                  <c:v>2016/9/16</c:v>
                </c:pt>
                <c:pt idx="131">
                  <c:v>2016/9/23</c:v>
                </c:pt>
                <c:pt idx="132">
                  <c:v>2016/9/30</c:v>
                </c:pt>
                <c:pt idx="133">
                  <c:v>2016/10/7</c:v>
                </c:pt>
                <c:pt idx="134">
                  <c:v>2016/10/14</c:v>
                </c:pt>
                <c:pt idx="135">
                  <c:v>2016/10/21</c:v>
                </c:pt>
                <c:pt idx="136">
                  <c:v>2016/10/28</c:v>
                </c:pt>
                <c:pt idx="137">
                  <c:v>2016/11/4</c:v>
                </c:pt>
                <c:pt idx="138">
                  <c:v>2016/11/11</c:v>
                </c:pt>
                <c:pt idx="139">
                  <c:v>2016/11/17</c:v>
                </c:pt>
                <c:pt idx="140">
                  <c:v>2016/11/24</c:v>
                </c:pt>
                <c:pt idx="141">
                  <c:v>2016/12/2</c:v>
                </c:pt>
                <c:pt idx="142">
                  <c:v>2016/12/9</c:v>
                </c:pt>
                <c:pt idx="143">
                  <c:v>2016/12/19</c:v>
                </c:pt>
                <c:pt idx="144">
                  <c:v>2016/12/26</c:v>
                </c:pt>
                <c:pt idx="145">
                  <c:v>2017/1/2</c:v>
                </c:pt>
                <c:pt idx="146">
                  <c:v>2017/1/9</c:v>
                </c:pt>
                <c:pt idx="147">
                  <c:v>2017/1/16</c:v>
                </c:pt>
                <c:pt idx="148">
                  <c:v>2017/1/23</c:v>
                </c:pt>
                <c:pt idx="149">
                  <c:v>2017/1/30</c:v>
                </c:pt>
                <c:pt idx="150">
                  <c:v>2017/2/6</c:v>
                </c:pt>
                <c:pt idx="151">
                  <c:v>2017/2/13</c:v>
                </c:pt>
                <c:pt idx="152">
                  <c:v>2017/2/20</c:v>
                </c:pt>
                <c:pt idx="153">
                  <c:v>2017/2/27</c:v>
                </c:pt>
                <c:pt idx="154">
                  <c:v>2017/3/6</c:v>
                </c:pt>
                <c:pt idx="155">
                  <c:v>2017/3/13</c:v>
                </c:pt>
                <c:pt idx="156">
                  <c:v>2017/3/20</c:v>
                </c:pt>
                <c:pt idx="157">
                  <c:v>2017/3/27</c:v>
                </c:pt>
                <c:pt idx="158">
                  <c:v>2017/4/3</c:v>
                </c:pt>
                <c:pt idx="159">
                  <c:v>2017/4/10</c:v>
                </c:pt>
                <c:pt idx="160">
                  <c:v>2017/4/17</c:v>
                </c:pt>
                <c:pt idx="161">
                  <c:v>2017/4/24</c:v>
                </c:pt>
                <c:pt idx="162">
                  <c:v>2017/5/1</c:v>
                </c:pt>
                <c:pt idx="163">
                  <c:v>2017/5/8</c:v>
                </c:pt>
                <c:pt idx="164">
                  <c:v>2017/5/15</c:v>
                </c:pt>
                <c:pt idx="165">
                  <c:v>2017/5/22</c:v>
                </c:pt>
                <c:pt idx="166">
                  <c:v>2017/5/29</c:v>
                </c:pt>
                <c:pt idx="167">
                  <c:v>2017/6/5</c:v>
                </c:pt>
                <c:pt idx="168">
                  <c:v>2017/6/12</c:v>
                </c:pt>
                <c:pt idx="169">
                  <c:v>2017/6/19</c:v>
                </c:pt>
                <c:pt idx="170">
                  <c:v>2017/6/26</c:v>
                </c:pt>
                <c:pt idx="171">
                  <c:v>2017/7/3</c:v>
                </c:pt>
                <c:pt idx="172">
                  <c:v>2017/7/10</c:v>
                </c:pt>
                <c:pt idx="173">
                  <c:v>2017/7/17</c:v>
                </c:pt>
                <c:pt idx="174">
                  <c:v>2017/7/24</c:v>
                </c:pt>
                <c:pt idx="175">
                  <c:v>2017/8/4</c:v>
                </c:pt>
                <c:pt idx="176">
                  <c:v>2017/8/11</c:v>
                </c:pt>
                <c:pt idx="177">
                  <c:v>2017/8/18</c:v>
                </c:pt>
                <c:pt idx="178">
                  <c:v>2017/8/25</c:v>
                </c:pt>
                <c:pt idx="179">
                  <c:v>2017/9/1</c:v>
                </c:pt>
                <c:pt idx="180">
                  <c:v>2017/9/8</c:v>
                </c:pt>
                <c:pt idx="181">
                  <c:v>2017/9/15</c:v>
                </c:pt>
                <c:pt idx="182">
                  <c:v>2017/9/22</c:v>
                </c:pt>
                <c:pt idx="183">
                  <c:v>2017/9/29</c:v>
                </c:pt>
                <c:pt idx="184">
                  <c:v>2017/10/6</c:v>
                </c:pt>
                <c:pt idx="185">
                  <c:v>2017/10/13</c:v>
                </c:pt>
                <c:pt idx="186">
                  <c:v>2017/10/20</c:v>
                </c:pt>
                <c:pt idx="187">
                  <c:v>2017/10/27</c:v>
                </c:pt>
                <c:pt idx="188">
                  <c:v>2017/11/3</c:v>
                </c:pt>
                <c:pt idx="189">
                  <c:v>2017/11/10</c:v>
                </c:pt>
                <c:pt idx="190">
                  <c:v>2017/11/17</c:v>
                </c:pt>
                <c:pt idx="191">
                  <c:v>2017/11/24</c:v>
                </c:pt>
                <c:pt idx="192">
                  <c:v>2017/12/1</c:v>
                </c:pt>
                <c:pt idx="193">
                  <c:v>2017/12/7</c:v>
                </c:pt>
                <c:pt idx="194">
                  <c:v>2017/12/18</c:v>
                </c:pt>
                <c:pt idx="195">
                  <c:v>2017/12/25</c:v>
                </c:pt>
                <c:pt idx="196">
                  <c:v>2018/1/1</c:v>
                </c:pt>
                <c:pt idx="197">
                  <c:v>2018/1/8</c:v>
                </c:pt>
                <c:pt idx="198">
                  <c:v>2018/1/15</c:v>
                </c:pt>
                <c:pt idx="199">
                  <c:v>2018/1/22</c:v>
                </c:pt>
                <c:pt idx="200">
                  <c:v>2018/1/28</c:v>
                </c:pt>
                <c:pt idx="201">
                  <c:v>2018/2/5</c:v>
                </c:pt>
                <c:pt idx="202">
                  <c:v>2018/2/12</c:v>
                </c:pt>
                <c:pt idx="203">
                  <c:v>2018/2/19</c:v>
                </c:pt>
                <c:pt idx="204">
                  <c:v>2018/2/26</c:v>
                </c:pt>
                <c:pt idx="205">
                  <c:v>2018/3/5</c:v>
                </c:pt>
                <c:pt idx="206">
                  <c:v>2018/3/12</c:v>
                </c:pt>
                <c:pt idx="207">
                  <c:v>2018/3/19</c:v>
                </c:pt>
                <c:pt idx="208">
                  <c:v>2018/3/26</c:v>
                </c:pt>
                <c:pt idx="209">
                  <c:v>2018/4/2</c:v>
                </c:pt>
                <c:pt idx="210">
                  <c:v>2018/4/9</c:v>
                </c:pt>
                <c:pt idx="211">
                  <c:v>2018/4/16</c:v>
                </c:pt>
                <c:pt idx="212">
                  <c:v>2018/4/22</c:v>
                </c:pt>
                <c:pt idx="213">
                  <c:v>2018/4/30</c:v>
                </c:pt>
                <c:pt idx="214">
                  <c:v>2018/5/7</c:v>
                </c:pt>
                <c:pt idx="215">
                  <c:v>2018/5/14</c:v>
                </c:pt>
                <c:pt idx="216">
                  <c:v>1900/1/0</c:v>
                </c:pt>
                <c:pt idx="217">
                  <c:v>1900/1/0</c:v>
                </c:pt>
                <c:pt idx="218">
                  <c:v>1900/1/0</c:v>
                </c:pt>
                <c:pt idx="219">
                  <c:v>1900/1/0</c:v>
                </c:pt>
                <c:pt idx="220">
                  <c:v>1900/1/0</c:v>
                </c:pt>
                <c:pt idx="221">
                  <c:v>1900/1/0</c:v>
                </c:pt>
                <c:pt idx="222">
                  <c:v>1900/1/0</c:v>
                </c:pt>
                <c:pt idx="223">
                  <c:v>1900/1/0</c:v>
                </c:pt>
                <c:pt idx="224">
                  <c:v>1900/1/0</c:v>
                </c:pt>
                <c:pt idx="225">
                  <c:v>1900/1/0</c:v>
                </c:pt>
                <c:pt idx="226">
                  <c:v>1900/1/0</c:v>
                </c:pt>
                <c:pt idx="227">
                  <c:v>1900/1/0</c:v>
                </c:pt>
                <c:pt idx="228">
                  <c:v>1900/1/0</c:v>
                </c:pt>
                <c:pt idx="229">
                  <c:v>1900/1/0</c:v>
                </c:pt>
                <c:pt idx="230">
                  <c:v>1900/1/0</c:v>
                </c:pt>
                <c:pt idx="231">
                  <c:v>1900/1/0</c:v>
                </c:pt>
                <c:pt idx="232">
                  <c:v>1900/1/0</c:v>
                </c:pt>
                <c:pt idx="233">
                  <c:v>1900/1/0</c:v>
                </c:pt>
                <c:pt idx="234">
                  <c:v>1900/1/0</c:v>
                </c:pt>
                <c:pt idx="235">
                  <c:v>1900/1/0</c:v>
                </c:pt>
                <c:pt idx="236">
                  <c:v>1900/1/0</c:v>
                </c:pt>
                <c:pt idx="237">
                  <c:v>1900/1/0</c:v>
                </c:pt>
                <c:pt idx="238">
                  <c:v>1900/1/0</c:v>
                </c:pt>
                <c:pt idx="239">
                  <c:v>1900/1/0</c:v>
                </c:pt>
                <c:pt idx="240">
                  <c:v>1900/1/0</c:v>
                </c:pt>
                <c:pt idx="241">
                  <c:v>1900/1/0</c:v>
                </c:pt>
                <c:pt idx="242">
                  <c:v>1900/1/0</c:v>
                </c:pt>
                <c:pt idx="243">
                  <c:v>1900/1/0</c:v>
                </c:pt>
                <c:pt idx="244">
                  <c:v>1900/1/0</c:v>
                </c:pt>
                <c:pt idx="245">
                  <c:v>1900/1/0</c:v>
                </c:pt>
                <c:pt idx="246">
                  <c:v>1900/1/0</c:v>
                </c:pt>
                <c:pt idx="247">
                  <c:v>1900/1/0</c:v>
                </c:pt>
                <c:pt idx="248">
                  <c:v>1900/1/0</c:v>
                </c:pt>
                <c:pt idx="249">
                  <c:v>1900/1/0</c:v>
                </c:pt>
                <c:pt idx="250">
                  <c:v>1900/1/0</c:v>
                </c:pt>
                <c:pt idx="251">
                  <c:v>1900/1/0</c:v>
                </c:pt>
                <c:pt idx="252">
                  <c:v>1900/1/0</c:v>
                </c:pt>
                <c:pt idx="253">
                  <c:v>1900/1/0</c:v>
                </c:pt>
                <c:pt idx="254">
                  <c:v>1900/1/0</c:v>
                </c:pt>
                <c:pt idx="255">
                  <c:v>1900/1/0</c:v>
                </c:pt>
                <c:pt idx="256">
                  <c:v>1900/1/0</c:v>
                </c:pt>
                <c:pt idx="257">
                  <c:v>1900/1/0</c:v>
                </c:pt>
                <c:pt idx="258">
                  <c:v>1900/1/0</c:v>
                </c:pt>
                <c:pt idx="259">
                  <c:v>1900/1/0</c:v>
                </c:pt>
                <c:pt idx="260">
                  <c:v>1900/1/0</c:v>
                </c:pt>
                <c:pt idx="261">
                  <c:v>1900/1/0</c:v>
                </c:pt>
                <c:pt idx="262">
                  <c:v>1900/1/0</c:v>
                </c:pt>
                <c:pt idx="263">
                  <c:v>1900/1/0</c:v>
                </c:pt>
                <c:pt idx="264">
                  <c:v>1900/1/0</c:v>
                </c:pt>
                <c:pt idx="265">
                  <c:v>1900/1/0</c:v>
                </c:pt>
                <c:pt idx="266">
                  <c:v>1900/1/0</c:v>
                </c:pt>
                <c:pt idx="267">
                  <c:v>1900/1/0</c:v>
                </c:pt>
                <c:pt idx="268">
                  <c:v>1900/1/0</c:v>
                </c:pt>
                <c:pt idx="269">
                  <c:v>1900/1/0</c:v>
                </c:pt>
                <c:pt idx="270">
                  <c:v>1900/1/0</c:v>
                </c:pt>
                <c:pt idx="271">
                  <c:v>1900/1/0</c:v>
                </c:pt>
                <c:pt idx="272">
                  <c:v>1900/1/0</c:v>
                </c:pt>
                <c:pt idx="273">
                  <c:v>1900/1/0</c:v>
                </c:pt>
                <c:pt idx="274">
                  <c:v>1900/1/0</c:v>
                </c:pt>
                <c:pt idx="275">
                  <c:v>1900/1/0</c:v>
                </c:pt>
                <c:pt idx="276">
                  <c:v>1900/1/0</c:v>
                </c:pt>
                <c:pt idx="277">
                  <c:v>1900/1/0</c:v>
                </c:pt>
                <c:pt idx="278">
                  <c:v>1900/1/0</c:v>
                </c:pt>
                <c:pt idx="279">
                  <c:v>1900/1/0</c:v>
                </c:pt>
                <c:pt idx="280">
                  <c:v>1900/1/0</c:v>
                </c:pt>
                <c:pt idx="281">
                  <c:v>1900/1/0</c:v>
                </c:pt>
                <c:pt idx="282">
                  <c:v>1900/1/0</c:v>
                </c:pt>
                <c:pt idx="283">
                  <c:v>1900/1/0</c:v>
                </c:pt>
                <c:pt idx="284">
                  <c:v>1900/1/0</c:v>
                </c:pt>
                <c:pt idx="285">
                  <c:v>1900/1/0</c:v>
                </c:pt>
                <c:pt idx="286">
                  <c:v>1900/1/0</c:v>
                </c:pt>
                <c:pt idx="287">
                  <c:v>1900/1/0</c:v>
                </c:pt>
                <c:pt idx="288">
                  <c:v>1900/1/0</c:v>
                </c:pt>
                <c:pt idx="289">
                  <c:v>1900/1/0</c:v>
                </c:pt>
                <c:pt idx="290">
                  <c:v>1900/1/0</c:v>
                </c:pt>
                <c:pt idx="291">
                  <c:v>1900/1/0</c:v>
                </c:pt>
                <c:pt idx="292">
                  <c:v>1900/1/0</c:v>
                </c:pt>
                <c:pt idx="293">
                  <c:v>1900/1/0</c:v>
                </c:pt>
                <c:pt idx="294">
                  <c:v>1900/1/0</c:v>
                </c:pt>
                <c:pt idx="295">
                  <c:v>1900/1/0</c:v>
                </c:pt>
                <c:pt idx="296">
                  <c:v>1900/1/0</c:v>
                </c:pt>
                <c:pt idx="297">
                  <c:v>1900/1/0</c:v>
                </c:pt>
                <c:pt idx="298">
                  <c:v>1900/1/0</c:v>
                </c:pt>
                <c:pt idx="299">
                  <c:v>1900/1/0</c:v>
                </c:pt>
                <c:pt idx="300">
                  <c:v>1900/1/0</c:v>
                </c:pt>
                <c:pt idx="301">
                  <c:v>1900/1/0</c:v>
                </c:pt>
                <c:pt idx="302">
                  <c:v>1900/1/0</c:v>
                </c:pt>
                <c:pt idx="303">
                  <c:v>1900/1/0</c:v>
                </c:pt>
                <c:pt idx="304">
                  <c:v>1900/1/0</c:v>
                </c:pt>
                <c:pt idx="305">
                  <c:v>1900/1/0</c:v>
                </c:pt>
                <c:pt idx="306">
                  <c:v>1900/1/0</c:v>
                </c:pt>
                <c:pt idx="307">
                  <c:v>1900/1/0</c:v>
                </c:pt>
                <c:pt idx="308">
                  <c:v>1900/1/0</c:v>
                </c:pt>
                <c:pt idx="309">
                  <c:v>1900/1/0</c:v>
                </c:pt>
                <c:pt idx="310">
                  <c:v>1900/1/0</c:v>
                </c:pt>
                <c:pt idx="311">
                  <c:v>1900/1/0</c:v>
                </c:pt>
                <c:pt idx="312">
                  <c:v>1900/1/0</c:v>
                </c:pt>
                <c:pt idx="313">
                  <c:v>1900/1/0</c:v>
                </c:pt>
                <c:pt idx="314">
                  <c:v>1900/1/0</c:v>
                </c:pt>
                <c:pt idx="315">
                  <c:v>1900/1/0</c:v>
                </c:pt>
                <c:pt idx="316">
                  <c:v>1900/1/0</c:v>
                </c:pt>
                <c:pt idx="317">
                  <c:v>1900/1/0</c:v>
                </c:pt>
                <c:pt idx="318">
                  <c:v>1900/1/0</c:v>
                </c:pt>
                <c:pt idx="319">
                  <c:v>1900/1/0</c:v>
                </c:pt>
                <c:pt idx="320">
                  <c:v>1900/1/0</c:v>
                </c:pt>
                <c:pt idx="321">
                  <c:v>1900/1/0</c:v>
                </c:pt>
                <c:pt idx="322">
                  <c:v>1900/1/0</c:v>
                </c:pt>
                <c:pt idx="323">
                  <c:v>1900/1/0</c:v>
                </c:pt>
                <c:pt idx="324">
                  <c:v>1900/1/0</c:v>
                </c:pt>
                <c:pt idx="325">
                  <c:v>1900/1/0</c:v>
                </c:pt>
                <c:pt idx="326">
                  <c:v>1900/1/0</c:v>
                </c:pt>
                <c:pt idx="327">
                  <c:v>1900/1/0</c:v>
                </c:pt>
                <c:pt idx="328">
                  <c:v>1900/1/0</c:v>
                </c:pt>
                <c:pt idx="329">
                  <c:v>1900/1/0</c:v>
                </c:pt>
                <c:pt idx="330">
                  <c:v>1900/1/0</c:v>
                </c:pt>
                <c:pt idx="331">
                  <c:v>1900/1/0</c:v>
                </c:pt>
                <c:pt idx="332">
                  <c:v>1900/1/0</c:v>
                </c:pt>
                <c:pt idx="333">
                  <c:v>1900/1/0</c:v>
                </c:pt>
                <c:pt idx="334">
                  <c:v>1900/1/0</c:v>
                </c:pt>
                <c:pt idx="335">
                  <c:v>1900/1/0</c:v>
                </c:pt>
                <c:pt idx="336">
                  <c:v>1900/1/0</c:v>
                </c:pt>
                <c:pt idx="337">
                  <c:v>1900/1/0</c:v>
                </c:pt>
                <c:pt idx="338">
                  <c:v>1900/1/0</c:v>
                </c:pt>
                <c:pt idx="339">
                  <c:v>1900/1/0</c:v>
                </c:pt>
                <c:pt idx="340">
                  <c:v>1900/1/0</c:v>
                </c:pt>
                <c:pt idx="341">
                  <c:v>1900/1/0</c:v>
                </c:pt>
                <c:pt idx="342">
                  <c:v>1900/1/0</c:v>
                </c:pt>
                <c:pt idx="343">
                  <c:v>1900/1/0</c:v>
                </c:pt>
                <c:pt idx="344">
                  <c:v>1900/1/0</c:v>
                </c:pt>
                <c:pt idx="345">
                  <c:v>1900/1/0</c:v>
                </c:pt>
                <c:pt idx="346">
                  <c:v>1900/1/0</c:v>
                </c:pt>
                <c:pt idx="347">
                  <c:v>1900/1/0</c:v>
                </c:pt>
                <c:pt idx="348">
                  <c:v>1900/1/0</c:v>
                </c:pt>
                <c:pt idx="349">
                  <c:v>1900/1/0</c:v>
                </c:pt>
                <c:pt idx="350">
                  <c:v>1900/1/0</c:v>
                </c:pt>
                <c:pt idx="351">
                  <c:v>1900/1/0</c:v>
                </c:pt>
                <c:pt idx="352">
                  <c:v>1900/1/0</c:v>
                </c:pt>
                <c:pt idx="353">
                  <c:v>1900/1/0</c:v>
                </c:pt>
                <c:pt idx="354">
                  <c:v>1900/1/0</c:v>
                </c:pt>
                <c:pt idx="355">
                  <c:v>1900/1/0</c:v>
                </c:pt>
                <c:pt idx="356">
                  <c:v>1900/1/0</c:v>
                </c:pt>
                <c:pt idx="357">
                  <c:v>1900/1/0</c:v>
                </c:pt>
                <c:pt idx="358">
                  <c:v>1900/1/0</c:v>
                </c:pt>
                <c:pt idx="359">
                  <c:v>1900/1/0</c:v>
                </c:pt>
                <c:pt idx="360">
                  <c:v>1900/1/0</c:v>
                </c:pt>
                <c:pt idx="361">
                  <c:v>1900/1/0</c:v>
                </c:pt>
                <c:pt idx="362">
                  <c:v>1900/1/0</c:v>
                </c:pt>
                <c:pt idx="363">
                  <c:v>1900/1/0</c:v>
                </c:pt>
                <c:pt idx="364">
                  <c:v>1900/1/0</c:v>
                </c:pt>
                <c:pt idx="365">
                  <c:v>1900/1/0</c:v>
                </c:pt>
                <c:pt idx="366">
                  <c:v>1900/1/0</c:v>
                </c:pt>
                <c:pt idx="367">
                  <c:v>1900/1/0</c:v>
                </c:pt>
                <c:pt idx="368">
                  <c:v>1900/1/0</c:v>
                </c:pt>
                <c:pt idx="369">
                  <c:v>1900/1/0</c:v>
                </c:pt>
                <c:pt idx="370">
                  <c:v>1900/1/0</c:v>
                </c:pt>
                <c:pt idx="371">
                  <c:v>1900/1/0</c:v>
                </c:pt>
                <c:pt idx="372">
                  <c:v>1900/1/0</c:v>
                </c:pt>
                <c:pt idx="373">
                  <c:v>1900/1/0</c:v>
                </c:pt>
                <c:pt idx="374">
                  <c:v>1900/1/0</c:v>
                </c:pt>
                <c:pt idx="375">
                  <c:v>1900/1/0</c:v>
                </c:pt>
                <c:pt idx="376">
                  <c:v>1900/1/0</c:v>
                </c:pt>
                <c:pt idx="377">
                  <c:v>1900/1/0</c:v>
                </c:pt>
                <c:pt idx="378">
                  <c:v>1900/1/0</c:v>
                </c:pt>
                <c:pt idx="379">
                  <c:v>1900/1/0</c:v>
                </c:pt>
                <c:pt idx="380">
                  <c:v>1900/1/0</c:v>
                </c:pt>
                <c:pt idx="381">
                  <c:v>1900/1/0</c:v>
                </c:pt>
                <c:pt idx="382">
                  <c:v>1900/1/0</c:v>
                </c:pt>
                <c:pt idx="383">
                  <c:v>1900/1/0</c:v>
                </c:pt>
                <c:pt idx="384">
                  <c:v>1900/1/0</c:v>
                </c:pt>
                <c:pt idx="385">
                  <c:v>1900/1/0</c:v>
                </c:pt>
                <c:pt idx="386">
                  <c:v>1900/1/0</c:v>
                </c:pt>
                <c:pt idx="387">
                  <c:v>1900/1/0</c:v>
                </c:pt>
                <c:pt idx="388">
                  <c:v>1900/1/0</c:v>
                </c:pt>
                <c:pt idx="389">
                  <c:v>1900/1/0</c:v>
                </c:pt>
                <c:pt idx="390">
                  <c:v>1900/1/0</c:v>
                </c:pt>
                <c:pt idx="391">
                  <c:v>1900/1/0</c:v>
                </c:pt>
                <c:pt idx="392">
                  <c:v>1900/1/0</c:v>
                </c:pt>
                <c:pt idx="393">
                  <c:v>1900/1/0</c:v>
                </c:pt>
                <c:pt idx="394">
                  <c:v>1900/1/0</c:v>
                </c:pt>
                <c:pt idx="395">
                  <c:v>1900/1/0</c:v>
                </c:pt>
                <c:pt idx="396">
                  <c:v>1900/1/0</c:v>
                </c:pt>
                <c:pt idx="397">
                  <c:v>1900/1/0</c:v>
                </c:pt>
                <c:pt idx="398">
                  <c:v>1900/1/0</c:v>
                </c:pt>
                <c:pt idx="399">
                  <c:v>1900/1/0</c:v>
                </c:pt>
                <c:pt idx="400">
                  <c:v>1900/1/0</c:v>
                </c:pt>
                <c:pt idx="401">
                  <c:v>1900/1/0</c:v>
                </c:pt>
                <c:pt idx="402">
                  <c:v>1900/1/0</c:v>
                </c:pt>
                <c:pt idx="403">
                  <c:v>1900/1/0</c:v>
                </c:pt>
                <c:pt idx="404">
                  <c:v>1900/1/0</c:v>
                </c:pt>
                <c:pt idx="405">
                  <c:v>1900/1/0</c:v>
                </c:pt>
                <c:pt idx="406">
                  <c:v>1900/1/0</c:v>
                </c:pt>
                <c:pt idx="407">
                  <c:v>1900/1/0</c:v>
                </c:pt>
                <c:pt idx="408">
                  <c:v>1900/1/0</c:v>
                </c:pt>
                <c:pt idx="409">
                  <c:v>1900/1/0</c:v>
                </c:pt>
                <c:pt idx="410">
                  <c:v>1900/1/0</c:v>
                </c:pt>
                <c:pt idx="411">
                  <c:v>1900/1/0</c:v>
                </c:pt>
                <c:pt idx="412">
                  <c:v>1900/1/0</c:v>
                </c:pt>
                <c:pt idx="413">
                  <c:v>1900/1/0</c:v>
                </c:pt>
                <c:pt idx="414">
                  <c:v>1900/1/0</c:v>
                </c:pt>
                <c:pt idx="415">
                  <c:v>1900/1/0</c:v>
                </c:pt>
                <c:pt idx="416">
                  <c:v>1900/1/0</c:v>
                </c:pt>
                <c:pt idx="417">
                  <c:v>1900/1/0</c:v>
                </c:pt>
                <c:pt idx="418">
                  <c:v>1900/1/0</c:v>
                </c:pt>
                <c:pt idx="419">
                  <c:v>1900/1/0</c:v>
                </c:pt>
                <c:pt idx="420">
                  <c:v>1900/1/0</c:v>
                </c:pt>
                <c:pt idx="421">
                  <c:v>1900/1/0</c:v>
                </c:pt>
                <c:pt idx="422">
                  <c:v>1900/1/0</c:v>
                </c:pt>
                <c:pt idx="423">
                  <c:v>1900/1/0</c:v>
                </c:pt>
                <c:pt idx="424">
                  <c:v>1900/1/0</c:v>
                </c:pt>
                <c:pt idx="425">
                  <c:v>1900/1/0</c:v>
                </c:pt>
                <c:pt idx="426">
                  <c:v>1900/1/0</c:v>
                </c:pt>
                <c:pt idx="427">
                  <c:v>1900/1/0</c:v>
                </c:pt>
                <c:pt idx="428">
                  <c:v>1900/1/0</c:v>
                </c:pt>
                <c:pt idx="429">
                  <c:v>1900/1/0</c:v>
                </c:pt>
                <c:pt idx="430">
                  <c:v>1900/1/0</c:v>
                </c:pt>
                <c:pt idx="431">
                  <c:v>1900/1/0</c:v>
                </c:pt>
                <c:pt idx="432">
                  <c:v>1900/1/0</c:v>
                </c:pt>
                <c:pt idx="433">
                  <c:v>1900/1/0</c:v>
                </c:pt>
                <c:pt idx="434">
                  <c:v>1900/1/0</c:v>
                </c:pt>
                <c:pt idx="435">
                  <c:v>1900/1/0</c:v>
                </c:pt>
                <c:pt idx="436">
                  <c:v>1900/1/0</c:v>
                </c:pt>
                <c:pt idx="437">
                  <c:v>1900/1/0</c:v>
                </c:pt>
                <c:pt idx="438">
                  <c:v>1900/1/0</c:v>
                </c:pt>
                <c:pt idx="439">
                  <c:v>1900/1/0</c:v>
                </c:pt>
                <c:pt idx="440">
                  <c:v>1900/1/0</c:v>
                </c:pt>
                <c:pt idx="441">
                  <c:v>1900/1/0</c:v>
                </c:pt>
                <c:pt idx="442">
                  <c:v>1900/1/0</c:v>
                </c:pt>
                <c:pt idx="443">
                  <c:v>1900/1/0</c:v>
                </c:pt>
                <c:pt idx="444">
                  <c:v>1900/1/0</c:v>
                </c:pt>
                <c:pt idx="445">
                  <c:v>1900/1/0</c:v>
                </c:pt>
                <c:pt idx="446">
                  <c:v>1900/1/0</c:v>
                </c:pt>
                <c:pt idx="447">
                  <c:v>1900/1/0</c:v>
                </c:pt>
                <c:pt idx="448">
                  <c:v>1900/1/0</c:v>
                </c:pt>
                <c:pt idx="449">
                  <c:v>1900/1/0</c:v>
                </c:pt>
                <c:pt idx="450">
                  <c:v>1900/1/0</c:v>
                </c:pt>
                <c:pt idx="451">
                  <c:v>1900/1/0</c:v>
                </c:pt>
                <c:pt idx="452">
                  <c:v>1900/1/0</c:v>
                </c:pt>
                <c:pt idx="453">
                  <c:v>1900/1/0</c:v>
                </c:pt>
                <c:pt idx="454">
                  <c:v>1900/1/0</c:v>
                </c:pt>
                <c:pt idx="455">
                  <c:v>1900/1/0</c:v>
                </c:pt>
                <c:pt idx="456">
                  <c:v>1900/1/0</c:v>
                </c:pt>
                <c:pt idx="457">
                  <c:v>1900/1/0</c:v>
                </c:pt>
                <c:pt idx="458">
                  <c:v>1900/1/0</c:v>
                </c:pt>
                <c:pt idx="459">
                  <c:v>1900/1/0</c:v>
                </c:pt>
                <c:pt idx="460">
                  <c:v>1900/1/0</c:v>
                </c:pt>
                <c:pt idx="461">
                  <c:v>1900/1/0</c:v>
                </c:pt>
                <c:pt idx="462">
                  <c:v>1900/1/0</c:v>
                </c:pt>
                <c:pt idx="463">
                  <c:v>1900/1/0</c:v>
                </c:pt>
                <c:pt idx="464">
                  <c:v>1900/1/0</c:v>
                </c:pt>
                <c:pt idx="465">
                  <c:v>1900/1/0</c:v>
                </c:pt>
                <c:pt idx="466">
                  <c:v>1900/1/0</c:v>
                </c:pt>
                <c:pt idx="467">
                  <c:v>1900/1/0</c:v>
                </c:pt>
                <c:pt idx="468">
                  <c:v>1900/1/0</c:v>
                </c:pt>
                <c:pt idx="469">
                  <c:v>1900/1/0</c:v>
                </c:pt>
                <c:pt idx="470">
                  <c:v>1900/1/0</c:v>
                </c:pt>
                <c:pt idx="471">
                  <c:v>1900/1/0</c:v>
                </c:pt>
                <c:pt idx="472">
                  <c:v>1900/1/0</c:v>
                </c:pt>
                <c:pt idx="473">
                  <c:v>1900/1/0</c:v>
                </c:pt>
                <c:pt idx="474">
                  <c:v>1900/1/0</c:v>
                </c:pt>
                <c:pt idx="475">
                  <c:v>1900/1/0</c:v>
                </c:pt>
                <c:pt idx="476">
                  <c:v>1900/1/0</c:v>
                </c:pt>
                <c:pt idx="477">
                  <c:v>1900/1/0</c:v>
                </c:pt>
                <c:pt idx="478">
                  <c:v>1900/1/0</c:v>
                </c:pt>
                <c:pt idx="479">
                  <c:v>1900/1/0</c:v>
                </c:pt>
                <c:pt idx="480">
                  <c:v>1900/1/0</c:v>
                </c:pt>
                <c:pt idx="481">
                  <c:v>1900/1/0</c:v>
                </c:pt>
                <c:pt idx="482">
                  <c:v>1900/1/0</c:v>
                </c:pt>
                <c:pt idx="483">
                  <c:v>1900/1/0</c:v>
                </c:pt>
                <c:pt idx="484">
                  <c:v>1900/1/0</c:v>
                </c:pt>
                <c:pt idx="485">
                  <c:v>1900/1/0</c:v>
                </c:pt>
                <c:pt idx="486">
                  <c:v>1900/1/0</c:v>
                </c:pt>
                <c:pt idx="487">
                  <c:v>1900/1/0</c:v>
                </c:pt>
                <c:pt idx="488">
                  <c:v>1900/1/0</c:v>
                </c:pt>
                <c:pt idx="489">
                  <c:v>1900/1/0</c:v>
                </c:pt>
                <c:pt idx="490">
                  <c:v>1900/1/0</c:v>
                </c:pt>
                <c:pt idx="491">
                  <c:v>1900/1/0</c:v>
                </c:pt>
                <c:pt idx="492">
                  <c:v>1900/1/0</c:v>
                </c:pt>
                <c:pt idx="493">
                  <c:v>1900/1/0</c:v>
                </c:pt>
                <c:pt idx="494">
                  <c:v>1900/1/0</c:v>
                </c:pt>
                <c:pt idx="495">
                  <c:v>1900/1/0</c:v>
                </c:pt>
                <c:pt idx="496">
                  <c:v>1900/1/0</c:v>
                </c:pt>
                <c:pt idx="497">
                  <c:v>1900/1/0</c:v>
                </c:pt>
                <c:pt idx="498">
                  <c:v>1900/1/0</c:v>
                </c:pt>
                <c:pt idx="499">
                  <c:v>1900/1/0</c:v>
                </c:pt>
                <c:pt idx="500">
                  <c:v>1900/1/0</c:v>
                </c:pt>
                <c:pt idx="501">
                  <c:v>1900/1/0</c:v>
                </c:pt>
                <c:pt idx="502">
                  <c:v>1900/1/0</c:v>
                </c:pt>
                <c:pt idx="503">
                  <c:v>1900/1/0</c:v>
                </c:pt>
                <c:pt idx="504">
                  <c:v>1900/1/0</c:v>
                </c:pt>
                <c:pt idx="505">
                  <c:v>1900/1/0</c:v>
                </c:pt>
                <c:pt idx="506">
                  <c:v>1900/1/0</c:v>
                </c:pt>
                <c:pt idx="507">
                  <c:v>1900/1/0</c:v>
                </c:pt>
                <c:pt idx="508">
                  <c:v>1900/1/0</c:v>
                </c:pt>
                <c:pt idx="509">
                  <c:v>1900/1/0</c:v>
                </c:pt>
                <c:pt idx="510">
                  <c:v>1900/1/0</c:v>
                </c:pt>
                <c:pt idx="511">
                  <c:v>1900/1/0</c:v>
                </c:pt>
                <c:pt idx="512">
                  <c:v>1900/1/0</c:v>
                </c:pt>
                <c:pt idx="513">
                  <c:v>1900/1/0</c:v>
                </c:pt>
                <c:pt idx="514">
                  <c:v>1900/1/0</c:v>
                </c:pt>
                <c:pt idx="515">
                  <c:v>1900/1/0</c:v>
                </c:pt>
                <c:pt idx="516">
                  <c:v>1900/1/0</c:v>
                </c:pt>
                <c:pt idx="517">
                  <c:v>1900/1/0</c:v>
                </c:pt>
                <c:pt idx="518">
                  <c:v>1900/1/0</c:v>
                </c:pt>
                <c:pt idx="519">
                  <c:v>1900/1/0</c:v>
                </c:pt>
                <c:pt idx="520">
                  <c:v>1900/1/0</c:v>
                </c:pt>
                <c:pt idx="521">
                  <c:v>1900/1/0</c:v>
                </c:pt>
                <c:pt idx="522">
                  <c:v>1900/1/0</c:v>
                </c:pt>
                <c:pt idx="523">
                  <c:v>1900/1/0</c:v>
                </c:pt>
                <c:pt idx="524">
                  <c:v>1900/1/0</c:v>
                </c:pt>
                <c:pt idx="525">
                  <c:v>1900/1/0</c:v>
                </c:pt>
                <c:pt idx="526">
                  <c:v>1900/1/0</c:v>
                </c:pt>
                <c:pt idx="527">
                  <c:v>1900/1/0</c:v>
                </c:pt>
                <c:pt idx="528">
                  <c:v>1900/1/0</c:v>
                </c:pt>
                <c:pt idx="529">
                  <c:v>1900/1/0</c:v>
                </c:pt>
                <c:pt idx="530">
                  <c:v>1900/1/0</c:v>
                </c:pt>
                <c:pt idx="531">
                  <c:v>1900/1/0</c:v>
                </c:pt>
                <c:pt idx="532">
                  <c:v>1900/1/0</c:v>
                </c:pt>
                <c:pt idx="533">
                  <c:v>1900/1/0</c:v>
                </c:pt>
                <c:pt idx="534">
                  <c:v>1900/1/0</c:v>
                </c:pt>
                <c:pt idx="535">
                  <c:v>1900/1/0</c:v>
                </c:pt>
                <c:pt idx="536">
                  <c:v>1900/1/0</c:v>
                </c:pt>
                <c:pt idx="537">
                  <c:v>1900/1/0</c:v>
                </c:pt>
                <c:pt idx="538">
                  <c:v>1900/1/0</c:v>
                </c:pt>
                <c:pt idx="539">
                  <c:v>1900/1/0</c:v>
                </c:pt>
                <c:pt idx="540">
                  <c:v>1900/1/0</c:v>
                </c:pt>
                <c:pt idx="541">
                  <c:v>1900/1/0</c:v>
                </c:pt>
                <c:pt idx="542">
                  <c:v>1900/1/0</c:v>
                </c:pt>
                <c:pt idx="543">
                  <c:v>1900/1/0</c:v>
                </c:pt>
                <c:pt idx="544">
                  <c:v>1900/1/0</c:v>
                </c:pt>
                <c:pt idx="545">
                  <c:v>1900/1/0</c:v>
                </c:pt>
                <c:pt idx="546">
                  <c:v>1900/1/0</c:v>
                </c:pt>
                <c:pt idx="547">
                  <c:v>1900/1/0</c:v>
                </c:pt>
                <c:pt idx="548">
                  <c:v>1900/1/0</c:v>
                </c:pt>
                <c:pt idx="549">
                  <c:v>1900/1/0</c:v>
                </c:pt>
                <c:pt idx="550">
                  <c:v>1900/1/0</c:v>
                </c:pt>
                <c:pt idx="551">
                  <c:v>1900/1/0</c:v>
                </c:pt>
                <c:pt idx="552">
                  <c:v>1900/1/0</c:v>
                </c:pt>
                <c:pt idx="553">
                  <c:v>1900/1/0</c:v>
                </c:pt>
                <c:pt idx="554">
                  <c:v>1900/1/0</c:v>
                </c:pt>
                <c:pt idx="555">
                  <c:v>1900/1/0</c:v>
                </c:pt>
                <c:pt idx="556">
                  <c:v>1900/1/0</c:v>
                </c:pt>
                <c:pt idx="557">
                  <c:v>1900/1/0</c:v>
                </c:pt>
                <c:pt idx="558">
                  <c:v>1900/1/0</c:v>
                </c:pt>
                <c:pt idx="559">
                  <c:v>1900/1/0</c:v>
                </c:pt>
                <c:pt idx="560">
                  <c:v>1900/1/0</c:v>
                </c:pt>
                <c:pt idx="561">
                  <c:v>1900/1/0</c:v>
                </c:pt>
                <c:pt idx="562">
                  <c:v>1900/1/0</c:v>
                </c:pt>
                <c:pt idx="563">
                  <c:v>1900/1/0</c:v>
                </c:pt>
                <c:pt idx="564">
                  <c:v>1900/1/0</c:v>
                </c:pt>
                <c:pt idx="565">
                  <c:v>1900/1/0</c:v>
                </c:pt>
                <c:pt idx="566">
                  <c:v>1900/1/0</c:v>
                </c:pt>
                <c:pt idx="567">
                  <c:v>1900/1/0</c:v>
                </c:pt>
                <c:pt idx="568">
                  <c:v>1900/1/0</c:v>
                </c:pt>
                <c:pt idx="569">
                  <c:v>1900/1/0</c:v>
                </c:pt>
                <c:pt idx="570">
                  <c:v>1900/1/0</c:v>
                </c:pt>
                <c:pt idx="571">
                  <c:v>1900/1/0</c:v>
                </c:pt>
                <c:pt idx="572">
                  <c:v>1900/1/0</c:v>
                </c:pt>
                <c:pt idx="573">
                  <c:v>1900/1/0</c:v>
                </c:pt>
                <c:pt idx="574">
                  <c:v>1900/1/0</c:v>
                </c:pt>
                <c:pt idx="575">
                  <c:v>1900/1/0</c:v>
                </c:pt>
                <c:pt idx="576">
                  <c:v>1900/1/0</c:v>
                </c:pt>
                <c:pt idx="577">
                  <c:v>1900/1/0</c:v>
                </c:pt>
                <c:pt idx="578">
                  <c:v>1900/1/0</c:v>
                </c:pt>
                <c:pt idx="579">
                  <c:v>1900/1/0</c:v>
                </c:pt>
                <c:pt idx="580">
                  <c:v>1900/1/0</c:v>
                </c:pt>
                <c:pt idx="581">
                  <c:v>1900/1/0</c:v>
                </c:pt>
                <c:pt idx="582">
                  <c:v>1900/1/0</c:v>
                </c:pt>
                <c:pt idx="583">
                  <c:v>1900/1/0</c:v>
                </c:pt>
                <c:pt idx="584">
                  <c:v>1900/1/0</c:v>
                </c:pt>
                <c:pt idx="585">
                  <c:v>1900/1/0</c:v>
                </c:pt>
                <c:pt idx="586">
                  <c:v>1900/1/0</c:v>
                </c:pt>
                <c:pt idx="587">
                  <c:v>1900/1/0</c:v>
                </c:pt>
                <c:pt idx="588">
                  <c:v>1900/1/0</c:v>
                </c:pt>
                <c:pt idx="589">
                  <c:v>1900/1/0</c:v>
                </c:pt>
                <c:pt idx="590">
                  <c:v>1900/1/0</c:v>
                </c:pt>
                <c:pt idx="591">
                  <c:v>1900/1/0</c:v>
                </c:pt>
                <c:pt idx="592">
                  <c:v>1900/1/0</c:v>
                </c:pt>
                <c:pt idx="593">
                  <c:v>1900/1/0</c:v>
                </c:pt>
                <c:pt idx="594">
                  <c:v>1900/1/0</c:v>
                </c:pt>
                <c:pt idx="595">
                  <c:v>1900/1/0</c:v>
                </c:pt>
                <c:pt idx="596">
                  <c:v>1900/1/0</c:v>
                </c:pt>
                <c:pt idx="597">
                  <c:v>1900/1/0</c:v>
                </c:pt>
                <c:pt idx="598">
                  <c:v>1900/1/0</c:v>
                </c:pt>
                <c:pt idx="599">
                  <c:v>1900/1/0</c:v>
                </c:pt>
                <c:pt idx="600">
                  <c:v>1900/1/0</c:v>
                </c:pt>
                <c:pt idx="601">
                  <c:v>1900/1/0</c:v>
                </c:pt>
                <c:pt idx="602">
                  <c:v>1900/1/0</c:v>
                </c:pt>
                <c:pt idx="603">
                  <c:v>1900/1/0</c:v>
                </c:pt>
                <c:pt idx="604">
                  <c:v>1900/1/0</c:v>
                </c:pt>
                <c:pt idx="605">
                  <c:v>1900/1/0</c:v>
                </c:pt>
                <c:pt idx="606">
                  <c:v>1900/1/0</c:v>
                </c:pt>
                <c:pt idx="607">
                  <c:v>1900/1/0</c:v>
                </c:pt>
                <c:pt idx="608">
                  <c:v>1900/1/0</c:v>
                </c:pt>
                <c:pt idx="609">
                  <c:v>1900/1/0</c:v>
                </c:pt>
                <c:pt idx="610">
                  <c:v>1900/1/0</c:v>
                </c:pt>
                <c:pt idx="611">
                  <c:v>1900/1/0</c:v>
                </c:pt>
                <c:pt idx="612">
                  <c:v>1900/1/0</c:v>
                </c:pt>
                <c:pt idx="613">
                  <c:v>1900/1/0</c:v>
                </c:pt>
                <c:pt idx="614">
                  <c:v>1900/1/0</c:v>
                </c:pt>
                <c:pt idx="615">
                  <c:v>1900/1/0</c:v>
                </c:pt>
                <c:pt idx="616">
                  <c:v>1900/1/0</c:v>
                </c:pt>
                <c:pt idx="617">
                  <c:v>1900/1/0</c:v>
                </c:pt>
                <c:pt idx="618">
                  <c:v>1900/1/0</c:v>
                </c:pt>
                <c:pt idx="619">
                  <c:v>1900/1/0</c:v>
                </c:pt>
                <c:pt idx="620">
                  <c:v>1900/1/0</c:v>
                </c:pt>
                <c:pt idx="621">
                  <c:v>1900/1/0</c:v>
                </c:pt>
                <c:pt idx="622">
                  <c:v>1900/1/0</c:v>
                </c:pt>
                <c:pt idx="623">
                  <c:v>1900/1/0</c:v>
                </c:pt>
                <c:pt idx="624">
                  <c:v>1900/1/0</c:v>
                </c:pt>
                <c:pt idx="625">
                  <c:v>1900/1/0</c:v>
                </c:pt>
                <c:pt idx="626">
                  <c:v>1900/1/0</c:v>
                </c:pt>
                <c:pt idx="627">
                  <c:v>1900/1/0</c:v>
                </c:pt>
                <c:pt idx="628">
                  <c:v>1900/1/0</c:v>
                </c:pt>
                <c:pt idx="629">
                  <c:v>1900/1/0</c:v>
                </c:pt>
                <c:pt idx="630">
                  <c:v>1900/1/0</c:v>
                </c:pt>
                <c:pt idx="631">
                  <c:v>1900/1/0</c:v>
                </c:pt>
                <c:pt idx="632">
                  <c:v>1900/1/0</c:v>
                </c:pt>
                <c:pt idx="633">
                  <c:v>1900/1/0</c:v>
                </c:pt>
                <c:pt idx="634">
                  <c:v>1900/1/0</c:v>
                </c:pt>
                <c:pt idx="635">
                  <c:v>1900/1/0</c:v>
                </c:pt>
                <c:pt idx="636">
                  <c:v>1900/1/0</c:v>
                </c:pt>
                <c:pt idx="637">
                  <c:v>1900/1/0</c:v>
                </c:pt>
                <c:pt idx="638">
                  <c:v>1900/1/0</c:v>
                </c:pt>
                <c:pt idx="639">
                  <c:v>1900/1/0</c:v>
                </c:pt>
                <c:pt idx="640">
                  <c:v>1900/1/0</c:v>
                </c:pt>
                <c:pt idx="641">
                  <c:v>1900/1/0</c:v>
                </c:pt>
              </c:strCache>
            </c:strRef>
          </c:cat>
          <c:val>
            <c:numRef>
              <c:f>[0]!zzyiqian</c:f>
              <c:numCache>
                <c:formatCode>0.00%</c:formatCode>
                <c:ptCount val="642"/>
                <c:pt idx="0">
                  <c:v>0</c:v>
                </c:pt>
                <c:pt idx="1">
                  <c:v>0.5695910454771238</c:v>
                </c:pt>
                <c:pt idx="2">
                  <c:v>0.57641603136185016</c:v>
                </c:pt>
                <c:pt idx="3">
                  <c:v>0.58736905105264436</c:v>
                </c:pt>
                <c:pt idx="4">
                  <c:v>0.57960929267654371</c:v>
                </c:pt>
                <c:pt idx="5">
                  <c:v>0.59039102699660451</c:v>
                </c:pt>
                <c:pt idx="6">
                  <c:v>0.5803228462679455</c:v>
                </c:pt>
                <c:pt idx="7">
                  <c:v>0.57402226031423553</c:v>
                </c:pt>
                <c:pt idx="8">
                  <c:v>0.56863142634093033</c:v>
                </c:pt>
                <c:pt idx="9">
                  <c:v>0.57238597651661483</c:v>
                </c:pt>
                <c:pt idx="10">
                  <c:v>0.59820551182571613</c:v>
                </c:pt>
                <c:pt idx="11">
                  <c:v>0.6109459909040803</c:v>
                </c:pt>
                <c:pt idx="12">
                  <c:v>0.60834906272386569</c:v>
                </c:pt>
                <c:pt idx="13">
                  <c:v>0.55956675939189748</c:v>
                </c:pt>
                <c:pt idx="14">
                  <c:v>0.55075067996287386</c:v>
                </c:pt>
                <c:pt idx="15">
                  <c:v>0.54914231641041966</c:v>
                </c:pt>
                <c:pt idx="16">
                  <c:v>0.55546856983447523</c:v>
                </c:pt>
                <c:pt idx="17">
                  <c:v>0.5253146563872807</c:v>
                </c:pt>
                <c:pt idx="18">
                  <c:v>0.52827402894181352</c:v>
                </c:pt>
                <c:pt idx="19">
                  <c:v>0.52231601113191206</c:v>
                </c:pt>
                <c:pt idx="20">
                  <c:v>0.51635745045473125</c:v>
                </c:pt>
                <c:pt idx="21">
                  <c:v>0.49277069561412895</c:v>
                </c:pt>
                <c:pt idx="22">
                  <c:v>0.49741098015877167</c:v>
                </c:pt>
                <c:pt idx="23">
                  <c:v>0.49382042815400268</c:v>
                </c:pt>
                <c:pt idx="24">
                  <c:v>0.49179780954885211</c:v>
                </c:pt>
                <c:pt idx="25">
                  <c:v>0.48701321780665707</c:v>
                </c:pt>
                <c:pt idx="26">
                  <c:v>0.51005468041174151</c:v>
                </c:pt>
                <c:pt idx="27">
                  <c:v>0.52002846925816659</c:v>
                </c:pt>
                <c:pt idx="28">
                  <c:v>0.51546216977141768</c:v>
                </c:pt>
                <c:pt idx="29">
                  <c:v>0.48974358746018887</c:v>
                </c:pt>
                <c:pt idx="30">
                  <c:v>0.481643162086208</c:v>
                </c:pt>
                <c:pt idx="31">
                  <c:v>0.47728900260249602</c:v>
                </c:pt>
                <c:pt idx="32">
                  <c:v>0.48126062850958301</c:v>
                </c:pt>
                <c:pt idx="33">
                  <c:v>0.46455641127631914</c:v>
                </c:pt>
                <c:pt idx="34">
                  <c:v>0.46701653935166471</c:v>
                </c:pt>
                <c:pt idx="35">
                  <c:v>0.48267109980191986</c:v>
                </c:pt>
                <c:pt idx="36">
                  <c:v>0.48379653231007425</c:v>
                </c:pt>
                <c:pt idx="37">
                  <c:v>0.48205303889263795</c:v>
                </c:pt>
                <c:pt idx="38">
                  <c:v>0.48251083901472352</c:v>
                </c:pt>
                <c:pt idx="39">
                  <c:v>0.50470429210593926</c:v>
                </c:pt>
                <c:pt idx="40">
                  <c:v>0.51322975145547411</c:v>
                </c:pt>
                <c:pt idx="41">
                  <c:v>0.5069535696138382</c:v>
                </c:pt>
                <c:pt idx="42">
                  <c:v>0.49126302831074486</c:v>
                </c:pt>
                <c:pt idx="43">
                  <c:v>0.50127431555196511</c:v>
                </c:pt>
                <c:pt idx="44">
                  <c:v>0.52474183578370825</c:v>
                </c:pt>
                <c:pt idx="45">
                  <c:v>0.53885821754275731</c:v>
                </c:pt>
                <c:pt idx="46">
                  <c:v>0.53216940586333927</c:v>
                </c:pt>
                <c:pt idx="47">
                  <c:v>0.53037867154516649</c:v>
                </c:pt>
                <c:pt idx="48">
                  <c:v>0.5558270850227639</c:v>
                </c:pt>
                <c:pt idx="49">
                  <c:v>0.56182632398503574</c:v>
                </c:pt>
                <c:pt idx="50">
                  <c:v>0.33829248139813212</c:v>
                </c:pt>
                <c:pt idx="51">
                  <c:v>0.59675362537004528</c:v>
                </c:pt>
                <c:pt idx="52">
                  <c:v>0.62602301570836816</c:v>
                </c:pt>
                <c:pt idx="53">
                  <c:v>0.65872670305289893</c:v>
                </c:pt>
                <c:pt idx="54">
                  <c:v>0.65531157568137288</c:v>
                </c:pt>
                <c:pt idx="55">
                  <c:v>0.64646951118288842</c:v>
                </c:pt>
                <c:pt idx="56">
                  <c:v>0.661196662181191</c:v>
                </c:pt>
                <c:pt idx="57">
                  <c:v>0.6778103624548254</c:v>
                </c:pt>
                <c:pt idx="58">
                  <c:v>0.68696442205669372</c:v>
                </c:pt>
                <c:pt idx="59">
                  <c:v>0.6755397789264993</c:v>
                </c:pt>
                <c:pt idx="60">
                  <c:v>0.66818764018111754</c:v>
                </c:pt>
                <c:pt idx="61">
                  <c:v>0.69151940395482103</c:v>
                </c:pt>
                <c:pt idx="62">
                  <c:v>0.67285931275331967</c:v>
                </c:pt>
                <c:pt idx="63">
                  <c:v>0.68824610482072546</c:v>
                </c:pt>
                <c:pt idx="64">
                  <c:v>0.69059814627899274</c:v>
                </c:pt>
                <c:pt idx="65">
                  <c:v>0.69210811406073613</c:v>
                </c:pt>
                <c:pt idx="66">
                  <c:v>0.68920922487454372</c:v>
                </c:pt>
                <c:pt idx="67">
                  <c:v>0.6859575970449</c:v>
                </c:pt>
                <c:pt idx="68">
                  <c:v>0.64880794413148724</c:v>
                </c:pt>
                <c:pt idx="69">
                  <c:v>0.63516755159102001</c:v>
                </c:pt>
                <c:pt idx="70">
                  <c:v>0.6346428010473244</c:v>
                </c:pt>
                <c:pt idx="71">
                  <c:v>0.62786877724859602</c:v>
                </c:pt>
                <c:pt idx="72">
                  <c:v>0.62611642979341797</c:v>
                </c:pt>
                <c:pt idx="73">
                  <c:v>0.62560790888394535</c:v>
                </c:pt>
                <c:pt idx="74">
                  <c:v>0.62575578087634798</c:v>
                </c:pt>
                <c:pt idx="75">
                  <c:v>0.62714175564301156</c:v>
                </c:pt>
                <c:pt idx="76">
                  <c:v>0.62938427210939996</c:v>
                </c:pt>
                <c:pt idx="77">
                  <c:v>0.62626970808947757</c:v>
                </c:pt>
                <c:pt idx="78">
                  <c:v>0.61815597058113403</c:v>
                </c:pt>
                <c:pt idx="79">
                  <c:v>0.61883701733328755</c:v>
                </c:pt>
                <c:pt idx="80">
                  <c:v>0.59568004525338214</c:v>
                </c:pt>
                <c:pt idx="81">
                  <c:v>0.58665234112741749</c:v>
                </c:pt>
                <c:pt idx="82">
                  <c:v>0.57302140387275691</c:v>
                </c:pt>
                <c:pt idx="83">
                  <c:v>0.56961872913219158</c:v>
                </c:pt>
                <c:pt idx="84">
                  <c:v>0.57100913270270959</c:v>
                </c:pt>
                <c:pt idx="85">
                  <c:v>0.57938041690071351</c:v>
                </c:pt>
                <c:pt idx="86">
                  <c:v>0.59159475539861395</c:v>
                </c:pt>
                <c:pt idx="87">
                  <c:v>0.59206104227238898</c:v>
                </c:pt>
                <c:pt idx="88">
                  <c:v>0.59872462431603168</c:v>
                </c:pt>
                <c:pt idx="89">
                  <c:v>0.65384804994685608</c:v>
                </c:pt>
                <c:pt idx="90">
                  <c:v>0.67656421134730582</c:v>
                </c:pt>
                <c:pt idx="91">
                  <c:v>0.66565905850709406</c:v>
                </c:pt>
                <c:pt idx="92">
                  <c:v>0.6625249072895909</c:v>
                </c:pt>
                <c:pt idx="93">
                  <c:v>0.67783053652332126</c:v>
                </c:pt>
                <c:pt idx="94">
                  <c:v>0.67293539306123396</c:v>
                </c:pt>
                <c:pt idx="95">
                  <c:v>0.68103489496837288</c:v>
                </c:pt>
                <c:pt idx="96">
                  <c:v>0.67514974063813959</c:v>
                </c:pt>
                <c:pt idx="97">
                  <c:v>0.69195521771807766</c:v>
                </c:pt>
                <c:pt idx="98">
                  <c:v>0.70190769157813038</c:v>
                </c:pt>
                <c:pt idx="99">
                  <c:v>0.70891017700992254</c:v>
                </c:pt>
                <c:pt idx="100">
                  <c:v>0.70306368263495145</c:v>
                </c:pt>
                <c:pt idx="101">
                  <c:v>0.69857780100677658</c:v>
                </c:pt>
                <c:pt idx="102">
                  <c:v>0.69732913131149621</c:v>
                </c:pt>
                <c:pt idx="103">
                  <c:v>0.68004992687495669</c:v>
                </c:pt>
                <c:pt idx="104">
                  <c:v>0.67732347177994301</c:v>
                </c:pt>
                <c:pt idx="105">
                  <c:v>0.67980612930553808</c:v>
                </c:pt>
                <c:pt idx="106">
                  <c:v>0.64027826229245643</c:v>
                </c:pt>
                <c:pt idx="107">
                  <c:v>0.62556666372665304</c:v>
                </c:pt>
                <c:pt idx="108">
                  <c:v>0.66698254538111079</c:v>
                </c:pt>
                <c:pt idx="109">
                  <c:v>0.67070593686671476</c:v>
                </c:pt>
                <c:pt idx="110">
                  <c:v>0.67252395418191657</c:v>
                </c:pt>
                <c:pt idx="111">
                  <c:v>0.66458229839569138</c:v>
                </c:pt>
                <c:pt idx="112">
                  <c:v>0.60649558152787475</c:v>
                </c:pt>
                <c:pt idx="113">
                  <c:v>0.60871129525858991</c:v>
                </c:pt>
                <c:pt idx="114">
                  <c:v>0.57745163898529861</c:v>
                </c:pt>
                <c:pt idx="115">
                  <c:v>0.47110999031139744</c:v>
                </c:pt>
                <c:pt idx="116">
                  <c:v>0.44489741534475413</c:v>
                </c:pt>
                <c:pt idx="117">
                  <c:v>0.44315458554279835</c:v>
                </c:pt>
                <c:pt idx="118">
                  <c:v>0.42461446527811514</c:v>
                </c:pt>
                <c:pt idx="119">
                  <c:v>0.3905932176145393</c:v>
                </c:pt>
                <c:pt idx="120">
                  <c:v>0.38496620277790772</c:v>
                </c:pt>
                <c:pt idx="121">
                  <c:v>0.35187316363062465</c:v>
                </c:pt>
                <c:pt idx="122">
                  <c:v>0.34103356416848785</c:v>
                </c:pt>
                <c:pt idx="123">
                  <c:v>0.38660644940322425</c:v>
                </c:pt>
                <c:pt idx="124">
                  <c:v>0.38223691983340208</c:v>
                </c:pt>
                <c:pt idx="125">
                  <c:v>0.37653530713014155</c:v>
                </c:pt>
                <c:pt idx="126">
                  <c:v>0.31661874679337165</c:v>
                </c:pt>
                <c:pt idx="127">
                  <c:v>0.30563862700431099</c:v>
                </c:pt>
                <c:pt idx="128">
                  <c:v>0.27189636910908394</c:v>
                </c:pt>
                <c:pt idx="129">
                  <c:v>0.2243088070119198</c:v>
                </c:pt>
                <c:pt idx="130">
                  <c:v>0.20184669780436373</c:v>
                </c:pt>
                <c:pt idx="131">
                  <c:v>0.23878211277388775</c:v>
                </c:pt>
                <c:pt idx="132">
                  <c:v>0.11223737079724008</c:v>
                </c:pt>
                <c:pt idx="133">
                  <c:v>0.27536841554370056</c:v>
                </c:pt>
                <c:pt idx="134">
                  <c:v>0.38206037591206826</c:v>
                </c:pt>
                <c:pt idx="135">
                  <c:v>0.41460597558265594</c:v>
                </c:pt>
                <c:pt idx="136">
                  <c:v>0.42917674956047425</c:v>
                </c:pt>
                <c:pt idx="137">
                  <c:v>0.48712110147847582</c:v>
                </c:pt>
                <c:pt idx="138">
                  <c:v>0.28276829798141279</c:v>
                </c:pt>
                <c:pt idx="139">
                  <c:v>0.27664308813663213</c:v>
                </c:pt>
                <c:pt idx="140">
                  <c:v>0.31927731498513656</c:v>
                </c:pt>
                <c:pt idx="141">
                  <c:v>0.30689508597157927</c:v>
                </c:pt>
                <c:pt idx="142">
                  <c:v>0.35797787922592911</c:v>
                </c:pt>
                <c:pt idx="143">
                  <c:v>0.34663515416825003</c:v>
                </c:pt>
                <c:pt idx="144">
                  <c:v>0.32258731144664815</c:v>
                </c:pt>
                <c:pt idx="145">
                  <c:v>0.40761099495906078</c:v>
                </c:pt>
                <c:pt idx="146">
                  <c:v>0.42476153255738497</c:v>
                </c:pt>
                <c:pt idx="147">
                  <c:v>0.15134613306827421</c:v>
                </c:pt>
                <c:pt idx="148">
                  <c:v>9.4712154848503385E-2</c:v>
                </c:pt>
                <c:pt idx="149">
                  <c:v>0.11255661831131382</c:v>
                </c:pt>
                <c:pt idx="150">
                  <c:v>0.2158692175839457</c:v>
                </c:pt>
                <c:pt idx="151">
                  <c:v>0.12019477867911885</c:v>
                </c:pt>
                <c:pt idx="152">
                  <c:v>0.16274498393793996</c:v>
                </c:pt>
                <c:pt idx="153">
                  <c:v>0.20588128283191887</c:v>
                </c:pt>
                <c:pt idx="154">
                  <c:v>0.24142043841876171</c:v>
                </c:pt>
                <c:pt idx="155">
                  <c:v>0.21681695578995322</c:v>
                </c:pt>
                <c:pt idx="156">
                  <c:v>0.18504951354835486</c:v>
                </c:pt>
                <c:pt idx="157">
                  <c:v>0.12760080737842733</c:v>
                </c:pt>
                <c:pt idx="158">
                  <c:v>0.13679418290253331</c:v>
                </c:pt>
                <c:pt idx="159">
                  <c:v>0.1437596150817845</c:v>
                </c:pt>
                <c:pt idx="160">
                  <c:v>0.14588780854324937</c:v>
                </c:pt>
                <c:pt idx="161">
                  <c:v>0.14456812279450779</c:v>
                </c:pt>
                <c:pt idx="162">
                  <c:v>0.14210067854607658</c:v>
                </c:pt>
                <c:pt idx="163">
                  <c:v>0.15536478186821062</c:v>
                </c:pt>
                <c:pt idx="164">
                  <c:v>0.12968622658253767</c:v>
                </c:pt>
                <c:pt idx="165">
                  <c:v>0.11074760294175955</c:v>
                </c:pt>
                <c:pt idx="166">
                  <c:v>0.12537205553054548</c:v>
                </c:pt>
                <c:pt idx="167">
                  <c:v>0.17027964321458164</c:v>
                </c:pt>
                <c:pt idx="168">
                  <c:v>0.14886012547270014</c:v>
                </c:pt>
                <c:pt idx="169">
                  <c:v>0.15179406602274648</c:v>
                </c:pt>
                <c:pt idx="170">
                  <c:v>1.369390637411195E-5</c:v>
                </c:pt>
                <c:pt idx="171">
                  <c:v>8.138257460918423E-2</c:v>
                </c:pt>
                <c:pt idx="172">
                  <c:v>6.89235849373869E-2</c:v>
                </c:pt>
                <c:pt idx="173">
                  <c:v>9.2410453414595875E-2</c:v>
                </c:pt>
                <c:pt idx="174">
                  <c:v>1.3886096808791456E-2</c:v>
                </c:pt>
                <c:pt idx="175">
                  <c:v>2.1234289361129529E-2</c:v>
                </c:pt>
                <c:pt idx="176">
                  <c:v>1.5199641375270807E-5</c:v>
                </c:pt>
                <c:pt idx="177">
                  <c:v>9.7350257661852457E-6</c:v>
                </c:pt>
                <c:pt idx="178">
                  <c:v>1.3829289478158586E-5</c:v>
                </c:pt>
                <c:pt idx="179">
                  <c:v>1.4208124248782961E-5</c:v>
                </c:pt>
                <c:pt idx="180">
                  <c:v>1.4475359316432402E-5</c:v>
                </c:pt>
                <c:pt idx="181">
                  <c:v>1.3551035146216512E-6</c:v>
                </c:pt>
                <c:pt idx="182">
                  <c:v>5.9190911963503477E-6</c:v>
                </c:pt>
                <c:pt idx="183">
                  <c:v>1.1147114034893687E-5</c:v>
                </c:pt>
                <c:pt idx="184">
                  <c:v>5.1486358285546296E-6</c:v>
                </c:pt>
                <c:pt idx="185">
                  <c:v>1.0686536968211583E-5</c:v>
                </c:pt>
                <c:pt idx="186">
                  <c:v>1.0875064552362697E-5</c:v>
                </c:pt>
                <c:pt idx="187">
                  <c:v>1.1312288522902841E-5</c:v>
                </c:pt>
                <c:pt idx="188">
                  <c:v>1.1682510550541318E-5</c:v>
                </c:pt>
                <c:pt idx="189">
                  <c:v>1.2129032776641642E-5</c:v>
                </c:pt>
                <c:pt idx="190">
                  <c:v>1.1523890859992554E-5</c:v>
                </c:pt>
                <c:pt idx="191">
                  <c:v>1.2210894075400883E-5</c:v>
                </c:pt>
                <c:pt idx="192">
                  <c:v>1.2369814472612349E-5</c:v>
                </c:pt>
                <c:pt idx="193">
                  <c:v>6.9978878430275764E-6</c:v>
                </c:pt>
                <c:pt idx="194">
                  <c:v>8.3197452389461808E-6</c:v>
                </c:pt>
                <c:pt idx="195">
                  <c:v>8.0327105153866285E-6</c:v>
                </c:pt>
                <c:pt idx="196">
                  <c:v>8.1346077503888825E-6</c:v>
                </c:pt>
                <c:pt idx="197">
                  <c:v>1.1942605684013469E-5</c:v>
                </c:pt>
                <c:pt idx="198">
                  <c:v>1.2376045181328144E-5</c:v>
                </c:pt>
                <c:pt idx="199">
                  <c:v>1.291881254592533E-5</c:v>
                </c:pt>
                <c:pt idx="200">
                  <c:v>1.3135651395488966E-5</c:v>
                </c:pt>
                <c:pt idx="201">
                  <c:v>1.6703018803553406E-5</c:v>
                </c:pt>
                <c:pt idx="202">
                  <c:v>1.6254130073880304E-5</c:v>
                </c:pt>
                <c:pt idx="203">
                  <c:v>1.5727737107870127E-5</c:v>
                </c:pt>
                <c:pt idx="204">
                  <c:v>1.4528841607740904E-5</c:v>
                </c:pt>
                <c:pt idx="205">
                  <c:v>1.5856901354634545E-5</c:v>
                </c:pt>
                <c:pt idx="206">
                  <c:v>1.4863461393930362E-5</c:v>
                </c:pt>
                <c:pt idx="207">
                  <c:v>1.4017641588808202E-5</c:v>
                </c:pt>
                <c:pt idx="208">
                  <c:v>1.4386102835171846E-5</c:v>
                </c:pt>
                <c:pt idx="209">
                  <c:v>1.4145836351811056E-5</c:v>
                </c:pt>
                <c:pt idx="210">
                  <c:v>1.4883530005438889E-5</c:v>
                </c:pt>
                <c:pt idx="211">
                  <c:v>1.629776086291253E-5</c:v>
                </c:pt>
                <c:pt idx="212">
                  <c:v>1.5201192361295904E-5</c:v>
                </c:pt>
                <c:pt idx="213">
                  <c:v>1.609442321622111E-5</c:v>
                </c:pt>
                <c:pt idx="214">
                  <c:v>1.7327007874566344E-5</c:v>
                </c:pt>
                <c:pt idx="215">
                  <c:v>1.944270833642866E-5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BD-4945-A0CC-9CCF2CAFED03}"/>
            </c:ext>
          </c:extLst>
        </c:ser>
        <c:ser>
          <c:idx val="3"/>
          <c:order val="3"/>
          <c:tx>
            <c:strRef>
              <c:f>figure!$E$1</c:f>
              <c:strCache>
                <c:ptCount val="1"/>
                <c:pt idx="0">
                  <c:v>现金因子</c:v>
                </c:pt>
              </c:strCache>
            </c:strRef>
          </c:tx>
          <c:cat>
            <c:strRef>
              <c:f>[0]!time</c:f>
              <c:strCache>
                <c:ptCount val="642"/>
                <c:pt idx="1">
                  <c:v>2014/3/17</c:v>
                </c:pt>
                <c:pt idx="2">
                  <c:v>2014/3/24</c:v>
                </c:pt>
                <c:pt idx="3">
                  <c:v>2014/3/31</c:v>
                </c:pt>
                <c:pt idx="4">
                  <c:v>2014/4/7</c:v>
                </c:pt>
                <c:pt idx="5">
                  <c:v>2014/4/14</c:v>
                </c:pt>
                <c:pt idx="6">
                  <c:v>2014/4/21</c:v>
                </c:pt>
                <c:pt idx="7">
                  <c:v>2014/4/28</c:v>
                </c:pt>
                <c:pt idx="8">
                  <c:v>2014/5/5</c:v>
                </c:pt>
                <c:pt idx="9">
                  <c:v>2014/5/12</c:v>
                </c:pt>
                <c:pt idx="10">
                  <c:v>2014/5/19</c:v>
                </c:pt>
                <c:pt idx="11">
                  <c:v>2014/5/26</c:v>
                </c:pt>
                <c:pt idx="12">
                  <c:v>2014/6/2</c:v>
                </c:pt>
                <c:pt idx="13">
                  <c:v>2014/6/9</c:v>
                </c:pt>
                <c:pt idx="14">
                  <c:v>2014/6/16</c:v>
                </c:pt>
                <c:pt idx="15">
                  <c:v>2014/6/23</c:v>
                </c:pt>
                <c:pt idx="16">
                  <c:v>2014/6/30</c:v>
                </c:pt>
                <c:pt idx="17">
                  <c:v>2014/7/6</c:v>
                </c:pt>
                <c:pt idx="18">
                  <c:v>2014/7/14</c:v>
                </c:pt>
                <c:pt idx="19">
                  <c:v>2014/7/21</c:v>
                </c:pt>
                <c:pt idx="20">
                  <c:v>2014/7/27</c:v>
                </c:pt>
                <c:pt idx="21">
                  <c:v>2014/8/4</c:v>
                </c:pt>
                <c:pt idx="22">
                  <c:v>2014/8/11</c:v>
                </c:pt>
                <c:pt idx="23">
                  <c:v>2014/8/18</c:v>
                </c:pt>
                <c:pt idx="24">
                  <c:v>2014/8/25</c:v>
                </c:pt>
                <c:pt idx="25">
                  <c:v>2014/9/1</c:v>
                </c:pt>
                <c:pt idx="26">
                  <c:v>2014/9/8</c:v>
                </c:pt>
                <c:pt idx="27">
                  <c:v>2014/9/15</c:v>
                </c:pt>
                <c:pt idx="28">
                  <c:v>2014/9/22</c:v>
                </c:pt>
                <c:pt idx="29">
                  <c:v>2014/9/29</c:v>
                </c:pt>
                <c:pt idx="30">
                  <c:v>2014/10/6</c:v>
                </c:pt>
                <c:pt idx="31">
                  <c:v>2014/10/13</c:v>
                </c:pt>
                <c:pt idx="32">
                  <c:v>2014/10/20</c:v>
                </c:pt>
                <c:pt idx="33">
                  <c:v>2014/10/26</c:v>
                </c:pt>
                <c:pt idx="34">
                  <c:v>2014/11/3</c:v>
                </c:pt>
                <c:pt idx="35">
                  <c:v>2014/11/10</c:v>
                </c:pt>
                <c:pt idx="36">
                  <c:v>2014/11/17</c:v>
                </c:pt>
                <c:pt idx="37">
                  <c:v>2014/11/24</c:v>
                </c:pt>
                <c:pt idx="38">
                  <c:v>2014/12/1</c:v>
                </c:pt>
                <c:pt idx="39">
                  <c:v>2014/12/7</c:v>
                </c:pt>
                <c:pt idx="40">
                  <c:v>2014/12/14</c:v>
                </c:pt>
                <c:pt idx="41">
                  <c:v>2014/12/22</c:v>
                </c:pt>
                <c:pt idx="42">
                  <c:v>2014/12/29</c:v>
                </c:pt>
                <c:pt idx="43">
                  <c:v>2015/1/5</c:v>
                </c:pt>
                <c:pt idx="44">
                  <c:v>2015/1/12</c:v>
                </c:pt>
                <c:pt idx="45">
                  <c:v>2015/1/19</c:v>
                </c:pt>
                <c:pt idx="46">
                  <c:v>2015/1/26</c:v>
                </c:pt>
                <c:pt idx="47">
                  <c:v>2015/2/2</c:v>
                </c:pt>
                <c:pt idx="48">
                  <c:v>2015/2/9</c:v>
                </c:pt>
                <c:pt idx="49">
                  <c:v>2015/2/16</c:v>
                </c:pt>
                <c:pt idx="50">
                  <c:v>2015/2/23</c:v>
                </c:pt>
                <c:pt idx="51">
                  <c:v>2015/3/2</c:v>
                </c:pt>
                <c:pt idx="52">
                  <c:v>2015/3/8</c:v>
                </c:pt>
                <c:pt idx="53">
                  <c:v>2015/3/16</c:v>
                </c:pt>
                <c:pt idx="54">
                  <c:v>2015/3/23</c:v>
                </c:pt>
                <c:pt idx="55">
                  <c:v>2015/3/30</c:v>
                </c:pt>
                <c:pt idx="56">
                  <c:v>2015/4/6</c:v>
                </c:pt>
                <c:pt idx="57">
                  <c:v>2015/4/13</c:v>
                </c:pt>
                <c:pt idx="58">
                  <c:v>2015/4/20</c:v>
                </c:pt>
                <c:pt idx="59">
                  <c:v>2015/4/26</c:v>
                </c:pt>
                <c:pt idx="60">
                  <c:v>2015/5/4</c:v>
                </c:pt>
                <c:pt idx="61">
                  <c:v>2015/5/11</c:v>
                </c:pt>
                <c:pt idx="62">
                  <c:v>2015/5/18</c:v>
                </c:pt>
                <c:pt idx="63">
                  <c:v>2015/5/25</c:v>
                </c:pt>
                <c:pt idx="64">
                  <c:v>2015/6/1</c:v>
                </c:pt>
                <c:pt idx="65">
                  <c:v>2015/6/8</c:v>
                </c:pt>
                <c:pt idx="66">
                  <c:v>2015/6/15</c:v>
                </c:pt>
                <c:pt idx="67">
                  <c:v>2015/6/22</c:v>
                </c:pt>
                <c:pt idx="68">
                  <c:v>2015/6/28</c:v>
                </c:pt>
                <c:pt idx="69">
                  <c:v>2015/7/6</c:v>
                </c:pt>
                <c:pt idx="70">
                  <c:v>2015/7/13</c:v>
                </c:pt>
                <c:pt idx="71">
                  <c:v>2015/7/20</c:v>
                </c:pt>
                <c:pt idx="72">
                  <c:v>2015/7/26</c:v>
                </c:pt>
                <c:pt idx="73">
                  <c:v>2015/8/3</c:v>
                </c:pt>
                <c:pt idx="74">
                  <c:v>2015/8/10</c:v>
                </c:pt>
                <c:pt idx="75">
                  <c:v>2015/8/17</c:v>
                </c:pt>
                <c:pt idx="76">
                  <c:v>2015/8/24</c:v>
                </c:pt>
                <c:pt idx="77">
                  <c:v>2015/8/31</c:v>
                </c:pt>
                <c:pt idx="78">
                  <c:v>2015/9/7</c:v>
                </c:pt>
                <c:pt idx="79">
                  <c:v>2015/9/14</c:v>
                </c:pt>
                <c:pt idx="80">
                  <c:v>2015/9/21</c:v>
                </c:pt>
                <c:pt idx="81">
                  <c:v>2015/9/28</c:v>
                </c:pt>
                <c:pt idx="82">
                  <c:v>2015/10/5</c:v>
                </c:pt>
                <c:pt idx="83">
                  <c:v>2015/10/12</c:v>
                </c:pt>
                <c:pt idx="84">
                  <c:v>2015/10/19</c:v>
                </c:pt>
                <c:pt idx="85">
                  <c:v>2015/10/26</c:v>
                </c:pt>
                <c:pt idx="86">
                  <c:v>2015/11/2</c:v>
                </c:pt>
                <c:pt idx="87">
                  <c:v>2015/11/8</c:v>
                </c:pt>
                <c:pt idx="88">
                  <c:v>2015/11/16</c:v>
                </c:pt>
                <c:pt idx="89">
                  <c:v>2015/11/23</c:v>
                </c:pt>
                <c:pt idx="90">
                  <c:v>2015/11/30</c:v>
                </c:pt>
                <c:pt idx="91">
                  <c:v>2015/12/10</c:v>
                </c:pt>
                <c:pt idx="92">
                  <c:v>2015/12/18</c:v>
                </c:pt>
                <c:pt idx="93">
                  <c:v>2015/12/25</c:v>
                </c:pt>
                <c:pt idx="94">
                  <c:v>2016/1/1</c:v>
                </c:pt>
                <c:pt idx="95">
                  <c:v>2016/1/8</c:v>
                </c:pt>
                <c:pt idx="96">
                  <c:v>2016/1/15</c:v>
                </c:pt>
                <c:pt idx="97">
                  <c:v>2016/1/22</c:v>
                </c:pt>
                <c:pt idx="98">
                  <c:v>2016/1/29</c:v>
                </c:pt>
                <c:pt idx="99">
                  <c:v>2016/2/5</c:v>
                </c:pt>
                <c:pt idx="100">
                  <c:v>2016/2/12</c:v>
                </c:pt>
                <c:pt idx="101">
                  <c:v>2016/2/19</c:v>
                </c:pt>
                <c:pt idx="102">
                  <c:v>2016/2/26</c:v>
                </c:pt>
                <c:pt idx="103">
                  <c:v>2016/3/4</c:v>
                </c:pt>
                <c:pt idx="104">
                  <c:v>2016/3/10</c:v>
                </c:pt>
                <c:pt idx="105">
                  <c:v>2016/3/18</c:v>
                </c:pt>
                <c:pt idx="106">
                  <c:v>2016/3/25</c:v>
                </c:pt>
                <c:pt idx="107">
                  <c:v>2016/3/31</c:v>
                </c:pt>
                <c:pt idx="108">
                  <c:v>2016/4/8</c:v>
                </c:pt>
                <c:pt idx="109">
                  <c:v>2016/4/15</c:v>
                </c:pt>
                <c:pt idx="110">
                  <c:v>2016/4/25</c:v>
                </c:pt>
                <c:pt idx="111">
                  <c:v>2016/5/2</c:v>
                </c:pt>
                <c:pt idx="112">
                  <c:v>2016/5/9</c:v>
                </c:pt>
                <c:pt idx="113">
                  <c:v>2016/5/16</c:v>
                </c:pt>
                <c:pt idx="114">
                  <c:v>2016/5/23</c:v>
                </c:pt>
                <c:pt idx="115">
                  <c:v>2016/5/30</c:v>
                </c:pt>
                <c:pt idx="116">
                  <c:v>2016/6/6</c:v>
                </c:pt>
                <c:pt idx="117">
                  <c:v>2016/6/13</c:v>
                </c:pt>
                <c:pt idx="118">
                  <c:v>2016/6/20</c:v>
                </c:pt>
                <c:pt idx="119">
                  <c:v>2016/6/27</c:v>
                </c:pt>
                <c:pt idx="120">
                  <c:v>2016/7/4</c:v>
                </c:pt>
                <c:pt idx="121">
                  <c:v>2016/7/10</c:v>
                </c:pt>
                <c:pt idx="122">
                  <c:v>2016/7/18</c:v>
                </c:pt>
                <c:pt idx="123">
                  <c:v>2016/7/25</c:v>
                </c:pt>
                <c:pt idx="124">
                  <c:v>2016/8/5</c:v>
                </c:pt>
                <c:pt idx="125">
                  <c:v>2016/8/12</c:v>
                </c:pt>
                <c:pt idx="126">
                  <c:v>2016/8/18</c:v>
                </c:pt>
                <c:pt idx="127">
                  <c:v>2016/8/26</c:v>
                </c:pt>
                <c:pt idx="128">
                  <c:v>2016/9/2</c:v>
                </c:pt>
                <c:pt idx="129">
                  <c:v>2016/9/9</c:v>
                </c:pt>
                <c:pt idx="130">
                  <c:v>2016/9/16</c:v>
                </c:pt>
                <c:pt idx="131">
                  <c:v>2016/9/23</c:v>
                </c:pt>
                <c:pt idx="132">
                  <c:v>2016/9/30</c:v>
                </c:pt>
                <c:pt idx="133">
                  <c:v>2016/10/7</c:v>
                </c:pt>
                <c:pt idx="134">
                  <c:v>2016/10/14</c:v>
                </c:pt>
                <c:pt idx="135">
                  <c:v>2016/10/21</c:v>
                </c:pt>
                <c:pt idx="136">
                  <c:v>2016/10/28</c:v>
                </c:pt>
                <c:pt idx="137">
                  <c:v>2016/11/4</c:v>
                </c:pt>
                <c:pt idx="138">
                  <c:v>2016/11/11</c:v>
                </c:pt>
                <c:pt idx="139">
                  <c:v>2016/11/17</c:v>
                </c:pt>
                <c:pt idx="140">
                  <c:v>2016/11/24</c:v>
                </c:pt>
                <c:pt idx="141">
                  <c:v>2016/12/2</c:v>
                </c:pt>
                <c:pt idx="142">
                  <c:v>2016/12/9</c:v>
                </c:pt>
                <c:pt idx="143">
                  <c:v>2016/12/19</c:v>
                </c:pt>
                <c:pt idx="144">
                  <c:v>2016/12/26</c:v>
                </c:pt>
                <c:pt idx="145">
                  <c:v>2017/1/2</c:v>
                </c:pt>
                <c:pt idx="146">
                  <c:v>2017/1/9</c:v>
                </c:pt>
                <c:pt idx="147">
                  <c:v>2017/1/16</c:v>
                </c:pt>
                <c:pt idx="148">
                  <c:v>2017/1/23</c:v>
                </c:pt>
                <c:pt idx="149">
                  <c:v>2017/1/30</c:v>
                </c:pt>
                <c:pt idx="150">
                  <c:v>2017/2/6</c:v>
                </c:pt>
                <c:pt idx="151">
                  <c:v>2017/2/13</c:v>
                </c:pt>
                <c:pt idx="152">
                  <c:v>2017/2/20</c:v>
                </c:pt>
                <c:pt idx="153">
                  <c:v>2017/2/27</c:v>
                </c:pt>
                <c:pt idx="154">
                  <c:v>2017/3/6</c:v>
                </c:pt>
                <c:pt idx="155">
                  <c:v>2017/3/13</c:v>
                </c:pt>
                <c:pt idx="156">
                  <c:v>2017/3/20</c:v>
                </c:pt>
                <c:pt idx="157">
                  <c:v>2017/3/27</c:v>
                </c:pt>
                <c:pt idx="158">
                  <c:v>2017/4/3</c:v>
                </c:pt>
                <c:pt idx="159">
                  <c:v>2017/4/10</c:v>
                </c:pt>
                <c:pt idx="160">
                  <c:v>2017/4/17</c:v>
                </c:pt>
                <c:pt idx="161">
                  <c:v>2017/4/24</c:v>
                </c:pt>
                <c:pt idx="162">
                  <c:v>2017/5/1</c:v>
                </c:pt>
                <c:pt idx="163">
                  <c:v>2017/5/8</c:v>
                </c:pt>
                <c:pt idx="164">
                  <c:v>2017/5/15</c:v>
                </c:pt>
                <c:pt idx="165">
                  <c:v>2017/5/22</c:v>
                </c:pt>
                <c:pt idx="166">
                  <c:v>2017/5/29</c:v>
                </c:pt>
                <c:pt idx="167">
                  <c:v>2017/6/5</c:v>
                </c:pt>
                <c:pt idx="168">
                  <c:v>2017/6/12</c:v>
                </c:pt>
                <c:pt idx="169">
                  <c:v>2017/6/19</c:v>
                </c:pt>
                <c:pt idx="170">
                  <c:v>2017/6/26</c:v>
                </c:pt>
                <c:pt idx="171">
                  <c:v>2017/7/3</c:v>
                </c:pt>
                <c:pt idx="172">
                  <c:v>2017/7/10</c:v>
                </c:pt>
                <c:pt idx="173">
                  <c:v>2017/7/17</c:v>
                </c:pt>
                <c:pt idx="174">
                  <c:v>2017/7/24</c:v>
                </c:pt>
                <c:pt idx="175">
                  <c:v>2017/8/4</c:v>
                </c:pt>
                <c:pt idx="176">
                  <c:v>2017/8/11</c:v>
                </c:pt>
                <c:pt idx="177">
                  <c:v>2017/8/18</c:v>
                </c:pt>
                <c:pt idx="178">
                  <c:v>2017/8/25</c:v>
                </c:pt>
                <c:pt idx="179">
                  <c:v>2017/9/1</c:v>
                </c:pt>
                <c:pt idx="180">
                  <c:v>2017/9/8</c:v>
                </c:pt>
                <c:pt idx="181">
                  <c:v>2017/9/15</c:v>
                </c:pt>
                <c:pt idx="182">
                  <c:v>2017/9/22</c:v>
                </c:pt>
                <c:pt idx="183">
                  <c:v>2017/9/29</c:v>
                </c:pt>
                <c:pt idx="184">
                  <c:v>2017/10/6</c:v>
                </c:pt>
                <c:pt idx="185">
                  <c:v>2017/10/13</c:v>
                </c:pt>
                <c:pt idx="186">
                  <c:v>2017/10/20</c:v>
                </c:pt>
                <c:pt idx="187">
                  <c:v>2017/10/27</c:v>
                </c:pt>
                <c:pt idx="188">
                  <c:v>2017/11/3</c:v>
                </c:pt>
                <c:pt idx="189">
                  <c:v>2017/11/10</c:v>
                </c:pt>
                <c:pt idx="190">
                  <c:v>2017/11/17</c:v>
                </c:pt>
                <c:pt idx="191">
                  <c:v>2017/11/24</c:v>
                </c:pt>
                <c:pt idx="192">
                  <c:v>2017/12/1</c:v>
                </c:pt>
                <c:pt idx="193">
                  <c:v>2017/12/7</c:v>
                </c:pt>
                <c:pt idx="194">
                  <c:v>2017/12/18</c:v>
                </c:pt>
                <c:pt idx="195">
                  <c:v>2017/12/25</c:v>
                </c:pt>
                <c:pt idx="196">
                  <c:v>2018/1/1</c:v>
                </c:pt>
                <c:pt idx="197">
                  <c:v>2018/1/8</c:v>
                </c:pt>
                <c:pt idx="198">
                  <c:v>2018/1/15</c:v>
                </c:pt>
                <c:pt idx="199">
                  <c:v>2018/1/22</c:v>
                </c:pt>
                <c:pt idx="200">
                  <c:v>2018/1/28</c:v>
                </c:pt>
                <c:pt idx="201">
                  <c:v>2018/2/5</c:v>
                </c:pt>
                <c:pt idx="202">
                  <c:v>2018/2/12</c:v>
                </c:pt>
                <c:pt idx="203">
                  <c:v>2018/2/19</c:v>
                </c:pt>
                <c:pt idx="204">
                  <c:v>2018/2/26</c:v>
                </c:pt>
                <c:pt idx="205">
                  <c:v>2018/3/5</c:v>
                </c:pt>
                <c:pt idx="206">
                  <c:v>2018/3/12</c:v>
                </c:pt>
                <c:pt idx="207">
                  <c:v>2018/3/19</c:v>
                </c:pt>
                <c:pt idx="208">
                  <c:v>2018/3/26</c:v>
                </c:pt>
                <c:pt idx="209">
                  <c:v>2018/4/2</c:v>
                </c:pt>
                <c:pt idx="210">
                  <c:v>2018/4/9</c:v>
                </c:pt>
                <c:pt idx="211">
                  <c:v>2018/4/16</c:v>
                </c:pt>
                <c:pt idx="212">
                  <c:v>2018/4/22</c:v>
                </c:pt>
                <c:pt idx="213">
                  <c:v>2018/4/30</c:v>
                </c:pt>
                <c:pt idx="214">
                  <c:v>2018/5/7</c:v>
                </c:pt>
                <c:pt idx="215">
                  <c:v>2018/5/14</c:v>
                </c:pt>
                <c:pt idx="216">
                  <c:v>1900/1/0</c:v>
                </c:pt>
                <c:pt idx="217">
                  <c:v>1900/1/0</c:v>
                </c:pt>
                <c:pt idx="218">
                  <c:v>1900/1/0</c:v>
                </c:pt>
                <c:pt idx="219">
                  <c:v>1900/1/0</c:v>
                </c:pt>
                <c:pt idx="220">
                  <c:v>1900/1/0</c:v>
                </c:pt>
                <c:pt idx="221">
                  <c:v>1900/1/0</c:v>
                </c:pt>
                <c:pt idx="222">
                  <c:v>1900/1/0</c:v>
                </c:pt>
                <c:pt idx="223">
                  <c:v>1900/1/0</c:v>
                </c:pt>
                <c:pt idx="224">
                  <c:v>1900/1/0</c:v>
                </c:pt>
                <c:pt idx="225">
                  <c:v>1900/1/0</c:v>
                </c:pt>
                <c:pt idx="226">
                  <c:v>1900/1/0</c:v>
                </c:pt>
                <c:pt idx="227">
                  <c:v>1900/1/0</c:v>
                </c:pt>
                <c:pt idx="228">
                  <c:v>1900/1/0</c:v>
                </c:pt>
                <c:pt idx="229">
                  <c:v>1900/1/0</c:v>
                </c:pt>
                <c:pt idx="230">
                  <c:v>1900/1/0</c:v>
                </c:pt>
                <c:pt idx="231">
                  <c:v>1900/1/0</c:v>
                </c:pt>
                <c:pt idx="232">
                  <c:v>1900/1/0</c:v>
                </c:pt>
                <c:pt idx="233">
                  <c:v>1900/1/0</c:v>
                </c:pt>
                <c:pt idx="234">
                  <c:v>1900/1/0</c:v>
                </c:pt>
                <c:pt idx="235">
                  <c:v>1900/1/0</c:v>
                </c:pt>
                <c:pt idx="236">
                  <c:v>1900/1/0</c:v>
                </c:pt>
                <c:pt idx="237">
                  <c:v>1900/1/0</c:v>
                </c:pt>
                <c:pt idx="238">
                  <c:v>1900/1/0</c:v>
                </c:pt>
                <c:pt idx="239">
                  <c:v>1900/1/0</c:v>
                </c:pt>
                <c:pt idx="240">
                  <c:v>1900/1/0</c:v>
                </c:pt>
                <c:pt idx="241">
                  <c:v>1900/1/0</c:v>
                </c:pt>
                <c:pt idx="242">
                  <c:v>1900/1/0</c:v>
                </c:pt>
                <c:pt idx="243">
                  <c:v>1900/1/0</c:v>
                </c:pt>
                <c:pt idx="244">
                  <c:v>1900/1/0</c:v>
                </c:pt>
                <c:pt idx="245">
                  <c:v>1900/1/0</c:v>
                </c:pt>
                <c:pt idx="246">
                  <c:v>1900/1/0</c:v>
                </c:pt>
                <c:pt idx="247">
                  <c:v>1900/1/0</c:v>
                </c:pt>
                <c:pt idx="248">
                  <c:v>1900/1/0</c:v>
                </c:pt>
                <c:pt idx="249">
                  <c:v>1900/1/0</c:v>
                </c:pt>
                <c:pt idx="250">
                  <c:v>1900/1/0</c:v>
                </c:pt>
                <c:pt idx="251">
                  <c:v>1900/1/0</c:v>
                </c:pt>
                <c:pt idx="252">
                  <c:v>1900/1/0</c:v>
                </c:pt>
                <c:pt idx="253">
                  <c:v>1900/1/0</c:v>
                </c:pt>
                <c:pt idx="254">
                  <c:v>1900/1/0</c:v>
                </c:pt>
                <c:pt idx="255">
                  <c:v>1900/1/0</c:v>
                </c:pt>
                <c:pt idx="256">
                  <c:v>1900/1/0</c:v>
                </c:pt>
                <c:pt idx="257">
                  <c:v>1900/1/0</c:v>
                </c:pt>
                <c:pt idx="258">
                  <c:v>1900/1/0</c:v>
                </c:pt>
                <c:pt idx="259">
                  <c:v>1900/1/0</c:v>
                </c:pt>
                <c:pt idx="260">
                  <c:v>1900/1/0</c:v>
                </c:pt>
                <c:pt idx="261">
                  <c:v>1900/1/0</c:v>
                </c:pt>
                <c:pt idx="262">
                  <c:v>1900/1/0</c:v>
                </c:pt>
                <c:pt idx="263">
                  <c:v>1900/1/0</c:v>
                </c:pt>
                <c:pt idx="264">
                  <c:v>1900/1/0</c:v>
                </c:pt>
                <c:pt idx="265">
                  <c:v>1900/1/0</c:v>
                </c:pt>
                <c:pt idx="266">
                  <c:v>1900/1/0</c:v>
                </c:pt>
                <c:pt idx="267">
                  <c:v>1900/1/0</c:v>
                </c:pt>
                <c:pt idx="268">
                  <c:v>1900/1/0</c:v>
                </c:pt>
                <c:pt idx="269">
                  <c:v>1900/1/0</c:v>
                </c:pt>
                <c:pt idx="270">
                  <c:v>1900/1/0</c:v>
                </c:pt>
                <c:pt idx="271">
                  <c:v>1900/1/0</c:v>
                </c:pt>
                <c:pt idx="272">
                  <c:v>1900/1/0</c:v>
                </c:pt>
                <c:pt idx="273">
                  <c:v>1900/1/0</c:v>
                </c:pt>
                <c:pt idx="274">
                  <c:v>1900/1/0</c:v>
                </c:pt>
                <c:pt idx="275">
                  <c:v>1900/1/0</c:v>
                </c:pt>
                <c:pt idx="276">
                  <c:v>1900/1/0</c:v>
                </c:pt>
                <c:pt idx="277">
                  <c:v>1900/1/0</c:v>
                </c:pt>
                <c:pt idx="278">
                  <c:v>1900/1/0</c:v>
                </c:pt>
                <c:pt idx="279">
                  <c:v>1900/1/0</c:v>
                </c:pt>
                <c:pt idx="280">
                  <c:v>1900/1/0</c:v>
                </c:pt>
                <c:pt idx="281">
                  <c:v>1900/1/0</c:v>
                </c:pt>
                <c:pt idx="282">
                  <c:v>1900/1/0</c:v>
                </c:pt>
                <c:pt idx="283">
                  <c:v>1900/1/0</c:v>
                </c:pt>
                <c:pt idx="284">
                  <c:v>1900/1/0</c:v>
                </c:pt>
                <c:pt idx="285">
                  <c:v>1900/1/0</c:v>
                </c:pt>
                <c:pt idx="286">
                  <c:v>1900/1/0</c:v>
                </c:pt>
                <c:pt idx="287">
                  <c:v>1900/1/0</c:v>
                </c:pt>
                <c:pt idx="288">
                  <c:v>1900/1/0</c:v>
                </c:pt>
                <c:pt idx="289">
                  <c:v>1900/1/0</c:v>
                </c:pt>
                <c:pt idx="290">
                  <c:v>1900/1/0</c:v>
                </c:pt>
                <c:pt idx="291">
                  <c:v>1900/1/0</c:v>
                </c:pt>
                <c:pt idx="292">
                  <c:v>1900/1/0</c:v>
                </c:pt>
                <c:pt idx="293">
                  <c:v>1900/1/0</c:v>
                </c:pt>
                <c:pt idx="294">
                  <c:v>1900/1/0</c:v>
                </c:pt>
                <c:pt idx="295">
                  <c:v>1900/1/0</c:v>
                </c:pt>
                <c:pt idx="296">
                  <c:v>1900/1/0</c:v>
                </c:pt>
                <c:pt idx="297">
                  <c:v>1900/1/0</c:v>
                </c:pt>
                <c:pt idx="298">
                  <c:v>1900/1/0</c:v>
                </c:pt>
                <c:pt idx="299">
                  <c:v>1900/1/0</c:v>
                </c:pt>
                <c:pt idx="300">
                  <c:v>1900/1/0</c:v>
                </c:pt>
                <c:pt idx="301">
                  <c:v>1900/1/0</c:v>
                </c:pt>
                <c:pt idx="302">
                  <c:v>1900/1/0</c:v>
                </c:pt>
                <c:pt idx="303">
                  <c:v>1900/1/0</c:v>
                </c:pt>
                <c:pt idx="304">
                  <c:v>1900/1/0</c:v>
                </c:pt>
                <c:pt idx="305">
                  <c:v>1900/1/0</c:v>
                </c:pt>
                <c:pt idx="306">
                  <c:v>1900/1/0</c:v>
                </c:pt>
                <c:pt idx="307">
                  <c:v>1900/1/0</c:v>
                </c:pt>
                <c:pt idx="308">
                  <c:v>1900/1/0</c:v>
                </c:pt>
                <c:pt idx="309">
                  <c:v>1900/1/0</c:v>
                </c:pt>
                <c:pt idx="310">
                  <c:v>1900/1/0</c:v>
                </c:pt>
                <c:pt idx="311">
                  <c:v>1900/1/0</c:v>
                </c:pt>
                <c:pt idx="312">
                  <c:v>1900/1/0</c:v>
                </c:pt>
                <c:pt idx="313">
                  <c:v>1900/1/0</c:v>
                </c:pt>
                <c:pt idx="314">
                  <c:v>1900/1/0</c:v>
                </c:pt>
                <c:pt idx="315">
                  <c:v>1900/1/0</c:v>
                </c:pt>
                <c:pt idx="316">
                  <c:v>1900/1/0</c:v>
                </c:pt>
                <c:pt idx="317">
                  <c:v>1900/1/0</c:v>
                </c:pt>
                <c:pt idx="318">
                  <c:v>1900/1/0</c:v>
                </c:pt>
                <c:pt idx="319">
                  <c:v>1900/1/0</c:v>
                </c:pt>
                <c:pt idx="320">
                  <c:v>1900/1/0</c:v>
                </c:pt>
                <c:pt idx="321">
                  <c:v>1900/1/0</c:v>
                </c:pt>
                <c:pt idx="322">
                  <c:v>1900/1/0</c:v>
                </c:pt>
                <c:pt idx="323">
                  <c:v>1900/1/0</c:v>
                </c:pt>
                <c:pt idx="324">
                  <c:v>1900/1/0</c:v>
                </c:pt>
                <c:pt idx="325">
                  <c:v>1900/1/0</c:v>
                </c:pt>
                <c:pt idx="326">
                  <c:v>1900/1/0</c:v>
                </c:pt>
                <c:pt idx="327">
                  <c:v>1900/1/0</c:v>
                </c:pt>
                <c:pt idx="328">
                  <c:v>1900/1/0</c:v>
                </c:pt>
                <c:pt idx="329">
                  <c:v>1900/1/0</c:v>
                </c:pt>
                <c:pt idx="330">
                  <c:v>1900/1/0</c:v>
                </c:pt>
                <c:pt idx="331">
                  <c:v>1900/1/0</c:v>
                </c:pt>
                <c:pt idx="332">
                  <c:v>1900/1/0</c:v>
                </c:pt>
                <c:pt idx="333">
                  <c:v>1900/1/0</c:v>
                </c:pt>
                <c:pt idx="334">
                  <c:v>1900/1/0</c:v>
                </c:pt>
                <c:pt idx="335">
                  <c:v>1900/1/0</c:v>
                </c:pt>
                <c:pt idx="336">
                  <c:v>1900/1/0</c:v>
                </c:pt>
                <c:pt idx="337">
                  <c:v>1900/1/0</c:v>
                </c:pt>
                <c:pt idx="338">
                  <c:v>1900/1/0</c:v>
                </c:pt>
                <c:pt idx="339">
                  <c:v>1900/1/0</c:v>
                </c:pt>
                <c:pt idx="340">
                  <c:v>1900/1/0</c:v>
                </c:pt>
                <c:pt idx="341">
                  <c:v>1900/1/0</c:v>
                </c:pt>
                <c:pt idx="342">
                  <c:v>1900/1/0</c:v>
                </c:pt>
                <c:pt idx="343">
                  <c:v>1900/1/0</c:v>
                </c:pt>
                <c:pt idx="344">
                  <c:v>1900/1/0</c:v>
                </c:pt>
                <c:pt idx="345">
                  <c:v>1900/1/0</c:v>
                </c:pt>
                <c:pt idx="346">
                  <c:v>1900/1/0</c:v>
                </c:pt>
                <c:pt idx="347">
                  <c:v>1900/1/0</c:v>
                </c:pt>
                <c:pt idx="348">
                  <c:v>1900/1/0</c:v>
                </c:pt>
                <c:pt idx="349">
                  <c:v>1900/1/0</c:v>
                </c:pt>
                <c:pt idx="350">
                  <c:v>1900/1/0</c:v>
                </c:pt>
                <c:pt idx="351">
                  <c:v>1900/1/0</c:v>
                </c:pt>
                <c:pt idx="352">
                  <c:v>1900/1/0</c:v>
                </c:pt>
                <c:pt idx="353">
                  <c:v>1900/1/0</c:v>
                </c:pt>
                <c:pt idx="354">
                  <c:v>1900/1/0</c:v>
                </c:pt>
                <c:pt idx="355">
                  <c:v>1900/1/0</c:v>
                </c:pt>
                <c:pt idx="356">
                  <c:v>1900/1/0</c:v>
                </c:pt>
                <c:pt idx="357">
                  <c:v>1900/1/0</c:v>
                </c:pt>
                <c:pt idx="358">
                  <c:v>1900/1/0</c:v>
                </c:pt>
                <c:pt idx="359">
                  <c:v>1900/1/0</c:v>
                </c:pt>
                <c:pt idx="360">
                  <c:v>1900/1/0</c:v>
                </c:pt>
                <c:pt idx="361">
                  <c:v>1900/1/0</c:v>
                </c:pt>
                <c:pt idx="362">
                  <c:v>1900/1/0</c:v>
                </c:pt>
                <c:pt idx="363">
                  <c:v>1900/1/0</c:v>
                </c:pt>
                <c:pt idx="364">
                  <c:v>1900/1/0</c:v>
                </c:pt>
                <c:pt idx="365">
                  <c:v>1900/1/0</c:v>
                </c:pt>
                <c:pt idx="366">
                  <c:v>1900/1/0</c:v>
                </c:pt>
                <c:pt idx="367">
                  <c:v>1900/1/0</c:v>
                </c:pt>
                <c:pt idx="368">
                  <c:v>1900/1/0</c:v>
                </c:pt>
                <c:pt idx="369">
                  <c:v>1900/1/0</c:v>
                </c:pt>
                <c:pt idx="370">
                  <c:v>1900/1/0</c:v>
                </c:pt>
                <c:pt idx="371">
                  <c:v>1900/1/0</c:v>
                </c:pt>
                <c:pt idx="372">
                  <c:v>1900/1/0</c:v>
                </c:pt>
                <c:pt idx="373">
                  <c:v>1900/1/0</c:v>
                </c:pt>
                <c:pt idx="374">
                  <c:v>1900/1/0</c:v>
                </c:pt>
                <c:pt idx="375">
                  <c:v>1900/1/0</c:v>
                </c:pt>
                <c:pt idx="376">
                  <c:v>1900/1/0</c:v>
                </c:pt>
                <c:pt idx="377">
                  <c:v>1900/1/0</c:v>
                </c:pt>
                <c:pt idx="378">
                  <c:v>1900/1/0</c:v>
                </c:pt>
                <c:pt idx="379">
                  <c:v>1900/1/0</c:v>
                </c:pt>
                <c:pt idx="380">
                  <c:v>1900/1/0</c:v>
                </c:pt>
                <c:pt idx="381">
                  <c:v>1900/1/0</c:v>
                </c:pt>
                <c:pt idx="382">
                  <c:v>1900/1/0</c:v>
                </c:pt>
                <c:pt idx="383">
                  <c:v>1900/1/0</c:v>
                </c:pt>
                <c:pt idx="384">
                  <c:v>1900/1/0</c:v>
                </c:pt>
                <c:pt idx="385">
                  <c:v>1900/1/0</c:v>
                </c:pt>
                <c:pt idx="386">
                  <c:v>1900/1/0</c:v>
                </c:pt>
                <c:pt idx="387">
                  <c:v>1900/1/0</c:v>
                </c:pt>
                <c:pt idx="388">
                  <c:v>1900/1/0</c:v>
                </c:pt>
                <c:pt idx="389">
                  <c:v>1900/1/0</c:v>
                </c:pt>
                <c:pt idx="390">
                  <c:v>1900/1/0</c:v>
                </c:pt>
                <c:pt idx="391">
                  <c:v>1900/1/0</c:v>
                </c:pt>
                <c:pt idx="392">
                  <c:v>1900/1/0</c:v>
                </c:pt>
                <c:pt idx="393">
                  <c:v>1900/1/0</c:v>
                </c:pt>
                <c:pt idx="394">
                  <c:v>1900/1/0</c:v>
                </c:pt>
                <c:pt idx="395">
                  <c:v>1900/1/0</c:v>
                </c:pt>
                <c:pt idx="396">
                  <c:v>1900/1/0</c:v>
                </c:pt>
                <c:pt idx="397">
                  <c:v>1900/1/0</c:v>
                </c:pt>
                <c:pt idx="398">
                  <c:v>1900/1/0</c:v>
                </c:pt>
                <c:pt idx="399">
                  <c:v>1900/1/0</c:v>
                </c:pt>
                <c:pt idx="400">
                  <c:v>1900/1/0</c:v>
                </c:pt>
                <c:pt idx="401">
                  <c:v>1900/1/0</c:v>
                </c:pt>
                <c:pt idx="402">
                  <c:v>1900/1/0</c:v>
                </c:pt>
                <c:pt idx="403">
                  <c:v>1900/1/0</c:v>
                </c:pt>
                <c:pt idx="404">
                  <c:v>1900/1/0</c:v>
                </c:pt>
                <c:pt idx="405">
                  <c:v>1900/1/0</c:v>
                </c:pt>
                <c:pt idx="406">
                  <c:v>1900/1/0</c:v>
                </c:pt>
                <c:pt idx="407">
                  <c:v>1900/1/0</c:v>
                </c:pt>
                <c:pt idx="408">
                  <c:v>1900/1/0</c:v>
                </c:pt>
                <c:pt idx="409">
                  <c:v>1900/1/0</c:v>
                </c:pt>
                <c:pt idx="410">
                  <c:v>1900/1/0</c:v>
                </c:pt>
                <c:pt idx="411">
                  <c:v>1900/1/0</c:v>
                </c:pt>
                <c:pt idx="412">
                  <c:v>1900/1/0</c:v>
                </c:pt>
                <c:pt idx="413">
                  <c:v>1900/1/0</c:v>
                </c:pt>
                <c:pt idx="414">
                  <c:v>1900/1/0</c:v>
                </c:pt>
                <c:pt idx="415">
                  <c:v>1900/1/0</c:v>
                </c:pt>
                <c:pt idx="416">
                  <c:v>1900/1/0</c:v>
                </c:pt>
                <c:pt idx="417">
                  <c:v>1900/1/0</c:v>
                </c:pt>
                <c:pt idx="418">
                  <c:v>1900/1/0</c:v>
                </c:pt>
                <c:pt idx="419">
                  <c:v>1900/1/0</c:v>
                </c:pt>
                <c:pt idx="420">
                  <c:v>1900/1/0</c:v>
                </c:pt>
                <c:pt idx="421">
                  <c:v>1900/1/0</c:v>
                </c:pt>
                <c:pt idx="422">
                  <c:v>1900/1/0</c:v>
                </c:pt>
                <c:pt idx="423">
                  <c:v>1900/1/0</c:v>
                </c:pt>
                <c:pt idx="424">
                  <c:v>1900/1/0</c:v>
                </c:pt>
                <c:pt idx="425">
                  <c:v>1900/1/0</c:v>
                </c:pt>
                <c:pt idx="426">
                  <c:v>1900/1/0</c:v>
                </c:pt>
                <c:pt idx="427">
                  <c:v>1900/1/0</c:v>
                </c:pt>
                <c:pt idx="428">
                  <c:v>1900/1/0</c:v>
                </c:pt>
                <c:pt idx="429">
                  <c:v>1900/1/0</c:v>
                </c:pt>
                <c:pt idx="430">
                  <c:v>1900/1/0</c:v>
                </c:pt>
                <c:pt idx="431">
                  <c:v>1900/1/0</c:v>
                </c:pt>
                <c:pt idx="432">
                  <c:v>1900/1/0</c:v>
                </c:pt>
                <c:pt idx="433">
                  <c:v>1900/1/0</c:v>
                </c:pt>
                <c:pt idx="434">
                  <c:v>1900/1/0</c:v>
                </c:pt>
                <c:pt idx="435">
                  <c:v>1900/1/0</c:v>
                </c:pt>
                <c:pt idx="436">
                  <c:v>1900/1/0</c:v>
                </c:pt>
                <c:pt idx="437">
                  <c:v>1900/1/0</c:v>
                </c:pt>
                <c:pt idx="438">
                  <c:v>1900/1/0</c:v>
                </c:pt>
                <c:pt idx="439">
                  <c:v>1900/1/0</c:v>
                </c:pt>
                <c:pt idx="440">
                  <c:v>1900/1/0</c:v>
                </c:pt>
                <c:pt idx="441">
                  <c:v>1900/1/0</c:v>
                </c:pt>
                <c:pt idx="442">
                  <c:v>1900/1/0</c:v>
                </c:pt>
                <c:pt idx="443">
                  <c:v>1900/1/0</c:v>
                </c:pt>
                <c:pt idx="444">
                  <c:v>1900/1/0</c:v>
                </c:pt>
                <c:pt idx="445">
                  <c:v>1900/1/0</c:v>
                </c:pt>
                <c:pt idx="446">
                  <c:v>1900/1/0</c:v>
                </c:pt>
                <c:pt idx="447">
                  <c:v>1900/1/0</c:v>
                </c:pt>
                <c:pt idx="448">
                  <c:v>1900/1/0</c:v>
                </c:pt>
                <c:pt idx="449">
                  <c:v>1900/1/0</c:v>
                </c:pt>
                <c:pt idx="450">
                  <c:v>1900/1/0</c:v>
                </c:pt>
                <c:pt idx="451">
                  <c:v>1900/1/0</c:v>
                </c:pt>
                <c:pt idx="452">
                  <c:v>1900/1/0</c:v>
                </c:pt>
                <c:pt idx="453">
                  <c:v>1900/1/0</c:v>
                </c:pt>
                <c:pt idx="454">
                  <c:v>1900/1/0</c:v>
                </c:pt>
                <c:pt idx="455">
                  <c:v>1900/1/0</c:v>
                </c:pt>
                <c:pt idx="456">
                  <c:v>1900/1/0</c:v>
                </c:pt>
                <c:pt idx="457">
                  <c:v>1900/1/0</c:v>
                </c:pt>
                <c:pt idx="458">
                  <c:v>1900/1/0</c:v>
                </c:pt>
                <c:pt idx="459">
                  <c:v>1900/1/0</c:v>
                </c:pt>
                <c:pt idx="460">
                  <c:v>1900/1/0</c:v>
                </c:pt>
                <c:pt idx="461">
                  <c:v>1900/1/0</c:v>
                </c:pt>
                <c:pt idx="462">
                  <c:v>1900/1/0</c:v>
                </c:pt>
                <c:pt idx="463">
                  <c:v>1900/1/0</c:v>
                </c:pt>
                <c:pt idx="464">
                  <c:v>1900/1/0</c:v>
                </c:pt>
                <c:pt idx="465">
                  <c:v>1900/1/0</c:v>
                </c:pt>
                <c:pt idx="466">
                  <c:v>1900/1/0</c:v>
                </c:pt>
                <c:pt idx="467">
                  <c:v>1900/1/0</c:v>
                </c:pt>
                <c:pt idx="468">
                  <c:v>1900/1/0</c:v>
                </c:pt>
                <c:pt idx="469">
                  <c:v>1900/1/0</c:v>
                </c:pt>
                <c:pt idx="470">
                  <c:v>1900/1/0</c:v>
                </c:pt>
                <c:pt idx="471">
                  <c:v>1900/1/0</c:v>
                </c:pt>
                <c:pt idx="472">
                  <c:v>1900/1/0</c:v>
                </c:pt>
                <c:pt idx="473">
                  <c:v>1900/1/0</c:v>
                </c:pt>
                <c:pt idx="474">
                  <c:v>1900/1/0</c:v>
                </c:pt>
                <c:pt idx="475">
                  <c:v>1900/1/0</c:v>
                </c:pt>
                <c:pt idx="476">
                  <c:v>1900/1/0</c:v>
                </c:pt>
                <c:pt idx="477">
                  <c:v>1900/1/0</c:v>
                </c:pt>
                <c:pt idx="478">
                  <c:v>1900/1/0</c:v>
                </c:pt>
                <c:pt idx="479">
                  <c:v>1900/1/0</c:v>
                </c:pt>
                <c:pt idx="480">
                  <c:v>1900/1/0</c:v>
                </c:pt>
                <c:pt idx="481">
                  <c:v>1900/1/0</c:v>
                </c:pt>
                <c:pt idx="482">
                  <c:v>1900/1/0</c:v>
                </c:pt>
                <c:pt idx="483">
                  <c:v>1900/1/0</c:v>
                </c:pt>
                <c:pt idx="484">
                  <c:v>1900/1/0</c:v>
                </c:pt>
                <c:pt idx="485">
                  <c:v>1900/1/0</c:v>
                </c:pt>
                <c:pt idx="486">
                  <c:v>1900/1/0</c:v>
                </c:pt>
                <c:pt idx="487">
                  <c:v>1900/1/0</c:v>
                </c:pt>
                <c:pt idx="488">
                  <c:v>1900/1/0</c:v>
                </c:pt>
                <c:pt idx="489">
                  <c:v>1900/1/0</c:v>
                </c:pt>
                <c:pt idx="490">
                  <c:v>1900/1/0</c:v>
                </c:pt>
                <c:pt idx="491">
                  <c:v>1900/1/0</c:v>
                </c:pt>
                <c:pt idx="492">
                  <c:v>1900/1/0</c:v>
                </c:pt>
                <c:pt idx="493">
                  <c:v>1900/1/0</c:v>
                </c:pt>
                <c:pt idx="494">
                  <c:v>1900/1/0</c:v>
                </c:pt>
                <c:pt idx="495">
                  <c:v>1900/1/0</c:v>
                </c:pt>
                <c:pt idx="496">
                  <c:v>1900/1/0</c:v>
                </c:pt>
                <c:pt idx="497">
                  <c:v>1900/1/0</c:v>
                </c:pt>
                <c:pt idx="498">
                  <c:v>1900/1/0</c:v>
                </c:pt>
                <c:pt idx="499">
                  <c:v>1900/1/0</c:v>
                </c:pt>
                <c:pt idx="500">
                  <c:v>1900/1/0</c:v>
                </c:pt>
                <c:pt idx="501">
                  <c:v>1900/1/0</c:v>
                </c:pt>
                <c:pt idx="502">
                  <c:v>1900/1/0</c:v>
                </c:pt>
                <c:pt idx="503">
                  <c:v>1900/1/0</c:v>
                </c:pt>
                <c:pt idx="504">
                  <c:v>1900/1/0</c:v>
                </c:pt>
                <c:pt idx="505">
                  <c:v>1900/1/0</c:v>
                </c:pt>
                <c:pt idx="506">
                  <c:v>1900/1/0</c:v>
                </c:pt>
                <c:pt idx="507">
                  <c:v>1900/1/0</c:v>
                </c:pt>
                <c:pt idx="508">
                  <c:v>1900/1/0</c:v>
                </c:pt>
                <c:pt idx="509">
                  <c:v>1900/1/0</c:v>
                </c:pt>
                <c:pt idx="510">
                  <c:v>1900/1/0</c:v>
                </c:pt>
                <c:pt idx="511">
                  <c:v>1900/1/0</c:v>
                </c:pt>
                <c:pt idx="512">
                  <c:v>1900/1/0</c:v>
                </c:pt>
                <c:pt idx="513">
                  <c:v>1900/1/0</c:v>
                </c:pt>
                <c:pt idx="514">
                  <c:v>1900/1/0</c:v>
                </c:pt>
                <c:pt idx="515">
                  <c:v>1900/1/0</c:v>
                </c:pt>
                <c:pt idx="516">
                  <c:v>1900/1/0</c:v>
                </c:pt>
                <c:pt idx="517">
                  <c:v>1900/1/0</c:v>
                </c:pt>
                <c:pt idx="518">
                  <c:v>1900/1/0</c:v>
                </c:pt>
                <c:pt idx="519">
                  <c:v>1900/1/0</c:v>
                </c:pt>
                <c:pt idx="520">
                  <c:v>1900/1/0</c:v>
                </c:pt>
                <c:pt idx="521">
                  <c:v>1900/1/0</c:v>
                </c:pt>
                <c:pt idx="522">
                  <c:v>1900/1/0</c:v>
                </c:pt>
                <c:pt idx="523">
                  <c:v>1900/1/0</c:v>
                </c:pt>
                <c:pt idx="524">
                  <c:v>1900/1/0</c:v>
                </c:pt>
                <c:pt idx="525">
                  <c:v>1900/1/0</c:v>
                </c:pt>
                <c:pt idx="526">
                  <c:v>1900/1/0</c:v>
                </c:pt>
                <c:pt idx="527">
                  <c:v>1900/1/0</c:v>
                </c:pt>
                <c:pt idx="528">
                  <c:v>1900/1/0</c:v>
                </c:pt>
                <c:pt idx="529">
                  <c:v>1900/1/0</c:v>
                </c:pt>
                <c:pt idx="530">
                  <c:v>1900/1/0</c:v>
                </c:pt>
                <c:pt idx="531">
                  <c:v>1900/1/0</c:v>
                </c:pt>
                <c:pt idx="532">
                  <c:v>1900/1/0</c:v>
                </c:pt>
                <c:pt idx="533">
                  <c:v>1900/1/0</c:v>
                </c:pt>
                <c:pt idx="534">
                  <c:v>1900/1/0</c:v>
                </c:pt>
                <c:pt idx="535">
                  <c:v>1900/1/0</c:v>
                </c:pt>
                <c:pt idx="536">
                  <c:v>1900/1/0</c:v>
                </c:pt>
                <c:pt idx="537">
                  <c:v>1900/1/0</c:v>
                </c:pt>
                <c:pt idx="538">
                  <c:v>1900/1/0</c:v>
                </c:pt>
                <c:pt idx="539">
                  <c:v>1900/1/0</c:v>
                </c:pt>
                <c:pt idx="540">
                  <c:v>1900/1/0</c:v>
                </c:pt>
                <c:pt idx="541">
                  <c:v>1900/1/0</c:v>
                </c:pt>
                <c:pt idx="542">
                  <c:v>1900/1/0</c:v>
                </c:pt>
                <c:pt idx="543">
                  <c:v>1900/1/0</c:v>
                </c:pt>
                <c:pt idx="544">
                  <c:v>1900/1/0</c:v>
                </c:pt>
                <c:pt idx="545">
                  <c:v>1900/1/0</c:v>
                </c:pt>
                <c:pt idx="546">
                  <c:v>1900/1/0</c:v>
                </c:pt>
                <c:pt idx="547">
                  <c:v>1900/1/0</c:v>
                </c:pt>
                <c:pt idx="548">
                  <c:v>1900/1/0</c:v>
                </c:pt>
                <c:pt idx="549">
                  <c:v>1900/1/0</c:v>
                </c:pt>
                <c:pt idx="550">
                  <c:v>1900/1/0</c:v>
                </c:pt>
                <c:pt idx="551">
                  <c:v>1900/1/0</c:v>
                </c:pt>
                <c:pt idx="552">
                  <c:v>1900/1/0</c:v>
                </c:pt>
                <c:pt idx="553">
                  <c:v>1900/1/0</c:v>
                </c:pt>
                <c:pt idx="554">
                  <c:v>1900/1/0</c:v>
                </c:pt>
                <c:pt idx="555">
                  <c:v>1900/1/0</c:v>
                </c:pt>
                <c:pt idx="556">
                  <c:v>1900/1/0</c:v>
                </c:pt>
                <c:pt idx="557">
                  <c:v>1900/1/0</c:v>
                </c:pt>
                <c:pt idx="558">
                  <c:v>1900/1/0</c:v>
                </c:pt>
                <c:pt idx="559">
                  <c:v>1900/1/0</c:v>
                </c:pt>
                <c:pt idx="560">
                  <c:v>1900/1/0</c:v>
                </c:pt>
                <c:pt idx="561">
                  <c:v>1900/1/0</c:v>
                </c:pt>
                <c:pt idx="562">
                  <c:v>1900/1/0</c:v>
                </c:pt>
                <c:pt idx="563">
                  <c:v>1900/1/0</c:v>
                </c:pt>
                <c:pt idx="564">
                  <c:v>1900/1/0</c:v>
                </c:pt>
                <c:pt idx="565">
                  <c:v>1900/1/0</c:v>
                </c:pt>
                <c:pt idx="566">
                  <c:v>1900/1/0</c:v>
                </c:pt>
                <c:pt idx="567">
                  <c:v>1900/1/0</c:v>
                </c:pt>
                <c:pt idx="568">
                  <c:v>1900/1/0</c:v>
                </c:pt>
                <c:pt idx="569">
                  <c:v>1900/1/0</c:v>
                </c:pt>
                <c:pt idx="570">
                  <c:v>1900/1/0</c:v>
                </c:pt>
                <c:pt idx="571">
                  <c:v>1900/1/0</c:v>
                </c:pt>
                <c:pt idx="572">
                  <c:v>1900/1/0</c:v>
                </c:pt>
                <c:pt idx="573">
                  <c:v>1900/1/0</c:v>
                </c:pt>
                <c:pt idx="574">
                  <c:v>1900/1/0</c:v>
                </c:pt>
                <c:pt idx="575">
                  <c:v>1900/1/0</c:v>
                </c:pt>
                <c:pt idx="576">
                  <c:v>1900/1/0</c:v>
                </c:pt>
                <c:pt idx="577">
                  <c:v>1900/1/0</c:v>
                </c:pt>
                <c:pt idx="578">
                  <c:v>1900/1/0</c:v>
                </c:pt>
                <c:pt idx="579">
                  <c:v>1900/1/0</c:v>
                </c:pt>
                <c:pt idx="580">
                  <c:v>1900/1/0</c:v>
                </c:pt>
                <c:pt idx="581">
                  <c:v>1900/1/0</c:v>
                </c:pt>
                <c:pt idx="582">
                  <c:v>1900/1/0</c:v>
                </c:pt>
                <c:pt idx="583">
                  <c:v>1900/1/0</c:v>
                </c:pt>
                <c:pt idx="584">
                  <c:v>1900/1/0</c:v>
                </c:pt>
                <c:pt idx="585">
                  <c:v>1900/1/0</c:v>
                </c:pt>
                <c:pt idx="586">
                  <c:v>1900/1/0</c:v>
                </c:pt>
                <c:pt idx="587">
                  <c:v>1900/1/0</c:v>
                </c:pt>
                <c:pt idx="588">
                  <c:v>1900/1/0</c:v>
                </c:pt>
                <c:pt idx="589">
                  <c:v>1900/1/0</c:v>
                </c:pt>
                <c:pt idx="590">
                  <c:v>1900/1/0</c:v>
                </c:pt>
                <c:pt idx="591">
                  <c:v>1900/1/0</c:v>
                </c:pt>
                <c:pt idx="592">
                  <c:v>1900/1/0</c:v>
                </c:pt>
                <c:pt idx="593">
                  <c:v>1900/1/0</c:v>
                </c:pt>
                <c:pt idx="594">
                  <c:v>1900/1/0</c:v>
                </c:pt>
                <c:pt idx="595">
                  <c:v>1900/1/0</c:v>
                </c:pt>
                <c:pt idx="596">
                  <c:v>1900/1/0</c:v>
                </c:pt>
                <c:pt idx="597">
                  <c:v>1900/1/0</c:v>
                </c:pt>
                <c:pt idx="598">
                  <c:v>1900/1/0</c:v>
                </c:pt>
                <c:pt idx="599">
                  <c:v>1900/1/0</c:v>
                </c:pt>
                <c:pt idx="600">
                  <c:v>1900/1/0</c:v>
                </c:pt>
                <c:pt idx="601">
                  <c:v>1900/1/0</c:v>
                </c:pt>
                <c:pt idx="602">
                  <c:v>1900/1/0</c:v>
                </c:pt>
                <c:pt idx="603">
                  <c:v>1900/1/0</c:v>
                </c:pt>
                <c:pt idx="604">
                  <c:v>1900/1/0</c:v>
                </c:pt>
                <c:pt idx="605">
                  <c:v>1900/1/0</c:v>
                </c:pt>
                <c:pt idx="606">
                  <c:v>1900/1/0</c:v>
                </c:pt>
                <c:pt idx="607">
                  <c:v>1900/1/0</c:v>
                </c:pt>
                <c:pt idx="608">
                  <c:v>1900/1/0</c:v>
                </c:pt>
                <c:pt idx="609">
                  <c:v>1900/1/0</c:v>
                </c:pt>
                <c:pt idx="610">
                  <c:v>1900/1/0</c:v>
                </c:pt>
                <c:pt idx="611">
                  <c:v>1900/1/0</c:v>
                </c:pt>
                <c:pt idx="612">
                  <c:v>1900/1/0</c:v>
                </c:pt>
                <c:pt idx="613">
                  <c:v>1900/1/0</c:v>
                </c:pt>
                <c:pt idx="614">
                  <c:v>1900/1/0</c:v>
                </c:pt>
                <c:pt idx="615">
                  <c:v>1900/1/0</c:v>
                </c:pt>
                <c:pt idx="616">
                  <c:v>1900/1/0</c:v>
                </c:pt>
                <c:pt idx="617">
                  <c:v>1900/1/0</c:v>
                </c:pt>
                <c:pt idx="618">
                  <c:v>1900/1/0</c:v>
                </c:pt>
                <c:pt idx="619">
                  <c:v>1900/1/0</c:v>
                </c:pt>
                <c:pt idx="620">
                  <c:v>1900/1/0</c:v>
                </c:pt>
                <c:pt idx="621">
                  <c:v>1900/1/0</c:v>
                </c:pt>
                <c:pt idx="622">
                  <c:v>1900/1/0</c:v>
                </c:pt>
                <c:pt idx="623">
                  <c:v>1900/1/0</c:v>
                </c:pt>
                <c:pt idx="624">
                  <c:v>1900/1/0</c:v>
                </c:pt>
                <c:pt idx="625">
                  <c:v>1900/1/0</c:v>
                </c:pt>
                <c:pt idx="626">
                  <c:v>1900/1/0</c:v>
                </c:pt>
                <c:pt idx="627">
                  <c:v>1900/1/0</c:v>
                </c:pt>
                <c:pt idx="628">
                  <c:v>1900/1/0</c:v>
                </c:pt>
                <c:pt idx="629">
                  <c:v>1900/1/0</c:v>
                </c:pt>
                <c:pt idx="630">
                  <c:v>1900/1/0</c:v>
                </c:pt>
                <c:pt idx="631">
                  <c:v>1900/1/0</c:v>
                </c:pt>
                <c:pt idx="632">
                  <c:v>1900/1/0</c:v>
                </c:pt>
                <c:pt idx="633">
                  <c:v>1900/1/0</c:v>
                </c:pt>
                <c:pt idx="634">
                  <c:v>1900/1/0</c:v>
                </c:pt>
                <c:pt idx="635">
                  <c:v>1900/1/0</c:v>
                </c:pt>
                <c:pt idx="636">
                  <c:v>1900/1/0</c:v>
                </c:pt>
                <c:pt idx="637">
                  <c:v>1900/1/0</c:v>
                </c:pt>
                <c:pt idx="638">
                  <c:v>1900/1/0</c:v>
                </c:pt>
                <c:pt idx="639">
                  <c:v>1900/1/0</c:v>
                </c:pt>
                <c:pt idx="640">
                  <c:v>1900/1/0</c:v>
                </c:pt>
                <c:pt idx="641">
                  <c:v>1900/1/0</c:v>
                </c:pt>
              </c:strCache>
            </c:strRef>
          </c:cat>
          <c:val>
            <c:numRef>
              <c:f>[0]!cash</c:f>
              <c:numCache>
                <c:formatCode>0.00%</c:formatCode>
                <c:ptCount val="642"/>
                <c:pt idx="0">
                  <c:v>0</c:v>
                </c:pt>
                <c:pt idx="1">
                  <c:v>0.21403596914763559</c:v>
                </c:pt>
                <c:pt idx="2">
                  <c:v>0.18673435571240629</c:v>
                </c:pt>
                <c:pt idx="3">
                  <c:v>0.19107131829727764</c:v>
                </c:pt>
                <c:pt idx="4">
                  <c:v>0.19604361566204961</c:v>
                </c:pt>
                <c:pt idx="5">
                  <c:v>0.19814716719117917</c:v>
                </c:pt>
                <c:pt idx="6">
                  <c:v>0.2004222355376552</c:v>
                </c:pt>
                <c:pt idx="7">
                  <c:v>0.13696170933010529</c:v>
                </c:pt>
                <c:pt idx="8">
                  <c:v>0.12525654872792436</c:v>
                </c:pt>
                <c:pt idx="9">
                  <c:v>0.17042443962464807</c:v>
                </c:pt>
                <c:pt idx="10">
                  <c:v>0.17045083691640134</c:v>
                </c:pt>
                <c:pt idx="11">
                  <c:v>0.1567577752055124</c:v>
                </c:pt>
                <c:pt idx="12">
                  <c:v>0.12084344632389665</c:v>
                </c:pt>
                <c:pt idx="13">
                  <c:v>0.1486110116603202</c:v>
                </c:pt>
                <c:pt idx="14">
                  <c:v>0.15849186608923849</c:v>
                </c:pt>
                <c:pt idx="15">
                  <c:v>0.16057785458255333</c:v>
                </c:pt>
                <c:pt idx="16">
                  <c:v>0.18708932520927074</c:v>
                </c:pt>
                <c:pt idx="17">
                  <c:v>0.20604441138903973</c:v>
                </c:pt>
                <c:pt idx="18">
                  <c:v>0.19927552072520416</c:v>
                </c:pt>
                <c:pt idx="19">
                  <c:v>0.2109243887233786</c:v>
                </c:pt>
                <c:pt idx="20">
                  <c:v>0.20614336391307878</c:v>
                </c:pt>
                <c:pt idx="21">
                  <c:v>0.21334416159512457</c:v>
                </c:pt>
                <c:pt idx="22">
                  <c:v>0.20767423713304889</c:v>
                </c:pt>
                <c:pt idx="23">
                  <c:v>0.20910541399438201</c:v>
                </c:pt>
                <c:pt idx="24">
                  <c:v>0.2383713122450922</c:v>
                </c:pt>
                <c:pt idx="25">
                  <c:v>0.2450963228827012</c:v>
                </c:pt>
                <c:pt idx="26">
                  <c:v>0.25641687554159037</c:v>
                </c:pt>
                <c:pt idx="27">
                  <c:v>0.25071607946717328</c:v>
                </c:pt>
                <c:pt idx="28">
                  <c:v>0.20799677367372221</c:v>
                </c:pt>
                <c:pt idx="29">
                  <c:v>0.19350189271555665</c:v>
                </c:pt>
                <c:pt idx="30">
                  <c:v>0.20140962097478887</c:v>
                </c:pt>
                <c:pt idx="31">
                  <c:v>0.19714471963648084</c:v>
                </c:pt>
                <c:pt idx="32">
                  <c:v>0.19486703927556795</c:v>
                </c:pt>
                <c:pt idx="33">
                  <c:v>0.20036511134389121</c:v>
                </c:pt>
                <c:pt idx="34">
                  <c:v>0.19802046433977363</c:v>
                </c:pt>
                <c:pt idx="35">
                  <c:v>0.17445096843345467</c:v>
                </c:pt>
                <c:pt idx="36">
                  <c:v>0.1693595379519221</c:v>
                </c:pt>
                <c:pt idx="37">
                  <c:v>0.16635364563662849</c:v>
                </c:pt>
                <c:pt idx="38">
                  <c:v>0.1733133975328584</c:v>
                </c:pt>
                <c:pt idx="39">
                  <c:v>0.14425738664328466</c:v>
                </c:pt>
                <c:pt idx="40">
                  <c:v>0.13509494732876748</c:v>
                </c:pt>
                <c:pt idx="41">
                  <c:v>0.14348180693934995</c:v>
                </c:pt>
                <c:pt idx="42">
                  <c:v>0.15529586549756969</c:v>
                </c:pt>
                <c:pt idx="43">
                  <c:v>0.14185531976901597</c:v>
                </c:pt>
                <c:pt idx="44">
                  <c:v>0.10894153179583779</c:v>
                </c:pt>
                <c:pt idx="45">
                  <c:v>9.4957539360324583E-2</c:v>
                </c:pt>
                <c:pt idx="46">
                  <c:v>9.0804793644127538E-2</c:v>
                </c:pt>
                <c:pt idx="47">
                  <c:v>9.1022505009851096E-2</c:v>
                </c:pt>
                <c:pt idx="48">
                  <c:v>0.10268939544666299</c:v>
                </c:pt>
                <c:pt idx="49">
                  <c:v>0.10365103073872539</c:v>
                </c:pt>
                <c:pt idx="50">
                  <c:v>8.9380373852899195E-2</c:v>
                </c:pt>
                <c:pt idx="51">
                  <c:v>0.112968013759551</c:v>
                </c:pt>
                <c:pt idx="52">
                  <c:v>0.10169364392340874</c:v>
                </c:pt>
                <c:pt idx="53">
                  <c:v>0.10712987728739487</c:v>
                </c:pt>
                <c:pt idx="54">
                  <c:v>0.10599015833927616</c:v>
                </c:pt>
                <c:pt idx="55">
                  <c:v>0.13736001738223128</c:v>
                </c:pt>
                <c:pt idx="56">
                  <c:v>0.14830020326718307</c:v>
                </c:pt>
                <c:pt idx="57">
                  <c:v>0.11194017711431017</c:v>
                </c:pt>
                <c:pt idx="58">
                  <c:v>9.8474569904115572E-2</c:v>
                </c:pt>
                <c:pt idx="59">
                  <c:v>0.10873774012258448</c:v>
                </c:pt>
                <c:pt idx="60">
                  <c:v>0.10584196691510332</c:v>
                </c:pt>
                <c:pt idx="61">
                  <c:v>0.10422602724691404</c:v>
                </c:pt>
                <c:pt idx="62">
                  <c:v>0.11488800320329962</c:v>
                </c:pt>
                <c:pt idx="63">
                  <c:v>0.11087503066957866</c:v>
                </c:pt>
                <c:pt idx="64">
                  <c:v>0.11019959702511288</c:v>
                </c:pt>
                <c:pt idx="65">
                  <c:v>0.11816015220811564</c:v>
                </c:pt>
                <c:pt idx="66">
                  <c:v>0.10309463071201544</c:v>
                </c:pt>
                <c:pt idx="67">
                  <c:v>0.12026753934472056</c:v>
                </c:pt>
                <c:pt idx="68">
                  <c:v>0.10103720344664151</c:v>
                </c:pt>
                <c:pt idx="69">
                  <c:v>9.6883069326017451E-2</c:v>
                </c:pt>
                <c:pt idx="70">
                  <c:v>9.9682163815064104E-2</c:v>
                </c:pt>
                <c:pt idx="71">
                  <c:v>9.1625608995787686E-2</c:v>
                </c:pt>
                <c:pt idx="72">
                  <c:v>9.3177375566599566E-2</c:v>
                </c:pt>
                <c:pt idx="73">
                  <c:v>9.3727449260184406E-2</c:v>
                </c:pt>
                <c:pt idx="74">
                  <c:v>9.3896733554941061E-2</c:v>
                </c:pt>
                <c:pt idx="75">
                  <c:v>8.2693430121868153E-2</c:v>
                </c:pt>
                <c:pt idx="76">
                  <c:v>8.0400224074011803E-2</c:v>
                </c:pt>
                <c:pt idx="77">
                  <c:v>9.972577259582599E-2</c:v>
                </c:pt>
                <c:pt idx="78">
                  <c:v>0.11310365828300996</c:v>
                </c:pt>
                <c:pt idx="79">
                  <c:v>0.11566106390942013</c:v>
                </c:pt>
                <c:pt idx="80">
                  <c:v>0.11862140030491881</c:v>
                </c:pt>
                <c:pt idx="81">
                  <c:v>0.1255853508946406</c:v>
                </c:pt>
                <c:pt idx="82">
                  <c:v>0.12680163408790585</c:v>
                </c:pt>
                <c:pt idx="83">
                  <c:v>0.14076294918819199</c:v>
                </c:pt>
                <c:pt idx="84">
                  <c:v>0.14176930073746052</c:v>
                </c:pt>
                <c:pt idx="85">
                  <c:v>0.13270381926553604</c:v>
                </c:pt>
                <c:pt idx="86">
                  <c:v>0.15362598991500484</c:v>
                </c:pt>
                <c:pt idx="87">
                  <c:v>0.14566722660220274</c:v>
                </c:pt>
                <c:pt idx="88">
                  <c:v>0.14761080762093856</c:v>
                </c:pt>
                <c:pt idx="89">
                  <c:v>0.16159003153397086</c:v>
                </c:pt>
                <c:pt idx="90">
                  <c:v>0.16441699743840854</c:v>
                </c:pt>
                <c:pt idx="91">
                  <c:v>0.16030272384423774</c:v>
                </c:pt>
                <c:pt idx="92">
                  <c:v>0.15188214659442253</c:v>
                </c:pt>
                <c:pt idx="93">
                  <c:v>0.16345209671457653</c:v>
                </c:pt>
                <c:pt idx="94">
                  <c:v>0.16377833271849571</c:v>
                </c:pt>
                <c:pt idx="95">
                  <c:v>0.15902336777271875</c:v>
                </c:pt>
                <c:pt idx="96">
                  <c:v>0.1584893368685126</c:v>
                </c:pt>
                <c:pt idx="97">
                  <c:v>0.18177110282111925</c:v>
                </c:pt>
                <c:pt idx="98">
                  <c:v>0.18632296141278373</c:v>
                </c:pt>
                <c:pt idx="99">
                  <c:v>0.18880560663911025</c:v>
                </c:pt>
                <c:pt idx="100">
                  <c:v>0.18581462472703686</c:v>
                </c:pt>
                <c:pt idx="101">
                  <c:v>0.18053510087664679</c:v>
                </c:pt>
                <c:pt idx="102">
                  <c:v>0.17884973644400565</c:v>
                </c:pt>
                <c:pt idx="103">
                  <c:v>0.17807522037427373</c:v>
                </c:pt>
                <c:pt idx="104">
                  <c:v>0.17543299772109</c:v>
                </c:pt>
                <c:pt idx="105">
                  <c:v>0.17821193009239616</c:v>
                </c:pt>
                <c:pt idx="106">
                  <c:v>0.19689615686063761</c:v>
                </c:pt>
                <c:pt idx="107">
                  <c:v>0.16314714489856924</c:v>
                </c:pt>
                <c:pt idx="108">
                  <c:v>0.16928269612161539</c:v>
                </c:pt>
                <c:pt idx="109">
                  <c:v>0.16988389331891945</c:v>
                </c:pt>
                <c:pt idx="110">
                  <c:v>0.1718135361032985</c:v>
                </c:pt>
                <c:pt idx="111">
                  <c:v>0.16496197296951778</c:v>
                </c:pt>
                <c:pt idx="112">
                  <c:v>0.18196905010930881</c:v>
                </c:pt>
                <c:pt idx="113">
                  <c:v>0.13058657382768962</c:v>
                </c:pt>
                <c:pt idx="114">
                  <c:v>0.12357629824996542</c:v>
                </c:pt>
                <c:pt idx="115">
                  <c:v>0.1867928382639206</c:v>
                </c:pt>
                <c:pt idx="116">
                  <c:v>0.21871525301555172</c:v>
                </c:pt>
                <c:pt idx="117">
                  <c:v>0.2316564956298944</c:v>
                </c:pt>
                <c:pt idx="118">
                  <c:v>0.25118751995076022</c:v>
                </c:pt>
                <c:pt idx="119">
                  <c:v>0.26884064752529374</c:v>
                </c:pt>
                <c:pt idx="120">
                  <c:v>0.27573353340564494</c:v>
                </c:pt>
                <c:pt idx="121">
                  <c:v>0.26847470772338095</c:v>
                </c:pt>
                <c:pt idx="122">
                  <c:v>0.26192756381311355</c:v>
                </c:pt>
                <c:pt idx="123">
                  <c:v>0.24943914506202167</c:v>
                </c:pt>
                <c:pt idx="124">
                  <c:v>0.25254236448843725</c:v>
                </c:pt>
                <c:pt idx="125">
                  <c:v>0.25250619454545725</c:v>
                </c:pt>
                <c:pt idx="126">
                  <c:v>0.29517301423441911</c:v>
                </c:pt>
                <c:pt idx="127">
                  <c:v>0.29508344999082586</c:v>
                </c:pt>
                <c:pt idx="128">
                  <c:v>0.29211696367872098</c:v>
                </c:pt>
                <c:pt idx="129">
                  <c:v>0.2884624813048649</c:v>
                </c:pt>
                <c:pt idx="130">
                  <c:v>0.28938907520717644</c:v>
                </c:pt>
                <c:pt idx="131">
                  <c:v>0.29934541154752797</c:v>
                </c:pt>
                <c:pt idx="132">
                  <c:v>0.27768558086667605</c:v>
                </c:pt>
                <c:pt idx="133">
                  <c:v>0.24585799633308317</c:v>
                </c:pt>
                <c:pt idx="134">
                  <c:v>0.24305059500440307</c:v>
                </c:pt>
                <c:pt idx="135">
                  <c:v>0.24608453121787449</c:v>
                </c:pt>
                <c:pt idx="136">
                  <c:v>0.23767737339215908</c:v>
                </c:pt>
                <c:pt idx="137">
                  <c:v>0.20958335541218853</c:v>
                </c:pt>
                <c:pt idx="138">
                  <c:v>0.17614315648938708</c:v>
                </c:pt>
                <c:pt idx="139">
                  <c:v>0.17411455499489592</c:v>
                </c:pt>
                <c:pt idx="140">
                  <c:v>0.18019325572471367</c:v>
                </c:pt>
                <c:pt idx="141">
                  <c:v>0.1747353049289872</c:v>
                </c:pt>
                <c:pt idx="142">
                  <c:v>0.19252140711247082</c:v>
                </c:pt>
                <c:pt idx="143">
                  <c:v>0.18585561272989065</c:v>
                </c:pt>
                <c:pt idx="144">
                  <c:v>0.18805758631971467</c:v>
                </c:pt>
                <c:pt idx="145">
                  <c:v>0.19156986767541465</c:v>
                </c:pt>
                <c:pt idx="146">
                  <c:v>0.18963729942770138</c:v>
                </c:pt>
                <c:pt idx="147">
                  <c:v>0.14601483830492598</c:v>
                </c:pt>
                <c:pt idx="148">
                  <c:v>0.12235889282520217</c:v>
                </c:pt>
                <c:pt idx="149">
                  <c:v>0.12998196794717201</c:v>
                </c:pt>
                <c:pt idx="150">
                  <c:v>9.8744661528946759E-2</c:v>
                </c:pt>
                <c:pt idx="151">
                  <c:v>0.12172749751860278</c:v>
                </c:pt>
                <c:pt idx="152">
                  <c:v>0.1277807460859309</c:v>
                </c:pt>
                <c:pt idx="153">
                  <c:v>9.3496811689340112E-2</c:v>
                </c:pt>
                <c:pt idx="154">
                  <c:v>6.4558059753621042E-2</c:v>
                </c:pt>
                <c:pt idx="155">
                  <c:v>6.5174747059760438E-2</c:v>
                </c:pt>
                <c:pt idx="156">
                  <c:v>0.15656013699196991</c:v>
                </c:pt>
                <c:pt idx="157">
                  <c:v>0.19396895177026635</c:v>
                </c:pt>
                <c:pt idx="158">
                  <c:v>8.9091031597855738E-2</c:v>
                </c:pt>
                <c:pt idx="159">
                  <c:v>9.6101742568250367E-2</c:v>
                </c:pt>
                <c:pt idx="160">
                  <c:v>7.8048564346059182E-2</c:v>
                </c:pt>
                <c:pt idx="161">
                  <c:v>7.8227541894107411E-2</c:v>
                </c:pt>
                <c:pt idx="162">
                  <c:v>7.8176925155726287E-2</c:v>
                </c:pt>
                <c:pt idx="163">
                  <c:v>9.0229695660209649E-2</c:v>
                </c:pt>
                <c:pt idx="164">
                  <c:v>6.5104627113800093E-2</c:v>
                </c:pt>
                <c:pt idx="165">
                  <c:v>6.8890689353812581E-2</c:v>
                </c:pt>
                <c:pt idx="166">
                  <c:v>6.4961368498462776E-2</c:v>
                </c:pt>
                <c:pt idx="167">
                  <c:v>0.12471961475655126</c:v>
                </c:pt>
                <c:pt idx="168">
                  <c:v>0.14955346069672942</c:v>
                </c:pt>
                <c:pt idx="169">
                  <c:v>0.16506035039331013</c:v>
                </c:pt>
                <c:pt idx="170">
                  <c:v>0.16300020675775254</c:v>
                </c:pt>
                <c:pt idx="171">
                  <c:v>0.10336327836249053</c:v>
                </c:pt>
                <c:pt idx="172">
                  <c:v>8.7621051526641333E-2</c:v>
                </c:pt>
                <c:pt idx="173">
                  <c:v>7.5180122883951706E-2</c:v>
                </c:pt>
                <c:pt idx="174">
                  <c:v>4.611987193153478E-2</c:v>
                </c:pt>
                <c:pt idx="175">
                  <c:v>2.6107293419621713E-2</c:v>
                </c:pt>
                <c:pt idx="176">
                  <c:v>3.9892272482253292E-2</c:v>
                </c:pt>
                <c:pt idx="177">
                  <c:v>7.1651056060791302E-3</c:v>
                </c:pt>
                <c:pt idx="178">
                  <c:v>0.11427636715073049</c:v>
                </c:pt>
                <c:pt idx="179">
                  <c:v>2.7769867117082275E-2</c:v>
                </c:pt>
                <c:pt idx="180">
                  <c:v>2.2674258483330805E-2</c:v>
                </c:pt>
                <c:pt idx="181">
                  <c:v>1.6827534892408408E-5</c:v>
                </c:pt>
                <c:pt idx="182">
                  <c:v>2.0873743269929062E-5</c:v>
                </c:pt>
                <c:pt idx="183">
                  <c:v>2.328796758086864E-5</c:v>
                </c:pt>
                <c:pt idx="184">
                  <c:v>2.27960192784355E-5</c:v>
                </c:pt>
                <c:pt idx="185">
                  <c:v>1.9349014044414219E-5</c:v>
                </c:pt>
                <c:pt idx="186">
                  <c:v>2.0008116342164251E-5</c:v>
                </c:pt>
                <c:pt idx="187">
                  <c:v>1.3804609677754051E-5</c:v>
                </c:pt>
                <c:pt idx="188">
                  <c:v>1.0038969124253848E-5</c:v>
                </c:pt>
                <c:pt idx="189">
                  <c:v>8.8772817401259868E-6</c:v>
                </c:pt>
                <c:pt idx="190">
                  <c:v>7.8612300750050866E-6</c:v>
                </c:pt>
                <c:pt idx="191">
                  <c:v>6.5113041585156864E-2</c:v>
                </c:pt>
                <c:pt idx="192">
                  <c:v>3.208063309425583E-2</c:v>
                </c:pt>
                <c:pt idx="193">
                  <c:v>1.2058792694101723E-2</c:v>
                </c:pt>
                <c:pt idx="194">
                  <c:v>1.452002073129947E-2</c:v>
                </c:pt>
                <c:pt idx="195">
                  <c:v>1.6175864566915124E-2</c:v>
                </c:pt>
                <c:pt idx="196">
                  <c:v>1.2996488582269559E-2</c:v>
                </c:pt>
                <c:pt idx="197">
                  <c:v>1.8015522105025664E-2</c:v>
                </c:pt>
                <c:pt idx="198">
                  <c:v>1.738943769216969E-2</c:v>
                </c:pt>
                <c:pt idx="199">
                  <c:v>2.6509440107198089E-2</c:v>
                </c:pt>
                <c:pt idx="200">
                  <c:v>2.9948672257200673E-2</c:v>
                </c:pt>
                <c:pt idx="201">
                  <c:v>3.4733209693403932E-2</c:v>
                </c:pt>
                <c:pt idx="202">
                  <c:v>3.7719460672929937E-2</c:v>
                </c:pt>
                <c:pt idx="203">
                  <c:v>3.6975975726238258E-2</c:v>
                </c:pt>
                <c:pt idx="204">
                  <c:v>3.4036430565694151E-2</c:v>
                </c:pt>
                <c:pt idx="205">
                  <c:v>4.1435447346516809E-2</c:v>
                </c:pt>
                <c:pt idx="206">
                  <c:v>4.168162261375969E-2</c:v>
                </c:pt>
                <c:pt idx="207">
                  <c:v>4.4913830344059533E-2</c:v>
                </c:pt>
                <c:pt idx="208">
                  <c:v>4.5911356082575183E-2</c:v>
                </c:pt>
                <c:pt idx="209">
                  <c:v>4.1913771520996138E-2</c:v>
                </c:pt>
                <c:pt idx="210">
                  <c:v>4.1917820759470953E-2</c:v>
                </c:pt>
                <c:pt idx="211">
                  <c:v>5.9863945720191603E-2</c:v>
                </c:pt>
                <c:pt idx="212">
                  <c:v>0.12156337420685724</c:v>
                </c:pt>
                <c:pt idx="213">
                  <c:v>0.14440432946993312</c:v>
                </c:pt>
                <c:pt idx="214">
                  <c:v>7.4917725163837837E-2</c:v>
                </c:pt>
                <c:pt idx="215">
                  <c:v>8.2347252801939205E-2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BD-4945-A0CC-9CCF2CAFE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340864"/>
        <c:axId val="462343168"/>
      </c:areaChart>
      <c:catAx>
        <c:axId val="46234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62343168"/>
        <c:crosses val="autoZero"/>
        <c:auto val="1"/>
        <c:lblAlgn val="ctr"/>
        <c:lblOffset val="100"/>
        <c:tickLblSkip val="2"/>
        <c:noMultiLvlLbl val="1"/>
      </c:catAx>
      <c:valAx>
        <c:axId val="462343168"/>
        <c:scaling>
          <c:orientation val="minMax"/>
          <c:max val="1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462340864"/>
        <c:crosses val="autoZero"/>
        <c:crossBetween val="midCat"/>
      </c:valAx>
    </c:plotArea>
    <c:legend>
      <c:legendPos val="b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sz="1000"/>
              <a:t>样本基金配置偏好</a:t>
            </a:r>
            <a:endParaRPr lang="en-US" sz="10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2876159230096237"/>
          <c:y val="0.11574074074074074"/>
          <c:w val="0.78947440944881886"/>
          <c:h val="0.67095654709827945"/>
        </c:manualLayout>
      </c:layout>
      <c:areaChart>
        <c:grouping val="stacked"/>
        <c:varyColors val="0"/>
        <c:ser>
          <c:idx val="0"/>
          <c:order val="0"/>
          <c:tx>
            <c:strRef>
              <c:f>figure!$B$1</c:f>
              <c:strCache>
                <c:ptCount val="1"/>
                <c:pt idx="0">
                  <c:v>沪深300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figure!$A$3:$A$217</c:f>
              <c:numCache>
                <c:formatCode>m/d/yyyy</c:formatCode>
                <c:ptCount val="215"/>
                <c:pt idx="0">
                  <c:v>41715.5</c:v>
                </c:pt>
                <c:pt idx="1">
                  <c:v>41722.5</c:v>
                </c:pt>
                <c:pt idx="2">
                  <c:v>41729.5</c:v>
                </c:pt>
                <c:pt idx="3">
                  <c:v>41736</c:v>
                </c:pt>
                <c:pt idx="4">
                  <c:v>41743.5</c:v>
                </c:pt>
                <c:pt idx="5">
                  <c:v>41750.5</c:v>
                </c:pt>
                <c:pt idx="6">
                  <c:v>41757.5</c:v>
                </c:pt>
                <c:pt idx="7">
                  <c:v>41764.5</c:v>
                </c:pt>
                <c:pt idx="8">
                  <c:v>41771.5</c:v>
                </c:pt>
                <c:pt idx="9">
                  <c:v>41778.5</c:v>
                </c:pt>
                <c:pt idx="10">
                  <c:v>41785.5</c:v>
                </c:pt>
                <c:pt idx="11">
                  <c:v>41792.5</c:v>
                </c:pt>
                <c:pt idx="12">
                  <c:v>41799.5</c:v>
                </c:pt>
                <c:pt idx="13">
                  <c:v>41806.5</c:v>
                </c:pt>
                <c:pt idx="14">
                  <c:v>41813.5</c:v>
                </c:pt>
                <c:pt idx="15">
                  <c:v>41820.5</c:v>
                </c:pt>
                <c:pt idx="16">
                  <c:v>41826.5</c:v>
                </c:pt>
                <c:pt idx="17">
                  <c:v>41834.5</c:v>
                </c:pt>
                <c:pt idx="18">
                  <c:v>41841.5</c:v>
                </c:pt>
                <c:pt idx="19">
                  <c:v>41847</c:v>
                </c:pt>
                <c:pt idx="20">
                  <c:v>41855.5</c:v>
                </c:pt>
                <c:pt idx="21">
                  <c:v>41862.5</c:v>
                </c:pt>
                <c:pt idx="22">
                  <c:v>41869.5</c:v>
                </c:pt>
                <c:pt idx="23">
                  <c:v>41876.5</c:v>
                </c:pt>
                <c:pt idx="24">
                  <c:v>41883.5</c:v>
                </c:pt>
                <c:pt idx="25">
                  <c:v>41890.5</c:v>
                </c:pt>
                <c:pt idx="26">
                  <c:v>41897.5</c:v>
                </c:pt>
                <c:pt idx="27">
                  <c:v>41904.5</c:v>
                </c:pt>
                <c:pt idx="28">
                  <c:v>41911.5</c:v>
                </c:pt>
                <c:pt idx="29">
                  <c:v>41918.5</c:v>
                </c:pt>
                <c:pt idx="30">
                  <c:v>41925.5</c:v>
                </c:pt>
                <c:pt idx="31">
                  <c:v>41932.5</c:v>
                </c:pt>
                <c:pt idx="32">
                  <c:v>41938.5</c:v>
                </c:pt>
                <c:pt idx="33">
                  <c:v>41946.5</c:v>
                </c:pt>
                <c:pt idx="34">
                  <c:v>41953.5</c:v>
                </c:pt>
                <c:pt idx="35">
                  <c:v>41960.5</c:v>
                </c:pt>
                <c:pt idx="36">
                  <c:v>41967.5</c:v>
                </c:pt>
                <c:pt idx="37">
                  <c:v>41974.5</c:v>
                </c:pt>
                <c:pt idx="38">
                  <c:v>41980</c:v>
                </c:pt>
                <c:pt idx="39">
                  <c:v>41987</c:v>
                </c:pt>
                <c:pt idx="40">
                  <c:v>41995.5</c:v>
                </c:pt>
                <c:pt idx="41">
                  <c:v>42002.5</c:v>
                </c:pt>
                <c:pt idx="42">
                  <c:v>42009.5</c:v>
                </c:pt>
                <c:pt idx="43">
                  <c:v>42016.5</c:v>
                </c:pt>
                <c:pt idx="44">
                  <c:v>42023.5</c:v>
                </c:pt>
                <c:pt idx="45">
                  <c:v>42030.5</c:v>
                </c:pt>
                <c:pt idx="46">
                  <c:v>42037.5</c:v>
                </c:pt>
                <c:pt idx="47">
                  <c:v>42044.5</c:v>
                </c:pt>
                <c:pt idx="48">
                  <c:v>42051.5</c:v>
                </c:pt>
                <c:pt idx="49">
                  <c:v>42058</c:v>
                </c:pt>
                <c:pt idx="50">
                  <c:v>42065.5</c:v>
                </c:pt>
                <c:pt idx="51">
                  <c:v>42071.5</c:v>
                </c:pt>
                <c:pt idx="52">
                  <c:v>42079.5</c:v>
                </c:pt>
                <c:pt idx="53">
                  <c:v>42086.5</c:v>
                </c:pt>
                <c:pt idx="54">
                  <c:v>42093.5</c:v>
                </c:pt>
                <c:pt idx="55">
                  <c:v>42100.5</c:v>
                </c:pt>
                <c:pt idx="56">
                  <c:v>42107.5</c:v>
                </c:pt>
                <c:pt idx="57">
                  <c:v>42114.5</c:v>
                </c:pt>
                <c:pt idx="58">
                  <c:v>42120</c:v>
                </c:pt>
                <c:pt idx="59">
                  <c:v>42128.5</c:v>
                </c:pt>
                <c:pt idx="60">
                  <c:v>42135.5</c:v>
                </c:pt>
                <c:pt idx="61">
                  <c:v>42142.5</c:v>
                </c:pt>
                <c:pt idx="62">
                  <c:v>42149.5</c:v>
                </c:pt>
                <c:pt idx="63">
                  <c:v>42156.5</c:v>
                </c:pt>
                <c:pt idx="64">
                  <c:v>42163.5</c:v>
                </c:pt>
                <c:pt idx="65">
                  <c:v>42170.5</c:v>
                </c:pt>
                <c:pt idx="66">
                  <c:v>42177.5</c:v>
                </c:pt>
                <c:pt idx="67">
                  <c:v>42183.5</c:v>
                </c:pt>
                <c:pt idx="68">
                  <c:v>42191</c:v>
                </c:pt>
                <c:pt idx="69">
                  <c:v>42198.5</c:v>
                </c:pt>
                <c:pt idx="70">
                  <c:v>42205.5</c:v>
                </c:pt>
                <c:pt idx="71">
                  <c:v>42211.5</c:v>
                </c:pt>
                <c:pt idx="72">
                  <c:v>42219.5</c:v>
                </c:pt>
                <c:pt idx="73">
                  <c:v>42226.5</c:v>
                </c:pt>
                <c:pt idx="74">
                  <c:v>42233.5</c:v>
                </c:pt>
                <c:pt idx="75">
                  <c:v>42240.5</c:v>
                </c:pt>
                <c:pt idx="76">
                  <c:v>42247.5</c:v>
                </c:pt>
                <c:pt idx="77">
                  <c:v>42254.5</c:v>
                </c:pt>
                <c:pt idx="78">
                  <c:v>42261.5</c:v>
                </c:pt>
                <c:pt idx="79">
                  <c:v>42268.5</c:v>
                </c:pt>
                <c:pt idx="80">
                  <c:v>42275.5</c:v>
                </c:pt>
                <c:pt idx="81">
                  <c:v>42282.5</c:v>
                </c:pt>
                <c:pt idx="82">
                  <c:v>42289.5</c:v>
                </c:pt>
                <c:pt idx="83">
                  <c:v>42296.5</c:v>
                </c:pt>
                <c:pt idx="84">
                  <c:v>42303</c:v>
                </c:pt>
                <c:pt idx="85">
                  <c:v>42310.5</c:v>
                </c:pt>
                <c:pt idx="86">
                  <c:v>42316.5</c:v>
                </c:pt>
                <c:pt idx="87">
                  <c:v>42324.5</c:v>
                </c:pt>
                <c:pt idx="88">
                  <c:v>42331.5</c:v>
                </c:pt>
                <c:pt idx="89">
                  <c:v>42338.5</c:v>
                </c:pt>
                <c:pt idx="90">
                  <c:v>42348</c:v>
                </c:pt>
                <c:pt idx="91">
                  <c:v>42356</c:v>
                </c:pt>
                <c:pt idx="92">
                  <c:v>42363</c:v>
                </c:pt>
                <c:pt idx="93">
                  <c:v>42370</c:v>
                </c:pt>
                <c:pt idx="94">
                  <c:v>42377</c:v>
                </c:pt>
                <c:pt idx="95">
                  <c:v>42384</c:v>
                </c:pt>
                <c:pt idx="96">
                  <c:v>42391</c:v>
                </c:pt>
                <c:pt idx="97">
                  <c:v>42398</c:v>
                </c:pt>
                <c:pt idx="98">
                  <c:v>42405</c:v>
                </c:pt>
                <c:pt idx="99">
                  <c:v>42412</c:v>
                </c:pt>
                <c:pt idx="100">
                  <c:v>42419</c:v>
                </c:pt>
                <c:pt idx="101">
                  <c:v>42426</c:v>
                </c:pt>
                <c:pt idx="102">
                  <c:v>42433</c:v>
                </c:pt>
                <c:pt idx="103">
                  <c:v>42439.5</c:v>
                </c:pt>
                <c:pt idx="104">
                  <c:v>42447</c:v>
                </c:pt>
                <c:pt idx="105">
                  <c:v>42454</c:v>
                </c:pt>
                <c:pt idx="106">
                  <c:v>42460</c:v>
                </c:pt>
                <c:pt idx="107">
                  <c:v>42468</c:v>
                </c:pt>
                <c:pt idx="108">
                  <c:v>42475</c:v>
                </c:pt>
                <c:pt idx="109">
                  <c:v>42485.5</c:v>
                </c:pt>
                <c:pt idx="110">
                  <c:v>42492.5</c:v>
                </c:pt>
                <c:pt idx="111">
                  <c:v>42499.5</c:v>
                </c:pt>
                <c:pt idx="112">
                  <c:v>42506.5</c:v>
                </c:pt>
                <c:pt idx="113">
                  <c:v>42513.5</c:v>
                </c:pt>
                <c:pt idx="114">
                  <c:v>42520.5</c:v>
                </c:pt>
                <c:pt idx="115">
                  <c:v>42527.5</c:v>
                </c:pt>
                <c:pt idx="116">
                  <c:v>42534.5</c:v>
                </c:pt>
                <c:pt idx="117">
                  <c:v>42541.5</c:v>
                </c:pt>
                <c:pt idx="118">
                  <c:v>42548.5</c:v>
                </c:pt>
                <c:pt idx="119">
                  <c:v>42555.5</c:v>
                </c:pt>
                <c:pt idx="120">
                  <c:v>42561.5</c:v>
                </c:pt>
                <c:pt idx="121">
                  <c:v>42569.5</c:v>
                </c:pt>
                <c:pt idx="122">
                  <c:v>42576.5</c:v>
                </c:pt>
                <c:pt idx="123">
                  <c:v>42587</c:v>
                </c:pt>
                <c:pt idx="124">
                  <c:v>42594</c:v>
                </c:pt>
                <c:pt idx="125">
                  <c:v>42600</c:v>
                </c:pt>
                <c:pt idx="126">
                  <c:v>42608</c:v>
                </c:pt>
                <c:pt idx="127">
                  <c:v>42615</c:v>
                </c:pt>
                <c:pt idx="128">
                  <c:v>42622</c:v>
                </c:pt>
                <c:pt idx="129">
                  <c:v>42629</c:v>
                </c:pt>
                <c:pt idx="130">
                  <c:v>42636</c:v>
                </c:pt>
                <c:pt idx="131">
                  <c:v>42643</c:v>
                </c:pt>
                <c:pt idx="132">
                  <c:v>42650</c:v>
                </c:pt>
                <c:pt idx="133">
                  <c:v>42657</c:v>
                </c:pt>
                <c:pt idx="134">
                  <c:v>42664</c:v>
                </c:pt>
                <c:pt idx="135">
                  <c:v>42671</c:v>
                </c:pt>
                <c:pt idx="136">
                  <c:v>42678</c:v>
                </c:pt>
                <c:pt idx="137">
                  <c:v>42685</c:v>
                </c:pt>
                <c:pt idx="138">
                  <c:v>42691.5</c:v>
                </c:pt>
                <c:pt idx="139">
                  <c:v>42698</c:v>
                </c:pt>
                <c:pt idx="140">
                  <c:v>42706</c:v>
                </c:pt>
                <c:pt idx="141">
                  <c:v>42713</c:v>
                </c:pt>
                <c:pt idx="142">
                  <c:v>42723.5</c:v>
                </c:pt>
                <c:pt idx="143">
                  <c:v>42730.5</c:v>
                </c:pt>
                <c:pt idx="144">
                  <c:v>42737.5</c:v>
                </c:pt>
                <c:pt idx="145">
                  <c:v>42744.5</c:v>
                </c:pt>
                <c:pt idx="146">
                  <c:v>42751.5</c:v>
                </c:pt>
                <c:pt idx="147">
                  <c:v>42758.5</c:v>
                </c:pt>
                <c:pt idx="148">
                  <c:v>42765.5</c:v>
                </c:pt>
                <c:pt idx="149">
                  <c:v>42772.5</c:v>
                </c:pt>
                <c:pt idx="150">
                  <c:v>42779.5</c:v>
                </c:pt>
                <c:pt idx="151">
                  <c:v>42786.5</c:v>
                </c:pt>
                <c:pt idx="152">
                  <c:v>42793.5</c:v>
                </c:pt>
                <c:pt idx="153">
                  <c:v>42800.5</c:v>
                </c:pt>
                <c:pt idx="154">
                  <c:v>42807.5</c:v>
                </c:pt>
                <c:pt idx="155">
                  <c:v>42814.5</c:v>
                </c:pt>
                <c:pt idx="156">
                  <c:v>42821.5</c:v>
                </c:pt>
                <c:pt idx="157">
                  <c:v>42828</c:v>
                </c:pt>
                <c:pt idx="158">
                  <c:v>42835.5</c:v>
                </c:pt>
                <c:pt idx="159">
                  <c:v>42842.5</c:v>
                </c:pt>
                <c:pt idx="160">
                  <c:v>42849.5</c:v>
                </c:pt>
                <c:pt idx="161">
                  <c:v>42856.5</c:v>
                </c:pt>
                <c:pt idx="162">
                  <c:v>42863.5</c:v>
                </c:pt>
                <c:pt idx="163">
                  <c:v>42870.5</c:v>
                </c:pt>
                <c:pt idx="164">
                  <c:v>42877.5</c:v>
                </c:pt>
                <c:pt idx="165">
                  <c:v>42884.5</c:v>
                </c:pt>
                <c:pt idx="166">
                  <c:v>42891.5</c:v>
                </c:pt>
                <c:pt idx="167">
                  <c:v>42898.5</c:v>
                </c:pt>
                <c:pt idx="168">
                  <c:v>42905.5</c:v>
                </c:pt>
                <c:pt idx="169">
                  <c:v>42912.5</c:v>
                </c:pt>
                <c:pt idx="170">
                  <c:v>42919.5</c:v>
                </c:pt>
                <c:pt idx="171">
                  <c:v>42926.5</c:v>
                </c:pt>
                <c:pt idx="172">
                  <c:v>42933.5</c:v>
                </c:pt>
                <c:pt idx="173">
                  <c:v>42940.5</c:v>
                </c:pt>
                <c:pt idx="174">
                  <c:v>42951</c:v>
                </c:pt>
                <c:pt idx="175">
                  <c:v>42958</c:v>
                </c:pt>
                <c:pt idx="176">
                  <c:v>42965</c:v>
                </c:pt>
                <c:pt idx="177">
                  <c:v>42972</c:v>
                </c:pt>
                <c:pt idx="178">
                  <c:v>42979</c:v>
                </c:pt>
                <c:pt idx="179">
                  <c:v>42986</c:v>
                </c:pt>
                <c:pt idx="180">
                  <c:v>42993</c:v>
                </c:pt>
                <c:pt idx="181">
                  <c:v>43000</c:v>
                </c:pt>
                <c:pt idx="182">
                  <c:v>43007</c:v>
                </c:pt>
                <c:pt idx="183">
                  <c:v>43014</c:v>
                </c:pt>
                <c:pt idx="184">
                  <c:v>43021</c:v>
                </c:pt>
                <c:pt idx="185">
                  <c:v>43028</c:v>
                </c:pt>
                <c:pt idx="186">
                  <c:v>43035</c:v>
                </c:pt>
                <c:pt idx="187">
                  <c:v>43042</c:v>
                </c:pt>
                <c:pt idx="188">
                  <c:v>43049</c:v>
                </c:pt>
                <c:pt idx="189">
                  <c:v>43056</c:v>
                </c:pt>
                <c:pt idx="190">
                  <c:v>43063</c:v>
                </c:pt>
                <c:pt idx="191">
                  <c:v>43070</c:v>
                </c:pt>
                <c:pt idx="192">
                  <c:v>43076</c:v>
                </c:pt>
                <c:pt idx="193">
                  <c:v>43087.5</c:v>
                </c:pt>
                <c:pt idx="194">
                  <c:v>43094.5</c:v>
                </c:pt>
                <c:pt idx="195">
                  <c:v>43101.5</c:v>
                </c:pt>
                <c:pt idx="196">
                  <c:v>43108.5</c:v>
                </c:pt>
                <c:pt idx="197">
                  <c:v>43115.5</c:v>
                </c:pt>
                <c:pt idx="198">
                  <c:v>43122.5</c:v>
                </c:pt>
                <c:pt idx="199">
                  <c:v>43128.5</c:v>
                </c:pt>
                <c:pt idx="200">
                  <c:v>43136.5</c:v>
                </c:pt>
                <c:pt idx="201">
                  <c:v>43143.5</c:v>
                </c:pt>
                <c:pt idx="202">
                  <c:v>43150.5</c:v>
                </c:pt>
                <c:pt idx="203">
                  <c:v>43157.5</c:v>
                </c:pt>
                <c:pt idx="204">
                  <c:v>43164.5</c:v>
                </c:pt>
                <c:pt idx="205">
                  <c:v>43171.5</c:v>
                </c:pt>
                <c:pt idx="206">
                  <c:v>43178.5</c:v>
                </c:pt>
                <c:pt idx="207">
                  <c:v>43185.5</c:v>
                </c:pt>
                <c:pt idx="208">
                  <c:v>43192.5</c:v>
                </c:pt>
                <c:pt idx="209">
                  <c:v>43199.5</c:v>
                </c:pt>
                <c:pt idx="210">
                  <c:v>43206.5</c:v>
                </c:pt>
                <c:pt idx="211">
                  <c:v>43212.5</c:v>
                </c:pt>
                <c:pt idx="212">
                  <c:v>43220.5</c:v>
                </c:pt>
                <c:pt idx="213">
                  <c:v>43227.5</c:v>
                </c:pt>
                <c:pt idx="214">
                  <c:v>43234.5</c:v>
                </c:pt>
              </c:numCache>
            </c:numRef>
          </c:cat>
          <c:val>
            <c:numRef>
              <c:f>figure!$B$3:$B$217</c:f>
              <c:numCache>
                <c:formatCode>0.00%</c:formatCode>
                <c:ptCount val="215"/>
                <c:pt idx="0">
                  <c:v>0.21635360399723985</c:v>
                </c:pt>
                <c:pt idx="1">
                  <c:v>0.23682641047636177</c:v>
                </c:pt>
                <c:pt idx="2">
                  <c:v>0.22154322014805863</c:v>
                </c:pt>
                <c:pt idx="3">
                  <c:v>0.22433044638344221</c:v>
                </c:pt>
                <c:pt idx="4">
                  <c:v>0.21144160311378324</c:v>
                </c:pt>
                <c:pt idx="5">
                  <c:v>0.21923317470344697</c:v>
                </c:pt>
                <c:pt idx="6">
                  <c:v>0.28899782448795847</c:v>
                </c:pt>
                <c:pt idx="7">
                  <c:v>0.30609492295309471</c:v>
                </c:pt>
                <c:pt idx="8">
                  <c:v>0.25717166468218727</c:v>
                </c:pt>
                <c:pt idx="9">
                  <c:v>0.23132510353508889</c:v>
                </c:pt>
                <c:pt idx="10">
                  <c:v>0.2322753030451539</c:v>
                </c:pt>
                <c:pt idx="11">
                  <c:v>0.27079108000673746</c:v>
                </c:pt>
                <c:pt idx="12">
                  <c:v>0.29180402650317977</c:v>
                </c:pt>
                <c:pt idx="13">
                  <c:v>0.29074076608927274</c:v>
                </c:pt>
                <c:pt idx="14">
                  <c:v>0.29025710031102886</c:v>
                </c:pt>
                <c:pt idx="15">
                  <c:v>0.25742531140512359</c:v>
                </c:pt>
                <c:pt idx="16">
                  <c:v>0.26862376317039105</c:v>
                </c:pt>
                <c:pt idx="17">
                  <c:v>0.27242739467816141</c:v>
                </c:pt>
                <c:pt idx="18">
                  <c:v>0.26673760030582883</c:v>
                </c:pt>
                <c:pt idx="19">
                  <c:v>0.27748183513929248</c:v>
                </c:pt>
                <c:pt idx="20">
                  <c:v>0.29386665853486982</c:v>
                </c:pt>
                <c:pt idx="21">
                  <c:v>0.29489385760885095</c:v>
                </c:pt>
                <c:pt idx="22">
                  <c:v>0.29705175044825732</c:v>
                </c:pt>
                <c:pt idx="23">
                  <c:v>0.26981351458911618</c:v>
                </c:pt>
                <c:pt idx="24">
                  <c:v>0.26787363716675783</c:v>
                </c:pt>
                <c:pt idx="25">
                  <c:v>0.23350524636985723</c:v>
                </c:pt>
                <c:pt idx="26">
                  <c:v>0.22923230573429423</c:v>
                </c:pt>
                <c:pt idx="27">
                  <c:v>0.27652367232687608</c:v>
                </c:pt>
                <c:pt idx="28">
                  <c:v>0.31673347053664769</c:v>
                </c:pt>
                <c:pt idx="29">
                  <c:v>0.31693038831610276</c:v>
                </c:pt>
                <c:pt idx="30">
                  <c:v>0.32554821283648899</c:v>
                </c:pt>
                <c:pt idx="31">
                  <c:v>0.32385432831778949</c:v>
                </c:pt>
                <c:pt idx="32">
                  <c:v>0.33505989014720494</c:v>
                </c:pt>
                <c:pt idx="33">
                  <c:v>0.33494334451383351</c:v>
                </c:pt>
                <c:pt idx="34">
                  <c:v>0.34285774333466756</c:v>
                </c:pt>
                <c:pt idx="35">
                  <c:v>0.34682172526879645</c:v>
                </c:pt>
                <c:pt idx="36">
                  <c:v>0.35157247657360796</c:v>
                </c:pt>
                <c:pt idx="37">
                  <c:v>0.34415907508193694</c:v>
                </c:pt>
                <c:pt idx="38">
                  <c:v>0.35102196607936981</c:v>
                </c:pt>
                <c:pt idx="39">
                  <c:v>0.35165884524212837</c:v>
                </c:pt>
                <c:pt idx="40">
                  <c:v>0.34954300926100268</c:v>
                </c:pt>
                <c:pt idx="41">
                  <c:v>0.35342257771019603</c:v>
                </c:pt>
                <c:pt idx="42">
                  <c:v>0.35685298239298713</c:v>
                </c:pt>
                <c:pt idx="43">
                  <c:v>0.36629755994870733</c:v>
                </c:pt>
                <c:pt idx="44">
                  <c:v>0.36616137340295324</c:v>
                </c:pt>
                <c:pt idx="45">
                  <c:v>0.37700573244378571</c:v>
                </c:pt>
                <c:pt idx="46">
                  <c:v>0.3785764564189471</c:v>
                </c:pt>
                <c:pt idx="47">
                  <c:v>0.34146218438943066</c:v>
                </c:pt>
                <c:pt idx="48">
                  <c:v>0.33450137351607634</c:v>
                </c:pt>
                <c:pt idx="49">
                  <c:v>0.27482396699050338</c:v>
                </c:pt>
                <c:pt idx="50">
                  <c:v>0.29026121517427583</c:v>
                </c:pt>
                <c:pt idx="51">
                  <c:v>0.27226696410859047</c:v>
                </c:pt>
                <c:pt idx="52">
                  <c:v>0.23412389548214271</c:v>
                </c:pt>
                <c:pt idx="53">
                  <c:v>0.23867984444237583</c:v>
                </c:pt>
                <c:pt idx="54">
                  <c:v>0.21615069944658361</c:v>
                </c:pt>
                <c:pt idx="55">
                  <c:v>0.19048633711174232</c:v>
                </c:pt>
                <c:pt idx="56">
                  <c:v>0.21023157442126381</c:v>
                </c:pt>
                <c:pt idx="57">
                  <c:v>0.21454371377842327</c:v>
                </c:pt>
                <c:pt idx="58">
                  <c:v>0.21570584848569685</c:v>
                </c:pt>
                <c:pt idx="59">
                  <c:v>0.22595122367901541</c:v>
                </c:pt>
                <c:pt idx="60">
                  <c:v>0.20423441564425834</c:v>
                </c:pt>
                <c:pt idx="61">
                  <c:v>0.17236495011416439</c:v>
                </c:pt>
                <c:pt idx="62">
                  <c:v>0.18236506088689175</c:v>
                </c:pt>
                <c:pt idx="63">
                  <c:v>0.18527757776749243</c:v>
                </c:pt>
                <c:pt idx="64">
                  <c:v>0.18971406675557781</c:v>
                </c:pt>
                <c:pt idx="65">
                  <c:v>0.20767427305128125</c:v>
                </c:pt>
                <c:pt idx="66">
                  <c:v>0.19375757292046744</c:v>
                </c:pt>
                <c:pt idx="67">
                  <c:v>0.25013516289138682</c:v>
                </c:pt>
                <c:pt idx="68">
                  <c:v>0.26792744460920292</c:v>
                </c:pt>
                <c:pt idx="69">
                  <c:v>0.26565293677003438</c:v>
                </c:pt>
                <c:pt idx="70">
                  <c:v>0.28048287289946461</c:v>
                </c:pt>
                <c:pt idx="71">
                  <c:v>0.28068464777444962</c:v>
                </c:pt>
                <c:pt idx="72">
                  <c:v>0.28064318093533797</c:v>
                </c:pt>
                <c:pt idx="73">
                  <c:v>0.28032570089018694</c:v>
                </c:pt>
                <c:pt idx="74">
                  <c:v>0.29014536007233632</c:v>
                </c:pt>
                <c:pt idx="75">
                  <c:v>0.29018898936782811</c:v>
                </c:pt>
                <c:pt idx="76">
                  <c:v>0.26654349855059761</c:v>
                </c:pt>
                <c:pt idx="77">
                  <c:v>0.25549114915768301</c:v>
                </c:pt>
                <c:pt idx="78">
                  <c:v>0.25590167285720217</c:v>
                </c:pt>
                <c:pt idx="79">
                  <c:v>0.25331941820419007</c:v>
                </c:pt>
                <c:pt idx="80">
                  <c:v>0.28774477733375403</c:v>
                </c:pt>
                <c:pt idx="81">
                  <c:v>0.30015692660493226</c:v>
                </c:pt>
                <c:pt idx="82">
                  <c:v>0.2895970100139173</c:v>
                </c:pt>
                <c:pt idx="83">
                  <c:v>0.28719949717396481</c:v>
                </c:pt>
                <c:pt idx="84">
                  <c:v>0.28789763769743421</c:v>
                </c:pt>
                <c:pt idx="85">
                  <c:v>0.25475834060050229</c:v>
                </c:pt>
                <c:pt idx="86">
                  <c:v>0.26225240413909023</c:v>
                </c:pt>
                <c:pt idx="87">
                  <c:v>0.25364556679327244</c:v>
                </c:pt>
                <c:pt idx="88">
                  <c:v>0.18454126555011968</c:v>
                </c:pt>
                <c:pt idx="89">
                  <c:v>0.15405241805030026</c:v>
                </c:pt>
                <c:pt idx="90">
                  <c:v>0.17401588237671731</c:v>
                </c:pt>
                <c:pt idx="91">
                  <c:v>0.18557235357106094</c:v>
                </c:pt>
                <c:pt idx="92">
                  <c:v>0.15869666492749007</c:v>
                </c:pt>
                <c:pt idx="93">
                  <c:v>0.16326566381920665</c:v>
                </c:pt>
                <c:pt idx="94">
                  <c:v>0.15992364796146696</c:v>
                </c:pt>
                <c:pt idx="95">
                  <c:v>0.16633916798819898</c:v>
                </c:pt>
                <c:pt idx="96">
                  <c:v>0.12590814391633368</c:v>
                </c:pt>
                <c:pt idx="97">
                  <c:v>0.11175144338476539</c:v>
                </c:pt>
                <c:pt idx="98">
                  <c:v>0.10226131304108514</c:v>
                </c:pt>
                <c:pt idx="99">
                  <c:v>0.111099484988289</c:v>
                </c:pt>
                <c:pt idx="100">
                  <c:v>0.12086710790321961</c:v>
                </c:pt>
                <c:pt idx="101">
                  <c:v>0.12380152381017903</c:v>
                </c:pt>
                <c:pt idx="102">
                  <c:v>0.14185315158543976</c:v>
                </c:pt>
                <c:pt idx="103">
                  <c:v>0.14722353206572017</c:v>
                </c:pt>
                <c:pt idx="104">
                  <c:v>0.14196053903940811</c:v>
                </c:pt>
                <c:pt idx="105">
                  <c:v>0.11135095541765429</c:v>
                </c:pt>
                <c:pt idx="106">
                  <c:v>0.12659019610576561</c:v>
                </c:pt>
                <c:pt idx="107">
                  <c:v>0.12906113083597959</c:v>
                </c:pt>
                <c:pt idx="108">
                  <c:v>0.13084610588743967</c:v>
                </c:pt>
                <c:pt idx="109">
                  <c:v>0.15564574242043377</c:v>
                </c:pt>
                <c:pt idx="110">
                  <c:v>0.1474192872302427</c:v>
                </c:pt>
                <c:pt idx="111">
                  <c:v>0.12106769044880886</c:v>
                </c:pt>
                <c:pt idx="112">
                  <c:v>0.26068180432031557</c:v>
                </c:pt>
                <c:pt idx="113">
                  <c:v>0.29895048853530332</c:v>
                </c:pt>
                <c:pt idx="114">
                  <c:v>0.22379132152099249</c:v>
                </c:pt>
                <c:pt idx="115">
                  <c:v>0.13273916509999584</c:v>
                </c:pt>
                <c:pt idx="116">
                  <c:v>0.12534137856534486</c:v>
                </c:pt>
                <c:pt idx="117">
                  <c:v>7.5355638529244498E-2</c:v>
                </c:pt>
                <c:pt idx="118">
                  <c:v>3.310507155796398E-2</c:v>
                </c:pt>
                <c:pt idx="119">
                  <c:v>2.8217339321927378E-2</c:v>
                </c:pt>
                <c:pt idx="120">
                  <c:v>2.4556890880131934E-2</c:v>
                </c:pt>
                <c:pt idx="121">
                  <c:v>2.4296074487695257E-2</c:v>
                </c:pt>
                <c:pt idx="122">
                  <c:v>2.3720897570546763E-3</c:v>
                </c:pt>
                <c:pt idx="123">
                  <c:v>1.5093002146373187E-5</c:v>
                </c:pt>
                <c:pt idx="124">
                  <c:v>1.5677940975419524E-5</c:v>
                </c:pt>
                <c:pt idx="125">
                  <c:v>1.4135861506662227E-5</c:v>
                </c:pt>
                <c:pt idx="126">
                  <c:v>1.4527815133046421E-5</c:v>
                </c:pt>
                <c:pt idx="127">
                  <c:v>1.4804784580742306E-5</c:v>
                </c:pt>
                <c:pt idx="128">
                  <c:v>1.3484995972227648E-5</c:v>
                </c:pt>
                <c:pt idx="129">
                  <c:v>1.1529414255978873E-5</c:v>
                </c:pt>
                <c:pt idx="130">
                  <c:v>2.0194212352209192E-2</c:v>
                </c:pt>
                <c:pt idx="131">
                  <c:v>1.1104773496007581E-5</c:v>
                </c:pt>
                <c:pt idx="132">
                  <c:v>8.7056615983444455E-2</c:v>
                </c:pt>
                <c:pt idx="133">
                  <c:v>8.7137106768211195E-2</c:v>
                </c:pt>
                <c:pt idx="134">
                  <c:v>9.9328957138566265E-2</c:v>
                </c:pt>
                <c:pt idx="135">
                  <c:v>0.1325261095632459</c:v>
                </c:pt>
                <c:pt idx="136">
                  <c:v>0.11903475940068511</c:v>
                </c:pt>
                <c:pt idx="137">
                  <c:v>0.16585384503594056</c:v>
                </c:pt>
                <c:pt idx="138">
                  <c:v>0.17427859402981044</c:v>
                </c:pt>
                <c:pt idx="139">
                  <c:v>0.19841594410569088</c:v>
                </c:pt>
                <c:pt idx="140">
                  <c:v>0.19618734255904755</c:v>
                </c:pt>
                <c:pt idx="141">
                  <c:v>0.20827584556493506</c:v>
                </c:pt>
                <c:pt idx="142">
                  <c:v>0.20550483999799846</c:v>
                </c:pt>
                <c:pt idx="143">
                  <c:v>0.17883638105337898</c:v>
                </c:pt>
                <c:pt idx="144">
                  <c:v>0.20468545554654016</c:v>
                </c:pt>
                <c:pt idx="145">
                  <c:v>0.21246487643285358</c:v>
                </c:pt>
                <c:pt idx="146">
                  <c:v>0.1736188328851471</c:v>
                </c:pt>
                <c:pt idx="147">
                  <c:v>0.17222669847734132</c:v>
                </c:pt>
                <c:pt idx="148">
                  <c:v>0.17468808775879818</c:v>
                </c:pt>
                <c:pt idx="149">
                  <c:v>0.26695871412314687</c:v>
                </c:pt>
                <c:pt idx="150">
                  <c:v>0.43415409834923785</c:v>
                </c:pt>
                <c:pt idx="151">
                  <c:v>0.46327330761896729</c:v>
                </c:pt>
                <c:pt idx="152">
                  <c:v>0.52999840786198171</c:v>
                </c:pt>
                <c:pt idx="153">
                  <c:v>0.60076399982318784</c:v>
                </c:pt>
                <c:pt idx="154">
                  <c:v>0.58216845067775513</c:v>
                </c:pt>
                <c:pt idx="155">
                  <c:v>0.38573236314858772</c:v>
                </c:pt>
                <c:pt idx="156">
                  <c:v>0.35879030674876872</c:v>
                </c:pt>
                <c:pt idx="157">
                  <c:v>0.44804946747214952</c:v>
                </c:pt>
                <c:pt idx="158">
                  <c:v>0.44241845563925847</c:v>
                </c:pt>
                <c:pt idx="159">
                  <c:v>0.46960325843254758</c:v>
                </c:pt>
                <c:pt idx="160">
                  <c:v>0.46911478485281605</c:v>
                </c:pt>
                <c:pt idx="161">
                  <c:v>0.4712700734989092</c:v>
                </c:pt>
                <c:pt idx="162">
                  <c:v>0.44640045818324292</c:v>
                </c:pt>
                <c:pt idx="163">
                  <c:v>0.46953444233192454</c:v>
                </c:pt>
                <c:pt idx="164">
                  <c:v>0.46624196780365912</c:v>
                </c:pt>
                <c:pt idx="165">
                  <c:v>0.47831755223870748</c:v>
                </c:pt>
                <c:pt idx="166">
                  <c:v>0.43709914003430073</c:v>
                </c:pt>
                <c:pt idx="167">
                  <c:v>0.41850214826929355</c:v>
                </c:pt>
                <c:pt idx="168">
                  <c:v>0.40737171948293432</c:v>
                </c:pt>
                <c:pt idx="169">
                  <c:v>0.35065757861217151</c:v>
                </c:pt>
                <c:pt idx="170">
                  <c:v>0.3707178946085829</c:v>
                </c:pt>
                <c:pt idx="171">
                  <c:v>0.37317149727295529</c:v>
                </c:pt>
                <c:pt idx="172">
                  <c:v>0.38999508085613033</c:v>
                </c:pt>
                <c:pt idx="173">
                  <c:v>0.33803592058174764</c:v>
                </c:pt>
                <c:pt idx="174">
                  <c:v>0.35026050297611683</c:v>
                </c:pt>
                <c:pt idx="175">
                  <c:v>0.42244696772591911</c:v>
                </c:pt>
                <c:pt idx="176">
                  <c:v>0.46748178108382688</c:v>
                </c:pt>
                <c:pt idx="177">
                  <c:v>0.44560211113854403</c:v>
                </c:pt>
                <c:pt idx="178">
                  <c:v>0.5022318763904724</c:v>
                </c:pt>
                <c:pt idx="179">
                  <c:v>0.48766547330951743</c:v>
                </c:pt>
                <c:pt idx="180">
                  <c:v>0.48722431242492237</c:v>
                </c:pt>
                <c:pt idx="181">
                  <c:v>0.49242023184095524</c:v>
                </c:pt>
                <c:pt idx="182">
                  <c:v>0.53911870476003132</c:v>
                </c:pt>
                <c:pt idx="183">
                  <c:v>0.52858768320657445</c:v>
                </c:pt>
                <c:pt idx="184">
                  <c:v>0.53859285260383882</c:v>
                </c:pt>
                <c:pt idx="185">
                  <c:v>0.53633660007833006</c:v>
                </c:pt>
                <c:pt idx="186">
                  <c:v>0.54603205863400384</c:v>
                </c:pt>
                <c:pt idx="187">
                  <c:v>0.52337008207563296</c:v>
                </c:pt>
                <c:pt idx="188">
                  <c:v>0.50213234006255969</c:v>
                </c:pt>
                <c:pt idx="189">
                  <c:v>0.51605600065783697</c:v>
                </c:pt>
                <c:pt idx="190">
                  <c:v>0.53443864601700353</c:v>
                </c:pt>
                <c:pt idx="191">
                  <c:v>0.56698469348549485</c:v>
                </c:pt>
                <c:pt idx="192">
                  <c:v>0.57219832530869419</c:v>
                </c:pt>
                <c:pt idx="193">
                  <c:v>0.57529055358674974</c:v>
                </c:pt>
                <c:pt idx="194">
                  <c:v>0.58807650862352268</c:v>
                </c:pt>
                <c:pt idx="195">
                  <c:v>0.57987172706202528</c:v>
                </c:pt>
                <c:pt idx="196">
                  <c:v>0.57034114585379436</c:v>
                </c:pt>
                <c:pt idx="197">
                  <c:v>0.56262268943139027</c:v>
                </c:pt>
                <c:pt idx="198">
                  <c:v>0.53521185434959861</c:v>
                </c:pt>
                <c:pt idx="199">
                  <c:v>0.54943474581337803</c:v>
                </c:pt>
                <c:pt idx="200">
                  <c:v>0.55541723735510939</c:v>
                </c:pt>
                <c:pt idx="201">
                  <c:v>0.55580597284693811</c:v>
                </c:pt>
                <c:pt idx="202">
                  <c:v>0.54957053761542218</c:v>
                </c:pt>
                <c:pt idx="203">
                  <c:v>0.55767232416698709</c:v>
                </c:pt>
                <c:pt idx="204">
                  <c:v>0.53933595366942533</c:v>
                </c:pt>
                <c:pt idx="205">
                  <c:v>0.53768434460083847</c:v>
                </c:pt>
                <c:pt idx="206">
                  <c:v>0.52900263810403114</c:v>
                </c:pt>
                <c:pt idx="207">
                  <c:v>0.55145861092923021</c:v>
                </c:pt>
                <c:pt idx="208">
                  <c:v>0.59621391887650566</c:v>
                </c:pt>
                <c:pt idx="209">
                  <c:v>0.58513921080935494</c:v>
                </c:pt>
                <c:pt idx="210">
                  <c:v>0.56259732462682932</c:v>
                </c:pt>
                <c:pt idx="211">
                  <c:v>0.47026484025308157</c:v>
                </c:pt>
                <c:pt idx="212">
                  <c:v>0.45151123483151873</c:v>
                </c:pt>
                <c:pt idx="213">
                  <c:v>0.512082267107277</c:v>
                </c:pt>
                <c:pt idx="214">
                  <c:v>0.4779312619090248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0B-4CAF-8E73-CFE58C75D8F0}"/>
            </c:ext>
          </c:extLst>
        </c:ser>
        <c:ser>
          <c:idx val="1"/>
          <c:order val="1"/>
          <c:tx>
            <c:strRef>
              <c:f>figure!$C$1</c:f>
              <c:strCache>
                <c:ptCount val="1"/>
                <c:pt idx="0">
                  <c:v>中证500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figure!$A$3:$A$217</c:f>
              <c:numCache>
                <c:formatCode>m/d/yyyy</c:formatCode>
                <c:ptCount val="215"/>
                <c:pt idx="0">
                  <c:v>41715.5</c:v>
                </c:pt>
                <c:pt idx="1">
                  <c:v>41722.5</c:v>
                </c:pt>
                <c:pt idx="2">
                  <c:v>41729.5</c:v>
                </c:pt>
                <c:pt idx="3">
                  <c:v>41736</c:v>
                </c:pt>
                <c:pt idx="4">
                  <c:v>41743.5</c:v>
                </c:pt>
                <c:pt idx="5">
                  <c:v>41750.5</c:v>
                </c:pt>
                <c:pt idx="6">
                  <c:v>41757.5</c:v>
                </c:pt>
                <c:pt idx="7">
                  <c:v>41764.5</c:v>
                </c:pt>
                <c:pt idx="8">
                  <c:v>41771.5</c:v>
                </c:pt>
                <c:pt idx="9">
                  <c:v>41778.5</c:v>
                </c:pt>
                <c:pt idx="10">
                  <c:v>41785.5</c:v>
                </c:pt>
                <c:pt idx="11">
                  <c:v>41792.5</c:v>
                </c:pt>
                <c:pt idx="12">
                  <c:v>41799.5</c:v>
                </c:pt>
                <c:pt idx="13">
                  <c:v>41806.5</c:v>
                </c:pt>
                <c:pt idx="14">
                  <c:v>41813.5</c:v>
                </c:pt>
                <c:pt idx="15">
                  <c:v>41820.5</c:v>
                </c:pt>
                <c:pt idx="16">
                  <c:v>41826.5</c:v>
                </c:pt>
                <c:pt idx="17">
                  <c:v>41834.5</c:v>
                </c:pt>
                <c:pt idx="18">
                  <c:v>41841.5</c:v>
                </c:pt>
                <c:pt idx="19">
                  <c:v>41847</c:v>
                </c:pt>
                <c:pt idx="20">
                  <c:v>41855.5</c:v>
                </c:pt>
                <c:pt idx="21">
                  <c:v>41862.5</c:v>
                </c:pt>
                <c:pt idx="22">
                  <c:v>41869.5</c:v>
                </c:pt>
                <c:pt idx="23">
                  <c:v>41876.5</c:v>
                </c:pt>
                <c:pt idx="24">
                  <c:v>41883.5</c:v>
                </c:pt>
                <c:pt idx="25">
                  <c:v>41890.5</c:v>
                </c:pt>
                <c:pt idx="26">
                  <c:v>41897.5</c:v>
                </c:pt>
                <c:pt idx="27">
                  <c:v>41904.5</c:v>
                </c:pt>
                <c:pt idx="28">
                  <c:v>41911.5</c:v>
                </c:pt>
                <c:pt idx="29">
                  <c:v>41918.5</c:v>
                </c:pt>
                <c:pt idx="30">
                  <c:v>41925.5</c:v>
                </c:pt>
                <c:pt idx="31">
                  <c:v>41932.5</c:v>
                </c:pt>
                <c:pt idx="32">
                  <c:v>41938.5</c:v>
                </c:pt>
                <c:pt idx="33">
                  <c:v>41946.5</c:v>
                </c:pt>
                <c:pt idx="34">
                  <c:v>41953.5</c:v>
                </c:pt>
                <c:pt idx="35">
                  <c:v>41960.5</c:v>
                </c:pt>
                <c:pt idx="36">
                  <c:v>41967.5</c:v>
                </c:pt>
                <c:pt idx="37">
                  <c:v>41974.5</c:v>
                </c:pt>
                <c:pt idx="38">
                  <c:v>41980</c:v>
                </c:pt>
                <c:pt idx="39">
                  <c:v>41987</c:v>
                </c:pt>
                <c:pt idx="40">
                  <c:v>41995.5</c:v>
                </c:pt>
                <c:pt idx="41">
                  <c:v>42002.5</c:v>
                </c:pt>
                <c:pt idx="42">
                  <c:v>42009.5</c:v>
                </c:pt>
                <c:pt idx="43">
                  <c:v>42016.5</c:v>
                </c:pt>
                <c:pt idx="44">
                  <c:v>42023.5</c:v>
                </c:pt>
                <c:pt idx="45">
                  <c:v>42030.5</c:v>
                </c:pt>
                <c:pt idx="46">
                  <c:v>42037.5</c:v>
                </c:pt>
                <c:pt idx="47">
                  <c:v>42044.5</c:v>
                </c:pt>
                <c:pt idx="48">
                  <c:v>42051.5</c:v>
                </c:pt>
                <c:pt idx="49">
                  <c:v>42058</c:v>
                </c:pt>
                <c:pt idx="50">
                  <c:v>42065.5</c:v>
                </c:pt>
                <c:pt idx="51">
                  <c:v>42071.5</c:v>
                </c:pt>
                <c:pt idx="52">
                  <c:v>42079.5</c:v>
                </c:pt>
                <c:pt idx="53">
                  <c:v>42086.5</c:v>
                </c:pt>
                <c:pt idx="54">
                  <c:v>42093.5</c:v>
                </c:pt>
                <c:pt idx="55">
                  <c:v>42100.5</c:v>
                </c:pt>
                <c:pt idx="56">
                  <c:v>42107.5</c:v>
                </c:pt>
                <c:pt idx="57">
                  <c:v>42114.5</c:v>
                </c:pt>
                <c:pt idx="58">
                  <c:v>42120</c:v>
                </c:pt>
                <c:pt idx="59">
                  <c:v>42128.5</c:v>
                </c:pt>
                <c:pt idx="60">
                  <c:v>42135.5</c:v>
                </c:pt>
                <c:pt idx="61">
                  <c:v>42142.5</c:v>
                </c:pt>
                <c:pt idx="62">
                  <c:v>42149.5</c:v>
                </c:pt>
                <c:pt idx="63">
                  <c:v>42156.5</c:v>
                </c:pt>
                <c:pt idx="64">
                  <c:v>42163.5</c:v>
                </c:pt>
                <c:pt idx="65">
                  <c:v>42170.5</c:v>
                </c:pt>
                <c:pt idx="66">
                  <c:v>42177.5</c:v>
                </c:pt>
                <c:pt idx="67">
                  <c:v>42183.5</c:v>
                </c:pt>
                <c:pt idx="68">
                  <c:v>42191</c:v>
                </c:pt>
                <c:pt idx="69">
                  <c:v>42198.5</c:v>
                </c:pt>
                <c:pt idx="70">
                  <c:v>42205.5</c:v>
                </c:pt>
                <c:pt idx="71">
                  <c:v>42211.5</c:v>
                </c:pt>
                <c:pt idx="72">
                  <c:v>42219.5</c:v>
                </c:pt>
                <c:pt idx="73">
                  <c:v>42226.5</c:v>
                </c:pt>
                <c:pt idx="74">
                  <c:v>42233.5</c:v>
                </c:pt>
                <c:pt idx="75">
                  <c:v>42240.5</c:v>
                </c:pt>
                <c:pt idx="76">
                  <c:v>42247.5</c:v>
                </c:pt>
                <c:pt idx="77">
                  <c:v>42254.5</c:v>
                </c:pt>
                <c:pt idx="78">
                  <c:v>42261.5</c:v>
                </c:pt>
                <c:pt idx="79">
                  <c:v>42268.5</c:v>
                </c:pt>
                <c:pt idx="80">
                  <c:v>42275.5</c:v>
                </c:pt>
                <c:pt idx="81">
                  <c:v>42282.5</c:v>
                </c:pt>
                <c:pt idx="82">
                  <c:v>42289.5</c:v>
                </c:pt>
                <c:pt idx="83">
                  <c:v>42296.5</c:v>
                </c:pt>
                <c:pt idx="84">
                  <c:v>42303</c:v>
                </c:pt>
                <c:pt idx="85">
                  <c:v>42310.5</c:v>
                </c:pt>
                <c:pt idx="86">
                  <c:v>42316.5</c:v>
                </c:pt>
                <c:pt idx="87">
                  <c:v>42324.5</c:v>
                </c:pt>
                <c:pt idx="88">
                  <c:v>42331.5</c:v>
                </c:pt>
                <c:pt idx="89">
                  <c:v>42338.5</c:v>
                </c:pt>
                <c:pt idx="90">
                  <c:v>42348</c:v>
                </c:pt>
                <c:pt idx="91">
                  <c:v>42356</c:v>
                </c:pt>
                <c:pt idx="92">
                  <c:v>42363</c:v>
                </c:pt>
                <c:pt idx="93">
                  <c:v>42370</c:v>
                </c:pt>
                <c:pt idx="94">
                  <c:v>42377</c:v>
                </c:pt>
                <c:pt idx="95">
                  <c:v>42384</c:v>
                </c:pt>
                <c:pt idx="96">
                  <c:v>42391</c:v>
                </c:pt>
                <c:pt idx="97">
                  <c:v>42398</c:v>
                </c:pt>
                <c:pt idx="98">
                  <c:v>42405</c:v>
                </c:pt>
                <c:pt idx="99">
                  <c:v>42412</c:v>
                </c:pt>
                <c:pt idx="100">
                  <c:v>42419</c:v>
                </c:pt>
                <c:pt idx="101">
                  <c:v>42426</c:v>
                </c:pt>
                <c:pt idx="102">
                  <c:v>42433</c:v>
                </c:pt>
                <c:pt idx="103">
                  <c:v>42439.5</c:v>
                </c:pt>
                <c:pt idx="104">
                  <c:v>42447</c:v>
                </c:pt>
                <c:pt idx="105">
                  <c:v>42454</c:v>
                </c:pt>
                <c:pt idx="106">
                  <c:v>42460</c:v>
                </c:pt>
                <c:pt idx="107">
                  <c:v>42468</c:v>
                </c:pt>
                <c:pt idx="108">
                  <c:v>42475</c:v>
                </c:pt>
                <c:pt idx="109">
                  <c:v>42485.5</c:v>
                </c:pt>
                <c:pt idx="110">
                  <c:v>42492.5</c:v>
                </c:pt>
                <c:pt idx="111">
                  <c:v>42499.5</c:v>
                </c:pt>
                <c:pt idx="112">
                  <c:v>42506.5</c:v>
                </c:pt>
                <c:pt idx="113">
                  <c:v>42513.5</c:v>
                </c:pt>
                <c:pt idx="114">
                  <c:v>42520.5</c:v>
                </c:pt>
                <c:pt idx="115">
                  <c:v>42527.5</c:v>
                </c:pt>
                <c:pt idx="116">
                  <c:v>42534.5</c:v>
                </c:pt>
                <c:pt idx="117">
                  <c:v>42541.5</c:v>
                </c:pt>
                <c:pt idx="118">
                  <c:v>42548.5</c:v>
                </c:pt>
                <c:pt idx="119">
                  <c:v>42555.5</c:v>
                </c:pt>
                <c:pt idx="120">
                  <c:v>42561.5</c:v>
                </c:pt>
                <c:pt idx="121">
                  <c:v>42569.5</c:v>
                </c:pt>
                <c:pt idx="122">
                  <c:v>42576.5</c:v>
                </c:pt>
                <c:pt idx="123">
                  <c:v>42587</c:v>
                </c:pt>
                <c:pt idx="124">
                  <c:v>42594</c:v>
                </c:pt>
                <c:pt idx="125">
                  <c:v>42600</c:v>
                </c:pt>
                <c:pt idx="126">
                  <c:v>42608</c:v>
                </c:pt>
                <c:pt idx="127">
                  <c:v>42615</c:v>
                </c:pt>
                <c:pt idx="128">
                  <c:v>42622</c:v>
                </c:pt>
                <c:pt idx="129">
                  <c:v>42629</c:v>
                </c:pt>
                <c:pt idx="130">
                  <c:v>42636</c:v>
                </c:pt>
                <c:pt idx="131">
                  <c:v>42643</c:v>
                </c:pt>
                <c:pt idx="132">
                  <c:v>42650</c:v>
                </c:pt>
                <c:pt idx="133">
                  <c:v>42657</c:v>
                </c:pt>
                <c:pt idx="134">
                  <c:v>42664</c:v>
                </c:pt>
                <c:pt idx="135">
                  <c:v>42671</c:v>
                </c:pt>
                <c:pt idx="136">
                  <c:v>42678</c:v>
                </c:pt>
                <c:pt idx="137">
                  <c:v>42685</c:v>
                </c:pt>
                <c:pt idx="138">
                  <c:v>42691.5</c:v>
                </c:pt>
                <c:pt idx="139">
                  <c:v>42698</c:v>
                </c:pt>
                <c:pt idx="140">
                  <c:v>42706</c:v>
                </c:pt>
                <c:pt idx="141">
                  <c:v>42713</c:v>
                </c:pt>
                <c:pt idx="142">
                  <c:v>42723.5</c:v>
                </c:pt>
                <c:pt idx="143">
                  <c:v>42730.5</c:v>
                </c:pt>
                <c:pt idx="144">
                  <c:v>42737.5</c:v>
                </c:pt>
                <c:pt idx="145">
                  <c:v>42744.5</c:v>
                </c:pt>
                <c:pt idx="146">
                  <c:v>42751.5</c:v>
                </c:pt>
                <c:pt idx="147">
                  <c:v>42758.5</c:v>
                </c:pt>
                <c:pt idx="148">
                  <c:v>42765.5</c:v>
                </c:pt>
                <c:pt idx="149">
                  <c:v>42772.5</c:v>
                </c:pt>
                <c:pt idx="150">
                  <c:v>42779.5</c:v>
                </c:pt>
                <c:pt idx="151">
                  <c:v>42786.5</c:v>
                </c:pt>
                <c:pt idx="152">
                  <c:v>42793.5</c:v>
                </c:pt>
                <c:pt idx="153">
                  <c:v>42800.5</c:v>
                </c:pt>
                <c:pt idx="154">
                  <c:v>42807.5</c:v>
                </c:pt>
                <c:pt idx="155">
                  <c:v>42814.5</c:v>
                </c:pt>
                <c:pt idx="156">
                  <c:v>42821.5</c:v>
                </c:pt>
                <c:pt idx="157">
                  <c:v>42828</c:v>
                </c:pt>
                <c:pt idx="158">
                  <c:v>42835.5</c:v>
                </c:pt>
                <c:pt idx="159">
                  <c:v>42842.5</c:v>
                </c:pt>
                <c:pt idx="160">
                  <c:v>42849.5</c:v>
                </c:pt>
                <c:pt idx="161">
                  <c:v>42856.5</c:v>
                </c:pt>
                <c:pt idx="162">
                  <c:v>42863.5</c:v>
                </c:pt>
                <c:pt idx="163">
                  <c:v>42870.5</c:v>
                </c:pt>
                <c:pt idx="164">
                  <c:v>42877.5</c:v>
                </c:pt>
                <c:pt idx="165">
                  <c:v>42884.5</c:v>
                </c:pt>
                <c:pt idx="166">
                  <c:v>42891.5</c:v>
                </c:pt>
                <c:pt idx="167">
                  <c:v>42898.5</c:v>
                </c:pt>
                <c:pt idx="168">
                  <c:v>42905.5</c:v>
                </c:pt>
                <c:pt idx="169">
                  <c:v>42912.5</c:v>
                </c:pt>
                <c:pt idx="170">
                  <c:v>42919.5</c:v>
                </c:pt>
                <c:pt idx="171">
                  <c:v>42926.5</c:v>
                </c:pt>
                <c:pt idx="172">
                  <c:v>42933.5</c:v>
                </c:pt>
                <c:pt idx="173">
                  <c:v>42940.5</c:v>
                </c:pt>
                <c:pt idx="174">
                  <c:v>42951</c:v>
                </c:pt>
                <c:pt idx="175">
                  <c:v>42958</c:v>
                </c:pt>
                <c:pt idx="176">
                  <c:v>42965</c:v>
                </c:pt>
                <c:pt idx="177">
                  <c:v>42972</c:v>
                </c:pt>
                <c:pt idx="178">
                  <c:v>42979</c:v>
                </c:pt>
                <c:pt idx="179">
                  <c:v>42986</c:v>
                </c:pt>
                <c:pt idx="180">
                  <c:v>42993</c:v>
                </c:pt>
                <c:pt idx="181">
                  <c:v>43000</c:v>
                </c:pt>
                <c:pt idx="182">
                  <c:v>43007</c:v>
                </c:pt>
                <c:pt idx="183">
                  <c:v>43014</c:v>
                </c:pt>
                <c:pt idx="184">
                  <c:v>43021</c:v>
                </c:pt>
                <c:pt idx="185">
                  <c:v>43028</c:v>
                </c:pt>
                <c:pt idx="186">
                  <c:v>43035</c:v>
                </c:pt>
                <c:pt idx="187">
                  <c:v>43042</c:v>
                </c:pt>
                <c:pt idx="188">
                  <c:v>43049</c:v>
                </c:pt>
                <c:pt idx="189">
                  <c:v>43056</c:v>
                </c:pt>
                <c:pt idx="190">
                  <c:v>43063</c:v>
                </c:pt>
                <c:pt idx="191">
                  <c:v>43070</c:v>
                </c:pt>
                <c:pt idx="192">
                  <c:v>43076</c:v>
                </c:pt>
                <c:pt idx="193">
                  <c:v>43087.5</c:v>
                </c:pt>
                <c:pt idx="194">
                  <c:v>43094.5</c:v>
                </c:pt>
                <c:pt idx="195">
                  <c:v>43101.5</c:v>
                </c:pt>
                <c:pt idx="196">
                  <c:v>43108.5</c:v>
                </c:pt>
                <c:pt idx="197">
                  <c:v>43115.5</c:v>
                </c:pt>
                <c:pt idx="198">
                  <c:v>43122.5</c:v>
                </c:pt>
                <c:pt idx="199">
                  <c:v>43128.5</c:v>
                </c:pt>
                <c:pt idx="200">
                  <c:v>43136.5</c:v>
                </c:pt>
                <c:pt idx="201">
                  <c:v>43143.5</c:v>
                </c:pt>
                <c:pt idx="202">
                  <c:v>43150.5</c:v>
                </c:pt>
                <c:pt idx="203">
                  <c:v>43157.5</c:v>
                </c:pt>
                <c:pt idx="204">
                  <c:v>43164.5</c:v>
                </c:pt>
                <c:pt idx="205">
                  <c:v>43171.5</c:v>
                </c:pt>
                <c:pt idx="206">
                  <c:v>43178.5</c:v>
                </c:pt>
                <c:pt idx="207">
                  <c:v>43185.5</c:v>
                </c:pt>
                <c:pt idx="208">
                  <c:v>43192.5</c:v>
                </c:pt>
                <c:pt idx="209">
                  <c:v>43199.5</c:v>
                </c:pt>
                <c:pt idx="210">
                  <c:v>43206.5</c:v>
                </c:pt>
                <c:pt idx="211">
                  <c:v>43212.5</c:v>
                </c:pt>
                <c:pt idx="212">
                  <c:v>43220.5</c:v>
                </c:pt>
                <c:pt idx="213">
                  <c:v>43227.5</c:v>
                </c:pt>
                <c:pt idx="214">
                  <c:v>43234.5</c:v>
                </c:pt>
              </c:numCache>
            </c:numRef>
          </c:cat>
          <c:val>
            <c:numRef>
              <c:f>figure!$C$3:$C$217</c:f>
              <c:numCache>
                <c:formatCode>0.00%</c:formatCode>
                <c:ptCount val="215"/>
                <c:pt idx="0">
                  <c:v>1.9381378000691271E-5</c:v>
                </c:pt>
                <c:pt idx="1">
                  <c:v>2.3202449381807135E-5</c:v>
                </c:pt>
                <c:pt idx="2">
                  <c:v>1.6410502019406802E-5</c:v>
                </c:pt>
                <c:pt idx="3">
                  <c:v>1.6645277964376374E-5</c:v>
                </c:pt>
                <c:pt idx="4">
                  <c:v>2.0202698433150935E-5</c:v>
                </c:pt>
                <c:pt idx="5">
                  <c:v>2.1743490952252399E-5</c:v>
                </c:pt>
                <c:pt idx="6">
                  <c:v>1.8205867700739899E-5</c:v>
                </c:pt>
                <c:pt idx="7">
                  <c:v>1.7101978050583137E-5</c:v>
                </c:pt>
                <c:pt idx="8">
                  <c:v>1.7919176549766837E-5</c:v>
                </c:pt>
                <c:pt idx="9">
                  <c:v>1.854772279361667E-5</c:v>
                </c:pt>
                <c:pt idx="10">
                  <c:v>2.0930845253370271E-5</c:v>
                </c:pt>
                <c:pt idx="11">
                  <c:v>1.6410945500265294E-5</c:v>
                </c:pt>
                <c:pt idx="12">
                  <c:v>1.8202444602591538E-5</c:v>
                </c:pt>
                <c:pt idx="13">
                  <c:v>1.6687858615066285E-5</c:v>
                </c:pt>
                <c:pt idx="14">
                  <c:v>2.2728695998180065E-5</c:v>
                </c:pt>
                <c:pt idx="15">
                  <c:v>1.6793551130423843E-5</c:v>
                </c:pt>
                <c:pt idx="16">
                  <c:v>1.7169053288587889E-5</c:v>
                </c:pt>
                <c:pt idx="17">
                  <c:v>2.3055654820946973E-5</c:v>
                </c:pt>
                <c:pt idx="18">
                  <c:v>2.1999838880389897E-5</c:v>
                </c:pt>
                <c:pt idx="19">
                  <c:v>1.7350492897501133E-5</c:v>
                </c:pt>
                <c:pt idx="20">
                  <c:v>1.8484255876773828E-5</c:v>
                </c:pt>
                <c:pt idx="21">
                  <c:v>2.0925099328577197E-5</c:v>
                </c:pt>
                <c:pt idx="22">
                  <c:v>2.2407403357957211E-5</c:v>
                </c:pt>
                <c:pt idx="23">
                  <c:v>1.7363616939492653E-5</c:v>
                </c:pt>
                <c:pt idx="24">
                  <c:v>1.6822143883935903E-5</c:v>
                </c:pt>
                <c:pt idx="25">
                  <c:v>2.3197676810785945E-5</c:v>
                </c:pt>
                <c:pt idx="26">
                  <c:v>2.314554036593928E-5</c:v>
                </c:pt>
                <c:pt idx="27">
                  <c:v>1.7384227984092374E-5</c:v>
                </c:pt>
                <c:pt idx="28">
                  <c:v>2.1049287606752736E-5</c:v>
                </c:pt>
                <c:pt idx="29">
                  <c:v>1.6828622900412425E-5</c:v>
                </c:pt>
                <c:pt idx="30">
                  <c:v>1.8064924534167013E-5</c:v>
                </c:pt>
                <c:pt idx="31">
                  <c:v>1.8003897059583161E-5</c:v>
                </c:pt>
                <c:pt idx="32">
                  <c:v>1.8587232584839084E-5</c:v>
                </c:pt>
                <c:pt idx="33">
                  <c:v>1.9651794728075119E-5</c:v>
                </c:pt>
                <c:pt idx="34">
                  <c:v>2.0188429957938668E-5</c:v>
                </c:pt>
                <c:pt idx="35">
                  <c:v>2.2204469207182069E-5</c:v>
                </c:pt>
                <c:pt idx="36">
                  <c:v>2.0838897125626153E-5</c:v>
                </c:pt>
                <c:pt idx="37">
                  <c:v>1.6688370481219972E-5</c:v>
                </c:pt>
                <c:pt idx="38">
                  <c:v>1.63551714063641E-5</c:v>
                </c:pt>
                <c:pt idx="39">
                  <c:v>1.6455973630077132E-5</c:v>
                </c:pt>
                <c:pt idx="40">
                  <c:v>2.1614185809300336E-5</c:v>
                </c:pt>
                <c:pt idx="41">
                  <c:v>1.8528481489441646E-5</c:v>
                </c:pt>
                <c:pt idx="42">
                  <c:v>1.7382286031707628E-5</c:v>
                </c:pt>
                <c:pt idx="43">
                  <c:v>1.9072471746572273E-5</c:v>
                </c:pt>
                <c:pt idx="44">
                  <c:v>2.2869693964768551E-5</c:v>
                </c:pt>
                <c:pt idx="45">
                  <c:v>2.0068048747462093E-5</c:v>
                </c:pt>
                <c:pt idx="46">
                  <c:v>2.2367026035301618E-5</c:v>
                </c:pt>
                <c:pt idx="47">
                  <c:v>2.1335141142441584E-5</c:v>
                </c:pt>
                <c:pt idx="48">
                  <c:v>2.1271760162466495E-5</c:v>
                </c:pt>
                <c:pt idx="49">
                  <c:v>0.29750317775846524</c:v>
                </c:pt>
                <c:pt idx="50">
                  <c:v>1.7145696127783966E-5</c:v>
                </c:pt>
                <c:pt idx="51">
                  <c:v>1.6376259632676697E-5</c:v>
                </c:pt>
                <c:pt idx="52">
                  <c:v>1.9524177563509914E-5</c:v>
                </c:pt>
                <c:pt idx="53">
                  <c:v>1.8421536975082016E-5</c:v>
                </c:pt>
                <c:pt idx="54">
                  <c:v>1.9771988296742703E-5</c:v>
                </c:pt>
                <c:pt idx="55">
                  <c:v>1.6797439883597387E-5</c:v>
                </c:pt>
                <c:pt idx="56">
                  <c:v>1.7886009600593776E-5</c:v>
                </c:pt>
                <c:pt idx="57">
                  <c:v>1.7294260767512585E-5</c:v>
                </c:pt>
                <c:pt idx="58">
                  <c:v>1.6632465219335161E-5</c:v>
                </c:pt>
                <c:pt idx="59">
                  <c:v>1.9169224763778131E-5</c:v>
                </c:pt>
                <c:pt idx="60">
                  <c:v>2.0153154006532877E-5</c:v>
                </c:pt>
                <c:pt idx="61">
                  <c:v>3.9887733929216261E-2</c:v>
                </c:pt>
                <c:pt idx="62">
                  <c:v>1.851380362280422E-2</c:v>
                </c:pt>
                <c:pt idx="63">
                  <c:v>1.3924678928401947E-2</c:v>
                </c:pt>
                <c:pt idx="64">
                  <c:v>1.7666975570410341E-5</c:v>
                </c:pt>
                <c:pt idx="65">
                  <c:v>2.1871362159508011E-5</c:v>
                </c:pt>
                <c:pt idx="66">
                  <c:v>1.7290689912061686E-5</c:v>
                </c:pt>
                <c:pt idx="67">
                  <c:v>1.968953048438562E-5</c:v>
                </c:pt>
                <c:pt idx="68">
                  <c:v>2.1934473759477135E-5</c:v>
                </c:pt>
                <c:pt idx="69">
                  <c:v>2.2098367577029362E-5</c:v>
                </c:pt>
                <c:pt idx="70">
                  <c:v>2.2740856151669751E-5</c:v>
                </c:pt>
                <c:pt idx="71">
                  <c:v>2.1546865532821972E-5</c:v>
                </c:pt>
                <c:pt idx="72">
                  <c:v>2.1460920532159784E-5</c:v>
                </c:pt>
                <c:pt idx="73">
                  <c:v>2.1784678523964954E-5</c:v>
                </c:pt>
                <c:pt idx="74">
                  <c:v>1.945416278391168E-5</c:v>
                </c:pt>
                <c:pt idx="75">
                  <c:v>2.6514448760175569E-5</c:v>
                </c:pt>
                <c:pt idx="76">
                  <c:v>7.4610207640988272E-3</c:v>
                </c:pt>
                <c:pt idx="77">
                  <c:v>1.3249221978172973E-2</c:v>
                </c:pt>
                <c:pt idx="78">
                  <c:v>9.6002459000902231E-3</c:v>
                </c:pt>
                <c:pt idx="79">
                  <c:v>3.2379136237509008E-2</c:v>
                </c:pt>
                <c:pt idx="80">
                  <c:v>1.7530644187921508E-5</c:v>
                </c:pt>
                <c:pt idx="81">
                  <c:v>2.0035434404945115E-5</c:v>
                </c:pt>
                <c:pt idx="82">
                  <c:v>2.1311665699126414E-5</c:v>
                </c:pt>
                <c:pt idx="83">
                  <c:v>2.2069385865044068E-5</c:v>
                </c:pt>
                <c:pt idx="84">
                  <c:v>1.8126136316331879E-5</c:v>
                </c:pt>
                <c:pt idx="85">
                  <c:v>2.091408587904593E-5</c:v>
                </c:pt>
                <c:pt idx="86">
                  <c:v>1.9326986318117936E-5</c:v>
                </c:pt>
                <c:pt idx="87">
                  <c:v>1.900126975731525E-5</c:v>
                </c:pt>
                <c:pt idx="88">
                  <c:v>2.0652969053390373E-5</c:v>
                </c:pt>
                <c:pt idx="89">
                  <c:v>4.9663731639853718E-3</c:v>
                </c:pt>
                <c:pt idx="90">
                  <c:v>2.2335271950928365E-5</c:v>
                </c:pt>
                <c:pt idx="91">
                  <c:v>2.0592544925715501E-5</c:v>
                </c:pt>
                <c:pt idx="92">
                  <c:v>2.0701834612118875E-5</c:v>
                </c:pt>
                <c:pt idx="93">
                  <c:v>2.0610401063778275E-5</c:v>
                </c:pt>
                <c:pt idx="94">
                  <c:v>1.8089297441493069E-5</c:v>
                </c:pt>
                <c:pt idx="95">
                  <c:v>2.1754505148870394E-5</c:v>
                </c:pt>
                <c:pt idx="96">
                  <c:v>3.6553554446940587E-4</c:v>
                </c:pt>
                <c:pt idx="97">
                  <c:v>1.7903624320595104E-5</c:v>
                </c:pt>
                <c:pt idx="98">
                  <c:v>2.2903309882118942E-5</c:v>
                </c:pt>
                <c:pt idx="99">
                  <c:v>2.2207649722732707E-5</c:v>
                </c:pt>
                <c:pt idx="100">
                  <c:v>1.9990213357108707E-5</c:v>
                </c:pt>
                <c:pt idx="101">
                  <c:v>1.9608434319202367E-5</c:v>
                </c:pt>
                <c:pt idx="102">
                  <c:v>2.1701165329950821E-5</c:v>
                </c:pt>
                <c:pt idx="103">
                  <c:v>1.9998433246811945E-5</c:v>
                </c:pt>
                <c:pt idx="104">
                  <c:v>2.1401562657587914E-5</c:v>
                </c:pt>
                <c:pt idx="105">
                  <c:v>5.147462542925163E-2</c:v>
                </c:pt>
                <c:pt idx="106">
                  <c:v>8.4695995269012156E-2</c:v>
                </c:pt>
                <c:pt idx="107">
                  <c:v>3.4673627661294233E-2</c:v>
                </c:pt>
                <c:pt idx="108">
                  <c:v>2.8564063926926141E-2</c:v>
                </c:pt>
                <c:pt idx="109">
                  <c:v>1.6767294351099586E-5</c:v>
                </c:pt>
                <c:pt idx="110">
                  <c:v>2.3036441404548195E-2</c:v>
                </c:pt>
                <c:pt idx="111">
                  <c:v>9.0467677914007602E-2</c:v>
                </c:pt>
                <c:pt idx="112">
                  <c:v>2.03265934048958E-5</c:v>
                </c:pt>
                <c:pt idx="113">
                  <c:v>2.1574229432659286E-5</c:v>
                </c:pt>
                <c:pt idx="114">
                  <c:v>0.11830584990368948</c:v>
                </c:pt>
                <c:pt idx="115">
                  <c:v>0.20364816653969833</c:v>
                </c:pt>
                <c:pt idx="116">
                  <c:v>0.19984754026196236</c:v>
                </c:pt>
                <c:pt idx="117">
                  <c:v>0.24884237624188016</c:v>
                </c:pt>
                <c:pt idx="118">
                  <c:v>0.30746106330220302</c:v>
                </c:pt>
                <c:pt idx="119">
                  <c:v>0.31108292449451991</c:v>
                </c:pt>
                <c:pt idx="120">
                  <c:v>0.35509523776586249</c:v>
                </c:pt>
                <c:pt idx="121">
                  <c:v>0.37274279753070338</c:v>
                </c:pt>
                <c:pt idx="122">
                  <c:v>0.3615823157776995</c:v>
                </c:pt>
                <c:pt idx="123">
                  <c:v>0.36520562267601442</c:v>
                </c:pt>
                <c:pt idx="124">
                  <c:v>0.37094282038342574</c:v>
                </c:pt>
                <c:pt idx="125">
                  <c:v>0.38819410311070274</c:v>
                </c:pt>
                <c:pt idx="126">
                  <c:v>0.39926339518973014</c:v>
                </c:pt>
                <c:pt idx="127">
                  <c:v>0.43597186242761438</c:v>
                </c:pt>
                <c:pt idx="128">
                  <c:v>0.48721522668724304</c:v>
                </c:pt>
                <c:pt idx="129">
                  <c:v>0.50875269757420394</c:v>
                </c:pt>
                <c:pt idx="130">
                  <c:v>0.44167826332637505</c:v>
                </c:pt>
                <c:pt idx="131">
                  <c:v>0.61006594356258792</c:v>
                </c:pt>
                <c:pt idx="132">
                  <c:v>0.3917169721397718</c:v>
                </c:pt>
                <c:pt idx="133">
                  <c:v>0.28775192231531738</c:v>
                </c:pt>
                <c:pt idx="134">
                  <c:v>0.23998053606090344</c:v>
                </c:pt>
                <c:pt idx="135">
                  <c:v>0.20061976748412078</c:v>
                </c:pt>
                <c:pt idx="136">
                  <c:v>0.18426078370865059</c:v>
                </c:pt>
                <c:pt idx="137">
                  <c:v>0.37523470049325958</c:v>
                </c:pt>
                <c:pt idx="138">
                  <c:v>0.37496376283866156</c:v>
                </c:pt>
                <c:pt idx="139">
                  <c:v>0.30211348518445891</c:v>
                </c:pt>
                <c:pt idx="140">
                  <c:v>0.32218226654038606</c:v>
                </c:pt>
                <c:pt idx="141">
                  <c:v>0.24122486809666502</c:v>
                </c:pt>
                <c:pt idx="142">
                  <c:v>0.26200439310386087</c:v>
                </c:pt>
                <c:pt idx="143">
                  <c:v>0.31051872118025825</c:v>
                </c:pt>
                <c:pt idx="144">
                  <c:v>0.19613368181898444</c:v>
                </c:pt>
                <c:pt idx="145">
                  <c:v>0.1731362915820602</c:v>
                </c:pt>
                <c:pt idx="146">
                  <c:v>0.52902019574165271</c:v>
                </c:pt>
                <c:pt idx="147">
                  <c:v>0.61070225384895316</c:v>
                </c:pt>
                <c:pt idx="148">
                  <c:v>0.58277332598271592</c:v>
                </c:pt>
                <c:pt idx="149">
                  <c:v>0.41842740676396062</c:v>
                </c:pt>
                <c:pt idx="150">
                  <c:v>0.32392362545304049</c:v>
                </c:pt>
                <c:pt idx="151">
                  <c:v>0.24620096235716185</c:v>
                </c:pt>
                <c:pt idx="152">
                  <c:v>0.17062349761675927</c:v>
                </c:pt>
                <c:pt idx="153">
                  <c:v>9.3257502004429504E-2</c:v>
                </c:pt>
                <c:pt idx="154">
                  <c:v>0.13583984647253117</c:v>
                </c:pt>
                <c:pt idx="155">
                  <c:v>0.27265798631108751</c:v>
                </c:pt>
                <c:pt idx="156">
                  <c:v>0.31963993410253755</c:v>
                </c:pt>
                <c:pt idx="157">
                  <c:v>0.32606531802746147</c:v>
                </c:pt>
                <c:pt idx="158">
                  <c:v>0.31772018671070668</c:v>
                </c:pt>
                <c:pt idx="159">
                  <c:v>0.30646036867814391</c:v>
                </c:pt>
                <c:pt idx="160">
                  <c:v>0.30808955045856873</c:v>
                </c:pt>
                <c:pt idx="161">
                  <c:v>0.30845232279928786</c:v>
                </c:pt>
                <c:pt idx="162">
                  <c:v>0.30800506428833679</c:v>
                </c:pt>
                <c:pt idx="163">
                  <c:v>0.33567470397173771</c:v>
                </c:pt>
                <c:pt idx="164">
                  <c:v>0.35411973990076873</c:v>
                </c:pt>
                <c:pt idx="165">
                  <c:v>0.33134902373228425</c:v>
                </c:pt>
                <c:pt idx="166">
                  <c:v>0.26790160199456636</c:v>
                </c:pt>
                <c:pt idx="167">
                  <c:v>0.28308426556127686</c:v>
                </c:pt>
                <c:pt idx="168">
                  <c:v>0.27577386410100907</c:v>
                </c:pt>
                <c:pt idx="169">
                  <c:v>0.48632852072370192</c:v>
                </c:pt>
                <c:pt idx="170">
                  <c:v>0.44453625241974237</c:v>
                </c:pt>
                <c:pt idx="171">
                  <c:v>0.47028386626301644</c:v>
                </c:pt>
                <c:pt idx="172">
                  <c:v>0.44241434284532216</c:v>
                </c:pt>
                <c:pt idx="173">
                  <c:v>0.60195811067792615</c:v>
                </c:pt>
                <c:pt idx="174">
                  <c:v>0.60239791424313194</c:v>
                </c:pt>
                <c:pt idx="175">
                  <c:v>0.5376455601504524</c:v>
                </c:pt>
                <c:pt idx="176">
                  <c:v>0.52534337828432776</c:v>
                </c:pt>
                <c:pt idx="177">
                  <c:v>0.44010769242124737</c:v>
                </c:pt>
                <c:pt idx="178">
                  <c:v>0.46998404836819657</c:v>
                </c:pt>
                <c:pt idx="179">
                  <c:v>0.48964579284783533</c:v>
                </c:pt>
                <c:pt idx="180">
                  <c:v>0.51275750493667061</c:v>
                </c:pt>
                <c:pt idx="181">
                  <c:v>0.50755297532457855</c:v>
                </c:pt>
                <c:pt idx="182">
                  <c:v>0.46084686015835291</c:v>
                </c:pt>
                <c:pt idx="183">
                  <c:v>0.47138437213831857</c:v>
                </c:pt>
                <c:pt idx="184">
                  <c:v>0.46137711184514862</c:v>
                </c:pt>
                <c:pt idx="185">
                  <c:v>0.46363251674077538</c:v>
                </c:pt>
                <c:pt idx="186">
                  <c:v>0.45394282446779544</c:v>
                </c:pt>
                <c:pt idx="187">
                  <c:v>0.47660819644469221</c:v>
                </c:pt>
                <c:pt idx="188">
                  <c:v>0.49784665362292363</c:v>
                </c:pt>
                <c:pt idx="189">
                  <c:v>0.48392461422122807</c:v>
                </c:pt>
                <c:pt idx="190">
                  <c:v>0.4004361015037643</c:v>
                </c:pt>
                <c:pt idx="191">
                  <c:v>0.40092230360577674</c:v>
                </c:pt>
                <c:pt idx="192">
                  <c:v>0.41573588410936108</c:v>
                </c:pt>
                <c:pt idx="193">
                  <c:v>0.41018110593671175</c:v>
                </c:pt>
                <c:pt idx="194">
                  <c:v>0.3957395940990468</c:v>
                </c:pt>
                <c:pt idx="195">
                  <c:v>0.40712364974795484</c:v>
                </c:pt>
                <c:pt idx="196">
                  <c:v>0.41163138943549599</c:v>
                </c:pt>
                <c:pt idx="197">
                  <c:v>0.41997549683125873</c:v>
                </c:pt>
                <c:pt idx="198">
                  <c:v>0.43826578673065741</c:v>
                </c:pt>
                <c:pt idx="199">
                  <c:v>0.42060344627802582</c:v>
                </c:pt>
                <c:pt idx="200">
                  <c:v>0.40983284993268304</c:v>
                </c:pt>
                <c:pt idx="201">
                  <c:v>0.40645831235005814</c:v>
                </c:pt>
                <c:pt idx="202">
                  <c:v>0.41343775892123175</c:v>
                </c:pt>
                <c:pt idx="203">
                  <c:v>0.40827671642571106</c:v>
                </c:pt>
                <c:pt idx="204">
                  <c:v>0.41921274208270315</c:v>
                </c:pt>
                <c:pt idx="205">
                  <c:v>0.42061916932400795</c:v>
                </c:pt>
                <c:pt idx="206">
                  <c:v>0.42606951391032044</c:v>
                </c:pt>
                <c:pt idx="207">
                  <c:v>0.40261564688535939</c:v>
                </c:pt>
                <c:pt idx="208">
                  <c:v>0.36185816376614643</c:v>
                </c:pt>
                <c:pt idx="209">
                  <c:v>0.37292808490116874</c:v>
                </c:pt>
                <c:pt idx="210">
                  <c:v>0.37752243189211615</c:v>
                </c:pt>
                <c:pt idx="211">
                  <c:v>0.40815658434769997</c:v>
                </c:pt>
                <c:pt idx="212">
                  <c:v>0.40406834127533198</c:v>
                </c:pt>
                <c:pt idx="213">
                  <c:v>0.41298268072101052</c:v>
                </c:pt>
                <c:pt idx="214">
                  <c:v>0.43970204258069961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0B-4CAF-8E73-CFE58C75D8F0}"/>
            </c:ext>
          </c:extLst>
        </c:ser>
        <c:ser>
          <c:idx val="2"/>
          <c:order val="2"/>
          <c:tx>
            <c:strRef>
              <c:f>figure!$D$1</c:f>
              <c:strCache>
                <c:ptCount val="1"/>
                <c:pt idx="0">
                  <c:v>中证1000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figure!$A$3:$A$217</c:f>
              <c:numCache>
                <c:formatCode>m/d/yyyy</c:formatCode>
                <c:ptCount val="215"/>
                <c:pt idx="0">
                  <c:v>41715.5</c:v>
                </c:pt>
                <c:pt idx="1">
                  <c:v>41722.5</c:v>
                </c:pt>
                <c:pt idx="2">
                  <c:v>41729.5</c:v>
                </c:pt>
                <c:pt idx="3">
                  <c:v>41736</c:v>
                </c:pt>
                <c:pt idx="4">
                  <c:v>41743.5</c:v>
                </c:pt>
                <c:pt idx="5">
                  <c:v>41750.5</c:v>
                </c:pt>
                <c:pt idx="6">
                  <c:v>41757.5</c:v>
                </c:pt>
                <c:pt idx="7">
                  <c:v>41764.5</c:v>
                </c:pt>
                <c:pt idx="8">
                  <c:v>41771.5</c:v>
                </c:pt>
                <c:pt idx="9">
                  <c:v>41778.5</c:v>
                </c:pt>
                <c:pt idx="10">
                  <c:v>41785.5</c:v>
                </c:pt>
                <c:pt idx="11">
                  <c:v>41792.5</c:v>
                </c:pt>
                <c:pt idx="12">
                  <c:v>41799.5</c:v>
                </c:pt>
                <c:pt idx="13">
                  <c:v>41806.5</c:v>
                </c:pt>
                <c:pt idx="14">
                  <c:v>41813.5</c:v>
                </c:pt>
                <c:pt idx="15">
                  <c:v>41820.5</c:v>
                </c:pt>
                <c:pt idx="16">
                  <c:v>41826.5</c:v>
                </c:pt>
                <c:pt idx="17">
                  <c:v>41834.5</c:v>
                </c:pt>
                <c:pt idx="18">
                  <c:v>41841.5</c:v>
                </c:pt>
                <c:pt idx="19">
                  <c:v>41847</c:v>
                </c:pt>
                <c:pt idx="20">
                  <c:v>41855.5</c:v>
                </c:pt>
                <c:pt idx="21">
                  <c:v>41862.5</c:v>
                </c:pt>
                <c:pt idx="22">
                  <c:v>41869.5</c:v>
                </c:pt>
                <c:pt idx="23">
                  <c:v>41876.5</c:v>
                </c:pt>
                <c:pt idx="24">
                  <c:v>41883.5</c:v>
                </c:pt>
                <c:pt idx="25">
                  <c:v>41890.5</c:v>
                </c:pt>
                <c:pt idx="26">
                  <c:v>41897.5</c:v>
                </c:pt>
                <c:pt idx="27">
                  <c:v>41904.5</c:v>
                </c:pt>
                <c:pt idx="28">
                  <c:v>41911.5</c:v>
                </c:pt>
                <c:pt idx="29">
                  <c:v>41918.5</c:v>
                </c:pt>
                <c:pt idx="30">
                  <c:v>41925.5</c:v>
                </c:pt>
                <c:pt idx="31">
                  <c:v>41932.5</c:v>
                </c:pt>
                <c:pt idx="32">
                  <c:v>41938.5</c:v>
                </c:pt>
                <c:pt idx="33">
                  <c:v>41946.5</c:v>
                </c:pt>
                <c:pt idx="34">
                  <c:v>41953.5</c:v>
                </c:pt>
                <c:pt idx="35">
                  <c:v>41960.5</c:v>
                </c:pt>
                <c:pt idx="36">
                  <c:v>41967.5</c:v>
                </c:pt>
                <c:pt idx="37">
                  <c:v>41974.5</c:v>
                </c:pt>
                <c:pt idx="38">
                  <c:v>41980</c:v>
                </c:pt>
                <c:pt idx="39">
                  <c:v>41987</c:v>
                </c:pt>
                <c:pt idx="40">
                  <c:v>41995.5</c:v>
                </c:pt>
                <c:pt idx="41">
                  <c:v>42002.5</c:v>
                </c:pt>
                <c:pt idx="42">
                  <c:v>42009.5</c:v>
                </c:pt>
                <c:pt idx="43">
                  <c:v>42016.5</c:v>
                </c:pt>
                <c:pt idx="44">
                  <c:v>42023.5</c:v>
                </c:pt>
                <c:pt idx="45">
                  <c:v>42030.5</c:v>
                </c:pt>
                <c:pt idx="46">
                  <c:v>42037.5</c:v>
                </c:pt>
                <c:pt idx="47">
                  <c:v>42044.5</c:v>
                </c:pt>
                <c:pt idx="48">
                  <c:v>42051.5</c:v>
                </c:pt>
                <c:pt idx="49">
                  <c:v>42058</c:v>
                </c:pt>
                <c:pt idx="50">
                  <c:v>42065.5</c:v>
                </c:pt>
                <c:pt idx="51">
                  <c:v>42071.5</c:v>
                </c:pt>
                <c:pt idx="52">
                  <c:v>42079.5</c:v>
                </c:pt>
                <c:pt idx="53">
                  <c:v>42086.5</c:v>
                </c:pt>
                <c:pt idx="54">
                  <c:v>42093.5</c:v>
                </c:pt>
                <c:pt idx="55">
                  <c:v>42100.5</c:v>
                </c:pt>
                <c:pt idx="56">
                  <c:v>42107.5</c:v>
                </c:pt>
                <c:pt idx="57">
                  <c:v>42114.5</c:v>
                </c:pt>
                <c:pt idx="58">
                  <c:v>42120</c:v>
                </c:pt>
                <c:pt idx="59">
                  <c:v>42128.5</c:v>
                </c:pt>
                <c:pt idx="60">
                  <c:v>42135.5</c:v>
                </c:pt>
                <c:pt idx="61">
                  <c:v>42142.5</c:v>
                </c:pt>
                <c:pt idx="62">
                  <c:v>42149.5</c:v>
                </c:pt>
                <c:pt idx="63">
                  <c:v>42156.5</c:v>
                </c:pt>
                <c:pt idx="64">
                  <c:v>42163.5</c:v>
                </c:pt>
                <c:pt idx="65">
                  <c:v>42170.5</c:v>
                </c:pt>
                <c:pt idx="66">
                  <c:v>42177.5</c:v>
                </c:pt>
                <c:pt idx="67">
                  <c:v>42183.5</c:v>
                </c:pt>
                <c:pt idx="68">
                  <c:v>42191</c:v>
                </c:pt>
                <c:pt idx="69">
                  <c:v>42198.5</c:v>
                </c:pt>
                <c:pt idx="70">
                  <c:v>42205.5</c:v>
                </c:pt>
                <c:pt idx="71">
                  <c:v>42211.5</c:v>
                </c:pt>
                <c:pt idx="72">
                  <c:v>42219.5</c:v>
                </c:pt>
                <c:pt idx="73">
                  <c:v>42226.5</c:v>
                </c:pt>
                <c:pt idx="74">
                  <c:v>42233.5</c:v>
                </c:pt>
                <c:pt idx="75">
                  <c:v>42240.5</c:v>
                </c:pt>
                <c:pt idx="76">
                  <c:v>42247.5</c:v>
                </c:pt>
                <c:pt idx="77">
                  <c:v>42254.5</c:v>
                </c:pt>
                <c:pt idx="78">
                  <c:v>42261.5</c:v>
                </c:pt>
                <c:pt idx="79">
                  <c:v>42268.5</c:v>
                </c:pt>
                <c:pt idx="80">
                  <c:v>42275.5</c:v>
                </c:pt>
                <c:pt idx="81">
                  <c:v>42282.5</c:v>
                </c:pt>
                <c:pt idx="82">
                  <c:v>42289.5</c:v>
                </c:pt>
                <c:pt idx="83">
                  <c:v>42296.5</c:v>
                </c:pt>
                <c:pt idx="84">
                  <c:v>42303</c:v>
                </c:pt>
                <c:pt idx="85">
                  <c:v>42310.5</c:v>
                </c:pt>
                <c:pt idx="86">
                  <c:v>42316.5</c:v>
                </c:pt>
                <c:pt idx="87">
                  <c:v>42324.5</c:v>
                </c:pt>
                <c:pt idx="88">
                  <c:v>42331.5</c:v>
                </c:pt>
                <c:pt idx="89">
                  <c:v>42338.5</c:v>
                </c:pt>
                <c:pt idx="90">
                  <c:v>42348</c:v>
                </c:pt>
                <c:pt idx="91">
                  <c:v>42356</c:v>
                </c:pt>
                <c:pt idx="92">
                  <c:v>42363</c:v>
                </c:pt>
                <c:pt idx="93">
                  <c:v>42370</c:v>
                </c:pt>
                <c:pt idx="94">
                  <c:v>42377</c:v>
                </c:pt>
                <c:pt idx="95">
                  <c:v>42384</c:v>
                </c:pt>
                <c:pt idx="96">
                  <c:v>42391</c:v>
                </c:pt>
                <c:pt idx="97">
                  <c:v>42398</c:v>
                </c:pt>
                <c:pt idx="98">
                  <c:v>42405</c:v>
                </c:pt>
                <c:pt idx="99">
                  <c:v>42412</c:v>
                </c:pt>
                <c:pt idx="100">
                  <c:v>42419</c:v>
                </c:pt>
                <c:pt idx="101">
                  <c:v>42426</c:v>
                </c:pt>
                <c:pt idx="102">
                  <c:v>42433</c:v>
                </c:pt>
                <c:pt idx="103">
                  <c:v>42439.5</c:v>
                </c:pt>
                <c:pt idx="104">
                  <c:v>42447</c:v>
                </c:pt>
                <c:pt idx="105">
                  <c:v>42454</c:v>
                </c:pt>
                <c:pt idx="106">
                  <c:v>42460</c:v>
                </c:pt>
                <c:pt idx="107">
                  <c:v>42468</c:v>
                </c:pt>
                <c:pt idx="108">
                  <c:v>42475</c:v>
                </c:pt>
                <c:pt idx="109">
                  <c:v>42485.5</c:v>
                </c:pt>
                <c:pt idx="110">
                  <c:v>42492.5</c:v>
                </c:pt>
                <c:pt idx="111">
                  <c:v>42499.5</c:v>
                </c:pt>
                <c:pt idx="112">
                  <c:v>42506.5</c:v>
                </c:pt>
                <c:pt idx="113">
                  <c:v>42513.5</c:v>
                </c:pt>
                <c:pt idx="114">
                  <c:v>42520.5</c:v>
                </c:pt>
                <c:pt idx="115">
                  <c:v>42527.5</c:v>
                </c:pt>
                <c:pt idx="116">
                  <c:v>42534.5</c:v>
                </c:pt>
                <c:pt idx="117">
                  <c:v>42541.5</c:v>
                </c:pt>
                <c:pt idx="118">
                  <c:v>42548.5</c:v>
                </c:pt>
                <c:pt idx="119">
                  <c:v>42555.5</c:v>
                </c:pt>
                <c:pt idx="120">
                  <c:v>42561.5</c:v>
                </c:pt>
                <c:pt idx="121">
                  <c:v>42569.5</c:v>
                </c:pt>
                <c:pt idx="122">
                  <c:v>42576.5</c:v>
                </c:pt>
                <c:pt idx="123">
                  <c:v>42587</c:v>
                </c:pt>
                <c:pt idx="124">
                  <c:v>42594</c:v>
                </c:pt>
                <c:pt idx="125">
                  <c:v>42600</c:v>
                </c:pt>
                <c:pt idx="126">
                  <c:v>42608</c:v>
                </c:pt>
                <c:pt idx="127">
                  <c:v>42615</c:v>
                </c:pt>
                <c:pt idx="128">
                  <c:v>42622</c:v>
                </c:pt>
                <c:pt idx="129">
                  <c:v>42629</c:v>
                </c:pt>
                <c:pt idx="130">
                  <c:v>42636</c:v>
                </c:pt>
                <c:pt idx="131">
                  <c:v>42643</c:v>
                </c:pt>
                <c:pt idx="132">
                  <c:v>42650</c:v>
                </c:pt>
                <c:pt idx="133">
                  <c:v>42657</c:v>
                </c:pt>
                <c:pt idx="134">
                  <c:v>42664</c:v>
                </c:pt>
                <c:pt idx="135">
                  <c:v>42671</c:v>
                </c:pt>
                <c:pt idx="136">
                  <c:v>42678</c:v>
                </c:pt>
                <c:pt idx="137">
                  <c:v>42685</c:v>
                </c:pt>
                <c:pt idx="138">
                  <c:v>42691.5</c:v>
                </c:pt>
                <c:pt idx="139">
                  <c:v>42698</c:v>
                </c:pt>
                <c:pt idx="140">
                  <c:v>42706</c:v>
                </c:pt>
                <c:pt idx="141">
                  <c:v>42713</c:v>
                </c:pt>
                <c:pt idx="142">
                  <c:v>42723.5</c:v>
                </c:pt>
                <c:pt idx="143">
                  <c:v>42730.5</c:v>
                </c:pt>
                <c:pt idx="144">
                  <c:v>42737.5</c:v>
                </c:pt>
                <c:pt idx="145">
                  <c:v>42744.5</c:v>
                </c:pt>
                <c:pt idx="146">
                  <c:v>42751.5</c:v>
                </c:pt>
                <c:pt idx="147">
                  <c:v>42758.5</c:v>
                </c:pt>
                <c:pt idx="148">
                  <c:v>42765.5</c:v>
                </c:pt>
                <c:pt idx="149">
                  <c:v>42772.5</c:v>
                </c:pt>
                <c:pt idx="150">
                  <c:v>42779.5</c:v>
                </c:pt>
                <c:pt idx="151">
                  <c:v>42786.5</c:v>
                </c:pt>
                <c:pt idx="152">
                  <c:v>42793.5</c:v>
                </c:pt>
                <c:pt idx="153">
                  <c:v>42800.5</c:v>
                </c:pt>
                <c:pt idx="154">
                  <c:v>42807.5</c:v>
                </c:pt>
                <c:pt idx="155">
                  <c:v>42814.5</c:v>
                </c:pt>
                <c:pt idx="156">
                  <c:v>42821.5</c:v>
                </c:pt>
                <c:pt idx="157">
                  <c:v>42828</c:v>
                </c:pt>
                <c:pt idx="158">
                  <c:v>42835.5</c:v>
                </c:pt>
                <c:pt idx="159">
                  <c:v>42842.5</c:v>
                </c:pt>
                <c:pt idx="160">
                  <c:v>42849.5</c:v>
                </c:pt>
                <c:pt idx="161">
                  <c:v>42856.5</c:v>
                </c:pt>
                <c:pt idx="162">
                  <c:v>42863.5</c:v>
                </c:pt>
                <c:pt idx="163">
                  <c:v>42870.5</c:v>
                </c:pt>
                <c:pt idx="164">
                  <c:v>42877.5</c:v>
                </c:pt>
                <c:pt idx="165">
                  <c:v>42884.5</c:v>
                </c:pt>
                <c:pt idx="166">
                  <c:v>42891.5</c:v>
                </c:pt>
                <c:pt idx="167">
                  <c:v>42898.5</c:v>
                </c:pt>
                <c:pt idx="168">
                  <c:v>42905.5</c:v>
                </c:pt>
                <c:pt idx="169">
                  <c:v>42912.5</c:v>
                </c:pt>
                <c:pt idx="170">
                  <c:v>42919.5</c:v>
                </c:pt>
                <c:pt idx="171">
                  <c:v>42926.5</c:v>
                </c:pt>
                <c:pt idx="172">
                  <c:v>42933.5</c:v>
                </c:pt>
                <c:pt idx="173">
                  <c:v>42940.5</c:v>
                </c:pt>
                <c:pt idx="174">
                  <c:v>42951</c:v>
                </c:pt>
                <c:pt idx="175">
                  <c:v>42958</c:v>
                </c:pt>
                <c:pt idx="176">
                  <c:v>42965</c:v>
                </c:pt>
                <c:pt idx="177">
                  <c:v>42972</c:v>
                </c:pt>
                <c:pt idx="178">
                  <c:v>42979</c:v>
                </c:pt>
                <c:pt idx="179">
                  <c:v>42986</c:v>
                </c:pt>
                <c:pt idx="180">
                  <c:v>42993</c:v>
                </c:pt>
                <c:pt idx="181">
                  <c:v>43000</c:v>
                </c:pt>
                <c:pt idx="182">
                  <c:v>43007</c:v>
                </c:pt>
                <c:pt idx="183">
                  <c:v>43014</c:v>
                </c:pt>
                <c:pt idx="184">
                  <c:v>43021</c:v>
                </c:pt>
                <c:pt idx="185">
                  <c:v>43028</c:v>
                </c:pt>
                <c:pt idx="186">
                  <c:v>43035</c:v>
                </c:pt>
                <c:pt idx="187">
                  <c:v>43042</c:v>
                </c:pt>
                <c:pt idx="188">
                  <c:v>43049</c:v>
                </c:pt>
                <c:pt idx="189">
                  <c:v>43056</c:v>
                </c:pt>
                <c:pt idx="190">
                  <c:v>43063</c:v>
                </c:pt>
                <c:pt idx="191">
                  <c:v>43070</c:v>
                </c:pt>
                <c:pt idx="192">
                  <c:v>43076</c:v>
                </c:pt>
                <c:pt idx="193">
                  <c:v>43087.5</c:v>
                </c:pt>
                <c:pt idx="194">
                  <c:v>43094.5</c:v>
                </c:pt>
                <c:pt idx="195">
                  <c:v>43101.5</c:v>
                </c:pt>
                <c:pt idx="196">
                  <c:v>43108.5</c:v>
                </c:pt>
                <c:pt idx="197">
                  <c:v>43115.5</c:v>
                </c:pt>
                <c:pt idx="198">
                  <c:v>43122.5</c:v>
                </c:pt>
                <c:pt idx="199">
                  <c:v>43128.5</c:v>
                </c:pt>
                <c:pt idx="200">
                  <c:v>43136.5</c:v>
                </c:pt>
                <c:pt idx="201">
                  <c:v>43143.5</c:v>
                </c:pt>
                <c:pt idx="202">
                  <c:v>43150.5</c:v>
                </c:pt>
                <c:pt idx="203">
                  <c:v>43157.5</c:v>
                </c:pt>
                <c:pt idx="204">
                  <c:v>43164.5</c:v>
                </c:pt>
                <c:pt idx="205">
                  <c:v>43171.5</c:v>
                </c:pt>
                <c:pt idx="206">
                  <c:v>43178.5</c:v>
                </c:pt>
                <c:pt idx="207">
                  <c:v>43185.5</c:v>
                </c:pt>
                <c:pt idx="208">
                  <c:v>43192.5</c:v>
                </c:pt>
                <c:pt idx="209">
                  <c:v>43199.5</c:v>
                </c:pt>
                <c:pt idx="210">
                  <c:v>43206.5</c:v>
                </c:pt>
                <c:pt idx="211">
                  <c:v>43212.5</c:v>
                </c:pt>
                <c:pt idx="212">
                  <c:v>43220.5</c:v>
                </c:pt>
                <c:pt idx="213">
                  <c:v>43227.5</c:v>
                </c:pt>
                <c:pt idx="214">
                  <c:v>43234.5</c:v>
                </c:pt>
              </c:numCache>
            </c:numRef>
          </c:cat>
          <c:val>
            <c:numRef>
              <c:f>figure!$D$3:$D$217</c:f>
              <c:numCache>
                <c:formatCode>0.00%</c:formatCode>
                <c:ptCount val="215"/>
                <c:pt idx="0">
                  <c:v>0.5695910454771238</c:v>
                </c:pt>
                <c:pt idx="1">
                  <c:v>0.57641603136185016</c:v>
                </c:pt>
                <c:pt idx="2">
                  <c:v>0.58736905105264436</c:v>
                </c:pt>
                <c:pt idx="3">
                  <c:v>0.57960929267654371</c:v>
                </c:pt>
                <c:pt idx="4">
                  <c:v>0.59039102699660451</c:v>
                </c:pt>
                <c:pt idx="5">
                  <c:v>0.5803228462679455</c:v>
                </c:pt>
                <c:pt idx="6">
                  <c:v>0.57402226031423553</c:v>
                </c:pt>
                <c:pt idx="7">
                  <c:v>0.56863142634093033</c:v>
                </c:pt>
                <c:pt idx="8">
                  <c:v>0.57238597651661483</c:v>
                </c:pt>
                <c:pt idx="9">
                  <c:v>0.59820551182571613</c:v>
                </c:pt>
                <c:pt idx="10">
                  <c:v>0.6109459909040803</c:v>
                </c:pt>
                <c:pt idx="11">
                  <c:v>0.60834906272386569</c:v>
                </c:pt>
                <c:pt idx="12">
                  <c:v>0.55956675939189748</c:v>
                </c:pt>
                <c:pt idx="13">
                  <c:v>0.55075067996287386</c:v>
                </c:pt>
                <c:pt idx="14">
                  <c:v>0.54914231641041966</c:v>
                </c:pt>
                <c:pt idx="15">
                  <c:v>0.55546856983447523</c:v>
                </c:pt>
                <c:pt idx="16">
                  <c:v>0.5253146563872807</c:v>
                </c:pt>
                <c:pt idx="17">
                  <c:v>0.52827402894181352</c:v>
                </c:pt>
                <c:pt idx="18">
                  <c:v>0.52231601113191206</c:v>
                </c:pt>
                <c:pt idx="19">
                  <c:v>0.51635745045473125</c:v>
                </c:pt>
                <c:pt idx="20">
                  <c:v>0.49277069561412895</c:v>
                </c:pt>
                <c:pt idx="21">
                  <c:v>0.49741098015877167</c:v>
                </c:pt>
                <c:pt idx="22">
                  <c:v>0.49382042815400268</c:v>
                </c:pt>
                <c:pt idx="23">
                  <c:v>0.49179780954885211</c:v>
                </c:pt>
                <c:pt idx="24">
                  <c:v>0.48701321780665707</c:v>
                </c:pt>
                <c:pt idx="25">
                  <c:v>0.51005468041174151</c:v>
                </c:pt>
                <c:pt idx="26">
                  <c:v>0.52002846925816659</c:v>
                </c:pt>
                <c:pt idx="27">
                  <c:v>0.51546216977141768</c:v>
                </c:pt>
                <c:pt idx="28">
                  <c:v>0.48974358746018887</c:v>
                </c:pt>
                <c:pt idx="29">
                  <c:v>0.481643162086208</c:v>
                </c:pt>
                <c:pt idx="30">
                  <c:v>0.47728900260249602</c:v>
                </c:pt>
                <c:pt idx="31">
                  <c:v>0.48126062850958301</c:v>
                </c:pt>
                <c:pt idx="32">
                  <c:v>0.46455641127631914</c:v>
                </c:pt>
                <c:pt idx="33">
                  <c:v>0.46701653935166471</c:v>
                </c:pt>
                <c:pt idx="34">
                  <c:v>0.48267109980191986</c:v>
                </c:pt>
                <c:pt idx="35">
                  <c:v>0.48379653231007425</c:v>
                </c:pt>
                <c:pt idx="36">
                  <c:v>0.48205303889263795</c:v>
                </c:pt>
                <c:pt idx="37">
                  <c:v>0.48251083901472352</c:v>
                </c:pt>
                <c:pt idx="38">
                  <c:v>0.50470429210593926</c:v>
                </c:pt>
                <c:pt idx="39">
                  <c:v>0.51322975145547411</c:v>
                </c:pt>
                <c:pt idx="40">
                  <c:v>0.5069535696138382</c:v>
                </c:pt>
                <c:pt idx="41">
                  <c:v>0.49126302831074486</c:v>
                </c:pt>
                <c:pt idx="42">
                  <c:v>0.50127431555196511</c:v>
                </c:pt>
                <c:pt idx="43">
                  <c:v>0.52474183578370825</c:v>
                </c:pt>
                <c:pt idx="44">
                  <c:v>0.53885821754275731</c:v>
                </c:pt>
                <c:pt idx="45">
                  <c:v>0.53216940586333927</c:v>
                </c:pt>
                <c:pt idx="46">
                  <c:v>0.53037867154516649</c:v>
                </c:pt>
                <c:pt idx="47">
                  <c:v>0.5558270850227639</c:v>
                </c:pt>
                <c:pt idx="48">
                  <c:v>0.56182632398503574</c:v>
                </c:pt>
                <c:pt idx="49">
                  <c:v>0.33829248139813212</c:v>
                </c:pt>
                <c:pt idx="50">
                  <c:v>0.59675362537004528</c:v>
                </c:pt>
                <c:pt idx="51">
                  <c:v>0.62602301570836816</c:v>
                </c:pt>
                <c:pt idx="52">
                  <c:v>0.65872670305289893</c:v>
                </c:pt>
                <c:pt idx="53">
                  <c:v>0.65531157568137288</c:v>
                </c:pt>
                <c:pt idx="54">
                  <c:v>0.64646951118288842</c:v>
                </c:pt>
                <c:pt idx="55">
                  <c:v>0.661196662181191</c:v>
                </c:pt>
                <c:pt idx="56">
                  <c:v>0.6778103624548254</c:v>
                </c:pt>
                <c:pt idx="57">
                  <c:v>0.68696442205669372</c:v>
                </c:pt>
                <c:pt idx="58">
                  <c:v>0.6755397789264993</c:v>
                </c:pt>
                <c:pt idx="59">
                  <c:v>0.66818764018111754</c:v>
                </c:pt>
                <c:pt idx="60">
                  <c:v>0.69151940395482103</c:v>
                </c:pt>
                <c:pt idx="61">
                  <c:v>0.67285931275331967</c:v>
                </c:pt>
                <c:pt idx="62">
                  <c:v>0.68824610482072546</c:v>
                </c:pt>
                <c:pt idx="63">
                  <c:v>0.69059814627899274</c:v>
                </c:pt>
                <c:pt idx="64">
                  <c:v>0.69210811406073613</c:v>
                </c:pt>
                <c:pt idx="65">
                  <c:v>0.68920922487454372</c:v>
                </c:pt>
                <c:pt idx="66">
                  <c:v>0.6859575970449</c:v>
                </c:pt>
                <c:pt idx="67">
                  <c:v>0.64880794413148724</c:v>
                </c:pt>
                <c:pt idx="68">
                  <c:v>0.63516755159102001</c:v>
                </c:pt>
                <c:pt idx="69">
                  <c:v>0.6346428010473244</c:v>
                </c:pt>
                <c:pt idx="70">
                  <c:v>0.62786877724859602</c:v>
                </c:pt>
                <c:pt idx="71">
                  <c:v>0.62611642979341797</c:v>
                </c:pt>
                <c:pt idx="72">
                  <c:v>0.62560790888394535</c:v>
                </c:pt>
                <c:pt idx="73">
                  <c:v>0.62575578087634798</c:v>
                </c:pt>
                <c:pt idx="74">
                  <c:v>0.62714175564301156</c:v>
                </c:pt>
                <c:pt idx="75">
                  <c:v>0.62938427210939996</c:v>
                </c:pt>
                <c:pt idx="76">
                  <c:v>0.62626970808947757</c:v>
                </c:pt>
                <c:pt idx="77">
                  <c:v>0.61815597058113403</c:v>
                </c:pt>
                <c:pt idx="78">
                  <c:v>0.61883701733328755</c:v>
                </c:pt>
                <c:pt idx="79">
                  <c:v>0.59568004525338214</c:v>
                </c:pt>
                <c:pt idx="80">
                  <c:v>0.58665234112741749</c:v>
                </c:pt>
                <c:pt idx="81">
                  <c:v>0.57302140387275691</c:v>
                </c:pt>
                <c:pt idx="82">
                  <c:v>0.56961872913219158</c:v>
                </c:pt>
                <c:pt idx="83">
                  <c:v>0.57100913270270959</c:v>
                </c:pt>
                <c:pt idx="84">
                  <c:v>0.57938041690071351</c:v>
                </c:pt>
                <c:pt idx="85">
                  <c:v>0.59159475539861395</c:v>
                </c:pt>
                <c:pt idx="86">
                  <c:v>0.59206104227238898</c:v>
                </c:pt>
                <c:pt idx="87">
                  <c:v>0.59872462431603168</c:v>
                </c:pt>
                <c:pt idx="88">
                  <c:v>0.65384804994685608</c:v>
                </c:pt>
                <c:pt idx="89">
                  <c:v>0.67656421134730582</c:v>
                </c:pt>
                <c:pt idx="90">
                  <c:v>0.66565905850709406</c:v>
                </c:pt>
                <c:pt idx="91">
                  <c:v>0.6625249072895909</c:v>
                </c:pt>
                <c:pt idx="92">
                  <c:v>0.67783053652332126</c:v>
                </c:pt>
                <c:pt idx="93">
                  <c:v>0.67293539306123396</c:v>
                </c:pt>
                <c:pt idx="94">
                  <c:v>0.68103489496837288</c:v>
                </c:pt>
                <c:pt idx="95">
                  <c:v>0.67514974063813959</c:v>
                </c:pt>
                <c:pt idx="96">
                  <c:v>0.69195521771807766</c:v>
                </c:pt>
                <c:pt idx="97">
                  <c:v>0.70190769157813038</c:v>
                </c:pt>
                <c:pt idx="98">
                  <c:v>0.70891017700992254</c:v>
                </c:pt>
                <c:pt idx="99">
                  <c:v>0.70306368263495145</c:v>
                </c:pt>
                <c:pt idx="100">
                  <c:v>0.69857780100677658</c:v>
                </c:pt>
                <c:pt idx="101">
                  <c:v>0.69732913131149621</c:v>
                </c:pt>
                <c:pt idx="102">
                  <c:v>0.68004992687495669</c:v>
                </c:pt>
                <c:pt idx="103">
                  <c:v>0.67732347177994301</c:v>
                </c:pt>
                <c:pt idx="104">
                  <c:v>0.67980612930553808</c:v>
                </c:pt>
                <c:pt idx="105">
                  <c:v>0.64027826229245643</c:v>
                </c:pt>
                <c:pt idx="106">
                  <c:v>0.62556666372665304</c:v>
                </c:pt>
                <c:pt idx="107">
                  <c:v>0.66698254538111079</c:v>
                </c:pt>
                <c:pt idx="108">
                  <c:v>0.67070593686671476</c:v>
                </c:pt>
                <c:pt idx="109">
                  <c:v>0.67252395418191657</c:v>
                </c:pt>
                <c:pt idx="110">
                  <c:v>0.66458229839569138</c:v>
                </c:pt>
                <c:pt idx="111">
                  <c:v>0.60649558152787475</c:v>
                </c:pt>
                <c:pt idx="112">
                  <c:v>0.60871129525858991</c:v>
                </c:pt>
                <c:pt idx="113">
                  <c:v>0.57745163898529861</c:v>
                </c:pt>
                <c:pt idx="114">
                  <c:v>0.47110999031139744</c:v>
                </c:pt>
                <c:pt idx="115">
                  <c:v>0.44489741534475413</c:v>
                </c:pt>
                <c:pt idx="116">
                  <c:v>0.44315458554279835</c:v>
                </c:pt>
                <c:pt idx="117">
                  <c:v>0.42461446527811514</c:v>
                </c:pt>
                <c:pt idx="118">
                  <c:v>0.3905932176145393</c:v>
                </c:pt>
                <c:pt idx="119">
                  <c:v>0.38496620277790772</c:v>
                </c:pt>
                <c:pt idx="120">
                  <c:v>0.35187316363062465</c:v>
                </c:pt>
                <c:pt idx="121">
                  <c:v>0.34103356416848785</c:v>
                </c:pt>
                <c:pt idx="122">
                  <c:v>0.38660644940322425</c:v>
                </c:pt>
                <c:pt idx="123">
                  <c:v>0.38223691983340208</c:v>
                </c:pt>
                <c:pt idx="124">
                  <c:v>0.37653530713014155</c:v>
                </c:pt>
                <c:pt idx="125">
                  <c:v>0.31661874679337165</c:v>
                </c:pt>
                <c:pt idx="126">
                  <c:v>0.30563862700431099</c:v>
                </c:pt>
                <c:pt idx="127">
                  <c:v>0.27189636910908394</c:v>
                </c:pt>
                <c:pt idx="128">
                  <c:v>0.2243088070119198</c:v>
                </c:pt>
                <c:pt idx="129">
                  <c:v>0.20184669780436373</c:v>
                </c:pt>
                <c:pt idx="130">
                  <c:v>0.23878211277388775</c:v>
                </c:pt>
                <c:pt idx="131">
                  <c:v>0.11223737079724008</c:v>
                </c:pt>
                <c:pt idx="132">
                  <c:v>0.27536841554370056</c:v>
                </c:pt>
                <c:pt idx="133">
                  <c:v>0.38206037591206826</c:v>
                </c:pt>
                <c:pt idx="134">
                  <c:v>0.41460597558265594</c:v>
                </c:pt>
                <c:pt idx="135">
                  <c:v>0.42917674956047425</c:v>
                </c:pt>
                <c:pt idx="136">
                  <c:v>0.48712110147847582</c:v>
                </c:pt>
                <c:pt idx="137">
                  <c:v>0.28276829798141279</c:v>
                </c:pt>
                <c:pt idx="138">
                  <c:v>0.27664308813663213</c:v>
                </c:pt>
                <c:pt idx="139">
                  <c:v>0.31927731498513656</c:v>
                </c:pt>
                <c:pt idx="140">
                  <c:v>0.30689508597157927</c:v>
                </c:pt>
                <c:pt idx="141">
                  <c:v>0.35797787922592911</c:v>
                </c:pt>
                <c:pt idx="142">
                  <c:v>0.34663515416825003</c:v>
                </c:pt>
                <c:pt idx="143">
                  <c:v>0.32258731144664815</c:v>
                </c:pt>
                <c:pt idx="144">
                  <c:v>0.40761099495906078</c:v>
                </c:pt>
                <c:pt idx="145">
                  <c:v>0.42476153255738497</c:v>
                </c:pt>
                <c:pt idx="146">
                  <c:v>0.15134613306827421</c:v>
                </c:pt>
                <c:pt idx="147">
                  <c:v>9.4712154848503385E-2</c:v>
                </c:pt>
                <c:pt idx="148">
                  <c:v>0.11255661831131382</c:v>
                </c:pt>
                <c:pt idx="149">
                  <c:v>0.2158692175839457</c:v>
                </c:pt>
                <c:pt idx="150">
                  <c:v>0.12019477867911885</c:v>
                </c:pt>
                <c:pt idx="151">
                  <c:v>0.16274498393793996</c:v>
                </c:pt>
                <c:pt idx="152">
                  <c:v>0.20588128283191887</c:v>
                </c:pt>
                <c:pt idx="153">
                  <c:v>0.24142043841876171</c:v>
                </c:pt>
                <c:pt idx="154">
                  <c:v>0.21681695578995322</c:v>
                </c:pt>
                <c:pt idx="155">
                  <c:v>0.18504951354835486</c:v>
                </c:pt>
                <c:pt idx="156">
                  <c:v>0.12760080737842733</c:v>
                </c:pt>
                <c:pt idx="157">
                  <c:v>0.13679418290253331</c:v>
                </c:pt>
                <c:pt idx="158">
                  <c:v>0.1437596150817845</c:v>
                </c:pt>
                <c:pt idx="159">
                  <c:v>0.14588780854324937</c:v>
                </c:pt>
                <c:pt idx="160">
                  <c:v>0.14456812279450779</c:v>
                </c:pt>
                <c:pt idx="161">
                  <c:v>0.14210067854607658</c:v>
                </c:pt>
                <c:pt idx="162">
                  <c:v>0.15536478186821062</c:v>
                </c:pt>
                <c:pt idx="163">
                  <c:v>0.12968622658253767</c:v>
                </c:pt>
                <c:pt idx="164">
                  <c:v>0.11074760294175955</c:v>
                </c:pt>
                <c:pt idx="165">
                  <c:v>0.12537205553054548</c:v>
                </c:pt>
                <c:pt idx="166">
                  <c:v>0.17027964321458164</c:v>
                </c:pt>
                <c:pt idx="167">
                  <c:v>0.14886012547270014</c:v>
                </c:pt>
                <c:pt idx="168">
                  <c:v>0.15179406602274648</c:v>
                </c:pt>
                <c:pt idx="169">
                  <c:v>1.369390637411195E-5</c:v>
                </c:pt>
                <c:pt idx="170">
                  <c:v>8.138257460918423E-2</c:v>
                </c:pt>
                <c:pt idx="171">
                  <c:v>6.89235849373869E-2</c:v>
                </c:pt>
                <c:pt idx="172">
                  <c:v>9.2410453414595875E-2</c:v>
                </c:pt>
                <c:pt idx="173">
                  <c:v>1.3886096808791456E-2</c:v>
                </c:pt>
                <c:pt idx="174">
                  <c:v>2.1234289361129529E-2</c:v>
                </c:pt>
                <c:pt idx="175">
                  <c:v>1.5199641375270807E-5</c:v>
                </c:pt>
                <c:pt idx="176">
                  <c:v>9.7350257661852457E-6</c:v>
                </c:pt>
                <c:pt idx="177">
                  <c:v>1.3829289478158586E-5</c:v>
                </c:pt>
                <c:pt idx="178">
                  <c:v>1.4208124248782961E-5</c:v>
                </c:pt>
                <c:pt idx="179">
                  <c:v>1.4475359316432402E-5</c:v>
                </c:pt>
                <c:pt idx="180">
                  <c:v>1.3551035146216512E-6</c:v>
                </c:pt>
                <c:pt idx="181">
                  <c:v>5.9190911963503477E-6</c:v>
                </c:pt>
                <c:pt idx="182">
                  <c:v>1.1147114034893687E-5</c:v>
                </c:pt>
                <c:pt idx="183">
                  <c:v>5.1486358285546296E-6</c:v>
                </c:pt>
                <c:pt idx="184">
                  <c:v>1.0686536968211583E-5</c:v>
                </c:pt>
                <c:pt idx="185">
                  <c:v>1.0875064552362697E-5</c:v>
                </c:pt>
                <c:pt idx="186">
                  <c:v>1.1312288522902841E-5</c:v>
                </c:pt>
                <c:pt idx="187">
                  <c:v>1.1682510550541318E-5</c:v>
                </c:pt>
                <c:pt idx="188">
                  <c:v>1.2129032776641642E-5</c:v>
                </c:pt>
                <c:pt idx="189">
                  <c:v>1.1523890859992554E-5</c:v>
                </c:pt>
                <c:pt idx="190">
                  <c:v>1.2210894075400883E-5</c:v>
                </c:pt>
                <c:pt idx="191">
                  <c:v>1.2369814472612349E-5</c:v>
                </c:pt>
                <c:pt idx="192">
                  <c:v>6.9978878430275764E-6</c:v>
                </c:pt>
                <c:pt idx="193">
                  <c:v>8.3197452389461808E-6</c:v>
                </c:pt>
                <c:pt idx="194">
                  <c:v>8.0327105153866285E-6</c:v>
                </c:pt>
                <c:pt idx="195">
                  <c:v>8.1346077503888825E-6</c:v>
                </c:pt>
                <c:pt idx="196">
                  <c:v>1.1942605684013469E-5</c:v>
                </c:pt>
                <c:pt idx="197">
                  <c:v>1.2376045181328144E-5</c:v>
                </c:pt>
                <c:pt idx="198">
                  <c:v>1.291881254592533E-5</c:v>
                </c:pt>
                <c:pt idx="199">
                  <c:v>1.3135651395488966E-5</c:v>
                </c:pt>
                <c:pt idx="200">
                  <c:v>1.6703018803553406E-5</c:v>
                </c:pt>
                <c:pt idx="201">
                  <c:v>1.6254130073880304E-5</c:v>
                </c:pt>
                <c:pt idx="202">
                  <c:v>1.5727737107870127E-5</c:v>
                </c:pt>
                <c:pt idx="203">
                  <c:v>1.4528841607740904E-5</c:v>
                </c:pt>
                <c:pt idx="204">
                  <c:v>1.5856901354634545E-5</c:v>
                </c:pt>
                <c:pt idx="205">
                  <c:v>1.4863461393930362E-5</c:v>
                </c:pt>
                <c:pt idx="206">
                  <c:v>1.4017641588808202E-5</c:v>
                </c:pt>
                <c:pt idx="207">
                  <c:v>1.4386102835171846E-5</c:v>
                </c:pt>
                <c:pt idx="208">
                  <c:v>1.4145836351811056E-5</c:v>
                </c:pt>
                <c:pt idx="209">
                  <c:v>1.4883530005438889E-5</c:v>
                </c:pt>
                <c:pt idx="210">
                  <c:v>1.629776086291253E-5</c:v>
                </c:pt>
                <c:pt idx="211">
                  <c:v>1.5201192361295904E-5</c:v>
                </c:pt>
                <c:pt idx="212">
                  <c:v>1.609442321622111E-5</c:v>
                </c:pt>
                <c:pt idx="213">
                  <c:v>1.7327007874566344E-5</c:v>
                </c:pt>
                <c:pt idx="214">
                  <c:v>1.944270833642866E-5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0B-4CAF-8E73-CFE58C75D8F0}"/>
            </c:ext>
          </c:extLst>
        </c:ser>
        <c:ser>
          <c:idx val="3"/>
          <c:order val="3"/>
          <c:tx>
            <c:strRef>
              <c:f>figure!$E$1</c:f>
              <c:strCache>
                <c:ptCount val="1"/>
                <c:pt idx="0">
                  <c:v>现金因子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figure!$A$3:$A$217</c:f>
              <c:numCache>
                <c:formatCode>m/d/yyyy</c:formatCode>
                <c:ptCount val="215"/>
                <c:pt idx="0">
                  <c:v>41715.5</c:v>
                </c:pt>
                <c:pt idx="1">
                  <c:v>41722.5</c:v>
                </c:pt>
                <c:pt idx="2">
                  <c:v>41729.5</c:v>
                </c:pt>
                <c:pt idx="3">
                  <c:v>41736</c:v>
                </c:pt>
                <c:pt idx="4">
                  <c:v>41743.5</c:v>
                </c:pt>
                <c:pt idx="5">
                  <c:v>41750.5</c:v>
                </c:pt>
                <c:pt idx="6">
                  <c:v>41757.5</c:v>
                </c:pt>
                <c:pt idx="7">
                  <c:v>41764.5</c:v>
                </c:pt>
                <c:pt idx="8">
                  <c:v>41771.5</c:v>
                </c:pt>
                <c:pt idx="9">
                  <c:v>41778.5</c:v>
                </c:pt>
                <c:pt idx="10">
                  <c:v>41785.5</c:v>
                </c:pt>
                <c:pt idx="11">
                  <c:v>41792.5</c:v>
                </c:pt>
                <c:pt idx="12">
                  <c:v>41799.5</c:v>
                </c:pt>
                <c:pt idx="13">
                  <c:v>41806.5</c:v>
                </c:pt>
                <c:pt idx="14">
                  <c:v>41813.5</c:v>
                </c:pt>
                <c:pt idx="15">
                  <c:v>41820.5</c:v>
                </c:pt>
                <c:pt idx="16">
                  <c:v>41826.5</c:v>
                </c:pt>
                <c:pt idx="17">
                  <c:v>41834.5</c:v>
                </c:pt>
                <c:pt idx="18">
                  <c:v>41841.5</c:v>
                </c:pt>
                <c:pt idx="19">
                  <c:v>41847</c:v>
                </c:pt>
                <c:pt idx="20">
                  <c:v>41855.5</c:v>
                </c:pt>
                <c:pt idx="21">
                  <c:v>41862.5</c:v>
                </c:pt>
                <c:pt idx="22">
                  <c:v>41869.5</c:v>
                </c:pt>
                <c:pt idx="23">
                  <c:v>41876.5</c:v>
                </c:pt>
                <c:pt idx="24">
                  <c:v>41883.5</c:v>
                </c:pt>
                <c:pt idx="25">
                  <c:v>41890.5</c:v>
                </c:pt>
                <c:pt idx="26">
                  <c:v>41897.5</c:v>
                </c:pt>
                <c:pt idx="27">
                  <c:v>41904.5</c:v>
                </c:pt>
                <c:pt idx="28">
                  <c:v>41911.5</c:v>
                </c:pt>
                <c:pt idx="29">
                  <c:v>41918.5</c:v>
                </c:pt>
                <c:pt idx="30">
                  <c:v>41925.5</c:v>
                </c:pt>
                <c:pt idx="31">
                  <c:v>41932.5</c:v>
                </c:pt>
                <c:pt idx="32">
                  <c:v>41938.5</c:v>
                </c:pt>
                <c:pt idx="33">
                  <c:v>41946.5</c:v>
                </c:pt>
                <c:pt idx="34">
                  <c:v>41953.5</c:v>
                </c:pt>
                <c:pt idx="35">
                  <c:v>41960.5</c:v>
                </c:pt>
                <c:pt idx="36">
                  <c:v>41967.5</c:v>
                </c:pt>
                <c:pt idx="37">
                  <c:v>41974.5</c:v>
                </c:pt>
                <c:pt idx="38">
                  <c:v>41980</c:v>
                </c:pt>
                <c:pt idx="39">
                  <c:v>41987</c:v>
                </c:pt>
                <c:pt idx="40">
                  <c:v>41995.5</c:v>
                </c:pt>
                <c:pt idx="41">
                  <c:v>42002.5</c:v>
                </c:pt>
                <c:pt idx="42">
                  <c:v>42009.5</c:v>
                </c:pt>
                <c:pt idx="43">
                  <c:v>42016.5</c:v>
                </c:pt>
                <c:pt idx="44">
                  <c:v>42023.5</c:v>
                </c:pt>
                <c:pt idx="45">
                  <c:v>42030.5</c:v>
                </c:pt>
                <c:pt idx="46">
                  <c:v>42037.5</c:v>
                </c:pt>
                <c:pt idx="47">
                  <c:v>42044.5</c:v>
                </c:pt>
                <c:pt idx="48">
                  <c:v>42051.5</c:v>
                </c:pt>
                <c:pt idx="49">
                  <c:v>42058</c:v>
                </c:pt>
                <c:pt idx="50">
                  <c:v>42065.5</c:v>
                </c:pt>
                <c:pt idx="51">
                  <c:v>42071.5</c:v>
                </c:pt>
                <c:pt idx="52">
                  <c:v>42079.5</c:v>
                </c:pt>
                <c:pt idx="53">
                  <c:v>42086.5</c:v>
                </c:pt>
                <c:pt idx="54">
                  <c:v>42093.5</c:v>
                </c:pt>
                <c:pt idx="55">
                  <c:v>42100.5</c:v>
                </c:pt>
                <c:pt idx="56">
                  <c:v>42107.5</c:v>
                </c:pt>
                <c:pt idx="57">
                  <c:v>42114.5</c:v>
                </c:pt>
                <c:pt idx="58">
                  <c:v>42120</c:v>
                </c:pt>
                <c:pt idx="59">
                  <c:v>42128.5</c:v>
                </c:pt>
                <c:pt idx="60">
                  <c:v>42135.5</c:v>
                </c:pt>
                <c:pt idx="61">
                  <c:v>42142.5</c:v>
                </c:pt>
                <c:pt idx="62">
                  <c:v>42149.5</c:v>
                </c:pt>
                <c:pt idx="63">
                  <c:v>42156.5</c:v>
                </c:pt>
                <c:pt idx="64">
                  <c:v>42163.5</c:v>
                </c:pt>
                <c:pt idx="65">
                  <c:v>42170.5</c:v>
                </c:pt>
                <c:pt idx="66">
                  <c:v>42177.5</c:v>
                </c:pt>
                <c:pt idx="67">
                  <c:v>42183.5</c:v>
                </c:pt>
                <c:pt idx="68">
                  <c:v>42191</c:v>
                </c:pt>
                <c:pt idx="69">
                  <c:v>42198.5</c:v>
                </c:pt>
                <c:pt idx="70">
                  <c:v>42205.5</c:v>
                </c:pt>
                <c:pt idx="71">
                  <c:v>42211.5</c:v>
                </c:pt>
                <c:pt idx="72">
                  <c:v>42219.5</c:v>
                </c:pt>
                <c:pt idx="73">
                  <c:v>42226.5</c:v>
                </c:pt>
                <c:pt idx="74">
                  <c:v>42233.5</c:v>
                </c:pt>
                <c:pt idx="75">
                  <c:v>42240.5</c:v>
                </c:pt>
                <c:pt idx="76">
                  <c:v>42247.5</c:v>
                </c:pt>
                <c:pt idx="77">
                  <c:v>42254.5</c:v>
                </c:pt>
                <c:pt idx="78">
                  <c:v>42261.5</c:v>
                </c:pt>
                <c:pt idx="79">
                  <c:v>42268.5</c:v>
                </c:pt>
                <c:pt idx="80">
                  <c:v>42275.5</c:v>
                </c:pt>
                <c:pt idx="81">
                  <c:v>42282.5</c:v>
                </c:pt>
                <c:pt idx="82">
                  <c:v>42289.5</c:v>
                </c:pt>
                <c:pt idx="83">
                  <c:v>42296.5</c:v>
                </c:pt>
                <c:pt idx="84">
                  <c:v>42303</c:v>
                </c:pt>
                <c:pt idx="85">
                  <c:v>42310.5</c:v>
                </c:pt>
                <c:pt idx="86">
                  <c:v>42316.5</c:v>
                </c:pt>
                <c:pt idx="87">
                  <c:v>42324.5</c:v>
                </c:pt>
                <c:pt idx="88">
                  <c:v>42331.5</c:v>
                </c:pt>
                <c:pt idx="89">
                  <c:v>42338.5</c:v>
                </c:pt>
                <c:pt idx="90">
                  <c:v>42348</c:v>
                </c:pt>
                <c:pt idx="91">
                  <c:v>42356</c:v>
                </c:pt>
                <c:pt idx="92">
                  <c:v>42363</c:v>
                </c:pt>
                <c:pt idx="93">
                  <c:v>42370</c:v>
                </c:pt>
                <c:pt idx="94">
                  <c:v>42377</c:v>
                </c:pt>
                <c:pt idx="95">
                  <c:v>42384</c:v>
                </c:pt>
                <c:pt idx="96">
                  <c:v>42391</c:v>
                </c:pt>
                <c:pt idx="97">
                  <c:v>42398</c:v>
                </c:pt>
                <c:pt idx="98">
                  <c:v>42405</c:v>
                </c:pt>
                <c:pt idx="99">
                  <c:v>42412</c:v>
                </c:pt>
                <c:pt idx="100">
                  <c:v>42419</c:v>
                </c:pt>
                <c:pt idx="101">
                  <c:v>42426</c:v>
                </c:pt>
                <c:pt idx="102">
                  <c:v>42433</c:v>
                </c:pt>
                <c:pt idx="103">
                  <c:v>42439.5</c:v>
                </c:pt>
                <c:pt idx="104">
                  <c:v>42447</c:v>
                </c:pt>
                <c:pt idx="105">
                  <c:v>42454</c:v>
                </c:pt>
                <c:pt idx="106">
                  <c:v>42460</c:v>
                </c:pt>
                <c:pt idx="107">
                  <c:v>42468</c:v>
                </c:pt>
                <c:pt idx="108">
                  <c:v>42475</c:v>
                </c:pt>
                <c:pt idx="109">
                  <c:v>42485.5</c:v>
                </c:pt>
                <c:pt idx="110">
                  <c:v>42492.5</c:v>
                </c:pt>
                <c:pt idx="111">
                  <c:v>42499.5</c:v>
                </c:pt>
                <c:pt idx="112">
                  <c:v>42506.5</c:v>
                </c:pt>
                <c:pt idx="113">
                  <c:v>42513.5</c:v>
                </c:pt>
                <c:pt idx="114">
                  <c:v>42520.5</c:v>
                </c:pt>
                <c:pt idx="115">
                  <c:v>42527.5</c:v>
                </c:pt>
                <c:pt idx="116">
                  <c:v>42534.5</c:v>
                </c:pt>
                <c:pt idx="117">
                  <c:v>42541.5</c:v>
                </c:pt>
                <c:pt idx="118">
                  <c:v>42548.5</c:v>
                </c:pt>
                <c:pt idx="119">
                  <c:v>42555.5</c:v>
                </c:pt>
                <c:pt idx="120">
                  <c:v>42561.5</c:v>
                </c:pt>
                <c:pt idx="121">
                  <c:v>42569.5</c:v>
                </c:pt>
                <c:pt idx="122">
                  <c:v>42576.5</c:v>
                </c:pt>
                <c:pt idx="123">
                  <c:v>42587</c:v>
                </c:pt>
                <c:pt idx="124">
                  <c:v>42594</c:v>
                </c:pt>
                <c:pt idx="125">
                  <c:v>42600</c:v>
                </c:pt>
                <c:pt idx="126">
                  <c:v>42608</c:v>
                </c:pt>
                <c:pt idx="127">
                  <c:v>42615</c:v>
                </c:pt>
                <c:pt idx="128">
                  <c:v>42622</c:v>
                </c:pt>
                <c:pt idx="129">
                  <c:v>42629</c:v>
                </c:pt>
                <c:pt idx="130">
                  <c:v>42636</c:v>
                </c:pt>
                <c:pt idx="131">
                  <c:v>42643</c:v>
                </c:pt>
                <c:pt idx="132">
                  <c:v>42650</c:v>
                </c:pt>
                <c:pt idx="133">
                  <c:v>42657</c:v>
                </c:pt>
                <c:pt idx="134">
                  <c:v>42664</c:v>
                </c:pt>
                <c:pt idx="135">
                  <c:v>42671</c:v>
                </c:pt>
                <c:pt idx="136">
                  <c:v>42678</c:v>
                </c:pt>
                <c:pt idx="137">
                  <c:v>42685</c:v>
                </c:pt>
                <c:pt idx="138">
                  <c:v>42691.5</c:v>
                </c:pt>
                <c:pt idx="139">
                  <c:v>42698</c:v>
                </c:pt>
                <c:pt idx="140">
                  <c:v>42706</c:v>
                </c:pt>
                <c:pt idx="141">
                  <c:v>42713</c:v>
                </c:pt>
                <c:pt idx="142">
                  <c:v>42723.5</c:v>
                </c:pt>
                <c:pt idx="143">
                  <c:v>42730.5</c:v>
                </c:pt>
                <c:pt idx="144">
                  <c:v>42737.5</c:v>
                </c:pt>
                <c:pt idx="145">
                  <c:v>42744.5</c:v>
                </c:pt>
                <c:pt idx="146">
                  <c:v>42751.5</c:v>
                </c:pt>
                <c:pt idx="147">
                  <c:v>42758.5</c:v>
                </c:pt>
                <c:pt idx="148">
                  <c:v>42765.5</c:v>
                </c:pt>
                <c:pt idx="149">
                  <c:v>42772.5</c:v>
                </c:pt>
                <c:pt idx="150">
                  <c:v>42779.5</c:v>
                </c:pt>
                <c:pt idx="151">
                  <c:v>42786.5</c:v>
                </c:pt>
                <c:pt idx="152">
                  <c:v>42793.5</c:v>
                </c:pt>
                <c:pt idx="153">
                  <c:v>42800.5</c:v>
                </c:pt>
                <c:pt idx="154">
                  <c:v>42807.5</c:v>
                </c:pt>
                <c:pt idx="155">
                  <c:v>42814.5</c:v>
                </c:pt>
                <c:pt idx="156">
                  <c:v>42821.5</c:v>
                </c:pt>
                <c:pt idx="157">
                  <c:v>42828</c:v>
                </c:pt>
                <c:pt idx="158">
                  <c:v>42835.5</c:v>
                </c:pt>
                <c:pt idx="159">
                  <c:v>42842.5</c:v>
                </c:pt>
                <c:pt idx="160">
                  <c:v>42849.5</c:v>
                </c:pt>
                <c:pt idx="161">
                  <c:v>42856.5</c:v>
                </c:pt>
                <c:pt idx="162">
                  <c:v>42863.5</c:v>
                </c:pt>
                <c:pt idx="163">
                  <c:v>42870.5</c:v>
                </c:pt>
                <c:pt idx="164">
                  <c:v>42877.5</c:v>
                </c:pt>
                <c:pt idx="165">
                  <c:v>42884.5</c:v>
                </c:pt>
                <c:pt idx="166">
                  <c:v>42891.5</c:v>
                </c:pt>
                <c:pt idx="167">
                  <c:v>42898.5</c:v>
                </c:pt>
                <c:pt idx="168">
                  <c:v>42905.5</c:v>
                </c:pt>
                <c:pt idx="169">
                  <c:v>42912.5</c:v>
                </c:pt>
                <c:pt idx="170">
                  <c:v>42919.5</c:v>
                </c:pt>
                <c:pt idx="171">
                  <c:v>42926.5</c:v>
                </c:pt>
                <c:pt idx="172">
                  <c:v>42933.5</c:v>
                </c:pt>
                <c:pt idx="173">
                  <c:v>42940.5</c:v>
                </c:pt>
                <c:pt idx="174">
                  <c:v>42951</c:v>
                </c:pt>
                <c:pt idx="175">
                  <c:v>42958</c:v>
                </c:pt>
                <c:pt idx="176">
                  <c:v>42965</c:v>
                </c:pt>
                <c:pt idx="177">
                  <c:v>42972</c:v>
                </c:pt>
                <c:pt idx="178">
                  <c:v>42979</c:v>
                </c:pt>
                <c:pt idx="179">
                  <c:v>42986</c:v>
                </c:pt>
                <c:pt idx="180">
                  <c:v>42993</c:v>
                </c:pt>
                <c:pt idx="181">
                  <c:v>43000</c:v>
                </c:pt>
                <c:pt idx="182">
                  <c:v>43007</c:v>
                </c:pt>
                <c:pt idx="183">
                  <c:v>43014</c:v>
                </c:pt>
                <c:pt idx="184">
                  <c:v>43021</c:v>
                </c:pt>
                <c:pt idx="185">
                  <c:v>43028</c:v>
                </c:pt>
                <c:pt idx="186">
                  <c:v>43035</c:v>
                </c:pt>
                <c:pt idx="187">
                  <c:v>43042</c:v>
                </c:pt>
                <c:pt idx="188">
                  <c:v>43049</c:v>
                </c:pt>
                <c:pt idx="189">
                  <c:v>43056</c:v>
                </c:pt>
                <c:pt idx="190">
                  <c:v>43063</c:v>
                </c:pt>
                <c:pt idx="191">
                  <c:v>43070</c:v>
                </c:pt>
                <c:pt idx="192">
                  <c:v>43076</c:v>
                </c:pt>
                <c:pt idx="193">
                  <c:v>43087.5</c:v>
                </c:pt>
                <c:pt idx="194">
                  <c:v>43094.5</c:v>
                </c:pt>
                <c:pt idx="195">
                  <c:v>43101.5</c:v>
                </c:pt>
                <c:pt idx="196">
                  <c:v>43108.5</c:v>
                </c:pt>
                <c:pt idx="197">
                  <c:v>43115.5</c:v>
                </c:pt>
                <c:pt idx="198">
                  <c:v>43122.5</c:v>
                </c:pt>
                <c:pt idx="199">
                  <c:v>43128.5</c:v>
                </c:pt>
                <c:pt idx="200">
                  <c:v>43136.5</c:v>
                </c:pt>
                <c:pt idx="201">
                  <c:v>43143.5</c:v>
                </c:pt>
                <c:pt idx="202">
                  <c:v>43150.5</c:v>
                </c:pt>
                <c:pt idx="203">
                  <c:v>43157.5</c:v>
                </c:pt>
                <c:pt idx="204">
                  <c:v>43164.5</c:v>
                </c:pt>
                <c:pt idx="205">
                  <c:v>43171.5</c:v>
                </c:pt>
                <c:pt idx="206">
                  <c:v>43178.5</c:v>
                </c:pt>
                <c:pt idx="207">
                  <c:v>43185.5</c:v>
                </c:pt>
                <c:pt idx="208">
                  <c:v>43192.5</c:v>
                </c:pt>
                <c:pt idx="209">
                  <c:v>43199.5</c:v>
                </c:pt>
                <c:pt idx="210">
                  <c:v>43206.5</c:v>
                </c:pt>
                <c:pt idx="211">
                  <c:v>43212.5</c:v>
                </c:pt>
                <c:pt idx="212">
                  <c:v>43220.5</c:v>
                </c:pt>
                <c:pt idx="213">
                  <c:v>43227.5</c:v>
                </c:pt>
                <c:pt idx="214">
                  <c:v>43234.5</c:v>
                </c:pt>
              </c:numCache>
            </c:numRef>
          </c:cat>
          <c:val>
            <c:numRef>
              <c:f>figure!$E$3:$E$217</c:f>
              <c:numCache>
                <c:formatCode>0.00%</c:formatCode>
                <c:ptCount val="215"/>
                <c:pt idx="0">
                  <c:v>0.21403596914763559</c:v>
                </c:pt>
                <c:pt idx="1">
                  <c:v>0.18673435571240629</c:v>
                </c:pt>
                <c:pt idx="2">
                  <c:v>0.19107131829727764</c:v>
                </c:pt>
                <c:pt idx="3">
                  <c:v>0.19604361566204961</c:v>
                </c:pt>
                <c:pt idx="4">
                  <c:v>0.19814716719117917</c:v>
                </c:pt>
                <c:pt idx="5">
                  <c:v>0.2004222355376552</c:v>
                </c:pt>
                <c:pt idx="6">
                  <c:v>0.13696170933010529</c:v>
                </c:pt>
                <c:pt idx="7">
                  <c:v>0.12525654872792436</c:v>
                </c:pt>
                <c:pt idx="8">
                  <c:v>0.17042443962464807</c:v>
                </c:pt>
                <c:pt idx="9">
                  <c:v>0.17045083691640134</c:v>
                </c:pt>
                <c:pt idx="10">
                  <c:v>0.1567577752055124</c:v>
                </c:pt>
                <c:pt idx="11">
                  <c:v>0.12084344632389665</c:v>
                </c:pt>
                <c:pt idx="12">
                  <c:v>0.1486110116603202</c:v>
                </c:pt>
                <c:pt idx="13">
                  <c:v>0.15849186608923849</c:v>
                </c:pt>
                <c:pt idx="14">
                  <c:v>0.16057785458255333</c:v>
                </c:pt>
                <c:pt idx="15">
                  <c:v>0.18708932520927074</c:v>
                </c:pt>
                <c:pt idx="16">
                  <c:v>0.20604441138903973</c:v>
                </c:pt>
                <c:pt idx="17">
                  <c:v>0.19927552072520416</c:v>
                </c:pt>
                <c:pt idx="18">
                  <c:v>0.2109243887233786</c:v>
                </c:pt>
                <c:pt idx="19">
                  <c:v>0.20614336391307878</c:v>
                </c:pt>
                <c:pt idx="20">
                  <c:v>0.21334416159512457</c:v>
                </c:pt>
                <c:pt idx="21">
                  <c:v>0.20767423713304889</c:v>
                </c:pt>
                <c:pt idx="22">
                  <c:v>0.20910541399438201</c:v>
                </c:pt>
                <c:pt idx="23">
                  <c:v>0.2383713122450922</c:v>
                </c:pt>
                <c:pt idx="24">
                  <c:v>0.2450963228827012</c:v>
                </c:pt>
                <c:pt idx="25">
                  <c:v>0.25641687554159037</c:v>
                </c:pt>
                <c:pt idx="26">
                  <c:v>0.25071607946717328</c:v>
                </c:pt>
                <c:pt idx="27">
                  <c:v>0.20799677367372221</c:v>
                </c:pt>
                <c:pt idx="28">
                  <c:v>0.19350189271555665</c:v>
                </c:pt>
                <c:pt idx="29">
                  <c:v>0.20140962097478887</c:v>
                </c:pt>
                <c:pt idx="30">
                  <c:v>0.19714471963648084</c:v>
                </c:pt>
                <c:pt idx="31">
                  <c:v>0.19486703927556795</c:v>
                </c:pt>
                <c:pt idx="32">
                  <c:v>0.20036511134389121</c:v>
                </c:pt>
                <c:pt idx="33">
                  <c:v>0.19802046433977363</c:v>
                </c:pt>
                <c:pt idx="34">
                  <c:v>0.17445096843345467</c:v>
                </c:pt>
                <c:pt idx="35">
                  <c:v>0.1693595379519221</c:v>
                </c:pt>
                <c:pt idx="36">
                  <c:v>0.16635364563662849</c:v>
                </c:pt>
                <c:pt idx="37">
                  <c:v>0.1733133975328584</c:v>
                </c:pt>
                <c:pt idx="38">
                  <c:v>0.14425738664328466</c:v>
                </c:pt>
                <c:pt idx="39">
                  <c:v>0.13509494732876748</c:v>
                </c:pt>
                <c:pt idx="40">
                  <c:v>0.14348180693934995</c:v>
                </c:pt>
                <c:pt idx="41">
                  <c:v>0.15529586549756969</c:v>
                </c:pt>
                <c:pt idx="42">
                  <c:v>0.14185531976901597</c:v>
                </c:pt>
                <c:pt idx="43">
                  <c:v>0.10894153179583779</c:v>
                </c:pt>
                <c:pt idx="44">
                  <c:v>9.4957539360324583E-2</c:v>
                </c:pt>
                <c:pt idx="45">
                  <c:v>9.0804793644127538E-2</c:v>
                </c:pt>
                <c:pt idx="46">
                  <c:v>9.1022505009851096E-2</c:v>
                </c:pt>
                <c:pt idx="47">
                  <c:v>0.10268939544666299</c:v>
                </c:pt>
                <c:pt idx="48">
                  <c:v>0.10365103073872539</c:v>
                </c:pt>
                <c:pt idx="49">
                  <c:v>8.9380373852899195E-2</c:v>
                </c:pt>
                <c:pt idx="50">
                  <c:v>0.112968013759551</c:v>
                </c:pt>
                <c:pt idx="51">
                  <c:v>0.10169364392340874</c:v>
                </c:pt>
                <c:pt idx="52">
                  <c:v>0.10712987728739487</c:v>
                </c:pt>
                <c:pt idx="53">
                  <c:v>0.10599015833927616</c:v>
                </c:pt>
                <c:pt idx="54">
                  <c:v>0.13736001738223128</c:v>
                </c:pt>
                <c:pt idx="55">
                  <c:v>0.14830020326718307</c:v>
                </c:pt>
                <c:pt idx="56">
                  <c:v>0.11194017711431017</c:v>
                </c:pt>
                <c:pt idx="57">
                  <c:v>9.8474569904115572E-2</c:v>
                </c:pt>
                <c:pt idx="58">
                  <c:v>0.10873774012258448</c:v>
                </c:pt>
                <c:pt idx="59">
                  <c:v>0.10584196691510332</c:v>
                </c:pt>
                <c:pt idx="60">
                  <c:v>0.10422602724691404</c:v>
                </c:pt>
                <c:pt idx="61">
                  <c:v>0.11488800320329962</c:v>
                </c:pt>
                <c:pt idx="62">
                  <c:v>0.11087503066957866</c:v>
                </c:pt>
                <c:pt idx="63">
                  <c:v>0.11019959702511288</c:v>
                </c:pt>
                <c:pt idx="64">
                  <c:v>0.11816015220811564</c:v>
                </c:pt>
                <c:pt idx="65">
                  <c:v>0.10309463071201544</c:v>
                </c:pt>
                <c:pt idx="66">
                  <c:v>0.12026753934472056</c:v>
                </c:pt>
                <c:pt idx="67">
                  <c:v>0.10103720344664151</c:v>
                </c:pt>
                <c:pt idx="68">
                  <c:v>9.6883069326017451E-2</c:v>
                </c:pt>
                <c:pt idx="69">
                  <c:v>9.9682163815064104E-2</c:v>
                </c:pt>
                <c:pt idx="70">
                  <c:v>9.1625608995787686E-2</c:v>
                </c:pt>
                <c:pt idx="71">
                  <c:v>9.3177375566599566E-2</c:v>
                </c:pt>
                <c:pt idx="72">
                  <c:v>9.3727449260184406E-2</c:v>
                </c:pt>
                <c:pt idx="73">
                  <c:v>9.3896733554941061E-2</c:v>
                </c:pt>
                <c:pt idx="74">
                  <c:v>8.2693430121868153E-2</c:v>
                </c:pt>
                <c:pt idx="75">
                  <c:v>8.0400224074011803E-2</c:v>
                </c:pt>
                <c:pt idx="76">
                  <c:v>9.972577259582599E-2</c:v>
                </c:pt>
                <c:pt idx="77">
                  <c:v>0.11310365828300996</c:v>
                </c:pt>
                <c:pt idx="78">
                  <c:v>0.11566106390942013</c:v>
                </c:pt>
                <c:pt idx="79">
                  <c:v>0.11862140030491881</c:v>
                </c:pt>
                <c:pt idx="80">
                  <c:v>0.1255853508946406</c:v>
                </c:pt>
                <c:pt idx="81">
                  <c:v>0.12680163408790585</c:v>
                </c:pt>
                <c:pt idx="82">
                  <c:v>0.14076294918819199</c:v>
                </c:pt>
                <c:pt idx="83">
                  <c:v>0.14176930073746052</c:v>
                </c:pt>
                <c:pt idx="84">
                  <c:v>0.13270381926553604</c:v>
                </c:pt>
                <c:pt idx="85">
                  <c:v>0.15362598991500484</c:v>
                </c:pt>
                <c:pt idx="86">
                  <c:v>0.14566722660220274</c:v>
                </c:pt>
                <c:pt idx="87">
                  <c:v>0.14761080762093856</c:v>
                </c:pt>
                <c:pt idx="88">
                  <c:v>0.16159003153397086</c:v>
                </c:pt>
                <c:pt idx="89">
                  <c:v>0.16441699743840854</c:v>
                </c:pt>
                <c:pt idx="90">
                  <c:v>0.16030272384423774</c:v>
                </c:pt>
                <c:pt idx="91">
                  <c:v>0.15188214659442253</c:v>
                </c:pt>
                <c:pt idx="92">
                  <c:v>0.16345209671457653</c:v>
                </c:pt>
                <c:pt idx="93">
                  <c:v>0.16377833271849571</c:v>
                </c:pt>
                <c:pt idx="94">
                  <c:v>0.15902336777271875</c:v>
                </c:pt>
                <c:pt idx="95">
                  <c:v>0.1584893368685126</c:v>
                </c:pt>
                <c:pt idx="96">
                  <c:v>0.18177110282111925</c:v>
                </c:pt>
                <c:pt idx="97">
                  <c:v>0.18632296141278373</c:v>
                </c:pt>
                <c:pt idx="98">
                  <c:v>0.18880560663911025</c:v>
                </c:pt>
                <c:pt idx="99">
                  <c:v>0.18581462472703686</c:v>
                </c:pt>
                <c:pt idx="100">
                  <c:v>0.18053510087664679</c:v>
                </c:pt>
                <c:pt idx="101">
                  <c:v>0.17884973644400565</c:v>
                </c:pt>
                <c:pt idx="102">
                  <c:v>0.17807522037427373</c:v>
                </c:pt>
                <c:pt idx="103">
                  <c:v>0.17543299772109</c:v>
                </c:pt>
                <c:pt idx="104">
                  <c:v>0.17821193009239616</c:v>
                </c:pt>
                <c:pt idx="105">
                  <c:v>0.19689615686063761</c:v>
                </c:pt>
                <c:pt idx="106">
                  <c:v>0.16314714489856924</c:v>
                </c:pt>
                <c:pt idx="107">
                  <c:v>0.16928269612161539</c:v>
                </c:pt>
                <c:pt idx="108">
                  <c:v>0.16988389331891945</c:v>
                </c:pt>
                <c:pt idx="109">
                  <c:v>0.1718135361032985</c:v>
                </c:pt>
                <c:pt idx="110">
                  <c:v>0.16496197296951778</c:v>
                </c:pt>
                <c:pt idx="111">
                  <c:v>0.18196905010930881</c:v>
                </c:pt>
                <c:pt idx="112">
                  <c:v>0.13058657382768962</c:v>
                </c:pt>
                <c:pt idx="113">
                  <c:v>0.12357629824996542</c:v>
                </c:pt>
                <c:pt idx="114">
                  <c:v>0.1867928382639206</c:v>
                </c:pt>
                <c:pt idx="115">
                  <c:v>0.21871525301555172</c:v>
                </c:pt>
                <c:pt idx="116">
                  <c:v>0.2316564956298944</c:v>
                </c:pt>
                <c:pt idx="117">
                  <c:v>0.25118751995076022</c:v>
                </c:pt>
                <c:pt idx="118">
                  <c:v>0.26884064752529374</c:v>
                </c:pt>
                <c:pt idx="119">
                  <c:v>0.27573353340564494</c:v>
                </c:pt>
                <c:pt idx="120">
                  <c:v>0.26847470772338095</c:v>
                </c:pt>
                <c:pt idx="121">
                  <c:v>0.26192756381311355</c:v>
                </c:pt>
                <c:pt idx="122">
                  <c:v>0.24943914506202167</c:v>
                </c:pt>
                <c:pt idx="123">
                  <c:v>0.25254236448843725</c:v>
                </c:pt>
                <c:pt idx="124">
                  <c:v>0.25250619454545725</c:v>
                </c:pt>
                <c:pt idx="125">
                  <c:v>0.29517301423441911</c:v>
                </c:pt>
                <c:pt idx="126">
                  <c:v>0.29508344999082586</c:v>
                </c:pt>
                <c:pt idx="127">
                  <c:v>0.29211696367872098</c:v>
                </c:pt>
                <c:pt idx="128">
                  <c:v>0.2884624813048649</c:v>
                </c:pt>
                <c:pt idx="129">
                  <c:v>0.28938907520717644</c:v>
                </c:pt>
                <c:pt idx="130">
                  <c:v>0.29934541154752797</c:v>
                </c:pt>
                <c:pt idx="131">
                  <c:v>0.27768558086667605</c:v>
                </c:pt>
                <c:pt idx="132">
                  <c:v>0.24585799633308317</c:v>
                </c:pt>
                <c:pt idx="133">
                  <c:v>0.24305059500440307</c:v>
                </c:pt>
                <c:pt idx="134">
                  <c:v>0.24608453121787449</c:v>
                </c:pt>
                <c:pt idx="135">
                  <c:v>0.23767737339215908</c:v>
                </c:pt>
                <c:pt idx="136">
                  <c:v>0.20958335541218853</c:v>
                </c:pt>
                <c:pt idx="137">
                  <c:v>0.17614315648938708</c:v>
                </c:pt>
                <c:pt idx="138">
                  <c:v>0.17411455499489592</c:v>
                </c:pt>
                <c:pt idx="139">
                  <c:v>0.18019325572471367</c:v>
                </c:pt>
                <c:pt idx="140">
                  <c:v>0.1747353049289872</c:v>
                </c:pt>
                <c:pt idx="141">
                  <c:v>0.19252140711247082</c:v>
                </c:pt>
                <c:pt idx="142">
                  <c:v>0.18585561272989065</c:v>
                </c:pt>
                <c:pt idx="143">
                  <c:v>0.18805758631971467</c:v>
                </c:pt>
                <c:pt idx="144">
                  <c:v>0.19156986767541465</c:v>
                </c:pt>
                <c:pt idx="145">
                  <c:v>0.18963729942770138</c:v>
                </c:pt>
                <c:pt idx="146">
                  <c:v>0.14601483830492598</c:v>
                </c:pt>
                <c:pt idx="147">
                  <c:v>0.12235889282520217</c:v>
                </c:pt>
                <c:pt idx="148">
                  <c:v>0.12998196794717201</c:v>
                </c:pt>
                <c:pt idx="149">
                  <c:v>9.8744661528946759E-2</c:v>
                </c:pt>
                <c:pt idx="150">
                  <c:v>0.12172749751860278</c:v>
                </c:pt>
                <c:pt idx="151">
                  <c:v>0.1277807460859309</c:v>
                </c:pt>
                <c:pt idx="152">
                  <c:v>9.3496811689340112E-2</c:v>
                </c:pt>
                <c:pt idx="153">
                  <c:v>6.4558059753621042E-2</c:v>
                </c:pt>
                <c:pt idx="154">
                  <c:v>6.5174747059760438E-2</c:v>
                </c:pt>
                <c:pt idx="155">
                  <c:v>0.15656013699196991</c:v>
                </c:pt>
                <c:pt idx="156">
                  <c:v>0.19396895177026635</c:v>
                </c:pt>
                <c:pt idx="157">
                  <c:v>8.9091031597855738E-2</c:v>
                </c:pt>
                <c:pt idx="158">
                  <c:v>9.6101742568250367E-2</c:v>
                </c:pt>
                <c:pt idx="159">
                  <c:v>7.8048564346059182E-2</c:v>
                </c:pt>
                <c:pt idx="160">
                  <c:v>7.8227541894107411E-2</c:v>
                </c:pt>
                <c:pt idx="161">
                  <c:v>7.8176925155726287E-2</c:v>
                </c:pt>
                <c:pt idx="162">
                  <c:v>9.0229695660209649E-2</c:v>
                </c:pt>
                <c:pt idx="163">
                  <c:v>6.5104627113800093E-2</c:v>
                </c:pt>
                <c:pt idx="164">
                  <c:v>6.8890689353812581E-2</c:v>
                </c:pt>
                <c:pt idx="165">
                  <c:v>6.4961368498462776E-2</c:v>
                </c:pt>
                <c:pt idx="166">
                  <c:v>0.12471961475655126</c:v>
                </c:pt>
                <c:pt idx="167">
                  <c:v>0.14955346069672942</c:v>
                </c:pt>
                <c:pt idx="168">
                  <c:v>0.16506035039331013</c:v>
                </c:pt>
                <c:pt idx="169">
                  <c:v>0.16300020675775254</c:v>
                </c:pt>
                <c:pt idx="170">
                  <c:v>0.10336327836249053</c:v>
                </c:pt>
                <c:pt idx="171">
                  <c:v>8.7621051526641333E-2</c:v>
                </c:pt>
                <c:pt idx="172">
                  <c:v>7.5180122883951706E-2</c:v>
                </c:pt>
                <c:pt idx="173">
                  <c:v>4.611987193153478E-2</c:v>
                </c:pt>
                <c:pt idx="174">
                  <c:v>2.6107293419621713E-2</c:v>
                </c:pt>
                <c:pt idx="175">
                  <c:v>3.9892272482253292E-2</c:v>
                </c:pt>
                <c:pt idx="176">
                  <c:v>7.1651056060791302E-3</c:v>
                </c:pt>
                <c:pt idx="177">
                  <c:v>0.11427636715073049</c:v>
                </c:pt>
                <c:pt idx="178">
                  <c:v>2.7769867117082275E-2</c:v>
                </c:pt>
                <c:pt idx="179">
                  <c:v>2.2674258483330805E-2</c:v>
                </c:pt>
                <c:pt idx="180">
                  <c:v>1.6827534892408408E-5</c:v>
                </c:pt>
                <c:pt idx="181">
                  <c:v>2.0873743269929062E-5</c:v>
                </c:pt>
                <c:pt idx="182">
                  <c:v>2.328796758086864E-5</c:v>
                </c:pt>
                <c:pt idx="183">
                  <c:v>2.27960192784355E-5</c:v>
                </c:pt>
                <c:pt idx="184">
                  <c:v>1.9349014044414219E-5</c:v>
                </c:pt>
                <c:pt idx="185">
                  <c:v>2.0008116342164251E-5</c:v>
                </c:pt>
                <c:pt idx="186">
                  <c:v>1.3804609677754051E-5</c:v>
                </c:pt>
                <c:pt idx="187">
                  <c:v>1.0038969124253848E-5</c:v>
                </c:pt>
                <c:pt idx="188">
                  <c:v>8.8772817401259868E-6</c:v>
                </c:pt>
                <c:pt idx="189">
                  <c:v>7.8612300750050866E-6</c:v>
                </c:pt>
                <c:pt idx="190">
                  <c:v>6.5113041585156864E-2</c:v>
                </c:pt>
                <c:pt idx="191">
                  <c:v>3.208063309425583E-2</c:v>
                </c:pt>
                <c:pt idx="192">
                  <c:v>1.2058792694101723E-2</c:v>
                </c:pt>
                <c:pt idx="193">
                  <c:v>1.452002073129947E-2</c:v>
                </c:pt>
                <c:pt idx="194">
                  <c:v>1.6175864566915124E-2</c:v>
                </c:pt>
                <c:pt idx="195">
                  <c:v>1.2996488582269559E-2</c:v>
                </c:pt>
                <c:pt idx="196">
                  <c:v>1.8015522105025664E-2</c:v>
                </c:pt>
                <c:pt idx="197">
                  <c:v>1.738943769216969E-2</c:v>
                </c:pt>
                <c:pt idx="198">
                  <c:v>2.6509440107198089E-2</c:v>
                </c:pt>
                <c:pt idx="199">
                  <c:v>2.9948672257200673E-2</c:v>
                </c:pt>
                <c:pt idx="200">
                  <c:v>3.4733209693403932E-2</c:v>
                </c:pt>
                <c:pt idx="201">
                  <c:v>3.7719460672929937E-2</c:v>
                </c:pt>
                <c:pt idx="202">
                  <c:v>3.6975975726238258E-2</c:v>
                </c:pt>
                <c:pt idx="203">
                  <c:v>3.4036430565694151E-2</c:v>
                </c:pt>
                <c:pt idx="204">
                  <c:v>4.1435447346516809E-2</c:v>
                </c:pt>
                <c:pt idx="205">
                  <c:v>4.168162261375969E-2</c:v>
                </c:pt>
                <c:pt idx="206">
                  <c:v>4.4913830344059533E-2</c:v>
                </c:pt>
                <c:pt idx="207">
                  <c:v>4.5911356082575183E-2</c:v>
                </c:pt>
                <c:pt idx="208">
                  <c:v>4.1913771520996138E-2</c:v>
                </c:pt>
                <c:pt idx="209">
                  <c:v>4.1917820759470953E-2</c:v>
                </c:pt>
                <c:pt idx="210">
                  <c:v>5.9863945720191603E-2</c:v>
                </c:pt>
                <c:pt idx="211">
                  <c:v>0.12156337420685724</c:v>
                </c:pt>
                <c:pt idx="212">
                  <c:v>0.14440432946993312</c:v>
                </c:pt>
                <c:pt idx="213">
                  <c:v>7.4917725163837837E-2</c:v>
                </c:pt>
                <c:pt idx="214">
                  <c:v>8.2347252801939205E-2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0B-4CAF-8E73-CFE58C75D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241776"/>
        <c:axId val="2101238448"/>
      </c:areaChart>
      <c:dateAx>
        <c:axId val="21012417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01238448"/>
        <c:crosses val="autoZero"/>
        <c:auto val="1"/>
        <c:lblOffset val="100"/>
        <c:baseTimeUnit val="days"/>
      </c:dateAx>
      <c:valAx>
        <c:axId val="2101238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01241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866775</xdr:colOff>
          <xdr:row>2</xdr:row>
          <xdr:rowOff>161925</xdr:rowOff>
        </xdr:from>
        <xdr:to>
          <xdr:col>12</xdr:col>
          <xdr:colOff>1000125</xdr:colOff>
          <xdr:row>4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计算Beta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271463</xdr:colOff>
      <xdr:row>183</xdr:row>
      <xdr:rowOff>0</xdr:rowOff>
    </xdr:from>
    <xdr:to>
      <xdr:col>17</xdr:col>
      <xdr:colOff>328613</xdr:colOff>
      <xdr:row>203</xdr:row>
      <xdr:rowOff>104775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</xdr:colOff>
      <xdr:row>2</xdr:row>
      <xdr:rowOff>61914</xdr:rowOff>
    </xdr:from>
    <xdr:to>
      <xdr:col>13</xdr:col>
      <xdr:colOff>100012</xdr:colOff>
      <xdr:row>18</xdr:row>
      <xdr:rowOff>61914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WindFunc"/>
    </sheetNames>
    <definedNames>
      <definedName name="f_info_manager_longestfundmanager"/>
      <definedName name="f_info_manager_startdate"/>
      <definedName name="f_info_name"/>
      <definedName name="f_info_setupdate"/>
      <definedName name="f_nav_adjusted"/>
      <definedName name="f_nav_adjustedreturn"/>
      <definedName name="HisQuote"/>
      <definedName name="i_dq_pctchange"/>
      <definedName name="i_pq_pctchange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V2125"/>
  <sheetViews>
    <sheetView topLeftCell="P16" workbookViewId="0">
      <selection activeCell="S30" sqref="S30"/>
    </sheetView>
  </sheetViews>
  <sheetFormatPr defaultRowHeight="13.5" x14ac:dyDescent="0.3"/>
  <cols>
    <col min="1" max="1" width="12.86328125" customWidth="1"/>
    <col min="2" max="2" width="19.46484375" customWidth="1"/>
    <col min="3" max="3" width="16.3984375" customWidth="1"/>
    <col min="4" max="4" width="14.73046875" customWidth="1"/>
    <col min="5" max="5" width="14.3984375" customWidth="1"/>
    <col min="6" max="6" width="13.265625" customWidth="1"/>
    <col min="8" max="8" width="11.3984375" customWidth="1"/>
    <col min="9" max="9" width="12.3984375" customWidth="1"/>
    <col min="10" max="10" width="11.73046875" customWidth="1"/>
    <col min="12" max="12" width="12.265625" customWidth="1"/>
    <col min="13" max="13" width="14.46484375" customWidth="1"/>
    <col min="14" max="14" width="9.46484375" bestFit="1" customWidth="1"/>
    <col min="15" max="15" width="11" customWidth="1"/>
    <col min="18" max="18" width="12.265625" customWidth="1"/>
    <col min="19" max="19" width="19.59765625" customWidth="1"/>
    <col min="20" max="20" width="15.46484375" customWidth="1"/>
    <col min="21" max="21" width="15.3984375" customWidth="1"/>
    <col min="22" max="22" width="16.59765625" customWidth="1"/>
    <col min="23" max="23" width="13.1328125" customWidth="1"/>
    <col min="24" max="24" width="12.46484375" customWidth="1"/>
    <col min="25" max="25" width="13.59765625" customWidth="1"/>
    <col min="29" max="29" width="6.1328125" customWidth="1"/>
    <col min="30" max="30" width="11.59765625" bestFit="1" customWidth="1"/>
    <col min="31" max="31" width="13.59765625" customWidth="1"/>
    <col min="32" max="32" width="12.86328125" customWidth="1"/>
    <col min="33" max="33" width="15.86328125" customWidth="1"/>
    <col min="34" max="34" width="14.3984375" customWidth="1"/>
    <col min="35" max="35" width="13.1328125" customWidth="1"/>
    <col min="36" max="39" width="11.46484375" customWidth="1"/>
    <col min="45" max="45" width="14.1328125" style="24" customWidth="1"/>
    <col min="46" max="47" width="9" style="24"/>
    <col min="48" max="48" width="10.59765625" style="24" customWidth="1"/>
  </cols>
  <sheetData>
    <row r="1" spans="1:47" x14ac:dyDescent="0.3">
      <c r="A1" s="2"/>
      <c r="B1" s="1" t="s">
        <v>17</v>
      </c>
      <c r="C1" s="7" t="s">
        <v>3</v>
      </c>
      <c r="D1" s="7" t="s">
        <v>5</v>
      </c>
      <c r="E1" s="7" t="s">
        <v>7</v>
      </c>
      <c r="F1" s="8" t="s">
        <v>55</v>
      </c>
      <c r="H1" s="7" t="s">
        <v>11</v>
      </c>
      <c r="I1" s="7" t="s">
        <v>12</v>
      </c>
      <c r="J1" s="7" t="s">
        <v>13</v>
      </c>
      <c r="K1" s="7" t="s">
        <v>25</v>
      </c>
      <c r="L1" t="s">
        <v>8</v>
      </c>
      <c r="M1">
        <v>1</v>
      </c>
      <c r="N1" s="5" t="e">
        <f>AVERAGE(B4:B23)</f>
        <v>#N/A</v>
      </c>
      <c r="O1" t="s">
        <v>16</v>
      </c>
      <c r="P1" s="9" t="e">
        <f>SUM(I4:I23)</f>
        <v>#N/A</v>
      </c>
      <c r="Q1" t="e">
        <f>SUM(H4:H63)</f>
        <v>#N/A</v>
      </c>
      <c r="R1" s="11" t="e">
        <f>1-P1/Q1</f>
        <v>#N/A</v>
      </c>
      <c r="AD1" t="s">
        <v>34</v>
      </c>
      <c r="AE1" s="2"/>
      <c r="AF1" s="1" t="str">
        <f>AL1</f>
        <v>160215.OF</v>
      </c>
      <c r="AG1" s="2" t="str">
        <f>[1]!HisQuote("[000300.SH,000905.SH,000852.SH]","[PctChg]","1",T9,T10,-1,"M",1,2,1,1,1,1,2,1,1,,1)</f>
        <v>Wind</v>
      </c>
      <c r="AH1" s="1" t="s">
        <v>2</v>
      </c>
      <c r="AI1" s="1" t="s">
        <v>4</v>
      </c>
      <c r="AJ1" s="1" t="s">
        <v>6</v>
      </c>
      <c r="AK1" s="2" t="s">
        <v>75</v>
      </c>
      <c r="AL1" s="1" t="s">
        <v>72</v>
      </c>
      <c r="AM1" s="1"/>
      <c r="AR1" t="e">
        <f>IF(AR3&lt;0.001,TRUE,fasle)</f>
        <v>#NAME?</v>
      </c>
    </row>
    <row r="2" spans="1:47" x14ac:dyDescent="0.3">
      <c r="B2" s="1"/>
      <c r="C2" s="18">
        <v>0.14000000000000001</v>
      </c>
      <c r="D2" s="18">
        <v>0.32</v>
      </c>
      <c r="E2" s="18">
        <v>0</v>
      </c>
      <c r="F2" s="18">
        <v>0.54</v>
      </c>
      <c r="G2" s="7" t="s">
        <v>10</v>
      </c>
      <c r="H2" s="18">
        <v>0.14000000000000001</v>
      </c>
      <c r="I2" s="18">
        <v>0.32</v>
      </c>
      <c r="J2" s="18">
        <v>0</v>
      </c>
      <c r="K2" s="18">
        <v>0.54</v>
      </c>
      <c r="L2" t="s">
        <v>9</v>
      </c>
      <c r="M2" s="19" t="e">
        <f>SUM(G4:G23)/100/60</f>
        <v>#N/A</v>
      </c>
      <c r="N2" t="s">
        <v>48</v>
      </c>
      <c r="P2" t="s">
        <v>46</v>
      </c>
      <c r="Q2" s="9" t="s">
        <v>45</v>
      </c>
      <c r="R2" t="s">
        <v>47</v>
      </c>
      <c r="T2" t="b">
        <f>AE4=AG4</f>
        <v>1</v>
      </c>
      <c r="AF2" s="1" t="s">
        <v>76</v>
      </c>
      <c r="AG2" s="1"/>
      <c r="AH2" s="1" t="s">
        <v>30</v>
      </c>
      <c r="AI2" s="1" t="s">
        <v>31</v>
      </c>
      <c r="AJ2" s="1" t="s">
        <v>32</v>
      </c>
      <c r="AK2" s="1"/>
      <c r="AL2" s="1" t="s">
        <v>77</v>
      </c>
      <c r="AM2" s="4">
        <f>AG4-7</f>
        <v>41635</v>
      </c>
    </row>
    <row r="3" spans="1:47" x14ac:dyDescent="0.3">
      <c r="A3" s="1" t="s">
        <v>0</v>
      </c>
      <c r="B3" s="1" t="s">
        <v>1</v>
      </c>
      <c r="H3" t="s">
        <v>15</v>
      </c>
      <c r="I3" t="s">
        <v>42</v>
      </c>
      <c r="J3" t="s">
        <v>14</v>
      </c>
      <c r="K3" s="11">
        <v>2.8790272224141389E-3</v>
      </c>
      <c r="T3" t="b">
        <f>AK4=AG4</f>
        <v>1</v>
      </c>
      <c r="AD3" s="3"/>
      <c r="AE3" s="1" t="s">
        <v>0</v>
      </c>
      <c r="AF3" s="1"/>
      <c r="AG3" s="1" t="s">
        <v>0</v>
      </c>
      <c r="AH3" s="1" t="s">
        <v>39</v>
      </c>
      <c r="AI3" s="1" t="s">
        <v>39</v>
      </c>
      <c r="AJ3" s="1" t="s">
        <v>39</v>
      </c>
      <c r="AK3" s="1" t="s">
        <v>0</v>
      </c>
      <c r="AL3" s="1" t="s">
        <v>50</v>
      </c>
      <c r="AM3" s="1">
        <f>[1]!f_nav_adjusted(AL1,AM2)</f>
        <v>0.84699999999999998</v>
      </c>
      <c r="AN3" s="1" t="s">
        <v>51</v>
      </c>
      <c r="AR3" s="24">
        <f>SUM(AR5:AU23)</f>
        <v>2.9549111748513499</v>
      </c>
    </row>
    <row r="4" spans="1:47" x14ac:dyDescent="0.3">
      <c r="A4" s="4">
        <v>43175</v>
      </c>
      <c r="B4" s="6">
        <v>-1.1138481032961223</v>
      </c>
      <c r="C4" s="6">
        <v>-1.2763279999999999</v>
      </c>
      <c r="D4" s="6">
        <v>-0.97744200000000003</v>
      </c>
      <c r="E4" s="6">
        <v>-0.45634400000000003</v>
      </c>
      <c r="F4">
        <v>0</v>
      </c>
      <c r="G4">
        <f>(SUMPRODUCT(C$2:F$2,C4:F4)-B4)^2</f>
        <v>0.38735778962583362</v>
      </c>
      <c r="H4" t="e">
        <f>(B4-$N$1)^2</f>
        <v>#N/A</v>
      </c>
      <c r="I4" s="9">
        <f>(SUMPRODUCT(C$2:F$2,C4:F4)-B4)^2</f>
        <v>0.38735778962583362</v>
      </c>
      <c r="S4" t="s">
        <v>74</v>
      </c>
      <c r="T4" t="b">
        <f>T7=AF2</f>
        <v>0</v>
      </c>
      <c r="AD4">
        <v>1</v>
      </c>
      <c r="AE4" s="4">
        <f>AG4</f>
        <v>41642</v>
      </c>
      <c r="AF4" s="6">
        <f>AM4</f>
        <v>17.820027705592743</v>
      </c>
      <c r="AG4" s="4">
        <v>41642</v>
      </c>
      <c r="AH4" s="6">
        <v>-0.37743700000000002</v>
      </c>
      <c r="AI4" s="6">
        <v>8.6887000000000006E-2</v>
      </c>
      <c r="AJ4" s="6">
        <v>0.98625300000000005</v>
      </c>
      <c r="AK4" s="4">
        <v>41642</v>
      </c>
      <c r="AL4" s="6">
        <f>VLOOKUP(AK4,Sheet3!$A$1:$B$1113,2,FALSE)</f>
        <v>0.99793563466637047</v>
      </c>
      <c r="AM4" s="6">
        <f>(AL4/AM3-1)*100</f>
        <v>17.820027705592743</v>
      </c>
      <c r="AN4" s="22">
        <f>[1]!f_nav_adjustedreturn(AL$1,AM2+1,AK4)</f>
        <v>-1.062573789846518</v>
      </c>
      <c r="AO4" s="1" t="s">
        <v>30</v>
      </c>
      <c r="AP4" s="1" t="s">
        <v>31</v>
      </c>
      <c r="AQ4" s="1" t="s">
        <v>32</v>
      </c>
      <c r="AR4" s="26">
        <f>AM4-AN4</f>
        <v>18.88260149543926</v>
      </c>
    </row>
    <row r="5" spans="1:47" x14ac:dyDescent="0.3">
      <c r="A5" s="4">
        <v>43182</v>
      </c>
      <c r="B5" s="6">
        <v>-4.3934110207793475</v>
      </c>
      <c r="C5" s="6">
        <v>-3.7345000000000002</v>
      </c>
      <c r="D5" s="6">
        <v>-5.8434039999999996</v>
      </c>
      <c r="E5" s="6">
        <v>-5.9217909999999998</v>
      </c>
      <c r="F5">
        <v>0</v>
      </c>
      <c r="G5">
        <f t="shared" ref="G5:G23" si="0">(SUMPRODUCT(C$2:F$2,C5:F5)-B5)^2</f>
        <v>4.0027674416226953</v>
      </c>
      <c r="H5" t="e">
        <f t="shared" ref="H5:H23" si="1">(B5-$N$1)^2</f>
        <v>#N/A</v>
      </c>
      <c r="I5" s="9">
        <f t="shared" ref="I5:I23" si="2">(SUMPRODUCT(C$2:F$2,C5:F5)-B5)^2</f>
        <v>4.0027674416226953</v>
      </c>
      <c r="T5" t="e">
        <f>AR1</f>
        <v>#NAME?</v>
      </c>
      <c r="V5" s="14"/>
      <c r="AC5">
        <f>IF(AE5&lt;=AE4,1,0)</f>
        <v>0</v>
      </c>
      <c r="AD5">
        <v>2</v>
      </c>
      <c r="AE5" s="4">
        <f t="shared" ref="AE5:AE68" si="3">AG5</f>
        <v>41649</v>
      </c>
      <c r="AF5" s="6">
        <f t="shared" ref="AF5:AF68" si="4">AM5</f>
        <v>-2.4749404346811277</v>
      </c>
      <c r="AG5" s="4">
        <v>41649</v>
      </c>
      <c r="AH5" s="6">
        <v>-3.7510379999999999</v>
      </c>
      <c r="AI5" s="6">
        <v>-4.9178839999999999</v>
      </c>
      <c r="AJ5" s="6">
        <v>-3.9036379999999999</v>
      </c>
      <c r="AK5" s="4">
        <v>41649</v>
      </c>
      <c r="AL5" s="6">
        <f>VLOOKUP(AK5,Sheet3!$A$1:$B$1113,2,FALSE)</f>
        <v>0.97323732213192071</v>
      </c>
      <c r="AM5" s="6">
        <f>(AL5/AL4-1)*100</f>
        <v>-2.4749404346811277</v>
      </c>
      <c r="AN5">
        <f>[1]!f_nav_adjustedreturn(AL$1,$AK4+1,$AK5)</f>
        <v>-2.7446300715990479</v>
      </c>
      <c r="AO5">
        <f>[1]!i_pq_pctchange(AH$1,$AE4+1,$AE5)</f>
        <v>-3.7510384022203747</v>
      </c>
      <c r="AP5">
        <f>[1]!i_pq_pctchange(AI$1,$AE4+1,$AE5)</f>
        <v>-4.9178841584397004</v>
      </c>
      <c r="AQ5">
        <f>[1]!i_pq_pctchange(AJ$1,$AE4+1,$AE5)</f>
        <v>-3.9036380451071162</v>
      </c>
      <c r="AR5" s="24">
        <f t="shared" ref="AR5:AR23" si="5">AM5-AN5</f>
        <v>0.26968963691792025</v>
      </c>
      <c r="AS5" s="24">
        <f>AH5-AO5</f>
        <v>4.022203747844344E-7</v>
      </c>
      <c r="AT5" s="24">
        <f t="shared" ref="AT5:AU5" si="6">AI5-AP5</f>
        <v>1.5843970047058065E-7</v>
      </c>
      <c r="AU5" s="24">
        <f t="shared" si="6"/>
        <v>4.5107116264375691E-8</v>
      </c>
    </row>
    <row r="6" spans="1:47" x14ac:dyDescent="0.3">
      <c r="A6" s="16">
        <v>43189</v>
      </c>
      <c r="B6" s="6">
        <v>2.7991353901638982</v>
      </c>
      <c r="C6" s="6">
        <v>-0.16486300000000001</v>
      </c>
      <c r="D6" s="6">
        <v>5.6605720000000002</v>
      </c>
      <c r="E6" s="6">
        <v>6.1811980000000002</v>
      </c>
      <c r="F6">
        <v>0</v>
      </c>
      <c r="G6">
        <f t="shared" si="0"/>
        <v>1.0217836979035959</v>
      </c>
      <c r="H6" t="e">
        <f t="shared" si="1"/>
        <v>#N/A</v>
      </c>
      <c r="I6" s="9">
        <f t="shared" si="2"/>
        <v>1.0217836979035959</v>
      </c>
      <c r="J6">
        <f>[1]!i_dq_pctchange(D$1,$A6)</f>
        <v>1.3236601522236491</v>
      </c>
      <c r="K6">
        <f>[1]!i_dq_pctchange(E$1,$A6)</f>
        <v>1.711376250466512</v>
      </c>
      <c r="S6" t="s">
        <v>27</v>
      </c>
      <c r="T6" s="18" t="s">
        <v>73</v>
      </c>
      <c r="U6" t="str">
        <f>[1]!f_info_manager_longestfundmanager(T6,1)</f>
        <v>周伟锋</v>
      </c>
      <c r="V6" t="s">
        <v>37</v>
      </c>
      <c r="W6">
        <v>0</v>
      </c>
      <c r="AC6">
        <f t="shared" ref="AC6:AC69" si="7">IF(AE6&lt;=AE5,1,0)</f>
        <v>0</v>
      </c>
      <c r="AD6">
        <v>3</v>
      </c>
      <c r="AE6" s="4">
        <f t="shared" si="3"/>
        <v>41656</v>
      </c>
      <c r="AF6" s="6">
        <f t="shared" si="4"/>
        <v>0.71204810709195598</v>
      </c>
      <c r="AG6" s="4">
        <v>41656</v>
      </c>
      <c r="AH6" s="6">
        <v>-1.1956819999999999</v>
      </c>
      <c r="AI6" s="6">
        <v>1.192763</v>
      </c>
      <c r="AJ6" s="6">
        <v>2.0748389999999999</v>
      </c>
      <c r="AK6" s="4">
        <v>41656</v>
      </c>
      <c r="AL6" s="6">
        <f>VLOOKUP(AK6,Sheet3!$A$1:$B$1113,2,FALSE)</f>
        <v>0.98016724006167344</v>
      </c>
      <c r="AM6" s="6">
        <f t="shared" ref="AM6:AM69" si="8">(AL6/AL5-1)*100</f>
        <v>0.71204810709195598</v>
      </c>
      <c r="AN6">
        <f>[1]!f_nav_adjustedreturn(AL$1,$AK5+1,$AK6)</f>
        <v>-1.2269938650306624</v>
      </c>
      <c r="AO6">
        <f>[1]!i_pq_pctchange(AH$1,$AE5+1,$AE6)</f>
        <v>-1.1956817036616219</v>
      </c>
      <c r="AP6">
        <f>[1]!i_pq_pctchange(AI$1,$AE5+1,$AE6)</f>
        <v>1.1927628964508497</v>
      </c>
      <c r="AQ6">
        <f>[1]!i_pq_pctchange(AJ$1,$AE5+1,$AE6)</f>
        <v>2.0748389609363649</v>
      </c>
      <c r="AR6" s="24">
        <f t="shared" si="5"/>
        <v>1.9390419721226184</v>
      </c>
      <c r="AS6" s="24">
        <f t="shared" ref="AS6:AS23" si="9">AH6-AO6</f>
        <v>-2.9633837805853602E-7</v>
      </c>
      <c r="AT6" s="24">
        <f t="shared" ref="AT6:AT23" si="10">AI6-AP6</f>
        <v>1.0354915036536738E-7</v>
      </c>
      <c r="AU6" s="24">
        <f t="shared" ref="AU6:AU23" si="11">AJ6-AQ6</f>
        <v>3.9063634993397045E-8</v>
      </c>
    </row>
    <row r="7" spans="1:47" x14ac:dyDescent="0.3">
      <c r="A7" s="4">
        <v>43194</v>
      </c>
      <c r="B7" s="6">
        <v>-1.265105183625137</v>
      </c>
      <c r="C7" s="6">
        <v>-1.1192820000000001</v>
      </c>
      <c r="D7" s="6">
        <v>-1.58718</v>
      </c>
      <c r="E7" s="6">
        <v>-1.32006</v>
      </c>
      <c r="F7">
        <v>0</v>
      </c>
      <c r="G7">
        <f t="shared" si="0"/>
        <v>0.36060998251945825</v>
      </c>
      <c r="H7" t="e">
        <f t="shared" si="1"/>
        <v>#N/A</v>
      </c>
      <c r="I7" s="9">
        <f t="shared" si="2"/>
        <v>0.36060998251945825</v>
      </c>
      <c r="S7" t="s">
        <v>28</v>
      </c>
      <c r="T7" t="str">
        <f>[1]!f_info_name(T6)</f>
        <v>国泰价值经典</v>
      </c>
      <c r="U7" t="str">
        <f>[1]!f_info_manager_startdate(T6,1)</f>
        <v>2014-03-17</v>
      </c>
      <c r="V7" t="s">
        <v>38</v>
      </c>
      <c r="W7">
        <v>0</v>
      </c>
      <c r="AC7">
        <f t="shared" si="7"/>
        <v>0</v>
      </c>
      <c r="AD7">
        <v>4</v>
      </c>
      <c r="AE7" s="4">
        <f t="shared" si="3"/>
        <v>41663</v>
      </c>
      <c r="AF7" s="6">
        <f t="shared" si="4"/>
        <v>4.2039987940107659</v>
      </c>
      <c r="AG7" s="4">
        <v>41663</v>
      </c>
      <c r="AH7" s="6">
        <v>3.0842489999999998</v>
      </c>
      <c r="AI7" s="6">
        <v>5.7395940000000003</v>
      </c>
      <c r="AJ7" s="6">
        <v>5.6260009999999996</v>
      </c>
      <c r="AK7" s="4">
        <v>41663</v>
      </c>
      <c r="AL7" s="6">
        <f>VLOOKUP(AK7,Sheet3!$A$1:$B$1113,2,FALSE)</f>
        <v>1.0213734590131549</v>
      </c>
      <c r="AM7" s="6">
        <f t="shared" si="8"/>
        <v>4.2039987940107659</v>
      </c>
      <c r="AN7">
        <f>[1]!f_nav_adjustedreturn(AL$1,$AK6+1,$AK7)</f>
        <v>4.2236024844720399</v>
      </c>
      <c r="AO7">
        <f>[1]!i_pq_pctchange(AH$1,$AE6+1,$AE7)</f>
        <v>3.084249259119165</v>
      </c>
      <c r="AP7">
        <f>[1]!i_pq_pctchange(AI$1,$AE6+1,$AE7)</f>
        <v>5.7395936452777407</v>
      </c>
      <c r="AQ7">
        <f>[1]!i_pq_pctchange(AJ$1,$AE6+1,$AE7)</f>
        <v>5.6260010798164339</v>
      </c>
      <c r="AR7" s="24">
        <f t="shared" si="5"/>
        <v>-1.960369046127397E-2</v>
      </c>
      <c r="AS7" s="24">
        <f t="shared" si="9"/>
        <v>-2.5911916523568834E-7</v>
      </c>
      <c r="AT7" s="24">
        <f t="shared" si="10"/>
        <v>3.5472225956567627E-7</v>
      </c>
      <c r="AU7" s="24">
        <f t="shared" si="11"/>
        <v>-7.9816434350732379E-8</v>
      </c>
    </row>
    <row r="8" spans="1:47" x14ac:dyDescent="0.3">
      <c r="A8" s="4">
        <v>43203</v>
      </c>
      <c r="B8" s="6">
        <v>0.2947055422068745</v>
      </c>
      <c r="C8" s="6">
        <v>0.42237000000000002</v>
      </c>
      <c r="D8" s="6">
        <v>0.15787499999999999</v>
      </c>
      <c r="E8" s="6">
        <v>0.189911</v>
      </c>
      <c r="F8">
        <v>0</v>
      </c>
      <c r="G8">
        <f t="shared" si="0"/>
        <v>3.4244887504768361E-2</v>
      </c>
      <c r="H8" t="e">
        <f t="shared" si="1"/>
        <v>#N/A</v>
      </c>
      <c r="I8" s="9">
        <f t="shared" si="2"/>
        <v>3.4244887504768361E-2</v>
      </c>
      <c r="S8" t="s">
        <v>29</v>
      </c>
      <c r="T8" s="13" t="str">
        <f>[1]!f_info_setupdate($T$6)</f>
        <v>2010-08-13</v>
      </c>
      <c r="V8" t="s">
        <v>41</v>
      </c>
      <c r="W8">
        <f>(VLOOKUP(1,AC4:AD3113,2,0))-1</f>
        <v>236</v>
      </c>
      <c r="X8" s="15"/>
      <c r="AC8">
        <f t="shared" si="7"/>
        <v>0</v>
      </c>
      <c r="AD8">
        <v>5</v>
      </c>
      <c r="AE8" s="4">
        <f t="shared" si="3"/>
        <v>41669</v>
      </c>
      <c r="AF8" s="6">
        <f t="shared" si="4"/>
        <v>-0.44022632938721662</v>
      </c>
      <c r="AG8" s="4">
        <v>41669</v>
      </c>
      <c r="AH8" s="6">
        <v>-1.9249419999999999</v>
      </c>
      <c r="AI8" s="6">
        <v>7.0776000000000006E-2</v>
      </c>
      <c r="AJ8" s="6">
        <v>0.41300999999999999</v>
      </c>
      <c r="AK8" s="4">
        <v>41669</v>
      </c>
      <c r="AL8" s="6">
        <f>VLOOKUP(AK8,Sheet3!$A$1:$B$1113,2,FALSE)</f>
        <v>1.016877104125206</v>
      </c>
      <c r="AM8" s="6">
        <f t="shared" si="8"/>
        <v>-0.44022632938721662</v>
      </c>
      <c r="AN8">
        <f>[1]!f_nav_adjustedreturn(AL$1,$AK7+1,$AK8)</f>
        <v>-1.0727056019070333</v>
      </c>
      <c r="AO8">
        <f>[1]!i_pq_pctchange(AH$1,$AE7+1,$AE8)</f>
        <v>-1.9249420442289611</v>
      </c>
      <c r="AP8">
        <f>[1]!i_pq_pctchange(AI$1,$AE7+1,$AE8)</f>
        <v>7.0776074596134997E-2</v>
      </c>
      <c r="AQ8">
        <f>[1]!i_pq_pctchange(AJ$1,$AE7+1,$AE8)</f>
        <v>0.41300989694559309</v>
      </c>
      <c r="AR8" s="24">
        <f t="shared" si="5"/>
        <v>0.63247927251981673</v>
      </c>
      <c r="AS8" s="24">
        <f t="shared" si="9"/>
        <v>4.4228961160186486E-8</v>
      </c>
      <c r="AT8" s="24">
        <f t="shared" si="10"/>
        <v>-7.4596134991278262E-8</v>
      </c>
      <c r="AU8" s="24">
        <f t="shared" si="11"/>
        <v>1.0305440689695189E-7</v>
      </c>
    </row>
    <row r="9" spans="1:47" x14ac:dyDescent="0.3">
      <c r="A9" s="4">
        <v>43210</v>
      </c>
      <c r="B9" s="6">
        <v>-2.3268288482922284</v>
      </c>
      <c r="C9" s="6">
        <v>-2.8490280000000001</v>
      </c>
      <c r="D9" s="6">
        <v>-2.4281779999999999</v>
      </c>
      <c r="E9" s="6">
        <v>-2.7627030000000001</v>
      </c>
      <c r="F9">
        <v>0</v>
      </c>
      <c r="G9">
        <f t="shared" si="0"/>
        <v>1.3246812257160083</v>
      </c>
      <c r="H9" t="e">
        <f t="shared" si="1"/>
        <v>#N/A</v>
      </c>
      <c r="I9" s="9">
        <f t="shared" si="2"/>
        <v>1.3246812257160083</v>
      </c>
      <c r="S9" t="s">
        <v>65</v>
      </c>
      <c r="T9" s="13">
        <v>41639</v>
      </c>
      <c r="V9" t="s">
        <v>40</v>
      </c>
      <c r="W9" s="15"/>
      <c r="AC9">
        <f t="shared" si="7"/>
        <v>0</v>
      </c>
      <c r="AD9">
        <v>6</v>
      </c>
      <c r="AE9" s="4">
        <f t="shared" si="3"/>
        <v>41677</v>
      </c>
      <c r="AF9" s="6">
        <f t="shared" si="4"/>
        <v>1.4720430520496652</v>
      </c>
      <c r="AG9" s="4">
        <v>41677</v>
      </c>
      <c r="AH9" s="6">
        <v>0.455538</v>
      </c>
      <c r="AI9" s="6">
        <v>1.8596459999999999</v>
      </c>
      <c r="AJ9" s="6">
        <v>2.1966929999999998</v>
      </c>
      <c r="AK9" s="4">
        <v>41677</v>
      </c>
      <c r="AL9" s="6">
        <f>VLOOKUP(AK9,Sheet3!$A$1:$B$1113,2,FALSE)</f>
        <v>1.031845972884365</v>
      </c>
      <c r="AM9" s="6">
        <f t="shared" si="8"/>
        <v>1.4720430520496652</v>
      </c>
      <c r="AN9">
        <f>[1]!f_nav_adjustedreturn(AL$1,$AK8+1,$AK9)</f>
        <v>1.0843373493975914</v>
      </c>
      <c r="AO9">
        <f>[1]!i_pq_pctchange(AH$1,$AE8+1,$AE9)</f>
        <v>0.45553815069583337</v>
      </c>
      <c r="AP9">
        <f>[1]!i_pq_pctchange(AI$1,$AE8+1,$AE9)</f>
        <v>1.8596464316819494</v>
      </c>
      <c r="AQ9">
        <f>[1]!i_pq_pctchange(AJ$1,$AE8+1,$AE9)</f>
        <v>2.1966925001680959</v>
      </c>
      <c r="AR9" s="24">
        <f t="shared" si="5"/>
        <v>0.38770570265207382</v>
      </c>
      <c r="AS9" s="24">
        <f t="shared" si="9"/>
        <v>-1.5069583336746462E-7</v>
      </c>
      <c r="AT9" s="24">
        <f t="shared" si="10"/>
        <v>-4.316819495198132E-7</v>
      </c>
      <c r="AU9" s="24">
        <f t="shared" si="11"/>
        <v>4.9983190386626575E-7</v>
      </c>
    </row>
    <row r="10" spans="1:47" x14ac:dyDescent="0.3">
      <c r="A10" s="4">
        <v>43217</v>
      </c>
      <c r="B10" s="6">
        <v>0.12726798658579952</v>
      </c>
      <c r="C10" s="6">
        <v>-0.105769</v>
      </c>
      <c r="D10" s="6">
        <v>-0.33757599999999999</v>
      </c>
      <c r="E10" s="6">
        <v>-0.28931000000000001</v>
      </c>
      <c r="F10">
        <v>0</v>
      </c>
      <c r="G10">
        <f t="shared" si="0"/>
        <v>6.2549993286218034E-2</v>
      </c>
      <c r="H10" t="e">
        <f t="shared" si="1"/>
        <v>#N/A</v>
      </c>
      <c r="I10" s="9">
        <f t="shared" si="2"/>
        <v>6.2549993286218034E-2</v>
      </c>
      <c r="S10" t="s">
        <v>66</v>
      </c>
      <c r="T10" s="25">
        <v>43307</v>
      </c>
      <c r="U10" s="14"/>
      <c r="V10" t="s">
        <v>49</v>
      </c>
      <c r="W10">
        <f>W8</f>
        <v>236</v>
      </c>
      <c r="AC10">
        <f t="shared" si="7"/>
        <v>0</v>
      </c>
      <c r="AD10">
        <v>7</v>
      </c>
      <c r="AE10" s="4">
        <f t="shared" si="3"/>
        <v>41684</v>
      </c>
      <c r="AF10" s="6">
        <f t="shared" si="4"/>
        <v>1.8199924695593728</v>
      </c>
      <c r="AG10" s="4">
        <v>41684</v>
      </c>
      <c r="AH10" s="6">
        <v>3.7555990000000001</v>
      </c>
      <c r="AI10" s="6">
        <v>4.459416</v>
      </c>
      <c r="AJ10" s="6">
        <v>3.7844479999999998</v>
      </c>
      <c r="AK10" s="4">
        <v>41684</v>
      </c>
      <c r="AL10" s="6">
        <f>VLOOKUP(AK10,Sheet3!$A$1:$B$1113,2,FALSE)</f>
        <v>1.050625491888312</v>
      </c>
      <c r="AM10" s="6">
        <f t="shared" si="8"/>
        <v>1.8199924695593728</v>
      </c>
      <c r="AN10">
        <f>[1]!f_nav_adjustedreturn(AL$1,$AK9+1,$AK10)</f>
        <v>4.1716328963051286</v>
      </c>
      <c r="AO10">
        <f>[1]!i_pq_pctchange(AH$1,$AE9+1,$AE10)</f>
        <v>3.7555994780524626</v>
      </c>
      <c r="AP10">
        <f>[1]!i_pq_pctchange(AI$1,$AE9+1,$AE10)</f>
        <v>4.4594156512757221</v>
      </c>
      <c r="AQ10">
        <f>[1]!i_pq_pctchange(AJ$1,$AE9+1,$AE10)</f>
        <v>3.7844477015079869</v>
      </c>
      <c r="AR10" s="24">
        <f t="shared" si="5"/>
        <v>-2.3516404267457558</v>
      </c>
      <c r="AS10" s="24">
        <f t="shared" si="9"/>
        <v>-4.780524625047633E-7</v>
      </c>
      <c r="AT10" s="24">
        <f t="shared" si="10"/>
        <v>3.4872427789878202E-7</v>
      </c>
      <c r="AU10" s="24">
        <f t="shared" si="11"/>
        <v>2.9849201288456584E-7</v>
      </c>
    </row>
    <row r="11" spans="1:47" x14ac:dyDescent="0.3">
      <c r="A11" s="4">
        <v>43224</v>
      </c>
      <c r="B11" s="6">
        <v>1.1935554094229861</v>
      </c>
      <c r="C11" s="6">
        <v>0.47171099999999999</v>
      </c>
      <c r="D11" s="6">
        <v>0.82427799999999996</v>
      </c>
      <c r="E11" s="6">
        <v>0.21848400000000001</v>
      </c>
      <c r="F11">
        <v>0</v>
      </c>
      <c r="G11">
        <f t="shared" si="0"/>
        <v>0.74605872353776026</v>
      </c>
      <c r="H11" t="e">
        <f t="shared" si="1"/>
        <v>#N/A</v>
      </c>
      <c r="I11" s="9">
        <f t="shared" si="2"/>
        <v>0.74605872353776026</v>
      </c>
      <c r="S11" t="s">
        <v>33</v>
      </c>
      <c r="T11" s="14"/>
      <c r="AC11">
        <f t="shared" si="7"/>
        <v>0</v>
      </c>
      <c r="AD11">
        <v>8</v>
      </c>
      <c r="AE11" s="4">
        <f t="shared" si="3"/>
        <v>41691</v>
      </c>
      <c r="AF11" s="6">
        <f t="shared" si="4"/>
        <v>-0.31659344786807431</v>
      </c>
      <c r="AG11" s="4">
        <v>41691</v>
      </c>
      <c r="AH11" s="6">
        <v>-1.362665</v>
      </c>
      <c r="AI11" s="6">
        <v>-0.29614200000000002</v>
      </c>
      <c r="AJ11" s="6">
        <v>0.60372899999999996</v>
      </c>
      <c r="AK11" s="4">
        <v>41691</v>
      </c>
      <c r="AL11" s="6">
        <f>VLOOKUP(AK11,Sheet3!$A$1:$B$1113,2,FALSE)</f>
        <v>1.0472992804193619</v>
      </c>
      <c r="AM11" s="6">
        <f t="shared" si="8"/>
        <v>-0.31659344786807431</v>
      </c>
      <c r="AN11">
        <f>[1]!f_nav_adjustedreturn(AL$1,$AK10+1,$AK11)</f>
        <v>0.68649885583524095</v>
      </c>
      <c r="AO11">
        <f>[1]!i_pq_pctchange(AH$1,$AE10+1,$AE11)</f>
        <v>-1.3626651274735058</v>
      </c>
      <c r="AP11">
        <f>[1]!i_pq_pctchange(AI$1,$AE10+1,$AE11)</f>
        <v>-0.29614238442632335</v>
      </c>
      <c r="AQ11">
        <f>[1]!i_pq_pctchange(AJ$1,$AE10+1,$AE11)</f>
        <v>0.60372876000631681</v>
      </c>
      <c r="AR11" s="24">
        <f t="shared" si="5"/>
        <v>-1.0030923037033153</v>
      </c>
      <c r="AS11" s="24">
        <f t="shared" si="9"/>
        <v>1.2747350575104122E-7</v>
      </c>
      <c r="AT11" s="24">
        <f t="shared" si="10"/>
        <v>3.8442632332991167E-7</v>
      </c>
      <c r="AU11" s="24">
        <f t="shared" si="11"/>
        <v>2.3999368314875369E-7</v>
      </c>
    </row>
    <row r="12" spans="1:47" x14ac:dyDescent="0.3">
      <c r="A12" s="4">
        <v>43231</v>
      </c>
      <c r="B12" s="20">
        <v>1.7397003974325864</v>
      </c>
      <c r="C12" s="6">
        <v>2.6026660000000001</v>
      </c>
      <c r="D12" s="6">
        <v>1.3884570000000001</v>
      </c>
      <c r="E12" s="6">
        <v>1.6148990000000001</v>
      </c>
      <c r="F12">
        <v>0</v>
      </c>
      <c r="G12">
        <f t="shared" si="0"/>
        <v>0.86679994869701471</v>
      </c>
      <c r="H12" t="e">
        <f t="shared" si="1"/>
        <v>#N/A</v>
      </c>
      <c r="I12" s="9">
        <f t="shared" si="2"/>
        <v>0.86679994869701471</v>
      </c>
      <c r="AC12">
        <f t="shared" si="7"/>
        <v>0</v>
      </c>
      <c r="AD12">
        <v>9</v>
      </c>
      <c r="AE12" s="4">
        <f t="shared" si="3"/>
        <v>41698</v>
      </c>
      <c r="AF12" s="6">
        <f t="shared" si="4"/>
        <v>-3.8543201836518381</v>
      </c>
      <c r="AG12" s="4">
        <v>41698</v>
      </c>
      <c r="AH12" s="6">
        <v>-3.7681939999999998</v>
      </c>
      <c r="AI12" s="6">
        <v>-3.54175</v>
      </c>
      <c r="AJ12" s="6">
        <v>-3.7420840000000002</v>
      </c>
      <c r="AK12" s="4">
        <v>41698</v>
      </c>
      <c r="AL12" s="6">
        <f>VLOOKUP(AK12,Sheet3!$A$1:$B$1113,2,FALSE)</f>
        <v>1.006933012870918</v>
      </c>
      <c r="AM12" s="6">
        <f t="shared" si="8"/>
        <v>-3.8543201836518381</v>
      </c>
      <c r="AN12">
        <f>[1]!f_nav_adjustedreturn(AL$1,$AK11+1,$AK12)</f>
        <v>-3.2954545454545485</v>
      </c>
      <c r="AO12">
        <f>[1]!i_pq_pctchange(AH$1,$AE11+1,$AE12)</f>
        <v>-3.7681944129163369</v>
      </c>
      <c r="AP12">
        <f>[1]!i_pq_pctchange(AI$1,$AE11+1,$AE12)</f>
        <v>-3.5417501128722439</v>
      </c>
      <c r="AQ12">
        <f>[1]!i_pq_pctchange(AJ$1,$AE11+1,$AE12)</f>
        <v>-3.7420837325424561</v>
      </c>
      <c r="AR12" s="24">
        <f t="shared" si="5"/>
        <v>-0.55886563819728963</v>
      </c>
      <c r="AS12" s="24">
        <f t="shared" si="9"/>
        <v>4.1291633712248199E-7</v>
      </c>
      <c r="AT12" s="24">
        <f t="shared" si="10"/>
        <v>1.1287224399580964E-7</v>
      </c>
      <c r="AU12" s="24">
        <f t="shared" si="11"/>
        <v>-2.6745754411194866E-7</v>
      </c>
    </row>
    <row r="13" spans="1:47" x14ac:dyDescent="0.3">
      <c r="A13" s="4">
        <v>43238</v>
      </c>
      <c r="B13" s="6">
        <v>0.58237417584936502</v>
      </c>
      <c r="C13" s="6">
        <v>0.78044599999999997</v>
      </c>
      <c r="D13" s="6">
        <v>6.3547000000000006E-2</v>
      </c>
      <c r="E13" s="6">
        <v>-0.24095900000000001</v>
      </c>
      <c r="F13">
        <v>0</v>
      </c>
      <c r="G13">
        <f t="shared" si="0"/>
        <v>0.20500673630426836</v>
      </c>
      <c r="H13" t="e">
        <f t="shared" si="1"/>
        <v>#N/A</v>
      </c>
      <c r="I13" s="9">
        <f t="shared" si="2"/>
        <v>0.20500673630426836</v>
      </c>
      <c r="R13" t="s">
        <v>18</v>
      </c>
      <c r="S13" t="s">
        <v>19</v>
      </c>
      <c r="T13" t="s">
        <v>43</v>
      </c>
      <c r="U13" t="s">
        <v>20</v>
      </c>
      <c r="V13" s="7" t="s">
        <v>26</v>
      </c>
      <c r="W13" s="7" t="s">
        <v>22</v>
      </c>
      <c r="X13" s="7" t="s">
        <v>36</v>
      </c>
      <c r="Y13" s="8" t="s">
        <v>23</v>
      </c>
      <c r="Z13" s="7" t="s">
        <v>24</v>
      </c>
      <c r="AA13" s="7"/>
      <c r="AB13" s="7"/>
      <c r="AC13">
        <f t="shared" si="7"/>
        <v>0</v>
      </c>
      <c r="AD13">
        <v>10</v>
      </c>
      <c r="AE13" s="4">
        <f t="shared" si="3"/>
        <v>41705</v>
      </c>
      <c r="AF13" s="6">
        <f t="shared" si="4"/>
        <v>0.28710061062262593</v>
      </c>
      <c r="AG13" s="4">
        <v>41705</v>
      </c>
      <c r="AH13" s="6">
        <v>-0.48706500000000003</v>
      </c>
      <c r="AI13" s="6">
        <v>0.91847699999999999</v>
      </c>
      <c r="AJ13" s="6">
        <v>2.2160139999999999</v>
      </c>
      <c r="AK13" s="4">
        <v>41705</v>
      </c>
      <c r="AL13" s="6">
        <f>VLOOKUP(AK13,Sheet3!$A$1:$B$1113,2,FALSE)</f>
        <v>1.0098239236994311</v>
      </c>
      <c r="AM13" s="6">
        <f t="shared" si="8"/>
        <v>0.28710061062262593</v>
      </c>
      <c r="AN13">
        <f>[1]!f_nav_adjustedreturn(AL$1,$AK12+1,$AK13)</f>
        <v>-1.0575793184488846</v>
      </c>
      <c r="AO13">
        <f>[1]!i_pq_pctchange(AH$1,$AE12+1,$AE13)</f>
        <v>-0.48706476589178704</v>
      </c>
      <c r="AP13">
        <f>[1]!i_pq_pctchange(AI$1,$AE12+1,$AE13)</f>
        <v>0.91847716596549223</v>
      </c>
      <c r="AQ13">
        <f>[1]!i_pq_pctchange(AJ$1,$AE12+1,$AE13)</f>
        <v>2.2160137977633054</v>
      </c>
      <c r="AR13" s="24">
        <f t="shared" si="5"/>
        <v>1.3446799290715106</v>
      </c>
      <c r="AS13" s="24">
        <f t="shared" si="9"/>
        <v>-2.3410821298197604E-7</v>
      </c>
      <c r="AT13" s="24">
        <f t="shared" si="10"/>
        <v>-1.6596549223812929E-7</v>
      </c>
      <c r="AU13" s="24">
        <f t="shared" si="11"/>
        <v>2.0223669450203374E-7</v>
      </c>
    </row>
    <row r="14" spans="1:47" x14ac:dyDescent="0.3">
      <c r="A14" s="4">
        <v>43245</v>
      </c>
      <c r="B14" s="6">
        <v>-1.0643127876890368</v>
      </c>
      <c r="C14" s="6">
        <v>-2.2178909999999998</v>
      </c>
      <c r="D14" s="6">
        <v>-1.290241</v>
      </c>
      <c r="E14" s="6">
        <v>-1.198123</v>
      </c>
      <c r="F14">
        <v>0</v>
      </c>
      <c r="G14">
        <f t="shared" si="0"/>
        <v>0.1162338974549073</v>
      </c>
      <c r="H14" t="e">
        <f t="shared" si="1"/>
        <v>#N/A</v>
      </c>
      <c r="I14" s="9">
        <f t="shared" si="2"/>
        <v>0.1162338974549073</v>
      </c>
      <c r="R14" t="str">
        <f>T6</f>
        <v>160215.OF</v>
      </c>
      <c r="S14" s="12" t="e">
        <f>CORREL(B4:B23,D4:D23)</f>
        <v>#N/A</v>
      </c>
      <c r="T14" s="3">
        <f>A23</f>
        <v>43307</v>
      </c>
      <c r="U14" s="3">
        <f>A4</f>
        <v>43175</v>
      </c>
      <c r="V14">
        <f>H2</f>
        <v>0.14000000000000001</v>
      </c>
      <c r="W14">
        <f>I2</f>
        <v>0.32</v>
      </c>
      <c r="X14">
        <f>J2</f>
        <v>0</v>
      </c>
      <c r="Y14" s="12">
        <f>K2</f>
        <v>0.54</v>
      </c>
      <c r="Z14" s="11" t="e">
        <f>R1</f>
        <v>#N/A</v>
      </c>
      <c r="AA14" s="11"/>
      <c r="AB14" s="11"/>
      <c r="AC14">
        <f t="shared" si="7"/>
        <v>0</v>
      </c>
      <c r="AD14">
        <v>11</v>
      </c>
      <c r="AE14" s="4">
        <f t="shared" si="3"/>
        <v>41712</v>
      </c>
      <c r="AF14" s="6">
        <f t="shared" si="4"/>
        <v>-1.7381993113907201</v>
      </c>
      <c r="AG14" s="4">
        <v>41712</v>
      </c>
      <c r="AH14" s="6">
        <v>-2.099377</v>
      </c>
      <c r="AI14" s="6">
        <v>-3.0772240000000002</v>
      </c>
      <c r="AJ14" s="6">
        <v>-3.3292220000000001</v>
      </c>
      <c r="AK14" s="4">
        <v>41712</v>
      </c>
      <c r="AL14" s="6">
        <f>VLOOKUP(AK14,Sheet3!$A$1:$B$1113,2,FALSE)</f>
        <v>0.99227117121142883</v>
      </c>
      <c r="AM14" s="6">
        <f t="shared" si="8"/>
        <v>-1.7381993113907201</v>
      </c>
      <c r="AN14">
        <f>[1]!f_nav_adjustedreturn(AL$1,$AK13+1,$AK14)</f>
        <v>-4.5130641330166181</v>
      </c>
      <c r="AO14">
        <f>[1]!i_pq_pctchange(AH$1,$AE13+1,$AE14)</f>
        <v>-2.0993765789597663</v>
      </c>
      <c r="AP14">
        <f>[1]!i_pq_pctchange(AI$1,$AE13+1,$AE14)</f>
        <v>-3.0772244468275867</v>
      </c>
      <c r="AQ14">
        <f>[1]!i_pq_pctchange(AJ$1,$AE13+1,$AE14)</f>
        <v>-3.3292220851806165</v>
      </c>
      <c r="AR14" s="24">
        <f t="shared" si="5"/>
        <v>2.774864821625898</v>
      </c>
      <c r="AS14" s="24">
        <f t="shared" si="9"/>
        <v>-4.2104023378897182E-7</v>
      </c>
      <c r="AT14" s="24">
        <f t="shared" si="10"/>
        <v>4.4682758648662002E-7</v>
      </c>
      <c r="AU14" s="24">
        <f t="shared" si="11"/>
        <v>8.5180616338220716E-8</v>
      </c>
    </row>
    <row r="15" spans="1:47" x14ac:dyDescent="0.3">
      <c r="A15" s="4">
        <v>43252</v>
      </c>
      <c r="B15" s="6">
        <v>-1.8753489660033318</v>
      </c>
      <c r="C15" s="6">
        <v>-1.202906</v>
      </c>
      <c r="D15" s="6">
        <v>-3.9319069999999998</v>
      </c>
      <c r="E15" s="6">
        <v>-4.551253</v>
      </c>
      <c r="F15">
        <v>0</v>
      </c>
      <c r="G15">
        <f t="shared" si="0"/>
        <v>0.20136030551610717</v>
      </c>
      <c r="H15" t="e">
        <f t="shared" si="1"/>
        <v>#N/A</v>
      </c>
      <c r="I15" s="9">
        <f t="shared" si="2"/>
        <v>0.20136030551610717</v>
      </c>
      <c r="AC15">
        <f t="shared" si="7"/>
        <v>0</v>
      </c>
      <c r="AD15">
        <v>12</v>
      </c>
      <c r="AE15" s="4">
        <f t="shared" si="3"/>
        <v>41719</v>
      </c>
      <c r="AF15" s="6">
        <f t="shared" si="4"/>
        <v>-0.10539000644418373</v>
      </c>
      <c r="AG15" s="4">
        <v>41719</v>
      </c>
      <c r="AH15" s="6">
        <v>1.6940550000000001</v>
      </c>
      <c r="AI15" s="6">
        <v>1.630687</v>
      </c>
      <c r="AJ15" s="6">
        <v>1.77572</v>
      </c>
      <c r="AK15" s="4">
        <v>41719</v>
      </c>
      <c r="AL15" s="6">
        <f>VLOOKUP(AK15,Sheet3!$A$1:$B$1113,2,FALSE)</f>
        <v>0.99122541656014529</v>
      </c>
      <c r="AM15" s="6">
        <f t="shared" si="8"/>
        <v>-0.10539000644418373</v>
      </c>
      <c r="AN15">
        <f>[1]!f_nav_adjustedreturn(AL$1,$AK14+1,$AK15)</f>
        <v>1.3681592039800869</v>
      </c>
      <c r="AO15">
        <f>[1]!i_pq_pctchange(AH$1,$AE14+1,$AE15)</f>
        <v>1.6940545572055488</v>
      </c>
      <c r="AP15">
        <f>[1]!i_pq_pctchange(AI$1,$AE14+1,$AE15)</f>
        <v>1.6306867490791355</v>
      </c>
      <c r="AQ15">
        <f>[1]!i_pq_pctchange(AJ$1,$AE14+1,$AE15)</f>
        <v>1.7757203486530093</v>
      </c>
      <c r="AR15" s="24">
        <f t="shared" si="5"/>
        <v>-1.4735492104242707</v>
      </c>
      <c r="AS15" s="24">
        <f t="shared" si="9"/>
        <v>4.4279445132744399E-7</v>
      </c>
      <c r="AT15" s="24">
        <f t="shared" si="10"/>
        <v>2.5092086453071261E-7</v>
      </c>
      <c r="AU15" s="24">
        <f t="shared" si="11"/>
        <v>-3.4865300935216226E-7</v>
      </c>
    </row>
    <row r="16" spans="1:47" x14ac:dyDescent="0.3">
      <c r="A16" s="4">
        <v>43259</v>
      </c>
      <c r="B16" s="6">
        <v>1.1557925084525467</v>
      </c>
      <c r="C16" s="6">
        <v>0.2394</v>
      </c>
      <c r="D16" s="6">
        <v>-0.27813700000000002</v>
      </c>
      <c r="E16" s="6">
        <v>-0.60502400000000001</v>
      </c>
      <c r="F16">
        <v>0</v>
      </c>
      <c r="G16">
        <f t="shared" si="0"/>
        <v>1.467200082547323</v>
      </c>
      <c r="H16" t="e">
        <f t="shared" si="1"/>
        <v>#N/A</v>
      </c>
      <c r="I16" s="9">
        <f t="shared" si="2"/>
        <v>1.467200082547323</v>
      </c>
      <c r="L16" s="11"/>
      <c r="AC16">
        <f t="shared" si="7"/>
        <v>0</v>
      </c>
      <c r="AD16">
        <v>13</v>
      </c>
      <c r="AE16" s="4">
        <f t="shared" si="3"/>
        <v>41726</v>
      </c>
      <c r="AF16" s="6">
        <f t="shared" si="4"/>
        <v>-3.2986548732062415</v>
      </c>
      <c r="AG16" s="4">
        <v>41726</v>
      </c>
      <c r="AH16" s="6">
        <v>-0.31651899999999999</v>
      </c>
      <c r="AI16" s="6">
        <v>-2.2036530000000001</v>
      </c>
      <c r="AJ16" s="6">
        <v>-4.0703180000000003</v>
      </c>
      <c r="AK16" s="4">
        <v>41726</v>
      </c>
      <c r="AL16" s="6">
        <f>VLOOKUP(AK16,Sheet3!$A$1:$B$1113,2,FALSE)</f>
        <v>0.95852831105232517</v>
      </c>
      <c r="AM16" s="6">
        <f t="shared" si="8"/>
        <v>-3.2986548732062415</v>
      </c>
      <c r="AN16">
        <f>[1]!f_nav_adjustedreturn(AL$1,$AK15+1,$AK16)</f>
        <v>-3.8036809815950821</v>
      </c>
      <c r="AO16">
        <f>[1]!i_pq_pctchange(AH$1,$AE15+1,$AE16)</f>
        <v>-0.31651872940403614</v>
      </c>
      <c r="AP16">
        <f>[1]!i_pq_pctchange(AI$1,$AE15+1,$AE16)</f>
        <v>-2.2036528765365326</v>
      </c>
      <c r="AQ16">
        <f>[1]!i_pq_pctchange(AJ$1,$AE15+1,$AE16)</f>
        <v>-4.0703176767700739</v>
      </c>
      <c r="AR16" s="24">
        <f t="shared" si="5"/>
        <v>0.50502610838884054</v>
      </c>
      <c r="AS16" s="24">
        <f t="shared" si="9"/>
        <v>-2.7059596385825557E-7</v>
      </c>
      <c r="AT16" s="24">
        <f t="shared" si="10"/>
        <v>-1.2346346744962489E-7</v>
      </c>
      <c r="AU16" s="24">
        <f t="shared" si="11"/>
        <v>-3.2322992638000869E-7</v>
      </c>
    </row>
    <row r="17" spans="1:47" x14ac:dyDescent="0.3">
      <c r="A17" s="4">
        <v>43266</v>
      </c>
      <c r="B17" s="6">
        <v>-1.9528830414592635</v>
      </c>
      <c r="C17" s="6">
        <v>-0.69271899999999997</v>
      </c>
      <c r="D17" s="6">
        <v>-3.2695110000000001</v>
      </c>
      <c r="E17" s="6">
        <v>-4.4776860000000003</v>
      </c>
      <c r="F17">
        <v>0</v>
      </c>
      <c r="G17">
        <f t="shared" si="0"/>
        <v>0.6555474719395108</v>
      </c>
      <c r="H17" t="e">
        <f t="shared" si="1"/>
        <v>#N/A</v>
      </c>
      <c r="I17" s="9">
        <f t="shared" si="2"/>
        <v>0.6555474719395108</v>
      </c>
      <c r="AC17">
        <f t="shared" si="7"/>
        <v>0</v>
      </c>
      <c r="AD17">
        <v>14</v>
      </c>
      <c r="AE17" s="4">
        <f t="shared" si="3"/>
        <v>41733</v>
      </c>
      <c r="AF17" s="6">
        <f t="shared" si="4"/>
        <v>1.6199670107311714</v>
      </c>
      <c r="AG17" s="4">
        <v>41733</v>
      </c>
      <c r="AH17" s="6">
        <v>1.557042</v>
      </c>
      <c r="AI17" s="6">
        <v>1.912765</v>
      </c>
      <c r="AJ17" s="6">
        <v>1.538897</v>
      </c>
      <c r="AK17" s="4">
        <v>41733</v>
      </c>
      <c r="AL17" s="6">
        <f>VLOOKUP(AK17,Sheet3!$A$1:$B$1113,2,FALSE)</f>
        <v>0.97405615347989161</v>
      </c>
      <c r="AM17" s="6">
        <f t="shared" si="8"/>
        <v>1.6199670107311714</v>
      </c>
      <c r="AN17">
        <f>[1]!f_nav_adjustedreturn(AL$1,$AK16+1,$AK17)</f>
        <v>0.51020408163265341</v>
      </c>
      <c r="AO17">
        <f>[1]!i_pq_pctchange(AH$1,$AE16+1,$AE17)</f>
        <v>1.5570420522638573</v>
      </c>
      <c r="AP17">
        <f>[1]!i_pq_pctchange(AI$1,$AE16+1,$AE17)</f>
        <v>1.9127647437000128</v>
      </c>
      <c r="AQ17">
        <f>[1]!i_pq_pctchange(AJ$1,$AE16+1,$AE17)</f>
        <v>1.5388968848757845</v>
      </c>
      <c r="AR17" s="24">
        <f t="shared" si="5"/>
        <v>1.109762929098518</v>
      </c>
      <c r="AS17" s="24">
        <f t="shared" si="9"/>
        <v>-5.2263857241996448E-8</v>
      </c>
      <c r="AT17" s="24">
        <f t="shared" si="10"/>
        <v>2.5629998723353253E-7</v>
      </c>
      <c r="AU17" s="24">
        <f t="shared" si="11"/>
        <v>1.15124215493978E-7</v>
      </c>
    </row>
    <row r="18" spans="1:47" x14ac:dyDescent="0.3">
      <c r="A18" s="4">
        <v>43273</v>
      </c>
      <c r="B18" s="6">
        <v>-2.8160979786213458</v>
      </c>
      <c r="C18" s="6">
        <v>-3.8505859999999998</v>
      </c>
      <c r="D18" s="6">
        <v>-5.9049060000000004</v>
      </c>
      <c r="E18" s="6">
        <v>-6.5231709999999996</v>
      </c>
      <c r="F18">
        <v>0</v>
      </c>
      <c r="G18">
        <f t="shared" si="0"/>
        <v>0.15011441734553202</v>
      </c>
      <c r="H18" t="e">
        <f t="shared" si="1"/>
        <v>#N/A</v>
      </c>
      <c r="I18" s="9">
        <f t="shared" si="2"/>
        <v>0.15011441734553202</v>
      </c>
      <c r="AC18">
        <f t="shared" si="7"/>
        <v>0</v>
      </c>
      <c r="AD18">
        <v>15</v>
      </c>
      <c r="AE18" s="4">
        <f t="shared" si="3"/>
        <v>41740</v>
      </c>
      <c r="AF18" s="6">
        <f t="shared" si="4"/>
        <v>2.0376686596808025</v>
      </c>
      <c r="AG18" s="4">
        <v>41740</v>
      </c>
      <c r="AH18" s="6">
        <v>3.8981970000000001</v>
      </c>
      <c r="AI18" s="6">
        <v>2.0807370000000001</v>
      </c>
      <c r="AJ18" s="6">
        <v>1.666005</v>
      </c>
      <c r="AK18" s="4">
        <v>41740</v>
      </c>
      <c r="AL18" s="6">
        <f>VLOOKUP(AK18,Sheet3!$A$1:$B$1113,2,FALSE)</f>
        <v>0.9939041904470437</v>
      </c>
      <c r="AM18" s="6">
        <f t="shared" si="8"/>
        <v>2.0376686596808025</v>
      </c>
      <c r="AN18">
        <f>[1]!f_nav_adjustedreturn(AL$1,$AK17+1,$AK18)</f>
        <v>3.5532994923857761</v>
      </c>
      <c r="AO18">
        <f>[1]!i_pq_pctchange(AH$1,$AE17+1,$AE18)</f>
        <v>3.8981968197258965</v>
      </c>
      <c r="AP18">
        <f>[1]!i_pq_pctchange(AI$1,$AE17+1,$AE18)</f>
        <v>2.0807371188626078</v>
      </c>
      <c r="AQ18">
        <f>[1]!i_pq_pctchange(AJ$1,$AE17+1,$AE18)</f>
        <v>1.6660054362834797</v>
      </c>
      <c r="AR18" s="24">
        <f t="shared" si="5"/>
        <v>-1.5156308327049737</v>
      </c>
      <c r="AS18" s="24">
        <f t="shared" si="9"/>
        <v>1.8027410364496177E-7</v>
      </c>
      <c r="AT18" s="24">
        <f t="shared" si="10"/>
        <v>-1.1886260775639812E-7</v>
      </c>
      <c r="AU18" s="24">
        <f t="shared" si="11"/>
        <v>-4.3628347978774684E-7</v>
      </c>
    </row>
    <row r="19" spans="1:47" x14ac:dyDescent="0.3">
      <c r="A19" s="4">
        <v>43280</v>
      </c>
      <c r="B19" s="6">
        <v>-0.61775147830948063</v>
      </c>
      <c r="C19" s="6">
        <v>-2.7132909999999999</v>
      </c>
      <c r="D19" s="6">
        <v>1.117057</v>
      </c>
      <c r="E19" s="6">
        <v>1.2120029999999999</v>
      </c>
      <c r="F19">
        <v>0</v>
      </c>
      <c r="G19">
        <f t="shared" si="0"/>
        <v>0.35444040597414234</v>
      </c>
      <c r="H19" t="e">
        <f t="shared" si="1"/>
        <v>#N/A</v>
      </c>
      <c r="I19" s="9">
        <f t="shared" si="2"/>
        <v>0.35444040597414234</v>
      </c>
      <c r="AC19">
        <f t="shared" si="7"/>
        <v>0</v>
      </c>
      <c r="AD19">
        <v>16</v>
      </c>
      <c r="AE19" s="4">
        <f t="shared" si="3"/>
        <v>41747</v>
      </c>
      <c r="AF19" s="6">
        <f t="shared" si="4"/>
        <v>-0.32194654834758474</v>
      </c>
      <c r="AG19" s="4">
        <v>41747</v>
      </c>
      <c r="AH19" s="6">
        <v>-2.0340729999999998</v>
      </c>
      <c r="AI19" s="6">
        <v>0.20063700000000001</v>
      </c>
      <c r="AJ19" s="6">
        <v>0.98693399999999998</v>
      </c>
      <c r="AK19" s="4">
        <v>41747</v>
      </c>
      <c r="AL19" s="6">
        <f>VLOOKUP(AK19,Sheet3!$A$1:$B$1113,2,FALSE)</f>
        <v>0.99070435021201741</v>
      </c>
      <c r="AM19" s="6">
        <f t="shared" si="8"/>
        <v>-0.32194654834758474</v>
      </c>
      <c r="AN19">
        <f>[1]!f_nav_adjustedreturn(AL$1,$AK18+1,$AK19)</f>
        <v>-0.36764705882352977</v>
      </c>
      <c r="AO19">
        <f>[1]!i_pq_pctchange(AH$1,$AE18+1,$AE19)</f>
        <v>-2.0340728226872828</v>
      </c>
      <c r="AP19">
        <f>[1]!i_pq_pctchange(AI$1,$AE18+1,$AE19)</f>
        <v>0.20063692525156274</v>
      </c>
      <c r="AQ19">
        <f>[1]!i_pq_pctchange(AJ$1,$AE18+1,$AE19)</f>
        <v>0.98693432243102119</v>
      </c>
      <c r="AR19" s="24">
        <f t="shared" si="5"/>
        <v>4.5700510475945033E-2</v>
      </c>
      <c r="AS19" s="24">
        <f t="shared" si="9"/>
        <v>-1.7731271695353712E-7</v>
      </c>
      <c r="AT19" s="24">
        <f t="shared" si="10"/>
        <v>7.4748437273175483E-8</v>
      </c>
      <c r="AU19" s="24">
        <f t="shared" si="11"/>
        <v>-3.2243102121576328E-7</v>
      </c>
    </row>
    <row r="20" spans="1:47" x14ac:dyDescent="0.3">
      <c r="A20" s="4">
        <v>43287</v>
      </c>
      <c r="B20" s="6">
        <v>-4.0713227895538999</v>
      </c>
      <c r="C20" s="6">
        <v>-4.1544420000000004</v>
      </c>
      <c r="D20" s="6">
        <v>-4.2381060000000002</v>
      </c>
      <c r="E20" s="6">
        <v>-4.1714219999999997</v>
      </c>
      <c r="F20">
        <v>0</v>
      </c>
      <c r="G20">
        <f t="shared" si="0"/>
        <v>4.5518520744753443</v>
      </c>
      <c r="H20" t="e">
        <f t="shared" si="1"/>
        <v>#N/A</v>
      </c>
      <c r="I20" s="9">
        <f t="shared" si="2"/>
        <v>4.5518520744753443</v>
      </c>
      <c r="AC20">
        <f t="shared" si="7"/>
        <v>0</v>
      </c>
      <c r="AD20">
        <v>17</v>
      </c>
      <c r="AE20" s="4">
        <f t="shared" si="3"/>
        <v>41754</v>
      </c>
      <c r="AF20" s="6">
        <f t="shared" si="4"/>
        <v>-4.3703382838198408</v>
      </c>
      <c r="AG20" s="4">
        <v>41754</v>
      </c>
      <c r="AH20" s="6">
        <v>-2.546799</v>
      </c>
      <c r="AI20" s="6">
        <v>-5.6730239999999998</v>
      </c>
      <c r="AJ20" s="6">
        <v>-5.9067499999999997</v>
      </c>
      <c r="AK20" s="4">
        <v>41754</v>
      </c>
      <c r="AL20" s="6">
        <f>VLOOKUP(AK20,Sheet3!$A$1:$B$1113,2,FALSE)</f>
        <v>0.94740721871523303</v>
      </c>
      <c r="AM20" s="6">
        <f t="shared" si="8"/>
        <v>-4.3703382838198408</v>
      </c>
      <c r="AN20">
        <f>[1]!f_nav_adjustedreturn(AL$1,$AK19+1,$AK20)</f>
        <v>-4.920049200491996</v>
      </c>
      <c r="AO20">
        <f>[1]!i_pq_pctchange(AH$1,$AE19+1,$AE20)</f>
        <v>-2.5467985986830977</v>
      </c>
      <c r="AP20">
        <f>[1]!i_pq_pctchange(AI$1,$AE19+1,$AE20)</f>
        <v>-5.6730239929793651</v>
      </c>
      <c r="AQ20">
        <f>[1]!i_pq_pctchange(AJ$1,$AE19+1,$AE20)</f>
        <v>-5.9067504751752047</v>
      </c>
      <c r="AR20" s="24">
        <f t="shared" si="5"/>
        <v>0.54971091667215521</v>
      </c>
      <c r="AS20" s="24">
        <f t="shared" si="9"/>
        <v>-4.0131690237643625E-7</v>
      </c>
      <c r="AT20" s="24">
        <f t="shared" si="10"/>
        <v>-7.0206347402290703E-9</v>
      </c>
      <c r="AU20" s="24">
        <f t="shared" si="11"/>
        <v>4.7517520496143106E-7</v>
      </c>
    </row>
    <row r="21" spans="1:47" x14ac:dyDescent="0.3">
      <c r="A21" s="4">
        <v>43294</v>
      </c>
      <c r="B21" s="6">
        <v>5.4152228058852669</v>
      </c>
      <c r="C21" s="6">
        <v>3.7908569999999999</v>
      </c>
      <c r="D21" s="6">
        <v>4.153912</v>
      </c>
      <c r="E21" s="6">
        <v>3.4812989999999999</v>
      </c>
      <c r="F21">
        <v>0</v>
      </c>
      <c r="G21">
        <f t="shared" si="0"/>
        <v>12.639809572638161</v>
      </c>
      <c r="H21" t="e">
        <f t="shared" si="1"/>
        <v>#N/A</v>
      </c>
      <c r="I21" s="9">
        <f t="shared" si="2"/>
        <v>12.639809572638161</v>
      </c>
      <c r="AC21">
        <f t="shared" si="7"/>
        <v>0</v>
      </c>
      <c r="AD21">
        <v>18</v>
      </c>
      <c r="AE21" s="4">
        <f t="shared" si="3"/>
        <v>41759</v>
      </c>
      <c r="AF21" s="6">
        <f t="shared" si="4"/>
        <v>-0.24948146062584442</v>
      </c>
      <c r="AG21" s="4">
        <v>41759</v>
      </c>
      <c r="AH21" s="6">
        <v>-0.42286600000000002</v>
      </c>
      <c r="AI21" s="6">
        <v>-0.90802099999999997</v>
      </c>
      <c r="AJ21" s="6">
        <v>-1.2509410000000001</v>
      </c>
      <c r="AK21" s="4">
        <v>41759</v>
      </c>
      <c r="AL21" s="6">
        <f>VLOOKUP(AK21,Sheet3!$A$1:$B$1113,2,FALSE)</f>
        <v>0.94504361334790754</v>
      </c>
      <c r="AM21" s="6">
        <f t="shared" si="8"/>
        <v>-0.24948146062584442</v>
      </c>
      <c r="AN21">
        <f>[1]!f_nav_adjustedreturn(AL$1,$AK20+1,$AK21)</f>
        <v>0.38809831824062124</v>
      </c>
      <c r="AO21">
        <f>[1]!i_pq_pctchange(AH$1,$AE20+1,$AE21)</f>
        <v>-0.4228660418317709</v>
      </c>
      <c r="AP21">
        <f>[1]!i_pq_pctchange(AI$1,$AE20+1,$AE21)</f>
        <v>-0.90802148351835088</v>
      </c>
      <c r="AQ21">
        <f>[1]!i_pq_pctchange(AJ$1,$AE20+1,$AE21)</f>
        <v>-1.2509405075511237</v>
      </c>
      <c r="AR21" s="24">
        <f t="shared" si="5"/>
        <v>-0.63757977886646566</v>
      </c>
      <c r="AS21" s="24">
        <f t="shared" si="9"/>
        <v>4.1831770880573771E-8</v>
      </c>
      <c r="AT21" s="24">
        <f t="shared" si="10"/>
        <v>4.8351835091331452E-7</v>
      </c>
      <c r="AU21" s="24">
        <f t="shared" si="11"/>
        <v>-4.9244887634358747E-7</v>
      </c>
    </row>
    <row r="22" spans="1:47" x14ac:dyDescent="0.3">
      <c r="A22" s="4">
        <v>43301</v>
      </c>
      <c r="B22" s="6">
        <v>-0.52990101010779167</v>
      </c>
      <c r="C22" s="6">
        <v>5.8440000000000002E-3</v>
      </c>
      <c r="D22" s="6">
        <v>-0.55597399999999997</v>
      </c>
      <c r="E22" s="6">
        <v>-0.36811899999999997</v>
      </c>
      <c r="F22">
        <v>0</v>
      </c>
      <c r="G22">
        <f t="shared" si="0"/>
        <v>0.12447312507615951</v>
      </c>
      <c r="H22" t="e">
        <f t="shared" si="1"/>
        <v>#N/A</v>
      </c>
      <c r="I22" s="9">
        <f t="shared" si="2"/>
        <v>0.12447312507615951</v>
      </c>
      <c r="AC22">
        <f t="shared" si="7"/>
        <v>0</v>
      </c>
      <c r="AD22">
        <v>19</v>
      </c>
      <c r="AE22" s="4">
        <f t="shared" si="3"/>
        <v>41768</v>
      </c>
      <c r="AF22" s="6">
        <f t="shared" si="4"/>
        <v>-1.3553105804293142</v>
      </c>
      <c r="AG22" s="4">
        <v>41768</v>
      </c>
      <c r="AH22" s="6">
        <v>-1.146452</v>
      </c>
      <c r="AI22" s="6">
        <v>-1.3315380000000001</v>
      </c>
      <c r="AJ22" s="6">
        <v>-0.96062000000000003</v>
      </c>
      <c r="AK22" s="4">
        <v>41768</v>
      </c>
      <c r="AL22" s="6">
        <f>VLOOKUP(AK22,Sheet3!$A$1:$B$1113,2,FALSE)</f>
        <v>0.93223533726653185</v>
      </c>
      <c r="AM22" s="6">
        <f t="shared" si="8"/>
        <v>-1.3553105804293142</v>
      </c>
      <c r="AN22">
        <f>[1]!f_nav_adjustedreturn(AL$1,$AK21+1,$AK22)</f>
        <v>-2.7061855670103117</v>
      </c>
      <c r="AO22">
        <f>[1]!i_pq_pctchange(AH$1,$AE21+1,$AE22)</f>
        <v>-1.1464524966657508</v>
      </c>
      <c r="AP22">
        <f>[1]!i_pq_pctchange(AI$1,$AE21+1,$AE22)</f>
        <v>-1.3315384063916413</v>
      </c>
      <c r="AQ22">
        <f>[1]!i_pq_pctchange(AJ$1,$AE21+1,$AE22)</f>
        <v>-0.96062012160060828</v>
      </c>
      <c r="AR22" s="24">
        <f t="shared" si="5"/>
        <v>1.3508749865809975</v>
      </c>
      <c r="AS22" s="24">
        <f t="shared" si="9"/>
        <v>4.966657507488037E-7</v>
      </c>
      <c r="AT22" s="24">
        <f t="shared" si="10"/>
        <v>4.0639164122779903E-7</v>
      </c>
      <c r="AU22" s="24">
        <f t="shared" si="11"/>
        <v>1.2160060824939478E-7</v>
      </c>
    </row>
    <row r="23" spans="1:47" x14ac:dyDescent="0.3">
      <c r="A23" s="4">
        <v>43307</v>
      </c>
      <c r="B23" s="6" t="e">
        <v>#N/A</v>
      </c>
      <c r="C23" s="6">
        <v>1.2411430000000001</v>
      </c>
      <c r="D23" s="6">
        <v>1.89802</v>
      </c>
      <c r="E23" s="6">
        <v>2.2010710000000002</v>
      </c>
      <c r="F23">
        <v>0</v>
      </c>
      <c r="G23" t="e">
        <f t="shared" si="0"/>
        <v>#N/A</v>
      </c>
      <c r="H23" t="e">
        <f t="shared" si="1"/>
        <v>#N/A</v>
      </c>
      <c r="I23" s="9" t="e">
        <f t="shared" si="2"/>
        <v>#N/A</v>
      </c>
      <c r="AC23">
        <f t="shared" si="7"/>
        <v>0</v>
      </c>
      <c r="AD23">
        <v>20</v>
      </c>
      <c r="AE23" s="4">
        <f t="shared" si="3"/>
        <v>41775</v>
      </c>
      <c r="AF23" s="6">
        <f t="shared" si="4"/>
        <v>-0.659565494850467</v>
      </c>
      <c r="AG23" s="4">
        <v>41775</v>
      </c>
      <c r="AH23" s="6">
        <v>0.56426900000000002</v>
      </c>
      <c r="AI23" s="6">
        <v>0.28616599999999998</v>
      </c>
      <c r="AJ23" s="6">
        <v>-0.215671</v>
      </c>
      <c r="AK23" s="4">
        <v>41775</v>
      </c>
      <c r="AL23" s="6">
        <f>VLOOKUP(AK23,Sheet3!$A$1:$B$1113,2,FALSE)</f>
        <v>0.92608663465111896</v>
      </c>
      <c r="AM23" s="6">
        <f t="shared" si="8"/>
        <v>-0.659565494850467</v>
      </c>
      <c r="AN23">
        <f>[1]!f_nav_adjustedreturn(AL$1,$AK22+1,$AK23)</f>
        <v>-0.26490066225165587</v>
      </c>
      <c r="AO23">
        <f>[1]!i_pq_pctchange(AH$1,$AE22+1,$AE23)</f>
        <v>0.56426908151276933</v>
      </c>
      <c r="AP23">
        <f>[1]!i_pq_pctchange(AI$1,$AE22+1,$AE23)</f>
        <v>0.28616622829467087</v>
      </c>
      <c r="AQ23">
        <f>[1]!i_pq_pctchange(AJ$1,$AE22+1,$AE23)</f>
        <v>-0.21567059028277935</v>
      </c>
      <c r="AR23" s="24">
        <f t="shared" si="5"/>
        <v>-0.39466483259881113</v>
      </c>
      <c r="AS23" s="24">
        <f t="shared" si="9"/>
        <v>-8.1512769312119815E-8</v>
      </c>
      <c r="AT23" s="24">
        <f t="shared" si="10"/>
        <v>-2.2829467088980593E-7</v>
      </c>
      <c r="AU23" s="24">
        <f t="shared" si="11"/>
        <v>-4.0971722065075156E-7</v>
      </c>
    </row>
    <row r="24" spans="1:47" x14ac:dyDescent="0.3">
      <c r="A24" s="4"/>
      <c r="B24" s="6"/>
      <c r="C24" s="6"/>
      <c r="D24" s="6"/>
      <c r="E24" s="6"/>
      <c r="I24" s="9"/>
      <c r="AC24">
        <f t="shared" si="7"/>
        <v>0</v>
      </c>
      <c r="AD24">
        <v>21</v>
      </c>
      <c r="AE24" s="4">
        <f t="shared" si="3"/>
        <v>41782</v>
      </c>
      <c r="AF24" s="6">
        <f t="shared" si="4"/>
        <v>1.9913390462354297</v>
      </c>
      <c r="AG24" s="4">
        <v>41782</v>
      </c>
      <c r="AH24" s="6">
        <v>0.114728</v>
      </c>
      <c r="AI24" s="6">
        <v>1.6075269999999999</v>
      </c>
      <c r="AJ24" s="6">
        <v>2.466119</v>
      </c>
      <c r="AK24" s="4">
        <v>41782</v>
      </c>
      <c r="AL24" s="6">
        <f>VLOOKUP(AK24,Sheet3!$A$1:$B$1113,2,FALSE)</f>
        <v>0.94452815940889434</v>
      </c>
      <c r="AM24" s="6">
        <f t="shared" si="8"/>
        <v>1.9913390462354297</v>
      </c>
    </row>
    <row r="25" spans="1:47" x14ac:dyDescent="0.3">
      <c r="A25" s="4"/>
      <c r="B25" s="6"/>
      <c r="C25" s="6"/>
      <c r="D25" s="6"/>
      <c r="E25" s="6"/>
      <c r="I25" s="9"/>
      <c r="AC25">
        <f t="shared" si="7"/>
        <v>0</v>
      </c>
      <c r="AD25">
        <v>22</v>
      </c>
      <c r="AE25" s="4">
        <f t="shared" si="3"/>
        <v>41789</v>
      </c>
      <c r="AF25" s="6">
        <f t="shared" si="4"/>
        <v>1.2209511897382619</v>
      </c>
      <c r="AG25" s="4">
        <v>41789</v>
      </c>
      <c r="AH25" s="6">
        <v>0.374695</v>
      </c>
      <c r="AI25" s="6">
        <v>1.127011</v>
      </c>
      <c r="AJ25" s="6">
        <v>1.435365</v>
      </c>
      <c r="AK25" s="4">
        <v>41789</v>
      </c>
      <c r="AL25" s="6">
        <f>VLOOKUP(AK25,Sheet3!$A$1:$B$1113,2,FALSE)</f>
        <v>0.95606038720861009</v>
      </c>
      <c r="AM25" s="6">
        <f t="shared" si="8"/>
        <v>1.2209511897382619</v>
      </c>
    </row>
    <row r="26" spans="1:47" x14ac:dyDescent="0.3">
      <c r="A26" s="4"/>
      <c r="B26" s="6"/>
      <c r="C26" s="6"/>
      <c r="D26" s="6"/>
      <c r="E26" s="6"/>
      <c r="I26" s="9"/>
      <c r="AC26">
        <f t="shared" si="7"/>
        <v>0</v>
      </c>
      <c r="AD26">
        <v>23</v>
      </c>
      <c r="AE26" s="4">
        <f t="shared" si="3"/>
        <v>41796</v>
      </c>
      <c r="AF26" s="6">
        <f t="shared" si="4"/>
        <v>8.7179036178697267E-2</v>
      </c>
      <c r="AG26" s="4">
        <v>41796</v>
      </c>
      <c r="AH26" s="6">
        <v>-1.0085029999999999</v>
      </c>
      <c r="AI26" s="6">
        <v>-0.28478300000000001</v>
      </c>
      <c r="AJ26" s="6">
        <v>0.30286800000000003</v>
      </c>
      <c r="AK26" s="4">
        <v>41796</v>
      </c>
      <c r="AL26" s="6">
        <f>VLOOKUP(AK26,Sheet3!$A$1:$B$1113,2,FALSE)</f>
        <v>0.9568938714394648</v>
      </c>
      <c r="AM26" s="6">
        <f t="shared" si="8"/>
        <v>8.7179036178697267E-2</v>
      </c>
    </row>
    <row r="27" spans="1:47" x14ac:dyDescent="0.3">
      <c r="A27" s="4"/>
      <c r="B27" s="6"/>
      <c r="C27" s="6"/>
      <c r="D27" s="6"/>
      <c r="E27" s="6"/>
      <c r="I27" s="9"/>
      <c r="AC27">
        <f t="shared" si="7"/>
        <v>0</v>
      </c>
      <c r="AD27">
        <v>24</v>
      </c>
      <c r="AE27" s="4">
        <f t="shared" si="3"/>
        <v>41803</v>
      </c>
      <c r="AF27" s="6">
        <f t="shared" si="4"/>
        <v>1.932226229367795</v>
      </c>
      <c r="AG27" s="4">
        <v>41803</v>
      </c>
      <c r="AH27" s="6">
        <v>1.9452700000000001</v>
      </c>
      <c r="AI27" s="6">
        <v>1.9176949999999999</v>
      </c>
      <c r="AJ27" s="6">
        <v>2.235093</v>
      </c>
      <c r="AK27" s="4">
        <v>41803</v>
      </c>
      <c r="AL27" s="6">
        <f>VLOOKUP(AK27,Sheet3!$A$1:$B$1113,2,FALSE)</f>
        <v>0.97538322581063119</v>
      </c>
      <c r="AM27" s="6">
        <f t="shared" si="8"/>
        <v>1.932226229367795</v>
      </c>
    </row>
    <row r="28" spans="1:47" x14ac:dyDescent="0.3">
      <c r="A28" s="4"/>
      <c r="B28" s="6"/>
      <c r="C28" s="6"/>
      <c r="D28" s="6"/>
      <c r="E28" s="6"/>
      <c r="I28" s="9"/>
      <c r="AC28">
        <f t="shared" si="7"/>
        <v>0</v>
      </c>
      <c r="AD28">
        <v>25</v>
      </c>
      <c r="AE28" s="4">
        <f t="shared" si="3"/>
        <v>41810</v>
      </c>
      <c r="AF28" s="6">
        <f t="shared" si="4"/>
        <v>-2.1546988834426517</v>
      </c>
      <c r="AG28" s="4">
        <v>41810</v>
      </c>
      <c r="AH28" s="6">
        <v>-1.815653</v>
      </c>
      <c r="AI28" s="6">
        <v>-2.6265839999999998</v>
      </c>
      <c r="AJ28" s="6">
        <v>-2.7578619999999998</v>
      </c>
      <c r="AK28" s="4">
        <v>41810</v>
      </c>
      <c r="AL28" s="6">
        <f>VLOOKUP(AK28,Sheet3!$A$1:$B$1113,2,FALSE)</f>
        <v>0.95436665433480261</v>
      </c>
      <c r="AM28" s="6">
        <f t="shared" si="8"/>
        <v>-2.1546988834426517</v>
      </c>
    </row>
    <row r="29" spans="1:47" x14ac:dyDescent="0.3">
      <c r="A29" s="4"/>
      <c r="B29" s="6"/>
      <c r="C29" s="6"/>
      <c r="D29" s="6"/>
      <c r="E29" s="6"/>
      <c r="I29" s="9"/>
      <c r="R29" t="s">
        <v>18</v>
      </c>
      <c r="S29" t="s">
        <v>78</v>
      </c>
      <c r="T29" t="s">
        <v>21</v>
      </c>
      <c r="U29" t="s">
        <v>20</v>
      </c>
      <c r="V29" s="23" t="s">
        <v>26</v>
      </c>
      <c r="W29" s="23" t="s">
        <v>22</v>
      </c>
      <c r="X29" s="23" t="s">
        <v>35</v>
      </c>
      <c r="Y29" s="8" t="s">
        <v>23</v>
      </c>
      <c r="Z29" s="23" t="s">
        <v>24</v>
      </c>
      <c r="AC29">
        <f t="shared" si="7"/>
        <v>0</v>
      </c>
      <c r="AD29">
        <v>26</v>
      </c>
      <c r="AE29" s="4">
        <f t="shared" si="3"/>
        <v>41817</v>
      </c>
      <c r="AF29" s="6">
        <f t="shared" si="4"/>
        <v>2.4370683560020368</v>
      </c>
      <c r="AG29" s="4">
        <v>41817</v>
      </c>
      <c r="AH29" s="6">
        <v>0.63316399999999995</v>
      </c>
      <c r="AI29" s="6">
        <v>2.6384789999999998</v>
      </c>
      <c r="AJ29" s="6">
        <v>4.1944400000000002</v>
      </c>
      <c r="AK29" s="4">
        <v>41817</v>
      </c>
      <c r="AL29" s="6">
        <f>VLOOKUP(AK29,Sheet3!$A$1:$B$1113,2,FALSE)</f>
        <v>0.97762522206783142</v>
      </c>
      <c r="AM29" s="6">
        <f t="shared" si="8"/>
        <v>2.4370683560020368</v>
      </c>
    </row>
    <row r="30" spans="1:47" x14ac:dyDescent="0.3">
      <c r="A30" s="4"/>
      <c r="B30" s="6"/>
      <c r="C30" s="6"/>
      <c r="D30" s="6"/>
      <c r="E30" s="6"/>
      <c r="I30" s="9"/>
      <c r="Q30">
        <v>1</v>
      </c>
      <c r="T30" s="13"/>
      <c r="U30" s="13"/>
      <c r="V30" s="11"/>
      <c r="W30" s="11"/>
      <c r="X30" s="11"/>
      <c r="Y30" s="11"/>
      <c r="Z30" s="11"/>
      <c r="AC30">
        <f t="shared" si="7"/>
        <v>0</v>
      </c>
      <c r="AD30">
        <v>27</v>
      </c>
      <c r="AE30" s="4">
        <f t="shared" si="3"/>
        <v>41824</v>
      </c>
      <c r="AF30" s="6">
        <f t="shared" si="4"/>
        <v>1.7430726831490606</v>
      </c>
      <c r="AG30" s="4">
        <v>41824</v>
      </c>
      <c r="AH30" s="6">
        <v>1.322492</v>
      </c>
      <c r="AI30" s="6">
        <v>2.9629319999999999</v>
      </c>
      <c r="AJ30" s="6">
        <v>3.0667080000000002</v>
      </c>
      <c r="AK30" s="4">
        <v>41824</v>
      </c>
      <c r="AL30" s="6">
        <f>VLOOKUP(AK30,Sheet3!$A$1:$B$1113,2,FALSE)</f>
        <v>0.99466594025727106</v>
      </c>
      <c r="AM30" s="6">
        <f t="shared" si="8"/>
        <v>1.7430726831490606</v>
      </c>
    </row>
    <row r="31" spans="1:47" x14ac:dyDescent="0.3">
      <c r="A31" s="4"/>
      <c r="B31" s="6"/>
      <c r="C31" s="6"/>
      <c r="D31" s="6"/>
      <c r="E31" s="6"/>
      <c r="I31" s="9"/>
      <c r="Q31">
        <f>Q30+1</f>
        <v>2</v>
      </c>
      <c r="R31" t="s">
        <v>72</v>
      </c>
      <c r="S31" s="13">
        <f>(T31+U31)/2</f>
        <v>41715.5</v>
      </c>
      <c r="T31" s="13">
        <v>41782</v>
      </c>
      <c r="U31" s="13">
        <v>41649</v>
      </c>
      <c r="V31" s="11">
        <v>0.21635360399723985</v>
      </c>
      <c r="W31" s="11">
        <v>1.9381378000691271E-5</v>
      </c>
      <c r="X31" s="11">
        <v>0.5695910454771238</v>
      </c>
      <c r="Y31" s="11">
        <v>0.21403596914763559</v>
      </c>
      <c r="Z31" s="11">
        <v>0.90004714262930063</v>
      </c>
      <c r="AC31">
        <f t="shared" si="7"/>
        <v>0</v>
      </c>
      <c r="AD31">
        <v>28</v>
      </c>
      <c r="AE31" s="4">
        <f t="shared" si="3"/>
        <v>41831</v>
      </c>
      <c r="AF31" s="6">
        <f t="shared" si="4"/>
        <v>-1.3317423733596012</v>
      </c>
      <c r="AG31" s="4">
        <v>41831</v>
      </c>
      <c r="AH31" s="6">
        <v>-1.408458</v>
      </c>
      <c r="AI31" s="6">
        <v>0.62903299999999995</v>
      </c>
      <c r="AJ31" s="6">
        <v>-0.229208</v>
      </c>
      <c r="AK31" s="4">
        <v>41831</v>
      </c>
      <c r="AL31" s="6">
        <f>VLOOKUP(AK31,Sheet3!$A$1:$B$1113,2,FALSE)</f>
        <v>0.98141955245748924</v>
      </c>
      <c r="AM31" s="6">
        <f t="shared" si="8"/>
        <v>-1.3317423733596012</v>
      </c>
    </row>
    <row r="32" spans="1:47" x14ac:dyDescent="0.3">
      <c r="A32" s="4"/>
      <c r="B32" s="6"/>
      <c r="C32" s="6"/>
      <c r="D32" s="6"/>
      <c r="E32" s="6"/>
      <c r="I32" s="9"/>
      <c r="Q32">
        <f t="shared" ref="Q32:Q95" si="12">Q31+1</f>
        <v>3</v>
      </c>
      <c r="R32" t="s">
        <v>72</v>
      </c>
      <c r="S32" s="13">
        <f t="shared" ref="S32:S95" si="13">(T32+U32)/2</f>
        <v>41722.5</v>
      </c>
      <c r="T32" s="13">
        <v>41789</v>
      </c>
      <c r="U32" s="13">
        <v>41656</v>
      </c>
      <c r="V32" s="11">
        <v>0.23682641047636177</v>
      </c>
      <c r="W32" s="11">
        <v>2.3202449381807135E-5</v>
      </c>
      <c r="X32" s="11">
        <v>0.57641603136185016</v>
      </c>
      <c r="Y32" s="11">
        <v>0.18673435571240629</v>
      </c>
      <c r="Z32" s="11">
        <v>0.89921717032964066</v>
      </c>
      <c r="AC32">
        <f t="shared" si="7"/>
        <v>0</v>
      </c>
      <c r="AD32">
        <v>29</v>
      </c>
      <c r="AE32" s="4">
        <f t="shared" si="3"/>
        <v>41838</v>
      </c>
      <c r="AF32" s="6">
        <f t="shared" si="4"/>
        <v>-0.57864655651973518</v>
      </c>
      <c r="AG32" s="4">
        <v>41838</v>
      </c>
      <c r="AH32" s="6">
        <v>0.75116099999999997</v>
      </c>
      <c r="AI32" s="6">
        <v>0.31689299999999998</v>
      </c>
      <c r="AJ32" s="6">
        <v>-1.115748</v>
      </c>
      <c r="AK32" s="4">
        <v>41838</v>
      </c>
      <c r="AL32" s="6">
        <f>VLOOKUP(AK32,Sheet3!$A$1:$B$1113,2,FALSE)</f>
        <v>0.9757406020121826</v>
      </c>
      <c r="AM32" s="6">
        <f t="shared" si="8"/>
        <v>-0.57864655651973518</v>
      </c>
    </row>
    <row r="33" spans="1:39" x14ac:dyDescent="0.3">
      <c r="A33" s="4"/>
      <c r="B33" s="6"/>
      <c r="C33" s="6"/>
      <c r="D33" s="6"/>
      <c r="E33" s="6"/>
      <c r="I33" s="9"/>
      <c r="Q33">
        <f t="shared" si="12"/>
        <v>4</v>
      </c>
      <c r="R33" t="s">
        <v>72</v>
      </c>
      <c r="S33" s="13">
        <f t="shared" si="13"/>
        <v>41729.5</v>
      </c>
      <c r="T33" s="13">
        <v>41796</v>
      </c>
      <c r="U33" s="13">
        <v>41663</v>
      </c>
      <c r="V33" s="11">
        <v>0.22154322014805863</v>
      </c>
      <c r="W33" s="11">
        <v>1.6410502019406802E-5</v>
      </c>
      <c r="X33" s="11">
        <v>0.58736905105264436</v>
      </c>
      <c r="Y33" s="11">
        <v>0.19107131829727764</v>
      </c>
      <c r="Z33" s="11">
        <v>0.89884088328866096</v>
      </c>
      <c r="AC33">
        <f t="shared" si="7"/>
        <v>0</v>
      </c>
      <c r="AD33">
        <v>30</v>
      </c>
      <c r="AE33" s="4">
        <f t="shared" si="3"/>
        <v>41845</v>
      </c>
      <c r="AF33" s="6">
        <f t="shared" si="4"/>
        <v>0.99075409115891855</v>
      </c>
      <c r="AG33" s="4">
        <v>41845</v>
      </c>
      <c r="AH33" s="6">
        <v>4.4502579999999998</v>
      </c>
      <c r="AI33" s="6">
        <v>1.169567</v>
      </c>
      <c r="AJ33" s="6">
        <v>-0.22479199999999999</v>
      </c>
      <c r="AK33" s="4">
        <v>41845</v>
      </c>
      <c r="AL33" s="6">
        <f>VLOOKUP(AK33,Sheet3!$A$1:$B$1113,2,FALSE)</f>
        <v>0.98540779194571704</v>
      </c>
      <c r="AM33" s="6">
        <f t="shared" si="8"/>
        <v>0.99075409115891855</v>
      </c>
    </row>
    <row r="34" spans="1:39" x14ac:dyDescent="0.3">
      <c r="A34" s="4"/>
      <c r="B34" s="6"/>
      <c r="C34" s="6"/>
      <c r="D34" s="6"/>
      <c r="E34" s="6"/>
      <c r="I34" s="9"/>
      <c r="Q34">
        <f t="shared" si="12"/>
        <v>5</v>
      </c>
      <c r="R34" t="s">
        <v>72</v>
      </c>
      <c r="S34" s="13">
        <f t="shared" si="13"/>
        <v>41736</v>
      </c>
      <c r="T34" s="13">
        <v>41803</v>
      </c>
      <c r="U34" s="13">
        <v>41669</v>
      </c>
      <c r="V34" s="11">
        <v>0.22433044638344221</v>
      </c>
      <c r="W34" s="11">
        <v>1.6645277964376374E-5</v>
      </c>
      <c r="X34" s="11">
        <v>0.57960929267654371</v>
      </c>
      <c r="Y34" s="11">
        <v>0.19604361566204961</v>
      </c>
      <c r="Z34" s="11">
        <v>0.87827534490070125</v>
      </c>
      <c r="AC34">
        <f t="shared" si="7"/>
        <v>0</v>
      </c>
      <c r="AD34">
        <v>31</v>
      </c>
      <c r="AE34" s="4">
        <f t="shared" si="3"/>
        <v>41852</v>
      </c>
      <c r="AF34" s="6">
        <f t="shared" si="4"/>
        <v>2.3482577796054782</v>
      </c>
      <c r="AG34" s="4">
        <v>41852</v>
      </c>
      <c r="AH34" s="6">
        <v>3.0501839999999998</v>
      </c>
      <c r="AI34" s="6">
        <v>2.9443489999999999</v>
      </c>
      <c r="AJ34" s="6">
        <v>3.19028</v>
      </c>
      <c r="AK34" s="4">
        <v>41852</v>
      </c>
      <c r="AL34" s="6">
        <f>VLOOKUP(AK34,Sheet3!$A$1:$B$1113,2,FALSE)</f>
        <v>1.008547707080921</v>
      </c>
      <c r="AM34" s="6">
        <f t="shared" si="8"/>
        <v>2.3482577796054782</v>
      </c>
    </row>
    <row r="35" spans="1:39" x14ac:dyDescent="0.3">
      <c r="A35" s="4"/>
      <c r="B35" s="6"/>
      <c r="C35" s="6"/>
      <c r="D35" s="6"/>
      <c r="E35" s="6"/>
      <c r="I35" s="9"/>
      <c r="Q35">
        <f t="shared" si="12"/>
        <v>6</v>
      </c>
      <c r="R35" t="s">
        <v>72</v>
      </c>
      <c r="S35" s="13">
        <f t="shared" si="13"/>
        <v>41743.5</v>
      </c>
      <c r="T35" s="13">
        <v>41810</v>
      </c>
      <c r="U35" s="13">
        <v>41677</v>
      </c>
      <c r="V35" s="11">
        <v>0.21144160311378324</v>
      </c>
      <c r="W35" s="11">
        <v>2.0202698433150935E-5</v>
      </c>
      <c r="X35" s="11">
        <v>0.59039102699660451</v>
      </c>
      <c r="Y35" s="11">
        <v>0.19814716719117917</v>
      </c>
      <c r="Z35" s="11">
        <v>0.88472574291948158</v>
      </c>
      <c r="AC35">
        <f t="shared" si="7"/>
        <v>0</v>
      </c>
      <c r="AD35">
        <v>32</v>
      </c>
      <c r="AE35" s="4">
        <f t="shared" si="3"/>
        <v>41859</v>
      </c>
      <c r="AF35" s="6">
        <f t="shared" si="4"/>
        <v>1.4176087769581347</v>
      </c>
      <c r="AG35" s="4">
        <v>41859</v>
      </c>
      <c r="AH35" s="6">
        <v>7.4354000000000003E-2</v>
      </c>
      <c r="AI35" s="6">
        <v>2.4102779999999999</v>
      </c>
      <c r="AJ35" s="6">
        <v>2.969932</v>
      </c>
      <c r="AK35" s="4">
        <v>41859</v>
      </c>
      <c r="AL35" s="6">
        <f>VLOOKUP(AK35,Sheet3!$A$1:$B$1113,2,FALSE)</f>
        <v>1.0228449678963101</v>
      </c>
      <c r="AM35" s="6">
        <f t="shared" si="8"/>
        <v>1.4176087769581347</v>
      </c>
    </row>
    <row r="36" spans="1:39" x14ac:dyDescent="0.3">
      <c r="A36" s="4"/>
      <c r="B36" s="6"/>
      <c r="C36" s="6"/>
      <c r="D36" s="6"/>
      <c r="E36" s="6"/>
      <c r="I36" s="9"/>
      <c r="Q36">
        <f t="shared" si="12"/>
        <v>7</v>
      </c>
      <c r="R36" t="s">
        <v>72</v>
      </c>
      <c r="S36" s="13">
        <f t="shared" si="13"/>
        <v>41750.5</v>
      </c>
      <c r="T36" s="13">
        <v>41817</v>
      </c>
      <c r="U36" s="13">
        <v>41684</v>
      </c>
      <c r="V36" s="11">
        <v>0.21923317470344697</v>
      </c>
      <c r="W36" s="11">
        <v>2.1743490952252399E-5</v>
      </c>
      <c r="X36" s="11">
        <v>0.5803228462679455</v>
      </c>
      <c r="Y36" s="11">
        <v>0.2004222355376552</v>
      </c>
      <c r="Z36" s="11">
        <v>0.89079140588784156</v>
      </c>
      <c r="AC36">
        <f t="shared" si="7"/>
        <v>0</v>
      </c>
      <c r="AD36">
        <v>33</v>
      </c>
      <c r="AE36" s="4">
        <f t="shared" si="3"/>
        <v>41866</v>
      </c>
      <c r="AF36" s="6">
        <f t="shared" si="4"/>
        <v>1.5334686151584842</v>
      </c>
      <c r="AG36" s="4">
        <v>41866</v>
      </c>
      <c r="AH36" s="6">
        <v>1.2655209999999999</v>
      </c>
      <c r="AI36" s="6">
        <v>2.5961699999999999</v>
      </c>
      <c r="AJ36" s="6">
        <v>2.9489049999999999</v>
      </c>
      <c r="AK36" s="4">
        <v>41866</v>
      </c>
      <c r="AL36" s="6">
        <f>VLOOKUP(AK36,Sheet3!$A$1:$B$1113,2,FALSE)</f>
        <v>1.0385299744607279</v>
      </c>
      <c r="AM36" s="6">
        <f t="shared" si="8"/>
        <v>1.5334686151584842</v>
      </c>
    </row>
    <row r="37" spans="1:39" x14ac:dyDescent="0.3">
      <c r="A37" s="4"/>
      <c r="B37" s="6"/>
      <c r="C37" s="6"/>
      <c r="D37" s="6"/>
      <c r="E37" s="6"/>
      <c r="I37" s="9"/>
      <c r="Q37">
        <f t="shared" si="12"/>
        <v>8</v>
      </c>
      <c r="R37" t="s">
        <v>72</v>
      </c>
      <c r="S37" s="13">
        <f t="shared" si="13"/>
        <v>41757.5</v>
      </c>
      <c r="T37" s="13">
        <v>41824</v>
      </c>
      <c r="U37" s="13">
        <v>41691</v>
      </c>
      <c r="V37" s="11">
        <v>0.28899782448795847</v>
      </c>
      <c r="W37" s="11">
        <v>1.8205867700739899E-5</v>
      </c>
      <c r="X37" s="11">
        <v>0.57402226031423553</v>
      </c>
      <c r="Y37" s="11">
        <v>0.13696170933010529</v>
      </c>
      <c r="Z37" s="11">
        <v>0.91059144723031904</v>
      </c>
      <c r="AC37">
        <f t="shared" si="7"/>
        <v>0</v>
      </c>
      <c r="AD37">
        <v>34</v>
      </c>
      <c r="AE37" s="4">
        <f t="shared" si="3"/>
        <v>41873</v>
      </c>
      <c r="AF37" s="6">
        <f t="shared" si="4"/>
        <v>1.5465394737526061</v>
      </c>
      <c r="AG37" s="4">
        <v>41873</v>
      </c>
      <c r="AH37" s="6">
        <v>0.20032700000000001</v>
      </c>
      <c r="AI37" s="6">
        <v>2.217994</v>
      </c>
      <c r="AJ37" s="6">
        <v>3.071834</v>
      </c>
      <c r="AK37" s="4">
        <v>41873</v>
      </c>
      <c r="AL37" s="6">
        <f>VLOOKUP(AK37,Sheet3!$A$1:$B$1113,2,FALSE)</f>
        <v>1.0545912504625159</v>
      </c>
      <c r="AM37" s="6">
        <f t="shared" si="8"/>
        <v>1.5465394737526061</v>
      </c>
    </row>
    <row r="38" spans="1:39" x14ac:dyDescent="0.3">
      <c r="A38" s="4"/>
      <c r="B38" s="6"/>
      <c r="C38" s="6"/>
      <c r="D38" s="6"/>
      <c r="E38" s="6"/>
      <c r="I38" s="9"/>
      <c r="Q38">
        <f t="shared" si="12"/>
        <v>9</v>
      </c>
      <c r="R38" t="s">
        <v>72</v>
      </c>
      <c r="S38" s="13">
        <f t="shared" si="13"/>
        <v>41764.5</v>
      </c>
      <c r="T38" s="13">
        <v>41831</v>
      </c>
      <c r="U38" s="13">
        <v>41698</v>
      </c>
      <c r="V38" s="11">
        <v>0.30609492295309471</v>
      </c>
      <c r="W38" s="11">
        <v>1.7101978050583137E-5</v>
      </c>
      <c r="X38" s="11">
        <v>0.56863142634093033</v>
      </c>
      <c r="Y38" s="11">
        <v>0.12525654872792436</v>
      </c>
      <c r="Z38" s="11">
        <v>0.9050029432632265</v>
      </c>
      <c r="AC38">
        <f t="shared" si="7"/>
        <v>0</v>
      </c>
      <c r="AD38">
        <v>35</v>
      </c>
      <c r="AE38" s="4">
        <f t="shared" si="3"/>
        <v>41880</v>
      </c>
      <c r="AF38" s="6">
        <f t="shared" si="4"/>
        <v>-1.2266406900514726</v>
      </c>
      <c r="AG38" s="4">
        <v>41880</v>
      </c>
      <c r="AH38" s="6">
        <v>-1.1447290000000001</v>
      </c>
      <c r="AI38" s="6">
        <v>-2.0760320000000001</v>
      </c>
      <c r="AJ38" s="6">
        <v>-1.866004</v>
      </c>
      <c r="AK38" s="4">
        <v>41880</v>
      </c>
      <c r="AL38" s="6">
        <f>VLOOKUP(AK38,Sheet3!$A$1:$B$1113,2,FALSE)</f>
        <v>1.04165520507062</v>
      </c>
      <c r="AM38" s="6">
        <f t="shared" si="8"/>
        <v>-1.2266406900514726</v>
      </c>
    </row>
    <row r="39" spans="1:39" x14ac:dyDescent="0.3">
      <c r="A39" s="4"/>
      <c r="B39" s="6"/>
      <c r="C39" s="6"/>
      <c r="D39" s="6"/>
      <c r="E39" s="6"/>
      <c r="I39" s="9"/>
      <c r="Q39">
        <f t="shared" si="12"/>
        <v>10</v>
      </c>
      <c r="R39" t="s">
        <v>72</v>
      </c>
      <c r="S39" s="13">
        <f t="shared" si="13"/>
        <v>41771.5</v>
      </c>
      <c r="T39" s="13">
        <v>41838</v>
      </c>
      <c r="U39" s="13">
        <v>41705</v>
      </c>
      <c r="V39" s="11">
        <v>0.25717166468218727</v>
      </c>
      <c r="W39" s="11">
        <v>1.7919176549766837E-5</v>
      </c>
      <c r="X39" s="11">
        <v>0.57238597651661483</v>
      </c>
      <c r="Y39" s="11">
        <v>0.17042443962464807</v>
      </c>
      <c r="Z39" s="11">
        <v>0.89245911089046126</v>
      </c>
      <c r="AC39">
        <f t="shared" si="7"/>
        <v>0</v>
      </c>
      <c r="AD39">
        <v>36</v>
      </c>
      <c r="AE39" s="4">
        <f t="shared" si="3"/>
        <v>41887</v>
      </c>
      <c r="AF39" s="6">
        <f t="shared" si="4"/>
        <v>4.1237552390138266</v>
      </c>
      <c r="AG39" s="4">
        <v>41887</v>
      </c>
      <c r="AH39" s="6">
        <v>4.7458669999999996</v>
      </c>
      <c r="AI39" s="6">
        <v>5.3884720000000002</v>
      </c>
      <c r="AJ39" s="6">
        <v>5.5620940000000001</v>
      </c>
      <c r="AK39" s="4">
        <v>41887</v>
      </c>
      <c r="AL39" s="6">
        <f>VLOOKUP(AK39,Sheet3!$A$1:$B$1113,2,FALSE)</f>
        <v>1.08461051616218</v>
      </c>
      <c r="AM39" s="6">
        <f t="shared" si="8"/>
        <v>4.1237552390138266</v>
      </c>
    </row>
    <row r="40" spans="1:39" x14ac:dyDescent="0.3">
      <c r="A40" s="4"/>
      <c r="B40" s="6"/>
      <c r="C40" s="9"/>
      <c r="D40" s="9"/>
      <c r="E40" s="9"/>
      <c r="I40" s="9"/>
      <c r="Q40">
        <f t="shared" si="12"/>
        <v>11</v>
      </c>
      <c r="R40" t="s">
        <v>72</v>
      </c>
      <c r="S40" s="13">
        <f t="shared" si="13"/>
        <v>41778.5</v>
      </c>
      <c r="T40" s="13">
        <v>41845</v>
      </c>
      <c r="U40" s="13">
        <v>41712</v>
      </c>
      <c r="V40" s="11">
        <v>0.23132510353508889</v>
      </c>
      <c r="W40" s="11">
        <v>1.854772279361667E-5</v>
      </c>
      <c r="X40" s="11">
        <v>0.59820551182571613</v>
      </c>
      <c r="Y40" s="11">
        <v>0.17045083691640134</v>
      </c>
      <c r="Z40" s="11">
        <v>0.90586286663318105</v>
      </c>
      <c r="AC40">
        <f t="shared" si="7"/>
        <v>0</v>
      </c>
      <c r="AD40">
        <v>37</v>
      </c>
      <c r="AE40" s="4">
        <f t="shared" si="3"/>
        <v>41894</v>
      </c>
      <c r="AF40" s="6">
        <f t="shared" si="4"/>
        <v>0.95822291312857022</v>
      </c>
      <c r="AG40" s="4">
        <v>41894</v>
      </c>
      <c r="AH40" s="6">
        <v>-0.445073</v>
      </c>
      <c r="AI40" s="6">
        <v>1.9388300000000001</v>
      </c>
      <c r="AJ40" s="6">
        <v>2.434952</v>
      </c>
      <c r="AK40" s="4">
        <v>41894</v>
      </c>
      <c r="AL40" s="6">
        <f>VLOOKUP(AK40,Sheet3!$A$1:$B$1113,2,FALSE)</f>
        <v>1.0950035026462479</v>
      </c>
      <c r="AM40" s="6">
        <f t="shared" si="8"/>
        <v>0.95822291312857022</v>
      </c>
    </row>
    <row r="41" spans="1:39" x14ac:dyDescent="0.3">
      <c r="A41" s="4"/>
      <c r="B41" s="6"/>
      <c r="C41" s="9"/>
      <c r="D41" s="9"/>
      <c r="E41" s="9"/>
      <c r="I41" s="9"/>
      <c r="Q41">
        <f t="shared" si="12"/>
        <v>12</v>
      </c>
      <c r="R41" t="s">
        <v>72</v>
      </c>
      <c r="S41" s="13">
        <f t="shared" si="13"/>
        <v>41785.5</v>
      </c>
      <c r="T41" s="13">
        <v>41852</v>
      </c>
      <c r="U41" s="13">
        <v>41719</v>
      </c>
      <c r="V41" s="11">
        <v>0.2322753030451539</v>
      </c>
      <c r="W41" s="11">
        <v>2.0930845253370271E-5</v>
      </c>
      <c r="X41" s="11">
        <v>0.6109459909040803</v>
      </c>
      <c r="Y41" s="11">
        <v>0.1567577752055124</v>
      </c>
      <c r="Z41" s="11">
        <v>0.91628146470441529</v>
      </c>
      <c r="AC41">
        <f t="shared" si="7"/>
        <v>0</v>
      </c>
      <c r="AD41">
        <v>38</v>
      </c>
      <c r="AE41" s="4">
        <f t="shared" si="3"/>
        <v>41901</v>
      </c>
      <c r="AF41" s="6">
        <f t="shared" si="4"/>
        <v>-0.47396898252074493</v>
      </c>
      <c r="AG41" s="4">
        <v>41901</v>
      </c>
      <c r="AH41" s="6">
        <v>-0.53917400000000004</v>
      </c>
      <c r="AI41" s="6">
        <v>3.7377000000000001E-2</v>
      </c>
      <c r="AJ41" s="6">
        <v>0.135155</v>
      </c>
      <c r="AK41" s="4">
        <v>41901</v>
      </c>
      <c r="AL41" s="6">
        <f>VLOOKUP(AK41,Sheet3!$A$1:$B$1113,2,FALSE)</f>
        <v>1.0898135256861889</v>
      </c>
      <c r="AM41" s="6">
        <f t="shared" si="8"/>
        <v>-0.47396898252074493</v>
      </c>
    </row>
    <row r="42" spans="1:39" x14ac:dyDescent="0.3">
      <c r="A42" s="4"/>
      <c r="B42" s="6"/>
      <c r="C42" s="9"/>
      <c r="D42" s="9"/>
      <c r="E42" s="9"/>
      <c r="I42" s="9"/>
      <c r="Q42">
        <f t="shared" si="12"/>
        <v>13</v>
      </c>
      <c r="R42" t="s">
        <v>72</v>
      </c>
      <c r="S42" s="13">
        <f t="shared" si="13"/>
        <v>41792.5</v>
      </c>
      <c r="T42" s="13">
        <v>41859</v>
      </c>
      <c r="U42" s="13">
        <v>41726</v>
      </c>
      <c r="V42" s="11">
        <v>0.27079108000673746</v>
      </c>
      <c r="W42" s="11">
        <v>1.6410945500265294E-5</v>
      </c>
      <c r="X42" s="11">
        <v>0.60834906272386569</v>
      </c>
      <c r="Y42" s="11">
        <v>0.12084344632389665</v>
      </c>
      <c r="Z42" s="11">
        <v>0.95193093643639193</v>
      </c>
      <c r="AC42">
        <f t="shared" si="7"/>
        <v>0</v>
      </c>
      <c r="AD42">
        <v>39</v>
      </c>
      <c r="AE42" s="4">
        <f t="shared" si="3"/>
        <v>41908</v>
      </c>
      <c r="AF42" s="6">
        <f t="shared" si="4"/>
        <v>1.1979431490642289</v>
      </c>
      <c r="AG42" s="4">
        <v>41908</v>
      </c>
      <c r="AH42" s="6">
        <v>0.49439</v>
      </c>
      <c r="AI42" s="6">
        <v>1.496367</v>
      </c>
      <c r="AJ42" s="6">
        <v>2.4762119999999999</v>
      </c>
      <c r="AK42" s="4">
        <v>41908</v>
      </c>
      <c r="AL42" s="6">
        <f>VLOOKUP(AK42,Sheet3!$A$1:$B$1113,2,FALSE)</f>
        <v>1.102868872154722</v>
      </c>
      <c r="AM42" s="6">
        <f t="shared" si="8"/>
        <v>1.1979431490642289</v>
      </c>
    </row>
    <row r="43" spans="1:39" x14ac:dyDescent="0.3">
      <c r="A43" s="4"/>
      <c r="B43" s="6"/>
      <c r="C43" s="9"/>
      <c r="D43" s="9"/>
      <c r="E43" s="9"/>
      <c r="I43" s="9"/>
      <c r="Q43">
        <f t="shared" si="12"/>
        <v>14</v>
      </c>
      <c r="R43" t="s">
        <v>72</v>
      </c>
      <c r="S43" s="13">
        <f t="shared" si="13"/>
        <v>41799.5</v>
      </c>
      <c r="T43" s="13">
        <v>41866</v>
      </c>
      <c r="U43" s="13">
        <v>41733</v>
      </c>
      <c r="V43" s="11">
        <v>0.29180402650317977</v>
      </c>
      <c r="W43" s="11">
        <v>1.8202444602591538E-5</v>
      </c>
      <c r="X43" s="11">
        <v>0.55956675939189748</v>
      </c>
      <c r="Y43" s="11">
        <v>0.1486110116603202</v>
      </c>
      <c r="Z43" s="11">
        <v>0.9493481916508969</v>
      </c>
      <c r="AC43">
        <f t="shared" si="7"/>
        <v>0</v>
      </c>
      <c r="AD43">
        <v>40</v>
      </c>
      <c r="AE43" s="4">
        <f t="shared" si="3"/>
        <v>41912</v>
      </c>
      <c r="AF43" s="6">
        <f t="shared" si="4"/>
        <v>1.1056136979616715</v>
      </c>
      <c r="AG43" s="4">
        <v>41912</v>
      </c>
      <c r="AH43" s="6">
        <v>0.56569000000000003</v>
      </c>
      <c r="AI43" s="6">
        <v>1.7843720000000001</v>
      </c>
      <c r="AJ43" s="6">
        <v>1.856619</v>
      </c>
      <c r="AK43" s="4">
        <v>41912</v>
      </c>
      <c r="AL43" s="6">
        <f>VLOOKUP(AK43,Sheet3!$A$1:$B$1113,2,FALSE)</f>
        <v>1.1150623414758201</v>
      </c>
      <c r="AM43" s="6">
        <f t="shared" si="8"/>
        <v>1.1056136979616715</v>
      </c>
    </row>
    <row r="44" spans="1:39" x14ac:dyDescent="0.3">
      <c r="A44" s="4"/>
      <c r="B44" s="6"/>
      <c r="C44" s="9"/>
      <c r="D44" s="9"/>
      <c r="E44" s="9"/>
      <c r="I44" s="9"/>
      <c r="Q44">
        <f t="shared" si="12"/>
        <v>15</v>
      </c>
      <c r="R44" t="s">
        <v>72</v>
      </c>
      <c r="S44" s="13">
        <f t="shared" si="13"/>
        <v>41806.5</v>
      </c>
      <c r="T44" s="13">
        <v>41873</v>
      </c>
      <c r="U44" s="13">
        <v>41740</v>
      </c>
      <c r="V44" s="11">
        <v>0.29074076608927274</v>
      </c>
      <c r="W44" s="11">
        <v>1.6687858615066285E-5</v>
      </c>
      <c r="X44" s="11">
        <v>0.55075067996287386</v>
      </c>
      <c r="Y44" s="11">
        <v>0.15849186608923849</v>
      </c>
      <c r="Z44" s="11">
        <v>0.95003728035818236</v>
      </c>
      <c r="AC44">
        <f t="shared" si="7"/>
        <v>0</v>
      </c>
      <c r="AD44">
        <v>41</v>
      </c>
      <c r="AE44" s="4">
        <f t="shared" si="3"/>
        <v>41922</v>
      </c>
      <c r="AF44" s="6">
        <f t="shared" si="4"/>
        <v>0.62833220416966817</v>
      </c>
      <c r="AG44" s="4">
        <v>41922</v>
      </c>
      <c r="AH44" s="6">
        <v>0.644679</v>
      </c>
      <c r="AI44" s="6">
        <v>1.3371120000000001</v>
      </c>
      <c r="AJ44" s="6">
        <v>1.4663299999999999</v>
      </c>
      <c r="AK44" s="4">
        <v>41922</v>
      </c>
      <c r="AL44" s="6">
        <f>VLOOKUP(AK44,Sheet3!$A$1:$B$1113,2,FALSE)</f>
        <v>1.1220686372638811</v>
      </c>
      <c r="AM44" s="6">
        <f t="shared" si="8"/>
        <v>0.62833220416966817</v>
      </c>
    </row>
    <row r="45" spans="1:39" x14ac:dyDescent="0.3">
      <c r="A45" s="4"/>
      <c r="B45" s="6"/>
      <c r="C45" s="9"/>
      <c r="D45" s="9"/>
      <c r="E45" s="9"/>
      <c r="I45" s="9"/>
      <c r="Q45">
        <f t="shared" si="12"/>
        <v>16</v>
      </c>
      <c r="R45" t="s">
        <v>72</v>
      </c>
      <c r="S45" s="13">
        <f t="shared" si="13"/>
        <v>41813.5</v>
      </c>
      <c r="T45" s="13">
        <v>41880</v>
      </c>
      <c r="U45" s="13">
        <v>41747</v>
      </c>
      <c r="V45" s="11">
        <v>0.29025710031102886</v>
      </c>
      <c r="W45" s="11">
        <v>2.2728695998180065E-5</v>
      </c>
      <c r="X45" s="11">
        <v>0.54914231641041966</v>
      </c>
      <c r="Y45" s="11">
        <v>0.16057785458255333</v>
      </c>
      <c r="Z45" s="11">
        <v>0.94934583261172012</v>
      </c>
      <c r="AC45">
        <f t="shared" si="7"/>
        <v>0</v>
      </c>
      <c r="AD45">
        <v>42</v>
      </c>
      <c r="AE45" s="4">
        <f t="shared" si="3"/>
        <v>41929</v>
      </c>
      <c r="AF45" s="6">
        <f t="shared" si="4"/>
        <v>-2.0550068626629114</v>
      </c>
      <c r="AG45" s="4">
        <v>41929</v>
      </c>
      <c r="AH45" s="6">
        <v>-1.015774</v>
      </c>
      <c r="AI45" s="6">
        <v>-2.431244</v>
      </c>
      <c r="AJ45" s="6">
        <v>-2.546414</v>
      </c>
      <c r="AK45" s="4">
        <v>41929</v>
      </c>
      <c r="AL45" s="6">
        <f>VLOOKUP(AK45,Sheet3!$A$1:$B$1113,2,FALSE)</f>
        <v>1.09901004976432</v>
      </c>
      <c r="AM45" s="6">
        <f t="shared" si="8"/>
        <v>-2.0550068626629114</v>
      </c>
    </row>
    <row r="46" spans="1:39" x14ac:dyDescent="0.3">
      <c r="A46" s="4"/>
      <c r="B46" s="6"/>
      <c r="C46" s="9"/>
      <c r="D46" s="9"/>
      <c r="E46" s="9"/>
      <c r="I46" s="9"/>
      <c r="Q46">
        <f t="shared" si="12"/>
        <v>17</v>
      </c>
      <c r="R46" t="s">
        <v>72</v>
      </c>
      <c r="S46" s="13">
        <f t="shared" si="13"/>
        <v>41820.5</v>
      </c>
      <c r="T46" s="13">
        <v>41887</v>
      </c>
      <c r="U46" s="13">
        <v>41754</v>
      </c>
      <c r="V46" s="11">
        <v>0.25742531140512359</v>
      </c>
      <c r="W46" s="11">
        <v>1.6793551130423843E-5</v>
      </c>
      <c r="X46" s="11">
        <v>0.55546856983447523</v>
      </c>
      <c r="Y46" s="11">
        <v>0.18708932520927074</v>
      </c>
      <c r="Z46" s="11">
        <v>0.95926261379028865</v>
      </c>
      <c r="AC46">
        <f t="shared" si="7"/>
        <v>0</v>
      </c>
      <c r="AD46">
        <v>43</v>
      </c>
      <c r="AE46" s="4">
        <f t="shared" si="3"/>
        <v>41936</v>
      </c>
      <c r="AF46" s="6">
        <f t="shared" si="4"/>
        <v>-1.42400418817209</v>
      </c>
      <c r="AG46" s="4">
        <v>41936</v>
      </c>
      <c r="AH46" s="6">
        <v>-2.0897459999999999</v>
      </c>
      <c r="AI46" s="6">
        <v>-1.7706390000000001</v>
      </c>
      <c r="AJ46" s="6">
        <v>-1.9268590000000001</v>
      </c>
      <c r="AK46" s="4">
        <v>41936</v>
      </c>
      <c r="AL46" s="6">
        <f>VLOOKUP(AK46,Sheet3!$A$1:$B$1113,2,FALSE)</f>
        <v>1.083360100627244</v>
      </c>
      <c r="AM46" s="6">
        <f t="shared" si="8"/>
        <v>-1.42400418817209</v>
      </c>
    </row>
    <row r="47" spans="1:39" x14ac:dyDescent="0.3">
      <c r="A47" s="4"/>
      <c r="B47" s="6"/>
      <c r="C47" s="9"/>
      <c r="D47" s="9"/>
      <c r="E47" s="9"/>
      <c r="I47" s="9"/>
      <c r="Q47">
        <f t="shared" si="12"/>
        <v>18</v>
      </c>
      <c r="R47" t="s">
        <v>72</v>
      </c>
      <c r="S47" s="13">
        <f t="shared" si="13"/>
        <v>41826.5</v>
      </c>
      <c r="T47" s="13">
        <v>41894</v>
      </c>
      <c r="U47" s="13">
        <v>41759</v>
      </c>
      <c r="V47" s="11">
        <v>0.26862376317039105</v>
      </c>
      <c r="W47" s="11">
        <v>1.7169053288587889E-5</v>
      </c>
      <c r="X47" s="11">
        <v>0.5253146563872807</v>
      </c>
      <c r="Y47" s="11">
        <v>0.20604441138903973</v>
      </c>
      <c r="Z47" s="11">
        <v>0.9428008918839984</v>
      </c>
      <c r="AC47">
        <f t="shared" si="7"/>
        <v>0</v>
      </c>
      <c r="AD47">
        <v>44</v>
      </c>
      <c r="AE47" s="4">
        <f t="shared" si="3"/>
        <v>41943</v>
      </c>
      <c r="AF47" s="6">
        <f t="shared" si="4"/>
        <v>3.2239240648979317</v>
      </c>
      <c r="AG47" s="4">
        <v>41943</v>
      </c>
      <c r="AH47" s="6">
        <v>4.9198440000000003</v>
      </c>
      <c r="AI47" s="6">
        <v>4.4348650000000003</v>
      </c>
      <c r="AJ47" s="6">
        <v>4.4881739999999999</v>
      </c>
      <c r="AK47" s="4">
        <v>41943</v>
      </c>
      <c r="AL47" s="6">
        <f>VLOOKUP(AK47,Sheet3!$A$1:$B$1113,2,FALSE)</f>
        <v>1.1182868076208681</v>
      </c>
      <c r="AM47" s="6">
        <f t="shared" si="8"/>
        <v>3.2239240648979317</v>
      </c>
    </row>
    <row r="48" spans="1:39" x14ac:dyDescent="0.3">
      <c r="A48" s="4"/>
      <c r="B48" s="6"/>
      <c r="C48" s="9"/>
      <c r="D48" s="9"/>
      <c r="E48" s="9"/>
      <c r="I48" s="9"/>
      <c r="Q48">
        <f t="shared" si="12"/>
        <v>19</v>
      </c>
      <c r="R48" t="s">
        <v>72</v>
      </c>
      <c r="S48" s="13">
        <f t="shared" si="13"/>
        <v>41834.5</v>
      </c>
      <c r="T48" s="13">
        <v>41901</v>
      </c>
      <c r="U48" s="13">
        <v>41768</v>
      </c>
      <c r="V48" s="11">
        <v>0.27242739467816141</v>
      </c>
      <c r="W48" s="11">
        <v>2.3055654820946973E-5</v>
      </c>
      <c r="X48" s="11">
        <v>0.52827402894181352</v>
      </c>
      <c r="Y48" s="11">
        <v>0.19927552072520416</v>
      </c>
      <c r="Z48" s="11">
        <v>0.94569172206470442</v>
      </c>
      <c r="AC48">
        <f t="shared" si="7"/>
        <v>0</v>
      </c>
      <c r="AD48">
        <v>45</v>
      </c>
      <c r="AE48" s="4">
        <f t="shared" si="3"/>
        <v>41950</v>
      </c>
      <c r="AF48" s="6">
        <f t="shared" si="4"/>
        <v>5.5967104215004504E-2</v>
      </c>
      <c r="AG48" s="4">
        <v>41950</v>
      </c>
      <c r="AH48" s="6">
        <v>-0.246061</v>
      </c>
      <c r="AI48" s="6">
        <v>-0.18371899999999999</v>
      </c>
      <c r="AJ48" s="6">
        <v>0.314998</v>
      </c>
      <c r="AK48" s="4">
        <v>41950</v>
      </c>
      <c r="AL48" s="6">
        <f>VLOOKUP(AK48,Sheet3!$A$1:$B$1113,2,FALSE)</f>
        <v>1.118912680363912</v>
      </c>
      <c r="AM48" s="6">
        <f t="shared" si="8"/>
        <v>5.5967104215004504E-2</v>
      </c>
    </row>
    <row r="49" spans="1:39" x14ac:dyDescent="0.3">
      <c r="A49" s="4"/>
      <c r="B49" s="6"/>
      <c r="C49" s="9"/>
      <c r="D49" s="9"/>
      <c r="E49" s="9"/>
      <c r="I49" s="9"/>
      <c r="Q49">
        <f t="shared" si="12"/>
        <v>20</v>
      </c>
      <c r="R49" t="s">
        <v>72</v>
      </c>
      <c r="S49" s="13">
        <f t="shared" si="13"/>
        <v>41841.5</v>
      </c>
      <c r="T49" s="13">
        <v>41908</v>
      </c>
      <c r="U49" s="13">
        <v>41775</v>
      </c>
      <c r="V49" s="11">
        <v>0.26673760030582883</v>
      </c>
      <c r="W49" s="11">
        <v>2.1999838880389897E-5</v>
      </c>
      <c r="X49" s="11">
        <v>0.52231601113191206</v>
      </c>
      <c r="Y49" s="11">
        <v>0.2109243887233786</v>
      </c>
      <c r="Z49" s="11">
        <v>0.9456108796331425</v>
      </c>
      <c r="AC49">
        <f t="shared" si="7"/>
        <v>0</v>
      </c>
      <c r="AD49">
        <v>46</v>
      </c>
      <c r="AE49" s="4">
        <f t="shared" si="3"/>
        <v>41957</v>
      </c>
      <c r="AF49" s="6">
        <f t="shared" si="4"/>
        <v>-1.4345241069325887</v>
      </c>
      <c r="AG49" s="4">
        <v>41957</v>
      </c>
      <c r="AH49" s="6">
        <v>3.1548829999999999</v>
      </c>
      <c r="AI49" s="6">
        <v>-1.359103</v>
      </c>
      <c r="AJ49" s="6">
        <v>-3.5118040000000001</v>
      </c>
      <c r="AK49" s="4">
        <v>41957</v>
      </c>
      <c r="AL49" s="6">
        <f>VLOOKUP(AK49,Sheet3!$A$1:$B$1113,2,FALSE)</f>
        <v>1.102861608228566</v>
      </c>
      <c r="AM49" s="6">
        <f t="shared" si="8"/>
        <v>-1.4345241069325887</v>
      </c>
    </row>
    <row r="50" spans="1:39" x14ac:dyDescent="0.3">
      <c r="A50" s="4"/>
      <c r="B50" s="6"/>
      <c r="C50" s="9"/>
      <c r="D50" s="9"/>
      <c r="E50" s="9"/>
      <c r="I50" s="9"/>
      <c r="Q50">
        <f t="shared" si="12"/>
        <v>21</v>
      </c>
      <c r="R50" t="s">
        <v>72</v>
      </c>
      <c r="S50" s="13">
        <f t="shared" si="13"/>
        <v>41847</v>
      </c>
      <c r="T50" s="13">
        <v>41912</v>
      </c>
      <c r="U50" s="13">
        <v>41782</v>
      </c>
      <c r="V50" s="11">
        <v>0.27748183513929248</v>
      </c>
      <c r="W50" s="11">
        <v>1.7350492897501133E-5</v>
      </c>
      <c r="X50" s="11">
        <v>0.51635745045473125</v>
      </c>
      <c r="Y50" s="11">
        <v>0.20614336391307878</v>
      </c>
      <c r="Z50" s="11">
        <v>0.9540812265517582</v>
      </c>
      <c r="AC50">
        <f t="shared" si="7"/>
        <v>0</v>
      </c>
      <c r="AD50">
        <v>47</v>
      </c>
      <c r="AE50" s="4">
        <f t="shared" si="3"/>
        <v>41964</v>
      </c>
      <c r="AF50" s="6">
        <f t="shared" si="4"/>
        <v>2.1971533805255961</v>
      </c>
      <c r="AG50" s="4">
        <v>41964</v>
      </c>
      <c r="AH50" s="6">
        <v>9.1511999999999996E-2</v>
      </c>
      <c r="AI50" s="6">
        <v>2.447527</v>
      </c>
      <c r="AJ50" s="6">
        <v>3.8494060000000001</v>
      </c>
      <c r="AK50" s="4">
        <v>41964</v>
      </c>
      <c r="AL50" s="6">
        <f>VLOOKUP(AK50,Sheet3!$A$1:$B$1113,2,FALSE)</f>
        <v>1.1270931693362789</v>
      </c>
      <c r="AM50" s="6">
        <f t="shared" si="8"/>
        <v>2.1971533805255961</v>
      </c>
    </row>
    <row r="51" spans="1:39" x14ac:dyDescent="0.3">
      <c r="A51" s="4"/>
      <c r="B51" s="6"/>
      <c r="C51" s="9"/>
      <c r="D51" s="9"/>
      <c r="E51" s="9"/>
      <c r="I51" s="9"/>
      <c r="Q51">
        <f t="shared" si="12"/>
        <v>22</v>
      </c>
      <c r="R51" t="s">
        <v>72</v>
      </c>
      <c r="S51" s="13">
        <f t="shared" si="13"/>
        <v>41855.5</v>
      </c>
      <c r="T51" s="13">
        <v>41922</v>
      </c>
      <c r="U51" s="13">
        <v>41789</v>
      </c>
      <c r="V51" s="11">
        <v>0.29386665853486982</v>
      </c>
      <c r="W51" s="11">
        <v>1.8484255876773828E-5</v>
      </c>
      <c r="X51" s="11">
        <v>0.49277069561412895</v>
      </c>
      <c r="Y51" s="11">
        <v>0.21334416159512457</v>
      </c>
      <c r="Z51" s="11">
        <v>0.96302211338546706</v>
      </c>
      <c r="AC51">
        <f t="shared" si="7"/>
        <v>0</v>
      </c>
      <c r="AD51">
        <v>48</v>
      </c>
      <c r="AE51" s="4">
        <f t="shared" si="3"/>
        <v>41971</v>
      </c>
      <c r="AF51" s="6">
        <f t="shared" si="4"/>
        <v>5.0060574387854162</v>
      </c>
      <c r="AG51" s="4">
        <v>41971</v>
      </c>
      <c r="AH51" s="6">
        <v>8.723357</v>
      </c>
      <c r="AI51" s="6">
        <v>4.2843679999999997</v>
      </c>
      <c r="AJ51" s="6">
        <v>3.8029579999999998</v>
      </c>
      <c r="AK51" s="4">
        <v>41971</v>
      </c>
      <c r="AL51" s="6">
        <f>VLOOKUP(AK51,Sheet3!$A$1:$B$1113,2,FALSE)</f>
        <v>1.18351610078188</v>
      </c>
      <c r="AM51" s="6">
        <f t="shared" si="8"/>
        <v>5.0060574387854162</v>
      </c>
    </row>
    <row r="52" spans="1:39" x14ac:dyDescent="0.3">
      <c r="A52" s="4"/>
      <c r="B52" s="6"/>
      <c r="C52" s="9"/>
      <c r="D52" s="9"/>
      <c r="E52" s="9"/>
      <c r="I52" s="9"/>
      <c r="Q52">
        <f t="shared" si="12"/>
        <v>23</v>
      </c>
      <c r="R52" t="s">
        <v>72</v>
      </c>
      <c r="S52" s="13">
        <f t="shared" si="13"/>
        <v>41862.5</v>
      </c>
      <c r="T52" s="13">
        <v>41929</v>
      </c>
      <c r="U52" s="13">
        <v>41796</v>
      </c>
      <c r="V52" s="11">
        <v>0.29489385760885095</v>
      </c>
      <c r="W52" s="11">
        <v>2.0925099328577197E-5</v>
      </c>
      <c r="X52" s="11">
        <v>0.49741098015877167</v>
      </c>
      <c r="Y52" s="11">
        <v>0.20767423713304889</v>
      </c>
      <c r="Z52" s="11">
        <v>0.96722243236677252</v>
      </c>
      <c r="AC52">
        <f t="shared" si="7"/>
        <v>0</v>
      </c>
      <c r="AD52">
        <v>49</v>
      </c>
      <c r="AE52" s="4">
        <f t="shared" si="3"/>
        <v>41978</v>
      </c>
      <c r="AF52" s="6">
        <f t="shared" si="4"/>
        <v>3.8257561406426221</v>
      </c>
      <c r="AG52" s="4">
        <v>41978</v>
      </c>
      <c r="AH52" s="6">
        <v>11.25263</v>
      </c>
      <c r="AI52" s="6">
        <v>1.6896180000000001</v>
      </c>
      <c r="AJ52" s="6">
        <v>-0.247279</v>
      </c>
      <c r="AK52" s="4">
        <v>41978</v>
      </c>
      <c r="AL52" s="6">
        <f>VLOOKUP(AK52,Sheet3!$A$1:$B$1113,2,FALSE)</f>
        <v>1.228794540683037</v>
      </c>
      <c r="AM52" s="6">
        <f t="shared" si="8"/>
        <v>3.8257561406426221</v>
      </c>
    </row>
    <row r="53" spans="1:39" x14ac:dyDescent="0.3">
      <c r="A53" s="4"/>
      <c r="B53" s="6"/>
      <c r="C53" s="9"/>
      <c r="D53" s="9"/>
      <c r="E53" s="9"/>
      <c r="I53" s="9"/>
      <c r="Q53">
        <f t="shared" si="12"/>
        <v>24</v>
      </c>
      <c r="R53" t="s">
        <v>72</v>
      </c>
      <c r="S53" s="13">
        <f t="shared" si="13"/>
        <v>41869.5</v>
      </c>
      <c r="T53" s="13">
        <v>41936</v>
      </c>
      <c r="U53" s="13">
        <v>41803</v>
      </c>
      <c r="V53" s="11">
        <v>0.29705175044825732</v>
      </c>
      <c r="W53" s="11">
        <v>2.2407403357957211E-5</v>
      </c>
      <c r="X53" s="11">
        <v>0.49382042815400268</v>
      </c>
      <c r="Y53" s="11">
        <v>0.20910541399438201</v>
      </c>
      <c r="Z53" s="11">
        <v>0.97032224102570741</v>
      </c>
      <c r="AC53">
        <f t="shared" si="7"/>
        <v>0</v>
      </c>
      <c r="AD53">
        <v>50</v>
      </c>
      <c r="AE53" s="4">
        <f t="shared" si="3"/>
        <v>41985</v>
      </c>
      <c r="AF53" s="6">
        <f t="shared" si="4"/>
        <v>0.36411161002596337</v>
      </c>
      <c r="AG53" s="4">
        <v>41985</v>
      </c>
      <c r="AH53" s="6">
        <v>2.1870240000000001</v>
      </c>
      <c r="AI53" s="6">
        <v>2.9867119999999998</v>
      </c>
      <c r="AJ53" s="6">
        <v>1.2859769999999999</v>
      </c>
      <c r="AK53" s="4">
        <v>41985</v>
      </c>
      <c r="AL53" s="6">
        <f>VLOOKUP(AK53,Sheet3!$A$1:$B$1113,2,FALSE)</f>
        <v>1.233268724269029</v>
      </c>
      <c r="AM53" s="6">
        <f t="shared" si="8"/>
        <v>0.36411161002596337</v>
      </c>
    </row>
    <row r="54" spans="1:39" x14ac:dyDescent="0.3">
      <c r="A54" s="4"/>
      <c r="B54" s="6"/>
      <c r="C54" s="9"/>
      <c r="D54" s="9"/>
      <c r="E54" s="9"/>
      <c r="I54" s="9"/>
      <c r="Q54">
        <f t="shared" si="12"/>
        <v>25</v>
      </c>
      <c r="R54" t="s">
        <v>72</v>
      </c>
      <c r="S54" s="13">
        <f t="shared" si="13"/>
        <v>41876.5</v>
      </c>
      <c r="T54" s="13">
        <v>41943</v>
      </c>
      <c r="U54" s="13">
        <v>41810</v>
      </c>
      <c r="V54" s="11">
        <v>0.26981351458911618</v>
      </c>
      <c r="W54" s="11">
        <v>1.7363616939492653E-5</v>
      </c>
      <c r="X54" s="11">
        <v>0.49179780954885211</v>
      </c>
      <c r="Y54" s="11">
        <v>0.2383713122450922</v>
      </c>
      <c r="Z54" s="11">
        <v>0.97173266270145375</v>
      </c>
      <c r="AC54">
        <f t="shared" si="7"/>
        <v>0</v>
      </c>
      <c r="AD54">
        <v>51</v>
      </c>
      <c r="AE54" s="4">
        <f t="shared" si="3"/>
        <v>41992</v>
      </c>
      <c r="AF54" s="6">
        <f t="shared" si="4"/>
        <v>1.4095502781865665</v>
      </c>
      <c r="AG54" s="4">
        <v>41992</v>
      </c>
      <c r="AH54" s="6">
        <v>5.9482150000000003</v>
      </c>
      <c r="AI54" s="6">
        <v>0.56291400000000003</v>
      </c>
      <c r="AJ54" s="6">
        <v>-1.637049</v>
      </c>
      <c r="AK54" s="4">
        <v>41992</v>
      </c>
      <c r="AL54" s="6">
        <f>VLOOKUP(AK54,Sheet3!$A$1:$B$1113,2,FALSE)</f>
        <v>1.2506522670027509</v>
      </c>
      <c r="AM54" s="6">
        <f t="shared" si="8"/>
        <v>1.4095502781865665</v>
      </c>
    </row>
    <row r="55" spans="1:39" x14ac:dyDescent="0.3">
      <c r="A55" s="4"/>
      <c r="B55" s="6"/>
      <c r="C55" s="9"/>
      <c r="D55" s="9"/>
      <c r="E55" s="9"/>
      <c r="I55" s="9"/>
      <c r="Q55">
        <f t="shared" si="12"/>
        <v>26</v>
      </c>
      <c r="R55" t="s">
        <v>72</v>
      </c>
      <c r="S55" s="13">
        <f t="shared" si="13"/>
        <v>41883.5</v>
      </c>
      <c r="T55" s="13">
        <v>41950</v>
      </c>
      <c r="U55" s="13">
        <v>41817</v>
      </c>
      <c r="V55" s="11">
        <v>0.26787363716675783</v>
      </c>
      <c r="W55" s="11">
        <v>1.6822143883935903E-5</v>
      </c>
      <c r="X55" s="11">
        <v>0.48701321780665707</v>
      </c>
      <c r="Y55" s="11">
        <v>0.2450963228827012</v>
      </c>
      <c r="Z55" s="11">
        <v>0.96923273286392386</v>
      </c>
      <c r="AC55">
        <f t="shared" si="7"/>
        <v>0</v>
      </c>
      <c r="AD55">
        <v>52</v>
      </c>
      <c r="AE55" s="4">
        <f t="shared" si="3"/>
        <v>41999</v>
      </c>
      <c r="AF55" s="6">
        <f t="shared" si="4"/>
        <v>-1.0462012826766065</v>
      </c>
      <c r="AG55" s="4">
        <v>41999</v>
      </c>
      <c r="AH55" s="6">
        <v>1.852465</v>
      </c>
      <c r="AI55" s="6">
        <v>-1.8350610000000001</v>
      </c>
      <c r="AJ55" s="6">
        <v>-3.170312</v>
      </c>
      <c r="AK55" s="4">
        <v>41999</v>
      </c>
      <c r="AL55" s="6">
        <f>VLOOKUP(AK55,Sheet3!$A$1:$B$1113,2,FALSE)</f>
        <v>1.237567926943544</v>
      </c>
      <c r="AM55" s="6">
        <f t="shared" si="8"/>
        <v>-1.0462012826766065</v>
      </c>
    </row>
    <row r="56" spans="1:39" x14ac:dyDescent="0.3">
      <c r="A56" s="4"/>
      <c r="B56" s="6"/>
      <c r="C56" s="9"/>
      <c r="D56" s="9"/>
      <c r="E56" s="9"/>
      <c r="I56" s="9"/>
      <c r="Q56">
        <f t="shared" si="12"/>
        <v>27</v>
      </c>
      <c r="R56" t="s">
        <v>72</v>
      </c>
      <c r="S56" s="13">
        <f t="shared" si="13"/>
        <v>41890.5</v>
      </c>
      <c r="T56" s="13">
        <v>41957</v>
      </c>
      <c r="U56" s="13">
        <v>41824</v>
      </c>
      <c r="V56" s="11">
        <v>0.23350524636985723</v>
      </c>
      <c r="W56" s="11">
        <v>2.3197676810785945E-5</v>
      </c>
      <c r="X56" s="11">
        <v>0.51005468041174151</v>
      </c>
      <c r="Y56" s="11">
        <v>0.25641687554159037</v>
      </c>
      <c r="Z56" s="11">
        <v>0.96670409429080451</v>
      </c>
      <c r="AC56">
        <f t="shared" si="7"/>
        <v>0</v>
      </c>
      <c r="AD56">
        <v>53</v>
      </c>
      <c r="AE56" s="4">
        <f t="shared" si="3"/>
        <v>42004</v>
      </c>
      <c r="AF56" s="6">
        <f t="shared" si="4"/>
        <v>0.1004467513524121</v>
      </c>
      <c r="AG56" s="4">
        <v>42004</v>
      </c>
      <c r="AH56" s="6">
        <v>2.5499160000000001</v>
      </c>
      <c r="AI56" s="6">
        <v>-1.844765</v>
      </c>
      <c r="AJ56" s="6">
        <v>-3.3111660000000001</v>
      </c>
      <c r="AK56" s="4">
        <v>42004</v>
      </c>
      <c r="AL56" s="6">
        <f>VLOOKUP(AK56,Sheet3!$A$1:$B$1113,2,FALSE)</f>
        <v>1.2388110237219381</v>
      </c>
      <c r="AM56" s="6">
        <f t="shared" si="8"/>
        <v>0.1004467513524121</v>
      </c>
    </row>
    <row r="57" spans="1:39" x14ac:dyDescent="0.3">
      <c r="A57" s="4"/>
      <c r="B57" s="6"/>
      <c r="C57" s="9"/>
      <c r="D57" s="9"/>
      <c r="E57" s="9"/>
      <c r="I57" s="9"/>
      <c r="Q57">
        <f t="shared" si="12"/>
        <v>28</v>
      </c>
      <c r="R57" t="s">
        <v>72</v>
      </c>
      <c r="S57" s="13">
        <f t="shared" si="13"/>
        <v>41897.5</v>
      </c>
      <c r="T57" s="13">
        <v>41964</v>
      </c>
      <c r="U57" s="13">
        <v>41831</v>
      </c>
      <c r="V57" s="11">
        <v>0.22923230573429423</v>
      </c>
      <c r="W57" s="11">
        <v>2.314554036593928E-5</v>
      </c>
      <c r="X57" s="11">
        <v>0.52002846925816659</v>
      </c>
      <c r="Y57" s="11">
        <v>0.25071607946717328</v>
      </c>
      <c r="Z57" s="11">
        <v>0.96714770979272091</v>
      </c>
      <c r="AC57">
        <f t="shared" si="7"/>
        <v>0</v>
      </c>
      <c r="AD57">
        <v>54</v>
      </c>
      <c r="AE57" s="4">
        <f t="shared" si="3"/>
        <v>42013</v>
      </c>
      <c r="AF57" s="6">
        <f t="shared" si="4"/>
        <v>1.2152076625880914</v>
      </c>
      <c r="AG57" s="4">
        <v>42013</v>
      </c>
      <c r="AH57" s="6">
        <v>0.36839499999999997</v>
      </c>
      <c r="AI57" s="6">
        <v>1.62218</v>
      </c>
      <c r="AJ57" s="6">
        <v>1.6672199999999999</v>
      </c>
      <c r="AK57" s="4">
        <v>42013</v>
      </c>
      <c r="AL57" s="6">
        <f>VLOOKUP(AK57,Sheet3!$A$1:$B$1113,2,FALSE)</f>
        <v>1.2538651502071929</v>
      </c>
      <c r="AM57" s="6">
        <f t="shared" si="8"/>
        <v>1.2152076625880914</v>
      </c>
    </row>
    <row r="58" spans="1:39" x14ac:dyDescent="0.3">
      <c r="A58" s="4"/>
      <c r="B58" s="6"/>
      <c r="C58" s="9"/>
      <c r="D58" s="9"/>
      <c r="E58" s="9"/>
      <c r="I58" s="9"/>
      <c r="Q58">
        <f t="shared" si="12"/>
        <v>29</v>
      </c>
      <c r="R58" t="s">
        <v>72</v>
      </c>
      <c r="S58" s="13">
        <f t="shared" si="13"/>
        <v>41904.5</v>
      </c>
      <c r="T58" s="13">
        <v>41971</v>
      </c>
      <c r="U58" s="13">
        <v>41838</v>
      </c>
      <c r="V58" s="11">
        <v>0.27652367232687608</v>
      </c>
      <c r="W58" s="11">
        <v>1.7384227984092374E-5</v>
      </c>
      <c r="X58" s="11">
        <v>0.51546216977141768</v>
      </c>
      <c r="Y58" s="11">
        <v>0.20799677367372221</v>
      </c>
      <c r="Z58" s="11">
        <v>0.97487102595955666</v>
      </c>
      <c r="AC58">
        <f t="shared" si="7"/>
        <v>0</v>
      </c>
      <c r="AD58">
        <v>55</v>
      </c>
      <c r="AE58" s="4">
        <f t="shared" si="3"/>
        <v>42020</v>
      </c>
      <c r="AF58" s="6">
        <f t="shared" si="4"/>
        <v>3.1763740014012498</v>
      </c>
      <c r="AG58" s="4">
        <v>42020</v>
      </c>
      <c r="AH58" s="6">
        <v>2.49309</v>
      </c>
      <c r="AI58" s="6">
        <v>2.053315</v>
      </c>
      <c r="AJ58" s="6">
        <v>2.0245229999999999</v>
      </c>
      <c r="AK58" s="4">
        <v>42020</v>
      </c>
      <c r="AL58" s="6">
        <f>VLOOKUP(AK58,Sheet3!$A$1:$B$1113,2,FALSE)</f>
        <v>1.2936925968510049</v>
      </c>
      <c r="AM58" s="6">
        <f t="shared" si="8"/>
        <v>3.1763740014012498</v>
      </c>
    </row>
    <row r="59" spans="1:39" x14ac:dyDescent="0.3">
      <c r="A59" s="4"/>
      <c r="B59" s="6"/>
      <c r="C59" s="9"/>
      <c r="D59" s="9"/>
      <c r="E59" s="9"/>
      <c r="I59" s="9"/>
      <c r="Q59">
        <f t="shared" si="12"/>
        <v>30</v>
      </c>
      <c r="R59" t="s">
        <v>72</v>
      </c>
      <c r="S59" s="13">
        <f t="shared" si="13"/>
        <v>41911.5</v>
      </c>
      <c r="T59" s="13">
        <v>41978</v>
      </c>
      <c r="U59" s="13">
        <v>41845</v>
      </c>
      <c r="V59" s="11">
        <v>0.31673347053664769</v>
      </c>
      <c r="W59" s="11">
        <v>2.1049287606752736E-5</v>
      </c>
      <c r="X59" s="11">
        <v>0.48974358746018887</v>
      </c>
      <c r="Y59" s="11">
        <v>0.19350189271555665</v>
      </c>
      <c r="Z59" s="11">
        <v>0.972885709060611</v>
      </c>
      <c r="AC59">
        <f t="shared" si="7"/>
        <v>0</v>
      </c>
      <c r="AD59">
        <v>56</v>
      </c>
      <c r="AE59" s="4">
        <f t="shared" si="3"/>
        <v>42027</v>
      </c>
      <c r="AF59" s="6">
        <f t="shared" si="4"/>
        <v>1.1366101505589254</v>
      </c>
      <c r="AG59" s="4">
        <v>42027</v>
      </c>
      <c r="AH59" s="6">
        <v>-1.744469</v>
      </c>
      <c r="AI59" s="6">
        <v>2.0500630000000002</v>
      </c>
      <c r="AJ59" s="6">
        <v>3.9985439999999999</v>
      </c>
      <c r="AK59" s="4">
        <v>42027</v>
      </c>
      <c r="AL59" s="6">
        <f>VLOOKUP(AK59,Sheet3!$A$1:$B$1113,2,FALSE)</f>
        <v>1.3083968382238429</v>
      </c>
      <c r="AM59" s="6">
        <f t="shared" si="8"/>
        <v>1.1366101505589254</v>
      </c>
    </row>
    <row r="60" spans="1:39" x14ac:dyDescent="0.3">
      <c r="A60" s="4"/>
      <c r="B60" s="6"/>
      <c r="C60" s="9"/>
      <c r="D60" s="9"/>
      <c r="E60" s="9"/>
      <c r="I60" s="9"/>
      <c r="Q60">
        <f t="shared" si="12"/>
        <v>31</v>
      </c>
      <c r="R60" t="s">
        <v>72</v>
      </c>
      <c r="S60" s="13">
        <f t="shared" si="13"/>
        <v>41918.5</v>
      </c>
      <c r="T60" s="13">
        <v>41985</v>
      </c>
      <c r="U60" s="13">
        <v>41852</v>
      </c>
      <c r="V60" s="11">
        <v>0.31693038831610276</v>
      </c>
      <c r="W60" s="11">
        <v>1.6828622900412425E-5</v>
      </c>
      <c r="X60" s="11">
        <v>0.481643162086208</v>
      </c>
      <c r="Y60" s="11">
        <v>0.20140962097478887</v>
      </c>
      <c r="Z60" s="11">
        <v>0.96183503501171841</v>
      </c>
      <c r="AC60">
        <f t="shared" si="7"/>
        <v>0</v>
      </c>
      <c r="AD60">
        <v>57</v>
      </c>
      <c r="AE60" s="4">
        <f t="shared" si="3"/>
        <v>42034</v>
      </c>
      <c r="AF60" s="6">
        <f t="shared" si="4"/>
        <v>-1.3906910834247999</v>
      </c>
      <c r="AG60" s="4">
        <v>42034</v>
      </c>
      <c r="AH60" s="6">
        <v>-3.8452489999999999</v>
      </c>
      <c r="AI60" s="6">
        <v>-9.9590000000000008E-3</v>
      </c>
      <c r="AJ60" s="6">
        <v>0.684859</v>
      </c>
      <c r="AK60" s="4">
        <v>42034</v>
      </c>
      <c r="AL60" s="6">
        <f>VLOOKUP(AK60,Sheet3!$A$1:$B$1113,2,FALSE)</f>
        <v>1.2902010800588519</v>
      </c>
      <c r="AM60" s="6">
        <f t="shared" si="8"/>
        <v>-1.3906910834247999</v>
      </c>
    </row>
    <row r="61" spans="1:39" x14ac:dyDescent="0.3">
      <c r="A61" s="4"/>
      <c r="B61" s="6"/>
      <c r="C61" s="9"/>
      <c r="D61" s="9"/>
      <c r="E61" s="9"/>
      <c r="I61" s="9"/>
      <c r="Q61">
        <f t="shared" si="12"/>
        <v>32</v>
      </c>
      <c r="R61" t="s">
        <v>72</v>
      </c>
      <c r="S61" s="13">
        <f t="shared" si="13"/>
        <v>41925.5</v>
      </c>
      <c r="T61" s="13">
        <v>41992</v>
      </c>
      <c r="U61" s="13">
        <v>41859</v>
      </c>
      <c r="V61" s="11">
        <v>0.32554821283648899</v>
      </c>
      <c r="W61" s="11">
        <v>1.8064924534167013E-5</v>
      </c>
      <c r="X61" s="11">
        <v>0.47728900260249602</v>
      </c>
      <c r="Y61" s="11">
        <v>0.19714471963648084</v>
      </c>
      <c r="Z61" s="11">
        <v>0.96030864145614325</v>
      </c>
      <c r="AC61">
        <f t="shared" si="7"/>
        <v>0</v>
      </c>
      <c r="AD61">
        <v>58</v>
      </c>
      <c r="AE61" s="4">
        <f t="shared" si="3"/>
        <v>42041</v>
      </c>
      <c r="AF61" s="6">
        <f t="shared" si="4"/>
        <v>-0.76047718105927142</v>
      </c>
      <c r="AG61" s="4">
        <v>42041</v>
      </c>
      <c r="AH61" s="6">
        <v>-3.551431</v>
      </c>
      <c r="AI61" s="6">
        <v>-1.73882</v>
      </c>
      <c r="AJ61" s="6">
        <v>-0.30012499999999998</v>
      </c>
      <c r="AK61" s="4">
        <v>42041</v>
      </c>
      <c r="AL61" s="6">
        <f>VLOOKUP(AK61,Sheet3!$A$1:$B$1113,2,FALSE)</f>
        <v>1.2803893952552241</v>
      </c>
      <c r="AM61" s="6">
        <f t="shared" si="8"/>
        <v>-0.76047718105927142</v>
      </c>
    </row>
    <row r="62" spans="1:39" x14ac:dyDescent="0.3">
      <c r="A62" s="4"/>
      <c r="B62" s="6"/>
      <c r="C62" s="9"/>
      <c r="D62" s="9"/>
      <c r="E62" s="9"/>
      <c r="I62" s="9"/>
      <c r="Q62">
        <f t="shared" si="12"/>
        <v>33</v>
      </c>
      <c r="R62" t="s">
        <v>72</v>
      </c>
      <c r="S62" s="13">
        <f t="shared" si="13"/>
        <v>41932.5</v>
      </c>
      <c r="T62" s="13">
        <v>41999</v>
      </c>
      <c r="U62" s="13">
        <v>41866</v>
      </c>
      <c r="V62" s="11">
        <v>0.32385432831778949</v>
      </c>
      <c r="W62" s="11">
        <v>1.8003897059583161E-5</v>
      </c>
      <c r="X62" s="11">
        <v>0.48126062850958301</v>
      </c>
      <c r="Y62" s="11">
        <v>0.19486703927556795</v>
      </c>
      <c r="Z62" s="11">
        <v>0.96232694100007465</v>
      </c>
      <c r="AC62">
        <f t="shared" si="7"/>
        <v>0</v>
      </c>
      <c r="AD62">
        <v>59</v>
      </c>
      <c r="AE62" s="4">
        <f t="shared" si="3"/>
        <v>42048</v>
      </c>
      <c r="AF62" s="6">
        <f t="shared" si="4"/>
        <v>4.4834155085665239</v>
      </c>
      <c r="AG62" s="4">
        <v>42048</v>
      </c>
      <c r="AH62" s="6">
        <v>4.7520540000000002</v>
      </c>
      <c r="AI62" s="6">
        <v>4.236605</v>
      </c>
      <c r="AJ62" s="6">
        <v>4.4262490000000003</v>
      </c>
      <c r="AK62" s="4">
        <v>42048</v>
      </c>
      <c r="AL62" s="6">
        <f>VLOOKUP(AK62,Sheet3!$A$1:$B$1113,2,FALSE)</f>
        <v>1.337794571972138</v>
      </c>
      <c r="AM62" s="6">
        <f t="shared" si="8"/>
        <v>4.4834155085665239</v>
      </c>
    </row>
    <row r="63" spans="1:39" x14ac:dyDescent="0.3">
      <c r="A63" s="4"/>
      <c r="B63" s="6"/>
      <c r="C63" s="9"/>
      <c r="D63" s="9"/>
      <c r="E63" s="9"/>
      <c r="I63" s="9"/>
      <c r="Q63">
        <f t="shared" si="12"/>
        <v>34</v>
      </c>
      <c r="R63" t="s">
        <v>72</v>
      </c>
      <c r="S63" s="13">
        <f t="shared" si="13"/>
        <v>41938.5</v>
      </c>
      <c r="T63" s="13">
        <v>42004</v>
      </c>
      <c r="U63" s="13">
        <v>41873</v>
      </c>
      <c r="V63" s="11">
        <v>0.33505989014720494</v>
      </c>
      <c r="W63" s="11">
        <v>1.8587232584839084E-5</v>
      </c>
      <c r="X63" s="11">
        <v>0.46455641127631914</v>
      </c>
      <c r="Y63" s="11">
        <v>0.20036511134389121</v>
      </c>
      <c r="Z63" s="11">
        <v>0.95447243131967474</v>
      </c>
      <c r="AC63">
        <f t="shared" si="7"/>
        <v>0</v>
      </c>
      <c r="AD63">
        <v>60</v>
      </c>
      <c r="AE63" s="4">
        <f t="shared" si="3"/>
        <v>42052</v>
      </c>
      <c r="AF63" s="6">
        <f t="shared" si="4"/>
        <v>2.4667858679555232</v>
      </c>
      <c r="AG63" s="4">
        <v>42052</v>
      </c>
      <c r="AH63" s="6">
        <v>1.5128699999999999</v>
      </c>
      <c r="AI63" s="6">
        <v>2.4582999999999999</v>
      </c>
      <c r="AJ63" s="6">
        <v>2.996032</v>
      </c>
      <c r="AK63" s="4">
        <v>42052</v>
      </c>
      <c r="AL63" s="6">
        <f>VLOOKUP(AK63,Sheet3!$A$1:$B$1113,2,FALSE)</f>
        <v>1.3707950994158229</v>
      </c>
      <c r="AM63" s="6">
        <f t="shared" si="8"/>
        <v>2.4667858679555232</v>
      </c>
    </row>
    <row r="64" spans="1:39" x14ac:dyDescent="0.3">
      <c r="A64" s="4"/>
      <c r="B64" s="6"/>
      <c r="C64" s="9"/>
      <c r="D64" s="9"/>
      <c r="E64" s="9"/>
      <c r="Q64">
        <f t="shared" si="12"/>
        <v>35</v>
      </c>
      <c r="R64" t="s">
        <v>72</v>
      </c>
      <c r="S64" s="13">
        <f t="shared" si="13"/>
        <v>41946.5</v>
      </c>
      <c r="T64" s="13">
        <v>42013</v>
      </c>
      <c r="U64" s="13">
        <v>41880</v>
      </c>
      <c r="V64" s="11">
        <v>0.33494334451383351</v>
      </c>
      <c r="W64" s="11">
        <v>1.9651794728075119E-5</v>
      </c>
      <c r="X64" s="11">
        <v>0.46701653935166471</v>
      </c>
      <c r="Y64" s="11">
        <v>0.19802046433977363</v>
      </c>
      <c r="Z64" s="11">
        <v>0.95298157017706253</v>
      </c>
      <c r="AC64">
        <f t="shared" si="7"/>
        <v>0</v>
      </c>
      <c r="AD64">
        <v>61</v>
      </c>
      <c r="AE64" s="4">
        <f t="shared" si="3"/>
        <v>42062</v>
      </c>
      <c r="AF64" s="6">
        <f t="shared" si="4"/>
        <v>0.48399400013747762</v>
      </c>
      <c r="AG64" s="4">
        <v>42062</v>
      </c>
      <c r="AH64" s="6">
        <v>1.43431</v>
      </c>
      <c r="AI64" s="6">
        <v>1.8163290000000001</v>
      </c>
      <c r="AJ64" s="6">
        <v>1.735528</v>
      </c>
      <c r="AK64" s="4">
        <v>42062</v>
      </c>
      <c r="AL64" s="6">
        <f>VLOOKUP(AK64,Sheet3!$A$1:$B$1113,2,FALSE)</f>
        <v>1.377429665451174</v>
      </c>
      <c r="AM64" s="6">
        <f t="shared" si="8"/>
        <v>0.48399400013747762</v>
      </c>
    </row>
    <row r="65" spans="1:39" x14ac:dyDescent="0.3">
      <c r="A65" s="4"/>
      <c r="B65" s="6"/>
      <c r="C65" s="9"/>
      <c r="D65" s="9"/>
      <c r="E65" s="9"/>
      <c r="Q65">
        <f t="shared" si="12"/>
        <v>36</v>
      </c>
      <c r="R65" t="s">
        <v>72</v>
      </c>
      <c r="S65" s="13">
        <f t="shared" si="13"/>
        <v>41953.5</v>
      </c>
      <c r="T65" s="13">
        <v>42020</v>
      </c>
      <c r="U65" s="13">
        <v>41887</v>
      </c>
      <c r="V65" s="11">
        <v>0.34285774333466756</v>
      </c>
      <c r="W65" s="11">
        <v>2.0188429957938668E-5</v>
      </c>
      <c r="X65" s="11">
        <v>0.48267109980191986</v>
      </c>
      <c r="Y65" s="11">
        <v>0.17445096843345467</v>
      </c>
      <c r="Z65" s="11">
        <v>0.92775306833116078</v>
      </c>
      <c r="AC65">
        <f t="shared" si="7"/>
        <v>0</v>
      </c>
      <c r="AD65">
        <v>62</v>
      </c>
      <c r="AE65" s="4">
        <f t="shared" si="3"/>
        <v>42069</v>
      </c>
      <c r="AF65" s="6">
        <f t="shared" si="4"/>
        <v>3.4621992310279737E-2</v>
      </c>
      <c r="AG65" s="4">
        <v>42069</v>
      </c>
      <c r="AH65" s="6">
        <v>-2.6399979999999998</v>
      </c>
      <c r="AI65" s="6">
        <v>1.9035260000000001</v>
      </c>
      <c r="AJ65" s="6">
        <v>2.7515969999999998</v>
      </c>
      <c r="AK65" s="4">
        <v>42069</v>
      </c>
      <c r="AL65" s="6">
        <f>VLOOKUP(AK65,Sheet3!$A$1:$B$1113,2,FALSE)</f>
        <v>1.377906559044026</v>
      </c>
      <c r="AM65" s="6">
        <f t="shared" si="8"/>
        <v>3.4621992310279737E-2</v>
      </c>
    </row>
    <row r="66" spans="1:39" x14ac:dyDescent="0.3">
      <c r="A66" s="4"/>
      <c r="B66" s="6"/>
      <c r="C66" s="9"/>
      <c r="D66" s="9"/>
      <c r="E66" s="9"/>
      <c r="Q66">
        <f t="shared" si="12"/>
        <v>37</v>
      </c>
      <c r="R66" t="s">
        <v>72</v>
      </c>
      <c r="S66" s="13">
        <f t="shared" si="13"/>
        <v>41960.5</v>
      </c>
      <c r="T66" s="13">
        <v>42027</v>
      </c>
      <c r="U66" s="13">
        <v>41894</v>
      </c>
      <c r="V66" s="11">
        <v>0.34682172526879645</v>
      </c>
      <c r="W66" s="11">
        <v>2.2204469207182069E-5</v>
      </c>
      <c r="X66" s="11">
        <v>0.48379653231007425</v>
      </c>
      <c r="Y66" s="11">
        <v>0.1693595379519221</v>
      </c>
      <c r="Z66" s="11">
        <v>0.91720751405050716</v>
      </c>
      <c r="AC66">
        <f t="shared" si="7"/>
        <v>0</v>
      </c>
      <c r="AD66">
        <v>63</v>
      </c>
      <c r="AE66" s="4">
        <f t="shared" si="3"/>
        <v>42076</v>
      </c>
      <c r="AF66" s="6">
        <f t="shared" si="4"/>
        <v>3.8176986672083357</v>
      </c>
      <c r="AG66" s="4">
        <v>42076</v>
      </c>
      <c r="AH66" s="6">
        <v>3.9998909999999999</v>
      </c>
      <c r="AI66" s="6">
        <v>3.20478</v>
      </c>
      <c r="AJ66" s="6">
        <v>4.2371749999999997</v>
      </c>
      <c r="AK66" s="4">
        <v>42076</v>
      </c>
      <c r="AL66" s="6">
        <f>VLOOKUP(AK66,Sheet3!$A$1:$B$1113,2,FALSE)</f>
        <v>1.430510879384026</v>
      </c>
      <c r="AM66" s="6">
        <f t="shared" si="8"/>
        <v>3.8176986672083357</v>
      </c>
    </row>
    <row r="67" spans="1:39" x14ac:dyDescent="0.3">
      <c r="A67" s="4"/>
      <c r="B67" s="6"/>
      <c r="C67" s="9"/>
      <c r="D67" s="9"/>
      <c r="E67" s="9"/>
      <c r="Q67">
        <f t="shared" si="12"/>
        <v>38</v>
      </c>
      <c r="R67" t="s">
        <v>72</v>
      </c>
      <c r="S67" s="13">
        <f t="shared" si="13"/>
        <v>41967.5</v>
      </c>
      <c r="T67" s="13">
        <v>42034</v>
      </c>
      <c r="U67" s="13">
        <v>41901</v>
      </c>
      <c r="V67" s="11">
        <v>0.35157247657360796</v>
      </c>
      <c r="W67" s="11">
        <v>2.0838897125626153E-5</v>
      </c>
      <c r="X67" s="11">
        <v>0.48205303889263795</v>
      </c>
      <c r="Y67" s="11">
        <v>0.16635364563662849</v>
      </c>
      <c r="Z67" s="11">
        <v>0.92139332281226993</v>
      </c>
      <c r="AC67">
        <f t="shared" si="7"/>
        <v>0</v>
      </c>
      <c r="AD67">
        <v>64</v>
      </c>
      <c r="AE67" s="4">
        <f t="shared" si="3"/>
        <v>42083</v>
      </c>
      <c r="AF67" s="6">
        <f t="shared" si="4"/>
        <v>7.4073583302583179</v>
      </c>
      <c r="AG67" s="4">
        <v>42083</v>
      </c>
      <c r="AH67" s="6">
        <v>7.5993110000000001</v>
      </c>
      <c r="AI67" s="6">
        <v>8.2362699999999993</v>
      </c>
      <c r="AJ67" s="6">
        <v>8.7521740000000001</v>
      </c>
      <c r="AK67" s="4">
        <v>42083</v>
      </c>
      <c r="AL67" s="6">
        <f>VLOOKUP(AK67,Sheet3!$A$1:$B$1113,2,FALSE)</f>
        <v>1.5364739461733301</v>
      </c>
      <c r="AM67" s="6">
        <f t="shared" si="8"/>
        <v>7.4073583302583179</v>
      </c>
    </row>
    <row r="68" spans="1:39" x14ac:dyDescent="0.3">
      <c r="A68" s="4"/>
      <c r="B68" s="6"/>
      <c r="C68" s="9"/>
      <c r="D68" s="9"/>
      <c r="E68" s="9"/>
      <c r="Q68">
        <f t="shared" si="12"/>
        <v>39</v>
      </c>
      <c r="R68" t="s">
        <v>72</v>
      </c>
      <c r="S68" s="13">
        <f t="shared" si="13"/>
        <v>41974.5</v>
      </c>
      <c r="T68" s="13">
        <v>42041</v>
      </c>
      <c r="U68" s="13">
        <v>41908</v>
      </c>
      <c r="V68" s="11">
        <v>0.34415907508193694</v>
      </c>
      <c r="W68" s="11">
        <v>1.6688370481219972E-5</v>
      </c>
      <c r="X68" s="11">
        <v>0.48251083901472352</v>
      </c>
      <c r="Y68" s="11">
        <v>0.1733133975328584</v>
      </c>
      <c r="Z68" s="11">
        <v>0.91865641410909771</v>
      </c>
      <c r="AC68">
        <f t="shared" si="7"/>
        <v>0</v>
      </c>
      <c r="AD68">
        <v>65</v>
      </c>
      <c r="AE68" s="4">
        <f t="shared" si="3"/>
        <v>42090</v>
      </c>
      <c r="AF68" s="6">
        <f t="shared" si="4"/>
        <v>3.9485281780630155</v>
      </c>
      <c r="AG68" s="4">
        <v>42090</v>
      </c>
      <c r="AH68" s="6">
        <v>2.0326650000000002</v>
      </c>
      <c r="AI68" s="6">
        <v>4.4526719999999997</v>
      </c>
      <c r="AJ68" s="6">
        <v>4.7057339999999996</v>
      </c>
      <c r="AK68" s="4">
        <v>42090</v>
      </c>
      <c r="AL68" s="6">
        <f>VLOOKUP(AK68,Sheet3!$A$1:$B$1113,2,FALSE)</f>
        <v>1.597142052886581</v>
      </c>
      <c r="AM68" s="6">
        <f t="shared" si="8"/>
        <v>3.9485281780630155</v>
      </c>
    </row>
    <row r="69" spans="1:39" x14ac:dyDescent="0.3">
      <c r="A69" s="4"/>
      <c r="B69" s="6"/>
      <c r="C69" s="9"/>
      <c r="D69" s="9"/>
      <c r="E69" s="9"/>
      <c r="Q69">
        <f t="shared" si="12"/>
        <v>40</v>
      </c>
      <c r="R69" t="s">
        <v>72</v>
      </c>
      <c r="S69" s="13">
        <f t="shared" si="13"/>
        <v>41980</v>
      </c>
      <c r="T69" s="13">
        <v>42048</v>
      </c>
      <c r="U69" s="13">
        <v>41912</v>
      </c>
      <c r="V69" s="11">
        <v>0.35102196607936981</v>
      </c>
      <c r="W69" s="11">
        <v>1.63551714063641E-5</v>
      </c>
      <c r="X69" s="11">
        <v>0.50470429210593926</v>
      </c>
      <c r="Y69" s="11">
        <v>0.14425738664328466</v>
      </c>
      <c r="Z69" s="11">
        <v>0.92647811272417047</v>
      </c>
      <c r="AC69">
        <f t="shared" si="7"/>
        <v>0</v>
      </c>
      <c r="AD69">
        <v>66</v>
      </c>
      <c r="AE69" s="4">
        <f t="shared" ref="AE69:AE132" si="14">AG69</f>
        <v>42097</v>
      </c>
      <c r="AF69" s="6">
        <f t="shared" ref="AF69:AF132" si="15">AM69</f>
        <v>6.4878015648405452</v>
      </c>
      <c r="AG69" s="4">
        <v>42097</v>
      </c>
      <c r="AH69" s="6">
        <v>5.0064489999999999</v>
      </c>
      <c r="AI69" s="6">
        <v>7.3095169999999996</v>
      </c>
      <c r="AJ69" s="6">
        <v>8.1387640000000001</v>
      </c>
      <c r="AK69" s="4">
        <v>42097</v>
      </c>
      <c r="AL69" s="6">
        <f>VLOOKUP(AK69,Sheet3!$A$1:$B$1113,2,FALSE)</f>
        <v>1.7007614599864831</v>
      </c>
      <c r="AM69" s="6">
        <f t="shared" si="8"/>
        <v>6.4878015648405452</v>
      </c>
    </row>
    <row r="70" spans="1:39" x14ac:dyDescent="0.3">
      <c r="A70" s="4"/>
      <c r="B70" s="6"/>
      <c r="C70" s="9"/>
      <c r="D70" s="9"/>
      <c r="E70" s="9"/>
      <c r="Q70">
        <f t="shared" si="12"/>
        <v>41</v>
      </c>
      <c r="R70" t="s">
        <v>72</v>
      </c>
      <c r="S70" s="13">
        <f t="shared" si="13"/>
        <v>41987</v>
      </c>
      <c r="T70" s="13">
        <v>42052</v>
      </c>
      <c r="U70" s="13">
        <v>41922</v>
      </c>
      <c r="V70" s="11">
        <v>0.35165884524212837</v>
      </c>
      <c r="W70" s="11">
        <v>1.6455973630077132E-5</v>
      </c>
      <c r="X70" s="11">
        <v>0.51322975145547411</v>
      </c>
      <c r="Y70" s="11">
        <v>0.13509494732876748</v>
      </c>
      <c r="Z70" s="11">
        <v>0.92631026989728849</v>
      </c>
      <c r="AC70">
        <f t="shared" ref="AC70:AC133" si="16">IF(AE70&lt;=AE69,1,0)</f>
        <v>0</v>
      </c>
      <c r="AD70">
        <v>67</v>
      </c>
      <c r="AE70" s="4">
        <f t="shared" si="14"/>
        <v>42104</v>
      </c>
      <c r="AF70" s="6">
        <f t="shared" si="15"/>
        <v>2.6929497453406448</v>
      </c>
      <c r="AG70" s="4">
        <v>42104</v>
      </c>
      <c r="AH70" s="6">
        <v>4.1691979999999997</v>
      </c>
      <c r="AI70" s="6">
        <v>3.557477</v>
      </c>
      <c r="AJ70" s="6">
        <v>1.9237299999999999</v>
      </c>
      <c r="AK70" s="4">
        <v>42104</v>
      </c>
      <c r="AL70" s="6">
        <f>VLOOKUP(AK70,Sheet3!$A$1:$B$1113,2,FALSE)</f>
        <v>1.7465621113920411</v>
      </c>
      <c r="AM70" s="6">
        <f t="shared" ref="AM70:AM133" si="17">(AL70/AL69-1)*100</f>
        <v>2.6929497453406448</v>
      </c>
    </row>
    <row r="71" spans="1:39" x14ac:dyDescent="0.3">
      <c r="A71" s="4"/>
      <c r="B71" s="6"/>
      <c r="C71" s="9"/>
      <c r="D71" s="9"/>
      <c r="E71" s="9"/>
      <c r="Q71">
        <f t="shared" si="12"/>
        <v>42</v>
      </c>
      <c r="R71" t="s">
        <v>72</v>
      </c>
      <c r="S71" s="13">
        <f t="shared" si="13"/>
        <v>41995.5</v>
      </c>
      <c r="T71" s="13">
        <v>42062</v>
      </c>
      <c r="U71" s="13">
        <v>41929</v>
      </c>
      <c r="V71" s="11">
        <v>0.34954300926100268</v>
      </c>
      <c r="W71" s="11">
        <v>2.1614185809300336E-5</v>
      </c>
      <c r="X71" s="11">
        <v>0.5069535696138382</v>
      </c>
      <c r="Y71" s="11">
        <v>0.14348180693934995</v>
      </c>
      <c r="Z71" s="11">
        <v>0.91832796141754047</v>
      </c>
      <c r="AC71">
        <f t="shared" si="16"/>
        <v>0</v>
      </c>
      <c r="AD71">
        <v>68</v>
      </c>
      <c r="AE71" s="4">
        <f t="shared" si="14"/>
        <v>42111</v>
      </c>
      <c r="AF71" s="6">
        <f t="shared" si="15"/>
        <v>-0.44263009272808018</v>
      </c>
      <c r="AG71" s="4">
        <v>42111</v>
      </c>
      <c r="AH71" s="6">
        <v>5.7941039999999999</v>
      </c>
      <c r="AI71" s="6">
        <v>0.35928500000000002</v>
      </c>
      <c r="AJ71" s="6">
        <v>-0.340673</v>
      </c>
      <c r="AK71" s="4">
        <v>42111</v>
      </c>
      <c r="AL71" s="6">
        <f>VLOOKUP(AK71,Sheet3!$A$1:$B$1113,2,FALSE)</f>
        <v>1.7388313018988331</v>
      </c>
      <c r="AM71" s="6">
        <f t="shared" si="17"/>
        <v>-0.44263009272808018</v>
      </c>
    </row>
    <row r="72" spans="1:39" x14ac:dyDescent="0.3">
      <c r="A72" s="4"/>
      <c r="B72" s="6"/>
      <c r="C72" s="9"/>
      <c r="D72" s="9"/>
      <c r="E72" s="9"/>
      <c r="Q72">
        <f t="shared" si="12"/>
        <v>43</v>
      </c>
      <c r="R72" t="s">
        <v>72</v>
      </c>
      <c r="S72" s="13">
        <f t="shared" si="13"/>
        <v>42002.5</v>
      </c>
      <c r="T72" s="13">
        <v>42069</v>
      </c>
      <c r="U72" s="13">
        <v>41936</v>
      </c>
      <c r="V72" s="11">
        <v>0.35342257771019603</v>
      </c>
      <c r="W72" s="11">
        <v>1.8528481489441646E-5</v>
      </c>
      <c r="X72" s="11">
        <v>0.49126302831074486</v>
      </c>
      <c r="Y72" s="11">
        <v>0.15529586549756969</v>
      </c>
      <c r="Z72" s="11">
        <v>0.90917121538380019</v>
      </c>
      <c r="AC72">
        <f t="shared" si="16"/>
        <v>0</v>
      </c>
      <c r="AD72">
        <v>69</v>
      </c>
      <c r="AE72" s="4">
        <f t="shared" si="14"/>
        <v>42118</v>
      </c>
      <c r="AF72" s="6">
        <f t="shared" si="15"/>
        <v>4.156294634975799</v>
      </c>
      <c r="AG72" s="4">
        <v>42118</v>
      </c>
      <c r="AH72" s="6">
        <v>2.3172730000000001</v>
      </c>
      <c r="AI72" s="6">
        <v>5.4923970000000004</v>
      </c>
      <c r="AJ72" s="6">
        <v>5.8134690000000004</v>
      </c>
      <c r="AK72" s="4">
        <v>42118</v>
      </c>
      <c r="AL72" s="6">
        <f>VLOOKUP(AK72,Sheet3!$A$1:$B$1113,2,FALSE)</f>
        <v>1.8111022540109341</v>
      </c>
      <c r="AM72" s="6">
        <f t="shared" si="17"/>
        <v>4.156294634975799</v>
      </c>
    </row>
    <row r="73" spans="1:39" x14ac:dyDescent="0.3">
      <c r="A73" s="4"/>
      <c r="B73" s="6"/>
      <c r="C73" s="9"/>
      <c r="D73" s="9"/>
      <c r="E73" s="9"/>
      <c r="Q73">
        <f t="shared" si="12"/>
        <v>44</v>
      </c>
      <c r="R73" t="s">
        <v>72</v>
      </c>
      <c r="S73" s="13">
        <f t="shared" si="13"/>
        <v>42009.5</v>
      </c>
      <c r="T73" s="13">
        <v>42076</v>
      </c>
      <c r="U73" s="13">
        <v>41943</v>
      </c>
      <c r="V73" s="11">
        <v>0.35685298239298713</v>
      </c>
      <c r="W73" s="11">
        <v>1.7382286031707628E-5</v>
      </c>
      <c r="X73" s="11">
        <v>0.50127431555196511</v>
      </c>
      <c r="Y73" s="11">
        <v>0.14185531976901597</v>
      </c>
      <c r="Z73" s="11">
        <v>0.90790334419694574</v>
      </c>
      <c r="AC73">
        <f t="shared" si="16"/>
        <v>0</v>
      </c>
      <c r="AD73">
        <v>70</v>
      </c>
      <c r="AE73" s="4">
        <f t="shared" si="14"/>
        <v>42124</v>
      </c>
      <c r="AF73" s="6">
        <f t="shared" si="15"/>
        <v>1.2166254711055702</v>
      </c>
      <c r="AG73" s="4">
        <v>42124</v>
      </c>
      <c r="AH73" s="6">
        <v>1.004648</v>
      </c>
      <c r="AI73" s="6">
        <v>0.60075299999999998</v>
      </c>
      <c r="AJ73" s="6">
        <v>0.55887500000000001</v>
      </c>
      <c r="AK73" s="4">
        <v>42124</v>
      </c>
      <c r="AL73" s="6">
        <f>VLOOKUP(AK73,Sheet3!$A$1:$B$1113,2,FALSE)</f>
        <v>1.833136585340998</v>
      </c>
      <c r="AM73" s="6">
        <f t="shared" si="17"/>
        <v>1.2166254711055702</v>
      </c>
    </row>
    <row r="74" spans="1:39" x14ac:dyDescent="0.3">
      <c r="A74" s="4"/>
      <c r="B74" s="6"/>
      <c r="C74" s="9"/>
      <c r="D74" s="9"/>
      <c r="E74" s="9"/>
      <c r="Q74">
        <f t="shared" si="12"/>
        <v>45</v>
      </c>
      <c r="R74" t="s">
        <v>72</v>
      </c>
      <c r="S74" s="13">
        <f t="shared" si="13"/>
        <v>42016.5</v>
      </c>
      <c r="T74" s="13">
        <v>42083</v>
      </c>
      <c r="U74" s="13">
        <v>41950</v>
      </c>
      <c r="V74" s="11">
        <v>0.36629755994870733</v>
      </c>
      <c r="W74" s="11">
        <v>1.9072471746572273E-5</v>
      </c>
      <c r="X74" s="11">
        <v>0.52474183578370825</v>
      </c>
      <c r="Y74" s="11">
        <v>0.10894153179583779</v>
      </c>
      <c r="Z74" s="11">
        <v>0.94160863245350424</v>
      </c>
      <c r="AC74">
        <f t="shared" si="16"/>
        <v>0</v>
      </c>
      <c r="AD74">
        <v>71</v>
      </c>
      <c r="AE74" s="4">
        <f t="shared" si="14"/>
        <v>42132</v>
      </c>
      <c r="AF74" s="6">
        <f t="shared" si="15"/>
        <v>0.89133482322079072</v>
      </c>
      <c r="AG74" s="4">
        <v>42132</v>
      </c>
      <c r="AH74" s="6">
        <v>-4.0312970000000004</v>
      </c>
      <c r="AI74" s="6">
        <v>-3.168717</v>
      </c>
      <c r="AJ74" s="6">
        <v>0.92225400000000002</v>
      </c>
      <c r="AK74" s="4">
        <v>42132</v>
      </c>
      <c r="AL74" s="6">
        <f>VLOOKUP(AK74,Sheet3!$A$1:$B$1113,2,FALSE)</f>
        <v>1.849475970083343</v>
      </c>
      <c r="AM74" s="6">
        <f t="shared" si="17"/>
        <v>0.89133482322079072</v>
      </c>
    </row>
    <row r="75" spans="1:39" x14ac:dyDescent="0.3">
      <c r="A75" s="4"/>
      <c r="B75" s="6"/>
      <c r="C75" s="9"/>
      <c r="D75" s="9"/>
      <c r="E75" s="9"/>
      <c r="Q75">
        <f t="shared" si="12"/>
        <v>46</v>
      </c>
      <c r="R75" t="s">
        <v>72</v>
      </c>
      <c r="S75" s="13">
        <f t="shared" si="13"/>
        <v>42023.5</v>
      </c>
      <c r="T75" s="13">
        <v>42090</v>
      </c>
      <c r="U75" s="13">
        <v>41957</v>
      </c>
      <c r="V75" s="11">
        <v>0.36616137340295324</v>
      </c>
      <c r="W75" s="11">
        <v>2.2869693964768551E-5</v>
      </c>
      <c r="X75" s="11">
        <v>0.53885821754275731</v>
      </c>
      <c r="Y75" s="11">
        <v>9.4957539360324583E-2</v>
      </c>
      <c r="Z75" s="11">
        <v>0.93830265503436028</v>
      </c>
      <c r="AC75">
        <f t="shared" si="16"/>
        <v>0</v>
      </c>
      <c r="AD75">
        <v>72</v>
      </c>
      <c r="AE75" s="4">
        <f t="shared" si="14"/>
        <v>42139</v>
      </c>
      <c r="AF75" s="6">
        <f t="shared" si="15"/>
        <v>6.6239647393823819</v>
      </c>
      <c r="AG75" s="4">
        <v>42139</v>
      </c>
      <c r="AH75" s="6">
        <v>1.2957609999999999</v>
      </c>
      <c r="AI75" s="6">
        <v>6.603739</v>
      </c>
      <c r="AJ75" s="6">
        <v>9.1835229999999992</v>
      </c>
      <c r="AK75" s="4">
        <v>42139</v>
      </c>
      <c r="AL75" s="6">
        <f>VLOOKUP(AK75,Sheet3!$A$1:$B$1113,2,FALSE)</f>
        <v>1.9719846062050139</v>
      </c>
      <c r="AM75" s="6">
        <f t="shared" si="17"/>
        <v>6.6239647393823819</v>
      </c>
    </row>
    <row r="76" spans="1:39" x14ac:dyDescent="0.3">
      <c r="A76" s="4"/>
      <c r="B76" s="6"/>
      <c r="C76" s="9"/>
      <c r="D76" s="9"/>
      <c r="E76" s="9"/>
      <c r="Q76">
        <f t="shared" si="12"/>
        <v>47</v>
      </c>
      <c r="R76" t="s">
        <v>72</v>
      </c>
      <c r="S76" s="13">
        <f t="shared" si="13"/>
        <v>42030.5</v>
      </c>
      <c r="T76" s="13">
        <v>42097</v>
      </c>
      <c r="U76" s="13">
        <v>41964</v>
      </c>
      <c r="V76" s="11">
        <v>0.37700573244378571</v>
      </c>
      <c r="W76" s="11">
        <v>2.0068048747462093E-5</v>
      </c>
      <c r="X76" s="11">
        <v>0.53216940586333927</v>
      </c>
      <c r="Y76" s="11">
        <v>9.0804793644127538E-2</v>
      </c>
      <c r="Z76" s="11">
        <v>0.94633035662556941</v>
      </c>
      <c r="AC76">
        <f t="shared" si="16"/>
        <v>0</v>
      </c>
      <c r="AD76">
        <v>73</v>
      </c>
      <c r="AE76" s="4">
        <f t="shared" si="14"/>
        <v>42146</v>
      </c>
      <c r="AF76" s="6">
        <f t="shared" si="15"/>
        <v>10.343837272183553</v>
      </c>
      <c r="AG76" s="4">
        <v>42146</v>
      </c>
      <c r="AH76" s="6">
        <v>7.2304750000000002</v>
      </c>
      <c r="AI76" s="6">
        <v>11.841469</v>
      </c>
      <c r="AJ76" s="6">
        <v>13.098317</v>
      </c>
      <c r="AK76" s="4">
        <v>42146</v>
      </c>
      <c r="AL76" s="6">
        <f>VLOOKUP(AK76,Sheet3!$A$1:$B$1113,2,FALSE)</f>
        <v>2.1759634849033702</v>
      </c>
      <c r="AM76" s="6">
        <f t="shared" si="17"/>
        <v>10.343837272183553</v>
      </c>
    </row>
    <row r="77" spans="1:39" x14ac:dyDescent="0.3">
      <c r="A77" s="4"/>
      <c r="B77" s="6"/>
      <c r="C77" s="9"/>
      <c r="D77" s="9"/>
      <c r="E77" s="9"/>
      <c r="Q77">
        <f t="shared" si="12"/>
        <v>48</v>
      </c>
      <c r="R77" t="s">
        <v>72</v>
      </c>
      <c r="S77" s="13">
        <f t="shared" si="13"/>
        <v>42037.5</v>
      </c>
      <c r="T77" s="13">
        <v>42104</v>
      </c>
      <c r="U77" s="13">
        <v>41971</v>
      </c>
      <c r="V77" s="11">
        <v>0.3785764564189471</v>
      </c>
      <c r="W77" s="11">
        <v>2.2367026035301618E-5</v>
      </c>
      <c r="X77" s="11">
        <v>0.53037867154516649</v>
      </c>
      <c r="Y77" s="11">
        <v>9.1022505009851096E-2</v>
      </c>
      <c r="Z77" s="11">
        <v>0.9464655535671479</v>
      </c>
      <c r="AC77">
        <f t="shared" si="16"/>
        <v>0</v>
      </c>
      <c r="AD77">
        <v>74</v>
      </c>
      <c r="AE77" s="4">
        <f t="shared" si="14"/>
        <v>42153</v>
      </c>
      <c r="AF77" s="6">
        <f t="shared" si="15"/>
        <v>1.0229287881199589</v>
      </c>
      <c r="AG77" s="4">
        <v>42153</v>
      </c>
      <c r="AH77" s="6">
        <v>-2.231843</v>
      </c>
      <c r="AI77" s="6">
        <v>1.929543</v>
      </c>
      <c r="AJ77" s="6">
        <v>2.679217</v>
      </c>
      <c r="AK77" s="4">
        <v>42153</v>
      </c>
      <c r="AL77" s="6">
        <f>VLOOKUP(AK77,Sheet3!$A$1:$B$1113,2,FALSE)</f>
        <v>2.1982220418094252</v>
      </c>
      <c r="AM77" s="6">
        <f t="shared" si="17"/>
        <v>1.0229287881199589</v>
      </c>
    </row>
    <row r="78" spans="1:39" x14ac:dyDescent="0.3">
      <c r="A78" s="4"/>
      <c r="B78" s="6"/>
      <c r="C78" s="9"/>
      <c r="D78" s="9"/>
      <c r="E78" s="9"/>
      <c r="Q78">
        <f t="shared" si="12"/>
        <v>49</v>
      </c>
      <c r="R78" t="s">
        <v>72</v>
      </c>
      <c r="S78" s="13">
        <f t="shared" si="13"/>
        <v>42044.5</v>
      </c>
      <c r="T78" s="13">
        <v>42111</v>
      </c>
      <c r="U78" s="13">
        <v>41978</v>
      </c>
      <c r="V78" s="11">
        <v>0.34146218438943066</v>
      </c>
      <c r="W78" s="11">
        <v>2.1335141142441584E-5</v>
      </c>
      <c r="X78" s="11">
        <v>0.5558270850227639</v>
      </c>
      <c r="Y78" s="11">
        <v>0.10268939544666299</v>
      </c>
      <c r="Z78" s="11">
        <v>0.89881012540446703</v>
      </c>
      <c r="AC78">
        <f t="shared" si="16"/>
        <v>0</v>
      </c>
      <c r="AD78">
        <v>75</v>
      </c>
      <c r="AE78" s="4">
        <f t="shared" si="14"/>
        <v>42160</v>
      </c>
      <c r="AF78" s="6">
        <f t="shared" si="15"/>
        <v>8.13981730267923</v>
      </c>
      <c r="AG78" s="4">
        <v>42160</v>
      </c>
      <c r="AH78" s="6">
        <v>8.0507489999999997</v>
      </c>
      <c r="AI78" s="6">
        <v>11.815925999999999</v>
      </c>
      <c r="AJ78" s="6">
        <v>11.042579</v>
      </c>
      <c r="AK78" s="4">
        <v>42160</v>
      </c>
      <c r="AL78" s="6">
        <f>VLOOKUP(AK78,Sheet3!$A$1:$B$1113,2,FALSE)</f>
        <v>2.3771532999199372</v>
      </c>
      <c r="AM78" s="6">
        <f t="shared" si="17"/>
        <v>8.13981730267923</v>
      </c>
    </row>
    <row r="79" spans="1:39" x14ac:dyDescent="0.3">
      <c r="A79" s="4"/>
      <c r="B79" s="6"/>
      <c r="C79" s="9"/>
      <c r="D79" s="9"/>
      <c r="E79" s="9"/>
      <c r="Q79">
        <f t="shared" si="12"/>
        <v>50</v>
      </c>
      <c r="R79" t="s">
        <v>72</v>
      </c>
      <c r="S79" s="13">
        <f t="shared" si="13"/>
        <v>42051.5</v>
      </c>
      <c r="T79" s="13">
        <v>42118</v>
      </c>
      <c r="U79" s="13">
        <v>41985</v>
      </c>
      <c r="V79" s="11">
        <v>0.33450137351607634</v>
      </c>
      <c r="W79" s="11">
        <v>2.1271760162466495E-5</v>
      </c>
      <c r="X79" s="11">
        <v>0.56182632398503574</v>
      </c>
      <c r="Y79" s="11">
        <v>0.10365103073872539</v>
      </c>
      <c r="Z79" s="11">
        <v>0.90002724342811569</v>
      </c>
      <c r="AC79">
        <f t="shared" si="16"/>
        <v>0</v>
      </c>
      <c r="AD79">
        <v>76</v>
      </c>
      <c r="AE79" s="4">
        <f t="shared" si="14"/>
        <v>42167</v>
      </c>
      <c r="AF79" s="6">
        <f t="shared" si="15"/>
        <v>1.7879019638204374</v>
      </c>
      <c r="AG79" s="4">
        <v>42167</v>
      </c>
      <c r="AH79" s="6">
        <v>1.9990829999999999</v>
      </c>
      <c r="AI79" s="6">
        <v>3.6015060000000001</v>
      </c>
      <c r="AJ79" s="6">
        <v>3.7370260000000002</v>
      </c>
      <c r="AK79" s="4">
        <v>42167</v>
      </c>
      <c r="AL79" s="6">
        <f>VLOOKUP(AK79,Sheet3!$A$1:$B$1113,2,FALSE)</f>
        <v>2.4196544704522278</v>
      </c>
      <c r="AM79" s="6">
        <f t="shared" si="17"/>
        <v>1.7879019638204374</v>
      </c>
    </row>
    <row r="80" spans="1:39" x14ac:dyDescent="0.3">
      <c r="A80" s="4"/>
      <c r="B80" s="6"/>
      <c r="C80" s="9"/>
      <c r="D80" s="9"/>
      <c r="E80" s="9"/>
      <c r="Q80">
        <f t="shared" si="12"/>
        <v>51</v>
      </c>
      <c r="R80" t="s">
        <v>72</v>
      </c>
      <c r="S80" s="13">
        <f t="shared" si="13"/>
        <v>42058</v>
      </c>
      <c r="T80" s="13">
        <v>42124</v>
      </c>
      <c r="U80" s="13">
        <v>41992</v>
      </c>
      <c r="V80" s="11">
        <v>0.27482396699050338</v>
      </c>
      <c r="W80" s="11">
        <v>0.29750317775846524</v>
      </c>
      <c r="X80" s="11">
        <v>0.33829248139813212</v>
      </c>
      <c r="Y80" s="11">
        <v>8.9380373852899195E-2</v>
      </c>
      <c r="Z80" s="11">
        <v>0.90957648275975544</v>
      </c>
      <c r="AC80">
        <f t="shared" si="16"/>
        <v>0</v>
      </c>
      <c r="AD80">
        <v>77</v>
      </c>
      <c r="AE80" s="4">
        <f t="shared" si="14"/>
        <v>42174</v>
      </c>
      <c r="AF80" s="6">
        <f t="shared" si="15"/>
        <v>-13.026104241723536</v>
      </c>
      <c r="AG80" s="4">
        <v>42174</v>
      </c>
      <c r="AH80" s="6">
        <v>-13.084318</v>
      </c>
      <c r="AI80" s="6">
        <v>-13.498163999999999</v>
      </c>
      <c r="AJ80" s="6">
        <v>-13.205240999999999</v>
      </c>
      <c r="AK80" s="4">
        <v>42174</v>
      </c>
      <c r="AL80" s="6">
        <f>VLOOKUP(AK80,Sheet3!$A$1:$B$1113,2,FALSE)</f>
        <v>2.104467756841597</v>
      </c>
      <c r="AM80" s="6">
        <f t="shared" si="17"/>
        <v>-13.026104241723536</v>
      </c>
    </row>
    <row r="81" spans="1:39" x14ac:dyDescent="0.3">
      <c r="A81" s="4"/>
      <c r="B81" s="6"/>
      <c r="C81" s="9"/>
      <c r="D81" s="9"/>
      <c r="E81" s="9"/>
      <c r="Q81">
        <f t="shared" si="12"/>
        <v>52</v>
      </c>
      <c r="R81" t="s">
        <v>72</v>
      </c>
      <c r="S81" s="13">
        <f t="shared" si="13"/>
        <v>42065.5</v>
      </c>
      <c r="T81" s="13">
        <v>42132</v>
      </c>
      <c r="U81" s="13">
        <v>41999</v>
      </c>
      <c r="V81" s="11">
        <v>0.29026121517427583</v>
      </c>
      <c r="W81" s="11">
        <v>1.7145696127783966E-5</v>
      </c>
      <c r="X81" s="11">
        <v>0.59675362537004528</v>
      </c>
      <c r="Y81" s="11">
        <v>0.112968013759551</v>
      </c>
      <c r="Z81" s="11">
        <v>0.8854699418076275</v>
      </c>
      <c r="AC81">
        <f t="shared" si="16"/>
        <v>0</v>
      </c>
      <c r="AD81">
        <v>78</v>
      </c>
      <c r="AE81" s="4">
        <f t="shared" si="14"/>
        <v>42181</v>
      </c>
      <c r="AF81" s="6">
        <f t="shared" si="15"/>
        <v>-9.2145567815165705</v>
      </c>
      <c r="AG81" s="4">
        <v>42181</v>
      </c>
      <c r="AH81" s="6">
        <v>-6.4881099999999998</v>
      </c>
      <c r="AI81" s="6">
        <v>-9.1048910000000003</v>
      </c>
      <c r="AJ81" s="6">
        <v>-9.9347080000000005</v>
      </c>
      <c r="AK81" s="4">
        <v>42181</v>
      </c>
      <c r="AL81" s="6">
        <f>VLOOKUP(AK81,Sheet3!$A$1:$B$1113,2,FALSE)</f>
        <v>1.9105503804387201</v>
      </c>
      <c r="AM81" s="6">
        <f t="shared" si="17"/>
        <v>-9.2145567815165705</v>
      </c>
    </row>
    <row r="82" spans="1:39" x14ac:dyDescent="0.3">
      <c r="A82" s="4"/>
      <c r="B82" s="6"/>
      <c r="C82" s="9"/>
      <c r="D82" s="9"/>
      <c r="E82" s="9"/>
      <c r="Q82">
        <f t="shared" si="12"/>
        <v>53</v>
      </c>
      <c r="R82" t="s">
        <v>72</v>
      </c>
      <c r="S82" s="13">
        <f t="shared" si="13"/>
        <v>42071.5</v>
      </c>
      <c r="T82" s="13">
        <v>42139</v>
      </c>
      <c r="U82" s="13">
        <v>42004</v>
      </c>
      <c r="V82" s="11">
        <v>0.27226696410859047</v>
      </c>
      <c r="W82" s="11">
        <v>1.6376259632676697E-5</v>
      </c>
      <c r="X82" s="11">
        <v>0.62602301570836816</v>
      </c>
      <c r="Y82" s="11">
        <v>0.10169364392340874</v>
      </c>
      <c r="Z82" s="11">
        <v>0.8916345439288883</v>
      </c>
      <c r="AC82">
        <f t="shared" si="16"/>
        <v>0</v>
      </c>
      <c r="AD82">
        <v>79</v>
      </c>
      <c r="AE82" s="4">
        <f t="shared" si="14"/>
        <v>42188</v>
      </c>
      <c r="AF82" s="6">
        <f t="shared" si="15"/>
        <v>-15.51014417735751</v>
      </c>
      <c r="AG82" s="4">
        <v>42188</v>
      </c>
      <c r="AH82" s="6">
        <v>-10.384169</v>
      </c>
      <c r="AI82" s="6">
        <v>-18.975121000000001</v>
      </c>
      <c r="AJ82" s="6">
        <v>-20.220500000000001</v>
      </c>
      <c r="AK82" s="4">
        <v>42188</v>
      </c>
      <c r="AL82" s="6">
        <f>VLOOKUP(AK82,Sheet3!$A$1:$B$1113,2,FALSE)</f>
        <v>1.6142212618516221</v>
      </c>
      <c r="AM82" s="6">
        <f t="shared" si="17"/>
        <v>-15.51014417735751</v>
      </c>
    </row>
    <row r="83" spans="1:39" x14ac:dyDescent="0.3">
      <c r="A83" s="4"/>
      <c r="B83" s="6"/>
      <c r="C83" s="9"/>
      <c r="D83" s="9"/>
      <c r="E83" s="9"/>
      <c r="Q83">
        <f t="shared" si="12"/>
        <v>54</v>
      </c>
      <c r="R83" t="s">
        <v>72</v>
      </c>
      <c r="S83" s="13">
        <f t="shared" si="13"/>
        <v>42079.5</v>
      </c>
      <c r="T83" s="13">
        <v>42146</v>
      </c>
      <c r="U83" s="13">
        <v>42013</v>
      </c>
      <c r="V83" s="11">
        <v>0.23412389548214271</v>
      </c>
      <c r="W83" s="11">
        <v>1.9524177563509914E-5</v>
      </c>
      <c r="X83" s="11">
        <v>0.65872670305289893</v>
      </c>
      <c r="Y83" s="11">
        <v>0.10712987728739487</v>
      </c>
      <c r="Z83" s="11">
        <v>0.93760632137008504</v>
      </c>
      <c r="AC83">
        <f t="shared" si="16"/>
        <v>0</v>
      </c>
      <c r="AD83">
        <v>80</v>
      </c>
      <c r="AE83" s="4">
        <f t="shared" si="14"/>
        <v>42195</v>
      </c>
      <c r="AF83" s="6">
        <f t="shared" si="15"/>
        <v>-3.8357281989732761</v>
      </c>
      <c r="AG83" s="4">
        <v>42195</v>
      </c>
      <c r="AH83" s="6">
        <v>5.6779190000000002</v>
      </c>
      <c r="AI83" s="6">
        <v>-1.505091</v>
      </c>
      <c r="AJ83" s="6">
        <v>-7.8906049999999999</v>
      </c>
      <c r="AK83" s="4">
        <v>42195</v>
      </c>
      <c r="AL83" s="6">
        <f>VLOOKUP(AK83,Sheet3!$A$1:$B$1113,2,FALSE)</f>
        <v>1.5523041217169571</v>
      </c>
      <c r="AM83" s="6">
        <f t="shared" si="17"/>
        <v>-3.8357281989732761</v>
      </c>
    </row>
    <row r="84" spans="1:39" x14ac:dyDescent="0.3">
      <c r="A84" s="4"/>
      <c r="B84" s="6"/>
      <c r="C84" s="9"/>
      <c r="D84" s="9"/>
      <c r="E84" s="9"/>
      <c r="Q84">
        <f t="shared" si="12"/>
        <v>55</v>
      </c>
      <c r="R84" t="s">
        <v>72</v>
      </c>
      <c r="S84" s="13">
        <f t="shared" si="13"/>
        <v>42086.5</v>
      </c>
      <c r="T84" s="13">
        <v>42153</v>
      </c>
      <c r="U84" s="13">
        <v>42020</v>
      </c>
      <c r="V84" s="11">
        <v>0.23867984444237583</v>
      </c>
      <c r="W84" s="11">
        <v>1.8421536975082016E-5</v>
      </c>
      <c r="X84" s="11">
        <v>0.65531157568137288</v>
      </c>
      <c r="Y84" s="11">
        <v>0.10599015833927616</v>
      </c>
      <c r="Z84" s="11">
        <v>0.93760494583845755</v>
      </c>
      <c r="AC84">
        <f t="shared" si="16"/>
        <v>0</v>
      </c>
      <c r="AD84">
        <v>81</v>
      </c>
      <c r="AE84" s="4">
        <f t="shared" si="14"/>
        <v>42202</v>
      </c>
      <c r="AF84" s="6">
        <f t="shared" si="15"/>
        <v>8.9378240026966704</v>
      </c>
      <c r="AG84" s="4">
        <v>42202</v>
      </c>
      <c r="AH84" s="6">
        <v>1.0943350000000001</v>
      </c>
      <c r="AI84" s="6">
        <v>10.351073</v>
      </c>
      <c r="AJ84" s="6">
        <v>10.683971</v>
      </c>
      <c r="AK84" s="4">
        <v>42202</v>
      </c>
      <c r="AL84" s="6">
        <f>VLOOKUP(AK84,Sheet3!$A$1:$B$1113,2,FALSE)</f>
        <v>1.691046332102625</v>
      </c>
      <c r="AM84" s="6">
        <f t="shared" si="17"/>
        <v>8.9378240026966704</v>
      </c>
    </row>
    <row r="85" spans="1:39" x14ac:dyDescent="0.3">
      <c r="A85" s="4"/>
      <c r="B85" s="6"/>
      <c r="C85" s="9"/>
      <c r="D85" s="9"/>
      <c r="E85" s="9"/>
      <c r="Q85">
        <f t="shared" si="12"/>
        <v>56</v>
      </c>
      <c r="R85" t="s">
        <v>72</v>
      </c>
      <c r="S85" s="13">
        <f t="shared" si="13"/>
        <v>42093.5</v>
      </c>
      <c r="T85" s="13">
        <v>42160</v>
      </c>
      <c r="U85" s="13">
        <v>42027</v>
      </c>
      <c r="V85" s="11">
        <v>0.21615069944658361</v>
      </c>
      <c r="W85" s="11">
        <v>1.9771988296742703E-5</v>
      </c>
      <c r="X85" s="11">
        <v>0.64646951118288842</v>
      </c>
      <c r="Y85" s="11">
        <v>0.13736001738223128</v>
      </c>
      <c r="Z85" s="11">
        <v>0.95001786190554416</v>
      </c>
      <c r="AC85">
        <f t="shared" si="16"/>
        <v>0</v>
      </c>
      <c r="AD85">
        <v>82</v>
      </c>
      <c r="AE85" s="4">
        <f t="shared" si="14"/>
        <v>42209</v>
      </c>
      <c r="AF85" s="6">
        <f t="shared" si="15"/>
        <v>6.5124264639459639</v>
      </c>
      <c r="AG85" s="4">
        <v>42209</v>
      </c>
      <c r="AH85" s="6">
        <v>0.59696800000000005</v>
      </c>
      <c r="AI85" s="6">
        <v>5.3832779999999998</v>
      </c>
      <c r="AJ85" s="6">
        <v>9.5217080000000003</v>
      </c>
      <c r="AK85" s="4">
        <v>42209</v>
      </c>
      <c r="AL85" s="6">
        <f>VLOOKUP(AK85,Sheet3!$A$1:$B$1113,2,FALSE)</f>
        <v>1.801174480952064</v>
      </c>
      <c r="AM85" s="6">
        <f t="shared" si="17"/>
        <v>6.5124264639459639</v>
      </c>
    </row>
    <row r="86" spans="1:39" x14ac:dyDescent="0.3">
      <c r="A86" s="4"/>
      <c r="B86" s="6"/>
      <c r="C86" s="9"/>
      <c r="D86" s="9"/>
      <c r="E86" s="9"/>
      <c r="Q86">
        <f t="shared" si="12"/>
        <v>57</v>
      </c>
      <c r="R86" t="s">
        <v>72</v>
      </c>
      <c r="S86" s="13">
        <f t="shared" si="13"/>
        <v>42100.5</v>
      </c>
      <c r="T86" s="13">
        <v>42167</v>
      </c>
      <c r="U86" s="13">
        <v>42034</v>
      </c>
      <c r="V86" s="11">
        <v>0.19048633711174232</v>
      </c>
      <c r="W86" s="11">
        <v>1.6797439883597387E-5</v>
      </c>
      <c r="X86" s="11">
        <v>0.661196662181191</v>
      </c>
      <c r="Y86" s="11">
        <v>0.14830020326718307</v>
      </c>
      <c r="Z86" s="11">
        <v>0.95011987084342642</v>
      </c>
      <c r="AC86">
        <f t="shared" si="16"/>
        <v>0</v>
      </c>
      <c r="AD86">
        <v>83</v>
      </c>
      <c r="AE86" s="4">
        <f t="shared" si="14"/>
        <v>42216</v>
      </c>
      <c r="AF86" s="6">
        <f t="shared" si="15"/>
        <v>-10.014024471935834</v>
      </c>
      <c r="AG86" s="4">
        <v>42216</v>
      </c>
      <c r="AH86" s="6">
        <v>-8.6100429999999992</v>
      </c>
      <c r="AI86" s="6">
        <v>-8.2849489999999992</v>
      </c>
      <c r="AJ86" s="6">
        <v>-11.733426</v>
      </c>
      <c r="AK86" s="4">
        <v>42216</v>
      </c>
      <c r="AL86" s="6">
        <f>VLOOKUP(AK86,Sheet3!$A$1:$B$1113,2,FALSE)</f>
        <v>1.6208044276472611</v>
      </c>
      <c r="AM86" s="6">
        <f t="shared" si="17"/>
        <v>-10.014024471935834</v>
      </c>
    </row>
    <row r="87" spans="1:39" x14ac:dyDescent="0.3">
      <c r="A87" s="4"/>
      <c r="B87" s="6"/>
      <c r="C87" s="9"/>
      <c r="D87" s="9"/>
      <c r="E87" s="9"/>
      <c r="Q87">
        <f t="shared" si="12"/>
        <v>58</v>
      </c>
      <c r="R87" t="s">
        <v>72</v>
      </c>
      <c r="S87" s="13">
        <f t="shared" si="13"/>
        <v>42107.5</v>
      </c>
      <c r="T87" s="13">
        <v>42174</v>
      </c>
      <c r="U87" s="13">
        <v>42041</v>
      </c>
      <c r="V87" s="11">
        <v>0.21023157442126381</v>
      </c>
      <c r="W87" s="11">
        <v>1.7886009600593776E-5</v>
      </c>
      <c r="X87" s="11">
        <v>0.6778103624548254</v>
      </c>
      <c r="Y87" s="11">
        <v>0.11194017711431017</v>
      </c>
      <c r="Z87" s="11">
        <v>0.97405223183177114</v>
      </c>
      <c r="AC87">
        <f t="shared" si="16"/>
        <v>0</v>
      </c>
      <c r="AD87">
        <v>84</v>
      </c>
      <c r="AE87" s="4">
        <f t="shared" si="14"/>
        <v>42223</v>
      </c>
      <c r="AF87" s="6">
        <f t="shared" si="15"/>
        <v>2.7571010037850341</v>
      </c>
      <c r="AG87" s="4">
        <v>42223</v>
      </c>
      <c r="AH87" s="6">
        <v>2.3644910000000001</v>
      </c>
      <c r="AI87" s="6">
        <v>3.7046160000000001</v>
      </c>
      <c r="AJ87" s="6">
        <v>3.9192819999999999</v>
      </c>
      <c r="AK87" s="4">
        <v>42223</v>
      </c>
      <c r="AL87" s="6">
        <f>VLOOKUP(AK87,Sheet3!$A$1:$B$1113,2,FALSE)</f>
        <v>1.665491642791316</v>
      </c>
      <c r="AM87" s="6">
        <f t="shared" si="17"/>
        <v>2.7571010037850341</v>
      </c>
    </row>
    <row r="88" spans="1:39" x14ac:dyDescent="0.3">
      <c r="A88" s="4"/>
      <c r="B88" s="6"/>
      <c r="C88" s="9"/>
      <c r="D88" s="9"/>
      <c r="E88" s="9"/>
      <c r="Q88">
        <f t="shared" si="12"/>
        <v>59</v>
      </c>
      <c r="R88" t="s">
        <v>72</v>
      </c>
      <c r="S88" s="13">
        <f t="shared" si="13"/>
        <v>42114.5</v>
      </c>
      <c r="T88" s="13">
        <v>42181</v>
      </c>
      <c r="U88" s="13">
        <v>42048</v>
      </c>
      <c r="V88" s="11">
        <v>0.21454371377842327</v>
      </c>
      <c r="W88" s="11">
        <v>1.7294260767512585E-5</v>
      </c>
      <c r="X88" s="11">
        <v>0.68696442205669372</v>
      </c>
      <c r="Y88" s="11">
        <v>9.8474569904115572E-2</v>
      </c>
      <c r="Z88" s="11">
        <v>0.97788538847051421</v>
      </c>
      <c r="AC88">
        <f t="shared" si="16"/>
        <v>0</v>
      </c>
      <c r="AD88">
        <v>85</v>
      </c>
      <c r="AE88" s="4">
        <f t="shared" si="14"/>
        <v>42230</v>
      </c>
      <c r="AF88" s="6">
        <f t="shared" si="15"/>
        <v>5.0447921865675038</v>
      </c>
      <c r="AG88" s="4">
        <v>42230</v>
      </c>
      <c r="AH88" s="6">
        <v>4.2640789999999997</v>
      </c>
      <c r="AI88" s="6">
        <v>7.6363320000000003</v>
      </c>
      <c r="AJ88" s="6">
        <v>8.2715789999999991</v>
      </c>
      <c r="AK88" s="4">
        <v>42230</v>
      </c>
      <c r="AL88" s="6">
        <f>VLOOKUP(AK88,Sheet3!$A$1:$B$1113,2,FALSE)</f>
        <v>1.7495122350547869</v>
      </c>
      <c r="AM88" s="6">
        <f t="shared" si="17"/>
        <v>5.0447921865675038</v>
      </c>
    </row>
    <row r="89" spans="1:39" x14ac:dyDescent="0.3">
      <c r="A89" s="4"/>
      <c r="B89" s="6"/>
      <c r="C89" s="9"/>
      <c r="D89" s="9"/>
      <c r="E89" s="9"/>
      <c r="Q89">
        <f t="shared" si="12"/>
        <v>60</v>
      </c>
      <c r="R89" t="s">
        <v>72</v>
      </c>
      <c r="S89" s="13">
        <f t="shared" si="13"/>
        <v>42120</v>
      </c>
      <c r="T89" s="13">
        <v>42188</v>
      </c>
      <c r="U89" s="13">
        <v>42052</v>
      </c>
      <c r="V89" s="11">
        <v>0.21570584848569685</v>
      </c>
      <c r="W89" s="11">
        <v>1.6632465219335161E-5</v>
      </c>
      <c r="X89" s="11">
        <v>0.6755397789264993</v>
      </c>
      <c r="Y89" s="11">
        <v>0.10873774012258448</v>
      </c>
      <c r="Z89" s="11">
        <v>0.98531069467538479</v>
      </c>
      <c r="AC89">
        <f t="shared" si="16"/>
        <v>0</v>
      </c>
      <c r="AD89">
        <v>86</v>
      </c>
      <c r="AE89" s="4">
        <f t="shared" si="14"/>
        <v>42237</v>
      </c>
      <c r="AF89" s="6">
        <f t="shared" si="15"/>
        <v>-10.995745194860707</v>
      </c>
      <c r="AG89" s="4">
        <v>42237</v>
      </c>
      <c r="AH89" s="6">
        <v>-11.881660999999999</v>
      </c>
      <c r="AI89" s="6">
        <v>-11.736943999999999</v>
      </c>
      <c r="AJ89" s="6">
        <v>-11.272180000000001</v>
      </c>
      <c r="AK89" s="4">
        <v>42237</v>
      </c>
      <c r="AL89" s="6">
        <f>VLOOKUP(AK89,Sheet3!$A$1:$B$1113,2,FALSE)</f>
        <v>1.55714032753525</v>
      </c>
      <c r="AM89" s="6">
        <f t="shared" si="17"/>
        <v>-10.995745194860707</v>
      </c>
    </row>
    <row r="90" spans="1:39" x14ac:dyDescent="0.3">
      <c r="A90" s="4"/>
      <c r="B90" s="6"/>
      <c r="C90" s="9"/>
      <c r="D90" s="9"/>
      <c r="E90" s="9"/>
      <c r="Q90">
        <f t="shared" si="12"/>
        <v>61</v>
      </c>
      <c r="R90" t="s">
        <v>72</v>
      </c>
      <c r="S90" s="13">
        <f t="shared" si="13"/>
        <v>42128.5</v>
      </c>
      <c r="T90" s="13">
        <v>42195</v>
      </c>
      <c r="U90" s="13">
        <v>42062</v>
      </c>
      <c r="V90" s="11">
        <v>0.22595122367901541</v>
      </c>
      <c r="W90" s="11">
        <v>1.9169224763778131E-5</v>
      </c>
      <c r="X90" s="11">
        <v>0.66818764018111754</v>
      </c>
      <c r="Y90" s="11">
        <v>0.10584196691510332</v>
      </c>
      <c r="Z90" s="11">
        <v>0.98563938427242581</v>
      </c>
      <c r="AC90">
        <f t="shared" si="16"/>
        <v>0</v>
      </c>
      <c r="AD90">
        <v>87</v>
      </c>
      <c r="AE90" s="4">
        <f t="shared" si="14"/>
        <v>42244</v>
      </c>
      <c r="AF90" s="6">
        <f t="shared" si="15"/>
        <v>-6.6203506634939675</v>
      </c>
      <c r="AG90" s="4">
        <v>42244</v>
      </c>
      <c r="AH90" s="6">
        <v>-6.8880629999999998</v>
      </c>
      <c r="AI90" s="6">
        <v>-10.114521</v>
      </c>
      <c r="AJ90" s="6">
        <v>-10.177878</v>
      </c>
      <c r="AK90" s="4">
        <v>42244</v>
      </c>
      <c r="AL90" s="6">
        <f>VLOOKUP(AK90,Sheet3!$A$1:$B$1113,2,FALSE)</f>
        <v>1.4540521775297379</v>
      </c>
      <c r="AM90" s="6">
        <f t="shared" si="17"/>
        <v>-6.6203506634939675</v>
      </c>
    </row>
    <row r="91" spans="1:39" x14ac:dyDescent="0.3">
      <c r="A91" s="4"/>
      <c r="B91" s="6"/>
      <c r="C91" s="9"/>
      <c r="D91" s="9"/>
      <c r="E91" s="9"/>
      <c r="Q91">
        <f t="shared" si="12"/>
        <v>62</v>
      </c>
      <c r="R91" t="s">
        <v>72</v>
      </c>
      <c r="S91" s="13">
        <f t="shared" si="13"/>
        <v>42135.5</v>
      </c>
      <c r="T91" s="13">
        <v>42202</v>
      </c>
      <c r="U91" s="13">
        <v>42069</v>
      </c>
      <c r="V91" s="11">
        <v>0.20423441564425834</v>
      </c>
      <c r="W91" s="11">
        <v>2.0153154006532877E-5</v>
      </c>
      <c r="X91" s="11">
        <v>0.69151940395482103</v>
      </c>
      <c r="Y91" s="11">
        <v>0.10422602724691404</v>
      </c>
      <c r="Z91" s="11">
        <v>0.98546528655497978</v>
      </c>
      <c r="AC91">
        <f t="shared" si="16"/>
        <v>0</v>
      </c>
      <c r="AD91">
        <v>88</v>
      </c>
      <c r="AE91" s="4">
        <f t="shared" si="14"/>
        <v>42249</v>
      </c>
      <c r="AF91" s="6">
        <f t="shared" si="15"/>
        <v>-7.8576391389565075</v>
      </c>
      <c r="AG91" s="4">
        <v>42249</v>
      </c>
      <c r="AH91" s="6">
        <v>0.70447300000000002</v>
      </c>
      <c r="AI91" s="6">
        <v>-10.52684</v>
      </c>
      <c r="AJ91" s="6">
        <v>-13.79513</v>
      </c>
      <c r="AK91" s="4">
        <v>42249</v>
      </c>
      <c r="AL91" s="6">
        <f>VLOOKUP(AK91,Sheet3!$A$1:$B$1113,2,FALSE)</f>
        <v>1.3397980045273119</v>
      </c>
      <c r="AM91" s="6">
        <f t="shared" si="17"/>
        <v>-7.8576391389565075</v>
      </c>
    </row>
    <row r="92" spans="1:39" x14ac:dyDescent="0.3">
      <c r="A92" s="4"/>
      <c r="B92" s="6"/>
      <c r="C92" s="9"/>
      <c r="D92" s="9"/>
      <c r="E92" s="9"/>
      <c r="Q92">
        <f t="shared" si="12"/>
        <v>63</v>
      </c>
      <c r="R92" t="s">
        <v>72</v>
      </c>
      <c r="S92" s="13">
        <f t="shared" si="13"/>
        <v>42142.5</v>
      </c>
      <c r="T92" s="13">
        <v>42209</v>
      </c>
      <c r="U92" s="13">
        <v>42076</v>
      </c>
      <c r="V92" s="11">
        <v>0.17236495011416439</v>
      </c>
      <c r="W92" s="11">
        <v>3.9887733929216261E-2</v>
      </c>
      <c r="X92" s="11">
        <v>0.67285931275331967</v>
      </c>
      <c r="Y92" s="11">
        <v>0.11488800320329962</v>
      </c>
      <c r="Z92" s="11">
        <v>0.98775414025275365</v>
      </c>
      <c r="AC92">
        <f t="shared" si="16"/>
        <v>0</v>
      </c>
      <c r="AD92">
        <v>89</v>
      </c>
      <c r="AE92" s="4">
        <f t="shared" si="14"/>
        <v>42258</v>
      </c>
      <c r="AF92" s="6">
        <f t="shared" si="15"/>
        <v>6.1930740407298845</v>
      </c>
      <c r="AG92" s="4">
        <v>42258</v>
      </c>
      <c r="AH92" s="6">
        <v>-0.55391999999999997</v>
      </c>
      <c r="AI92" s="6">
        <v>6.0557379999999998</v>
      </c>
      <c r="AJ92" s="6">
        <v>11.531126</v>
      </c>
      <c r="AK92" s="4">
        <v>42258</v>
      </c>
      <c r="AL92" s="6">
        <f>VLOOKUP(AK92,Sheet3!$A$1:$B$1113,2,FALSE)</f>
        <v>1.4227726869439099</v>
      </c>
      <c r="AM92" s="6">
        <f t="shared" si="17"/>
        <v>6.1930740407298845</v>
      </c>
    </row>
    <row r="93" spans="1:39" x14ac:dyDescent="0.3">
      <c r="A93" s="4"/>
      <c r="B93" s="6"/>
      <c r="C93" s="9"/>
      <c r="D93" s="9"/>
      <c r="E93" s="9"/>
      <c r="Q93">
        <f t="shared" si="12"/>
        <v>64</v>
      </c>
      <c r="R93" t="s">
        <v>72</v>
      </c>
      <c r="S93" s="13">
        <f t="shared" si="13"/>
        <v>42149.5</v>
      </c>
      <c r="T93" s="13">
        <v>42216</v>
      </c>
      <c r="U93" s="13">
        <v>42083</v>
      </c>
      <c r="V93" s="11">
        <v>0.18236506088689175</v>
      </c>
      <c r="W93" s="11">
        <v>1.851380362280422E-2</v>
      </c>
      <c r="X93" s="11">
        <v>0.68824610482072546</v>
      </c>
      <c r="Y93" s="11">
        <v>0.11087503066957866</v>
      </c>
      <c r="Z93" s="11">
        <v>0.98907744177837575</v>
      </c>
      <c r="AC93">
        <f t="shared" si="16"/>
        <v>0</v>
      </c>
      <c r="AD93">
        <v>90</v>
      </c>
      <c r="AE93" s="4">
        <f t="shared" si="14"/>
        <v>42265</v>
      </c>
      <c r="AF93" s="6">
        <f t="shared" si="15"/>
        <v>-3.3318085705002609</v>
      </c>
      <c r="AG93" s="4">
        <v>42265</v>
      </c>
      <c r="AH93" s="6">
        <v>-2.8655279999999999</v>
      </c>
      <c r="AI93" s="6">
        <v>-7.0293429999999999</v>
      </c>
      <c r="AJ93" s="6">
        <v>-4.978942</v>
      </c>
      <c r="AK93" s="4">
        <v>42265</v>
      </c>
      <c r="AL93" s="6">
        <f>VLOOKUP(AK93,Sheet3!$A$1:$B$1113,2,FALSE)</f>
        <v>1.3753686246215759</v>
      </c>
      <c r="AM93" s="6">
        <f t="shared" si="17"/>
        <v>-3.3318085705002609</v>
      </c>
    </row>
    <row r="94" spans="1:39" x14ac:dyDescent="0.3">
      <c r="A94" s="4"/>
      <c r="B94" s="6"/>
      <c r="C94" s="9"/>
      <c r="D94" s="9"/>
      <c r="E94" s="9"/>
      <c r="Q94">
        <f t="shared" si="12"/>
        <v>65</v>
      </c>
      <c r="R94" t="s">
        <v>72</v>
      </c>
      <c r="S94" s="13">
        <f t="shared" si="13"/>
        <v>42156.5</v>
      </c>
      <c r="T94" s="13">
        <v>42223</v>
      </c>
      <c r="U94" s="13">
        <v>42090</v>
      </c>
      <c r="V94" s="11">
        <v>0.18527757776749243</v>
      </c>
      <c r="W94" s="11">
        <v>1.3924678928401947E-2</v>
      </c>
      <c r="X94" s="11">
        <v>0.69059814627899274</v>
      </c>
      <c r="Y94" s="11">
        <v>0.11019959702511288</v>
      </c>
      <c r="Z94" s="11">
        <v>0.98849437036940813</v>
      </c>
      <c r="AC94">
        <f t="shared" si="16"/>
        <v>0</v>
      </c>
      <c r="AD94">
        <v>91</v>
      </c>
      <c r="AE94" s="4">
        <f t="shared" si="14"/>
        <v>42272</v>
      </c>
      <c r="AF94" s="6">
        <f t="shared" si="15"/>
        <v>1.4486872456773048</v>
      </c>
      <c r="AG94" s="4">
        <v>42272</v>
      </c>
      <c r="AH94" s="6">
        <v>-0.59428400000000003</v>
      </c>
      <c r="AI94" s="6">
        <v>1.184304</v>
      </c>
      <c r="AJ94" s="6">
        <v>1.111267</v>
      </c>
      <c r="AK94" s="4">
        <v>42272</v>
      </c>
      <c r="AL94" s="6">
        <f>VLOOKUP(AK94,Sheet3!$A$1:$B$1113,2,FALSE)</f>
        <v>1.395293414467516</v>
      </c>
      <c r="AM94" s="6">
        <f t="shared" si="17"/>
        <v>1.4486872456773048</v>
      </c>
    </row>
    <row r="95" spans="1:39" x14ac:dyDescent="0.3">
      <c r="A95" s="4"/>
      <c r="B95" s="6"/>
      <c r="C95" s="9"/>
      <c r="D95" s="9"/>
      <c r="E95" s="9"/>
      <c r="Q95">
        <f t="shared" si="12"/>
        <v>66</v>
      </c>
      <c r="R95" t="s">
        <v>72</v>
      </c>
      <c r="S95" s="13">
        <f t="shared" si="13"/>
        <v>42163.5</v>
      </c>
      <c r="T95" s="13">
        <v>42230</v>
      </c>
      <c r="U95" s="13">
        <v>42097</v>
      </c>
      <c r="V95" s="11">
        <v>0.18971406675557781</v>
      </c>
      <c r="W95" s="11">
        <v>1.7666975570410341E-5</v>
      </c>
      <c r="X95" s="11">
        <v>0.69210811406073613</v>
      </c>
      <c r="Y95" s="11">
        <v>0.11816015220811564</v>
      </c>
      <c r="Z95" s="11">
        <v>0.98643650493073476</v>
      </c>
      <c r="AC95">
        <f t="shared" si="16"/>
        <v>0</v>
      </c>
      <c r="AD95">
        <v>92</v>
      </c>
      <c r="AE95" s="4">
        <f t="shared" si="14"/>
        <v>42277</v>
      </c>
      <c r="AF95" s="6">
        <f t="shared" si="15"/>
        <v>1.435613872028374</v>
      </c>
      <c r="AG95" s="4">
        <v>42277</v>
      </c>
      <c r="AH95" s="6">
        <v>-0.89741099999999996</v>
      </c>
      <c r="AI95" s="6">
        <v>0.25131100000000001</v>
      </c>
      <c r="AJ95" s="6">
        <v>1.1431180000000001</v>
      </c>
      <c r="AK95" s="4">
        <v>42277</v>
      </c>
      <c r="AL95" s="6">
        <f>VLOOKUP(AK95,Sheet3!$A$1:$B$1113,2,FALSE)</f>
        <v>1.41532444028111</v>
      </c>
      <c r="AM95" s="6">
        <f t="shared" si="17"/>
        <v>1.435613872028374</v>
      </c>
    </row>
    <row r="96" spans="1:39" x14ac:dyDescent="0.3">
      <c r="A96" s="4"/>
      <c r="B96" s="6"/>
      <c r="C96" s="9"/>
      <c r="D96" s="9"/>
      <c r="E96" s="9"/>
      <c r="Q96">
        <f t="shared" ref="Q96:Q159" si="18">Q95+1</f>
        <v>67</v>
      </c>
      <c r="R96" t="s">
        <v>72</v>
      </c>
      <c r="S96" s="13">
        <f t="shared" ref="S96:S159" si="19">(T96+U96)/2</f>
        <v>42170.5</v>
      </c>
      <c r="T96" s="13">
        <v>42237</v>
      </c>
      <c r="U96" s="13">
        <v>42104</v>
      </c>
      <c r="V96" s="11">
        <v>0.20767427305128125</v>
      </c>
      <c r="W96" s="11">
        <v>2.1871362159508011E-5</v>
      </c>
      <c r="X96" s="11">
        <v>0.68920922487454372</v>
      </c>
      <c r="Y96" s="11">
        <v>0.10309463071201544</v>
      </c>
      <c r="Z96" s="11">
        <v>0.98688538051686314</v>
      </c>
      <c r="AC96">
        <f t="shared" si="16"/>
        <v>0</v>
      </c>
      <c r="AD96">
        <v>93</v>
      </c>
      <c r="AE96" s="4">
        <f t="shared" si="14"/>
        <v>42286</v>
      </c>
      <c r="AF96" s="6">
        <f t="shared" si="15"/>
        <v>4.9506121155497906</v>
      </c>
      <c r="AG96" s="4">
        <v>42286</v>
      </c>
      <c r="AH96" s="6">
        <v>4.2825680000000004</v>
      </c>
      <c r="AI96" s="6">
        <v>5.6554440000000001</v>
      </c>
      <c r="AJ96" s="6">
        <v>5.860716</v>
      </c>
      <c r="AK96" s="4">
        <v>42286</v>
      </c>
      <c r="AL96" s="6">
        <f>VLOOKUP(AK96,Sheet3!$A$1:$B$1113,2,FALSE)</f>
        <v>1.485391663496004</v>
      </c>
      <c r="AM96" s="6">
        <f t="shared" si="17"/>
        <v>4.9506121155497906</v>
      </c>
    </row>
    <row r="97" spans="1:39" x14ac:dyDescent="0.3">
      <c r="A97" s="4"/>
      <c r="B97" s="6"/>
      <c r="C97" s="9"/>
      <c r="D97" s="9"/>
      <c r="E97" s="9"/>
      <c r="Q97">
        <f t="shared" si="18"/>
        <v>68</v>
      </c>
      <c r="R97" t="s">
        <v>72</v>
      </c>
      <c r="S97" s="13">
        <f t="shared" si="19"/>
        <v>42177.5</v>
      </c>
      <c r="T97" s="13">
        <v>42244</v>
      </c>
      <c r="U97" s="13">
        <v>42111</v>
      </c>
      <c r="V97" s="11">
        <v>0.19375757292046744</v>
      </c>
      <c r="W97" s="11">
        <v>1.7290689912061686E-5</v>
      </c>
      <c r="X97" s="11">
        <v>0.6859575970449</v>
      </c>
      <c r="Y97" s="11">
        <v>0.12026753934472056</v>
      </c>
      <c r="Z97" s="11">
        <v>0.98480212849393789</v>
      </c>
      <c r="AC97">
        <f t="shared" si="16"/>
        <v>0</v>
      </c>
      <c r="AD97">
        <v>94</v>
      </c>
      <c r="AE97" s="4">
        <f t="shared" si="14"/>
        <v>42293</v>
      </c>
      <c r="AF97" s="6">
        <f t="shared" si="15"/>
        <v>7.4541856971189313</v>
      </c>
      <c r="AG97" s="4">
        <v>42293</v>
      </c>
      <c r="AH97" s="6">
        <v>5.806667</v>
      </c>
      <c r="AI97" s="6">
        <v>8.925872</v>
      </c>
      <c r="AJ97" s="6">
        <v>9.3225429999999996</v>
      </c>
      <c r="AK97" s="4">
        <v>42293</v>
      </c>
      <c r="AL97" s="6">
        <f>VLOOKUP(AK97,Sheet3!$A$1:$B$1113,2,FALSE)</f>
        <v>1.59611551642252</v>
      </c>
      <c r="AM97" s="6">
        <f t="shared" si="17"/>
        <v>7.4541856971189313</v>
      </c>
    </row>
    <row r="98" spans="1:39" x14ac:dyDescent="0.3">
      <c r="A98" s="4"/>
      <c r="B98" s="6"/>
      <c r="C98" s="9"/>
      <c r="D98" s="9"/>
      <c r="E98" s="9"/>
      <c r="Q98">
        <f t="shared" si="18"/>
        <v>69</v>
      </c>
      <c r="R98" t="s">
        <v>72</v>
      </c>
      <c r="S98" s="13">
        <f t="shared" si="19"/>
        <v>42183.5</v>
      </c>
      <c r="T98" s="13">
        <v>42249</v>
      </c>
      <c r="U98" s="13">
        <v>42118</v>
      </c>
      <c r="V98" s="11">
        <v>0.25013516289138682</v>
      </c>
      <c r="W98" s="11">
        <v>1.968953048438562E-5</v>
      </c>
      <c r="X98" s="11">
        <v>0.64880794413148724</v>
      </c>
      <c r="Y98" s="11">
        <v>0.10103720344664151</v>
      </c>
      <c r="Z98" s="11">
        <v>0.98614862184884555</v>
      </c>
      <c r="AC98">
        <f t="shared" si="16"/>
        <v>0</v>
      </c>
      <c r="AD98">
        <v>95</v>
      </c>
      <c r="AE98" s="4">
        <f t="shared" si="14"/>
        <v>42300</v>
      </c>
      <c r="AF98" s="6">
        <f t="shared" si="15"/>
        <v>1.8502574242788228</v>
      </c>
      <c r="AG98" s="4">
        <v>42300</v>
      </c>
      <c r="AH98" s="6">
        <v>1.0519270000000001</v>
      </c>
      <c r="AI98" s="6">
        <v>1.286608</v>
      </c>
      <c r="AJ98" s="6">
        <v>2.6784620000000001</v>
      </c>
      <c r="AK98" s="4">
        <v>42300</v>
      </c>
      <c r="AL98" s="6">
        <f>VLOOKUP(AK98,Sheet3!$A$1:$B$1113,2,FALSE)</f>
        <v>1.6256477622651939</v>
      </c>
      <c r="AM98" s="6">
        <f t="shared" si="17"/>
        <v>1.8502574242788228</v>
      </c>
    </row>
    <row r="99" spans="1:39" x14ac:dyDescent="0.3">
      <c r="A99" s="4"/>
      <c r="B99" s="6"/>
      <c r="C99" s="9"/>
      <c r="D99" s="9"/>
      <c r="E99" s="9"/>
      <c r="Q99">
        <f t="shared" si="18"/>
        <v>70</v>
      </c>
      <c r="R99" t="s">
        <v>72</v>
      </c>
      <c r="S99" s="13">
        <f t="shared" si="19"/>
        <v>42191</v>
      </c>
      <c r="T99" s="13">
        <v>42258</v>
      </c>
      <c r="U99" s="13">
        <v>42124</v>
      </c>
      <c r="V99" s="11">
        <v>0.26792744460920292</v>
      </c>
      <c r="W99" s="11">
        <v>2.1934473759477135E-5</v>
      </c>
      <c r="X99" s="11">
        <v>0.63516755159102001</v>
      </c>
      <c r="Y99" s="11">
        <v>9.6883069326017451E-2</v>
      </c>
      <c r="Z99" s="11">
        <v>0.98553891677433703</v>
      </c>
      <c r="AC99">
        <f t="shared" si="16"/>
        <v>0</v>
      </c>
      <c r="AD99">
        <v>96</v>
      </c>
      <c r="AE99" s="4">
        <f t="shared" si="14"/>
        <v>42307</v>
      </c>
      <c r="AF99" s="6">
        <f t="shared" si="15"/>
        <v>5.6694795668099651E-2</v>
      </c>
      <c r="AG99" s="4">
        <v>42307</v>
      </c>
      <c r="AH99" s="6">
        <v>-1.0405990000000001</v>
      </c>
      <c r="AI99" s="6">
        <v>-0.74617599999999995</v>
      </c>
      <c r="AJ99" s="6">
        <v>6.2213999999999998E-2</v>
      </c>
      <c r="AK99" s="4">
        <v>42307</v>
      </c>
      <c r="AL99" s="6">
        <f>VLOOKUP(AK99,Sheet3!$A$1:$B$1113,2,FALSE)</f>
        <v>1.6265694199422931</v>
      </c>
      <c r="AM99" s="6">
        <f t="shared" si="17"/>
        <v>5.6694795668099651E-2</v>
      </c>
    </row>
    <row r="100" spans="1:39" x14ac:dyDescent="0.3">
      <c r="A100" s="4"/>
      <c r="B100" s="6"/>
      <c r="C100" s="9"/>
      <c r="D100" s="9"/>
      <c r="E100" s="9"/>
      <c r="Q100">
        <f t="shared" si="18"/>
        <v>71</v>
      </c>
      <c r="R100" t="s">
        <v>72</v>
      </c>
      <c r="S100" s="13">
        <f t="shared" si="19"/>
        <v>42198.5</v>
      </c>
      <c r="T100" s="13">
        <v>42265</v>
      </c>
      <c r="U100" s="13">
        <v>42132</v>
      </c>
      <c r="V100" s="11">
        <v>0.26565293677003438</v>
      </c>
      <c r="W100" s="11">
        <v>2.2098367577029362E-5</v>
      </c>
      <c r="X100" s="11">
        <v>0.6346428010473244</v>
      </c>
      <c r="Y100" s="11">
        <v>9.9682163815064104E-2</v>
      </c>
      <c r="Z100" s="11">
        <v>0.985545450933486</v>
      </c>
      <c r="AC100">
        <f t="shared" si="16"/>
        <v>0</v>
      </c>
      <c r="AD100">
        <v>97</v>
      </c>
      <c r="AE100" s="4">
        <f t="shared" si="14"/>
        <v>42314</v>
      </c>
      <c r="AF100" s="6">
        <f t="shared" si="15"/>
        <v>5.3059168757727981</v>
      </c>
      <c r="AG100" s="4">
        <v>42314</v>
      </c>
      <c r="AH100" s="6">
        <v>7.3369929999999997</v>
      </c>
      <c r="AI100" s="6">
        <v>5.1076639999999998</v>
      </c>
      <c r="AJ100" s="6">
        <v>4.7997589999999999</v>
      </c>
      <c r="AK100" s="4">
        <v>42314</v>
      </c>
      <c r="AL100" s="6">
        <f>VLOOKUP(AK100,Sheet3!$A$1:$B$1113,2,FALSE)</f>
        <v>1.712873841291171</v>
      </c>
      <c r="AM100" s="6">
        <f t="shared" si="17"/>
        <v>5.3059168757727981</v>
      </c>
    </row>
    <row r="101" spans="1:39" x14ac:dyDescent="0.3">
      <c r="A101" s="4"/>
      <c r="B101" s="6"/>
      <c r="C101" s="9"/>
      <c r="D101" s="9"/>
      <c r="E101" s="9"/>
      <c r="Q101">
        <f t="shared" si="18"/>
        <v>72</v>
      </c>
      <c r="R101" t="s">
        <v>72</v>
      </c>
      <c r="S101" s="13">
        <f t="shared" si="19"/>
        <v>42205.5</v>
      </c>
      <c r="T101" s="13">
        <v>42272</v>
      </c>
      <c r="U101" s="13">
        <v>42139</v>
      </c>
      <c r="V101" s="11">
        <v>0.28048287289946461</v>
      </c>
      <c r="W101" s="11">
        <v>2.2740856151669751E-5</v>
      </c>
      <c r="X101" s="11">
        <v>0.62786877724859602</v>
      </c>
      <c r="Y101" s="11">
        <v>9.1625608995787686E-2</v>
      </c>
      <c r="Z101" s="11">
        <v>0.98650920425464239</v>
      </c>
      <c r="AC101">
        <f t="shared" si="16"/>
        <v>0</v>
      </c>
      <c r="AD101">
        <v>98</v>
      </c>
      <c r="AE101" s="4">
        <f t="shared" si="14"/>
        <v>42321</v>
      </c>
      <c r="AF101" s="6">
        <f t="shared" si="15"/>
        <v>1.4773137946547887</v>
      </c>
      <c r="AG101" s="4">
        <v>42321</v>
      </c>
      <c r="AH101" s="6">
        <v>-1.2424740000000001</v>
      </c>
      <c r="AI101" s="6">
        <v>1.614924</v>
      </c>
      <c r="AJ101" s="6">
        <v>3.1724939999999999</v>
      </c>
      <c r="AK101" s="4">
        <v>42321</v>
      </c>
      <c r="AL101" s="6">
        <f>VLOOKUP(AK101,Sheet3!$A$1:$B$1113,2,FALSE)</f>
        <v>1.7381783628335989</v>
      </c>
      <c r="AM101" s="6">
        <f t="shared" si="17"/>
        <v>1.4773137946547887</v>
      </c>
    </row>
    <row r="102" spans="1:39" x14ac:dyDescent="0.3">
      <c r="A102" s="4"/>
      <c r="B102" s="6"/>
      <c r="C102" s="9"/>
      <c r="D102" s="9"/>
      <c r="E102" s="9"/>
      <c r="Q102">
        <f t="shared" si="18"/>
        <v>73</v>
      </c>
      <c r="R102" t="s">
        <v>72</v>
      </c>
      <c r="S102" s="13">
        <f t="shared" si="19"/>
        <v>42211.5</v>
      </c>
      <c r="T102" s="13">
        <v>42277</v>
      </c>
      <c r="U102" s="13">
        <v>42146</v>
      </c>
      <c r="V102" s="11">
        <v>0.28068464777444962</v>
      </c>
      <c r="W102" s="11">
        <v>2.1546865532821972E-5</v>
      </c>
      <c r="X102" s="11">
        <v>0.62611642979341797</v>
      </c>
      <c r="Y102" s="11">
        <v>9.3177375566599566E-2</v>
      </c>
      <c r="Z102" s="11">
        <v>0.98531021234442273</v>
      </c>
      <c r="AC102">
        <f t="shared" si="16"/>
        <v>0</v>
      </c>
      <c r="AD102">
        <v>99</v>
      </c>
      <c r="AE102" s="4">
        <f t="shared" si="14"/>
        <v>42328</v>
      </c>
      <c r="AF102" s="6">
        <f t="shared" si="15"/>
        <v>3.287424877529288</v>
      </c>
      <c r="AG102" s="4">
        <v>42328</v>
      </c>
      <c r="AH102" s="6">
        <v>0.75118200000000002</v>
      </c>
      <c r="AI102" s="6">
        <v>3.1604869999999998</v>
      </c>
      <c r="AJ102" s="6">
        <v>5.0890279999999999</v>
      </c>
      <c r="AK102" s="4">
        <v>42328</v>
      </c>
      <c r="AL102" s="6">
        <f>VLOOKUP(AK102,Sheet3!$A$1:$B$1113,2,FALSE)</f>
        <v>1.7953196707492221</v>
      </c>
      <c r="AM102" s="6">
        <f t="shared" si="17"/>
        <v>3.287424877529288</v>
      </c>
    </row>
    <row r="103" spans="1:39" x14ac:dyDescent="0.3">
      <c r="A103" s="4"/>
      <c r="B103" s="6"/>
      <c r="C103" s="9"/>
      <c r="D103" s="9"/>
      <c r="E103" s="9"/>
      <c r="Q103">
        <f t="shared" si="18"/>
        <v>74</v>
      </c>
      <c r="R103" t="s">
        <v>72</v>
      </c>
      <c r="S103" s="13">
        <f t="shared" si="19"/>
        <v>42219.5</v>
      </c>
      <c r="T103" s="13">
        <v>42286</v>
      </c>
      <c r="U103" s="13">
        <v>42153</v>
      </c>
      <c r="V103" s="11">
        <v>0.28064318093533797</v>
      </c>
      <c r="W103" s="11">
        <v>2.1460920532159784E-5</v>
      </c>
      <c r="X103" s="11">
        <v>0.62560790888394535</v>
      </c>
      <c r="Y103" s="11">
        <v>9.3727449260184406E-2</v>
      </c>
      <c r="Z103" s="11">
        <v>0.98398937007409881</v>
      </c>
      <c r="AC103">
        <f t="shared" si="16"/>
        <v>0</v>
      </c>
      <c r="AD103">
        <v>100</v>
      </c>
      <c r="AE103" s="4">
        <f t="shared" si="14"/>
        <v>42335</v>
      </c>
      <c r="AF103" s="6">
        <f t="shared" si="15"/>
        <v>-3.8508745114380849</v>
      </c>
      <c r="AG103" s="4">
        <v>42335</v>
      </c>
      <c r="AH103" s="6">
        <v>-5.7596400000000001</v>
      </c>
      <c r="AI103" s="6">
        <v>-5.510205</v>
      </c>
      <c r="AJ103" s="6">
        <v>-4.8547820000000002</v>
      </c>
      <c r="AK103" s="4">
        <v>42335</v>
      </c>
      <c r="AL103" s="6">
        <f>VLOOKUP(AK103,Sheet3!$A$1:$B$1113,2,FALSE)</f>
        <v>1.7261841631495061</v>
      </c>
      <c r="AM103" s="6">
        <f t="shared" si="17"/>
        <v>-3.8508745114380849</v>
      </c>
    </row>
    <row r="104" spans="1:39" x14ac:dyDescent="0.3">
      <c r="A104" s="4"/>
      <c r="B104" s="6"/>
      <c r="C104" s="9"/>
      <c r="D104" s="9"/>
      <c r="E104" s="9"/>
      <c r="Q104">
        <f t="shared" si="18"/>
        <v>75</v>
      </c>
      <c r="R104" t="s">
        <v>72</v>
      </c>
      <c r="S104" s="13">
        <f t="shared" si="19"/>
        <v>42226.5</v>
      </c>
      <c r="T104" s="13">
        <v>42293</v>
      </c>
      <c r="U104" s="13">
        <v>42160</v>
      </c>
      <c r="V104" s="11">
        <v>0.28032570089018694</v>
      </c>
      <c r="W104" s="11">
        <v>2.1784678523964954E-5</v>
      </c>
      <c r="X104" s="11">
        <v>0.62575578087634798</v>
      </c>
      <c r="Y104" s="11">
        <v>9.3896733554941061E-2</v>
      </c>
      <c r="Z104" s="11">
        <v>0.98499779384161268</v>
      </c>
      <c r="AC104">
        <f t="shared" si="16"/>
        <v>0</v>
      </c>
      <c r="AD104">
        <v>101</v>
      </c>
      <c r="AE104" s="4">
        <f t="shared" si="14"/>
        <v>42342</v>
      </c>
      <c r="AF104" s="6">
        <f t="shared" si="15"/>
        <v>1.0393925776154722</v>
      </c>
      <c r="AG104" s="4">
        <v>42342</v>
      </c>
      <c r="AH104" s="6">
        <v>3.3904990000000002</v>
      </c>
      <c r="AI104" s="6">
        <v>1.8376939999999999</v>
      </c>
      <c r="AJ104" s="6">
        <v>1.4906889999999999</v>
      </c>
      <c r="AK104" s="4">
        <v>42342</v>
      </c>
      <c r="AL104" s="6">
        <f>VLOOKUP(AK104,Sheet3!$A$1:$B$1113,2,FALSE)</f>
        <v>1.7441259932172559</v>
      </c>
      <c r="AM104" s="6">
        <f t="shared" si="17"/>
        <v>1.0393925776154722</v>
      </c>
    </row>
    <row r="105" spans="1:39" x14ac:dyDescent="0.3">
      <c r="A105" s="4"/>
      <c r="B105" s="6"/>
      <c r="C105" s="9"/>
      <c r="D105" s="9"/>
      <c r="E105" s="9"/>
      <c r="Q105">
        <f t="shared" si="18"/>
        <v>76</v>
      </c>
      <c r="R105" t="s">
        <v>72</v>
      </c>
      <c r="S105" s="13">
        <f t="shared" si="19"/>
        <v>42233.5</v>
      </c>
      <c r="T105" s="13">
        <v>42300</v>
      </c>
      <c r="U105" s="13">
        <v>42167</v>
      </c>
      <c r="V105" s="11">
        <v>0.29014536007233632</v>
      </c>
      <c r="W105" s="11">
        <v>1.945416278391168E-5</v>
      </c>
      <c r="X105" s="11">
        <v>0.62714175564301156</v>
      </c>
      <c r="Y105" s="11">
        <v>8.2693430121868153E-2</v>
      </c>
      <c r="Z105" s="11">
        <v>0.98492436322989674</v>
      </c>
      <c r="AC105">
        <f t="shared" si="16"/>
        <v>0</v>
      </c>
      <c r="AD105">
        <v>102</v>
      </c>
      <c r="AE105" s="4">
        <f t="shared" si="14"/>
        <v>42349</v>
      </c>
      <c r="AF105" s="6">
        <f t="shared" si="15"/>
        <v>-0.96359811468685885</v>
      </c>
      <c r="AG105" s="4">
        <v>42349</v>
      </c>
      <c r="AH105" s="6">
        <v>-1.8907339999999999</v>
      </c>
      <c r="AI105" s="6">
        <v>-2.9417300000000002</v>
      </c>
      <c r="AJ105" s="6">
        <v>-1.343558</v>
      </c>
      <c r="AK105" s="4">
        <v>42349</v>
      </c>
      <c r="AL105" s="6">
        <f>VLOOKUP(AK105,Sheet3!$A$1:$B$1113,2,FALSE)</f>
        <v>1.727319628028851</v>
      </c>
      <c r="AM105" s="6">
        <f t="shared" si="17"/>
        <v>-0.96359811468685885</v>
      </c>
    </row>
    <row r="106" spans="1:39" x14ac:dyDescent="0.3">
      <c r="A106" s="4"/>
      <c r="B106" s="6"/>
      <c r="C106" s="9"/>
      <c r="D106" s="9"/>
      <c r="E106" s="9"/>
      <c r="Q106">
        <f t="shared" si="18"/>
        <v>77</v>
      </c>
      <c r="R106" t="s">
        <v>72</v>
      </c>
      <c r="S106" s="13">
        <f t="shared" si="19"/>
        <v>42240.5</v>
      </c>
      <c r="T106" s="13">
        <v>42307</v>
      </c>
      <c r="U106" s="13">
        <v>42174</v>
      </c>
      <c r="V106" s="11">
        <v>0.29018898936782811</v>
      </c>
      <c r="W106" s="11">
        <v>2.6514448760175569E-5</v>
      </c>
      <c r="X106" s="11">
        <v>0.62938427210939996</v>
      </c>
      <c r="Y106" s="11">
        <v>8.0400224074011803E-2</v>
      </c>
      <c r="Z106" s="11">
        <v>0.98591648775181617</v>
      </c>
      <c r="AC106">
        <f t="shared" si="16"/>
        <v>0</v>
      </c>
      <c r="AD106">
        <v>103</v>
      </c>
      <c r="AE106" s="4">
        <f t="shared" si="14"/>
        <v>42356</v>
      </c>
      <c r="AF106" s="6">
        <f t="shared" si="15"/>
        <v>5.3580794998074888</v>
      </c>
      <c r="AG106" s="4">
        <v>42356</v>
      </c>
      <c r="AH106" s="6">
        <v>4.4304740000000002</v>
      </c>
      <c r="AI106" s="6">
        <v>5.6053360000000003</v>
      </c>
      <c r="AJ106" s="6">
        <v>6.875534</v>
      </c>
      <c r="AK106" s="4">
        <v>42356</v>
      </c>
      <c r="AL106" s="6">
        <f>VLOOKUP(AK106,Sheet3!$A$1:$B$1113,2,FALSE)</f>
        <v>1.8198707869144159</v>
      </c>
      <c r="AM106" s="6">
        <f t="shared" si="17"/>
        <v>5.3580794998074888</v>
      </c>
    </row>
    <row r="107" spans="1:39" x14ac:dyDescent="0.3">
      <c r="A107" s="4"/>
      <c r="B107" s="6"/>
      <c r="C107" s="9"/>
      <c r="D107" s="9"/>
      <c r="E107" s="9"/>
      <c r="Q107">
        <f t="shared" si="18"/>
        <v>78</v>
      </c>
      <c r="R107" t="s">
        <v>72</v>
      </c>
      <c r="S107" s="13">
        <f t="shared" si="19"/>
        <v>42247.5</v>
      </c>
      <c r="T107" s="13">
        <v>42314</v>
      </c>
      <c r="U107" s="13">
        <v>42181</v>
      </c>
      <c r="V107" s="11">
        <v>0.26654349855059761</v>
      </c>
      <c r="W107" s="11">
        <v>7.4610207640988272E-3</v>
      </c>
      <c r="X107" s="11">
        <v>0.62626970808947757</v>
      </c>
      <c r="Y107" s="11">
        <v>9.972577259582599E-2</v>
      </c>
      <c r="Z107" s="11">
        <v>0.98557389613921687</v>
      </c>
      <c r="AC107">
        <f t="shared" si="16"/>
        <v>0</v>
      </c>
      <c r="AD107">
        <v>104</v>
      </c>
      <c r="AE107" s="4">
        <f t="shared" si="14"/>
        <v>42363</v>
      </c>
      <c r="AF107" s="6">
        <f t="shared" si="15"/>
        <v>0.65853775773661027</v>
      </c>
      <c r="AG107" s="4">
        <v>42363</v>
      </c>
      <c r="AH107" s="6">
        <v>1.8654409999999999</v>
      </c>
      <c r="AI107" s="6">
        <v>1.204701</v>
      </c>
      <c r="AJ107" s="6">
        <v>0.91271100000000005</v>
      </c>
      <c r="AK107" s="4">
        <v>42363</v>
      </c>
      <c r="AL107" s="6">
        <f>VLOOKUP(AK107,Sheet3!$A$1:$B$1113,2,FALSE)</f>
        <v>1.8318553231882659</v>
      </c>
      <c r="AM107" s="6">
        <f t="shared" si="17"/>
        <v>0.65853775773661027</v>
      </c>
    </row>
    <row r="108" spans="1:39" x14ac:dyDescent="0.3">
      <c r="A108" s="4"/>
      <c r="B108" s="6"/>
      <c r="C108" s="9"/>
      <c r="D108" s="9"/>
      <c r="E108" s="9"/>
      <c r="Q108">
        <f t="shared" si="18"/>
        <v>79</v>
      </c>
      <c r="R108" t="s">
        <v>72</v>
      </c>
      <c r="S108" s="13">
        <f t="shared" si="19"/>
        <v>42254.5</v>
      </c>
      <c r="T108" s="13">
        <v>42321</v>
      </c>
      <c r="U108" s="13">
        <v>42188</v>
      </c>
      <c r="V108" s="11">
        <v>0.25549114915768301</v>
      </c>
      <c r="W108" s="11">
        <v>1.3249221978172973E-2</v>
      </c>
      <c r="X108" s="11">
        <v>0.61815597058113403</v>
      </c>
      <c r="Y108" s="11">
        <v>0.11310365828300996</v>
      </c>
      <c r="Z108" s="11">
        <v>0.98609908158418447</v>
      </c>
      <c r="AC108">
        <f t="shared" si="16"/>
        <v>0</v>
      </c>
      <c r="AD108">
        <v>105</v>
      </c>
      <c r="AE108" s="4">
        <f t="shared" si="14"/>
        <v>42369</v>
      </c>
      <c r="AF108" s="6">
        <f t="shared" si="15"/>
        <v>-1.2828237639373796</v>
      </c>
      <c r="AG108" s="4">
        <v>42369</v>
      </c>
      <c r="AH108" s="6">
        <v>-2.7928790000000001</v>
      </c>
      <c r="AI108" s="6">
        <v>-2.2386119999999998</v>
      </c>
      <c r="AJ108" s="6">
        <v>-1.0498050000000001</v>
      </c>
      <c r="AK108" s="4">
        <v>42369</v>
      </c>
      <c r="AL108" s="6">
        <f>VLOOKUP(AK108,Sheet3!$A$1:$B$1113,2,FALSE)</f>
        <v>1.808355847781455</v>
      </c>
      <c r="AM108" s="6">
        <f t="shared" si="17"/>
        <v>-1.2828237639373796</v>
      </c>
    </row>
    <row r="109" spans="1:39" x14ac:dyDescent="0.3">
      <c r="A109" s="4"/>
      <c r="B109" s="6"/>
      <c r="C109" s="9"/>
      <c r="D109" s="9"/>
      <c r="E109" s="9"/>
      <c r="Q109">
        <f t="shared" si="18"/>
        <v>80</v>
      </c>
      <c r="R109" t="s">
        <v>72</v>
      </c>
      <c r="S109" s="13">
        <f t="shared" si="19"/>
        <v>42261.5</v>
      </c>
      <c r="T109" s="13">
        <v>42328</v>
      </c>
      <c r="U109" s="13">
        <v>42195</v>
      </c>
      <c r="V109" s="11">
        <v>0.25590167285720217</v>
      </c>
      <c r="W109" s="11">
        <v>9.6002459000902231E-3</v>
      </c>
      <c r="X109" s="11">
        <v>0.61883701733328755</v>
      </c>
      <c r="Y109" s="11">
        <v>0.11566106390942013</v>
      </c>
      <c r="Z109" s="11">
        <v>0.98112822901660957</v>
      </c>
      <c r="AC109">
        <f t="shared" si="16"/>
        <v>0</v>
      </c>
      <c r="AD109">
        <v>106</v>
      </c>
      <c r="AE109" s="4">
        <f t="shared" si="14"/>
        <v>42377</v>
      </c>
      <c r="AF109" s="6">
        <f t="shared" si="15"/>
        <v>-12.950321583210334</v>
      </c>
      <c r="AG109" s="4">
        <v>42377</v>
      </c>
      <c r="AH109" s="6">
        <v>-9.9019309999999994</v>
      </c>
      <c r="AI109" s="6">
        <v>-13.747705</v>
      </c>
      <c r="AJ109" s="6">
        <v>-16.375202000000002</v>
      </c>
      <c r="AK109" s="4">
        <v>42377</v>
      </c>
      <c r="AL109" s="6">
        <f>VLOOKUP(AK109,Sheet3!$A$1:$B$1113,2,FALSE)</f>
        <v>1.574167950124967</v>
      </c>
      <c r="AM109" s="6">
        <f t="shared" si="17"/>
        <v>-12.950321583210334</v>
      </c>
    </row>
    <row r="110" spans="1:39" x14ac:dyDescent="0.3">
      <c r="A110" s="4"/>
      <c r="B110" s="6"/>
      <c r="C110" s="9"/>
      <c r="D110" s="9"/>
      <c r="E110" s="9"/>
      <c r="Q110">
        <f t="shared" si="18"/>
        <v>81</v>
      </c>
      <c r="R110" t="s">
        <v>72</v>
      </c>
      <c r="S110" s="13">
        <f t="shared" si="19"/>
        <v>42268.5</v>
      </c>
      <c r="T110" s="13">
        <v>42335</v>
      </c>
      <c r="U110" s="13">
        <v>42202</v>
      </c>
      <c r="V110" s="11">
        <v>0.25331941820419007</v>
      </c>
      <c r="W110" s="11">
        <v>3.2379136237509008E-2</v>
      </c>
      <c r="X110" s="11">
        <v>0.59568004525338214</v>
      </c>
      <c r="Y110" s="11">
        <v>0.11862140030491881</v>
      </c>
      <c r="Z110" s="11">
        <v>0.98074718329530364</v>
      </c>
      <c r="AC110">
        <f t="shared" si="16"/>
        <v>0</v>
      </c>
      <c r="AD110">
        <v>107</v>
      </c>
      <c r="AE110" s="4">
        <f t="shared" si="14"/>
        <v>42384</v>
      </c>
      <c r="AF110" s="6">
        <f t="shared" si="15"/>
        <v>-7.8476080968413298</v>
      </c>
      <c r="AG110" s="4">
        <v>42384</v>
      </c>
      <c r="AH110" s="6">
        <v>-7.2238150000000001</v>
      </c>
      <c r="AI110" s="6">
        <v>-10.299934</v>
      </c>
      <c r="AJ110" s="6">
        <v>-11.357101</v>
      </c>
      <c r="AK110" s="4">
        <v>42384</v>
      </c>
      <c r="AL110" s="6">
        <f>VLOOKUP(AK110,Sheet3!$A$1:$B$1113,2,FALSE)</f>
        <v>1.4506334186130789</v>
      </c>
      <c r="AM110" s="6">
        <f t="shared" si="17"/>
        <v>-7.8476080968413298</v>
      </c>
    </row>
    <row r="111" spans="1:39" x14ac:dyDescent="0.3">
      <c r="A111" s="4"/>
      <c r="B111" s="6"/>
      <c r="C111" s="9"/>
      <c r="D111" s="9"/>
      <c r="E111" s="9"/>
      <c r="Q111">
        <f t="shared" si="18"/>
        <v>82</v>
      </c>
      <c r="R111" t="s">
        <v>72</v>
      </c>
      <c r="S111" s="13">
        <f t="shared" si="19"/>
        <v>42275.5</v>
      </c>
      <c r="T111" s="13">
        <v>42342</v>
      </c>
      <c r="U111" s="13">
        <v>42209</v>
      </c>
      <c r="V111" s="11">
        <v>0.28774477733375403</v>
      </c>
      <c r="W111" s="11">
        <v>1.7530644187921508E-5</v>
      </c>
      <c r="X111" s="11">
        <v>0.58665234112741749</v>
      </c>
      <c r="Y111" s="11">
        <v>0.1255853508946406</v>
      </c>
      <c r="Z111" s="11">
        <v>0.98542588727658675</v>
      </c>
      <c r="AC111">
        <f t="shared" si="16"/>
        <v>0</v>
      </c>
      <c r="AD111">
        <v>108</v>
      </c>
      <c r="AE111" s="4">
        <f t="shared" si="14"/>
        <v>42391</v>
      </c>
      <c r="AF111" s="6">
        <f t="shared" si="15"/>
        <v>1.5159221202176498</v>
      </c>
      <c r="AG111" s="4">
        <v>42391</v>
      </c>
      <c r="AH111" s="6">
        <v>-0.16889899999999999</v>
      </c>
      <c r="AI111" s="6">
        <v>1.474963</v>
      </c>
      <c r="AJ111" s="6">
        <v>2.6196419999999998</v>
      </c>
      <c r="AK111" s="4">
        <v>42391</v>
      </c>
      <c r="AL111" s="6">
        <f>VLOOKUP(AK111,Sheet3!$A$1:$B$1113,2,FALSE)</f>
        <v>1.4726238914891041</v>
      </c>
      <c r="AM111" s="6">
        <f t="shared" si="17"/>
        <v>1.5159221202176498</v>
      </c>
    </row>
    <row r="112" spans="1:39" x14ac:dyDescent="0.3">
      <c r="A112" s="4"/>
      <c r="B112" s="6"/>
      <c r="C112" s="9"/>
      <c r="D112" s="9"/>
      <c r="E112" s="9"/>
      <c r="Q112">
        <f t="shared" si="18"/>
        <v>83</v>
      </c>
      <c r="R112" t="s">
        <v>72</v>
      </c>
      <c r="S112" s="13">
        <f t="shared" si="19"/>
        <v>42282.5</v>
      </c>
      <c r="T112" s="13">
        <v>42349</v>
      </c>
      <c r="U112" s="13">
        <v>42216</v>
      </c>
      <c r="V112" s="11">
        <v>0.30015692660493226</v>
      </c>
      <c r="W112" s="11">
        <v>2.0035434404945115E-5</v>
      </c>
      <c r="X112" s="11">
        <v>0.57302140387275691</v>
      </c>
      <c r="Y112" s="11">
        <v>0.12680163408790585</v>
      </c>
      <c r="Z112" s="11">
        <v>0.985327716648013</v>
      </c>
      <c r="AC112">
        <f t="shared" si="16"/>
        <v>0</v>
      </c>
      <c r="AD112">
        <v>109</v>
      </c>
      <c r="AE112" s="4">
        <f t="shared" si="14"/>
        <v>42398</v>
      </c>
      <c r="AF112" s="6">
        <f t="shared" si="15"/>
        <v>-6.6942731893400387</v>
      </c>
      <c r="AG112" s="4">
        <v>42398</v>
      </c>
      <c r="AH112" s="6">
        <v>-5.3757640000000002</v>
      </c>
      <c r="AI112" s="6">
        <v>-8.5523989999999994</v>
      </c>
      <c r="AJ112" s="6">
        <v>-8.5274009999999993</v>
      </c>
      <c r="AK112" s="4">
        <v>42398</v>
      </c>
      <c r="AL112" s="6">
        <f>VLOOKUP(AK112,Sheet3!$A$1:$B$1113,2,FALSE)</f>
        <v>1.374042425141333</v>
      </c>
      <c r="AM112" s="6">
        <f t="shared" si="17"/>
        <v>-6.6942731893400387</v>
      </c>
    </row>
    <row r="113" spans="1:39" x14ac:dyDescent="0.3">
      <c r="A113" s="4"/>
      <c r="B113" s="6"/>
      <c r="C113" s="9"/>
      <c r="D113" s="9"/>
      <c r="E113" s="9"/>
      <c r="Q113">
        <f t="shared" si="18"/>
        <v>84</v>
      </c>
      <c r="R113" t="s">
        <v>72</v>
      </c>
      <c r="S113" s="13">
        <f t="shared" si="19"/>
        <v>42289.5</v>
      </c>
      <c r="T113" s="13">
        <v>42356</v>
      </c>
      <c r="U113" s="13">
        <v>42223</v>
      </c>
      <c r="V113" s="11">
        <v>0.2895970100139173</v>
      </c>
      <c r="W113" s="11">
        <v>2.1311665699126414E-5</v>
      </c>
      <c r="X113" s="11">
        <v>0.56961872913219158</v>
      </c>
      <c r="Y113" s="11">
        <v>0.14076294918819199</v>
      </c>
      <c r="Z113" s="11">
        <v>0.98402535813537351</v>
      </c>
      <c r="AC113">
        <f t="shared" si="16"/>
        <v>0</v>
      </c>
      <c r="AD113">
        <v>110</v>
      </c>
      <c r="AE113" s="4">
        <f t="shared" si="14"/>
        <v>42405</v>
      </c>
      <c r="AF113" s="6">
        <f t="shared" si="15"/>
        <v>3.9155242243598121</v>
      </c>
      <c r="AG113" s="4">
        <v>42405</v>
      </c>
      <c r="AH113" s="6">
        <v>0.600769</v>
      </c>
      <c r="AI113" s="6">
        <v>3.5667810000000002</v>
      </c>
      <c r="AJ113" s="6">
        <v>4.5079950000000002</v>
      </c>
      <c r="AK113" s="4">
        <v>42405</v>
      </c>
      <c r="AL113" s="6">
        <f>VLOOKUP(AK113,Sheet3!$A$1:$B$1113,2,FALSE)</f>
        <v>1.427843389150723</v>
      </c>
      <c r="AM113" s="6">
        <f t="shared" si="17"/>
        <v>3.9155242243598121</v>
      </c>
    </row>
    <row r="114" spans="1:39" x14ac:dyDescent="0.3">
      <c r="A114" s="4"/>
      <c r="B114" s="6"/>
      <c r="C114" s="9"/>
      <c r="D114" s="9"/>
      <c r="E114" s="9"/>
      <c r="Q114">
        <f t="shared" si="18"/>
        <v>85</v>
      </c>
      <c r="R114" t="s">
        <v>72</v>
      </c>
      <c r="S114" s="13">
        <f t="shared" si="19"/>
        <v>42296.5</v>
      </c>
      <c r="T114" s="13">
        <v>42363</v>
      </c>
      <c r="U114" s="13">
        <v>42230</v>
      </c>
      <c r="V114" s="11">
        <v>0.28719949717396481</v>
      </c>
      <c r="W114" s="11">
        <v>2.2069385865044068E-5</v>
      </c>
      <c r="X114" s="11">
        <v>0.57100913270270959</v>
      </c>
      <c r="Y114" s="11">
        <v>0.14176930073746052</v>
      </c>
      <c r="Z114" s="11">
        <v>0.98358758989389661</v>
      </c>
      <c r="AC114">
        <f t="shared" si="16"/>
        <v>0</v>
      </c>
      <c r="AD114">
        <v>111</v>
      </c>
      <c r="AE114" s="4">
        <f t="shared" si="14"/>
        <v>42419</v>
      </c>
      <c r="AF114" s="6">
        <f t="shared" si="15"/>
        <v>4.8228878710923517</v>
      </c>
      <c r="AG114" s="4">
        <v>42419</v>
      </c>
      <c r="AH114" s="6">
        <v>2.962275</v>
      </c>
      <c r="AI114" s="6">
        <v>5.5668839999999999</v>
      </c>
      <c r="AJ114" s="6">
        <v>6.7439730000000004</v>
      </c>
      <c r="AK114" s="4">
        <v>42419</v>
      </c>
      <c r="AL114" s="6">
        <f>VLOOKUP(AK114,Sheet3!$A$1:$B$1113,2,FALSE)</f>
        <v>1.496706674784267</v>
      </c>
      <c r="AM114" s="6">
        <f t="shared" si="17"/>
        <v>4.8228878710923517</v>
      </c>
    </row>
    <row r="115" spans="1:39" x14ac:dyDescent="0.3">
      <c r="A115" s="4"/>
      <c r="B115" s="6"/>
      <c r="C115" s="9"/>
      <c r="D115" s="9"/>
      <c r="E115" s="9"/>
      <c r="Q115">
        <f t="shared" si="18"/>
        <v>86</v>
      </c>
      <c r="R115" t="s">
        <v>72</v>
      </c>
      <c r="S115" s="13">
        <f t="shared" si="19"/>
        <v>42303</v>
      </c>
      <c r="T115" s="13">
        <v>42369</v>
      </c>
      <c r="U115" s="13">
        <v>42237</v>
      </c>
      <c r="V115" s="11">
        <v>0.28789763769743421</v>
      </c>
      <c r="W115" s="11">
        <v>1.8126136316331879E-5</v>
      </c>
      <c r="X115" s="11">
        <v>0.57938041690071351</v>
      </c>
      <c r="Y115" s="11">
        <v>0.13270381926553604</v>
      </c>
      <c r="Z115" s="11">
        <v>0.98484319055792424</v>
      </c>
      <c r="AC115">
        <f t="shared" si="16"/>
        <v>0</v>
      </c>
      <c r="AD115">
        <v>112</v>
      </c>
      <c r="AE115" s="4">
        <f t="shared" si="14"/>
        <v>42426</v>
      </c>
      <c r="AF115" s="6">
        <f t="shared" si="15"/>
        <v>-5.8371110782217013</v>
      </c>
      <c r="AG115" s="4">
        <v>42426</v>
      </c>
      <c r="AH115" s="6">
        <v>-3.3934630000000001</v>
      </c>
      <c r="AI115" s="6">
        <v>-5.5285209999999996</v>
      </c>
      <c r="AJ115" s="6">
        <v>-6.9476329999999997</v>
      </c>
      <c r="AK115" s="4">
        <v>42426</v>
      </c>
      <c r="AL115" s="6">
        <f>VLOOKUP(AK115,Sheet3!$A$1:$B$1113,2,FALSE)</f>
        <v>1.4093422436619509</v>
      </c>
      <c r="AM115" s="6">
        <f t="shared" si="17"/>
        <v>-5.8371110782217013</v>
      </c>
    </row>
    <row r="116" spans="1:39" x14ac:dyDescent="0.3">
      <c r="A116" s="4"/>
      <c r="B116" s="6"/>
      <c r="C116" s="9"/>
      <c r="D116" s="9"/>
      <c r="E116" s="9"/>
      <c r="Q116">
        <f t="shared" si="18"/>
        <v>87</v>
      </c>
      <c r="R116" t="s">
        <v>72</v>
      </c>
      <c r="S116" s="13">
        <f t="shared" si="19"/>
        <v>42310.5</v>
      </c>
      <c r="T116" s="13">
        <v>42377</v>
      </c>
      <c r="U116" s="13">
        <v>42244</v>
      </c>
      <c r="V116" s="11">
        <v>0.25475834060050229</v>
      </c>
      <c r="W116" s="11">
        <v>2.091408587904593E-5</v>
      </c>
      <c r="X116" s="11">
        <v>0.59159475539861395</v>
      </c>
      <c r="Y116" s="11">
        <v>0.15362598991500484</v>
      </c>
      <c r="Z116" s="11">
        <v>0.98810800552516009</v>
      </c>
      <c r="AC116">
        <f t="shared" si="16"/>
        <v>0</v>
      </c>
      <c r="AD116">
        <v>113</v>
      </c>
      <c r="AE116" s="4">
        <f t="shared" si="14"/>
        <v>42433</v>
      </c>
      <c r="AF116" s="6">
        <f t="shared" si="15"/>
        <v>-1.6435690466329311</v>
      </c>
      <c r="AG116" s="4">
        <v>42433</v>
      </c>
      <c r="AH116" s="6">
        <v>4.947673</v>
      </c>
      <c r="AI116" s="6">
        <v>-0.484626</v>
      </c>
      <c r="AJ116" s="6">
        <v>-3.235004</v>
      </c>
      <c r="AK116" s="4">
        <v>42433</v>
      </c>
      <c r="AL116" s="6">
        <f>VLOOKUP(AK116,Sheet3!$A$1:$B$1113,2,FALSE)</f>
        <v>1.386178730784001</v>
      </c>
      <c r="AM116" s="6">
        <f t="shared" si="17"/>
        <v>-1.6435690466329311</v>
      </c>
    </row>
    <row r="117" spans="1:39" x14ac:dyDescent="0.3">
      <c r="A117" s="4"/>
      <c r="B117" s="6"/>
      <c r="C117" s="9"/>
      <c r="D117" s="9"/>
      <c r="E117" s="9"/>
      <c r="Q117">
        <f t="shared" si="18"/>
        <v>88</v>
      </c>
      <c r="R117" t="s">
        <v>72</v>
      </c>
      <c r="S117" s="13">
        <f t="shared" si="19"/>
        <v>42316.5</v>
      </c>
      <c r="T117" s="13">
        <v>42384</v>
      </c>
      <c r="U117" s="13">
        <v>42249</v>
      </c>
      <c r="V117" s="11">
        <v>0.26225240413909023</v>
      </c>
      <c r="W117" s="11">
        <v>1.9326986318117936E-5</v>
      </c>
      <c r="X117" s="11">
        <v>0.59206104227238898</v>
      </c>
      <c r="Y117" s="11">
        <v>0.14566722660220274</v>
      </c>
      <c r="Z117" s="11">
        <v>0.99017492832380172</v>
      </c>
      <c r="AC117">
        <f t="shared" si="16"/>
        <v>0</v>
      </c>
      <c r="AD117">
        <v>114</v>
      </c>
      <c r="AE117" s="4">
        <f t="shared" si="14"/>
        <v>42440</v>
      </c>
      <c r="AF117" s="6">
        <f t="shared" si="15"/>
        <v>-1.35204724196063</v>
      </c>
      <c r="AG117" s="4">
        <v>42440</v>
      </c>
      <c r="AH117" s="6">
        <v>-2.4436909999999998</v>
      </c>
      <c r="AI117" s="6">
        <v>-2.0026389999999998</v>
      </c>
      <c r="AJ117" s="6">
        <v>-0.93321799999999999</v>
      </c>
      <c r="AK117" s="4">
        <v>42440</v>
      </c>
      <c r="AL117" s="6">
        <f>VLOOKUP(AK117,Sheet3!$A$1:$B$1113,2,FALSE)</f>
        <v>1.367436939485791</v>
      </c>
      <c r="AM117" s="6">
        <f t="shared" si="17"/>
        <v>-1.35204724196063</v>
      </c>
    </row>
    <row r="118" spans="1:39" x14ac:dyDescent="0.3">
      <c r="A118" s="4"/>
      <c r="B118" s="6"/>
      <c r="C118" s="9"/>
      <c r="D118" s="9"/>
      <c r="E118" s="9"/>
      <c r="Q118">
        <f t="shared" si="18"/>
        <v>89</v>
      </c>
      <c r="R118" t="s">
        <v>72</v>
      </c>
      <c r="S118" s="13">
        <f t="shared" si="19"/>
        <v>42324.5</v>
      </c>
      <c r="T118" s="13">
        <v>42391</v>
      </c>
      <c r="U118" s="13">
        <v>42258</v>
      </c>
      <c r="V118" s="11">
        <v>0.25364556679327244</v>
      </c>
      <c r="W118" s="11">
        <v>1.900126975731525E-5</v>
      </c>
      <c r="X118" s="11">
        <v>0.59872462431603168</v>
      </c>
      <c r="Y118" s="11">
        <v>0.14761080762093856</v>
      </c>
      <c r="Z118" s="11">
        <v>0.98879537131998607</v>
      </c>
      <c r="AC118">
        <f t="shared" si="16"/>
        <v>0</v>
      </c>
      <c r="AD118">
        <v>115</v>
      </c>
      <c r="AE118" s="4">
        <f t="shared" si="14"/>
        <v>42447</v>
      </c>
      <c r="AF118" s="6">
        <f t="shared" si="15"/>
        <v>8.1564735838592473</v>
      </c>
      <c r="AG118" s="4">
        <v>42447</v>
      </c>
      <c r="AH118" s="6">
        <v>5.0915879999999998</v>
      </c>
      <c r="AI118" s="6">
        <v>7.9920609999999996</v>
      </c>
      <c r="AJ118" s="6">
        <v>10.172530999999999</v>
      </c>
      <c r="AK118" s="4">
        <v>42447</v>
      </c>
      <c r="AL118" s="6">
        <f>VLOOKUP(AK118,Sheet3!$A$1:$B$1113,2,FALSE)</f>
        <v>1.4789715722308829</v>
      </c>
      <c r="AM118" s="6">
        <f t="shared" si="17"/>
        <v>8.1564735838592473</v>
      </c>
    </row>
    <row r="119" spans="1:39" x14ac:dyDescent="0.3">
      <c r="A119" s="4"/>
      <c r="B119" s="6"/>
      <c r="C119" s="9"/>
      <c r="D119" s="9"/>
      <c r="E119" s="9"/>
      <c r="Q119">
        <f t="shared" si="18"/>
        <v>90</v>
      </c>
      <c r="R119" t="s">
        <v>72</v>
      </c>
      <c r="S119" s="13">
        <f t="shared" si="19"/>
        <v>42331.5</v>
      </c>
      <c r="T119" s="13">
        <v>42398</v>
      </c>
      <c r="U119" s="13">
        <v>42265</v>
      </c>
      <c r="V119" s="11">
        <v>0.18454126555011968</v>
      </c>
      <c r="W119" s="11">
        <v>2.0652969053390373E-5</v>
      </c>
      <c r="X119" s="11">
        <v>0.65384804994685608</v>
      </c>
      <c r="Y119" s="11">
        <v>0.16159003153397086</v>
      </c>
      <c r="Z119" s="11">
        <v>0.99058746341866544</v>
      </c>
      <c r="AC119">
        <f t="shared" si="16"/>
        <v>0</v>
      </c>
      <c r="AD119">
        <v>116</v>
      </c>
      <c r="AE119" s="4">
        <f t="shared" si="14"/>
        <v>42454</v>
      </c>
      <c r="AF119" s="6">
        <f t="shared" si="15"/>
        <v>1.5747761864176146</v>
      </c>
      <c r="AG119" s="4">
        <v>42454</v>
      </c>
      <c r="AH119" s="6">
        <v>0.81507600000000002</v>
      </c>
      <c r="AI119" s="6">
        <v>2.1543540000000001</v>
      </c>
      <c r="AJ119" s="6">
        <v>3.0385580000000001</v>
      </c>
      <c r="AK119" s="4">
        <v>42454</v>
      </c>
      <c r="AL119" s="6">
        <f>VLOOKUP(AK119,Sheet3!$A$1:$B$1113,2,FALSE)</f>
        <v>1.502262064354261</v>
      </c>
      <c r="AM119" s="6">
        <f t="shared" si="17"/>
        <v>1.5747761864176146</v>
      </c>
    </row>
    <row r="120" spans="1:39" x14ac:dyDescent="0.3">
      <c r="A120" s="4"/>
      <c r="B120" s="6"/>
      <c r="C120" s="9"/>
      <c r="D120" s="9"/>
      <c r="E120" s="9"/>
      <c r="Q120">
        <f t="shared" si="18"/>
        <v>91</v>
      </c>
      <c r="R120" t="s">
        <v>72</v>
      </c>
      <c r="S120" s="13">
        <f t="shared" si="19"/>
        <v>42338.5</v>
      </c>
      <c r="T120" s="13">
        <v>42405</v>
      </c>
      <c r="U120" s="13">
        <v>42272</v>
      </c>
      <c r="V120" s="11">
        <v>0.15405241805030026</v>
      </c>
      <c r="W120" s="11">
        <v>4.9663731639853718E-3</v>
      </c>
      <c r="X120" s="11">
        <v>0.67656421134730582</v>
      </c>
      <c r="Y120" s="11">
        <v>0.16441699743840854</v>
      </c>
      <c r="Z120" s="11">
        <v>0.98972927033469882</v>
      </c>
      <c r="AC120">
        <f t="shared" si="16"/>
        <v>0</v>
      </c>
      <c r="AD120">
        <v>117</v>
      </c>
      <c r="AE120" s="4">
        <f t="shared" si="14"/>
        <v>42461</v>
      </c>
      <c r="AF120" s="6">
        <f t="shared" si="15"/>
        <v>0.71863507799656556</v>
      </c>
      <c r="AG120" s="4">
        <v>42461</v>
      </c>
      <c r="AH120" s="6">
        <v>0.75294799999999995</v>
      </c>
      <c r="AI120" s="6">
        <v>0.77494300000000005</v>
      </c>
      <c r="AJ120" s="6">
        <v>0.55187699999999995</v>
      </c>
      <c r="AK120" s="4">
        <v>42461</v>
      </c>
      <c r="AL120" s="6">
        <f>VLOOKUP(AK120,Sheet3!$A$1:$B$1113,2,FALSE)</f>
        <v>1.513057846512146</v>
      </c>
      <c r="AM120" s="6">
        <f t="shared" si="17"/>
        <v>0.71863507799656556</v>
      </c>
    </row>
    <row r="121" spans="1:39" x14ac:dyDescent="0.3">
      <c r="A121" s="4"/>
      <c r="B121" s="6"/>
      <c r="C121" s="9"/>
      <c r="D121" s="9"/>
      <c r="E121" s="9"/>
      <c r="Q121">
        <f t="shared" si="18"/>
        <v>92</v>
      </c>
      <c r="R121" t="s">
        <v>72</v>
      </c>
      <c r="S121" s="13">
        <f t="shared" si="19"/>
        <v>42348</v>
      </c>
      <c r="T121" s="13">
        <v>42419</v>
      </c>
      <c r="U121" s="13">
        <v>42277</v>
      </c>
      <c r="V121" s="11">
        <v>0.17401588237671731</v>
      </c>
      <c r="W121" s="11">
        <v>2.2335271950928365E-5</v>
      </c>
      <c r="X121" s="11">
        <v>0.66565905850709406</v>
      </c>
      <c r="Y121" s="11">
        <v>0.16030272384423774</v>
      </c>
      <c r="Z121" s="11">
        <v>0.99135410820540892</v>
      </c>
      <c r="AC121">
        <f t="shared" si="16"/>
        <v>0</v>
      </c>
      <c r="AD121">
        <v>118</v>
      </c>
      <c r="AE121" s="4">
        <f t="shared" si="14"/>
        <v>42468</v>
      </c>
      <c r="AF121" s="6">
        <f t="shared" si="15"/>
        <v>0.42653073933807129</v>
      </c>
      <c r="AG121" s="4">
        <v>42468</v>
      </c>
      <c r="AH121" s="6">
        <v>-1.1226</v>
      </c>
      <c r="AI121" s="6">
        <v>0.72191899999999998</v>
      </c>
      <c r="AJ121" s="6">
        <v>1.1310579999999999</v>
      </c>
      <c r="AK121" s="4">
        <v>42468</v>
      </c>
      <c r="AL121" s="6">
        <f>VLOOKUP(AK121,Sheet3!$A$1:$B$1113,2,FALSE)</f>
        <v>1.519511503331487</v>
      </c>
      <c r="AM121" s="6">
        <f t="shared" si="17"/>
        <v>0.42653073933807129</v>
      </c>
    </row>
    <row r="122" spans="1:39" x14ac:dyDescent="0.3">
      <c r="A122" s="4"/>
      <c r="B122" s="6"/>
      <c r="C122" s="9"/>
      <c r="D122" s="9"/>
      <c r="E122" s="9"/>
      <c r="Q122">
        <f t="shared" si="18"/>
        <v>93</v>
      </c>
      <c r="R122" t="s">
        <v>72</v>
      </c>
      <c r="S122" s="13">
        <f t="shared" si="19"/>
        <v>42356</v>
      </c>
      <c r="T122" s="13">
        <v>42426</v>
      </c>
      <c r="U122" s="13">
        <v>42286</v>
      </c>
      <c r="V122" s="11">
        <v>0.18557235357106094</v>
      </c>
      <c r="W122" s="11">
        <v>2.0592544925715501E-5</v>
      </c>
      <c r="X122" s="11">
        <v>0.6625249072895909</v>
      </c>
      <c r="Y122" s="11">
        <v>0.15188214659442253</v>
      </c>
      <c r="Z122" s="11">
        <v>0.99258248030827567</v>
      </c>
      <c r="AC122">
        <f t="shared" si="16"/>
        <v>0</v>
      </c>
      <c r="AD122">
        <v>119</v>
      </c>
      <c r="AE122" s="4">
        <f t="shared" si="14"/>
        <v>42475</v>
      </c>
      <c r="AF122" s="6">
        <f t="shared" si="15"/>
        <v>3.1286949675862985</v>
      </c>
      <c r="AG122" s="4">
        <v>42475</v>
      </c>
      <c r="AH122" s="6">
        <v>2.7145929999999998</v>
      </c>
      <c r="AI122" s="6">
        <v>3.4951650000000001</v>
      </c>
      <c r="AJ122" s="6">
        <v>4.2068940000000001</v>
      </c>
      <c r="AK122" s="4">
        <v>42475</v>
      </c>
      <c r="AL122" s="6">
        <f>VLOOKUP(AK122,Sheet3!$A$1:$B$1113,2,FALSE)</f>
        <v>1.567052383268114</v>
      </c>
      <c r="AM122" s="6">
        <f t="shared" si="17"/>
        <v>3.1286949675862985</v>
      </c>
    </row>
    <row r="123" spans="1:39" x14ac:dyDescent="0.3">
      <c r="A123" s="4"/>
      <c r="B123" s="6"/>
      <c r="C123" s="9"/>
      <c r="D123" s="9"/>
      <c r="E123" s="9"/>
      <c r="Q123">
        <f t="shared" si="18"/>
        <v>94</v>
      </c>
      <c r="R123" t="s">
        <v>72</v>
      </c>
      <c r="S123" s="13">
        <f t="shared" si="19"/>
        <v>42363</v>
      </c>
      <c r="T123" s="13">
        <v>42433</v>
      </c>
      <c r="U123" s="13">
        <v>42293</v>
      </c>
      <c r="V123" s="11">
        <v>0.15869666492749007</v>
      </c>
      <c r="W123" s="11">
        <v>2.0701834612118875E-5</v>
      </c>
      <c r="X123" s="11">
        <v>0.67783053652332126</v>
      </c>
      <c r="Y123" s="11">
        <v>0.16345209671457653</v>
      </c>
      <c r="Z123" s="11">
        <v>0.99221319266030861</v>
      </c>
      <c r="AC123">
        <f t="shared" si="16"/>
        <v>0</v>
      </c>
      <c r="AD123">
        <v>120</v>
      </c>
      <c r="AE123" s="4">
        <f t="shared" si="14"/>
        <v>42482</v>
      </c>
      <c r="AF123" s="6">
        <f t="shared" si="15"/>
        <v>-4.5074008941371151</v>
      </c>
      <c r="AG123" s="4">
        <v>42482</v>
      </c>
      <c r="AH123" s="6">
        <v>-2.9736549999999999</v>
      </c>
      <c r="AI123" s="6">
        <v>-5.8428740000000001</v>
      </c>
      <c r="AJ123" s="6">
        <v>-6.3190200000000001</v>
      </c>
      <c r="AK123" s="4">
        <v>42482</v>
      </c>
      <c r="AL123" s="6">
        <f>VLOOKUP(AK123,Sheet3!$A$1:$B$1113,2,FALSE)</f>
        <v>1.4964190501330901</v>
      </c>
      <c r="AM123" s="6">
        <f t="shared" si="17"/>
        <v>-4.5074008941371151</v>
      </c>
    </row>
    <row r="124" spans="1:39" x14ac:dyDescent="0.3">
      <c r="Q124">
        <f t="shared" si="18"/>
        <v>95</v>
      </c>
      <c r="R124" t="s">
        <v>72</v>
      </c>
      <c r="S124" s="13">
        <f t="shared" si="19"/>
        <v>42370</v>
      </c>
      <c r="T124" s="13">
        <v>42440</v>
      </c>
      <c r="U124" s="13">
        <v>42300</v>
      </c>
      <c r="V124" s="11">
        <v>0.16326566381920665</v>
      </c>
      <c r="W124" s="11">
        <v>2.0610401063778275E-5</v>
      </c>
      <c r="X124" s="11">
        <v>0.67293539306123396</v>
      </c>
      <c r="Y124" s="11">
        <v>0.16377833271849571</v>
      </c>
      <c r="Z124" s="11">
        <v>0.99098600271974946</v>
      </c>
      <c r="AC124">
        <f t="shared" si="16"/>
        <v>0</v>
      </c>
      <c r="AD124">
        <v>121</v>
      </c>
      <c r="AE124" s="4">
        <f t="shared" si="14"/>
        <v>42489</v>
      </c>
      <c r="AF124" s="6">
        <f t="shared" si="15"/>
        <v>0.4893752267576712</v>
      </c>
      <c r="AG124" s="4">
        <v>42489</v>
      </c>
      <c r="AH124" s="6">
        <v>-0.57186300000000001</v>
      </c>
      <c r="AI124" s="6">
        <v>-0.42796099999999998</v>
      </c>
      <c r="AJ124" s="6">
        <v>0.11197799999999999</v>
      </c>
      <c r="AK124" s="4">
        <v>42489</v>
      </c>
      <c r="AL124" s="6">
        <f>VLOOKUP(AK124,Sheet3!$A$1:$B$1113,2,FALSE)</f>
        <v>1.5037421542529239</v>
      </c>
      <c r="AM124" s="6">
        <f t="shared" si="17"/>
        <v>0.4893752267576712</v>
      </c>
    </row>
    <row r="125" spans="1:39" x14ac:dyDescent="0.3">
      <c r="Q125">
        <f t="shared" si="18"/>
        <v>96</v>
      </c>
      <c r="R125" t="s">
        <v>72</v>
      </c>
      <c r="S125" s="13">
        <f t="shared" si="19"/>
        <v>42377</v>
      </c>
      <c r="T125" s="13">
        <v>42447</v>
      </c>
      <c r="U125" s="13">
        <v>42307</v>
      </c>
      <c r="V125" s="11">
        <v>0.15992364796146696</v>
      </c>
      <c r="W125" s="11">
        <v>1.8089297441493069E-5</v>
      </c>
      <c r="X125" s="11">
        <v>0.68103489496837288</v>
      </c>
      <c r="Y125" s="11">
        <v>0.15902336777271875</v>
      </c>
      <c r="Z125" s="11">
        <v>0.9918635490122929</v>
      </c>
      <c r="AC125">
        <f t="shared" si="16"/>
        <v>0</v>
      </c>
      <c r="AD125">
        <v>122</v>
      </c>
      <c r="AE125" s="4">
        <f t="shared" si="14"/>
        <v>42496</v>
      </c>
      <c r="AF125" s="6">
        <f t="shared" si="15"/>
        <v>-0.19081438307457788</v>
      </c>
      <c r="AG125" s="4">
        <v>42496</v>
      </c>
      <c r="AH125" s="6">
        <v>-0.83601000000000003</v>
      </c>
      <c r="AI125" s="6">
        <v>-0.40271699999999999</v>
      </c>
      <c r="AJ125" s="6">
        <v>-0.18892900000000001</v>
      </c>
      <c r="AK125" s="4">
        <v>42496</v>
      </c>
      <c r="AL125" s="6">
        <f>VLOOKUP(AK125,Sheet3!$A$1:$B$1113,2,FALSE)</f>
        <v>1.5008727979382539</v>
      </c>
      <c r="AM125" s="6">
        <f t="shared" si="17"/>
        <v>-0.19081438307457788</v>
      </c>
    </row>
    <row r="126" spans="1:39" x14ac:dyDescent="0.3">
      <c r="Q126">
        <f t="shared" si="18"/>
        <v>97</v>
      </c>
      <c r="R126" t="s">
        <v>72</v>
      </c>
      <c r="S126" s="13">
        <f t="shared" si="19"/>
        <v>42384</v>
      </c>
      <c r="T126" s="13">
        <v>42454</v>
      </c>
      <c r="U126" s="13">
        <v>42314</v>
      </c>
      <c r="V126" s="11">
        <v>0.16633916798819898</v>
      </c>
      <c r="W126" s="11">
        <v>2.1754505148870394E-5</v>
      </c>
      <c r="X126" s="11">
        <v>0.67514974063813959</v>
      </c>
      <c r="Y126" s="11">
        <v>0.1584893368685126</v>
      </c>
      <c r="Z126" s="11">
        <v>0.99123388669750434</v>
      </c>
      <c r="AC126">
        <f t="shared" si="16"/>
        <v>0</v>
      </c>
      <c r="AD126">
        <v>123</v>
      </c>
      <c r="AE126" s="4">
        <f t="shared" si="14"/>
        <v>42503</v>
      </c>
      <c r="AF126" s="6">
        <f t="shared" si="15"/>
        <v>-3.0655771608283033</v>
      </c>
      <c r="AG126" s="4">
        <v>42503</v>
      </c>
      <c r="AH126" s="6">
        <v>-1.770384</v>
      </c>
      <c r="AI126" s="6">
        <v>-4.1462510000000004</v>
      </c>
      <c r="AJ126" s="6">
        <v>-5.6678879999999996</v>
      </c>
      <c r="AK126" s="4">
        <v>42503</v>
      </c>
      <c r="AL126" s="6">
        <f>VLOOKUP(AK126,Sheet3!$A$1:$B$1113,2,FALSE)</f>
        <v>1.454862384231574</v>
      </c>
      <c r="AM126" s="6">
        <f t="shared" si="17"/>
        <v>-3.0655771608283033</v>
      </c>
    </row>
    <row r="127" spans="1:39" x14ac:dyDescent="0.3">
      <c r="Q127">
        <f t="shared" si="18"/>
        <v>98</v>
      </c>
      <c r="R127" t="s">
        <v>72</v>
      </c>
      <c r="S127" s="13">
        <f t="shared" si="19"/>
        <v>42391</v>
      </c>
      <c r="T127" s="13">
        <v>42461</v>
      </c>
      <c r="U127" s="13">
        <v>42321</v>
      </c>
      <c r="V127" s="11">
        <v>0.12590814391633368</v>
      </c>
      <c r="W127" s="11">
        <v>3.6553554446940587E-4</v>
      </c>
      <c r="X127" s="11">
        <v>0.69195521771807766</v>
      </c>
      <c r="Y127" s="11">
        <v>0.18177110282111925</v>
      </c>
      <c r="Z127" s="11">
        <v>0.99242061707776774</v>
      </c>
      <c r="AC127">
        <f t="shared" si="16"/>
        <v>0</v>
      </c>
      <c r="AD127">
        <v>124</v>
      </c>
      <c r="AE127" s="4">
        <f t="shared" si="14"/>
        <v>42510</v>
      </c>
      <c r="AF127" s="6">
        <f t="shared" si="15"/>
        <v>0.24195012925922743</v>
      </c>
      <c r="AG127" s="4">
        <v>42510</v>
      </c>
      <c r="AH127" s="6">
        <v>0.10677300000000001</v>
      </c>
      <c r="AI127" s="6">
        <v>0.32534299999999999</v>
      </c>
      <c r="AJ127" s="6">
        <v>0.68107300000000004</v>
      </c>
      <c r="AK127" s="4">
        <v>42510</v>
      </c>
      <c r="AL127" s="6">
        <f>VLOOKUP(AK127,Sheet3!$A$1:$B$1113,2,FALSE)</f>
        <v>1.458382425650766</v>
      </c>
      <c r="AM127" s="6">
        <f t="shared" si="17"/>
        <v>0.24195012925922743</v>
      </c>
    </row>
    <row r="128" spans="1:39" x14ac:dyDescent="0.3">
      <c r="Q128">
        <f t="shared" si="18"/>
        <v>99</v>
      </c>
      <c r="R128" t="s">
        <v>72</v>
      </c>
      <c r="S128" s="13">
        <f t="shared" si="19"/>
        <v>42398</v>
      </c>
      <c r="T128" s="13">
        <v>42468</v>
      </c>
      <c r="U128" s="13">
        <v>42328</v>
      </c>
      <c r="V128" s="11">
        <v>0.11175144338476539</v>
      </c>
      <c r="W128" s="11">
        <v>1.7903624320595104E-5</v>
      </c>
      <c r="X128" s="11">
        <v>0.70190769157813038</v>
      </c>
      <c r="Y128" s="11">
        <v>0.18632296141278373</v>
      </c>
      <c r="Z128" s="11">
        <v>0.99298343864994476</v>
      </c>
      <c r="AC128">
        <f t="shared" si="16"/>
        <v>0</v>
      </c>
      <c r="AD128">
        <v>125</v>
      </c>
      <c r="AE128" s="4">
        <f t="shared" si="14"/>
        <v>42517</v>
      </c>
      <c r="AF128" s="6">
        <f t="shared" si="15"/>
        <v>0.35838778024979145</v>
      </c>
      <c r="AG128" s="4">
        <v>42517</v>
      </c>
      <c r="AH128" s="6">
        <v>-0.51065300000000002</v>
      </c>
      <c r="AI128" s="6">
        <v>0.116658</v>
      </c>
      <c r="AJ128" s="6">
        <v>0.67092799999999997</v>
      </c>
      <c r="AK128" s="4">
        <v>42517</v>
      </c>
      <c r="AL128" s="6">
        <f>VLOOKUP(AK128,Sheet3!$A$1:$B$1113,2,FALSE)</f>
        <v>1.463609090053609</v>
      </c>
      <c r="AM128" s="6">
        <f t="shared" si="17"/>
        <v>0.35838778024979145</v>
      </c>
    </row>
    <row r="129" spans="17:39" x14ac:dyDescent="0.3">
      <c r="Q129">
        <f t="shared" si="18"/>
        <v>100</v>
      </c>
      <c r="R129" t="s">
        <v>72</v>
      </c>
      <c r="S129" s="13">
        <f t="shared" si="19"/>
        <v>42405</v>
      </c>
      <c r="T129" s="13">
        <v>42475</v>
      </c>
      <c r="U129" s="13">
        <v>42335</v>
      </c>
      <c r="V129" s="11">
        <v>0.10226131304108514</v>
      </c>
      <c r="W129" s="11">
        <v>2.2903309882118942E-5</v>
      </c>
      <c r="X129" s="11">
        <v>0.70891017700992254</v>
      </c>
      <c r="Y129" s="11">
        <v>0.18880560663911025</v>
      </c>
      <c r="Z129" s="11">
        <v>0.99323896023608471</v>
      </c>
      <c r="AC129">
        <f t="shared" si="16"/>
        <v>0</v>
      </c>
      <c r="AD129">
        <v>126</v>
      </c>
      <c r="AE129" s="4">
        <f t="shared" si="14"/>
        <v>42524</v>
      </c>
      <c r="AF129" s="6">
        <f t="shared" si="15"/>
        <v>4.7705169418886806</v>
      </c>
      <c r="AG129" s="4">
        <v>42524</v>
      </c>
      <c r="AH129" s="6">
        <v>4.1412649999999998</v>
      </c>
      <c r="AI129" s="6">
        <v>5.1051260000000003</v>
      </c>
      <c r="AJ129" s="6">
        <v>6.0521640000000003</v>
      </c>
      <c r="AK129" s="4">
        <v>42524</v>
      </c>
      <c r="AL129" s="6">
        <f>VLOOKUP(AK129,Sheet3!$A$1:$B$1113,2,FALSE)</f>
        <v>1.533430809657639</v>
      </c>
      <c r="AM129" s="6">
        <f t="shared" si="17"/>
        <v>4.7705169418886806</v>
      </c>
    </row>
    <row r="130" spans="17:39" x14ac:dyDescent="0.3">
      <c r="Q130">
        <f t="shared" si="18"/>
        <v>101</v>
      </c>
      <c r="R130" t="s">
        <v>72</v>
      </c>
      <c r="S130" s="13">
        <f t="shared" si="19"/>
        <v>42412</v>
      </c>
      <c r="T130" s="13">
        <v>42482</v>
      </c>
      <c r="U130" s="13">
        <v>42342</v>
      </c>
      <c r="V130" s="11">
        <v>0.111099484988289</v>
      </c>
      <c r="W130" s="11">
        <v>2.2207649722732707E-5</v>
      </c>
      <c r="X130" s="11">
        <v>0.70306368263495145</v>
      </c>
      <c r="Y130" s="11">
        <v>0.18581462472703686</v>
      </c>
      <c r="Z130" s="11">
        <v>0.99322841899322023</v>
      </c>
      <c r="AC130">
        <f t="shared" si="16"/>
        <v>0</v>
      </c>
      <c r="AD130">
        <v>127</v>
      </c>
      <c r="AE130" s="4">
        <f t="shared" si="14"/>
        <v>42529</v>
      </c>
      <c r="AF130" s="6">
        <f t="shared" si="15"/>
        <v>0.23460285732632702</v>
      </c>
      <c r="AG130" s="4">
        <v>42529</v>
      </c>
      <c r="AH130" s="6">
        <v>-0.79449700000000001</v>
      </c>
      <c r="AI130" s="6">
        <v>-0.14463699999999999</v>
      </c>
      <c r="AJ130" s="6">
        <v>0.47818699999999997</v>
      </c>
      <c r="AK130" s="4">
        <v>42529</v>
      </c>
      <c r="AL130" s="6">
        <f>VLOOKUP(AK130,Sheet3!$A$1:$B$1113,2,FALSE)</f>
        <v>1.5370282821522181</v>
      </c>
      <c r="AM130" s="6">
        <f t="shared" si="17"/>
        <v>0.23460285732632702</v>
      </c>
    </row>
    <row r="131" spans="17:39" x14ac:dyDescent="0.3">
      <c r="Q131">
        <f t="shared" si="18"/>
        <v>102</v>
      </c>
      <c r="R131" t="s">
        <v>72</v>
      </c>
      <c r="S131" s="13">
        <f t="shared" si="19"/>
        <v>42419</v>
      </c>
      <c r="T131" s="13">
        <v>42489</v>
      </c>
      <c r="U131" s="13">
        <v>42349</v>
      </c>
      <c r="V131" s="11">
        <v>0.12086710790321961</v>
      </c>
      <c r="W131" s="11">
        <v>1.9990213357108707E-5</v>
      </c>
      <c r="X131" s="11">
        <v>0.69857780100677658</v>
      </c>
      <c r="Y131" s="11">
        <v>0.18053510087664679</v>
      </c>
      <c r="Z131" s="11">
        <v>0.9930626178447175</v>
      </c>
      <c r="AC131">
        <f t="shared" si="16"/>
        <v>0</v>
      </c>
      <c r="AD131">
        <v>128</v>
      </c>
      <c r="AE131" s="4">
        <f t="shared" si="14"/>
        <v>42538</v>
      </c>
      <c r="AF131" s="6">
        <f t="shared" si="15"/>
        <v>3.5403384661680803E-3</v>
      </c>
      <c r="AG131" s="4">
        <v>42538</v>
      </c>
      <c r="AH131" s="6">
        <v>-1.6949879999999999</v>
      </c>
      <c r="AI131" s="6">
        <v>-0.98948199999999997</v>
      </c>
      <c r="AJ131" s="6">
        <v>-0.20616999999999999</v>
      </c>
      <c r="AK131" s="4">
        <v>42538</v>
      </c>
      <c r="AL131" s="6">
        <f>VLOOKUP(AK131,Sheet3!$A$1:$B$1113,2,FALSE)</f>
        <v>1.5370826981557271</v>
      </c>
      <c r="AM131" s="6">
        <f t="shared" si="17"/>
        <v>3.5403384661680803E-3</v>
      </c>
    </row>
    <row r="132" spans="17:39" x14ac:dyDescent="0.3">
      <c r="Q132">
        <f t="shared" si="18"/>
        <v>103</v>
      </c>
      <c r="R132" t="s">
        <v>72</v>
      </c>
      <c r="S132" s="13">
        <f t="shared" si="19"/>
        <v>42426</v>
      </c>
      <c r="T132" s="13">
        <v>42496</v>
      </c>
      <c r="U132" s="13">
        <v>42356</v>
      </c>
      <c r="V132" s="11">
        <v>0.12380152381017903</v>
      </c>
      <c r="W132" s="11">
        <v>1.9608434319202367E-5</v>
      </c>
      <c r="X132" s="11">
        <v>0.69732913131149621</v>
      </c>
      <c r="Y132" s="11">
        <v>0.17884973644400565</v>
      </c>
      <c r="Z132" s="11">
        <v>0.99314749719846862</v>
      </c>
      <c r="AC132">
        <f t="shared" si="16"/>
        <v>0</v>
      </c>
      <c r="AD132">
        <v>129</v>
      </c>
      <c r="AE132" s="4">
        <f t="shared" si="14"/>
        <v>42545</v>
      </c>
      <c r="AF132" s="6">
        <f t="shared" si="15"/>
        <v>-6.5460106059633816E-2</v>
      </c>
      <c r="AG132" s="4">
        <v>42545</v>
      </c>
      <c r="AH132" s="6">
        <v>-1.0674589999999999</v>
      </c>
      <c r="AI132" s="6">
        <v>-1.0169250000000001</v>
      </c>
      <c r="AJ132" s="6">
        <v>0.170125</v>
      </c>
      <c r="AK132" s="4">
        <v>42545</v>
      </c>
      <c r="AL132" s="6">
        <f>VLOOKUP(AK132,Sheet3!$A$1:$B$1113,2,FALSE)</f>
        <v>1.53607652219129</v>
      </c>
      <c r="AM132" s="6">
        <f t="shared" si="17"/>
        <v>-6.5460106059633816E-2</v>
      </c>
    </row>
    <row r="133" spans="17:39" x14ac:dyDescent="0.3">
      <c r="Q133">
        <f t="shared" si="18"/>
        <v>104</v>
      </c>
      <c r="R133" t="s">
        <v>72</v>
      </c>
      <c r="S133" s="13">
        <f t="shared" si="19"/>
        <v>42433</v>
      </c>
      <c r="T133" s="13">
        <v>42503</v>
      </c>
      <c r="U133" s="13">
        <v>42363</v>
      </c>
      <c r="V133" s="11">
        <v>0.14185315158543976</v>
      </c>
      <c r="W133" s="11">
        <v>2.1701165329950821E-5</v>
      </c>
      <c r="X133" s="11">
        <v>0.68004992687495669</v>
      </c>
      <c r="Y133" s="11">
        <v>0.17807522037427373</v>
      </c>
      <c r="Z133" s="11">
        <v>0.99006404114357405</v>
      </c>
      <c r="AC133">
        <f t="shared" si="16"/>
        <v>0</v>
      </c>
      <c r="AD133">
        <v>130</v>
      </c>
      <c r="AE133" s="4">
        <f t="shared" ref="AE133:AE196" si="20">AG133</f>
        <v>42552</v>
      </c>
      <c r="AF133" s="6">
        <f t="shared" ref="AF133:AF196" si="21">AM133</f>
        <v>2.5380976709207692</v>
      </c>
      <c r="AG133" s="4">
        <v>42552</v>
      </c>
      <c r="AH133" s="6">
        <v>2.5037699999999998</v>
      </c>
      <c r="AI133" s="6">
        <v>3.5218780000000001</v>
      </c>
      <c r="AJ133" s="6">
        <v>3.342041</v>
      </c>
      <c r="AK133" s="4">
        <v>42552</v>
      </c>
      <c r="AL133" s="6">
        <f>VLOOKUP(AK133,Sheet3!$A$1:$B$1113,2,FALSE)</f>
        <v>1.575063644624588</v>
      </c>
      <c r="AM133" s="6">
        <f t="shared" si="17"/>
        <v>2.5380976709207692</v>
      </c>
    </row>
    <row r="134" spans="17:39" x14ac:dyDescent="0.3">
      <c r="Q134">
        <f t="shared" si="18"/>
        <v>105</v>
      </c>
      <c r="R134" t="s">
        <v>72</v>
      </c>
      <c r="S134" s="13">
        <f t="shared" si="19"/>
        <v>42439.5</v>
      </c>
      <c r="T134" s="13">
        <v>42510</v>
      </c>
      <c r="U134" s="13">
        <v>42369</v>
      </c>
      <c r="V134" s="11">
        <v>0.14722353206572017</v>
      </c>
      <c r="W134" s="11">
        <v>1.9998433246811945E-5</v>
      </c>
      <c r="X134" s="11">
        <v>0.67732347177994301</v>
      </c>
      <c r="Y134" s="11">
        <v>0.17543299772109</v>
      </c>
      <c r="Z134" s="11">
        <v>0.99003138756590159</v>
      </c>
      <c r="AC134">
        <f t="shared" ref="AC134:AC197" si="22">IF(AE134&lt;=AE133,1,0)</f>
        <v>0</v>
      </c>
      <c r="AD134">
        <v>131</v>
      </c>
      <c r="AE134" s="4">
        <f t="shared" si="20"/>
        <v>42559</v>
      </c>
      <c r="AF134" s="6">
        <f t="shared" si="21"/>
        <v>2.3573283227771302</v>
      </c>
      <c r="AG134" s="4">
        <v>42559</v>
      </c>
      <c r="AH134" s="6">
        <v>1.207282</v>
      </c>
      <c r="AI134" s="6">
        <v>3.081299</v>
      </c>
      <c r="AJ134" s="6">
        <v>2.6260330000000001</v>
      </c>
      <c r="AK134" s="4">
        <v>42559</v>
      </c>
      <c r="AL134" s="6">
        <f>VLOOKUP(AK134,Sheet3!$A$1:$B$1113,2,FALSE)</f>
        <v>1.612193066021089</v>
      </c>
      <c r="AM134" s="6">
        <f t="shared" ref="AM134:AM197" si="23">(AL134/AL133-1)*100</f>
        <v>2.3573283227771302</v>
      </c>
    </row>
    <row r="135" spans="17:39" x14ac:dyDescent="0.3">
      <c r="Q135">
        <f t="shared" si="18"/>
        <v>106</v>
      </c>
      <c r="R135" t="s">
        <v>72</v>
      </c>
      <c r="S135" s="13">
        <f t="shared" si="19"/>
        <v>42447</v>
      </c>
      <c r="T135" s="13">
        <v>42517</v>
      </c>
      <c r="U135" s="13">
        <v>42377</v>
      </c>
      <c r="V135" s="11">
        <v>0.14196053903940811</v>
      </c>
      <c r="W135" s="11">
        <v>2.1401562657587914E-5</v>
      </c>
      <c r="X135" s="11">
        <v>0.67980612930553808</v>
      </c>
      <c r="Y135" s="11">
        <v>0.17821193009239616</v>
      </c>
      <c r="Z135" s="11">
        <v>0.99013025347142491</v>
      </c>
      <c r="AC135">
        <f t="shared" si="22"/>
        <v>0</v>
      </c>
      <c r="AD135">
        <v>132</v>
      </c>
      <c r="AE135" s="4">
        <f t="shared" si="20"/>
        <v>42566</v>
      </c>
      <c r="AF135" s="6">
        <f t="shared" si="21"/>
        <v>0.89862216375811155</v>
      </c>
      <c r="AG135" s="4">
        <v>42566</v>
      </c>
      <c r="AH135" s="6">
        <v>2.6312570000000002</v>
      </c>
      <c r="AI135" s="6">
        <v>2.2407279999999998</v>
      </c>
      <c r="AJ135" s="6">
        <v>0.48803999999999997</v>
      </c>
      <c r="AK135" s="4">
        <v>42566</v>
      </c>
      <c r="AL135" s="6">
        <f>VLOOKUP(AK135,Sheet3!$A$1:$B$1113,2,FALSE)</f>
        <v>1.6266805902349259</v>
      </c>
      <c r="AM135" s="6">
        <f t="shared" si="23"/>
        <v>0.89862216375811155</v>
      </c>
    </row>
    <row r="136" spans="17:39" x14ac:dyDescent="0.3">
      <c r="Q136">
        <f t="shared" si="18"/>
        <v>107</v>
      </c>
      <c r="R136" t="s">
        <v>72</v>
      </c>
      <c r="S136" s="13">
        <f t="shared" si="19"/>
        <v>42454</v>
      </c>
      <c r="T136" s="13">
        <v>42524</v>
      </c>
      <c r="U136" s="13">
        <v>42384</v>
      </c>
      <c r="V136" s="11">
        <v>0.11135095541765429</v>
      </c>
      <c r="W136" s="11">
        <v>5.147462542925163E-2</v>
      </c>
      <c r="X136" s="11">
        <v>0.64027826229245643</v>
      </c>
      <c r="Y136" s="11">
        <v>0.19689615686063761</v>
      </c>
      <c r="Z136" s="11">
        <v>0.98696664558065961</v>
      </c>
      <c r="AC136">
        <f t="shared" si="22"/>
        <v>0</v>
      </c>
      <c r="AD136">
        <v>133</v>
      </c>
      <c r="AE136" s="4">
        <f t="shared" si="20"/>
        <v>42573</v>
      </c>
      <c r="AF136" s="6">
        <f t="shared" si="21"/>
        <v>-1.1687751424384496</v>
      </c>
      <c r="AG136" s="4">
        <v>42573</v>
      </c>
      <c r="AH136" s="6">
        <v>-1.5601670000000001</v>
      </c>
      <c r="AI136" s="6">
        <v>-0.77768000000000004</v>
      </c>
      <c r="AJ136" s="6">
        <v>-0.56685300000000005</v>
      </c>
      <c r="AK136" s="4">
        <v>42573</v>
      </c>
      <c r="AL136" s="6">
        <f>VLOOKUP(AK136,Sheet3!$A$1:$B$1113,2,FALSE)</f>
        <v>1.6076683518493891</v>
      </c>
      <c r="AM136" s="6">
        <f t="shared" si="23"/>
        <v>-1.1687751424384496</v>
      </c>
    </row>
    <row r="137" spans="17:39" x14ac:dyDescent="0.3">
      <c r="Q137">
        <f t="shared" si="18"/>
        <v>108</v>
      </c>
      <c r="R137" t="s">
        <v>72</v>
      </c>
      <c r="S137" s="13">
        <f t="shared" si="19"/>
        <v>42460</v>
      </c>
      <c r="T137" s="13">
        <v>42529</v>
      </c>
      <c r="U137" s="13">
        <v>42391</v>
      </c>
      <c r="V137" s="11">
        <v>0.12659019610576561</v>
      </c>
      <c r="W137" s="11">
        <v>8.4695995269012156E-2</v>
      </c>
      <c r="X137" s="11">
        <v>0.62556666372665304</v>
      </c>
      <c r="Y137" s="11">
        <v>0.16314714489856924</v>
      </c>
      <c r="Z137" s="11">
        <v>0.98679741786571107</v>
      </c>
      <c r="AC137">
        <f t="shared" si="22"/>
        <v>0</v>
      </c>
      <c r="AD137">
        <v>134</v>
      </c>
      <c r="AE137" s="4">
        <f t="shared" si="20"/>
        <v>42580</v>
      </c>
      <c r="AF137" s="6">
        <f t="shared" si="21"/>
        <v>-2.3699791506592072</v>
      </c>
      <c r="AG137" s="4">
        <v>42580</v>
      </c>
      <c r="AH137" s="6">
        <v>-0.65831399999999995</v>
      </c>
      <c r="AI137" s="6">
        <v>-2.9421889999999999</v>
      </c>
      <c r="AJ137" s="6">
        <v>-4.8239739999999998</v>
      </c>
      <c r="AK137" s="4">
        <v>42580</v>
      </c>
      <c r="AL137" s="6">
        <f>VLOOKUP(AK137,Sheet3!$A$1:$B$1113,2,FALSE)</f>
        <v>1.5695669470988121</v>
      </c>
      <c r="AM137" s="6">
        <f t="shared" si="23"/>
        <v>-2.3699791506592072</v>
      </c>
    </row>
    <row r="138" spans="17:39" x14ac:dyDescent="0.3">
      <c r="Q138">
        <f t="shared" si="18"/>
        <v>109</v>
      </c>
      <c r="R138" t="s">
        <v>72</v>
      </c>
      <c r="S138" s="13">
        <f t="shared" si="19"/>
        <v>42468</v>
      </c>
      <c r="T138" s="13">
        <v>42538</v>
      </c>
      <c r="U138" s="13">
        <v>42398</v>
      </c>
      <c r="V138" s="11">
        <v>0.12906113083597959</v>
      </c>
      <c r="W138" s="11">
        <v>3.4673627661294233E-2</v>
      </c>
      <c r="X138" s="11">
        <v>0.66698254538111079</v>
      </c>
      <c r="Y138" s="11">
        <v>0.16928269612161539</v>
      </c>
      <c r="Z138" s="11">
        <v>0.9862892236169073</v>
      </c>
      <c r="AC138">
        <f t="shared" si="22"/>
        <v>0</v>
      </c>
      <c r="AD138">
        <v>135</v>
      </c>
      <c r="AE138" s="4">
        <f t="shared" si="20"/>
        <v>42587</v>
      </c>
      <c r="AF138" s="6">
        <f t="shared" si="21"/>
        <v>-0.20491607877262119</v>
      </c>
      <c r="AG138" s="4">
        <v>42587</v>
      </c>
      <c r="AH138" s="6">
        <v>3.6819999999999999E-2</v>
      </c>
      <c r="AI138" s="6">
        <v>6.3660000000000001E-3</v>
      </c>
      <c r="AJ138" s="6">
        <v>5.0271000000000003E-2</v>
      </c>
      <c r="AK138" s="4">
        <v>42587</v>
      </c>
      <c r="AL138" s="6">
        <f>VLOOKUP(AK138,Sheet3!$A$1:$B$1113,2,FALSE)</f>
        <v>1.566350652057106</v>
      </c>
      <c r="AM138" s="6">
        <f t="shared" si="23"/>
        <v>-0.20491607877262119</v>
      </c>
    </row>
    <row r="139" spans="17:39" x14ac:dyDescent="0.3">
      <c r="Q139">
        <f t="shared" si="18"/>
        <v>110</v>
      </c>
      <c r="R139" t="s">
        <v>72</v>
      </c>
      <c r="S139" s="13">
        <f t="shared" si="19"/>
        <v>42475</v>
      </c>
      <c r="T139" s="13">
        <v>42545</v>
      </c>
      <c r="U139" s="13">
        <v>42405</v>
      </c>
      <c r="V139" s="11">
        <v>0.13084610588743967</v>
      </c>
      <c r="W139" s="11">
        <v>2.8564063926926141E-2</v>
      </c>
      <c r="X139" s="11">
        <v>0.67070593686671476</v>
      </c>
      <c r="Y139" s="11">
        <v>0.16988389331891945</v>
      </c>
      <c r="Z139" s="11">
        <v>0.98285530286553335</v>
      </c>
      <c r="AC139">
        <f t="shared" si="22"/>
        <v>0</v>
      </c>
      <c r="AD139">
        <v>136</v>
      </c>
      <c r="AE139" s="4">
        <f t="shared" si="20"/>
        <v>42594</v>
      </c>
      <c r="AF139" s="6">
        <f t="shared" si="21"/>
        <v>0.84433302177020497</v>
      </c>
      <c r="AG139" s="4">
        <v>42594</v>
      </c>
      <c r="AH139" s="6">
        <v>2.780672</v>
      </c>
      <c r="AI139" s="6">
        <v>1.5444119999999999</v>
      </c>
      <c r="AJ139" s="6">
        <v>1.2896510000000001</v>
      </c>
      <c r="AK139" s="4">
        <v>42594</v>
      </c>
      <c r="AL139" s="6">
        <f>VLOOKUP(AK139,Sheet3!$A$1:$B$1113,2,FALSE)</f>
        <v>1.5795758678491369</v>
      </c>
      <c r="AM139" s="6">
        <f t="shared" si="23"/>
        <v>0.84433302177020497</v>
      </c>
    </row>
    <row r="140" spans="17:39" x14ac:dyDescent="0.3">
      <c r="Q140">
        <f t="shared" si="18"/>
        <v>111</v>
      </c>
      <c r="R140" t="s">
        <v>72</v>
      </c>
      <c r="S140" s="13">
        <f t="shared" si="19"/>
        <v>42485.5</v>
      </c>
      <c r="T140" s="13">
        <v>42552</v>
      </c>
      <c r="U140" s="13">
        <v>42419</v>
      </c>
      <c r="V140" s="11">
        <v>0.15564574242043377</v>
      </c>
      <c r="W140" s="11">
        <v>1.6767294351099586E-5</v>
      </c>
      <c r="X140" s="11">
        <v>0.67252395418191657</v>
      </c>
      <c r="Y140" s="11">
        <v>0.1718135361032985</v>
      </c>
      <c r="Z140" s="11">
        <v>0.98507826964653933</v>
      </c>
      <c r="AC140">
        <f t="shared" si="22"/>
        <v>0</v>
      </c>
      <c r="AD140">
        <v>137</v>
      </c>
      <c r="AE140" s="4">
        <f t="shared" si="20"/>
        <v>42601</v>
      </c>
      <c r="AF140" s="6">
        <f t="shared" si="21"/>
        <v>2.1128335709148516</v>
      </c>
      <c r="AG140" s="4">
        <v>42601</v>
      </c>
      <c r="AH140" s="6">
        <v>2.1487850000000002</v>
      </c>
      <c r="AI140" s="6">
        <v>3.1824159999999999</v>
      </c>
      <c r="AJ140" s="6">
        <v>3.5787300000000002</v>
      </c>
      <c r="AK140" s="4">
        <v>42601</v>
      </c>
      <c r="AL140" s="6">
        <f>VLOOKUP(AK140,Sheet3!$A$1:$B$1113,2,FALSE)</f>
        <v>1.6129496770631231</v>
      </c>
      <c r="AM140" s="6">
        <f t="shared" si="23"/>
        <v>2.1128335709148516</v>
      </c>
    </row>
    <row r="141" spans="17:39" x14ac:dyDescent="0.3">
      <c r="Q141">
        <f t="shared" si="18"/>
        <v>112</v>
      </c>
      <c r="R141" t="s">
        <v>72</v>
      </c>
      <c r="S141" s="13">
        <f t="shared" si="19"/>
        <v>42492.5</v>
      </c>
      <c r="T141" s="13">
        <v>42559</v>
      </c>
      <c r="U141" s="13">
        <v>42426</v>
      </c>
      <c r="V141" s="11">
        <v>0.1474192872302427</v>
      </c>
      <c r="W141" s="11">
        <v>2.3036441404548195E-2</v>
      </c>
      <c r="X141" s="11">
        <v>0.66458229839569138</v>
      </c>
      <c r="Y141" s="11">
        <v>0.16496197296951778</v>
      </c>
      <c r="Z141" s="11">
        <v>0.98316224759636639</v>
      </c>
      <c r="AC141">
        <f t="shared" si="22"/>
        <v>0</v>
      </c>
      <c r="AD141">
        <v>138</v>
      </c>
      <c r="AE141" s="4">
        <f t="shared" si="20"/>
        <v>42608</v>
      </c>
      <c r="AF141" s="6">
        <f t="shared" si="21"/>
        <v>-0.5412704819762082</v>
      </c>
      <c r="AG141" s="4">
        <v>42608</v>
      </c>
      <c r="AH141" s="6">
        <v>-1.7215199999999999</v>
      </c>
      <c r="AI141" s="6">
        <v>-1.3665750000000001</v>
      </c>
      <c r="AJ141" s="6">
        <v>-1.2203740000000001</v>
      </c>
      <c r="AK141" s="4">
        <v>42608</v>
      </c>
      <c r="AL141" s="6">
        <f>VLOOKUP(AK141,Sheet3!$A$1:$B$1113,2,FALSE)</f>
        <v>1.6042192565720499</v>
      </c>
      <c r="AM141" s="6">
        <f t="shared" si="23"/>
        <v>-0.5412704819762082</v>
      </c>
    </row>
    <row r="142" spans="17:39" x14ac:dyDescent="0.3">
      <c r="Q142">
        <f t="shared" si="18"/>
        <v>113</v>
      </c>
      <c r="R142" t="s">
        <v>72</v>
      </c>
      <c r="S142" s="13">
        <f t="shared" si="19"/>
        <v>42499.5</v>
      </c>
      <c r="T142" s="13">
        <v>42566</v>
      </c>
      <c r="U142" s="13">
        <v>42433</v>
      </c>
      <c r="V142" s="11">
        <v>0.12106769044880886</v>
      </c>
      <c r="W142" s="11">
        <v>9.0467677914007602E-2</v>
      </c>
      <c r="X142" s="11">
        <v>0.60649558152787475</v>
      </c>
      <c r="Y142" s="11">
        <v>0.18196905010930881</v>
      </c>
      <c r="Z142" s="11">
        <v>0.98112623637632379</v>
      </c>
      <c r="AC142">
        <f t="shared" si="22"/>
        <v>0</v>
      </c>
      <c r="AD142">
        <v>139</v>
      </c>
      <c r="AE142" s="4">
        <f t="shared" si="20"/>
        <v>42615</v>
      </c>
      <c r="AF142" s="6">
        <f t="shared" si="21"/>
        <v>-0.86244514311990539</v>
      </c>
      <c r="AG142" s="4">
        <v>42615</v>
      </c>
      <c r="AH142" s="6">
        <v>0.212392</v>
      </c>
      <c r="AI142" s="6">
        <v>-0.83890100000000001</v>
      </c>
      <c r="AJ142" s="6">
        <v>-1.0156339999999999</v>
      </c>
      <c r="AK142" s="4">
        <v>42615</v>
      </c>
      <c r="AL142" s="6">
        <f>VLOOKUP(AK142,Sheet3!$A$1:$B$1113,2,FALSE)</f>
        <v>1.5903837455087499</v>
      </c>
      <c r="AM142" s="6">
        <f t="shared" si="23"/>
        <v>-0.86244514311990539</v>
      </c>
    </row>
    <row r="143" spans="17:39" x14ac:dyDescent="0.3">
      <c r="Q143">
        <f t="shared" si="18"/>
        <v>114</v>
      </c>
      <c r="R143" t="s">
        <v>72</v>
      </c>
      <c r="S143" s="13">
        <f t="shared" si="19"/>
        <v>42506.5</v>
      </c>
      <c r="T143" s="13">
        <v>42573</v>
      </c>
      <c r="U143" s="13">
        <v>42440</v>
      </c>
      <c r="V143" s="11">
        <v>0.26068180432031557</v>
      </c>
      <c r="W143" s="11">
        <v>2.03265934048958E-5</v>
      </c>
      <c r="X143" s="11">
        <v>0.60871129525858991</v>
      </c>
      <c r="Y143" s="11">
        <v>0.13058657382768962</v>
      </c>
      <c r="Z143" s="11">
        <v>0.98092057537456034</v>
      </c>
      <c r="AC143">
        <f t="shared" si="22"/>
        <v>0</v>
      </c>
      <c r="AD143">
        <v>140</v>
      </c>
      <c r="AE143" s="4">
        <f t="shared" si="20"/>
        <v>42622</v>
      </c>
      <c r="AF143" s="6">
        <f t="shared" si="21"/>
        <v>1.362766406407534</v>
      </c>
      <c r="AG143" s="4">
        <v>42622</v>
      </c>
      <c r="AH143" s="6">
        <v>0.118578</v>
      </c>
      <c r="AI143" s="6">
        <v>1.794872</v>
      </c>
      <c r="AJ143" s="6">
        <v>1.6890860000000001</v>
      </c>
      <c r="AK143" s="4">
        <v>42622</v>
      </c>
      <c r="AL143" s="6">
        <f>VLOOKUP(AK143,Sheet3!$A$1:$B$1113,2,FALSE)</f>
        <v>1.6120569609255091</v>
      </c>
      <c r="AM143" s="6">
        <f t="shared" si="23"/>
        <v>1.362766406407534</v>
      </c>
    </row>
    <row r="144" spans="17:39" x14ac:dyDescent="0.3">
      <c r="Q144">
        <f t="shared" si="18"/>
        <v>115</v>
      </c>
      <c r="R144" t="s">
        <v>72</v>
      </c>
      <c r="S144" s="13">
        <f t="shared" si="19"/>
        <v>42513.5</v>
      </c>
      <c r="T144" s="13">
        <v>42580</v>
      </c>
      <c r="U144" s="13">
        <v>42447</v>
      </c>
      <c r="V144" s="11">
        <v>0.29895048853530332</v>
      </c>
      <c r="W144" s="11">
        <v>2.1574229432659286E-5</v>
      </c>
      <c r="X144" s="11">
        <v>0.57745163898529861</v>
      </c>
      <c r="Y144" s="11">
        <v>0.12357629824996542</v>
      </c>
      <c r="Z144" s="11">
        <v>0.97853240796032526</v>
      </c>
      <c r="AC144">
        <f t="shared" si="22"/>
        <v>0</v>
      </c>
      <c r="AD144">
        <v>141</v>
      </c>
      <c r="AE144" s="4">
        <f t="shared" si="20"/>
        <v>42627</v>
      </c>
      <c r="AF144" s="6">
        <f t="shared" si="21"/>
        <v>-2.2220670997831649</v>
      </c>
      <c r="AG144" s="4">
        <v>42627</v>
      </c>
      <c r="AH144" s="6">
        <v>-2.390387</v>
      </c>
      <c r="AI144" s="6">
        <v>-2.98089</v>
      </c>
      <c r="AJ144" s="6">
        <v>-2.8646889999999998</v>
      </c>
      <c r="AK144" s="4">
        <v>42627</v>
      </c>
      <c r="AL144" s="6">
        <f>VLOOKUP(AK144,Sheet3!$A$1:$B$1113,2,FALSE)</f>
        <v>1.5762359735670191</v>
      </c>
      <c r="AM144" s="6">
        <f t="shared" si="23"/>
        <v>-2.2220670997831649</v>
      </c>
    </row>
    <row r="145" spans="17:39" x14ac:dyDescent="0.3">
      <c r="Q145">
        <f t="shared" si="18"/>
        <v>116</v>
      </c>
      <c r="R145" t="s">
        <v>72</v>
      </c>
      <c r="S145" s="13">
        <f t="shared" si="19"/>
        <v>42520.5</v>
      </c>
      <c r="T145" s="13">
        <v>42587</v>
      </c>
      <c r="U145" s="13">
        <v>42454</v>
      </c>
      <c r="V145" s="11">
        <v>0.22379132152099249</v>
      </c>
      <c r="W145" s="11">
        <v>0.11830584990368948</v>
      </c>
      <c r="X145" s="11">
        <v>0.47110999031139744</v>
      </c>
      <c r="Y145" s="11">
        <v>0.1867928382639206</v>
      </c>
      <c r="Z145" s="11">
        <v>0.97442786275231408</v>
      </c>
      <c r="AC145">
        <f t="shared" si="22"/>
        <v>0</v>
      </c>
      <c r="AD145">
        <v>142</v>
      </c>
      <c r="AE145" s="4">
        <f t="shared" si="20"/>
        <v>42636</v>
      </c>
      <c r="AF145" s="6">
        <f t="shared" si="21"/>
        <v>1.4309714726604694</v>
      </c>
      <c r="AG145" s="4">
        <v>42636</v>
      </c>
      <c r="AH145" s="6">
        <v>1.140466</v>
      </c>
      <c r="AI145" s="6">
        <v>1.4721740000000001</v>
      </c>
      <c r="AJ145" s="6">
        <v>1.2933330000000001</v>
      </c>
      <c r="AK145" s="4">
        <v>42636</v>
      </c>
      <c r="AL145" s="6">
        <f>VLOOKUP(AK145,Sheet3!$A$1:$B$1113,2,FALSE)</f>
        <v>1.5987914606905751</v>
      </c>
      <c r="AM145" s="6">
        <f t="shared" si="23"/>
        <v>1.4309714726604694</v>
      </c>
    </row>
    <row r="146" spans="17:39" x14ac:dyDescent="0.3">
      <c r="Q146">
        <f t="shared" si="18"/>
        <v>117</v>
      </c>
      <c r="R146" t="s">
        <v>72</v>
      </c>
      <c r="S146" s="13">
        <f t="shared" si="19"/>
        <v>42527.5</v>
      </c>
      <c r="T146" s="13">
        <v>42594</v>
      </c>
      <c r="U146" s="13">
        <v>42461</v>
      </c>
      <c r="V146" s="11">
        <v>0.13273916509999584</v>
      </c>
      <c r="W146" s="11">
        <v>0.20364816653969833</v>
      </c>
      <c r="X146" s="11">
        <v>0.44489741534475413</v>
      </c>
      <c r="Y146" s="11">
        <v>0.21871525301555172</v>
      </c>
      <c r="Z146" s="11">
        <v>0.97232274096994442</v>
      </c>
      <c r="AC146">
        <f t="shared" si="22"/>
        <v>0</v>
      </c>
      <c r="AD146">
        <v>143</v>
      </c>
      <c r="AE146" s="4">
        <f t="shared" si="20"/>
        <v>42643</v>
      </c>
      <c r="AF146" s="6">
        <f t="shared" si="21"/>
        <v>-0.47983729918906759</v>
      </c>
      <c r="AG146" s="4">
        <v>42643</v>
      </c>
      <c r="AH146" s="6">
        <v>-0.68327199999999999</v>
      </c>
      <c r="AI146" s="6">
        <v>-0.66709399999999996</v>
      </c>
      <c r="AJ146" s="6">
        <v>-0.78573599999999999</v>
      </c>
      <c r="AK146" s="4">
        <v>42643</v>
      </c>
      <c r="AL146" s="6">
        <f>VLOOKUP(AK146,Sheet3!$A$1:$B$1113,2,FALSE)</f>
        <v>1.591119862925932</v>
      </c>
      <c r="AM146" s="6">
        <f t="shared" si="23"/>
        <v>-0.47983729918906759</v>
      </c>
    </row>
    <row r="147" spans="17:39" x14ac:dyDescent="0.3">
      <c r="Q147">
        <f t="shared" si="18"/>
        <v>118</v>
      </c>
      <c r="R147" t="s">
        <v>72</v>
      </c>
      <c r="S147" s="13">
        <f t="shared" si="19"/>
        <v>42534.5</v>
      </c>
      <c r="T147" s="13">
        <v>42601</v>
      </c>
      <c r="U147" s="13">
        <v>42468</v>
      </c>
      <c r="V147" s="11">
        <v>0.12534137856534486</v>
      </c>
      <c r="W147" s="11">
        <v>0.19984754026196236</v>
      </c>
      <c r="X147" s="11">
        <v>0.44315458554279835</v>
      </c>
      <c r="Y147" s="11">
        <v>0.2316564956298944</v>
      </c>
      <c r="Z147" s="11">
        <v>0.97206405006099383</v>
      </c>
      <c r="AC147">
        <f t="shared" si="22"/>
        <v>0</v>
      </c>
      <c r="AD147">
        <v>144</v>
      </c>
      <c r="AE147" s="4">
        <f t="shared" si="20"/>
        <v>42657</v>
      </c>
      <c r="AF147" s="6">
        <f t="shared" si="21"/>
        <v>1.8029158414580859</v>
      </c>
      <c r="AG147" s="4">
        <v>42657</v>
      </c>
      <c r="AH147" s="6">
        <v>1.615699</v>
      </c>
      <c r="AI147" s="6">
        <v>2.2345760000000001</v>
      </c>
      <c r="AJ147" s="6">
        <v>2.917395</v>
      </c>
      <c r="AK147" s="4">
        <v>42657</v>
      </c>
      <c r="AL147" s="6">
        <f>VLOOKUP(AK147,Sheet3!$A$1:$B$1113,2,FALSE)</f>
        <v>1.6198064149912099</v>
      </c>
      <c r="AM147" s="6">
        <f t="shared" si="23"/>
        <v>1.8029158414580859</v>
      </c>
    </row>
    <row r="148" spans="17:39" x14ac:dyDescent="0.3">
      <c r="Q148">
        <f t="shared" si="18"/>
        <v>119</v>
      </c>
      <c r="R148" t="s">
        <v>72</v>
      </c>
      <c r="S148" s="13">
        <f t="shared" si="19"/>
        <v>42541.5</v>
      </c>
      <c r="T148" s="13">
        <v>42608</v>
      </c>
      <c r="U148" s="13">
        <v>42475</v>
      </c>
      <c r="V148" s="11">
        <v>7.5355638529244498E-2</v>
      </c>
      <c r="W148" s="11">
        <v>0.24884237624188016</v>
      </c>
      <c r="X148" s="11">
        <v>0.42461446527811514</v>
      </c>
      <c r="Y148" s="11">
        <v>0.25118751995076022</v>
      </c>
      <c r="Z148" s="11">
        <v>0.96990749448201719</v>
      </c>
      <c r="AC148">
        <f t="shared" si="22"/>
        <v>0</v>
      </c>
      <c r="AD148">
        <v>145</v>
      </c>
      <c r="AE148" s="4">
        <f t="shared" si="20"/>
        <v>42664</v>
      </c>
      <c r="AF148" s="6">
        <f t="shared" si="21"/>
        <v>3.2572773112526932E-2</v>
      </c>
      <c r="AG148" s="4">
        <v>42664</v>
      </c>
      <c r="AH148" s="6">
        <v>0.66221699999999994</v>
      </c>
      <c r="AI148" s="6">
        <v>8.9484999999999995E-2</v>
      </c>
      <c r="AJ148" s="6">
        <v>0.32888699999999998</v>
      </c>
      <c r="AK148" s="4">
        <v>42664</v>
      </c>
      <c r="AL148" s="6">
        <f>VLOOKUP(AK148,Sheet3!$A$1:$B$1113,2,FALSE)</f>
        <v>1.620334030859627</v>
      </c>
      <c r="AM148" s="6">
        <f t="shared" si="23"/>
        <v>3.2572773112526932E-2</v>
      </c>
    </row>
    <row r="149" spans="17:39" x14ac:dyDescent="0.3">
      <c r="Q149">
        <f t="shared" si="18"/>
        <v>120</v>
      </c>
      <c r="R149" t="s">
        <v>72</v>
      </c>
      <c r="S149" s="13">
        <f t="shared" si="19"/>
        <v>42548.5</v>
      </c>
      <c r="T149" s="13">
        <v>42615</v>
      </c>
      <c r="U149" s="13">
        <v>42482</v>
      </c>
      <c r="V149" s="11">
        <v>3.310507155796398E-2</v>
      </c>
      <c r="W149" s="11">
        <v>0.30746106330220302</v>
      </c>
      <c r="X149" s="11">
        <v>0.3905932176145393</v>
      </c>
      <c r="Y149" s="11">
        <v>0.26884064752529374</v>
      </c>
      <c r="Z149" s="11">
        <v>0.96748711106412943</v>
      </c>
      <c r="AC149">
        <f t="shared" si="22"/>
        <v>0</v>
      </c>
      <c r="AD149">
        <v>146</v>
      </c>
      <c r="AE149" s="4">
        <f t="shared" si="20"/>
        <v>42671</v>
      </c>
      <c r="AF149" s="6">
        <f t="shared" si="21"/>
        <v>-0.21021268238894386</v>
      </c>
      <c r="AG149" s="4">
        <v>42671</v>
      </c>
      <c r="AH149" s="6">
        <v>0.37221100000000001</v>
      </c>
      <c r="AI149" s="6">
        <v>-0.30030800000000002</v>
      </c>
      <c r="AJ149" s="6">
        <v>-0.31750499999999998</v>
      </c>
      <c r="AK149" s="4">
        <v>42671</v>
      </c>
      <c r="AL149" s="6">
        <f>VLOOKUP(AK149,Sheet3!$A$1:$B$1113,2,FALSE)</f>
        <v>1.6169278832296961</v>
      </c>
      <c r="AM149" s="6">
        <f t="shared" si="23"/>
        <v>-0.21021268238894386</v>
      </c>
    </row>
    <row r="150" spans="17:39" x14ac:dyDescent="0.3">
      <c r="Q150">
        <f t="shared" si="18"/>
        <v>121</v>
      </c>
      <c r="R150" t="s">
        <v>72</v>
      </c>
      <c r="S150" s="13">
        <f t="shared" si="19"/>
        <v>42555.5</v>
      </c>
      <c r="T150" s="13">
        <v>42622</v>
      </c>
      <c r="U150" s="13">
        <v>42489</v>
      </c>
      <c r="V150" s="11">
        <v>2.8217339321927378E-2</v>
      </c>
      <c r="W150" s="11">
        <v>0.31108292449451991</v>
      </c>
      <c r="X150" s="11">
        <v>0.38496620277790772</v>
      </c>
      <c r="Y150" s="11">
        <v>0.27573353340564494</v>
      </c>
      <c r="Z150" s="11">
        <v>0.95551925559808171</v>
      </c>
      <c r="AC150">
        <f t="shared" si="22"/>
        <v>0</v>
      </c>
      <c r="AD150">
        <v>147</v>
      </c>
      <c r="AE150" s="4">
        <f t="shared" si="20"/>
        <v>42678</v>
      </c>
      <c r="AF150" s="6">
        <f t="shared" si="21"/>
        <v>0.23259658256427063</v>
      </c>
      <c r="AG150" s="4">
        <v>42678</v>
      </c>
      <c r="AH150" s="6">
        <v>0.42060399999999998</v>
      </c>
      <c r="AI150" s="6">
        <v>0.10467899999999999</v>
      </c>
      <c r="AJ150" s="6">
        <v>0.73261100000000001</v>
      </c>
      <c r="AK150" s="4">
        <v>42678</v>
      </c>
      <c r="AL150" s="6">
        <f>VLOOKUP(AK150,Sheet3!$A$1:$B$1113,2,FALSE)</f>
        <v>1.620688802228617</v>
      </c>
      <c r="AM150" s="6">
        <f t="shared" si="23"/>
        <v>0.23259658256427063</v>
      </c>
    </row>
    <row r="151" spans="17:39" x14ac:dyDescent="0.3">
      <c r="Q151">
        <f t="shared" si="18"/>
        <v>122</v>
      </c>
      <c r="R151" t="s">
        <v>72</v>
      </c>
      <c r="S151" s="13">
        <f t="shared" si="19"/>
        <v>42561.5</v>
      </c>
      <c r="T151" s="13">
        <v>42627</v>
      </c>
      <c r="U151" s="13">
        <v>42496</v>
      </c>
      <c r="V151" s="11">
        <v>2.4556890880131934E-2</v>
      </c>
      <c r="W151" s="11">
        <v>0.35509523776586249</v>
      </c>
      <c r="X151" s="11">
        <v>0.35187316363062465</v>
      </c>
      <c r="Y151" s="11">
        <v>0.26847470772338095</v>
      </c>
      <c r="Z151" s="11">
        <v>0.9655297317437902</v>
      </c>
      <c r="AC151">
        <f t="shared" si="22"/>
        <v>0</v>
      </c>
      <c r="AD151">
        <v>148</v>
      </c>
      <c r="AE151" s="4">
        <f t="shared" si="20"/>
        <v>42685</v>
      </c>
      <c r="AF151" s="6">
        <f t="shared" si="21"/>
        <v>1.1190871664048085</v>
      </c>
      <c r="AG151" s="4">
        <v>42685</v>
      </c>
      <c r="AH151" s="6">
        <v>1.879634</v>
      </c>
      <c r="AI151" s="6">
        <v>1.876857</v>
      </c>
      <c r="AJ151" s="6">
        <v>1.576662</v>
      </c>
      <c r="AK151" s="4">
        <v>42685</v>
      </c>
      <c r="AL151" s="6">
        <f>VLOOKUP(AK151,Sheet3!$A$1:$B$1113,2,FALSE)</f>
        <v>1.6388257226217171</v>
      </c>
      <c r="AM151" s="6">
        <f t="shared" si="23"/>
        <v>1.1190871664048085</v>
      </c>
    </row>
    <row r="152" spans="17:39" x14ac:dyDescent="0.3">
      <c r="Q152">
        <f t="shared" si="18"/>
        <v>123</v>
      </c>
      <c r="R152" t="s">
        <v>72</v>
      </c>
      <c r="S152" s="13">
        <f t="shared" si="19"/>
        <v>42569.5</v>
      </c>
      <c r="T152" s="13">
        <v>42636</v>
      </c>
      <c r="U152" s="13">
        <v>42503</v>
      </c>
      <c r="V152" s="11">
        <v>2.4296074487695257E-2</v>
      </c>
      <c r="W152" s="11">
        <v>0.37274279753070338</v>
      </c>
      <c r="X152" s="11">
        <v>0.34103356416848785</v>
      </c>
      <c r="Y152" s="11">
        <v>0.26192756381311355</v>
      </c>
      <c r="Z152" s="11">
        <v>0.9634188091585919</v>
      </c>
      <c r="AC152">
        <f t="shared" si="22"/>
        <v>0</v>
      </c>
      <c r="AD152">
        <v>149</v>
      </c>
      <c r="AE152" s="4">
        <f t="shared" si="20"/>
        <v>42692</v>
      </c>
      <c r="AF152" s="6">
        <f t="shared" si="21"/>
        <v>-0.12848761254707908</v>
      </c>
      <c r="AG152" s="4">
        <v>42692</v>
      </c>
      <c r="AH152" s="6">
        <v>6.8560000000000001E-3</v>
      </c>
      <c r="AI152" s="6">
        <v>0.28007900000000002</v>
      </c>
      <c r="AJ152" s="6">
        <v>0.270839</v>
      </c>
      <c r="AK152" s="4">
        <v>42692</v>
      </c>
      <c r="AL152" s="6">
        <f>VLOOKUP(AK152,Sheet3!$A$1:$B$1113,2,FALSE)</f>
        <v>1.6367200345769131</v>
      </c>
      <c r="AM152" s="6">
        <f t="shared" si="23"/>
        <v>-0.12848761254707908</v>
      </c>
    </row>
    <row r="153" spans="17:39" x14ac:dyDescent="0.3">
      <c r="Q153">
        <f t="shared" si="18"/>
        <v>124</v>
      </c>
      <c r="R153" t="s">
        <v>72</v>
      </c>
      <c r="S153" s="13">
        <f t="shared" si="19"/>
        <v>42576.5</v>
      </c>
      <c r="T153" s="13">
        <v>42643</v>
      </c>
      <c r="U153" s="13">
        <v>42510</v>
      </c>
      <c r="V153" s="11">
        <v>2.3720897570546763E-3</v>
      </c>
      <c r="W153" s="11">
        <v>0.3615823157776995</v>
      </c>
      <c r="X153" s="11">
        <v>0.38660644940322425</v>
      </c>
      <c r="Y153" s="11">
        <v>0.24943914506202167</v>
      </c>
      <c r="Z153" s="11">
        <v>0.96105481873959508</v>
      </c>
      <c r="AC153">
        <f t="shared" si="22"/>
        <v>0</v>
      </c>
      <c r="AD153">
        <v>150</v>
      </c>
      <c r="AE153" s="4">
        <f t="shared" si="20"/>
        <v>42699</v>
      </c>
      <c r="AF153" s="6">
        <f t="shared" si="21"/>
        <v>0.58743910022678314</v>
      </c>
      <c r="AG153" s="4">
        <v>42699</v>
      </c>
      <c r="AH153" s="6">
        <v>3.0386060000000001</v>
      </c>
      <c r="AI153" s="6">
        <v>0.76474900000000001</v>
      </c>
      <c r="AJ153" s="6">
        <v>-0.124625</v>
      </c>
      <c r="AK153" s="4">
        <v>42699</v>
      </c>
      <c r="AL153" s="6">
        <f>VLOOKUP(AK153,Sheet3!$A$1:$B$1113,2,FALSE)</f>
        <v>1.646334768021263</v>
      </c>
      <c r="AM153" s="6">
        <f t="shared" si="23"/>
        <v>0.58743910022678314</v>
      </c>
    </row>
    <row r="154" spans="17:39" x14ac:dyDescent="0.3">
      <c r="Q154">
        <f t="shared" si="18"/>
        <v>125</v>
      </c>
      <c r="R154" t="s">
        <v>72</v>
      </c>
      <c r="S154" s="13">
        <f t="shared" si="19"/>
        <v>42587</v>
      </c>
      <c r="T154" s="13">
        <v>42657</v>
      </c>
      <c r="U154" s="13">
        <v>42517</v>
      </c>
      <c r="V154" s="11">
        <v>1.5093002146373187E-5</v>
      </c>
      <c r="W154" s="11">
        <v>0.36520562267601442</v>
      </c>
      <c r="X154" s="11">
        <v>0.38223691983340208</v>
      </c>
      <c r="Y154" s="11">
        <v>0.25254236448843725</v>
      </c>
      <c r="Z154" s="11">
        <v>0.9622261603252642</v>
      </c>
      <c r="AC154">
        <f t="shared" si="22"/>
        <v>0</v>
      </c>
      <c r="AD154">
        <v>151</v>
      </c>
      <c r="AE154" s="4">
        <f t="shared" si="20"/>
        <v>42706</v>
      </c>
      <c r="AF154" s="6">
        <f t="shared" si="21"/>
        <v>-1.5316843291706683</v>
      </c>
      <c r="AG154" s="4">
        <v>42706</v>
      </c>
      <c r="AH154" s="6">
        <v>0.21742800000000001</v>
      </c>
      <c r="AI154" s="6">
        <v>-1.981765</v>
      </c>
      <c r="AJ154" s="6">
        <v>-2.566017</v>
      </c>
      <c r="AK154" s="4">
        <v>42706</v>
      </c>
      <c r="AL154" s="6">
        <f>VLOOKUP(AK154,Sheet3!$A$1:$B$1113,2,FALSE)</f>
        <v>1.6211181163737931</v>
      </c>
      <c r="AM154" s="6">
        <f t="shared" si="23"/>
        <v>-1.5316843291706683</v>
      </c>
    </row>
    <row r="155" spans="17:39" x14ac:dyDescent="0.3">
      <c r="Q155">
        <f t="shared" si="18"/>
        <v>126</v>
      </c>
      <c r="R155" t="s">
        <v>72</v>
      </c>
      <c r="S155" s="13">
        <f t="shared" si="19"/>
        <v>42594</v>
      </c>
      <c r="T155" s="13">
        <v>42664</v>
      </c>
      <c r="U155" s="13">
        <v>42524</v>
      </c>
      <c r="V155" s="11">
        <v>1.5677940975419524E-5</v>
      </c>
      <c r="W155" s="11">
        <v>0.37094282038342574</v>
      </c>
      <c r="X155" s="11">
        <v>0.37653530713014155</v>
      </c>
      <c r="Y155" s="11">
        <v>0.25250619454545725</v>
      </c>
      <c r="Z155" s="11">
        <v>0.96216020336260577</v>
      </c>
      <c r="AC155">
        <f t="shared" si="22"/>
        <v>0</v>
      </c>
      <c r="AD155">
        <v>152</v>
      </c>
      <c r="AE155" s="4">
        <f t="shared" si="20"/>
        <v>42713</v>
      </c>
      <c r="AF155" s="6">
        <f t="shared" si="21"/>
        <v>-0.20300625938894923</v>
      </c>
      <c r="AG155" s="4">
        <v>42713</v>
      </c>
      <c r="AH155" s="6">
        <v>-0.99900100000000003</v>
      </c>
      <c r="AI155" s="6">
        <v>-0.108251</v>
      </c>
      <c r="AJ155" s="6">
        <v>-0.214277</v>
      </c>
      <c r="AK155" s="4">
        <v>42713</v>
      </c>
      <c r="AL155" s="6">
        <f>VLOOKUP(AK155,Sheet3!$A$1:$B$1113,2,FALSE)</f>
        <v>1.617827145125466</v>
      </c>
      <c r="AM155" s="6">
        <f t="shared" si="23"/>
        <v>-0.20300625938894923</v>
      </c>
    </row>
    <row r="156" spans="17:39" x14ac:dyDescent="0.3">
      <c r="Q156">
        <f t="shared" si="18"/>
        <v>127</v>
      </c>
      <c r="R156" t="s">
        <v>72</v>
      </c>
      <c r="S156" s="13">
        <f t="shared" si="19"/>
        <v>42600</v>
      </c>
      <c r="T156" s="13">
        <v>42671</v>
      </c>
      <c r="U156" s="13">
        <v>42529</v>
      </c>
      <c r="V156" s="11">
        <v>1.4135861506662227E-5</v>
      </c>
      <c r="W156" s="11">
        <v>0.38819410311070274</v>
      </c>
      <c r="X156" s="11">
        <v>0.31661874679337165</v>
      </c>
      <c r="Y156" s="11">
        <v>0.29517301423441911</v>
      </c>
      <c r="Z156" s="11">
        <v>0.95708714873997247</v>
      </c>
      <c r="AC156">
        <f t="shared" si="22"/>
        <v>0</v>
      </c>
      <c r="AD156">
        <v>153</v>
      </c>
      <c r="AE156" s="4">
        <f t="shared" si="20"/>
        <v>42720</v>
      </c>
      <c r="AF156" s="6">
        <f t="shared" si="21"/>
        <v>-3.1238047614237319</v>
      </c>
      <c r="AG156" s="4">
        <v>42720</v>
      </c>
      <c r="AH156" s="6">
        <v>-4.2267479999999997</v>
      </c>
      <c r="AI156" s="6">
        <v>-2.999603</v>
      </c>
      <c r="AJ156" s="6">
        <v>-3.6182859999999999</v>
      </c>
      <c r="AK156" s="4">
        <v>42720</v>
      </c>
      <c r="AL156" s="6">
        <f>VLOOKUP(AK156,Sheet3!$A$1:$B$1113,2,FALSE)</f>
        <v>1.5672893837344311</v>
      </c>
      <c r="AM156" s="6">
        <f t="shared" si="23"/>
        <v>-3.1238047614237319</v>
      </c>
    </row>
    <row r="157" spans="17:39" x14ac:dyDescent="0.3">
      <c r="Q157">
        <f t="shared" si="18"/>
        <v>128</v>
      </c>
      <c r="R157" t="s">
        <v>72</v>
      </c>
      <c r="S157" s="13">
        <f t="shared" si="19"/>
        <v>42608</v>
      </c>
      <c r="T157" s="13">
        <v>42678</v>
      </c>
      <c r="U157" s="13">
        <v>42538</v>
      </c>
      <c r="V157" s="11">
        <v>1.4527815133046421E-5</v>
      </c>
      <c r="W157" s="11">
        <v>0.39926339518973014</v>
      </c>
      <c r="X157" s="11">
        <v>0.30563862700431099</v>
      </c>
      <c r="Y157" s="11">
        <v>0.29508344999082586</v>
      </c>
      <c r="Z157" s="11">
        <v>0.95760271326850155</v>
      </c>
      <c r="AC157">
        <f t="shared" si="22"/>
        <v>0</v>
      </c>
      <c r="AD157">
        <v>154</v>
      </c>
      <c r="AE157" s="4">
        <f t="shared" si="20"/>
        <v>42727</v>
      </c>
      <c r="AF157" s="6">
        <f t="shared" si="21"/>
        <v>-0.53266136090567295</v>
      </c>
      <c r="AG157" s="4">
        <v>42727</v>
      </c>
      <c r="AH157" s="6">
        <v>-1.1485669999999999</v>
      </c>
      <c r="AI157" s="6">
        <v>-0.57809900000000003</v>
      </c>
      <c r="AJ157" s="6">
        <v>-0.59146699999999996</v>
      </c>
      <c r="AK157" s="4">
        <v>42727</v>
      </c>
      <c r="AL157" s="6">
        <f>VLOOKUP(AK157,Sheet3!$A$1:$B$1113,2,FALSE)</f>
        <v>1.558941038773701</v>
      </c>
      <c r="AM157" s="6">
        <f t="shared" si="23"/>
        <v>-0.53266136090567295</v>
      </c>
    </row>
    <row r="158" spans="17:39" x14ac:dyDescent="0.3">
      <c r="Q158">
        <f t="shared" si="18"/>
        <v>129</v>
      </c>
      <c r="R158" t="s">
        <v>72</v>
      </c>
      <c r="S158" s="13">
        <f t="shared" si="19"/>
        <v>42615</v>
      </c>
      <c r="T158" s="13">
        <v>42685</v>
      </c>
      <c r="U158" s="13">
        <v>42545</v>
      </c>
      <c r="V158" s="11">
        <v>1.4804784580742306E-5</v>
      </c>
      <c r="W158" s="11">
        <v>0.43597186242761438</v>
      </c>
      <c r="X158" s="11">
        <v>0.27189636910908394</v>
      </c>
      <c r="Y158" s="11">
        <v>0.29211696367872098</v>
      </c>
      <c r="Z158" s="11">
        <v>0.96391061526624777</v>
      </c>
      <c r="AC158">
        <f t="shared" si="22"/>
        <v>0</v>
      </c>
      <c r="AD158">
        <v>155</v>
      </c>
      <c r="AE158" s="4">
        <f t="shared" si="20"/>
        <v>42734</v>
      </c>
      <c r="AF158" s="6">
        <f t="shared" si="21"/>
        <v>0.30216214187319679</v>
      </c>
      <c r="AG158" s="4">
        <v>42734</v>
      </c>
      <c r="AH158" s="6">
        <v>7.5029999999999999E-2</v>
      </c>
      <c r="AI158" s="6">
        <v>-0.292439</v>
      </c>
      <c r="AJ158" s="6">
        <v>-0.21740599999999999</v>
      </c>
      <c r="AK158" s="4">
        <v>42734</v>
      </c>
      <c r="AL158" s="6">
        <f>VLOOKUP(AK158,Sheet3!$A$1:$B$1113,2,FALSE)</f>
        <v>1.563651568407</v>
      </c>
      <c r="AM158" s="6">
        <f t="shared" si="23"/>
        <v>0.30216214187319679</v>
      </c>
    </row>
    <row r="159" spans="17:39" x14ac:dyDescent="0.3">
      <c r="Q159">
        <f t="shared" si="18"/>
        <v>130</v>
      </c>
      <c r="R159" t="s">
        <v>72</v>
      </c>
      <c r="S159" s="13">
        <f t="shared" si="19"/>
        <v>42622</v>
      </c>
      <c r="T159" s="13">
        <v>42692</v>
      </c>
      <c r="U159" s="13">
        <v>42552</v>
      </c>
      <c r="V159" s="11">
        <v>1.3484995972227648E-5</v>
      </c>
      <c r="W159" s="11">
        <v>0.48721522668724304</v>
      </c>
      <c r="X159" s="11">
        <v>0.2243088070119198</v>
      </c>
      <c r="Y159" s="11">
        <v>0.2884624813048649</v>
      </c>
      <c r="Z159" s="11">
        <v>0.96461006188313025</v>
      </c>
      <c r="AC159">
        <f t="shared" si="22"/>
        <v>0</v>
      </c>
      <c r="AD159">
        <v>156</v>
      </c>
      <c r="AE159" s="4">
        <f t="shared" si="20"/>
        <v>42741</v>
      </c>
      <c r="AF159" s="6">
        <f t="shared" si="21"/>
        <v>0.89715391787785759</v>
      </c>
      <c r="AG159" s="4">
        <v>42741</v>
      </c>
      <c r="AH159" s="6">
        <v>1.1354919999999999</v>
      </c>
      <c r="AI159" s="6">
        <v>1.7241</v>
      </c>
      <c r="AJ159" s="6">
        <v>1.4019470000000001</v>
      </c>
      <c r="AK159" s="4">
        <v>42741</v>
      </c>
      <c r="AL159" s="6">
        <f>VLOOKUP(AK159,Sheet3!$A$1:$B$1113,2,FALSE)</f>
        <v>1.577679929714922</v>
      </c>
      <c r="AM159" s="6">
        <f t="shared" si="23"/>
        <v>0.89715391787785759</v>
      </c>
    </row>
    <row r="160" spans="17:39" x14ac:dyDescent="0.3">
      <c r="Q160">
        <f t="shared" ref="Q160:Q223" si="24">Q159+1</f>
        <v>131</v>
      </c>
      <c r="R160" t="s">
        <v>72</v>
      </c>
      <c r="S160" s="13">
        <f t="shared" ref="S160:S223" si="25">(T160+U160)/2</f>
        <v>42629</v>
      </c>
      <c r="T160" s="13">
        <v>42699</v>
      </c>
      <c r="U160" s="13">
        <v>42559</v>
      </c>
      <c r="V160" s="11">
        <v>1.1529414255978873E-5</v>
      </c>
      <c r="W160" s="11">
        <v>0.50875269757420394</v>
      </c>
      <c r="X160" s="11">
        <v>0.20184669780436373</v>
      </c>
      <c r="Y160" s="11">
        <v>0.28938907520717644</v>
      </c>
      <c r="Z160" s="11">
        <v>0.95766273526077961</v>
      </c>
      <c r="AC160">
        <f t="shared" si="22"/>
        <v>0</v>
      </c>
      <c r="AD160">
        <v>157</v>
      </c>
      <c r="AE160" s="4">
        <f t="shared" si="20"/>
        <v>42748</v>
      </c>
      <c r="AF160" s="6">
        <f t="shared" si="21"/>
        <v>-2.5549776791323975</v>
      </c>
      <c r="AG160" s="4">
        <v>42748</v>
      </c>
      <c r="AH160" s="6">
        <v>-0.82906400000000002</v>
      </c>
      <c r="AI160" s="6">
        <v>-2.7773059999999998</v>
      </c>
      <c r="AJ160" s="6">
        <v>-3.759131</v>
      </c>
      <c r="AK160" s="4">
        <v>42748</v>
      </c>
      <c r="AL160" s="6">
        <f>VLOOKUP(AK160,Sheet3!$A$1:$B$1113,2,FALSE)</f>
        <v>1.537370559662554</v>
      </c>
      <c r="AM160" s="6">
        <f t="shared" si="23"/>
        <v>-2.5549776791323975</v>
      </c>
    </row>
    <row r="161" spans="17:39" x14ac:dyDescent="0.3">
      <c r="Q161">
        <f t="shared" si="24"/>
        <v>132</v>
      </c>
      <c r="R161" t="s">
        <v>72</v>
      </c>
      <c r="S161" s="13">
        <f t="shared" si="25"/>
        <v>42636</v>
      </c>
      <c r="T161" s="13">
        <v>42706</v>
      </c>
      <c r="U161" s="13">
        <v>42566</v>
      </c>
      <c r="V161" s="11">
        <v>2.0194212352209192E-2</v>
      </c>
      <c r="W161" s="11">
        <v>0.44167826332637505</v>
      </c>
      <c r="X161" s="11">
        <v>0.23878211277388775</v>
      </c>
      <c r="Y161" s="11">
        <v>0.29934541154752797</v>
      </c>
      <c r="Z161" s="11">
        <v>0.9574582828909749</v>
      </c>
      <c r="AC161">
        <f t="shared" si="22"/>
        <v>0</v>
      </c>
      <c r="AD161">
        <v>158</v>
      </c>
      <c r="AE161" s="4">
        <f t="shared" si="20"/>
        <v>42755</v>
      </c>
      <c r="AF161" s="6">
        <f t="shared" si="21"/>
        <v>-0.36184752802473907</v>
      </c>
      <c r="AG161" s="4">
        <v>42755</v>
      </c>
      <c r="AH161" s="6">
        <v>1.0535490000000001</v>
      </c>
      <c r="AI161" s="6">
        <v>-1.172933</v>
      </c>
      <c r="AJ161" s="6">
        <v>-2.3951609999999999</v>
      </c>
      <c r="AK161" s="4">
        <v>42755</v>
      </c>
      <c r="AL161" s="6">
        <f>VLOOKUP(AK161,Sheet3!$A$1:$B$1113,2,FALSE)</f>
        <v>1.531807622295835</v>
      </c>
      <c r="AM161" s="6">
        <f t="shared" si="23"/>
        <v>-0.36184752802473907</v>
      </c>
    </row>
    <row r="162" spans="17:39" x14ac:dyDescent="0.3">
      <c r="Q162">
        <f t="shared" si="24"/>
        <v>133</v>
      </c>
      <c r="R162" t="s">
        <v>72</v>
      </c>
      <c r="S162" s="13">
        <f t="shared" si="25"/>
        <v>42643</v>
      </c>
      <c r="T162" s="13">
        <v>42713</v>
      </c>
      <c r="U162" s="13">
        <v>42573</v>
      </c>
      <c r="V162" s="11">
        <v>1.1104773496007581E-5</v>
      </c>
      <c r="W162" s="11">
        <v>0.61006594356258792</v>
      </c>
      <c r="X162" s="11">
        <v>0.11223737079724008</v>
      </c>
      <c r="Y162" s="11">
        <v>0.27768558086667605</v>
      </c>
      <c r="Z162" s="11">
        <v>0.96067133631648804</v>
      </c>
      <c r="AC162">
        <f t="shared" si="22"/>
        <v>0</v>
      </c>
      <c r="AD162">
        <v>159</v>
      </c>
      <c r="AE162" s="4">
        <f t="shared" si="20"/>
        <v>42761</v>
      </c>
      <c r="AF162" s="6">
        <f t="shared" si="21"/>
        <v>1.3118554159569307</v>
      </c>
      <c r="AG162" s="4">
        <v>42761</v>
      </c>
      <c r="AH162" s="6">
        <v>0.98577000000000004</v>
      </c>
      <c r="AI162" s="6">
        <v>1.6613500000000001</v>
      </c>
      <c r="AJ162" s="6">
        <v>1.460208</v>
      </c>
      <c r="AK162" s="4">
        <v>42761</v>
      </c>
      <c r="AL162" s="6">
        <f>VLOOKUP(AK162,Sheet3!$A$1:$B$1113,2,FALSE)</f>
        <v>1.5519027235509639</v>
      </c>
      <c r="AM162" s="6">
        <f t="shared" si="23"/>
        <v>1.3118554159569307</v>
      </c>
    </row>
    <row r="163" spans="17:39" x14ac:dyDescent="0.3">
      <c r="Q163">
        <f t="shared" si="24"/>
        <v>134</v>
      </c>
      <c r="R163" t="s">
        <v>72</v>
      </c>
      <c r="S163" s="13">
        <f t="shared" si="25"/>
        <v>42650</v>
      </c>
      <c r="T163" s="13">
        <v>42720</v>
      </c>
      <c r="U163" s="13">
        <v>42580</v>
      </c>
      <c r="V163" s="11">
        <v>8.7056615983444455E-2</v>
      </c>
      <c r="W163" s="11">
        <v>0.3917169721397718</v>
      </c>
      <c r="X163" s="11">
        <v>0.27536841554370056</v>
      </c>
      <c r="Y163" s="11">
        <v>0.24585799633308317</v>
      </c>
      <c r="Z163" s="11">
        <v>0.9649221804873368</v>
      </c>
      <c r="AC163">
        <f t="shared" si="22"/>
        <v>0</v>
      </c>
      <c r="AD163">
        <v>160</v>
      </c>
      <c r="AE163" s="4">
        <f t="shared" si="20"/>
        <v>42769</v>
      </c>
      <c r="AF163" s="6">
        <f t="shared" si="21"/>
        <v>-0.39193848119760677</v>
      </c>
      <c r="AG163" s="4">
        <v>42769</v>
      </c>
      <c r="AH163" s="6">
        <v>-0.69269700000000001</v>
      </c>
      <c r="AI163" s="6">
        <v>-0.26694699999999999</v>
      </c>
      <c r="AJ163" s="6">
        <v>-0.28750300000000001</v>
      </c>
      <c r="AK163" s="4">
        <v>42769</v>
      </c>
      <c r="AL163" s="6">
        <f>VLOOKUP(AK163,Sheet3!$A$1:$B$1113,2,FALSE)</f>
        <v>1.545820219586614</v>
      </c>
      <c r="AM163" s="6">
        <f t="shared" si="23"/>
        <v>-0.39193848119760677</v>
      </c>
    </row>
    <row r="164" spans="17:39" x14ac:dyDescent="0.3">
      <c r="Q164">
        <f t="shared" si="24"/>
        <v>135</v>
      </c>
      <c r="R164" t="s">
        <v>72</v>
      </c>
      <c r="S164" s="13">
        <f t="shared" si="25"/>
        <v>42657</v>
      </c>
      <c r="T164" s="13">
        <v>42727</v>
      </c>
      <c r="U164" s="13">
        <v>42587</v>
      </c>
      <c r="V164" s="11">
        <v>8.7137106768211195E-2</v>
      </c>
      <c r="W164" s="11">
        <v>0.28775192231531738</v>
      </c>
      <c r="X164" s="11">
        <v>0.38206037591206826</v>
      </c>
      <c r="Y164" s="11">
        <v>0.24305059500440307</v>
      </c>
      <c r="Z164" s="11">
        <v>0.96137095216339663</v>
      </c>
      <c r="AC164">
        <f t="shared" si="22"/>
        <v>0</v>
      </c>
      <c r="AD164">
        <v>161</v>
      </c>
      <c r="AE164" s="4">
        <f t="shared" si="20"/>
        <v>42776</v>
      </c>
      <c r="AF164" s="6">
        <f t="shared" si="21"/>
        <v>1.6868451899867187</v>
      </c>
      <c r="AG164" s="4">
        <v>42776</v>
      </c>
      <c r="AH164" s="6">
        <v>1.456223</v>
      </c>
      <c r="AI164" s="6">
        <v>2.0946359999999999</v>
      </c>
      <c r="AJ164" s="6">
        <v>2.4260700000000002</v>
      </c>
      <c r="AK164" s="4">
        <v>42776</v>
      </c>
      <c r="AL164" s="6">
        <f>VLOOKUP(AK164,Sheet3!$A$1:$B$1113,2,FALSE)</f>
        <v>1.5718958136065531</v>
      </c>
      <c r="AM164" s="6">
        <f t="shared" si="23"/>
        <v>1.6868451899867187</v>
      </c>
    </row>
    <row r="165" spans="17:39" x14ac:dyDescent="0.3">
      <c r="Q165">
        <f t="shared" si="24"/>
        <v>136</v>
      </c>
      <c r="R165" t="s">
        <v>72</v>
      </c>
      <c r="S165" s="13">
        <f t="shared" si="25"/>
        <v>42664</v>
      </c>
      <c r="T165" s="13">
        <v>42734</v>
      </c>
      <c r="U165" s="13">
        <v>42594</v>
      </c>
      <c r="V165" s="11">
        <v>9.9328957138566265E-2</v>
      </c>
      <c r="W165" s="11">
        <v>0.23998053606090344</v>
      </c>
      <c r="X165" s="11">
        <v>0.41460597558265594</v>
      </c>
      <c r="Y165" s="11">
        <v>0.24608453121787449</v>
      </c>
      <c r="Z165" s="11">
        <v>0.9566329721458402</v>
      </c>
      <c r="AC165">
        <f t="shared" si="22"/>
        <v>0</v>
      </c>
      <c r="AD165">
        <v>162</v>
      </c>
      <c r="AE165" s="4">
        <f t="shared" si="20"/>
        <v>42783</v>
      </c>
      <c r="AF165" s="6">
        <f t="shared" si="21"/>
        <v>-0.26573863376282425</v>
      </c>
      <c r="AG165" s="4">
        <v>42783</v>
      </c>
      <c r="AH165" s="6">
        <v>0.23304900000000001</v>
      </c>
      <c r="AI165" s="6">
        <v>-0.47254000000000002</v>
      </c>
      <c r="AJ165" s="6">
        <v>-0.67259999999999998</v>
      </c>
      <c r="AK165" s="4">
        <v>42783</v>
      </c>
      <c r="AL165" s="6">
        <f>VLOOKUP(AK165,Sheet3!$A$1:$B$1113,2,FALSE)</f>
        <v>1.5677186791472999</v>
      </c>
      <c r="AM165" s="6">
        <f t="shared" si="23"/>
        <v>-0.26573863376282425</v>
      </c>
    </row>
    <row r="166" spans="17:39" x14ac:dyDescent="0.3">
      <c r="Q166">
        <f t="shared" si="24"/>
        <v>137</v>
      </c>
      <c r="R166" t="s">
        <v>72</v>
      </c>
      <c r="S166" s="13">
        <f t="shared" si="25"/>
        <v>42671</v>
      </c>
      <c r="T166" s="13">
        <v>42741</v>
      </c>
      <c r="U166" s="13">
        <v>42601</v>
      </c>
      <c r="V166" s="11">
        <v>0.1325261095632459</v>
      </c>
      <c r="W166" s="11">
        <v>0.20061976748412078</v>
      </c>
      <c r="X166" s="11">
        <v>0.42917674956047425</v>
      </c>
      <c r="Y166" s="11">
        <v>0.23767737339215908</v>
      </c>
      <c r="Z166" s="11">
        <v>0.95944222651812283</v>
      </c>
      <c r="AC166">
        <f t="shared" si="22"/>
        <v>0</v>
      </c>
      <c r="AD166">
        <v>163</v>
      </c>
      <c r="AE166" s="4">
        <f t="shared" si="20"/>
        <v>42790</v>
      </c>
      <c r="AF166" s="6">
        <f t="shared" si="21"/>
        <v>1.9885540528324475</v>
      </c>
      <c r="AG166" s="4">
        <v>42790</v>
      </c>
      <c r="AH166" s="6">
        <v>1.5318039999999999</v>
      </c>
      <c r="AI166" s="6">
        <v>2.679538</v>
      </c>
      <c r="AJ166" s="6">
        <v>2.6311930000000001</v>
      </c>
      <c r="AK166" s="4">
        <v>42790</v>
      </c>
      <c r="AL166" s="6">
        <f>VLOOKUP(AK166,Sheet3!$A$1:$B$1113,2,FALSE)</f>
        <v>1.5988936124784949</v>
      </c>
      <c r="AM166" s="6">
        <f t="shared" si="23"/>
        <v>1.9885540528324475</v>
      </c>
    </row>
    <row r="167" spans="17:39" x14ac:dyDescent="0.3">
      <c r="Q167">
        <f t="shared" si="24"/>
        <v>138</v>
      </c>
      <c r="R167" t="s">
        <v>72</v>
      </c>
      <c r="S167" s="13">
        <f t="shared" si="25"/>
        <v>42678</v>
      </c>
      <c r="T167" s="13">
        <v>42748</v>
      </c>
      <c r="U167" s="13">
        <v>42608</v>
      </c>
      <c r="V167" s="11">
        <v>0.11903475940068511</v>
      </c>
      <c r="W167" s="11">
        <v>0.18426078370865059</v>
      </c>
      <c r="X167" s="11">
        <v>0.48712110147847582</v>
      </c>
      <c r="Y167" s="11">
        <v>0.20958335541218853</v>
      </c>
      <c r="Z167" s="11">
        <v>0.96454920601118765</v>
      </c>
      <c r="AC167">
        <f t="shared" si="22"/>
        <v>0</v>
      </c>
      <c r="AD167">
        <v>164</v>
      </c>
      <c r="AE167" s="4">
        <f t="shared" si="20"/>
        <v>42797</v>
      </c>
      <c r="AF167" s="6">
        <f t="shared" si="21"/>
        <v>-6.0217228567160941E-2</v>
      </c>
      <c r="AG167" s="4">
        <v>42797</v>
      </c>
      <c r="AH167" s="6">
        <v>-1.3238589999999999</v>
      </c>
      <c r="AI167" s="6">
        <v>-0.36019000000000001</v>
      </c>
      <c r="AJ167" s="6">
        <v>-0.44474999999999998</v>
      </c>
      <c r="AK167" s="4">
        <v>42797</v>
      </c>
      <c r="AL167" s="6">
        <f>VLOOKUP(AK167,Sheet3!$A$1:$B$1113,2,FALSE)</f>
        <v>1.5979308030573229</v>
      </c>
      <c r="AM167" s="6">
        <f t="shared" si="23"/>
        <v>-6.0217228567160941E-2</v>
      </c>
    </row>
    <row r="168" spans="17:39" x14ac:dyDescent="0.3">
      <c r="Q168">
        <f t="shared" si="24"/>
        <v>139</v>
      </c>
      <c r="R168" t="s">
        <v>72</v>
      </c>
      <c r="S168" s="13">
        <f t="shared" si="25"/>
        <v>42685</v>
      </c>
      <c r="T168" s="13">
        <v>42755</v>
      </c>
      <c r="U168" s="13">
        <v>42615</v>
      </c>
      <c r="V168" s="11">
        <v>0.16585384503594056</v>
      </c>
      <c r="W168" s="11">
        <v>0.37523470049325958</v>
      </c>
      <c r="X168" s="11">
        <v>0.28276829798141279</v>
      </c>
      <c r="Y168" s="11">
        <v>0.17614315648938708</v>
      </c>
      <c r="Z168" s="11">
        <v>0.95815373069977861</v>
      </c>
      <c r="AC168">
        <f t="shared" si="22"/>
        <v>0</v>
      </c>
      <c r="AD168">
        <v>165</v>
      </c>
      <c r="AE168" s="4">
        <f t="shared" si="20"/>
        <v>42804</v>
      </c>
      <c r="AF168" s="6">
        <f t="shared" si="21"/>
        <v>0.48854760590217872</v>
      </c>
      <c r="AG168" s="4">
        <v>42804</v>
      </c>
      <c r="AH168" s="6">
        <v>8.4000000000000003E-4</v>
      </c>
      <c r="AI168" s="6">
        <v>-7.6284000000000005E-2</v>
      </c>
      <c r="AJ168" s="6">
        <v>0.38009399999999999</v>
      </c>
      <c r="AK168" s="4">
        <v>42804</v>
      </c>
      <c r="AL168" s="6">
        <f>VLOOKUP(AK168,Sheet3!$A$1:$B$1113,2,FALSE)</f>
        <v>1.6057374557396329</v>
      </c>
      <c r="AM168" s="6">
        <f t="shared" si="23"/>
        <v>0.48854760590217872</v>
      </c>
    </row>
    <row r="169" spans="17:39" x14ac:dyDescent="0.3">
      <c r="Q169">
        <f t="shared" si="24"/>
        <v>140</v>
      </c>
      <c r="R169" t="s">
        <v>72</v>
      </c>
      <c r="S169" s="13">
        <f t="shared" si="25"/>
        <v>42691.5</v>
      </c>
      <c r="T169" s="13">
        <v>42761</v>
      </c>
      <c r="U169" s="13">
        <v>42622</v>
      </c>
      <c r="V169" s="11">
        <v>0.17427859402981044</v>
      </c>
      <c r="W169" s="11">
        <v>0.37496376283866156</v>
      </c>
      <c r="X169" s="11">
        <v>0.27664308813663213</v>
      </c>
      <c r="Y169" s="11">
        <v>0.17411455499489592</v>
      </c>
      <c r="Z169" s="11">
        <v>0.96234202948012837</v>
      </c>
      <c r="AC169">
        <f t="shared" si="22"/>
        <v>0</v>
      </c>
      <c r="AD169">
        <v>166</v>
      </c>
      <c r="AE169" s="4">
        <f t="shared" si="20"/>
        <v>42811</v>
      </c>
      <c r="AF169" s="6">
        <f t="shared" si="21"/>
        <v>0.73914198266846753</v>
      </c>
      <c r="AG169" s="4">
        <v>42811</v>
      </c>
      <c r="AH169" s="6">
        <v>0.52258099999999996</v>
      </c>
      <c r="AI169" s="6">
        <v>0.54792600000000002</v>
      </c>
      <c r="AJ169" s="6">
        <v>0.77402899999999997</v>
      </c>
      <c r="AK169" s="4">
        <v>42811</v>
      </c>
      <c r="AL169" s="6">
        <f>VLOOKUP(AK169,Sheet3!$A$1:$B$1113,2,FALSE)</f>
        <v>1.6176061354064371</v>
      </c>
      <c r="AM169" s="6">
        <f t="shared" si="23"/>
        <v>0.73914198266846753</v>
      </c>
    </row>
    <row r="170" spans="17:39" x14ac:dyDescent="0.3">
      <c r="Q170">
        <f t="shared" si="24"/>
        <v>141</v>
      </c>
      <c r="R170" t="s">
        <v>72</v>
      </c>
      <c r="S170" s="13">
        <f t="shared" si="25"/>
        <v>42698</v>
      </c>
      <c r="T170" s="13">
        <v>42769</v>
      </c>
      <c r="U170" s="13">
        <v>42627</v>
      </c>
      <c r="V170" s="11">
        <v>0.19841594410569088</v>
      </c>
      <c r="W170" s="11">
        <v>0.30211348518445891</v>
      </c>
      <c r="X170" s="11">
        <v>0.31927731498513656</v>
      </c>
      <c r="Y170" s="11">
        <v>0.18019325572471367</v>
      </c>
      <c r="Z170" s="11">
        <v>0.96112445838330651</v>
      </c>
      <c r="AC170">
        <f t="shared" si="22"/>
        <v>0</v>
      </c>
      <c r="AD170">
        <v>167</v>
      </c>
      <c r="AE170" s="4">
        <f t="shared" si="20"/>
        <v>42818</v>
      </c>
      <c r="AF170" s="6">
        <f t="shared" si="21"/>
        <v>1.6032199094613953</v>
      </c>
      <c r="AG170" s="4">
        <v>42818</v>
      </c>
      <c r="AH170" s="6">
        <v>1.2709539999999999</v>
      </c>
      <c r="AI170" s="6">
        <v>0.97742200000000001</v>
      </c>
      <c r="AJ170" s="6">
        <v>-1.831E-2</v>
      </c>
      <c r="AK170" s="4">
        <v>42818</v>
      </c>
      <c r="AL170" s="6">
        <f>VLOOKUP(AK170,Sheet3!$A$1:$B$1113,2,FALSE)</f>
        <v>1.6435399190259421</v>
      </c>
      <c r="AM170" s="6">
        <f t="shared" si="23"/>
        <v>1.6032199094613953</v>
      </c>
    </row>
    <row r="171" spans="17:39" x14ac:dyDescent="0.3">
      <c r="Q171">
        <f t="shared" si="24"/>
        <v>142</v>
      </c>
      <c r="R171" t="s">
        <v>72</v>
      </c>
      <c r="S171" s="13">
        <f t="shared" si="25"/>
        <v>42706</v>
      </c>
      <c r="T171" s="13">
        <v>42776</v>
      </c>
      <c r="U171" s="13">
        <v>42636</v>
      </c>
      <c r="V171" s="11">
        <v>0.19618734255904755</v>
      </c>
      <c r="W171" s="11">
        <v>0.32218226654038606</v>
      </c>
      <c r="X171" s="11">
        <v>0.30689508597157927</v>
      </c>
      <c r="Y171" s="11">
        <v>0.1747353049289872</v>
      </c>
      <c r="Z171" s="11">
        <v>0.95973989205530907</v>
      </c>
      <c r="AC171">
        <f t="shared" si="22"/>
        <v>0</v>
      </c>
      <c r="AD171">
        <v>168</v>
      </c>
      <c r="AE171" s="4">
        <f t="shared" si="20"/>
        <v>42825</v>
      </c>
      <c r="AF171" s="6">
        <f t="shared" si="21"/>
        <v>-1.7551797117436929</v>
      </c>
      <c r="AG171" s="4">
        <v>42825</v>
      </c>
      <c r="AH171" s="6">
        <v>-0.96154899999999999</v>
      </c>
      <c r="AI171" s="6">
        <v>-2.2143830000000002</v>
      </c>
      <c r="AJ171" s="6">
        <v>-3.0589949999999999</v>
      </c>
      <c r="AK171" s="4">
        <v>42825</v>
      </c>
      <c r="AL171" s="6">
        <f>VLOOKUP(AK171,Sheet3!$A$1:$B$1113,2,FALSE)</f>
        <v>1.61469283981279</v>
      </c>
      <c r="AM171" s="6">
        <f t="shared" si="23"/>
        <v>-1.7551797117436929</v>
      </c>
    </row>
    <row r="172" spans="17:39" x14ac:dyDescent="0.3">
      <c r="Q172">
        <f t="shared" si="24"/>
        <v>143</v>
      </c>
      <c r="R172" t="s">
        <v>72</v>
      </c>
      <c r="S172" s="13">
        <f t="shared" si="25"/>
        <v>42713</v>
      </c>
      <c r="T172" s="13">
        <v>42783</v>
      </c>
      <c r="U172" s="13">
        <v>42643</v>
      </c>
      <c r="V172" s="11">
        <v>0.20827584556493506</v>
      </c>
      <c r="W172" s="11">
        <v>0.24122486809666502</v>
      </c>
      <c r="X172" s="11">
        <v>0.35797787922592911</v>
      </c>
      <c r="Y172" s="11">
        <v>0.19252140711247082</v>
      </c>
      <c r="Z172" s="11">
        <v>0.9610155904400034</v>
      </c>
      <c r="AC172">
        <f t="shared" si="22"/>
        <v>0</v>
      </c>
      <c r="AD172">
        <v>169</v>
      </c>
      <c r="AE172" s="4">
        <f t="shared" si="20"/>
        <v>42832</v>
      </c>
      <c r="AF172" s="6">
        <f t="shared" si="21"/>
        <v>2.0707570626838478</v>
      </c>
      <c r="AG172" s="4">
        <v>42832</v>
      </c>
      <c r="AH172" s="6">
        <v>1.777115</v>
      </c>
      <c r="AI172" s="6">
        <v>2.766133</v>
      </c>
      <c r="AJ172" s="6">
        <v>2.46549</v>
      </c>
      <c r="AK172" s="4">
        <v>42832</v>
      </c>
      <c r="AL172" s="6">
        <f>VLOOKUP(AK172,Sheet3!$A$1:$B$1113,2,FALSE)</f>
        <v>1.6481292058338639</v>
      </c>
      <c r="AM172" s="6">
        <f t="shared" si="23"/>
        <v>2.0707570626838478</v>
      </c>
    </row>
    <row r="173" spans="17:39" x14ac:dyDescent="0.3">
      <c r="Q173">
        <f t="shared" si="24"/>
        <v>144</v>
      </c>
      <c r="R173" t="s">
        <v>72</v>
      </c>
      <c r="S173" s="13">
        <f t="shared" si="25"/>
        <v>42723.5</v>
      </c>
      <c r="T173" s="13">
        <v>42790</v>
      </c>
      <c r="U173" s="13">
        <v>42657</v>
      </c>
      <c r="V173" s="11">
        <v>0.20550483999799846</v>
      </c>
      <c r="W173" s="11">
        <v>0.26200439310386087</v>
      </c>
      <c r="X173" s="11">
        <v>0.34663515416825003</v>
      </c>
      <c r="Y173" s="11">
        <v>0.18585561272989065</v>
      </c>
      <c r="Z173" s="11">
        <v>0.96568329345724446</v>
      </c>
      <c r="AC173">
        <f t="shared" si="22"/>
        <v>0</v>
      </c>
      <c r="AD173">
        <v>170</v>
      </c>
      <c r="AE173" s="4">
        <f t="shared" si="20"/>
        <v>42839</v>
      </c>
      <c r="AF173" s="6">
        <f t="shared" si="21"/>
        <v>-1.4327991678173224</v>
      </c>
      <c r="AG173" s="4">
        <v>42839</v>
      </c>
      <c r="AH173" s="6">
        <v>-0.88014800000000004</v>
      </c>
      <c r="AI173" s="6">
        <v>-0.76859299999999997</v>
      </c>
      <c r="AJ173" s="6">
        <v>-2.3300329999999998</v>
      </c>
      <c r="AK173" s="4">
        <v>42839</v>
      </c>
      <c r="AL173" s="6">
        <f>VLOOKUP(AK173,Sheet3!$A$1:$B$1113,2,FALSE)</f>
        <v>1.624514824288122</v>
      </c>
      <c r="AM173" s="6">
        <f t="shared" si="23"/>
        <v>-1.4327991678173224</v>
      </c>
    </row>
    <row r="174" spans="17:39" x14ac:dyDescent="0.3">
      <c r="Q174">
        <f t="shared" si="24"/>
        <v>145</v>
      </c>
      <c r="R174" t="s">
        <v>72</v>
      </c>
      <c r="S174" s="13">
        <f t="shared" si="25"/>
        <v>42730.5</v>
      </c>
      <c r="T174" s="13">
        <v>42797</v>
      </c>
      <c r="U174" s="13">
        <v>42664</v>
      </c>
      <c r="V174" s="11">
        <v>0.17883638105337898</v>
      </c>
      <c r="W174" s="11">
        <v>0.31051872118025825</v>
      </c>
      <c r="X174" s="11">
        <v>0.32258731144664815</v>
      </c>
      <c r="Y174" s="11">
        <v>0.18805758631971467</v>
      </c>
      <c r="Z174" s="11">
        <v>0.95591290408011509</v>
      </c>
      <c r="AC174">
        <f t="shared" si="22"/>
        <v>0</v>
      </c>
      <c r="AD174">
        <v>171</v>
      </c>
      <c r="AE174" s="4">
        <f t="shared" si="20"/>
        <v>42846</v>
      </c>
      <c r="AF174" s="6">
        <f t="shared" si="21"/>
        <v>-0.78822395339828155</v>
      </c>
      <c r="AG174" s="4">
        <v>42846</v>
      </c>
      <c r="AH174" s="6">
        <v>-0.56555200000000005</v>
      </c>
      <c r="AI174" s="6">
        <v>-3.4841289999999998</v>
      </c>
      <c r="AJ174" s="6">
        <v>-4.7960500000000001</v>
      </c>
      <c r="AK174" s="4">
        <v>42846</v>
      </c>
      <c r="AL174" s="6">
        <f>VLOOKUP(AK174,Sheet3!$A$1:$B$1113,2,FALSE)</f>
        <v>1.611710009316577</v>
      </c>
      <c r="AM174" s="6">
        <f t="shared" si="23"/>
        <v>-0.78822395339828155</v>
      </c>
    </row>
    <row r="175" spans="17:39" x14ac:dyDescent="0.3">
      <c r="Q175">
        <f t="shared" si="24"/>
        <v>146</v>
      </c>
      <c r="R175" t="s">
        <v>72</v>
      </c>
      <c r="S175" s="13">
        <f t="shared" si="25"/>
        <v>42737.5</v>
      </c>
      <c r="T175" s="13">
        <v>42804</v>
      </c>
      <c r="U175" s="13">
        <v>42671</v>
      </c>
      <c r="V175" s="11">
        <v>0.20468545554654016</v>
      </c>
      <c r="W175" s="11">
        <v>0.19613368181898444</v>
      </c>
      <c r="X175" s="11">
        <v>0.40761099495906078</v>
      </c>
      <c r="Y175" s="11">
        <v>0.19156986767541465</v>
      </c>
      <c r="Z175" s="11">
        <v>0.95371722904189105</v>
      </c>
      <c r="AC175">
        <f t="shared" si="22"/>
        <v>0</v>
      </c>
      <c r="AD175">
        <v>172</v>
      </c>
      <c r="AE175" s="4">
        <f t="shared" si="20"/>
        <v>42853</v>
      </c>
      <c r="AF175" s="6">
        <f t="shared" si="21"/>
        <v>-0.44818635915960803</v>
      </c>
      <c r="AG175" s="4">
        <v>42853</v>
      </c>
      <c r="AH175" s="6">
        <v>-0.77978599999999998</v>
      </c>
      <c r="AI175" s="6">
        <v>-1.410164</v>
      </c>
      <c r="AJ175" s="6">
        <v>-1.300222</v>
      </c>
      <c r="AK175" s="4">
        <v>42853</v>
      </c>
      <c r="AL175" s="6">
        <f>VLOOKUP(AK175,Sheet3!$A$1:$B$1113,2,FALSE)</f>
        <v>1.60448654490561</v>
      </c>
      <c r="AM175" s="6">
        <f t="shared" si="23"/>
        <v>-0.44818635915960803</v>
      </c>
    </row>
    <row r="176" spans="17:39" x14ac:dyDescent="0.3">
      <c r="Q176">
        <f t="shared" si="24"/>
        <v>147</v>
      </c>
      <c r="R176" t="s">
        <v>72</v>
      </c>
      <c r="S176" s="13">
        <f t="shared" si="25"/>
        <v>42744.5</v>
      </c>
      <c r="T176" s="13">
        <v>42811</v>
      </c>
      <c r="U176" s="13">
        <v>42678</v>
      </c>
      <c r="V176" s="11">
        <v>0.21246487643285358</v>
      </c>
      <c r="W176" s="11">
        <v>0.1731362915820602</v>
      </c>
      <c r="X176" s="11">
        <v>0.42476153255738497</v>
      </c>
      <c r="Y176" s="11">
        <v>0.18963729942770138</v>
      </c>
      <c r="Z176" s="11">
        <v>0.95345184062853339</v>
      </c>
      <c r="AC176">
        <f t="shared" si="22"/>
        <v>0</v>
      </c>
      <c r="AD176">
        <v>173</v>
      </c>
      <c r="AE176" s="4">
        <f t="shared" si="20"/>
        <v>42860</v>
      </c>
      <c r="AF176" s="6">
        <f t="shared" si="21"/>
        <v>-1.4953614112722002</v>
      </c>
      <c r="AG176" s="4">
        <v>42860</v>
      </c>
      <c r="AH176" s="6">
        <v>-1.6629910000000001</v>
      </c>
      <c r="AI176" s="6">
        <v>-1.9668760000000001</v>
      </c>
      <c r="AJ176" s="6">
        <v>-1.808419</v>
      </c>
      <c r="AK176" s="4">
        <v>42860</v>
      </c>
      <c r="AL176" s="6">
        <f>VLOOKUP(AK176,Sheet3!$A$1:$B$1113,2,FALSE)</f>
        <v>1.580493672264037</v>
      </c>
      <c r="AM176" s="6">
        <f t="shared" si="23"/>
        <v>-1.4953614112722002</v>
      </c>
    </row>
    <row r="177" spans="17:39" x14ac:dyDescent="0.3">
      <c r="Q177">
        <f t="shared" si="24"/>
        <v>148</v>
      </c>
      <c r="R177" t="s">
        <v>72</v>
      </c>
      <c r="S177" s="13">
        <f t="shared" si="25"/>
        <v>42751.5</v>
      </c>
      <c r="T177" s="13">
        <v>42818</v>
      </c>
      <c r="U177" s="13">
        <v>42685</v>
      </c>
      <c r="V177" s="11">
        <v>0.1736188328851471</v>
      </c>
      <c r="W177" s="11">
        <v>0.52902019574165271</v>
      </c>
      <c r="X177" s="11">
        <v>0.15134613306827421</v>
      </c>
      <c r="Y177" s="11">
        <v>0.14601483830492598</v>
      </c>
      <c r="Z177" s="11">
        <v>0.92651121583897833</v>
      </c>
      <c r="AC177">
        <f t="shared" si="22"/>
        <v>0</v>
      </c>
      <c r="AD177">
        <v>174</v>
      </c>
      <c r="AE177" s="4">
        <f t="shared" si="20"/>
        <v>42867</v>
      </c>
      <c r="AF177" s="6">
        <f t="shared" si="21"/>
        <v>-1.2352321364175967</v>
      </c>
      <c r="AG177" s="4">
        <v>42867</v>
      </c>
      <c r="AH177" s="6">
        <v>8.362E-2</v>
      </c>
      <c r="AI177" s="6">
        <v>-3.709546</v>
      </c>
      <c r="AJ177" s="6">
        <v>-4.2721</v>
      </c>
      <c r="AK177" s="4">
        <v>42867</v>
      </c>
      <c r="AL177" s="6">
        <f>VLOOKUP(AK177,Sheet3!$A$1:$B$1113,2,FALSE)</f>
        <v>1.5609709065101851</v>
      </c>
      <c r="AM177" s="6">
        <f t="shared" si="23"/>
        <v>-1.2352321364175967</v>
      </c>
    </row>
    <row r="178" spans="17:39" x14ac:dyDescent="0.3">
      <c r="Q178">
        <f t="shared" si="24"/>
        <v>149</v>
      </c>
      <c r="R178" t="s">
        <v>72</v>
      </c>
      <c r="S178" s="13">
        <f t="shared" si="25"/>
        <v>42758.5</v>
      </c>
      <c r="T178" s="13">
        <v>42825</v>
      </c>
      <c r="U178" s="13">
        <v>42692</v>
      </c>
      <c r="V178" s="11">
        <v>0.17222669847734132</v>
      </c>
      <c r="W178" s="11">
        <v>0.61070225384895316</v>
      </c>
      <c r="X178" s="11">
        <v>9.4712154848503385E-2</v>
      </c>
      <c r="Y178" s="11">
        <v>0.12235889282520217</v>
      </c>
      <c r="Z178" s="11">
        <v>0.93650407441022787</v>
      </c>
      <c r="AC178">
        <f t="shared" si="22"/>
        <v>0</v>
      </c>
      <c r="AD178">
        <v>175</v>
      </c>
      <c r="AE178" s="4">
        <f t="shared" si="20"/>
        <v>42874</v>
      </c>
      <c r="AF178" s="6">
        <f t="shared" si="21"/>
        <v>1.2030100118976428</v>
      </c>
      <c r="AG178" s="4">
        <v>42874</v>
      </c>
      <c r="AH178" s="6">
        <v>0.54559599999999997</v>
      </c>
      <c r="AI178" s="6">
        <v>1.8962840000000001</v>
      </c>
      <c r="AJ178" s="6">
        <v>1.883043</v>
      </c>
      <c r="AK178" s="4">
        <v>42874</v>
      </c>
      <c r="AL178" s="6">
        <f>VLOOKUP(AK178,Sheet3!$A$1:$B$1113,2,FALSE)</f>
        <v>1.5797495427983119</v>
      </c>
      <c r="AM178" s="6">
        <f t="shared" si="23"/>
        <v>1.2030100118976428</v>
      </c>
    </row>
    <row r="179" spans="17:39" x14ac:dyDescent="0.3">
      <c r="Q179">
        <f t="shared" si="24"/>
        <v>150</v>
      </c>
      <c r="R179" t="s">
        <v>72</v>
      </c>
      <c r="S179" s="13">
        <f t="shared" si="25"/>
        <v>42765.5</v>
      </c>
      <c r="T179" s="13">
        <v>42832</v>
      </c>
      <c r="U179" s="13">
        <v>42699</v>
      </c>
      <c r="V179" s="11">
        <v>0.17468808775879818</v>
      </c>
      <c r="W179" s="11">
        <v>0.58277332598271592</v>
      </c>
      <c r="X179" s="11">
        <v>0.11255661831131382</v>
      </c>
      <c r="Y179" s="11">
        <v>0.12998196794717201</v>
      </c>
      <c r="Z179" s="11">
        <v>0.94553781532591386</v>
      </c>
      <c r="AC179">
        <f t="shared" si="22"/>
        <v>0</v>
      </c>
      <c r="AD179">
        <v>176</v>
      </c>
      <c r="AE179" s="4">
        <f t="shared" si="20"/>
        <v>42881</v>
      </c>
      <c r="AF179" s="6">
        <f t="shared" si="21"/>
        <v>-1.1272811811183669</v>
      </c>
      <c r="AG179" s="4">
        <v>42881</v>
      </c>
      <c r="AH179" s="6">
        <v>2.249962</v>
      </c>
      <c r="AI179" s="6">
        <v>-2.3103590000000001</v>
      </c>
      <c r="AJ179" s="6">
        <v>-3.6852740000000002</v>
      </c>
      <c r="AK179" s="4">
        <v>42881</v>
      </c>
      <c r="AL179" s="6">
        <f>VLOOKUP(AK179,Sheet3!$A$1:$B$1113,2,FALSE)</f>
        <v>1.5619413234935431</v>
      </c>
      <c r="AM179" s="6">
        <f t="shared" si="23"/>
        <v>-1.1272811811183669</v>
      </c>
    </row>
    <row r="180" spans="17:39" x14ac:dyDescent="0.3">
      <c r="Q180">
        <f t="shared" si="24"/>
        <v>151</v>
      </c>
      <c r="R180" t="s">
        <v>72</v>
      </c>
      <c r="S180" s="13">
        <f t="shared" si="25"/>
        <v>42772.5</v>
      </c>
      <c r="T180" s="13">
        <v>42839</v>
      </c>
      <c r="U180" s="13">
        <v>42706</v>
      </c>
      <c r="V180" s="11">
        <v>0.26695871412314687</v>
      </c>
      <c r="W180" s="11">
        <v>0.41842740676396062</v>
      </c>
      <c r="X180" s="11">
        <v>0.2158692175839457</v>
      </c>
      <c r="Y180" s="11">
        <v>9.8744661528946759E-2</v>
      </c>
      <c r="Z180" s="11">
        <v>0.94730445748936298</v>
      </c>
      <c r="AC180">
        <f t="shared" si="22"/>
        <v>0</v>
      </c>
      <c r="AD180">
        <v>177</v>
      </c>
      <c r="AE180" s="4">
        <f t="shared" si="20"/>
        <v>42888</v>
      </c>
      <c r="AF180" s="6">
        <f t="shared" si="21"/>
        <v>-0.7086251277816924</v>
      </c>
      <c r="AG180" s="4">
        <v>42888</v>
      </c>
      <c r="AH180" s="6">
        <v>0.174487</v>
      </c>
      <c r="AI180" s="6">
        <v>-1.1035999999999999</v>
      </c>
      <c r="AJ180" s="6">
        <v>-1.9204270000000001</v>
      </c>
      <c r="AK180" s="4">
        <v>42888</v>
      </c>
      <c r="AL180" s="6">
        <f>VLOOKUP(AK180,Sheet3!$A$1:$B$1113,2,FALSE)</f>
        <v>1.5508730147940619</v>
      </c>
      <c r="AM180" s="6">
        <f t="shared" si="23"/>
        <v>-0.7086251277816924</v>
      </c>
    </row>
    <row r="181" spans="17:39" x14ac:dyDescent="0.3">
      <c r="Q181">
        <f t="shared" si="24"/>
        <v>152</v>
      </c>
      <c r="R181" t="s">
        <v>72</v>
      </c>
      <c r="S181" s="13">
        <f t="shared" si="25"/>
        <v>42779.5</v>
      </c>
      <c r="T181" s="13">
        <v>42846</v>
      </c>
      <c r="U181" s="13">
        <v>42713</v>
      </c>
      <c r="V181" s="11">
        <v>0.43415409834923785</v>
      </c>
      <c r="W181" s="11">
        <v>0.32392362545304049</v>
      </c>
      <c r="X181" s="11">
        <v>0.12019477867911885</v>
      </c>
      <c r="Y181" s="11">
        <v>0.12172749751860278</v>
      </c>
      <c r="Z181" s="11">
        <v>0.89436998456664885</v>
      </c>
      <c r="AC181">
        <f t="shared" si="22"/>
        <v>0</v>
      </c>
      <c r="AD181">
        <v>178</v>
      </c>
      <c r="AE181" s="4">
        <f t="shared" si="20"/>
        <v>42895</v>
      </c>
      <c r="AF181" s="6">
        <f t="shared" si="21"/>
        <v>3.6627327189181935</v>
      </c>
      <c r="AG181" s="4">
        <v>42895</v>
      </c>
      <c r="AH181" s="6">
        <v>2.5717110000000001</v>
      </c>
      <c r="AI181" s="6">
        <v>3.4085079999999999</v>
      </c>
      <c r="AJ181" s="6">
        <v>3.581591</v>
      </c>
      <c r="AK181" s="4">
        <v>42895</v>
      </c>
      <c r="AL181" s="6">
        <f>VLOOKUP(AK181,Sheet3!$A$1:$B$1113,2,FALSE)</f>
        <v>1.6076773481357971</v>
      </c>
      <c r="AM181" s="6">
        <f t="shared" si="23"/>
        <v>3.6627327189181935</v>
      </c>
    </row>
    <row r="182" spans="17:39" x14ac:dyDescent="0.3">
      <c r="Q182">
        <f t="shared" si="24"/>
        <v>153</v>
      </c>
      <c r="R182" t="s">
        <v>72</v>
      </c>
      <c r="S182" s="13">
        <f t="shared" si="25"/>
        <v>42786.5</v>
      </c>
      <c r="T182" s="13">
        <v>42853</v>
      </c>
      <c r="U182" s="13">
        <v>42720</v>
      </c>
      <c r="V182" s="11">
        <v>0.46327330761896729</v>
      </c>
      <c r="W182" s="11">
        <v>0.24620096235716185</v>
      </c>
      <c r="X182" s="11">
        <v>0.16274498393793996</v>
      </c>
      <c r="Y182" s="11">
        <v>0.1277807460859309</v>
      </c>
      <c r="Z182" s="11">
        <v>0.89115604986087826</v>
      </c>
      <c r="AC182">
        <f t="shared" si="22"/>
        <v>0</v>
      </c>
      <c r="AD182">
        <v>179</v>
      </c>
      <c r="AE182" s="4">
        <f t="shared" si="20"/>
        <v>42902</v>
      </c>
      <c r="AF182" s="6">
        <f t="shared" si="21"/>
        <v>-0.23946999742201491</v>
      </c>
      <c r="AG182" s="4">
        <v>42902</v>
      </c>
      <c r="AH182" s="6">
        <v>-1.605326</v>
      </c>
      <c r="AI182" s="6">
        <v>0.73250999999999999</v>
      </c>
      <c r="AJ182" s="6">
        <v>1.285053</v>
      </c>
      <c r="AK182" s="4">
        <v>42902</v>
      </c>
      <c r="AL182" s="6">
        <f>VLOOKUP(AK182,Sheet3!$A$1:$B$1113,2,FALSE)</f>
        <v>1.6038274432316619</v>
      </c>
      <c r="AM182" s="6">
        <f t="shared" si="23"/>
        <v>-0.23946999742201491</v>
      </c>
    </row>
    <row r="183" spans="17:39" x14ac:dyDescent="0.3">
      <c r="Q183">
        <f t="shared" si="24"/>
        <v>154</v>
      </c>
      <c r="R183" t="s">
        <v>72</v>
      </c>
      <c r="S183" s="13">
        <f t="shared" si="25"/>
        <v>42793.5</v>
      </c>
      <c r="T183" s="13">
        <v>42860</v>
      </c>
      <c r="U183" s="13">
        <v>42727</v>
      </c>
      <c r="V183" s="11">
        <v>0.52999840786198171</v>
      </c>
      <c r="W183" s="11">
        <v>0.17062349761675927</v>
      </c>
      <c r="X183" s="11">
        <v>0.20588128283191887</v>
      </c>
      <c r="Y183" s="11">
        <v>9.3496811689340112E-2</v>
      </c>
      <c r="Z183" s="11">
        <v>0.86747148464607426</v>
      </c>
      <c r="AC183">
        <f t="shared" si="22"/>
        <v>0</v>
      </c>
      <c r="AD183">
        <v>180</v>
      </c>
      <c r="AE183" s="4">
        <f t="shared" si="20"/>
        <v>42909</v>
      </c>
      <c r="AF183" s="6">
        <f t="shared" si="21"/>
        <v>1.4420213514042324</v>
      </c>
      <c r="AG183" s="4">
        <v>42909</v>
      </c>
      <c r="AH183" s="6">
        <v>2.9590529999999999</v>
      </c>
      <c r="AI183" s="6">
        <v>-4.4667999999999999E-2</v>
      </c>
      <c r="AJ183" s="6">
        <v>-0.89061299999999999</v>
      </c>
      <c r="AK183" s="4">
        <v>42909</v>
      </c>
      <c r="AL183" s="6">
        <f>VLOOKUP(AK183,Sheet3!$A$1:$B$1113,2,FALSE)</f>
        <v>1.626954977402743</v>
      </c>
      <c r="AM183" s="6">
        <f t="shared" si="23"/>
        <v>1.4420213514042324</v>
      </c>
    </row>
    <row r="184" spans="17:39" x14ac:dyDescent="0.3">
      <c r="Q184">
        <f t="shared" si="24"/>
        <v>155</v>
      </c>
      <c r="R184" t="s">
        <v>72</v>
      </c>
      <c r="S184" s="13">
        <f t="shared" si="25"/>
        <v>42800.5</v>
      </c>
      <c r="T184" s="13">
        <v>42867</v>
      </c>
      <c r="U184" s="13">
        <v>42734</v>
      </c>
      <c r="V184" s="11">
        <v>0.60076399982318784</v>
      </c>
      <c r="W184" s="11">
        <v>9.3257502004429504E-2</v>
      </c>
      <c r="X184" s="11">
        <v>0.24142043841876171</v>
      </c>
      <c r="Y184" s="11">
        <v>6.4558059753621042E-2</v>
      </c>
      <c r="Z184" s="11">
        <v>0.87502515897647437</v>
      </c>
      <c r="AC184">
        <f t="shared" si="22"/>
        <v>0</v>
      </c>
      <c r="AD184">
        <v>181</v>
      </c>
      <c r="AE184" s="4">
        <f t="shared" si="20"/>
        <v>42916</v>
      </c>
      <c r="AF184" s="6">
        <f t="shared" si="21"/>
        <v>1.403638110028349</v>
      </c>
      <c r="AG184" s="4">
        <v>42916</v>
      </c>
      <c r="AH184" s="6">
        <v>1.212145</v>
      </c>
      <c r="AI184" s="6">
        <v>2.1270419999999999</v>
      </c>
      <c r="AJ184" s="6">
        <v>1.207822</v>
      </c>
      <c r="AK184" s="4">
        <v>42916</v>
      </c>
      <c r="AL184" s="6">
        <f>VLOOKUP(AK184,Sheet3!$A$1:$B$1113,2,FALSE)</f>
        <v>1.649791537498571</v>
      </c>
      <c r="AM184" s="6">
        <f t="shared" si="23"/>
        <v>1.403638110028349</v>
      </c>
    </row>
    <row r="185" spans="17:39" x14ac:dyDescent="0.3">
      <c r="Q185">
        <f t="shared" si="24"/>
        <v>156</v>
      </c>
      <c r="R185" t="s">
        <v>72</v>
      </c>
      <c r="S185" s="13">
        <f t="shared" si="25"/>
        <v>42807.5</v>
      </c>
      <c r="T185" s="13">
        <v>42874</v>
      </c>
      <c r="U185" s="13">
        <v>42741</v>
      </c>
      <c r="V185" s="11">
        <v>0.58216845067775513</v>
      </c>
      <c r="W185" s="11">
        <v>0.13583984647253117</v>
      </c>
      <c r="X185" s="11">
        <v>0.21681695578995322</v>
      </c>
      <c r="Y185" s="11">
        <v>6.5174747059760438E-2</v>
      </c>
      <c r="Z185" s="11">
        <v>0.881429768768759</v>
      </c>
      <c r="AC185">
        <f t="shared" si="22"/>
        <v>0</v>
      </c>
      <c r="AD185">
        <v>182</v>
      </c>
      <c r="AE185" s="4">
        <f t="shared" si="20"/>
        <v>42923</v>
      </c>
      <c r="AF185" s="6">
        <f t="shared" si="21"/>
        <v>0.54760700557872077</v>
      </c>
      <c r="AG185" s="4">
        <v>42923</v>
      </c>
      <c r="AH185" s="6">
        <v>-0.2964</v>
      </c>
      <c r="AI185" s="6">
        <v>1.4312959999999999</v>
      </c>
      <c r="AJ185" s="6">
        <v>2.1112109999999999</v>
      </c>
      <c r="AK185" s="4">
        <v>42923</v>
      </c>
      <c r="AL185" s="6">
        <f>VLOOKUP(AK185,Sheet3!$A$1:$B$1113,2,FALSE)</f>
        <v>1.6588259115353581</v>
      </c>
      <c r="AM185" s="6">
        <f t="shared" si="23"/>
        <v>0.54760700557872077</v>
      </c>
    </row>
    <row r="186" spans="17:39" x14ac:dyDescent="0.3">
      <c r="Q186">
        <f t="shared" si="24"/>
        <v>157</v>
      </c>
      <c r="R186" t="s">
        <v>72</v>
      </c>
      <c r="S186" s="13">
        <f t="shared" si="25"/>
        <v>42814.5</v>
      </c>
      <c r="T186" s="13">
        <v>42881</v>
      </c>
      <c r="U186" s="13">
        <v>42748</v>
      </c>
      <c r="V186" s="11">
        <v>0.38573236314858772</v>
      </c>
      <c r="W186" s="11">
        <v>0.27265798631108751</v>
      </c>
      <c r="X186" s="11">
        <v>0.18504951354835486</v>
      </c>
      <c r="Y186" s="11">
        <v>0.15656013699196991</v>
      </c>
      <c r="Z186" s="11">
        <v>0.85989381395833475</v>
      </c>
      <c r="AC186">
        <f t="shared" si="22"/>
        <v>0</v>
      </c>
      <c r="AD186">
        <v>183</v>
      </c>
      <c r="AE186" s="4">
        <f t="shared" si="20"/>
        <v>42930</v>
      </c>
      <c r="AF186" s="6">
        <f t="shared" si="21"/>
        <v>-0.7878954372888991</v>
      </c>
      <c r="AG186" s="4">
        <v>42930</v>
      </c>
      <c r="AH186" s="6">
        <v>1.2900879999999999</v>
      </c>
      <c r="AI186" s="6">
        <v>-1.5623339999999999</v>
      </c>
      <c r="AJ186" s="6">
        <v>-2.4949650000000001</v>
      </c>
      <c r="AK186" s="4">
        <v>42930</v>
      </c>
      <c r="AL186" s="6">
        <f>VLOOKUP(AK186,Sheet3!$A$1:$B$1113,2,FALSE)</f>
        <v>1.645756097865805</v>
      </c>
      <c r="AM186" s="6">
        <f t="shared" si="23"/>
        <v>-0.7878954372888991</v>
      </c>
    </row>
    <row r="187" spans="17:39" x14ac:dyDescent="0.3">
      <c r="Q187">
        <f t="shared" si="24"/>
        <v>158</v>
      </c>
      <c r="R187" t="s">
        <v>72</v>
      </c>
      <c r="S187" s="13">
        <f t="shared" si="25"/>
        <v>42821.5</v>
      </c>
      <c r="T187" s="13">
        <v>42888</v>
      </c>
      <c r="U187" s="13">
        <v>42755</v>
      </c>
      <c r="V187" s="11">
        <v>0.35879030674876872</v>
      </c>
      <c r="W187" s="11">
        <v>0.31963993410253755</v>
      </c>
      <c r="X187" s="11">
        <v>0.12760080737842733</v>
      </c>
      <c r="Y187" s="11">
        <v>0.19396895177026635</v>
      </c>
      <c r="Z187" s="11">
        <v>0.85407242720738652</v>
      </c>
      <c r="AC187">
        <f t="shared" si="22"/>
        <v>0</v>
      </c>
      <c r="AD187">
        <v>184</v>
      </c>
      <c r="AE187" s="4">
        <f t="shared" si="20"/>
        <v>42937</v>
      </c>
      <c r="AF187" s="6">
        <f t="shared" si="21"/>
        <v>0.21759229596212126</v>
      </c>
      <c r="AG187" s="4">
        <v>42937</v>
      </c>
      <c r="AH187" s="6">
        <v>0.68871099999999996</v>
      </c>
      <c r="AI187" s="6">
        <v>-4.2935000000000001E-2</v>
      </c>
      <c r="AJ187" s="6">
        <v>-2.4279299999999999</v>
      </c>
      <c r="AK187" s="4">
        <v>42937</v>
      </c>
      <c r="AL187" s="6">
        <f>VLOOKUP(AK187,Sheet3!$A$1:$B$1113,2,FALSE)</f>
        <v>1.6493371363450879</v>
      </c>
      <c r="AM187" s="6">
        <f t="shared" si="23"/>
        <v>0.21759229596212126</v>
      </c>
    </row>
    <row r="188" spans="17:39" x14ac:dyDescent="0.3">
      <c r="Q188">
        <f t="shared" si="24"/>
        <v>159</v>
      </c>
      <c r="R188" t="s">
        <v>72</v>
      </c>
      <c r="S188" s="13">
        <f t="shared" si="25"/>
        <v>42828</v>
      </c>
      <c r="T188" s="13">
        <v>42895</v>
      </c>
      <c r="U188" s="13">
        <v>42761</v>
      </c>
      <c r="V188" s="11">
        <v>0.44804946747214952</v>
      </c>
      <c r="W188" s="11">
        <v>0.32606531802746147</v>
      </c>
      <c r="X188" s="11">
        <v>0.13679418290253331</v>
      </c>
      <c r="Y188" s="11">
        <v>8.9091031597855738E-2</v>
      </c>
      <c r="Z188" s="11">
        <v>0.87053466632974796</v>
      </c>
      <c r="AC188">
        <f t="shared" si="22"/>
        <v>0</v>
      </c>
      <c r="AD188">
        <v>185</v>
      </c>
      <c r="AE188" s="4">
        <f t="shared" si="20"/>
        <v>42944</v>
      </c>
      <c r="AF188" s="6">
        <f t="shared" si="21"/>
        <v>0.37216854744532846</v>
      </c>
      <c r="AG188" s="4">
        <v>42944</v>
      </c>
      <c r="AH188" s="6">
        <v>-0.17985899999999999</v>
      </c>
      <c r="AI188" s="6">
        <v>1.458593</v>
      </c>
      <c r="AJ188" s="6">
        <v>1.8406990000000001</v>
      </c>
      <c r="AK188" s="4">
        <v>42944</v>
      </c>
      <c r="AL188" s="6">
        <f>VLOOKUP(AK188,Sheet3!$A$1:$B$1113,2,FALSE)</f>
        <v>1.6554754504078999</v>
      </c>
      <c r="AM188" s="6">
        <f t="shared" si="23"/>
        <v>0.37216854744532846</v>
      </c>
    </row>
    <row r="189" spans="17:39" x14ac:dyDescent="0.3">
      <c r="Q189">
        <f t="shared" si="24"/>
        <v>160</v>
      </c>
      <c r="R189" t="s">
        <v>72</v>
      </c>
      <c r="S189" s="13">
        <f t="shared" si="25"/>
        <v>42835.5</v>
      </c>
      <c r="T189" s="13">
        <v>42902</v>
      </c>
      <c r="U189" s="13">
        <v>42769</v>
      </c>
      <c r="V189" s="11">
        <v>0.44241845563925847</v>
      </c>
      <c r="W189" s="11">
        <v>0.31772018671070668</v>
      </c>
      <c r="X189" s="11">
        <v>0.1437596150817845</v>
      </c>
      <c r="Y189" s="11">
        <v>9.6101742568250367E-2</v>
      </c>
      <c r="Z189" s="11">
        <v>0.8676849206153564</v>
      </c>
      <c r="AC189">
        <f t="shared" si="22"/>
        <v>0</v>
      </c>
      <c r="AD189">
        <v>186</v>
      </c>
      <c r="AE189" s="4">
        <f t="shared" si="20"/>
        <v>42951</v>
      </c>
      <c r="AF189" s="6">
        <f t="shared" si="21"/>
        <v>-0.84219273708900921</v>
      </c>
      <c r="AG189" s="4">
        <v>42951</v>
      </c>
      <c r="AH189" s="6">
        <v>-0.38452999999999998</v>
      </c>
      <c r="AI189" s="6">
        <v>0.15528700000000001</v>
      </c>
      <c r="AJ189" s="6">
        <v>3.9773999999999997E-2</v>
      </c>
      <c r="AK189" s="4">
        <v>42951</v>
      </c>
      <c r="AL189" s="6">
        <f>VLOOKUP(AK189,Sheet3!$A$1:$B$1113,2,FALSE)</f>
        <v>1.6415331564002731</v>
      </c>
      <c r="AM189" s="6">
        <f t="shared" si="23"/>
        <v>-0.84219273708900921</v>
      </c>
    </row>
    <row r="190" spans="17:39" x14ac:dyDescent="0.3">
      <c r="Q190">
        <f t="shared" si="24"/>
        <v>161</v>
      </c>
      <c r="R190" t="s">
        <v>72</v>
      </c>
      <c r="S190" s="13">
        <f t="shared" si="25"/>
        <v>42842.5</v>
      </c>
      <c r="T190" s="13">
        <v>42909</v>
      </c>
      <c r="U190" s="13">
        <v>42776</v>
      </c>
      <c r="V190" s="11">
        <v>0.46960325843254758</v>
      </c>
      <c r="W190" s="11">
        <v>0.30646036867814391</v>
      </c>
      <c r="X190" s="11">
        <v>0.14588780854324937</v>
      </c>
      <c r="Y190" s="11">
        <v>7.8048564346059182E-2</v>
      </c>
      <c r="Z190" s="11">
        <v>0.8699970877044364</v>
      </c>
      <c r="AC190">
        <f t="shared" si="22"/>
        <v>0</v>
      </c>
      <c r="AD190">
        <v>187</v>
      </c>
      <c r="AE190" s="4">
        <f t="shared" si="20"/>
        <v>42958</v>
      </c>
      <c r="AF190" s="6">
        <f t="shared" si="21"/>
        <v>-0.32323848984913139</v>
      </c>
      <c r="AG190" s="4">
        <v>42958</v>
      </c>
      <c r="AH190" s="6">
        <v>-1.6244909999999999</v>
      </c>
      <c r="AI190" s="6">
        <v>-1.026885</v>
      </c>
      <c r="AJ190" s="6">
        <v>-0.822071</v>
      </c>
      <c r="AK190" s="4">
        <v>42958</v>
      </c>
      <c r="AL190" s="6">
        <f>VLOOKUP(AK190,Sheet3!$A$1:$B$1113,2,FALSE)</f>
        <v>1.636227089415152</v>
      </c>
      <c r="AM190" s="6">
        <f t="shared" si="23"/>
        <v>-0.32323848984913139</v>
      </c>
    </row>
    <row r="191" spans="17:39" x14ac:dyDescent="0.3">
      <c r="Q191">
        <f t="shared" si="24"/>
        <v>162</v>
      </c>
      <c r="R191" t="s">
        <v>72</v>
      </c>
      <c r="S191" s="13">
        <f t="shared" si="25"/>
        <v>42849.5</v>
      </c>
      <c r="T191" s="13">
        <v>42916</v>
      </c>
      <c r="U191" s="13">
        <v>42783</v>
      </c>
      <c r="V191" s="11">
        <v>0.46911478485281605</v>
      </c>
      <c r="W191" s="11">
        <v>0.30808955045856873</v>
      </c>
      <c r="X191" s="11">
        <v>0.14456812279450779</v>
      </c>
      <c r="Y191" s="11">
        <v>7.8227541894107411E-2</v>
      </c>
      <c r="Z191" s="11">
        <v>0.86768024835879998</v>
      </c>
      <c r="AC191">
        <f t="shared" si="22"/>
        <v>0</v>
      </c>
      <c r="AD191">
        <v>188</v>
      </c>
      <c r="AE191" s="4">
        <f t="shared" si="20"/>
        <v>42965</v>
      </c>
      <c r="AF191" s="6">
        <f t="shared" si="21"/>
        <v>2.0671573364475115</v>
      </c>
      <c r="AG191" s="4">
        <v>42965</v>
      </c>
      <c r="AH191" s="6">
        <v>2.120018</v>
      </c>
      <c r="AI191" s="6">
        <v>3.0280740000000002</v>
      </c>
      <c r="AJ191" s="6">
        <v>3.3793600000000001</v>
      </c>
      <c r="AK191" s="4">
        <v>42965</v>
      </c>
      <c r="AL191" s="6">
        <f>VLOOKUP(AK191,Sheet3!$A$1:$B$1113,2,FALSE)</f>
        <v>1.670050477734939</v>
      </c>
      <c r="AM191" s="6">
        <f t="shared" si="23"/>
        <v>2.0671573364475115</v>
      </c>
    </row>
    <row r="192" spans="17:39" x14ac:dyDescent="0.3">
      <c r="Q192">
        <f t="shared" si="24"/>
        <v>163</v>
      </c>
      <c r="R192" t="s">
        <v>72</v>
      </c>
      <c r="S192" s="13">
        <f t="shared" si="25"/>
        <v>42856.5</v>
      </c>
      <c r="T192" s="13">
        <v>42923</v>
      </c>
      <c r="U192" s="13">
        <v>42790</v>
      </c>
      <c r="V192" s="11">
        <v>0.4712700734989092</v>
      </c>
      <c r="W192" s="11">
        <v>0.30845232279928786</v>
      </c>
      <c r="X192" s="11">
        <v>0.14210067854607658</v>
      </c>
      <c r="Y192" s="11">
        <v>7.8176925155726287E-2</v>
      </c>
      <c r="Z192" s="11">
        <v>0.86734039477798108</v>
      </c>
      <c r="AC192">
        <f t="shared" si="22"/>
        <v>0</v>
      </c>
      <c r="AD192">
        <v>189</v>
      </c>
      <c r="AE192" s="4">
        <f t="shared" si="20"/>
        <v>42972</v>
      </c>
      <c r="AF192" s="6">
        <f t="shared" si="21"/>
        <v>0.62364705559960765</v>
      </c>
      <c r="AG192" s="4">
        <v>42972</v>
      </c>
      <c r="AH192" s="6">
        <v>1.908344</v>
      </c>
      <c r="AI192" s="6">
        <v>-1.9300999999999999E-2</v>
      </c>
      <c r="AJ192" s="6">
        <v>-0.221079</v>
      </c>
      <c r="AK192" s="4">
        <v>42972</v>
      </c>
      <c r="AL192" s="6">
        <f>VLOOKUP(AK192,Sheet3!$A$1:$B$1113,2,FALSE)</f>
        <v>1.68046569836636</v>
      </c>
      <c r="AM192" s="6">
        <f t="shared" si="23"/>
        <v>0.62364705559960765</v>
      </c>
    </row>
    <row r="193" spans="17:39" x14ac:dyDescent="0.3">
      <c r="Q193">
        <f t="shared" si="24"/>
        <v>164</v>
      </c>
      <c r="R193" t="s">
        <v>72</v>
      </c>
      <c r="S193" s="13">
        <f t="shared" si="25"/>
        <v>42863.5</v>
      </c>
      <c r="T193" s="13">
        <v>42930</v>
      </c>
      <c r="U193" s="13">
        <v>42797</v>
      </c>
      <c r="V193" s="11">
        <v>0.44640045818324292</v>
      </c>
      <c r="W193" s="11">
        <v>0.30800506428833679</v>
      </c>
      <c r="X193" s="11">
        <v>0.15536478186821062</v>
      </c>
      <c r="Y193" s="11">
        <v>9.0229695660209649E-2</v>
      </c>
      <c r="Z193" s="11">
        <v>0.85307940284321027</v>
      </c>
      <c r="AC193">
        <f t="shared" si="22"/>
        <v>0</v>
      </c>
      <c r="AD193">
        <v>190</v>
      </c>
      <c r="AE193" s="4">
        <f t="shared" si="20"/>
        <v>42979</v>
      </c>
      <c r="AF193" s="6">
        <f t="shared" si="21"/>
        <v>2.3536110917270481</v>
      </c>
      <c r="AG193" s="4">
        <v>42979</v>
      </c>
      <c r="AH193" s="6">
        <v>0.91639000000000004</v>
      </c>
      <c r="AI193" s="6">
        <v>2.8357869999999998</v>
      </c>
      <c r="AJ193" s="6">
        <v>2.389106</v>
      </c>
      <c r="AK193" s="4">
        <v>42979</v>
      </c>
      <c r="AL193" s="6">
        <f>VLOOKUP(AK193,Sheet3!$A$1:$B$1113,2,FALSE)</f>
        <v>1.7200173254357789</v>
      </c>
      <c r="AM193" s="6">
        <f t="shared" si="23"/>
        <v>2.3536110917270481</v>
      </c>
    </row>
    <row r="194" spans="17:39" x14ac:dyDescent="0.3">
      <c r="Q194">
        <f t="shared" si="24"/>
        <v>165</v>
      </c>
      <c r="R194" t="s">
        <v>72</v>
      </c>
      <c r="S194" s="13">
        <f t="shared" si="25"/>
        <v>42870.5</v>
      </c>
      <c r="T194" s="13">
        <v>42937</v>
      </c>
      <c r="U194" s="13">
        <v>42804</v>
      </c>
      <c r="V194" s="11">
        <v>0.46953444233192454</v>
      </c>
      <c r="W194" s="11">
        <v>0.33567470397173771</v>
      </c>
      <c r="X194" s="11">
        <v>0.12968622658253767</v>
      </c>
      <c r="Y194" s="11">
        <v>6.5104627113800093E-2</v>
      </c>
      <c r="Z194" s="11">
        <v>0.86481983201629153</v>
      </c>
      <c r="AC194">
        <f t="shared" si="22"/>
        <v>0</v>
      </c>
      <c r="AD194">
        <v>191</v>
      </c>
      <c r="AE194" s="4">
        <f t="shared" si="20"/>
        <v>42986</v>
      </c>
      <c r="AF194" s="6">
        <f t="shared" si="21"/>
        <v>0.29147320523379427</v>
      </c>
      <c r="AG194" s="4">
        <v>42986</v>
      </c>
      <c r="AH194" s="6">
        <v>-0.118751</v>
      </c>
      <c r="AI194" s="6">
        <v>0.73052899999999998</v>
      </c>
      <c r="AJ194" s="6">
        <v>1.2776719999999999</v>
      </c>
      <c r="AK194" s="4">
        <v>42986</v>
      </c>
      <c r="AL194" s="6">
        <f>VLOOKUP(AK194,Sheet3!$A$1:$B$1113,2,FALSE)</f>
        <v>1.725030715064803</v>
      </c>
      <c r="AM194" s="6">
        <f t="shared" si="23"/>
        <v>0.29147320523379427</v>
      </c>
    </row>
    <row r="195" spans="17:39" x14ac:dyDescent="0.3">
      <c r="Q195">
        <f t="shared" si="24"/>
        <v>166</v>
      </c>
      <c r="R195" t="s">
        <v>72</v>
      </c>
      <c r="S195" s="13">
        <f t="shared" si="25"/>
        <v>42877.5</v>
      </c>
      <c r="T195" s="13">
        <v>42944</v>
      </c>
      <c r="U195" s="13">
        <v>42811</v>
      </c>
      <c r="V195" s="11">
        <v>0.46624196780365912</v>
      </c>
      <c r="W195" s="11">
        <v>0.35411973990076873</v>
      </c>
      <c r="X195" s="11">
        <v>0.11074760294175955</v>
      </c>
      <c r="Y195" s="11">
        <v>6.8890689353812581E-2</v>
      </c>
      <c r="Z195" s="11">
        <v>0.86844993746675958</v>
      </c>
      <c r="AC195">
        <f t="shared" si="22"/>
        <v>0</v>
      </c>
      <c r="AD195">
        <v>192</v>
      </c>
      <c r="AE195" s="4">
        <f t="shared" si="20"/>
        <v>42993</v>
      </c>
      <c r="AF195" s="6">
        <f t="shared" si="21"/>
        <v>0.51480554327447692</v>
      </c>
      <c r="AG195" s="4">
        <v>42993</v>
      </c>
      <c r="AH195" s="6">
        <v>0.138709</v>
      </c>
      <c r="AI195" s="6">
        <v>0.72801800000000005</v>
      </c>
      <c r="AJ195" s="6">
        <v>0.53286900000000004</v>
      </c>
      <c r="AK195" s="4">
        <v>42993</v>
      </c>
      <c r="AL195" s="6">
        <f>VLOOKUP(AK195,Sheet3!$A$1:$B$1113,2,FALSE)</f>
        <v>1.733911268809144</v>
      </c>
      <c r="AM195" s="6">
        <f t="shared" si="23"/>
        <v>0.51480554327447692</v>
      </c>
    </row>
    <row r="196" spans="17:39" x14ac:dyDescent="0.3">
      <c r="Q196">
        <f t="shared" si="24"/>
        <v>167</v>
      </c>
      <c r="R196" t="s">
        <v>72</v>
      </c>
      <c r="S196" s="13">
        <f t="shared" si="25"/>
        <v>42884.5</v>
      </c>
      <c r="T196" s="13">
        <v>42951</v>
      </c>
      <c r="U196" s="13">
        <v>42818</v>
      </c>
      <c r="V196" s="11">
        <v>0.47831755223870748</v>
      </c>
      <c r="W196" s="11">
        <v>0.33134902373228425</v>
      </c>
      <c r="X196" s="11">
        <v>0.12537205553054548</v>
      </c>
      <c r="Y196" s="11">
        <v>6.4961368498462776E-2</v>
      </c>
      <c r="Z196" s="11">
        <v>0.85823514889955166</v>
      </c>
      <c r="AC196">
        <f t="shared" si="22"/>
        <v>0</v>
      </c>
      <c r="AD196">
        <v>193</v>
      </c>
      <c r="AE196" s="4">
        <f t="shared" si="20"/>
        <v>43000</v>
      </c>
      <c r="AF196" s="6">
        <f t="shared" si="21"/>
        <v>-1.1556792904499069E-2</v>
      </c>
      <c r="AG196" s="4">
        <v>43000</v>
      </c>
      <c r="AH196" s="6">
        <v>0.16793</v>
      </c>
      <c r="AI196" s="6">
        <v>-0.75556999999999996</v>
      </c>
      <c r="AJ196" s="6">
        <v>-0.39134099999999999</v>
      </c>
      <c r="AK196" s="4">
        <v>43000</v>
      </c>
      <c r="AL196" s="6">
        <f>VLOOKUP(AK196,Sheet3!$A$1:$B$1113,2,FALSE)</f>
        <v>1.73371088427466</v>
      </c>
      <c r="AM196" s="6">
        <f t="shared" si="23"/>
        <v>-1.1556792904499069E-2</v>
      </c>
    </row>
    <row r="197" spans="17:39" x14ac:dyDescent="0.3">
      <c r="Q197">
        <f t="shared" si="24"/>
        <v>168</v>
      </c>
      <c r="R197" t="s">
        <v>72</v>
      </c>
      <c r="S197" s="13">
        <f t="shared" si="25"/>
        <v>42891.5</v>
      </c>
      <c r="T197" s="13">
        <v>42958</v>
      </c>
      <c r="U197" s="13">
        <v>42825</v>
      </c>
      <c r="V197" s="11">
        <v>0.43709914003430073</v>
      </c>
      <c r="W197" s="11">
        <v>0.26790160199456636</v>
      </c>
      <c r="X197" s="11">
        <v>0.17027964321458164</v>
      </c>
      <c r="Y197" s="11">
        <v>0.12471961475655126</v>
      </c>
      <c r="Z197" s="11">
        <v>0.84409533165582085</v>
      </c>
      <c r="AC197">
        <f t="shared" si="22"/>
        <v>0</v>
      </c>
      <c r="AD197">
        <v>194</v>
      </c>
      <c r="AE197" s="4">
        <f t="shared" ref="AE197:AE260" si="26">AG197</f>
        <v>43007</v>
      </c>
      <c r="AF197" s="6">
        <f t="shared" ref="AF197:AF260" si="27">AM197</f>
        <v>0.95545467158621999</v>
      </c>
      <c r="AG197" s="4">
        <v>43007</v>
      </c>
      <c r="AH197" s="6">
        <v>-3.2027E-2</v>
      </c>
      <c r="AI197" s="6">
        <v>0.47548800000000002</v>
      </c>
      <c r="AJ197" s="6">
        <v>-9.0964000000000003E-2</v>
      </c>
      <c r="AK197" s="4">
        <v>43007</v>
      </c>
      <c r="AL197" s="6">
        <f>VLOOKUP(AK197,Sheet3!$A$1:$B$1113,2,FALSE)</f>
        <v>1.7502757059102609</v>
      </c>
      <c r="AM197" s="6">
        <f t="shared" si="23"/>
        <v>0.95545467158621999</v>
      </c>
    </row>
    <row r="198" spans="17:39" x14ac:dyDescent="0.3">
      <c r="Q198">
        <f t="shared" si="24"/>
        <v>169</v>
      </c>
      <c r="R198" t="s">
        <v>72</v>
      </c>
      <c r="S198" s="13">
        <f t="shared" si="25"/>
        <v>42898.5</v>
      </c>
      <c r="T198" s="13">
        <v>42965</v>
      </c>
      <c r="U198" s="13">
        <v>42832</v>
      </c>
      <c r="V198" s="11">
        <v>0.41850214826929355</v>
      </c>
      <c r="W198" s="11">
        <v>0.28308426556127686</v>
      </c>
      <c r="X198" s="11">
        <v>0.14886012547270014</v>
      </c>
      <c r="Y198" s="11">
        <v>0.14955346069672942</v>
      </c>
      <c r="Z198" s="11">
        <v>0.84686449120044738</v>
      </c>
      <c r="AC198">
        <f t="shared" ref="AC198:AC261" si="28">IF(AE198&lt;=AE197,1,0)</f>
        <v>0</v>
      </c>
      <c r="AD198">
        <v>195</v>
      </c>
      <c r="AE198" s="4">
        <f t="shared" si="26"/>
        <v>43021</v>
      </c>
      <c r="AF198" s="6">
        <f t="shared" si="27"/>
        <v>1.9638838995452712</v>
      </c>
      <c r="AG198" s="4">
        <v>43021</v>
      </c>
      <c r="AH198" s="6">
        <v>2.2025380000000001</v>
      </c>
      <c r="AI198" s="6">
        <v>1.6137140000000001</v>
      </c>
      <c r="AJ198" s="6">
        <v>1.655491</v>
      </c>
      <c r="AK198" s="4">
        <v>43021</v>
      </c>
      <c r="AL198" s="6">
        <f>VLOOKUP(AK198,Sheet3!$A$1:$B$1113,2,FALSE)</f>
        <v>1.7846490886962849</v>
      </c>
      <c r="AM198" s="6">
        <f t="shared" ref="AM198:AM261" si="29">(AL198/AL197-1)*100</f>
        <v>1.9638838995452712</v>
      </c>
    </row>
    <row r="199" spans="17:39" x14ac:dyDescent="0.3">
      <c r="Q199">
        <f t="shared" si="24"/>
        <v>170</v>
      </c>
      <c r="R199" t="s">
        <v>72</v>
      </c>
      <c r="S199" s="13">
        <f t="shared" si="25"/>
        <v>42905.5</v>
      </c>
      <c r="T199" s="13">
        <v>42972</v>
      </c>
      <c r="U199" s="13">
        <v>42839</v>
      </c>
      <c r="V199" s="11">
        <v>0.40737171948293432</v>
      </c>
      <c r="W199" s="11">
        <v>0.27577386410100907</v>
      </c>
      <c r="X199" s="11">
        <v>0.15179406602274648</v>
      </c>
      <c r="Y199" s="11">
        <v>0.16506035039331013</v>
      </c>
      <c r="Z199" s="11">
        <v>0.83166376855754109</v>
      </c>
      <c r="AC199">
        <f t="shared" si="28"/>
        <v>0</v>
      </c>
      <c r="AD199">
        <v>196</v>
      </c>
      <c r="AE199" s="4">
        <f t="shared" si="26"/>
        <v>43028</v>
      </c>
      <c r="AF199" s="6">
        <f t="shared" si="27"/>
        <v>-0.28886529939333716</v>
      </c>
      <c r="AG199" s="4">
        <v>43028</v>
      </c>
      <c r="AH199" s="6">
        <v>0.149204</v>
      </c>
      <c r="AI199" s="6">
        <v>-2.0625360000000001</v>
      </c>
      <c r="AJ199" s="6">
        <v>-2.7719490000000002</v>
      </c>
      <c r="AK199" s="4">
        <v>43028</v>
      </c>
      <c r="AL199" s="6">
        <f>VLOOKUP(AK199,Sheet3!$A$1:$B$1113,2,FALSE)</f>
        <v>1.779493856763102</v>
      </c>
      <c r="AM199" s="6">
        <f t="shared" si="29"/>
        <v>-0.28886529939333716</v>
      </c>
    </row>
    <row r="200" spans="17:39" x14ac:dyDescent="0.3">
      <c r="Q200">
        <f t="shared" si="24"/>
        <v>171</v>
      </c>
      <c r="R200" t="s">
        <v>72</v>
      </c>
      <c r="S200" s="13">
        <f t="shared" si="25"/>
        <v>42912.5</v>
      </c>
      <c r="T200" s="13">
        <v>42979</v>
      </c>
      <c r="U200" s="13">
        <v>42846</v>
      </c>
      <c r="V200" s="11">
        <v>0.35065757861217151</v>
      </c>
      <c r="W200" s="11">
        <v>0.48632852072370192</v>
      </c>
      <c r="X200" s="11">
        <v>1.369390637411195E-5</v>
      </c>
      <c r="Y200" s="11">
        <v>0.16300020675775254</v>
      </c>
      <c r="Z200" s="11">
        <v>0.8377181027128211</v>
      </c>
      <c r="AC200">
        <f t="shared" si="28"/>
        <v>0</v>
      </c>
      <c r="AD200">
        <v>197</v>
      </c>
      <c r="AE200" s="4">
        <f t="shared" si="26"/>
        <v>43035</v>
      </c>
      <c r="AF200" s="6">
        <f t="shared" si="27"/>
        <v>2.2003652835894449</v>
      </c>
      <c r="AG200" s="4">
        <v>43035</v>
      </c>
      <c r="AH200" s="6">
        <v>2.4221840000000001</v>
      </c>
      <c r="AI200" s="6">
        <v>0.90364999999999995</v>
      </c>
      <c r="AJ200" s="6">
        <v>0.24878900000000001</v>
      </c>
      <c r="AK200" s="4">
        <v>43035</v>
      </c>
      <c r="AL200" s="6">
        <f>VLOOKUP(AK200,Sheet3!$A$1:$B$1113,2,FALSE)</f>
        <v>1.818649221810924</v>
      </c>
      <c r="AM200" s="6">
        <f t="shared" si="29"/>
        <v>2.2003652835894449</v>
      </c>
    </row>
    <row r="201" spans="17:39" x14ac:dyDescent="0.3">
      <c r="Q201">
        <f t="shared" si="24"/>
        <v>172</v>
      </c>
      <c r="R201" t="s">
        <v>72</v>
      </c>
      <c r="S201" s="13">
        <f t="shared" si="25"/>
        <v>42919.5</v>
      </c>
      <c r="T201" s="13">
        <v>42986</v>
      </c>
      <c r="U201" s="13">
        <v>42853</v>
      </c>
      <c r="V201" s="11">
        <v>0.3707178946085829</v>
      </c>
      <c r="W201" s="11">
        <v>0.44453625241974237</v>
      </c>
      <c r="X201" s="11">
        <v>8.138257460918423E-2</v>
      </c>
      <c r="Y201" s="11">
        <v>0.10336327836249053</v>
      </c>
      <c r="Z201" s="11">
        <v>0.87469546246303587</v>
      </c>
      <c r="AC201">
        <f t="shared" si="28"/>
        <v>0</v>
      </c>
      <c r="AD201">
        <v>198</v>
      </c>
      <c r="AE201" s="4">
        <f t="shared" si="26"/>
        <v>43042</v>
      </c>
      <c r="AF201" s="6">
        <f t="shared" si="27"/>
        <v>-1.2216179154473483</v>
      </c>
      <c r="AG201" s="4">
        <v>43042</v>
      </c>
      <c r="AH201" s="6">
        <v>-0.727746</v>
      </c>
      <c r="AI201" s="6">
        <v>-3.0739369999999999</v>
      </c>
      <c r="AJ201" s="6">
        <v>-3.7799839999999998</v>
      </c>
      <c r="AK201" s="4">
        <v>43042</v>
      </c>
      <c r="AL201" s="6">
        <f>VLOOKUP(AK201,Sheet3!$A$1:$B$1113,2,FALSE)</f>
        <v>1.796432277098138</v>
      </c>
      <c r="AM201" s="6">
        <f t="shared" si="29"/>
        <v>-1.2216179154473483</v>
      </c>
    </row>
    <row r="202" spans="17:39" x14ac:dyDescent="0.3">
      <c r="Q202">
        <f t="shared" si="24"/>
        <v>173</v>
      </c>
      <c r="R202" t="s">
        <v>72</v>
      </c>
      <c r="S202" s="13">
        <f t="shared" si="25"/>
        <v>42926.5</v>
      </c>
      <c r="T202" s="13">
        <v>42993</v>
      </c>
      <c r="U202" s="13">
        <v>42860</v>
      </c>
      <c r="V202" s="11">
        <v>0.37317149727295529</v>
      </c>
      <c r="W202" s="11">
        <v>0.47028386626301644</v>
      </c>
      <c r="X202" s="11">
        <v>6.89235849373869E-2</v>
      </c>
      <c r="Y202" s="11">
        <v>8.7621051526641333E-2</v>
      </c>
      <c r="Z202" s="11">
        <v>0.88213323193724091</v>
      </c>
      <c r="AC202">
        <f t="shared" si="28"/>
        <v>0</v>
      </c>
      <c r="AD202">
        <v>199</v>
      </c>
      <c r="AE202" s="4">
        <f t="shared" si="26"/>
        <v>43049</v>
      </c>
      <c r="AF202" s="6">
        <f t="shared" si="27"/>
        <v>3.8373278130445332</v>
      </c>
      <c r="AG202" s="4">
        <v>43049</v>
      </c>
      <c r="AH202" s="6">
        <v>2.9857830000000001</v>
      </c>
      <c r="AI202" s="6">
        <v>3.3333930000000001</v>
      </c>
      <c r="AJ202" s="6">
        <v>2.5811220000000001</v>
      </c>
      <c r="AK202" s="4">
        <v>43049</v>
      </c>
      <c r="AL202" s="6">
        <f>VLOOKUP(AK202,Sheet3!$A$1:$B$1113,2,FALSE)</f>
        <v>1.8653672725097341</v>
      </c>
      <c r="AM202" s="6">
        <f t="shared" si="29"/>
        <v>3.8373278130445332</v>
      </c>
    </row>
    <row r="203" spans="17:39" x14ac:dyDescent="0.3">
      <c r="Q203">
        <f t="shared" si="24"/>
        <v>174</v>
      </c>
      <c r="R203" t="s">
        <v>72</v>
      </c>
      <c r="S203" s="13">
        <f t="shared" si="25"/>
        <v>42933.5</v>
      </c>
      <c r="T203" s="13">
        <v>43000</v>
      </c>
      <c r="U203" s="13">
        <v>42867</v>
      </c>
      <c r="V203" s="11">
        <v>0.38999508085613033</v>
      </c>
      <c r="W203" s="11">
        <v>0.44241434284532216</v>
      </c>
      <c r="X203" s="11">
        <v>9.2410453414595875E-2</v>
      </c>
      <c r="Y203" s="11">
        <v>7.5180122883951706E-2</v>
      </c>
      <c r="Z203" s="11">
        <v>0.86654003392415446</v>
      </c>
      <c r="AC203">
        <f t="shared" si="28"/>
        <v>0</v>
      </c>
      <c r="AD203">
        <v>200</v>
      </c>
      <c r="AE203" s="4">
        <f t="shared" si="26"/>
        <v>43056</v>
      </c>
      <c r="AF203" s="6">
        <f t="shared" si="27"/>
        <v>-2.1349660538145465</v>
      </c>
      <c r="AG203" s="4">
        <v>43056</v>
      </c>
      <c r="AH203" s="6">
        <v>0.21740699999999999</v>
      </c>
      <c r="AI203" s="6">
        <v>-4.2051769999999999</v>
      </c>
      <c r="AJ203" s="6">
        <v>-5.1801370000000002</v>
      </c>
      <c r="AK203" s="4">
        <v>43056</v>
      </c>
      <c r="AL203" s="6">
        <f>VLOOKUP(AK203,Sheet3!$A$1:$B$1113,2,FALSE)</f>
        <v>1.825542314462685</v>
      </c>
      <c r="AM203" s="6">
        <f t="shared" si="29"/>
        <v>-2.1349660538145465</v>
      </c>
    </row>
    <row r="204" spans="17:39" x14ac:dyDescent="0.3">
      <c r="Q204">
        <f t="shared" si="24"/>
        <v>175</v>
      </c>
      <c r="R204" t="s">
        <v>72</v>
      </c>
      <c r="S204" s="13">
        <f t="shared" si="25"/>
        <v>42940.5</v>
      </c>
      <c r="T204" s="13">
        <v>43007</v>
      </c>
      <c r="U204" s="13">
        <v>42874</v>
      </c>
      <c r="V204" s="11">
        <v>0.33803592058174764</v>
      </c>
      <c r="W204" s="11">
        <v>0.60195811067792615</v>
      </c>
      <c r="X204" s="11">
        <v>1.3886096808791456E-2</v>
      </c>
      <c r="Y204" s="11">
        <v>4.611987193153478E-2</v>
      </c>
      <c r="Z204" s="11">
        <v>0.86212207922058048</v>
      </c>
      <c r="AC204">
        <f t="shared" si="28"/>
        <v>0</v>
      </c>
      <c r="AD204">
        <v>201</v>
      </c>
      <c r="AE204" s="4">
        <f t="shared" si="26"/>
        <v>43063</v>
      </c>
      <c r="AF204" s="6">
        <f t="shared" si="27"/>
        <v>-1.8667067713953878</v>
      </c>
      <c r="AG204" s="4">
        <v>43063</v>
      </c>
      <c r="AH204" s="6">
        <v>-0.40398000000000001</v>
      </c>
      <c r="AI204" s="6">
        <v>-1.318981</v>
      </c>
      <c r="AJ204" s="6">
        <v>-1.8301909999999999</v>
      </c>
      <c r="AK204" s="4">
        <v>43063</v>
      </c>
      <c r="AL204" s="6">
        <f>VLOOKUP(AK204,Sheet3!$A$1:$B$1113,2,FALSE)</f>
        <v>1.791464792463922</v>
      </c>
      <c r="AM204" s="6">
        <f t="shared" si="29"/>
        <v>-1.8667067713953878</v>
      </c>
    </row>
    <row r="205" spans="17:39" x14ac:dyDescent="0.3">
      <c r="Q205">
        <f t="shared" si="24"/>
        <v>176</v>
      </c>
      <c r="R205" t="s">
        <v>72</v>
      </c>
      <c r="S205" s="13">
        <f t="shared" si="25"/>
        <v>42951</v>
      </c>
      <c r="T205" s="13">
        <v>43021</v>
      </c>
      <c r="U205" s="13">
        <v>42881</v>
      </c>
      <c r="V205" s="11">
        <v>0.35026050297611683</v>
      </c>
      <c r="W205" s="11">
        <v>0.60239791424313194</v>
      </c>
      <c r="X205" s="11">
        <v>2.1234289361129529E-2</v>
      </c>
      <c r="Y205" s="11">
        <v>2.6107293419621713E-2</v>
      </c>
      <c r="Z205" s="11">
        <v>0.8687057887268157</v>
      </c>
      <c r="AC205">
        <f t="shared" si="28"/>
        <v>0</v>
      </c>
      <c r="AD205">
        <v>202</v>
      </c>
      <c r="AE205" s="4">
        <f t="shared" si="26"/>
        <v>43070</v>
      </c>
      <c r="AF205" s="6">
        <f t="shared" si="27"/>
        <v>-1.0760033999472007</v>
      </c>
      <c r="AG205" s="4">
        <v>43070</v>
      </c>
      <c r="AH205" s="6">
        <v>-2.5843479999999999</v>
      </c>
      <c r="AI205" s="6">
        <v>0.61131500000000005</v>
      </c>
      <c r="AJ205" s="6">
        <v>1.0676159999999999</v>
      </c>
      <c r="AK205" s="4">
        <v>43070</v>
      </c>
      <c r="AL205" s="6">
        <f>VLOOKUP(AK205,Sheet3!$A$1:$B$1113,2,FALSE)</f>
        <v>1.772188570388153</v>
      </c>
      <c r="AM205" s="6">
        <f t="shared" si="29"/>
        <v>-1.0760033999472007</v>
      </c>
    </row>
    <row r="206" spans="17:39" x14ac:dyDescent="0.3">
      <c r="Q206">
        <f t="shared" si="24"/>
        <v>177</v>
      </c>
      <c r="R206" t="s">
        <v>72</v>
      </c>
      <c r="S206" s="13">
        <f t="shared" si="25"/>
        <v>42958</v>
      </c>
      <c r="T206" s="13">
        <v>43028</v>
      </c>
      <c r="U206" s="13">
        <v>42888</v>
      </c>
      <c r="V206" s="11">
        <v>0.42244696772591911</v>
      </c>
      <c r="W206" s="11">
        <v>0.5376455601504524</v>
      </c>
      <c r="X206" s="11">
        <v>1.5199641375270807E-5</v>
      </c>
      <c r="Y206" s="11">
        <v>3.9892272482253292E-2</v>
      </c>
      <c r="Z206" s="11">
        <v>0.84435869354162296</v>
      </c>
      <c r="AC206">
        <f t="shared" si="28"/>
        <v>0</v>
      </c>
      <c r="AD206">
        <v>203</v>
      </c>
      <c r="AE206" s="4">
        <f t="shared" si="26"/>
        <v>43077</v>
      </c>
      <c r="AF206" s="6">
        <f t="shared" si="27"/>
        <v>-0.28104660227095124</v>
      </c>
      <c r="AG206" s="4">
        <v>43077</v>
      </c>
      <c r="AH206" s="6">
        <v>0.131129</v>
      </c>
      <c r="AI206" s="6">
        <v>-1.7931699999999999</v>
      </c>
      <c r="AJ206" s="6">
        <v>-1.909357</v>
      </c>
      <c r="AK206" s="4">
        <v>43077</v>
      </c>
      <c r="AL206" s="6">
        <f>VLOOKUP(AK206,Sheet3!$A$1:$B$1113,2,FALSE)</f>
        <v>1.767207894625243</v>
      </c>
      <c r="AM206" s="6">
        <f t="shared" si="29"/>
        <v>-0.28104660227095124</v>
      </c>
    </row>
    <row r="207" spans="17:39" x14ac:dyDescent="0.3">
      <c r="Q207">
        <f t="shared" si="24"/>
        <v>178</v>
      </c>
      <c r="R207" t="s">
        <v>72</v>
      </c>
      <c r="S207" s="13">
        <f t="shared" si="25"/>
        <v>42965</v>
      </c>
      <c r="T207" s="13">
        <v>43035</v>
      </c>
      <c r="U207" s="13">
        <v>42895</v>
      </c>
      <c r="V207" s="11">
        <v>0.46748178108382688</v>
      </c>
      <c r="W207" s="11">
        <v>0.52534337828432776</v>
      </c>
      <c r="X207" s="11">
        <v>9.7350257661852457E-6</v>
      </c>
      <c r="Y207" s="11">
        <v>7.1651056060791302E-3</v>
      </c>
      <c r="Z207" s="11">
        <v>0.83090565725972132</v>
      </c>
      <c r="AC207">
        <f t="shared" si="28"/>
        <v>0</v>
      </c>
      <c r="AD207">
        <v>204</v>
      </c>
      <c r="AE207" s="4">
        <f t="shared" si="26"/>
        <v>43084</v>
      </c>
      <c r="AF207" s="6">
        <f t="shared" si="27"/>
        <v>0.63275729911902445</v>
      </c>
      <c r="AG207" s="4">
        <v>43084</v>
      </c>
      <c r="AH207" s="6">
        <v>-0.56261000000000005</v>
      </c>
      <c r="AI207" s="6">
        <v>0.52582200000000001</v>
      </c>
      <c r="AJ207" s="6">
        <v>0.63220299999999996</v>
      </c>
      <c r="AK207" s="4">
        <v>43084</v>
      </c>
      <c r="AL207" s="6">
        <f>VLOOKUP(AK207,Sheet3!$A$1:$B$1113,2,FALSE)</f>
        <v>1.7783900315690919</v>
      </c>
      <c r="AM207" s="6">
        <f t="shared" si="29"/>
        <v>0.63275729911902445</v>
      </c>
    </row>
    <row r="208" spans="17:39" x14ac:dyDescent="0.3">
      <c r="Q208">
        <f t="shared" si="24"/>
        <v>179</v>
      </c>
      <c r="R208" t="s">
        <v>72</v>
      </c>
      <c r="S208" s="13">
        <f t="shared" si="25"/>
        <v>42972</v>
      </c>
      <c r="T208" s="13">
        <v>43042</v>
      </c>
      <c r="U208" s="13">
        <v>42902</v>
      </c>
      <c r="V208" s="11">
        <v>0.44560211113854403</v>
      </c>
      <c r="W208" s="11">
        <v>0.44010769242124737</v>
      </c>
      <c r="X208" s="11">
        <v>1.3829289478158586E-5</v>
      </c>
      <c r="Y208" s="11">
        <v>0.11427636715073049</v>
      </c>
      <c r="Z208" s="11">
        <v>0.80575416341779826</v>
      </c>
      <c r="AC208">
        <f t="shared" si="28"/>
        <v>0</v>
      </c>
      <c r="AD208">
        <v>205</v>
      </c>
      <c r="AE208" s="4">
        <f t="shared" si="26"/>
        <v>43091</v>
      </c>
      <c r="AF208" s="6">
        <f t="shared" si="27"/>
        <v>1.6017171778620387</v>
      </c>
      <c r="AG208" s="4">
        <v>43091</v>
      </c>
      <c r="AH208" s="6">
        <v>1.8524309999999999</v>
      </c>
      <c r="AI208" s="6">
        <v>0.114243</v>
      </c>
      <c r="AJ208" s="6">
        <v>-1.198283</v>
      </c>
      <c r="AK208" s="4">
        <v>43091</v>
      </c>
      <c r="AL208" s="6">
        <f>VLOOKUP(AK208,Sheet3!$A$1:$B$1113,2,FALSE)</f>
        <v>1.8068748101941201</v>
      </c>
      <c r="AM208" s="6">
        <f t="shared" si="29"/>
        <v>1.6017171778620387</v>
      </c>
    </row>
    <row r="209" spans="17:39" x14ac:dyDescent="0.3">
      <c r="Q209">
        <f t="shared" si="24"/>
        <v>180</v>
      </c>
      <c r="R209" t="s">
        <v>72</v>
      </c>
      <c r="S209" s="13">
        <f t="shared" si="25"/>
        <v>42979</v>
      </c>
      <c r="T209" s="13">
        <v>43049</v>
      </c>
      <c r="U209" s="13">
        <v>42909</v>
      </c>
      <c r="V209" s="11">
        <v>0.5022318763904724</v>
      </c>
      <c r="W209" s="11">
        <v>0.46998404836819657</v>
      </c>
      <c r="X209" s="11">
        <v>1.4208124248782961E-5</v>
      </c>
      <c r="Y209" s="11">
        <v>2.7769867117082275E-2</v>
      </c>
      <c r="Z209" s="11">
        <v>0.83930441452406102</v>
      </c>
      <c r="AC209">
        <f t="shared" si="28"/>
        <v>0</v>
      </c>
      <c r="AD209">
        <v>206</v>
      </c>
      <c r="AE209" s="4">
        <f t="shared" si="26"/>
        <v>43098</v>
      </c>
      <c r="AF209" s="6">
        <f t="shared" si="27"/>
        <v>-0.59277334575534857</v>
      </c>
      <c r="AG209" s="4">
        <v>43098</v>
      </c>
      <c r="AH209" s="6">
        <v>-0.58559399999999995</v>
      </c>
      <c r="AI209" s="6">
        <v>0.12712100000000001</v>
      </c>
      <c r="AJ209" s="6">
        <v>-0.28484999999999999</v>
      </c>
      <c r="AK209" s="4">
        <v>43098</v>
      </c>
      <c r="AL209" s="6">
        <f>VLOOKUP(AK209,Sheet3!$A$1:$B$1113,2,FALSE)</f>
        <v>1.7961641379281219</v>
      </c>
      <c r="AM209" s="6">
        <f t="shared" si="29"/>
        <v>-0.59277334575534857</v>
      </c>
    </row>
    <row r="210" spans="17:39" x14ac:dyDescent="0.3">
      <c r="Q210">
        <f t="shared" si="24"/>
        <v>181</v>
      </c>
      <c r="R210" t="s">
        <v>72</v>
      </c>
      <c r="S210" s="13">
        <f t="shared" si="25"/>
        <v>42986</v>
      </c>
      <c r="T210" s="13">
        <v>43056</v>
      </c>
      <c r="U210" s="13">
        <v>42916</v>
      </c>
      <c r="V210" s="11">
        <v>0.48766547330951743</v>
      </c>
      <c r="W210" s="11">
        <v>0.48964579284783533</v>
      </c>
      <c r="X210" s="11">
        <v>1.4475359316432402E-5</v>
      </c>
      <c r="Y210" s="11">
        <v>2.2674258483330805E-2</v>
      </c>
      <c r="Z210" s="11">
        <v>0.86893595414799385</v>
      </c>
      <c r="AC210">
        <f t="shared" si="28"/>
        <v>0</v>
      </c>
      <c r="AD210">
        <v>207</v>
      </c>
      <c r="AE210" s="4">
        <f t="shared" si="26"/>
        <v>43105</v>
      </c>
      <c r="AF210" s="6">
        <f t="shared" si="27"/>
        <v>2.2890634557757972</v>
      </c>
      <c r="AG210" s="4">
        <v>43105</v>
      </c>
      <c r="AH210" s="6">
        <v>2.676742</v>
      </c>
      <c r="AI210" s="6">
        <v>2.6625779999999999</v>
      </c>
      <c r="AJ210" s="6">
        <v>2.2731750000000002</v>
      </c>
      <c r="AK210" s="4">
        <v>43105</v>
      </c>
      <c r="AL210" s="6">
        <f>VLOOKUP(AK210,Sheet3!$A$1:$B$1113,2,FALSE)</f>
        <v>1.8372794748151851</v>
      </c>
      <c r="AM210" s="6">
        <f t="shared" si="29"/>
        <v>2.2890634557757972</v>
      </c>
    </row>
    <row r="211" spans="17:39" x14ac:dyDescent="0.3">
      <c r="Q211">
        <f t="shared" si="24"/>
        <v>182</v>
      </c>
      <c r="R211" t="s">
        <v>72</v>
      </c>
      <c r="S211" s="13">
        <f t="shared" si="25"/>
        <v>42993</v>
      </c>
      <c r="T211" s="13">
        <v>43063</v>
      </c>
      <c r="U211" s="13">
        <v>42923</v>
      </c>
      <c r="V211" s="11">
        <v>0.48722431242492237</v>
      </c>
      <c r="W211" s="11">
        <v>0.51275750493667061</v>
      </c>
      <c r="X211" s="11">
        <v>1.3551035146216512E-6</v>
      </c>
      <c r="Y211" s="11">
        <v>1.6827534892408408E-5</v>
      </c>
      <c r="Z211" s="11">
        <v>0.86148652597967379</v>
      </c>
      <c r="AC211">
        <f t="shared" si="28"/>
        <v>0</v>
      </c>
      <c r="AD211">
        <v>208</v>
      </c>
      <c r="AE211" s="4">
        <f t="shared" si="26"/>
        <v>43112</v>
      </c>
      <c r="AF211" s="6">
        <f t="shared" si="27"/>
        <v>0.5440153597845665</v>
      </c>
      <c r="AG211" s="4">
        <v>43112</v>
      </c>
      <c r="AH211" s="6">
        <v>2.083974</v>
      </c>
      <c r="AI211" s="6">
        <v>-0.27862399999999998</v>
      </c>
      <c r="AJ211" s="6">
        <v>-0.68330500000000005</v>
      </c>
      <c r="AK211" s="4">
        <v>43112</v>
      </c>
      <c r="AL211" s="6">
        <f>VLOOKUP(AK211,Sheet3!$A$1:$B$1113,2,FALSE)</f>
        <v>1.8472745573603491</v>
      </c>
      <c r="AM211" s="6">
        <f t="shared" si="29"/>
        <v>0.5440153597845665</v>
      </c>
    </row>
    <row r="212" spans="17:39" x14ac:dyDescent="0.3">
      <c r="Q212">
        <f t="shared" si="24"/>
        <v>183</v>
      </c>
      <c r="R212" t="s">
        <v>72</v>
      </c>
      <c r="S212" s="13">
        <f t="shared" si="25"/>
        <v>43000</v>
      </c>
      <c r="T212" s="13">
        <v>43070</v>
      </c>
      <c r="U212" s="13">
        <v>42930</v>
      </c>
      <c r="V212" s="11">
        <v>0.49242023184095524</v>
      </c>
      <c r="W212" s="11">
        <v>0.50755297532457855</v>
      </c>
      <c r="X212" s="11">
        <v>5.9190911963503477E-6</v>
      </c>
      <c r="Y212" s="11">
        <v>2.0873743269929062E-5</v>
      </c>
      <c r="Z212" s="11">
        <v>0.8676625906617319</v>
      </c>
      <c r="AC212">
        <f t="shared" si="28"/>
        <v>0</v>
      </c>
      <c r="AD212">
        <v>209</v>
      </c>
      <c r="AE212" s="4">
        <f t="shared" si="26"/>
        <v>43119</v>
      </c>
      <c r="AF212" s="6">
        <f t="shared" si="27"/>
        <v>-0.87276245150006426</v>
      </c>
      <c r="AG212" s="4">
        <v>43119</v>
      </c>
      <c r="AH212" s="6">
        <v>1.429443</v>
      </c>
      <c r="AI212" s="6">
        <v>-1.9844710000000001</v>
      </c>
      <c r="AJ212" s="6">
        <v>-2.6588229999999999</v>
      </c>
      <c r="AK212" s="4">
        <v>43119</v>
      </c>
      <c r="AL212" s="6">
        <f>VLOOKUP(AK212,Sheet3!$A$1:$B$1113,2,FALSE)</f>
        <v>1.831152238647594</v>
      </c>
      <c r="AM212" s="6">
        <f t="shared" si="29"/>
        <v>-0.87276245150006426</v>
      </c>
    </row>
    <row r="213" spans="17:39" x14ac:dyDescent="0.3">
      <c r="Q213">
        <f t="shared" si="24"/>
        <v>184</v>
      </c>
      <c r="R213" t="s">
        <v>72</v>
      </c>
      <c r="S213" s="13">
        <f t="shared" si="25"/>
        <v>43007</v>
      </c>
      <c r="T213" s="13">
        <v>43077</v>
      </c>
      <c r="U213" s="13">
        <v>42937</v>
      </c>
      <c r="V213" s="11">
        <v>0.53911870476003132</v>
      </c>
      <c r="W213" s="11">
        <v>0.46084686015835291</v>
      </c>
      <c r="X213" s="11">
        <v>1.1147114034893687E-5</v>
      </c>
      <c r="Y213" s="11">
        <v>2.328796758086864E-5</v>
      </c>
      <c r="Z213" s="11">
        <v>0.86979224140630662</v>
      </c>
      <c r="AC213">
        <f t="shared" si="28"/>
        <v>0</v>
      </c>
      <c r="AD213">
        <v>210</v>
      </c>
      <c r="AE213" s="4">
        <f t="shared" si="26"/>
        <v>43126</v>
      </c>
      <c r="AF213" s="6">
        <f t="shared" si="27"/>
        <v>2.1695823735483843</v>
      </c>
      <c r="AG213" s="4">
        <v>43126</v>
      </c>
      <c r="AH213" s="6">
        <v>2.2379410000000002</v>
      </c>
      <c r="AI213" s="6">
        <v>1.773668</v>
      </c>
      <c r="AJ213" s="6">
        <v>1.696401</v>
      </c>
      <c r="AK213" s="4">
        <v>43126</v>
      </c>
      <c r="AL213" s="6">
        <f>VLOOKUP(AK213,Sheet3!$A$1:$B$1113,2,FALSE)</f>
        <v>1.870880594850129</v>
      </c>
      <c r="AM213" s="6">
        <f t="shared" si="29"/>
        <v>2.1695823735483843</v>
      </c>
    </row>
    <row r="214" spans="17:39" x14ac:dyDescent="0.3">
      <c r="Q214">
        <f t="shared" si="24"/>
        <v>185</v>
      </c>
      <c r="R214" t="s">
        <v>72</v>
      </c>
      <c r="S214" s="13">
        <f t="shared" si="25"/>
        <v>43014</v>
      </c>
      <c r="T214" s="13">
        <v>43084</v>
      </c>
      <c r="U214" s="13">
        <v>42944</v>
      </c>
      <c r="V214" s="11">
        <v>0.52858768320657445</v>
      </c>
      <c r="W214" s="11">
        <v>0.47138437213831857</v>
      </c>
      <c r="X214" s="11">
        <v>5.1486358285546296E-6</v>
      </c>
      <c r="Y214" s="11">
        <v>2.27960192784355E-5</v>
      </c>
      <c r="Z214" s="11">
        <v>0.85955392593654811</v>
      </c>
      <c r="AC214">
        <f t="shared" si="28"/>
        <v>0</v>
      </c>
      <c r="AD214">
        <v>211</v>
      </c>
      <c r="AE214" s="4">
        <f t="shared" si="26"/>
        <v>43133</v>
      </c>
      <c r="AF214" s="6">
        <f t="shared" si="27"/>
        <v>-2.4950080626097493</v>
      </c>
      <c r="AG214" s="4">
        <v>43133</v>
      </c>
      <c r="AH214" s="6">
        <v>-2.5122</v>
      </c>
      <c r="AI214" s="6">
        <v>-5.9336419999999999</v>
      </c>
      <c r="AJ214" s="6">
        <v>-8.0519429999999996</v>
      </c>
      <c r="AK214" s="4">
        <v>43133</v>
      </c>
      <c r="AL214" s="6">
        <f>VLOOKUP(AK214,Sheet3!$A$1:$B$1113,2,FALSE)</f>
        <v>1.8242019731668171</v>
      </c>
      <c r="AM214" s="6">
        <f t="shared" si="29"/>
        <v>-2.4950080626097493</v>
      </c>
    </row>
    <row r="215" spans="17:39" x14ac:dyDescent="0.3">
      <c r="Q215">
        <f t="shared" si="24"/>
        <v>186</v>
      </c>
      <c r="R215" t="s">
        <v>72</v>
      </c>
      <c r="S215" s="13">
        <f t="shared" si="25"/>
        <v>43021</v>
      </c>
      <c r="T215" s="13">
        <v>43091</v>
      </c>
      <c r="U215" s="13">
        <v>42951</v>
      </c>
      <c r="V215" s="11">
        <v>0.53859285260383882</v>
      </c>
      <c r="W215" s="11">
        <v>0.46137711184514862</v>
      </c>
      <c r="X215" s="11">
        <v>1.0686536968211583E-5</v>
      </c>
      <c r="Y215" s="11">
        <v>1.9349014044414219E-5</v>
      </c>
      <c r="Z215" s="11">
        <v>0.85796013166724405</v>
      </c>
      <c r="AC215">
        <f t="shared" si="28"/>
        <v>0</v>
      </c>
      <c r="AD215">
        <v>212</v>
      </c>
      <c r="AE215" s="4">
        <f t="shared" si="26"/>
        <v>43140</v>
      </c>
      <c r="AF215" s="6">
        <f t="shared" si="27"/>
        <v>-8.9050042450550482</v>
      </c>
      <c r="AG215" s="4">
        <v>43140</v>
      </c>
      <c r="AH215" s="6">
        <v>-10.080928</v>
      </c>
      <c r="AI215" s="6">
        <v>-7.493144</v>
      </c>
      <c r="AJ215" s="6">
        <v>-6.7024600000000003</v>
      </c>
      <c r="AK215" s="4">
        <v>43140</v>
      </c>
      <c r="AL215" s="6">
        <f>VLOOKUP(AK215,Sheet3!$A$1:$B$1113,2,FALSE)</f>
        <v>1.661756710017934</v>
      </c>
      <c r="AM215" s="6">
        <f t="shared" si="29"/>
        <v>-8.9050042450550482</v>
      </c>
    </row>
    <row r="216" spans="17:39" x14ac:dyDescent="0.3">
      <c r="Q216">
        <f t="shared" si="24"/>
        <v>187</v>
      </c>
      <c r="R216" t="s">
        <v>72</v>
      </c>
      <c r="S216" s="13">
        <f t="shared" si="25"/>
        <v>43028</v>
      </c>
      <c r="T216" s="13">
        <v>43098</v>
      </c>
      <c r="U216" s="13">
        <v>42958</v>
      </c>
      <c r="V216" s="11">
        <v>0.53633660007833006</v>
      </c>
      <c r="W216" s="11">
        <v>0.46363251674077538</v>
      </c>
      <c r="X216" s="11">
        <v>1.0875064552362697E-5</v>
      </c>
      <c r="Y216" s="11">
        <v>2.0008116342164251E-5</v>
      </c>
      <c r="Z216" s="11">
        <v>0.86472601946533856</v>
      </c>
      <c r="AC216">
        <f t="shared" si="28"/>
        <v>0</v>
      </c>
      <c r="AD216">
        <v>213</v>
      </c>
      <c r="AE216" s="4">
        <f t="shared" si="26"/>
        <v>43145</v>
      </c>
      <c r="AF216" s="6">
        <f t="shared" si="27"/>
        <v>4.149218395005172</v>
      </c>
      <c r="AG216" s="4">
        <v>43145</v>
      </c>
      <c r="AH216" s="6">
        <v>3.2887300000000002</v>
      </c>
      <c r="AI216" s="6">
        <v>3.5992920000000002</v>
      </c>
      <c r="AJ216" s="6">
        <v>2.9347729999999999</v>
      </c>
      <c r="AK216" s="4">
        <v>43145</v>
      </c>
      <c r="AL216" s="6">
        <f>VLOOKUP(AK216,Sheet3!$A$1:$B$1113,2,FALSE)</f>
        <v>1.730706625110231</v>
      </c>
      <c r="AM216" s="6">
        <f t="shared" si="29"/>
        <v>4.149218395005172</v>
      </c>
    </row>
    <row r="217" spans="17:39" x14ac:dyDescent="0.3">
      <c r="Q217">
        <f t="shared" si="24"/>
        <v>188</v>
      </c>
      <c r="R217" t="s">
        <v>72</v>
      </c>
      <c r="S217" s="13">
        <f t="shared" si="25"/>
        <v>43035</v>
      </c>
      <c r="T217" s="13">
        <v>43105</v>
      </c>
      <c r="U217" s="13">
        <v>42965</v>
      </c>
      <c r="V217" s="11">
        <v>0.54603205863400384</v>
      </c>
      <c r="W217" s="11">
        <v>0.45394282446779544</v>
      </c>
      <c r="X217" s="11">
        <v>1.1312288522902841E-5</v>
      </c>
      <c r="Y217" s="11">
        <v>1.3804609677754051E-5</v>
      </c>
      <c r="Z217" s="11">
        <v>0.8907757085218333</v>
      </c>
      <c r="AC217">
        <f t="shared" si="28"/>
        <v>0</v>
      </c>
      <c r="AD217">
        <v>214</v>
      </c>
      <c r="AE217" s="4">
        <f t="shared" si="26"/>
        <v>43154</v>
      </c>
      <c r="AF217" s="6">
        <f t="shared" si="27"/>
        <v>2.4520236148666275</v>
      </c>
      <c r="AG217" s="4">
        <v>43154</v>
      </c>
      <c r="AH217" s="6">
        <v>2.6248680000000002</v>
      </c>
      <c r="AI217" s="6">
        <v>2.4821240000000002</v>
      </c>
      <c r="AJ217" s="6">
        <v>2.1707740000000002</v>
      </c>
      <c r="AK217" s="4">
        <v>43154</v>
      </c>
      <c r="AL217" s="6">
        <f>VLOOKUP(AK217,Sheet3!$A$1:$B$1113,2,FALSE)</f>
        <v>1.7731439602619949</v>
      </c>
      <c r="AM217" s="6">
        <f t="shared" si="29"/>
        <v>2.4520236148666275</v>
      </c>
    </row>
    <row r="218" spans="17:39" x14ac:dyDescent="0.3">
      <c r="Q218">
        <f t="shared" si="24"/>
        <v>189</v>
      </c>
      <c r="R218" t="s">
        <v>72</v>
      </c>
      <c r="S218" s="13">
        <f t="shared" si="25"/>
        <v>43042</v>
      </c>
      <c r="T218" s="13">
        <v>43112</v>
      </c>
      <c r="U218" s="13">
        <v>42972</v>
      </c>
      <c r="V218" s="11">
        <v>0.52337008207563296</v>
      </c>
      <c r="W218" s="11">
        <v>0.47660819644469221</v>
      </c>
      <c r="X218" s="11">
        <v>1.1682510550541318E-5</v>
      </c>
      <c r="Y218" s="11">
        <v>1.0038969124253848E-5</v>
      </c>
      <c r="Z218" s="11">
        <v>0.88594290946101806</v>
      </c>
      <c r="AC218">
        <f t="shared" si="28"/>
        <v>0</v>
      </c>
      <c r="AD218">
        <v>215</v>
      </c>
      <c r="AE218" s="4">
        <f t="shared" si="26"/>
        <v>43161</v>
      </c>
      <c r="AF218" s="6">
        <f t="shared" si="27"/>
        <v>-2.6722139773405207E-2</v>
      </c>
      <c r="AG218" s="4">
        <v>43161</v>
      </c>
      <c r="AH218" s="6">
        <v>-1.34185</v>
      </c>
      <c r="AI218" s="6">
        <v>2.6901929999999998</v>
      </c>
      <c r="AJ218" s="6">
        <v>4.1856489999999997</v>
      </c>
      <c r="AK218" s="4">
        <v>43161</v>
      </c>
      <c r="AL218" s="6">
        <f>VLOOKUP(AK218,Sheet3!$A$1:$B$1113,2,FALSE)</f>
        <v>1.77267013825455</v>
      </c>
      <c r="AM218" s="6">
        <f t="shared" si="29"/>
        <v>-2.6722139773405207E-2</v>
      </c>
    </row>
    <row r="219" spans="17:39" x14ac:dyDescent="0.3">
      <c r="Q219">
        <f t="shared" si="24"/>
        <v>190</v>
      </c>
      <c r="R219" t="s">
        <v>72</v>
      </c>
      <c r="S219" s="13">
        <f t="shared" si="25"/>
        <v>43049</v>
      </c>
      <c r="T219" s="13">
        <v>43119</v>
      </c>
      <c r="U219" s="13">
        <v>42979</v>
      </c>
      <c r="V219" s="11">
        <v>0.50213234006255969</v>
      </c>
      <c r="W219" s="11">
        <v>0.49784665362292363</v>
      </c>
      <c r="X219" s="11">
        <v>1.2129032776641642E-5</v>
      </c>
      <c r="Y219" s="11">
        <v>8.8772817401259868E-6</v>
      </c>
      <c r="Z219" s="11">
        <v>0.88419717876526382</v>
      </c>
      <c r="AC219">
        <f t="shared" si="28"/>
        <v>0</v>
      </c>
      <c r="AD219">
        <v>216</v>
      </c>
      <c r="AE219" s="4">
        <f t="shared" si="26"/>
        <v>43168</v>
      </c>
      <c r="AF219" s="6">
        <f t="shared" si="27"/>
        <v>2.3790108957972622</v>
      </c>
      <c r="AG219" s="4">
        <v>43168</v>
      </c>
      <c r="AH219" s="6">
        <v>2.300637</v>
      </c>
      <c r="AI219" s="6">
        <v>2.4873129999999999</v>
      </c>
      <c r="AJ219" s="6">
        <v>3.087208</v>
      </c>
      <c r="AK219" s="4">
        <v>43168</v>
      </c>
      <c r="AL219" s="6">
        <f>VLOOKUP(AK219,Sheet3!$A$1:$B$1113,2,FALSE)</f>
        <v>1.81484215399017</v>
      </c>
      <c r="AM219" s="6">
        <f t="shared" si="29"/>
        <v>2.3790108957972622</v>
      </c>
    </row>
    <row r="220" spans="17:39" x14ac:dyDescent="0.3">
      <c r="Q220">
        <f t="shared" si="24"/>
        <v>191</v>
      </c>
      <c r="R220" t="s">
        <v>72</v>
      </c>
      <c r="S220" s="13">
        <f t="shared" si="25"/>
        <v>43056</v>
      </c>
      <c r="T220" s="13">
        <v>43126</v>
      </c>
      <c r="U220" s="13">
        <v>42986</v>
      </c>
      <c r="V220" s="11">
        <v>0.51605600065783697</v>
      </c>
      <c r="W220" s="11">
        <v>0.48392461422122807</v>
      </c>
      <c r="X220" s="11">
        <v>1.1523890859992554E-5</v>
      </c>
      <c r="Y220" s="11">
        <v>7.8612300750050866E-6</v>
      </c>
      <c r="Z220" s="11">
        <v>0.88726864693979901</v>
      </c>
      <c r="AC220">
        <f t="shared" si="28"/>
        <v>0</v>
      </c>
      <c r="AD220">
        <v>217</v>
      </c>
      <c r="AE220" s="4">
        <f t="shared" si="26"/>
        <v>43175</v>
      </c>
      <c r="AF220" s="6">
        <f t="shared" si="27"/>
        <v>-1.1138481032961223</v>
      </c>
      <c r="AG220" s="4">
        <v>43175</v>
      </c>
      <c r="AH220" s="6">
        <v>-1.2763279999999999</v>
      </c>
      <c r="AI220" s="6">
        <v>-0.97744200000000003</v>
      </c>
      <c r="AJ220" s="6">
        <v>-0.45634400000000003</v>
      </c>
      <c r="AK220" s="4">
        <v>43175</v>
      </c>
      <c r="AL220" s="6">
        <f>VLOOKUP(AK220,Sheet3!$A$1:$B$1113,2,FALSE)</f>
        <v>1.7946275690801321</v>
      </c>
      <c r="AM220" s="6">
        <f t="shared" si="29"/>
        <v>-1.1138481032961223</v>
      </c>
    </row>
    <row r="221" spans="17:39" x14ac:dyDescent="0.3">
      <c r="Q221">
        <f t="shared" si="24"/>
        <v>192</v>
      </c>
      <c r="R221" t="s">
        <v>72</v>
      </c>
      <c r="S221" s="13">
        <f t="shared" si="25"/>
        <v>43063</v>
      </c>
      <c r="T221" s="13">
        <v>43133</v>
      </c>
      <c r="U221" s="13">
        <v>42993</v>
      </c>
      <c r="V221" s="11">
        <v>0.53443864601700353</v>
      </c>
      <c r="W221" s="11">
        <v>0.4004361015037643</v>
      </c>
      <c r="X221" s="11">
        <v>1.2210894075400883E-5</v>
      </c>
      <c r="Y221" s="11">
        <v>6.5113041585156864E-2</v>
      </c>
      <c r="Z221" s="11">
        <v>0.86401280817200432</v>
      </c>
      <c r="AC221">
        <f t="shared" si="28"/>
        <v>0</v>
      </c>
      <c r="AD221">
        <v>218</v>
      </c>
      <c r="AE221" s="4">
        <f t="shared" si="26"/>
        <v>43182</v>
      </c>
      <c r="AF221" s="6">
        <f t="shared" si="27"/>
        <v>-4.3934110207793475</v>
      </c>
      <c r="AG221" s="4">
        <v>43182</v>
      </c>
      <c r="AH221" s="6">
        <v>-3.7345000000000002</v>
      </c>
      <c r="AI221" s="6">
        <v>-5.8434039999999996</v>
      </c>
      <c r="AJ221" s="6">
        <v>-5.9217909999999998</v>
      </c>
      <c r="AK221" s="4">
        <v>43182</v>
      </c>
      <c r="AL221" s="6">
        <f>VLOOKUP(AK221,Sheet3!$A$1:$B$1113,2,FALSE)</f>
        <v>1.7157822036782211</v>
      </c>
      <c r="AM221" s="6">
        <f t="shared" si="29"/>
        <v>-4.3934110207793475</v>
      </c>
    </row>
    <row r="222" spans="17:39" x14ac:dyDescent="0.3">
      <c r="Q222">
        <f t="shared" si="24"/>
        <v>193</v>
      </c>
      <c r="R222" t="s">
        <v>72</v>
      </c>
      <c r="S222" s="13">
        <f t="shared" si="25"/>
        <v>43070</v>
      </c>
      <c r="T222" s="13">
        <v>43140</v>
      </c>
      <c r="U222" s="13">
        <v>43000</v>
      </c>
      <c r="V222" s="11">
        <v>0.56698469348549485</v>
      </c>
      <c r="W222" s="11">
        <v>0.40092230360577674</v>
      </c>
      <c r="X222" s="11">
        <v>1.2369814472612349E-5</v>
      </c>
      <c r="Y222" s="11">
        <v>3.208063309425583E-2</v>
      </c>
      <c r="Z222" s="11">
        <v>0.9445288114107695</v>
      </c>
      <c r="AC222">
        <f t="shared" si="28"/>
        <v>0</v>
      </c>
      <c r="AD222">
        <v>219</v>
      </c>
      <c r="AE222" s="4">
        <f t="shared" si="26"/>
        <v>43189</v>
      </c>
      <c r="AF222" s="6">
        <f t="shared" si="27"/>
        <v>2.7991353901638982</v>
      </c>
      <c r="AG222" s="4">
        <v>43189</v>
      </c>
      <c r="AH222" s="6">
        <v>-0.16486300000000001</v>
      </c>
      <c r="AI222" s="6">
        <v>5.6605720000000002</v>
      </c>
      <c r="AJ222" s="6">
        <v>6.1811980000000002</v>
      </c>
      <c r="AK222" s="4">
        <v>43189</v>
      </c>
      <c r="AL222" s="6">
        <f>VLOOKUP(AK222,Sheet3!$A$1:$B$1113,2,FALSE)</f>
        <v>1.7638092705595121</v>
      </c>
      <c r="AM222" s="6">
        <f t="shared" si="29"/>
        <v>2.7991353901638982</v>
      </c>
    </row>
    <row r="223" spans="17:39" x14ac:dyDescent="0.3">
      <c r="Q223">
        <f t="shared" si="24"/>
        <v>194</v>
      </c>
      <c r="R223" t="s">
        <v>72</v>
      </c>
      <c r="S223" s="13">
        <f t="shared" si="25"/>
        <v>43076</v>
      </c>
      <c r="T223" s="13">
        <v>43145</v>
      </c>
      <c r="U223" s="13">
        <v>43007</v>
      </c>
      <c r="V223" s="11">
        <v>0.57219832530869419</v>
      </c>
      <c r="W223" s="11">
        <v>0.41573588410936108</v>
      </c>
      <c r="X223" s="11">
        <v>6.9978878430275764E-6</v>
      </c>
      <c r="Y223" s="11">
        <v>1.2058792694101723E-2</v>
      </c>
      <c r="Z223" s="11">
        <v>0.9470300130172129</v>
      </c>
      <c r="AC223">
        <f t="shared" si="28"/>
        <v>0</v>
      </c>
      <c r="AD223">
        <v>220</v>
      </c>
      <c r="AE223" s="4">
        <f t="shared" si="26"/>
        <v>43194</v>
      </c>
      <c r="AF223" s="6">
        <f t="shared" si="27"/>
        <v>-1.265105183625137</v>
      </c>
      <c r="AG223" s="4">
        <v>43194</v>
      </c>
      <c r="AH223" s="6">
        <v>-1.1192820000000001</v>
      </c>
      <c r="AI223" s="6">
        <v>-1.58718</v>
      </c>
      <c r="AJ223" s="6">
        <v>-1.32006</v>
      </c>
      <c r="AK223" s="4">
        <v>43194</v>
      </c>
      <c r="AL223" s="6">
        <f>VLOOKUP(AK223,Sheet3!$A$1:$B$1113,2,FALSE)</f>
        <v>1.7414952280484031</v>
      </c>
      <c r="AM223" s="6">
        <f t="shared" si="29"/>
        <v>-1.265105183625137</v>
      </c>
    </row>
    <row r="224" spans="17:39" x14ac:dyDescent="0.3">
      <c r="Q224">
        <f t="shared" ref="Q224:Q287" si="30">Q223+1</f>
        <v>195</v>
      </c>
      <c r="R224" t="s">
        <v>72</v>
      </c>
      <c r="S224" s="13">
        <f t="shared" ref="S224:S287" si="31">(T224+U224)/2</f>
        <v>43087.5</v>
      </c>
      <c r="T224" s="13">
        <v>43154</v>
      </c>
      <c r="U224" s="13">
        <v>43021</v>
      </c>
      <c r="V224" s="11">
        <v>0.57529055358674974</v>
      </c>
      <c r="W224" s="11">
        <v>0.41018110593671175</v>
      </c>
      <c r="X224" s="11">
        <v>8.3197452389461808E-6</v>
      </c>
      <c r="Y224" s="11">
        <v>1.452002073129947E-2</v>
      </c>
      <c r="Z224" s="11">
        <v>0.95248767360407061</v>
      </c>
      <c r="AC224">
        <f t="shared" si="28"/>
        <v>0</v>
      </c>
      <c r="AD224">
        <v>221</v>
      </c>
      <c r="AE224" s="4">
        <f t="shared" si="26"/>
        <v>43203</v>
      </c>
      <c r="AF224" s="6">
        <f t="shared" si="27"/>
        <v>0.2947055422068745</v>
      </c>
      <c r="AG224" s="4">
        <v>43203</v>
      </c>
      <c r="AH224" s="6">
        <v>0.42237000000000002</v>
      </c>
      <c r="AI224" s="6">
        <v>0.15787499999999999</v>
      </c>
      <c r="AJ224" s="6">
        <v>0.189911</v>
      </c>
      <c r="AK224" s="4">
        <v>43203</v>
      </c>
      <c r="AL224" s="6">
        <f>VLOOKUP(AK224,Sheet3!$A$1:$B$1113,2,FALSE)</f>
        <v>1.7466275110027301</v>
      </c>
      <c r="AM224" s="6">
        <f t="shared" si="29"/>
        <v>0.2947055422068745</v>
      </c>
    </row>
    <row r="225" spans="17:39" x14ac:dyDescent="0.3">
      <c r="Q225">
        <f t="shared" si="30"/>
        <v>196</v>
      </c>
      <c r="R225" t="s">
        <v>72</v>
      </c>
      <c r="S225" s="13">
        <f t="shared" si="31"/>
        <v>43094.5</v>
      </c>
      <c r="T225" s="13">
        <v>43161</v>
      </c>
      <c r="U225" s="13">
        <v>43028</v>
      </c>
      <c r="V225" s="11">
        <v>0.58807650862352268</v>
      </c>
      <c r="W225" s="11">
        <v>0.3957395940990468</v>
      </c>
      <c r="X225" s="11">
        <v>8.0327105153866285E-6</v>
      </c>
      <c r="Y225" s="11">
        <v>1.6175864566915124E-2</v>
      </c>
      <c r="Z225" s="11">
        <v>0.95066375235188227</v>
      </c>
      <c r="AC225">
        <f t="shared" si="28"/>
        <v>0</v>
      </c>
      <c r="AD225">
        <v>222</v>
      </c>
      <c r="AE225" s="4">
        <f t="shared" si="26"/>
        <v>43210</v>
      </c>
      <c r="AF225" s="6">
        <f t="shared" si="27"/>
        <v>-2.3268288482922284</v>
      </c>
      <c r="AG225" s="4">
        <v>43210</v>
      </c>
      <c r="AH225" s="6">
        <v>-2.8490280000000001</v>
      </c>
      <c r="AI225" s="6">
        <v>-2.4281779999999999</v>
      </c>
      <c r="AJ225" s="6">
        <v>-2.7627030000000001</v>
      </c>
      <c r="AK225" s="4">
        <v>43210</v>
      </c>
      <c r="AL225" s="6">
        <f>VLOOKUP(AK225,Sheet3!$A$1:$B$1113,2,FALSE)</f>
        <v>1.70598647820451</v>
      </c>
      <c r="AM225" s="6">
        <f t="shared" si="29"/>
        <v>-2.3268288482922284</v>
      </c>
    </row>
    <row r="226" spans="17:39" x14ac:dyDescent="0.3">
      <c r="Q226">
        <f t="shared" si="30"/>
        <v>197</v>
      </c>
      <c r="R226" t="s">
        <v>72</v>
      </c>
      <c r="S226" s="13">
        <f t="shared" si="31"/>
        <v>43101.5</v>
      </c>
      <c r="T226" s="13">
        <v>43168</v>
      </c>
      <c r="U226" s="13">
        <v>43035</v>
      </c>
      <c r="V226" s="11">
        <v>0.57987172706202528</v>
      </c>
      <c r="W226" s="11">
        <v>0.40712364974795484</v>
      </c>
      <c r="X226" s="11">
        <v>8.1346077503888825E-6</v>
      </c>
      <c r="Y226" s="11">
        <v>1.2996488582269559E-2</v>
      </c>
      <c r="Z226" s="11">
        <v>0.95355536252208406</v>
      </c>
      <c r="AC226">
        <f t="shared" si="28"/>
        <v>0</v>
      </c>
      <c r="AD226">
        <v>223</v>
      </c>
      <c r="AE226" s="4">
        <f t="shared" si="26"/>
        <v>43217</v>
      </c>
      <c r="AF226" s="6">
        <f t="shared" si="27"/>
        <v>0.12726798658579952</v>
      </c>
      <c r="AG226" s="4">
        <v>43217</v>
      </c>
      <c r="AH226" s="6">
        <v>-0.105769</v>
      </c>
      <c r="AI226" s="6">
        <v>-0.33757599999999999</v>
      </c>
      <c r="AJ226" s="6">
        <v>-0.28931000000000001</v>
      </c>
      <c r="AK226" s="4">
        <v>43217</v>
      </c>
      <c r="AL226" s="6">
        <f>VLOOKUP(AK226,Sheet3!$A$1:$B$1113,2,FALSE)</f>
        <v>1.708157652846747</v>
      </c>
      <c r="AM226" s="6">
        <f t="shared" si="29"/>
        <v>0.12726798658579952</v>
      </c>
    </row>
    <row r="227" spans="17:39" x14ac:dyDescent="0.3">
      <c r="Q227">
        <f t="shared" si="30"/>
        <v>198</v>
      </c>
      <c r="R227" t="s">
        <v>72</v>
      </c>
      <c r="S227" s="13">
        <f t="shared" si="31"/>
        <v>43108.5</v>
      </c>
      <c r="T227" s="13">
        <v>43175</v>
      </c>
      <c r="U227" s="13">
        <v>43042</v>
      </c>
      <c r="V227" s="11">
        <v>0.57034114585379436</v>
      </c>
      <c r="W227" s="11">
        <v>0.41163138943549599</v>
      </c>
      <c r="X227" s="11">
        <v>1.1942605684013469E-5</v>
      </c>
      <c r="Y227" s="11">
        <v>1.8015522105025664E-2</v>
      </c>
      <c r="Z227" s="11">
        <v>0.95381822926977311</v>
      </c>
      <c r="AC227">
        <f t="shared" si="28"/>
        <v>0</v>
      </c>
      <c r="AD227">
        <v>224</v>
      </c>
      <c r="AE227" s="4">
        <f t="shared" si="26"/>
        <v>43224</v>
      </c>
      <c r="AF227" s="6">
        <f t="shared" si="27"/>
        <v>1.1935554094229861</v>
      </c>
      <c r="AG227" s="4">
        <v>43224</v>
      </c>
      <c r="AH227" s="6">
        <v>0.47171099999999999</v>
      </c>
      <c r="AI227" s="6">
        <v>0.82427799999999996</v>
      </c>
      <c r="AJ227" s="6">
        <v>0.21848400000000001</v>
      </c>
      <c r="AK227" s="4">
        <v>43224</v>
      </c>
      <c r="AL227" s="6">
        <f>VLOOKUP(AK227,Sheet3!$A$1:$B$1113,2,FALSE)</f>
        <v>1.728545460913772</v>
      </c>
      <c r="AM227" s="6">
        <f t="shared" si="29"/>
        <v>1.1935554094229861</v>
      </c>
    </row>
    <row r="228" spans="17:39" x14ac:dyDescent="0.3">
      <c r="Q228">
        <f t="shared" si="30"/>
        <v>199</v>
      </c>
      <c r="R228" t="s">
        <v>72</v>
      </c>
      <c r="S228" s="13">
        <f t="shared" si="31"/>
        <v>43115.5</v>
      </c>
      <c r="T228" s="13">
        <v>43182</v>
      </c>
      <c r="U228" s="13">
        <v>43049</v>
      </c>
      <c r="V228" s="11">
        <v>0.56262268943139027</v>
      </c>
      <c r="W228" s="11">
        <v>0.41997549683125873</v>
      </c>
      <c r="X228" s="11">
        <v>1.2376045181328144E-5</v>
      </c>
      <c r="Y228" s="11">
        <v>1.738943769216969E-2</v>
      </c>
      <c r="Z228" s="11">
        <v>0.95954372142310007</v>
      </c>
      <c r="AC228">
        <f t="shared" si="28"/>
        <v>0</v>
      </c>
      <c r="AD228">
        <v>225</v>
      </c>
      <c r="AE228" s="4">
        <f t="shared" si="26"/>
        <v>43231</v>
      </c>
      <c r="AF228" s="6">
        <f t="shared" si="27"/>
        <v>1.7397003974325864</v>
      </c>
      <c r="AG228" s="4">
        <v>43231</v>
      </c>
      <c r="AH228" s="6">
        <v>2.6026660000000001</v>
      </c>
      <c r="AI228" s="6">
        <v>1.3884570000000001</v>
      </c>
      <c r="AJ228" s="6">
        <v>1.6148990000000001</v>
      </c>
      <c r="AK228" s="4">
        <v>43231</v>
      </c>
      <c r="AL228" s="6">
        <f>VLOOKUP(AK228,Sheet3!$A$1:$B$1113,2,FALSE)</f>
        <v>1.758616973167092</v>
      </c>
      <c r="AM228" s="6">
        <f t="shared" si="29"/>
        <v>1.7397003974325864</v>
      </c>
    </row>
    <row r="229" spans="17:39" x14ac:dyDescent="0.3">
      <c r="Q229">
        <f t="shared" si="30"/>
        <v>200</v>
      </c>
      <c r="R229" t="s">
        <v>72</v>
      </c>
      <c r="S229" s="13">
        <f t="shared" si="31"/>
        <v>43122.5</v>
      </c>
      <c r="T229" s="13">
        <v>43189</v>
      </c>
      <c r="U229" s="13">
        <v>43056</v>
      </c>
      <c r="V229" s="11">
        <v>0.53521185434959861</v>
      </c>
      <c r="W229" s="11">
        <v>0.43826578673065741</v>
      </c>
      <c r="X229" s="11">
        <v>1.291881254592533E-5</v>
      </c>
      <c r="Y229" s="11">
        <v>2.6509440107198089E-2</v>
      </c>
      <c r="Z229" s="11">
        <v>0.96005159544693985</v>
      </c>
      <c r="AC229">
        <f t="shared" si="28"/>
        <v>0</v>
      </c>
      <c r="AD229">
        <v>226</v>
      </c>
      <c r="AE229" s="4">
        <f t="shared" si="26"/>
        <v>43238</v>
      </c>
      <c r="AF229" s="6">
        <f t="shared" si="27"/>
        <v>0.58237417584936502</v>
      </c>
      <c r="AG229" s="4">
        <v>43238</v>
      </c>
      <c r="AH229" s="6">
        <v>0.78044599999999997</v>
      </c>
      <c r="AI229" s="6">
        <v>6.3547000000000006E-2</v>
      </c>
      <c r="AJ229" s="6">
        <v>-0.24095900000000001</v>
      </c>
      <c r="AK229" s="4">
        <v>43238</v>
      </c>
      <c r="AL229" s="6">
        <f>VLOOKUP(AK229,Sheet3!$A$1:$B$1113,2,FALSE)</f>
        <v>1.768858704270921</v>
      </c>
      <c r="AM229" s="6">
        <f t="shared" si="29"/>
        <v>0.58237417584936502</v>
      </c>
    </row>
    <row r="230" spans="17:39" x14ac:dyDescent="0.3">
      <c r="Q230">
        <f t="shared" si="30"/>
        <v>201</v>
      </c>
      <c r="R230" t="s">
        <v>72</v>
      </c>
      <c r="S230" s="13">
        <f t="shared" si="31"/>
        <v>43128.5</v>
      </c>
      <c r="T230" s="13">
        <v>43194</v>
      </c>
      <c r="U230" s="13">
        <v>43063</v>
      </c>
      <c r="V230" s="11">
        <v>0.54943474581337803</v>
      </c>
      <c r="W230" s="11">
        <v>0.42060344627802582</v>
      </c>
      <c r="X230" s="11">
        <v>1.3135651395488966E-5</v>
      </c>
      <c r="Y230" s="11">
        <v>2.9948672257200673E-2</v>
      </c>
      <c r="Z230" s="11">
        <v>0.96063284915754998</v>
      </c>
      <c r="AC230">
        <f t="shared" si="28"/>
        <v>0</v>
      </c>
      <c r="AD230">
        <v>227</v>
      </c>
      <c r="AE230" s="4">
        <f t="shared" si="26"/>
        <v>43245</v>
      </c>
      <c r="AF230" s="6">
        <f t="shared" si="27"/>
        <v>-1.0643127876890368</v>
      </c>
      <c r="AG230" s="4">
        <v>43245</v>
      </c>
      <c r="AH230" s="6">
        <v>-2.2178909999999998</v>
      </c>
      <c r="AI230" s="6">
        <v>-1.290241</v>
      </c>
      <c r="AJ230" s="6">
        <v>-1.198123</v>
      </c>
      <c r="AK230" s="4">
        <v>43245</v>
      </c>
      <c r="AL230" s="6">
        <f>VLOOKUP(AK230,Sheet3!$A$1:$B$1113,2,FALSE)</f>
        <v>1.7500325148852149</v>
      </c>
      <c r="AM230" s="6">
        <f t="shared" si="29"/>
        <v>-1.0643127876890368</v>
      </c>
    </row>
    <row r="231" spans="17:39" x14ac:dyDescent="0.3">
      <c r="Q231">
        <f t="shared" si="30"/>
        <v>202</v>
      </c>
      <c r="R231" t="s">
        <v>72</v>
      </c>
      <c r="S231" s="13">
        <f t="shared" si="31"/>
        <v>43136.5</v>
      </c>
      <c r="T231" s="13">
        <v>43203</v>
      </c>
      <c r="U231" s="13">
        <v>43070</v>
      </c>
      <c r="V231" s="11">
        <v>0.55541723735510939</v>
      </c>
      <c r="W231" s="11">
        <v>0.40983284993268304</v>
      </c>
      <c r="X231" s="11">
        <v>1.6703018803553406E-5</v>
      </c>
      <c r="Y231" s="11">
        <v>3.4733209693403932E-2</v>
      </c>
      <c r="Z231" s="11">
        <v>0.96745487826057019</v>
      </c>
      <c r="AC231">
        <f t="shared" si="28"/>
        <v>0</v>
      </c>
      <c r="AD231">
        <v>228</v>
      </c>
      <c r="AE231" s="4">
        <f t="shared" si="26"/>
        <v>43252</v>
      </c>
      <c r="AF231" s="6">
        <f t="shared" si="27"/>
        <v>-1.8753489660033318</v>
      </c>
      <c r="AG231" s="4">
        <v>43252</v>
      </c>
      <c r="AH231" s="6">
        <v>-1.202906</v>
      </c>
      <c r="AI231" s="6">
        <v>-3.9319069999999998</v>
      </c>
      <c r="AJ231" s="6">
        <v>-4.551253</v>
      </c>
      <c r="AK231" s="4">
        <v>43252</v>
      </c>
      <c r="AL231" s="6">
        <f>VLOOKUP(AK231,Sheet3!$A$1:$B$1113,2,FALSE)</f>
        <v>1.7172132982125929</v>
      </c>
      <c r="AM231" s="6">
        <f t="shared" si="29"/>
        <v>-1.8753489660033318</v>
      </c>
    </row>
    <row r="232" spans="17:39" x14ac:dyDescent="0.3">
      <c r="Q232">
        <f t="shared" si="30"/>
        <v>203</v>
      </c>
      <c r="R232" t="s">
        <v>72</v>
      </c>
      <c r="S232" s="13">
        <f t="shared" si="31"/>
        <v>43143.5</v>
      </c>
      <c r="T232" s="13">
        <v>43210</v>
      </c>
      <c r="U232" s="13">
        <v>43077</v>
      </c>
      <c r="V232" s="11">
        <v>0.55580597284693811</v>
      </c>
      <c r="W232" s="11">
        <v>0.40645831235005814</v>
      </c>
      <c r="X232" s="11">
        <v>1.6254130073880304E-5</v>
      </c>
      <c r="Y232" s="11">
        <v>3.7719460672929937E-2</v>
      </c>
      <c r="Z232" s="11">
        <v>0.96794360734174623</v>
      </c>
      <c r="AC232">
        <f t="shared" si="28"/>
        <v>0</v>
      </c>
      <c r="AD232">
        <v>229</v>
      </c>
      <c r="AE232" s="4">
        <f t="shared" si="26"/>
        <v>43259</v>
      </c>
      <c r="AF232" s="6">
        <f t="shared" si="27"/>
        <v>1.1557925084525467</v>
      </c>
      <c r="AG232" s="4">
        <v>43259</v>
      </c>
      <c r="AH232" s="6">
        <v>0.2394</v>
      </c>
      <c r="AI232" s="6">
        <v>-0.27813700000000002</v>
      </c>
      <c r="AJ232" s="6">
        <v>-0.60502400000000001</v>
      </c>
      <c r="AK232" s="4">
        <v>43259</v>
      </c>
      <c r="AL232" s="6">
        <f>VLOOKUP(AK232,Sheet3!$A$1:$B$1113,2,FALSE)</f>
        <v>1.7370607208674851</v>
      </c>
      <c r="AM232" s="6">
        <f t="shared" si="29"/>
        <v>1.1557925084525467</v>
      </c>
    </row>
    <row r="233" spans="17:39" x14ac:dyDescent="0.3">
      <c r="Q233">
        <f t="shared" si="30"/>
        <v>204</v>
      </c>
      <c r="R233" t="s">
        <v>72</v>
      </c>
      <c r="S233" s="13">
        <f t="shared" si="31"/>
        <v>43150.5</v>
      </c>
      <c r="T233" s="13">
        <v>43217</v>
      </c>
      <c r="U233" s="13">
        <v>43084</v>
      </c>
      <c r="V233" s="11">
        <v>0.54957053761542218</v>
      </c>
      <c r="W233" s="11">
        <v>0.41343775892123175</v>
      </c>
      <c r="X233" s="11">
        <v>1.5727737107870127E-5</v>
      </c>
      <c r="Y233" s="11">
        <v>3.6975975726238258E-2</v>
      </c>
      <c r="Z233" s="11">
        <v>0.96820068064579357</v>
      </c>
      <c r="AC233">
        <f t="shared" si="28"/>
        <v>0</v>
      </c>
      <c r="AD233">
        <v>230</v>
      </c>
      <c r="AE233" s="4">
        <f t="shared" si="26"/>
        <v>43266</v>
      </c>
      <c r="AF233" s="6">
        <f t="shared" si="27"/>
        <v>-1.9528830414592635</v>
      </c>
      <c r="AG233" s="4">
        <v>43266</v>
      </c>
      <c r="AH233" s="6">
        <v>-0.69271899999999997</v>
      </c>
      <c r="AI233" s="6">
        <v>-3.2695110000000001</v>
      </c>
      <c r="AJ233" s="6">
        <v>-4.4776860000000003</v>
      </c>
      <c r="AK233" s="4">
        <v>43266</v>
      </c>
      <c r="AL233" s="6">
        <f>VLOOKUP(AK233,Sheet3!$A$1:$B$1113,2,FALSE)</f>
        <v>1.7031379566298139</v>
      </c>
      <c r="AM233" s="6">
        <f t="shared" si="29"/>
        <v>-1.9528830414592635</v>
      </c>
    </row>
    <row r="234" spans="17:39" x14ac:dyDescent="0.3">
      <c r="Q234">
        <f t="shared" si="30"/>
        <v>205</v>
      </c>
      <c r="R234" t="s">
        <v>72</v>
      </c>
      <c r="S234" s="13">
        <f t="shared" si="31"/>
        <v>43157.5</v>
      </c>
      <c r="T234" s="13">
        <v>43224</v>
      </c>
      <c r="U234" s="13">
        <v>43091</v>
      </c>
      <c r="V234" s="11">
        <v>0.55767232416698709</v>
      </c>
      <c r="W234" s="11">
        <v>0.40827671642571106</v>
      </c>
      <c r="X234" s="11">
        <v>1.4528841607740904E-5</v>
      </c>
      <c r="Y234" s="11">
        <v>3.4036430565694151E-2</v>
      </c>
      <c r="Z234" s="11">
        <v>0.9694993338797131</v>
      </c>
      <c r="AC234">
        <f t="shared" si="28"/>
        <v>0</v>
      </c>
      <c r="AD234">
        <v>231</v>
      </c>
      <c r="AE234" s="4">
        <f t="shared" si="26"/>
        <v>43273</v>
      </c>
      <c r="AF234" s="6">
        <f t="shared" si="27"/>
        <v>-2.8160979786213458</v>
      </c>
      <c r="AG234" s="4">
        <v>43273</v>
      </c>
      <c r="AH234" s="6">
        <v>-3.8505859999999998</v>
      </c>
      <c r="AI234" s="6">
        <v>-5.9049060000000004</v>
      </c>
      <c r="AJ234" s="6">
        <v>-6.5231709999999996</v>
      </c>
      <c r="AK234" s="4">
        <v>43273</v>
      </c>
      <c r="AL234" s="6">
        <f>VLOOKUP(AK234,Sheet3!$A$1:$B$1113,2,FALSE)</f>
        <v>1.6551759230600289</v>
      </c>
      <c r="AM234" s="6">
        <f t="shared" si="29"/>
        <v>-2.8160979786213458</v>
      </c>
    </row>
    <row r="235" spans="17:39" x14ac:dyDescent="0.3">
      <c r="Q235">
        <f t="shared" si="30"/>
        <v>206</v>
      </c>
      <c r="R235" t="s">
        <v>72</v>
      </c>
      <c r="S235" s="13">
        <f t="shared" si="31"/>
        <v>43164.5</v>
      </c>
      <c r="T235" s="13">
        <v>43231</v>
      </c>
      <c r="U235" s="13">
        <v>43098</v>
      </c>
      <c r="V235" s="11">
        <v>0.53933595366942533</v>
      </c>
      <c r="W235" s="11">
        <v>0.41921274208270315</v>
      </c>
      <c r="X235" s="11">
        <v>1.5856901354634545E-5</v>
      </c>
      <c r="Y235" s="11">
        <v>4.1435447346516809E-2</v>
      </c>
      <c r="Z235" s="11">
        <v>0.97092415601389237</v>
      </c>
      <c r="AC235">
        <f t="shared" si="28"/>
        <v>0</v>
      </c>
      <c r="AD235">
        <v>232</v>
      </c>
      <c r="AE235" s="4">
        <f t="shared" si="26"/>
        <v>43280</v>
      </c>
      <c r="AF235" s="6">
        <f t="shared" si="27"/>
        <v>-0.61775147830948063</v>
      </c>
      <c r="AG235" s="4">
        <v>43280</v>
      </c>
      <c r="AH235" s="6">
        <v>-2.7132909999999999</v>
      </c>
      <c r="AI235" s="6">
        <v>1.117057</v>
      </c>
      <c r="AJ235" s="6">
        <v>1.2120029999999999</v>
      </c>
      <c r="AK235" s="4">
        <v>43280</v>
      </c>
      <c r="AL235" s="6">
        <f>VLOOKUP(AK235,Sheet3!$A$1:$B$1113,2,FALSE)</f>
        <v>1.644951049326703</v>
      </c>
      <c r="AM235" s="6">
        <f t="shared" si="29"/>
        <v>-0.61775147830948063</v>
      </c>
    </row>
    <row r="236" spans="17:39" x14ac:dyDescent="0.3">
      <c r="Q236">
        <f t="shared" si="30"/>
        <v>207</v>
      </c>
      <c r="R236" t="s">
        <v>72</v>
      </c>
      <c r="S236" s="13">
        <f t="shared" si="31"/>
        <v>43171.5</v>
      </c>
      <c r="T236" s="13">
        <v>43238</v>
      </c>
      <c r="U236" s="13">
        <v>43105</v>
      </c>
      <c r="V236" s="11">
        <v>0.53768434460083847</v>
      </c>
      <c r="W236" s="11">
        <v>0.42061916932400795</v>
      </c>
      <c r="X236" s="11">
        <v>1.4863461393930362E-5</v>
      </c>
      <c r="Y236" s="11">
        <v>4.168162261375969E-2</v>
      </c>
      <c r="Z236" s="11">
        <v>0.97149797425253259</v>
      </c>
      <c r="AC236">
        <f t="shared" si="28"/>
        <v>0</v>
      </c>
      <c r="AD236">
        <v>233</v>
      </c>
      <c r="AE236" s="4">
        <f t="shared" si="26"/>
        <v>43287</v>
      </c>
      <c r="AF236" s="6">
        <f t="shared" si="27"/>
        <v>-4.0713227895538999</v>
      </c>
      <c r="AG236" s="4">
        <v>43287</v>
      </c>
      <c r="AH236" s="6">
        <v>-4.1544420000000004</v>
      </c>
      <c r="AI236" s="6">
        <v>-4.2381060000000002</v>
      </c>
      <c r="AJ236" s="6">
        <v>-4.1714219999999997</v>
      </c>
      <c r="AK236" s="4">
        <v>43287</v>
      </c>
      <c r="AL236" s="6">
        <f>VLOOKUP(AK236,Sheet3!$A$1:$B$1113,2,FALSE)</f>
        <v>1.5779797823784589</v>
      </c>
      <c r="AM236" s="6">
        <f t="shared" si="29"/>
        <v>-4.0713227895538999</v>
      </c>
    </row>
    <row r="237" spans="17:39" x14ac:dyDescent="0.3">
      <c r="Q237">
        <f t="shared" si="30"/>
        <v>208</v>
      </c>
      <c r="R237" t="s">
        <v>72</v>
      </c>
      <c r="S237" s="13">
        <f t="shared" si="31"/>
        <v>43178.5</v>
      </c>
      <c r="T237" s="13">
        <v>43245</v>
      </c>
      <c r="U237" s="13">
        <v>43112</v>
      </c>
      <c r="V237" s="11">
        <v>0.52900263810403114</v>
      </c>
      <c r="W237" s="11">
        <v>0.42606951391032044</v>
      </c>
      <c r="X237" s="11">
        <v>1.4017641588808202E-5</v>
      </c>
      <c r="Y237" s="11">
        <v>4.4913830344059533E-2</v>
      </c>
      <c r="Z237" s="11">
        <v>0.96832036641354657</v>
      </c>
      <c r="AC237">
        <f t="shared" si="28"/>
        <v>0</v>
      </c>
      <c r="AD237">
        <v>234</v>
      </c>
      <c r="AE237" s="4">
        <f t="shared" si="26"/>
        <v>43294</v>
      </c>
      <c r="AF237" s="6">
        <f t="shared" si="27"/>
        <v>5.4152228058852669</v>
      </c>
      <c r="AG237" s="4">
        <v>43294</v>
      </c>
      <c r="AH237" s="6">
        <v>3.7908569999999999</v>
      </c>
      <c r="AI237" s="6">
        <v>4.153912</v>
      </c>
      <c r="AJ237" s="6">
        <v>3.4812989999999999</v>
      </c>
      <c r="AK237" s="4">
        <v>43294</v>
      </c>
      <c r="AL237" s="6">
        <f>VLOOKUP(AK237,Sheet3!$A$1:$B$1113,2,FALSE)</f>
        <v>1.6634309034260759</v>
      </c>
      <c r="AM237" s="6">
        <f t="shared" si="29"/>
        <v>5.4152228058852669</v>
      </c>
    </row>
    <row r="238" spans="17:39" x14ac:dyDescent="0.3">
      <c r="Q238">
        <f t="shared" si="30"/>
        <v>209</v>
      </c>
      <c r="R238" t="s">
        <v>72</v>
      </c>
      <c r="S238" s="13">
        <f t="shared" si="31"/>
        <v>43185.5</v>
      </c>
      <c r="T238" s="13">
        <v>43252</v>
      </c>
      <c r="U238" s="13">
        <v>43119</v>
      </c>
      <c r="V238" s="11">
        <v>0.55145861092923021</v>
      </c>
      <c r="W238" s="11">
        <v>0.40261564688535939</v>
      </c>
      <c r="X238" s="11">
        <v>1.4386102835171846E-5</v>
      </c>
      <c r="Y238" s="11">
        <v>4.5911356082575183E-2</v>
      </c>
      <c r="Z238" s="11">
        <v>0.96903755557774729</v>
      </c>
      <c r="AC238">
        <f t="shared" si="28"/>
        <v>0</v>
      </c>
      <c r="AD238">
        <v>235</v>
      </c>
      <c r="AE238" s="4">
        <f t="shared" si="26"/>
        <v>43301</v>
      </c>
      <c r="AF238" s="6">
        <f t="shared" si="27"/>
        <v>-0.52990101010779167</v>
      </c>
      <c r="AG238" s="4">
        <v>43301</v>
      </c>
      <c r="AH238" s="6">
        <v>5.8440000000000002E-3</v>
      </c>
      <c r="AI238" s="6">
        <v>-0.55597399999999997</v>
      </c>
      <c r="AJ238" s="6">
        <v>-0.36811899999999997</v>
      </c>
      <c r="AK238" s="4">
        <v>43301</v>
      </c>
      <c r="AL238" s="6">
        <f>VLOOKUP(AK238,Sheet3!$A$1:$B$1113,2,FALSE)</f>
        <v>1.654616366266376</v>
      </c>
      <c r="AM238" s="6">
        <f t="shared" si="29"/>
        <v>-0.52990101010779167</v>
      </c>
    </row>
    <row r="239" spans="17:39" x14ac:dyDescent="0.3">
      <c r="Q239">
        <f t="shared" si="30"/>
        <v>210</v>
      </c>
      <c r="R239" t="s">
        <v>72</v>
      </c>
      <c r="S239" s="13">
        <f t="shared" si="31"/>
        <v>43192.5</v>
      </c>
      <c r="T239" s="13">
        <v>43259</v>
      </c>
      <c r="U239" s="13">
        <v>43126</v>
      </c>
      <c r="V239" s="11">
        <v>0.59621391887650566</v>
      </c>
      <c r="W239" s="11">
        <v>0.36185816376614643</v>
      </c>
      <c r="X239" s="11">
        <v>1.4145836351811056E-5</v>
      </c>
      <c r="Y239" s="11">
        <v>4.1913771520996138E-2</v>
      </c>
      <c r="Z239" s="11">
        <v>0.96693915823921006</v>
      </c>
      <c r="AC239">
        <f t="shared" si="28"/>
        <v>0</v>
      </c>
      <c r="AD239">
        <v>236</v>
      </c>
      <c r="AE239" s="4">
        <f t="shared" si="26"/>
        <v>43307</v>
      </c>
      <c r="AF239" s="6" t="e">
        <f t="shared" si="27"/>
        <v>#N/A</v>
      </c>
      <c r="AG239" s="4">
        <v>43307</v>
      </c>
      <c r="AH239" s="6">
        <v>1.2411430000000001</v>
      </c>
      <c r="AI239" s="6">
        <v>1.89802</v>
      </c>
      <c r="AJ239" s="6">
        <v>2.2010710000000002</v>
      </c>
      <c r="AK239" s="4">
        <v>43307</v>
      </c>
      <c r="AL239" s="6" t="e">
        <f>VLOOKUP(AK239,Sheet3!$A$1:$B$1113,2,FALSE)</f>
        <v>#N/A</v>
      </c>
      <c r="AM239" s="6" t="e">
        <f t="shared" si="29"/>
        <v>#N/A</v>
      </c>
    </row>
    <row r="240" spans="17:39" x14ac:dyDescent="0.3">
      <c r="Q240">
        <f t="shared" si="30"/>
        <v>211</v>
      </c>
      <c r="R240" t="s">
        <v>72</v>
      </c>
      <c r="S240" s="13">
        <f t="shared" si="31"/>
        <v>43199.5</v>
      </c>
      <c r="T240" s="13">
        <v>43266</v>
      </c>
      <c r="U240" s="13">
        <v>43133</v>
      </c>
      <c r="V240" s="11">
        <v>0.58513921080935494</v>
      </c>
      <c r="W240" s="11">
        <v>0.37292808490116874</v>
      </c>
      <c r="X240" s="11">
        <v>1.4883530005438889E-5</v>
      </c>
      <c r="Y240" s="11">
        <v>4.1917820759470953E-2</v>
      </c>
      <c r="Z240" s="11">
        <v>0.96571705857413626</v>
      </c>
      <c r="AC240">
        <f t="shared" si="28"/>
        <v>1</v>
      </c>
      <c r="AD240">
        <v>237</v>
      </c>
      <c r="AE240" s="4">
        <f t="shared" si="26"/>
        <v>42944</v>
      </c>
      <c r="AF240" s="6" t="e">
        <f t="shared" si="27"/>
        <v>#N/A</v>
      </c>
      <c r="AG240" s="4">
        <v>42944</v>
      </c>
      <c r="AH240" s="6">
        <v>-0.17985899999999999</v>
      </c>
      <c r="AI240" s="6">
        <v>1.458593</v>
      </c>
      <c r="AJ240" s="6">
        <v>1.8406990000000001</v>
      </c>
      <c r="AK240" s="4">
        <v>42944</v>
      </c>
      <c r="AL240" s="6">
        <f>VLOOKUP(AK240,Sheet3!$A$1:$B$1113,2,FALSE)</f>
        <v>1.6554754504078999</v>
      </c>
      <c r="AM240" s="6" t="e">
        <f t="shared" si="29"/>
        <v>#N/A</v>
      </c>
    </row>
    <row r="241" spans="17:39" x14ac:dyDescent="0.3">
      <c r="Q241">
        <f t="shared" si="30"/>
        <v>212</v>
      </c>
      <c r="R241" t="s">
        <v>72</v>
      </c>
      <c r="S241" s="13">
        <f t="shared" si="31"/>
        <v>43206.5</v>
      </c>
      <c r="T241" s="13">
        <v>43273</v>
      </c>
      <c r="U241" s="13">
        <v>43140</v>
      </c>
      <c r="V241" s="11">
        <v>0.56259732462682932</v>
      </c>
      <c r="W241" s="11">
        <v>0.37752243189211615</v>
      </c>
      <c r="X241" s="11">
        <v>1.629776086291253E-5</v>
      </c>
      <c r="Y241" s="11">
        <v>5.9863945720191603E-2</v>
      </c>
      <c r="Z241" s="11">
        <v>0.9585428315830351</v>
      </c>
      <c r="AC241">
        <f t="shared" si="28"/>
        <v>0</v>
      </c>
      <c r="AD241">
        <v>238</v>
      </c>
      <c r="AE241" s="4">
        <f t="shared" si="26"/>
        <v>42951</v>
      </c>
      <c r="AF241" s="6">
        <f t="shared" si="27"/>
        <v>-0.84219273708900921</v>
      </c>
      <c r="AG241" s="4">
        <v>42951</v>
      </c>
      <c r="AH241" s="6">
        <v>-0.38452999999999998</v>
      </c>
      <c r="AI241" s="6">
        <v>0.15528700000000001</v>
      </c>
      <c r="AJ241" s="6">
        <v>3.9773999999999997E-2</v>
      </c>
      <c r="AK241" s="4">
        <v>42951</v>
      </c>
      <c r="AL241" s="6">
        <f>VLOOKUP(AK241,Sheet3!$A$1:$B$1113,2,FALSE)</f>
        <v>1.6415331564002731</v>
      </c>
      <c r="AM241" s="6">
        <f t="shared" si="29"/>
        <v>-0.84219273708900921</v>
      </c>
    </row>
    <row r="242" spans="17:39" x14ac:dyDescent="0.3">
      <c r="Q242">
        <f t="shared" si="30"/>
        <v>213</v>
      </c>
      <c r="R242" t="s">
        <v>72</v>
      </c>
      <c r="S242" s="13">
        <f t="shared" si="31"/>
        <v>43212.5</v>
      </c>
      <c r="T242" s="13">
        <v>43280</v>
      </c>
      <c r="U242" s="13">
        <v>43145</v>
      </c>
      <c r="V242" s="11">
        <v>0.47026484025308157</v>
      </c>
      <c r="W242" s="11">
        <v>0.40815658434769997</v>
      </c>
      <c r="X242" s="11">
        <v>1.5201192361295904E-5</v>
      </c>
      <c r="Y242" s="11">
        <v>0.12156337420685724</v>
      </c>
      <c r="Z242" s="11">
        <v>0.92690946843897426</v>
      </c>
      <c r="AC242">
        <f t="shared" si="28"/>
        <v>0</v>
      </c>
      <c r="AD242">
        <v>239</v>
      </c>
      <c r="AE242" s="4">
        <f t="shared" si="26"/>
        <v>42958</v>
      </c>
      <c r="AF242" s="6">
        <f t="shared" si="27"/>
        <v>-0.32323848984913139</v>
      </c>
      <c r="AG242" s="4">
        <v>42958</v>
      </c>
      <c r="AH242" s="6">
        <v>-1.6244909999999999</v>
      </c>
      <c r="AI242" s="6">
        <v>-1.026885</v>
      </c>
      <c r="AJ242" s="6">
        <v>-0.822071</v>
      </c>
      <c r="AK242" s="4">
        <v>42958</v>
      </c>
      <c r="AL242" s="6">
        <f>VLOOKUP(AK242,Sheet3!$A$1:$B$1113,2,FALSE)</f>
        <v>1.636227089415152</v>
      </c>
      <c r="AM242" s="6">
        <f t="shared" si="29"/>
        <v>-0.32323848984913139</v>
      </c>
    </row>
    <row r="243" spans="17:39" x14ac:dyDescent="0.3">
      <c r="Q243">
        <f t="shared" si="30"/>
        <v>214</v>
      </c>
      <c r="R243" t="s">
        <v>72</v>
      </c>
      <c r="S243" s="13">
        <f t="shared" si="31"/>
        <v>43220.5</v>
      </c>
      <c r="T243" s="13">
        <v>43287</v>
      </c>
      <c r="U243" s="13">
        <v>43154</v>
      </c>
      <c r="V243" s="11">
        <v>0.45151123483151873</v>
      </c>
      <c r="W243" s="11">
        <v>0.40406834127533198</v>
      </c>
      <c r="X243" s="11">
        <v>1.609442321622111E-5</v>
      </c>
      <c r="Y243" s="11">
        <v>0.14440432946993312</v>
      </c>
      <c r="Z243" s="11">
        <v>0.93724585379757919</v>
      </c>
      <c r="AC243">
        <f t="shared" si="28"/>
        <v>0</v>
      </c>
      <c r="AD243">
        <v>240</v>
      </c>
      <c r="AE243" s="4">
        <f t="shared" si="26"/>
        <v>42965</v>
      </c>
      <c r="AF243" s="6">
        <f t="shared" si="27"/>
        <v>2.0671573364475115</v>
      </c>
      <c r="AG243" s="4">
        <v>42965</v>
      </c>
      <c r="AH243" s="6">
        <v>2.120018</v>
      </c>
      <c r="AI243" s="6">
        <v>3.0280740000000002</v>
      </c>
      <c r="AJ243" s="6">
        <v>3.3793600000000001</v>
      </c>
      <c r="AK243" s="4">
        <v>42965</v>
      </c>
      <c r="AL243" s="6">
        <f>VLOOKUP(AK243,Sheet3!$A$1:$B$1113,2,FALSE)</f>
        <v>1.670050477734939</v>
      </c>
      <c r="AM243" s="6">
        <f t="shared" si="29"/>
        <v>2.0671573364475115</v>
      </c>
    </row>
    <row r="244" spans="17:39" x14ac:dyDescent="0.3">
      <c r="Q244">
        <f t="shared" si="30"/>
        <v>215</v>
      </c>
      <c r="R244" t="s">
        <v>72</v>
      </c>
      <c r="S244" s="13">
        <f t="shared" si="31"/>
        <v>43227.5</v>
      </c>
      <c r="T244" s="13">
        <v>43294</v>
      </c>
      <c r="U244" s="13">
        <v>43161</v>
      </c>
      <c r="V244" s="11">
        <v>0.512082267107277</v>
      </c>
      <c r="W244" s="11">
        <v>0.41298268072101052</v>
      </c>
      <c r="X244" s="11">
        <v>1.7327007874566344E-5</v>
      </c>
      <c r="Y244" s="11">
        <v>7.4917725163837837E-2</v>
      </c>
      <c r="Z244" s="11">
        <v>0.91932450830973822</v>
      </c>
      <c r="AC244">
        <f t="shared" si="28"/>
        <v>0</v>
      </c>
      <c r="AD244">
        <v>241</v>
      </c>
      <c r="AE244" s="4">
        <f t="shared" si="26"/>
        <v>42972</v>
      </c>
      <c r="AF244" s="6">
        <f t="shared" si="27"/>
        <v>0.62364705559960765</v>
      </c>
      <c r="AG244" s="4">
        <v>42972</v>
      </c>
      <c r="AH244" s="6">
        <v>1.908344</v>
      </c>
      <c r="AI244" s="6">
        <v>-1.9300999999999999E-2</v>
      </c>
      <c r="AJ244" s="6">
        <v>-0.221079</v>
      </c>
      <c r="AK244" s="4">
        <v>42972</v>
      </c>
      <c r="AL244" s="6">
        <f>VLOOKUP(AK244,Sheet3!$A$1:$B$1113,2,FALSE)</f>
        <v>1.68046569836636</v>
      </c>
      <c r="AM244" s="6">
        <f t="shared" si="29"/>
        <v>0.62364705559960765</v>
      </c>
    </row>
    <row r="245" spans="17:39" x14ac:dyDescent="0.3">
      <c r="Q245">
        <f t="shared" si="30"/>
        <v>216</v>
      </c>
      <c r="R245" t="s">
        <v>72</v>
      </c>
      <c r="S245" s="13">
        <f t="shared" si="31"/>
        <v>43234.5</v>
      </c>
      <c r="T245" s="13">
        <v>43301</v>
      </c>
      <c r="U245" s="13">
        <v>43168</v>
      </c>
      <c r="V245" s="11">
        <v>0.4779312619090248</v>
      </c>
      <c r="W245" s="11">
        <v>0.43970204258069961</v>
      </c>
      <c r="X245" s="11">
        <v>1.944270833642866E-5</v>
      </c>
      <c r="Y245" s="11">
        <v>8.2347252801939205E-2</v>
      </c>
      <c r="Z245" s="11">
        <v>0.92086370357473624</v>
      </c>
      <c r="AC245">
        <f t="shared" si="28"/>
        <v>0</v>
      </c>
      <c r="AD245">
        <v>242</v>
      </c>
      <c r="AE245" s="4">
        <f t="shared" si="26"/>
        <v>42979</v>
      </c>
      <c r="AF245" s="6">
        <f t="shared" si="27"/>
        <v>2.3536110917270481</v>
      </c>
      <c r="AG245" s="4">
        <v>42979</v>
      </c>
      <c r="AH245" s="6">
        <v>0.91639000000000004</v>
      </c>
      <c r="AI245" s="6">
        <v>2.8357869999999998</v>
      </c>
      <c r="AJ245" s="6">
        <v>2.389106</v>
      </c>
      <c r="AK245" s="4">
        <v>42979</v>
      </c>
      <c r="AL245" s="6">
        <f>VLOOKUP(AK245,Sheet3!$A$1:$B$1113,2,FALSE)</f>
        <v>1.7200173254357789</v>
      </c>
      <c r="AM245" s="6">
        <f t="shared" si="29"/>
        <v>2.3536110917270481</v>
      </c>
    </row>
    <row r="246" spans="17:39" x14ac:dyDescent="0.3">
      <c r="Q246">
        <f t="shared" si="30"/>
        <v>217</v>
      </c>
      <c r="S246" s="13">
        <f t="shared" si="31"/>
        <v>0</v>
      </c>
      <c r="T246" s="13"/>
      <c r="U246" s="13"/>
      <c r="V246" s="11"/>
      <c r="W246" s="11"/>
      <c r="X246" s="11"/>
      <c r="Y246" s="11"/>
      <c r="Z246" s="11"/>
      <c r="AC246">
        <f t="shared" si="28"/>
        <v>0</v>
      </c>
      <c r="AD246">
        <v>243</v>
      </c>
      <c r="AE246" s="4">
        <f t="shared" si="26"/>
        <v>42986</v>
      </c>
      <c r="AF246" s="6">
        <f t="shared" si="27"/>
        <v>0.29147320523379427</v>
      </c>
      <c r="AG246" s="4">
        <v>42986</v>
      </c>
      <c r="AH246" s="6">
        <v>-0.118751</v>
      </c>
      <c r="AI246" s="6">
        <v>0.73052899999999998</v>
      </c>
      <c r="AJ246" s="6">
        <v>1.2776719999999999</v>
      </c>
      <c r="AK246" s="4">
        <v>42986</v>
      </c>
      <c r="AL246" s="6">
        <f>VLOOKUP(AK246,Sheet3!$A$1:$B$1113,2,FALSE)</f>
        <v>1.725030715064803</v>
      </c>
      <c r="AM246" s="6">
        <f t="shared" si="29"/>
        <v>0.29147320523379427</v>
      </c>
    </row>
    <row r="247" spans="17:39" x14ac:dyDescent="0.3">
      <c r="Q247">
        <f t="shared" si="30"/>
        <v>218</v>
      </c>
      <c r="S247" s="13">
        <f t="shared" si="31"/>
        <v>0</v>
      </c>
      <c r="T247" s="13"/>
      <c r="U247" s="13"/>
      <c r="V247" s="11"/>
      <c r="W247" s="11"/>
      <c r="X247" s="11"/>
      <c r="Y247" s="11"/>
      <c r="Z247" s="11"/>
      <c r="AC247">
        <f t="shared" si="28"/>
        <v>0</v>
      </c>
      <c r="AD247">
        <v>244</v>
      </c>
      <c r="AE247" s="4">
        <f t="shared" si="26"/>
        <v>42993</v>
      </c>
      <c r="AF247" s="6">
        <f t="shared" si="27"/>
        <v>0.51480554327447692</v>
      </c>
      <c r="AG247" s="4">
        <v>42993</v>
      </c>
      <c r="AH247" s="6">
        <v>0.138709</v>
      </c>
      <c r="AI247" s="6">
        <v>0.72801800000000005</v>
      </c>
      <c r="AJ247" s="6">
        <v>0.53286900000000004</v>
      </c>
      <c r="AK247" s="4">
        <v>42993</v>
      </c>
      <c r="AL247" s="6">
        <f>VLOOKUP(AK247,Sheet3!$A$1:$B$1113,2,FALSE)</f>
        <v>1.733911268809144</v>
      </c>
      <c r="AM247" s="6">
        <f t="shared" si="29"/>
        <v>0.51480554327447692</v>
      </c>
    </row>
    <row r="248" spans="17:39" x14ac:dyDescent="0.3">
      <c r="Q248">
        <f t="shared" si="30"/>
        <v>219</v>
      </c>
      <c r="S248" s="13">
        <f t="shared" si="31"/>
        <v>0</v>
      </c>
      <c r="T248" s="13"/>
      <c r="U248" s="13"/>
      <c r="V248" s="11"/>
      <c r="W248" s="11"/>
      <c r="X248" s="11"/>
      <c r="Y248" s="11"/>
      <c r="Z248" s="11"/>
      <c r="AC248">
        <f t="shared" si="28"/>
        <v>0</v>
      </c>
      <c r="AD248">
        <v>245</v>
      </c>
      <c r="AE248" s="4">
        <f t="shared" si="26"/>
        <v>43000</v>
      </c>
      <c r="AF248" s="6">
        <f t="shared" si="27"/>
        <v>-1.1556792904499069E-2</v>
      </c>
      <c r="AG248" s="4">
        <v>43000</v>
      </c>
      <c r="AH248" s="6">
        <v>0.16793</v>
      </c>
      <c r="AI248" s="6">
        <v>-0.75556999999999996</v>
      </c>
      <c r="AJ248" s="6">
        <v>-0.39134099999999999</v>
      </c>
      <c r="AK248" s="4">
        <v>43000</v>
      </c>
      <c r="AL248" s="6">
        <f>VLOOKUP(AK248,Sheet3!$A$1:$B$1113,2,FALSE)</f>
        <v>1.73371088427466</v>
      </c>
      <c r="AM248" s="6">
        <f t="shared" si="29"/>
        <v>-1.1556792904499069E-2</v>
      </c>
    </row>
    <row r="249" spans="17:39" x14ac:dyDescent="0.3">
      <c r="Q249">
        <f t="shared" si="30"/>
        <v>220</v>
      </c>
      <c r="S249" s="13">
        <f t="shared" si="31"/>
        <v>0</v>
      </c>
      <c r="T249" s="13"/>
      <c r="U249" s="13"/>
      <c r="V249" s="11"/>
      <c r="W249" s="11"/>
      <c r="X249" s="11"/>
      <c r="Y249" s="11"/>
      <c r="Z249" s="11"/>
      <c r="AC249">
        <f t="shared" si="28"/>
        <v>0</v>
      </c>
      <c r="AD249">
        <v>246</v>
      </c>
      <c r="AE249" s="4">
        <f t="shared" si="26"/>
        <v>43007</v>
      </c>
      <c r="AF249" s="6">
        <f t="shared" si="27"/>
        <v>0.95545467158621999</v>
      </c>
      <c r="AG249" s="4">
        <v>43007</v>
      </c>
      <c r="AH249" s="6">
        <v>-3.2027E-2</v>
      </c>
      <c r="AI249" s="6">
        <v>0.47548800000000002</v>
      </c>
      <c r="AJ249" s="6">
        <v>-9.0964000000000003E-2</v>
      </c>
      <c r="AK249" s="4">
        <v>43007</v>
      </c>
      <c r="AL249" s="6">
        <f>VLOOKUP(AK249,Sheet3!$A$1:$B$1113,2,FALSE)</f>
        <v>1.7502757059102609</v>
      </c>
      <c r="AM249" s="6">
        <f t="shared" si="29"/>
        <v>0.95545467158621999</v>
      </c>
    </row>
    <row r="250" spans="17:39" x14ac:dyDescent="0.3">
      <c r="Q250">
        <f t="shared" si="30"/>
        <v>221</v>
      </c>
      <c r="S250" s="13">
        <f t="shared" si="31"/>
        <v>0</v>
      </c>
      <c r="T250" s="13"/>
      <c r="U250" s="13"/>
      <c r="V250" s="11"/>
      <c r="W250" s="11"/>
      <c r="X250" s="11"/>
      <c r="Y250" s="11"/>
      <c r="Z250" s="11"/>
      <c r="AC250">
        <f t="shared" si="28"/>
        <v>0</v>
      </c>
      <c r="AD250">
        <v>247</v>
      </c>
      <c r="AE250" s="4">
        <f t="shared" si="26"/>
        <v>43021</v>
      </c>
      <c r="AF250" s="6">
        <f t="shared" si="27"/>
        <v>1.9638838995452712</v>
      </c>
      <c r="AG250" s="4">
        <v>43021</v>
      </c>
      <c r="AH250" s="6">
        <v>2.2025380000000001</v>
      </c>
      <c r="AI250" s="6">
        <v>1.6137140000000001</v>
      </c>
      <c r="AJ250" s="6">
        <v>1.655491</v>
      </c>
      <c r="AK250" s="4">
        <v>43021</v>
      </c>
      <c r="AL250" s="6">
        <f>VLOOKUP(AK250,Sheet3!$A$1:$B$1113,2,FALSE)</f>
        <v>1.7846490886962849</v>
      </c>
      <c r="AM250" s="6">
        <f t="shared" si="29"/>
        <v>1.9638838995452712</v>
      </c>
    </row>
    <row r="251" spans="17:39" x14ac:dyDescent="0.3">
      <c r="Q251">
        <f t="shared" si="30"/>
        <v>222</v>
      </c>
      <c r="S251" s="13">
        <f t="shared" si="31"/>
        <v>0</v>
      </c>
      <c r="T251" s="13"/>
      <c r="U251" s="13"/>
      <c r="V251" s="11"/>
      <c r="W251" s="11"/>
      <c r="X251" s="11"/>
      <c r="Y251" s="11"/>
      <c r="Z251" s="11"/>
      <c r="AC251">
        <f t="shared" si="28"/>
        <v>0</v>
      </c>
      <c r="AD251">
        <v>248</v>
      </c>
      <c r="AE251" s="4">
        <f t="shared" si="26"/>
        <v>43028</v>
      </c>
      <c r="AF251" s="6">
        <f t="shared" si="27"/>
        <v>-0.28886529939333716</v>
      </c>
      <c r="AG251" s="4">
        <v>43028</v>
      </c>
      <c r="AH251" s="6">
        <v>0.149204</v>
      </c>
      <c r="AI251" s="6">
        <v>-2.0625360000000001</v>
      </c>
      <c r="AJ251" s="6">
        <v>-2.7719490000000002</v>
      </c>
      <c r="AK251" s="4">
        <v>43028</v>
      </c>
      <c r="AL251" s="6">
        <f>VLOOKUP(AK251,Sheet3!$A$1:$B$1113,2,FALSE)</f>
        <v>1.779493856763102</v>
      </c>
      <c r="AM251" s="6">
        <f t="shared" si="29"/>
        <v>-0.28886529939333716</v>
      </c>
    </row>
    <row r="252" spans="17:39" x14ac:dyDescent="0.3">
      <c r="Q252">
        <f t="shared" si="30"/>
        <v>223</v>
      </c>
      <c r="S252" s="13">
        <f t="shared" si="31"/>
        <v>0</v>
      </c>
      <c r="T252" s="13"/>
      <c r="U252" s="13"/>
      <c r="V252" s="11"/>
      <c r="W252" s="11"/>
      <c r="X252" s="11"/>
      <c r="Y252" s="11"/>
      <c r="Z252" s="11"/>
      <c r="AC252">
        <f t="shared" si="28"/>
        <v>0</v>
      </c>
      <c r="AD252">
        <v>249</v>
      </c>
      <c r="AE252" s="4">
        <f t="shared" si="26"/>
        <v>43035</v>
      </c>
      <c r="AF252" s="6">
        <f t="shared" si="27"/>
        <v>2.2003652835894449</v>
      </c>
      <c r="AG252" s="4">
        <v>43035</v>
      </c>
      <c r="AH252" s="6">
        <v>2.4221840000000001</v>
      </c>
      <c r="AI252" s="6">
        <v>0.90364999999999995</v>
      </c>
      <c r="AJ252" s="6">
        <v>0.24878900000000001</v>
      </c>
      <c r="AK252" s="4">
        <v>43035</v>
      </c>
      <c r="AL252" s="6">
        <f>VLOOKUP(AK252,Sheet3!$A$1:$B$1113,2,FALSE)</f>
        <v>1.818649221810924</v>
      </c>
      <c r="AM252" s="6">
        <f t="shared" si="29"/>
        <v>2.2003652835894449</v>
      </c>
    </row>
    <row r="253" spans="17:39" x14ac:dyDescent="0.3">
      <c r="Q253">
        <f t="shared" si="30"/>
        <v>224</v>
      </c>
      <c r="S253" s="13">
        <f t="shared" si="31"/>
        <v>0</v>
      </c>
      <c r="T253" s="13"/>
      <c r="U253" s="13"/>
      <c r="V253" s="11"/>
      <c r="W253" s="11"/>
      <c r="X253" s="11"/>
      <c r="Y253" s="11"/>
      <c r="Z253" s="11"/>
      <c r="AC253">
        <f t="shared" si="28"/>
        <v>0</v>
      </c>
      <c r="AD253">
        <v>250</v>
      </c>
      <c r="AE253" s="4">
        <f t="shared" si="26"/>
        <v>43042</v>
      </c>
      <c r="AF253" s="6">
        <f t="shared" si="27"/>
        <v>-1.2216179154473483</v>
      </c>
      <c r="AG253" s="4">
        <v>43042</v>
      </c>
      <c r="AH253" s="6">
        <v>-0.727746</v>
      </c>
      <c r="AI253" s="6">
        <v>-3.0739369999999999</v>
      </c>
      <c r="AJ253" s="6">
        <v>-3.7799839999999998</v>
      </c>
      <c r="AK253" s="4">
        <v>43042</v>
      </c>
      <c r="AL253" s="6">
        <f>VLOOKUP(AK253,Sheet3!$A$1:$B$1113,2,FALSE)</f>
        <v>1.796432277098138</v>
      </c>
      <c r="AM253" s="6">
        <f t="shared" si="29"/>
        <v>-1.2216179154473483</v>
      </c>
    </row>
    <row r="254" spans="17:39" x14ac:dyDescent="0.3">
      <c r="Q254">
        <f t="shared" si="30"/>
        <v>225</v>
      </c>
      <c r="S254" s="13">
        <f t="shared" si="31"/>
        <v>0</v>
      </c>
      <c r="T254" s="13"/>
      <c r="U254" s="13"/>
      <c r="V254" s="11"/>
      <c r="W254" s="11"/>
      <c r="X254" s="11"/>
      <c r="Y254" s="11"/>
      <c r="Z254" s="11"/>
      <c r="AC254">
        <f t="shared" si="28"/>
        <v>0</v>
      </c>
      <c r="AD254">
        <v>251</v>
      </c>
      <c r="AE254" s="4">
        <f t="shared" si="26"/>
        <v>43049</v>
      </c>
      <c r="AF254" s="6">
        <f t="shared" si="27"/>
        <v>3.8373278130445332</v>
      </c>
      <c r="AG254" s="4">
        <v>43049</v>
      </c>
      <c r="AH254" s="6">
        <v>2.9857830000000001</v>
      </c>
      <c r="AI254" s="6">
        <v>3.3333930000000001</v>
      </c>
      <c r="AJ254" s="6">
        <v>2.5811220000000001</v>
      </c>
      <c r="AK254" s="4">
        <v>43049</v>
      </c>
      <c r="AL254" s="6">
        <f>VLOOKUP(AK254,Sheet3!$A$1:$B$1113,2,FALSE)</f>
        <v>1.8653672725097341</v>
      </c>
      <c r="AM254" s="6">
        <f t="shared" si="29"/>
        <v>3.8373278130445332</v>
      </c>
    </row>
    <row r="255" spans="17:39" x14ac:dyDescent="0.3">
      <c r="Q255">
        <f t="shared" si="30"/>
        <v>226</v>
      </c>
      <c r="S255" s="13">
        <f t="shared" si="31"/>
        <v>0</v>
      </c>
      <c r="T255" s="13"/>
      <c r="U255" s="13"/>
      <c r="V255" s="11"/>
      <c r="W255" s="11"/>
      <c r="X255" s="11"/>
      <c r="Y255" s="11"/>
      <c r="Z255" s="11"/>
      <c r="AC255">
        <f t="shared" si="28"/>
        <v>0</v>
      </c>
      <c r="AD255">
        <v>252</v>
      </c>
      <c r="AE255" s="4">
        <f t="shared" si="26"/>
        <v>43056</v>
      </c>
      <c r="AF255" s="6">
        <f t="shared" si="27"/>
        <v>-2.1349660538145465</v>
      </c>
      <c r="AG255" s="4">
        <v>43056</v>
      </c>
      <c r="AH255" s="6">
        <v>0.21740699999999999</v>
      </c>
      <c r="AI255" s="6">
        <v>-4.2051769999999999</v>
      </c>
      <c r="AJ255" s="6">
        <v>-5.1801370000000002</v>
      </c>
      <c r="AK255" s="4">
        <v>43056</v>
      </c>
      <c r="AL255" s="6">
        <f>VLOOKUP(AK255,Sheet3!$A$1:$B$1113,2,FALSE)</f>
        <v>1.825542314462685</v>
      </c>
      <c r="AM255" s="6">
        <f t="shared" si="29"/>
        <v>-2.1349660538145465</v>
      </c>
    </row>
    <row r="256" spans="17:39" x14ac:dyDescent="0.3">
      <c r="Q256">
        <f t="shared" si="30"/>
        <v>227</v>
      </c>
      <c r="S256" s="13">
        <f t="shared" si="31"/>
        <v>0</v>
      </c>
      <c r="T256" s="13"/>
      <c r="U256" s="13"/>
      <c r="V256" s="11"/>
      <c r="W256" s="11"/>
      <c r="X256" s="11"/>
      <c r="Y256" s="11"/>
      <c r="Z256" s="11"/>
      <c r="AC256">
        <f t="shared" si="28"/>
        <v>0</v>
      </c>
      <c r="AD256">
        <v>253</v>
      </c>
      <c r="AE256" s="4">
        <f t="shared" si="26"/>
        <v>43063</v>
      </c>
      <c r="AF256" s="6">
        <f t="shared" si="27"/>
        <v>-1.8667067713953878</v>
      </c>
      <c r="AG256" s="4">
        <v>43063</v>
      </c>
      <c r="AH256" s="6">
        <v>-0.40398000000000001</v>
      </c>
      <c r="AI256" s="6">
        <v>-1.318981</v>
      </c>
      <c r="AJ256" s="6">
        <v>-1.8301909999999999</v>
      </c>
      <c r="AK256" s="4">
        <v>43063</v>
      </c>
      <c r="AL256" s="6">
        <f>VLOOKUP(AK256,Sheet3!$A$1:$B$1113,2,FALSE)</f>
        <v>1.791464792463922</v>
      </c>
      <c r="AM256" s="6">
        <f t="shared" si="29"/>
        <v>-1.8667067713953878</v>
      </c>
    </row>
    <row r="257" spans="17:39" x14ac:dyDescent="0.3">
      <c r="Q257">
        <f t="shared" si="30"/>
        <v>228</v>
      </c>
      <c r="S257" s="13">
        <f t="shared" si="31"/>
        <v>0</v>
      </c>
      <c r="T257" s="13"/>
      <c r="U257" s="13"/>
      <c r="V257" s="11"/>
      <c r="W257" s="11"/>
      <c r="X257" s="11"/>
      <c r="Y257" s="11"/>
      <c r="Z257" s="11"/>
      <c r="AC257">
        <f t="shared" si="28"/>
        <v>0</v>
      </c>
      <c r="AD257">
        <v>254</v>
      </c>
      <c r="AE257" s="4">
        <f t="shared" si="26"/>
        <v>43070</v>
      </c>
      <c r="AF257" s="6">
        <f t="shared" si="27"/>
        <v>-1.0760033999472007</v>
      </c>
      <c r="AG257" s="4">
        <v>43070</v>
      </c>
      <c r="AH257" s="6">
        <v>-2.5843479999999999</v>
      </c>
      <c r="AI257" s="6">
        <v>0.61131500000000005</v>
      </c>
      <c r="AJ257" s="6">
        <v>1.0676159999999999</v>
      </c>
      <c r="AK257" s="4">
        <v>43070</v>
      </c>
      <c r="AL257" s="6">
        <f>VLOOKUP(AK257,Sheet3!$A$1:$B$1113,2,FALSE)</f>
        <v>1.772188570388153</v>
      </c>
      <c r="AM257" s="6">
        <f t="shared" si="29"/>
        <v>-1.0760033999472007</v>
      </c>
    </row>
    <row r="258" spans="17:39" x14ac:dyDescent="0.3">
      <c r="Q258">
        <f t="shared" si="30"/>
        <v>229</v>
      </c>
      <c r="S258" s="13">
        <f t="shared" si="31"/>
        <v>0</v>
      </c>
      <c r="T258" s="13"/>
      <c r="U258" s="13"/>
      <c r="V258" s="11"/>
      <c r="W258" s="11"/>
      <c r="X258" s="11"/>
      <c r="Y258" s="11"/>
      <c r="Z258" s="11"/>
      <c r="AC258">
        <f t="shared" si="28"/>
        <v>0</v>
      </c>
      <c r="AD258">
        <v>255</v>
      </c>
      <c r="AE258" s="4">
        <f t="shared" si="26"/>
        <v>43077</v>
      </c>
      <c r="AF258" s="6">
        <f t="shared" si="27"/>
        <v>-0.28104660227095124</v>
      </c>
      <c r="AG258" s="4">
        <v>43077</v>
      </c>
      <c r="AH258" s="6">
        <v>0.131129</v>
      </c>
      <c r="AI258" s="6">
        <v>-1.7931699999999999</v>
      </c>
      <c r="AJ258" s="6">
        <v>-1.909357</v>
      </c>
      <c r="AK258" s="4">
        <v>43077</v>
      </c>
      <c r="AL258" s="6">
        <f>VLOOKUP(AK258,Sheet3!$A$1:$B$1113,2,FALSE)</f>
        <v>1.767207894625243</v>
      </c>
      <c r="AM258" s="6">
        <f t="shared" si="29"/>
        <v>-0.28104660227095124</v>
      </c>
    </row>
    <row r="259" spans="17:39" x14ac:dyDescent="0.3">
      <c r="Q259">
        <f t="shared" si="30"/>
        <v>230</v>
      </c>
      <c r="S259" s="13">
        <f t="shared" si="31"/>
        <v>0</v>
      </c>
      <c r="T259" s="13"/>
      <c r="U259" s="13"/>
      <c r="V259" s="11"/>
      <c r="W259" s="11"/>
      <c r="X259" s="11"/>
      <c r="Y259" s="11"/>
      <c r="Z259" s="11"/>
      <c r="AC259">
        <f t="shared" si="28"/>
        <v>0</v>
      </c>
      <c r="AD259">
        <v>256</v>
      </c>
      <c r="AE259" s="4">
        <f t="shared" si="26"/>
        <v>43084</v>
      </c>
      <c r="AF259" s="6">
        <f t="shared" si="27"/>
        <v>0.63275729911902445</v>
      </c>
      <c r="AG259" s="4">
        <v>43084</v>
      </c>
      <c r="AH259" s="6">
        <v>-0.56261000000000005</v>
      </c>
      <c r="AI259" s="6">
        <v>0.52582200000000001</v>
      </c>
      <c r="AJ259" s="6">
        <v>0.63220299999999996</v>
      </c>
      <c r="AK259" s="4">
        <v>43084</v>
      </c>
      <c r="AL259" s="6">
        <f>VLOOKUP(AK259,Sheet3!$A$1:$B$1113,2,FALSE)</f>
        <v>1.7783900315690919</v>
      </c>
      <c r="AM259" s="6">
        <f t="shared" si="29"/>
        <v>0.63275729911902445</v>
      </c>
    </row>
    <row r="260" spans="17:39" x14ac:dyDescent="0.3">
      <c r="Q260">
        <f t="shared" si="30"/>
        <v>231</v>
      </c>
      <c r="S260" s="13">
        <f t="shared" si="31"/>
        <v>0</v>
      </c>
      <c r="T260" s="13"/>
      <c r="U260" s="13"/>
      <c r="V260" s="11"/>
      <c r="W260" s="11"/>
      <c r="X260" s="11"/>
      <c r="Y260" s="11"/>
      <c r="Z260" s="11"/>
      <c r="AC260">
        <f t="shared" si="28"/>
        <v>0</v>
      </c>
      <c r="AD260">
        <v>257</v>
      </c>
      <c r="AE260" s="4">
        <f t="shared" si="26"/>
        <v>43091</v>
      </c>
      <c r="AF260" s="6">
        <f t="shared" si="27"/>
        <v>1.6017171778620387</v>
      </c>
      <c r="AG260" s="4">
        <v>43091</v>
      </c>
      <c r="AH260" s="6">
        <v>1.8524309999999999</v>
      </c>
      <c r="AI260" s="6">
        <v>0.114243</v>
      </c>
      <c r="AJ260" s="6">
        <v>-1.198283</v>
      </c>
      <c r="AK260" s="4">
        <v>43091</v>
      </c>
      <c r="AL260" s="6">
        <f>VLOOKUP(AK260,Sheet3!$A$1:$B$1113,2,FALSE)</f>
        <v>1.8068748101941201</v>
      </c>
      <c r="AM260" s="6">
        <f t="shared" si="29"/>
        <v>1.6017171778620387</v>
      </c>
    </row>
    <row r="261" spans="17:39" x14ac:dyDescent="0.3">
      <c r="Q261">
        <f t="shared" si="30"/>
        <v>232</v>
      </c>
      <c r="S261" s="13">
        <f t="shared" si="31"/>
        <v>0</v>
      </c>
      <c r="T261" s="13"/>
      <c r="U261" s="13"/>
      <c r="V261" s="11"/>
      <c r="W261" s="11"/>
      <c r="X261" s="11"/>
      <c r="Y261" s="11"/>
      <c r="Z261" s="11"/>
      <c r="AC261">
        <f t="shared" si="28"/>
        <v>0</v>
      </c>
      <c r="AD261">
        <v>258</v>
      </c>
      <c r="AE261" s="4">
        <f t="shared" ref="AE261:AE324" si="32">AG261</f>
        <v>43098</v>
      </c>
      <c r="AF261" s="6">
        <f t="shared" ref="AF261:AF324" si="33">AM261</f>
        <v>-0.59277334575534857</v>
      </c>
      <c r="AG261" s="4">
        <v>43098</v>
      </c>
      <c r="AH261" s="6">
        <v>-0.58559399999999995</v>
      </c>
      <c r="AI261" s="6">
        <v>0.12712100000000001</v>
      </c>
      <c r="AJ261" s="6">
        <v>-0.28484999999999999</v>
      </c>
      <c r="AK261" s="4">
        <v>43098</v>
      </c>
      <c r="AL261" s="6">
        <f>VLOOKUP(AK261,Sheet3!$A$1:$B$1113,2,FALSE)</f>
        <v>1.7961641379281219</v>
      </c>
      <c r="AM261" s="6">
        <f t="shared" si="29"/>
        <v>-0.59277334575534857</v>
      </c>
    </row>
    <row r="262" spans="17:39" x14ac:dyDescent="0.3">
      <c r="Q262">
        <f t="shared" si="30"/>
        <v>233</v>
      </c>
      <c r="S262" s="13">
        <f t="shared" si="31"/>
        <v>0</v>
      </c>
      <c r="T262" s="13"/>
      <c r="U262" s="13"/>
      <c r="V262" s="11"/>
      <c r="W262" s="11"/>
      <c r="X262" s="11"/>
      <c r="Y262" s="11"/>
      <c r="Z262" s="11"/>
      <c r="AC262">
        <f t="shared" ref="AC262:AC325" si="34">IF(AE262&lt;=AE261,1,0)</f>
        <v>0</v>
      </c>
      <c r="AD262">
        <v>259</v>
      </c>
      <c r="AE262" s="4">
        <f t="shared" si="32"/>
        <v>43105</v>
      </c>
      <c r="AF262" s="6">
        <f t="shared" si="33"/>
        <v>2.2890634557757972</v>
      </c>
      <c r="AG262" s="4">
        <v>43105</v>
      </c>
      <c r="AH262" s="6">
        <v>2.676742</v>
      </c>
      <c r="AI262" s="6">
        <v>2.6625779999999999</v>
      </c>
      <c r="AJ262" s="6">
        <v>2.2731750000000002</v>
      </c>
      <c r="AK262" s="4">
        <v>43105</v>
      </c>
      <c r="AL262" s="6">
        <f>VLOOKUP(AK262,Sheet3!$A$1:$B$1113,2,FALSE)</f>
        <v>1.8372794748151851</v>
      </c>
      <c r="AM262" s="6">
        <f t="shared" ref="AM262:AM325" si="35">(AL262/AL261-1)*100</f>
        <v>2.2890634557757972</v>
      </c>
    </row>
    <row r="263" spans="17:39" x14ac:dyDescent="0.3">
      <c r="Q263">
        <f t="shared" si="30"/>
        <v>234</v>
      </c>
      <c r="S263" s="13">
        <f t="shared" si="31"/>
        <v>0</v>
      </c>
      <c r="T263" s="13"/>
      <c r="U263" s="13"/>
      <c r="V263" s="11"/>
      <c r="W263" s="11"/>
      <c r="X263" s="11"/>
      <c r="Y263" s="11"/>
      <c r="Z263" s="11"/>
      <c r="AC263">
        <f t="shared" si="34"/>
        <v>0</v>
      </c>
      <c r="AD263">
        <v>260</v>
      </c>
      <c r="AE263" s="4">
        <f t="shared" si="32"/>
        <v>43112</v>
      </c>
      <c r="AF263" s="6">
        <f t="shared" si="33"/>
        <v>0.5440153597845665</v>
      </c>
      <c r="AG263" s="4">
        <v>43112</v>
      </c>
      <c r="AH263" s="6">
        <v>2.083974</v>
      </c>
      <c r="AI263" s="6">
        <v>-0.27862399999999998</v>
      </c>
      <c r="AJ263" s="6">
        <v>-0.68330500000000005</v>
      </c>
      <c r="AK263" s="4">
        <v>43112</v>
      </c>
      <c r="AL263" s="6">
        <f>VLOOKUP(AK263,Sheet3!$A$1:$B$1113,2,FALSE)</f>
        <v>1.8472745573603491</v>
      </c>
      <c r="AM263" s="6">
        <f t="shared" si="35"/>
        <v>0.5440153597845665</v>
      </c>
    </row>
    <row r="264" spans="17:39" x14ac:dyDescent="0.3">
      <c r="Q264">
        <f t="shared" si="30"/>
        <v>235</v>
      </c>
      <c r="S264" s="13">
        <f t="shared" si="31"/>
        <v>0</v>
      </c>
      <c r="T264" s="13"/>
      <c r="U264" s="13"/>
      <c r="V264" s="11"/>
      <c r="W264" s="11"/>
      <c r="X264" s="11"/>
      <c r="Y264" s="11"/>
      <c r="Z264" s="11"/>
      <c r="AC264">
        <f t="shared" si="34"/>
        <v>0</v>
      </c>
      <c r="AD264">
        <v>261</v>
      </c>
      <c r="AE264" s="4">
        <f t="shared" si="32"/>
        <v>43119</v>
      </c>
      <c r="AF264" s="6">
        <f t="shared" si="33"/>
        <v>-0.87276245150006426</v>
      </c>
      <c r="AG264" s="4">
        <v>43119</v>
      </c>
      <c r="AH264" s="6">
        <v>1.429443</v>
      </c>
      <c r="AI264" s="6">
        <v>-1.9844710000000001</v>
      </c>
      <c r="AJ264" s="6">
        <v>-2.6588229999999999</v>
      </c>
      <c r="AK264" s="4">
        <v>43119</v>
      </c>
      <c r="AL264" s="6">
        <f>VLOOKUP(AK264,Sheet3!$A$1:$B$1113,2,FALSE)</f>
        <v>1.831152238647594</v>
      </c>
      <c r="AM264" s="6">
        <f t="shared" si="35"/>
        <v>-0.87276245150006426</v>
      </c>
    </row>
    <row r="265" spans="17:39" x14ac:dyDescent="0.3">
      <c r="Q265">
        <f t="shared" si="30"/>
        <v>236</v>
      </c>
      <c r="S265" s="13">
        <f t="shared" si="31"/>
        <v>0</v>
      </c>
      <c r="T265" s="13"/>
      <c r="U265" s="13"/>
      <c r="V265" s="11"/>
      <c r="W265" s="11"/>
      <c r="X265" s="11"/>
      <c r="Y265" s="11"/>
      <c r="Z265" s="11"/>
      <c r="AC265">
        <f t="shared" si="34"/>
        <v>0</v>
      </c>
      <c r="AD265">
        <v>262</v>
      </c>
      <c r="AE265" s="4">
        <f t="shared" si="32"/>
        <v>43126</v>
      </c>
      <c r="AF265" s="6">
        <f t="shared" si="33"/>
        <v>2.1695823735483843</v>
      </c>
      <c r="AG265" s="4">
        <v>43126</v>
      </c>
      <c r="AH265" s="6">
        <v>2.2379410000000002</v>
      </c>
      <c r="AI265" s="6">
        <v>1.773668</v>
      </c>
      <c r="AJ265" s="6">
        <v>1.696401</v>
      </c>
      <c r="AK265" s="4">
        <v>43126</v>
      </c>
      <c r="AL265" s="6">
        <f>VLOOKUP(AK265,Sheet3!$A$1:$B$1113,2,FALSE)</f>
        <v>1.870880594850129</v>
      </c>
      <c r="AM265" s="6">
        <f t="shared" si="35"/>
        <v>2.1695823735483843</v>
      </c>
    </row>
    <row r="266" spans="17:39" x14ac:dyDescent="0.3">
      <c r="Q266">
        <f t="shared" si="30"/>
        <v>237</v>
      </c>
      <c r="S266" s="13">
        <f t="shared" si="31"/>
        <v>0</v>
      </c>
      <c r="T266" s="13"/>
      <c r="U266" s="13"/>
      <c r="V266" s="11"/>
      <c r="W266" s="11"/>
      <c r="X266" s="11"/>
      <c r="Y266" s="11"/>
      <c r="Z266" s="11"/>
      <c r="AC266">
        <f t="shared" si="34"/>
        <v>0</v>
      </c>
      <c r="AD266">
        <v>263</v>
      </c>
      <c r="AE266" s="4">
        <f t="shared" si="32"/>
        <v>43133</v>
      </c>
      <c r="AF266" s="6">
        <f t="shared" si="33"/>
        <v>-2.4950080626097493</v>
      </c>
      <c r="AG266" s="4">
        <v>43133</v>
      </c>
      <c r="AH266" s="6">
        <v>-2.5122</v>
      </c>
      <c r="AI266" s="6">
        <v>-5.9336419999999999</v>
      </c>
      <c r="AJ266" s="6">
        <v>-8.0519429999999996</v>
      </c>
      <c r="AK266" s="4">
        <v>43133</v>
      </c>
      <c r="AL266" s="6">
        <f>VLOOKUP(AK266,Sheet3!$A$1:$B$1113,2,FALSE)</f>
        <v>1.8242019731668171</v>
      </c>
      <c r="AM266" s="6">
        <f t="shared" si="35"/>
        <v>-2.4950080626097493</v>
      </c>
    </row>
    <row r="267" spans="17:39" x14ac:dyDescent="0.3">
      <c r="Q267">
        <f t="shared" si="30"/>
        <v>238</v>
      </c>
      <c r="S267" s="13">
        <f t="shared" si="31"/>
        <v>0</v>
      </c>
      <c r="T267" s="13"/>
      <c r="U267" s="13"/>
      <c r="V267" s="11"/>
      <c r="W267" s="11"/>
      <c r="X267" s="11"/>
      <c r="Y267" s="11"/>
      <c r="Z267" s="11"/>
      <c r="AC267">
        <f t="shared" si="34"/>
        <v>0</v>
      </c>
      <c r="AD267">
        <v>264</v>
      </c>
      <c r="AE267" s="4">
        <f t="shared" si="32"/>
        <v>43140</v>
      </c>
      <c r="AF267" s="6">
        <f t="shared" si="33"/>
        <v>-8.9050042450550482</v>
      </c>
      <c r="AG267" s="4">
        <v>43140</v>
      </c>
      <c r="AH267" s="6">
        <v>-10.080928</v>
      </c>
      <c r="AI267" s="6">
        <v>-7.493144</v>
      </c>
      <c r="AJ267" s="6">
        <v>-6.7024600000000003</v>
      </c>
      <c r="AK267" s="4">
        <v>43140</v>
      </c>
      <c r="AL267" s="6">
        <f>VLOOKUP(AK267,Sheet3!$A$1:$B$1113,2,FALSE)</f>
        <v>1.661756710017934</v>
      </c>
      <c r="AM267" s="6">
        <f t="shared" si="35"/>
        <v>-8.9050042450550482</v>
      </c>
    </row>
    <row r="268" spans="17:39" x14ac:dyDescent="0.3">
      <c r="Q268">
        <f t="shared" si="30"/>
        <v>239</v>
      </c>
      <c r="S268" s="13">
        <f t="shared" si="31"/>
        <v>0</v>
      </c>
      <c r="T268" s="13"/>
      <c r="U268" s="13"/>
      <c r="V268" s="11"/>
      <c r="W268" s="11"/>
      <c r="X268" s="11"/>
      <c r="Y268" s="11"/>
      <c r="Z268" s="11"/>
      <c r="AC268">
        <f t="shared" si="34"/>
        <v>0</v>
      </c>
      <c r="AD268">
        <v>265</v>
      </c>
      <c r="AE268" s="4">
        <f t="shared" si="32"/>
        <v>43145</v>
      </c>
      <c r="AF268" s="6">
        <f t="shared" si="33"/>
        <v>4.149218395005172</v>
      </c>
      <c r="AG268" s="4">
        <v>43145</v>
      </c>
      <c r="AH268" s="6">
        <v>3.2887300000000002</v>
      </c>
      <c r="AI268" s="6">
        <v>3.5992920000000002</v>
      </c>
      <c r="AJ268" s="6">
        <v>2.9347729999999999</v>
      </c>
      <c r="AK268" s="4">
        <v>43145</v>
      </c>
      <c r="AL268" s="6">
        <f>VLOOKUP(AK268,Sheet3!$A$1:$B$1113,2,FALSE)</f>
        <v>1.730706625110231</v>
      </c>
      <c r="AM268" s="6">
        <f t="shared" si="35"/>
        <v>4.149218395005172</v>
      </c>
    </row>
    <row r="269" spans="17:39" x14ac:dyDescent="0.3">
      <c r="Q269">
        <f t="shared" si="30"/>
        <v>240</v>
      </c>
      <c r="S269" s="13">
        <f t="shared" si="31"/>
        <v>0</v>
      </c>
      <c r="T269" s="13"/>
      <c r="U269" s="13"/>
      <c r="V269" s="11"/>
      <c r="W269" s="11"/>
      <c r="X269" s="11"/>
      <c r="Y269" s="11"/>
      <c r="Z269" s="11"/>
      <c r="AC269">
        <f t="shared" si="34"/>
        <v>0</v>
      </c>
      <c r="AD269">
        <v>266</v>
      </c>
      <c r="AE269" s="4">
        <f t="shared" si="32"/>
        <v>43154</v>
      </c>
      <c r="AF269" s="6">
        <f t="shared" si="33"/>
        <v>2.4520236148666275</v>
      </c>
      <c r="AG269" s="4">
        <v>43154</v>
      </c>
      <c r="AH269" s="6">
        <v>2.6248680000000002</v>
      </c>
      <c r="AI269" s="6">
        <v>2.4821240000000002</v>
      </c>
      <c r="AJ269" s="6">
        <v>2.1707740000000002</v>
      </c>
      <c r="AK269" s="4">
        <v>43154</v>
      </c>
      <c r="AL269" s="6">
        <f>VLOOKUP(AK269,Sheet3!$A$1:$B$1113,2,FALSE)</f>
        <v>1.7731439602619949</v>
      </c>
      <c r="AM269" s="6">
        <f t="shared" si="35"/>
        <v>2.4520236148666275</v>
      </c>
    </row>
    <row r="270" spans="17:39" x14ac:dyDescent="0.3">
      <c r="Q270">
        <f t="shared" si="30"/>
        <v>241</v>
      </c>
      <c r="S270" s="13">
        <f t="shared" si="31"/>
        <v>0</v>
      </c>
      <c r="T270" s="13"/>
      <c r="U270" s="13"/>
      <c r="V270" s="11"/>
      <c r="W270" s="11"/>
      <c r="X270" s="11"/>
      <c r="Y270" s="11"/>
      <c r="Z270" s="11"/>
      <c r="AC270">
        <f t="shared" si="34"/>
        <v>0</v>
      </c>
      <c r="AD270">
        <v>267</v>
      </c>
      <c r="AE270" s="4">
        <f t="shared" si="32"/>
        <v>43161</v>
      </c>
      <c r="AF270" s="6">
        <f t="shared" si="33"/>
        <v>-2.6722139773405207E-2</v>
      </c>
      <c r="AG270" s="4">
        <v>43161</v>
      </c>
      <c r="AH270" s="6">
        <v>-1.34185</v>
      </c>
      <c r="AI270" s="6">
        <v>2.6901929999999998</v>
      </c>
      <c r="AJ270" s="6">
        <v>4.1856489999999997</v>
      </c>
      <c r="AK270" s="4">
        <v>43161</v>
      </c>
      <c r="AL270" s="6">
        <f>VLOOKUP(AK270,Sheet3!$A$1:$B$1113,2,FALSE)</f>
        <v>1.77267013825455</v>
      </c>
      <c r="AM270" s="6">
        <f t="shared" si="35"/>
        <v>-2.6722139773405207E-2</v>
      </c>
    </row>
    <row r="271" spans="17:39" x14ac:dyDescent="0.3">
      <c r="Q271">
        <f t="shared" si="30"/>
        <v>242</v>
      </c>
      <c r="S271" s="13">
        <f t="shared" si="31"/>
        <v>0</v>
      </c>
      <c r="T271" s="13"/>
      <c r="U271" s="13"/>
      <c r="V271" s="11"/>
      <c r="W271" s="11"/>
      <c r="X271" s="11"/>
      <c r="Y271" s="11"/>
      <c r="Z271" s="11"/>
      <c r="AC271">
        <f t="shared" si="34"/>
        <v>0</v>
      </c>
      <c r="AD271">
        <v>268</v>
      </c>
      <c r="AE271" s="4">
        <f t="shared" si="32"/>
        <v>43168</v>
      </c>
      <c r="AF271" s="6">
        <f t="shared" si="33"/>
        <v>2.3790108957972622</v>
      </c>
      <c r="AG271" s="4">
        <v>43168</v>
      </c>
      <c r="AH271" s="6">
        <v>2.300637</v>
      </c>
      <c r="AI271" s="6">
        <v>2.4873129999999999</v>
      </c>
      <c r="AJ271" s="6">
        <v>3.087208</v>
      </c>
      <c r="AK271" s="4">
        <v>43168</v>
      </c>
      <c r="AL271" s="6">
        <f>VLOOKUP(AK271,Sheet3!$A$1:$B$1113,2,FALSE)</f>
        <v>1.81484215399017</v>
      </c>
      <c r="AM271" s="6">
        <f t="shared" si="35"/>
        <v>2.3790108957972622</v>
      </c>
    </row>
    <row r="272" spans="17:39" x14ac:dyDescent="0.3">
      <c r="Q272">
        <f t="shared" si="30"/>
        <v>243</v>
      </c>
      <c r="S272" s="13">
        <f t="shared" si="31"/>
        <v>0</v>
      </c>
      <c r="T272" s="13"/>
      <c r="U272" s="13"/>
      <c r="V272" s="11"/>
      <c r="W272" s="11"/>
      <c r="X272" s="11"/>
      <c r="Y272" s="11"/>
      <c r="Z272" s="11"/>
      <c r="AC272">
        <f t="shared" si="34"/>
        <v>0</v>
      </c>
      <c r="AD272">
        <v>269</v>
      </c>
      <c r="AE272" s="4">
        <f t="shared" si="32"/>
        <v>43175</v>
      </c>
      <c r="AF272" s="6">
        <f t="shared" si="33"/>
        <v>-1.1138481032961223</v>
      </c>
      <c r="AG272" s="4">
        <v>43175</v>
      </c>
      <c r="AH272" s="6">
        <v>-1.2763279999999999</v>
      </c>
      <c r="AI272" s="6">
        <v>-0.97744200000000003</v>
      </c>
      <c r="AJ272" s="6">
        <v>-0.45634400000000003</v>
      </c>
      <c r="AK272" s="4">
        <v>43175</v>
      </c>
      <c r="AL272" s="6">
        <f>VLOOKUP(AK272,Sheet3!$A$1:$B$1113,2,FALSE)</f>
        <v>1.7946275690801321</v>
      </c>
      <c r="AM272" s="6">
        <f t="shared" si="35"/>
        <v>-1.1138481032961223</v>
      </c>
    </row>
    <row r="273" spans="17:39" x14ac:dyDescent="0.3">
      <c r="Q273">
        <f t="shared" si="30"/>
        <v>244</v>
      </c>
      <c r="S273" s="13">
        <f t="shared" si="31"/>
        <v>0</v>
      </c>
      <c r="T273" s="13"/>
      <c r="U273" s="13"/>
      <c r="V273" s="11"/>
      <c r="W273" s="11"/>
      <c r="X273" s="11"/>
      <c r="Y273" s="11"/>
      <c r="Z273" s="11"/>
      <c r="AC273">
        <f t="shared" si="34"/>
        <v>0</v>
      </c>
      <c r="AD273">
        <v>270</v>
      </c>
      <c r="AE273" s="4">
        <f t="shared" si="32"/>
        <v>43182</v>
      </c>
      <c r="AF273" s="6">
        <f t="shared" si="33"/>
        <v>-4.3934110207793475</v>
      </c>
      <c r="AG273" s="4">
        <v>43182</v>
      </c>
      <c r="AH273" s="6">
        <v>-3.7345000000000002</v>
      </c>
      <c r="AI273" s="6">
        <v>-5.8434039999999996</v>
      </c>
      <c r="AJ273" s="6">
        <v>-5.9217909999999998</v>
      </c>
      <c r="AK273" s="4">
        <v>43182</v>
      </c>
      <c r="AL273" s="6">
        <f>VLOOKUP(AK273,Sheet3!$A$1:$B$1113,2,FALSE)</f>
        <v>1.7157822036782211</v>
      </c>
      <c r="AM273" s="6">
        <f t="shared" si="35"/>
        <v>-4.3934110207793475</v>
      </c>
    </row>
    <row r="274" spans="17:39" x14ac:dyDescent="0.3">
      <c r="Q274">
        <f t="shared" si="30"/>
        <v>245</v>
      </c>
      <c r="S274" s="13">
        <f t="shared" si="31"/>
        <v>0</v>
      </c>
      <c r="T274" s="13"/>
      <c r="U274" s="13"/>
      <c r="V274" s="11"/>
      <c r="W274" s="11"/>
      <c r="X274" s="11"/>
      <c r="Y274" s="11"/>
      <c r="Z274" s="11"/>
      <c r="AC274">
        <f t="shared" si="34"/>
        <v>0</v>
      </c>
      <c r="AD274">
        <v>271</v>
      </c>
      <c r="AE274" s="4">
        <f t="shared" si="32"/>
        <v>43189</v>
      </c>
      <c r="AF274" s="6">
        <f t="shared" si="33"/>
        <v>2.7991353901638982</v>
      </c>
      <c r="AG274" s="4">
        <v>43189</v>
      </c>
      <c r="AH274" s="6">
        <v>-0.16486300000000001</v>
      </c>
      <c r="AI274" s="6">
        <v>5.6605720000000002</v>
      </c>
      <c r="AJ274" s="6">
        <v>6.1811980000000002</v>
      </c>
      <c r="AK274" s="4">
        <v>43189</v>
      </c>
      <c r="AL274" s="6">
        <f>VLOOKUP(AK274,Sheet3!$A$1:$B$1113,2,FALSE)</f>
        <v>1.7638092705595121</v>
      </c>
      <c r="AM274" s="6">
        <f t="shared" si="35"/>
        <v>2.7991353901638982</v>
      </c>
    </row>
    <row r="275" spans="17:39" x14ac:dyDescent="0.3">
      <c r="Q275">
        <f t="shared" si="30"/>
        <v>246</v>
      </c>
      <c r="S275" s="13">
        <f t="shared" si="31"/>
        <v>0</v>
      </c>
      <c r="T275" s="13"/>
      <c r="U275" s="13"/>
      <c r="V275" s="11"/>
      <c r="W275" s="11"/>
      <c r="X275" s="11"/>
      <c r="Y275" s="11"/>
      <c r="Z275" s="11"/>
      <c r="AC275">
        <f t="shared" si="34"/>
        <v>0</v>
      </c>
      <c r="AD275">
        <v>272</v>
      </c>
      <c r="AE275" s="4">
        <f t="shared" si="32"/>
        <v>43194</v>
      </c>
      <c r="AF275" s="6">
        <f t="shared" si="33"/>
        <v>-1.265105183625137</v>
      </c>
      <c r="AG275" s="4">
        <v>43194</v>
      </c>
      <c r="AH275" s="6">
        <v>-1.1192820000000001</v>
      </c>
      <c r="AI275" s="6">
        <v>-1.58718</v>
      </c>
      <c r="AJ275" s="6">
        <v>-1.32006</v>
      </c>
      <c r="AK275" s="4">
        <v>43194</v>
      </c>
      <c r="AL275" s="6">
        <f>VLOOKUP(AK275,Sheet3!$A$1:$B$1113,2,FALSE)</f>
        <v>1.7414952280484031</v>
      </c>
      <c r="AM275" s="6">
        <f t="shared" si="35"/>
        <v>-1.265105183625137</v>
      </c>
    </row>
    <row r="276" spans="17:39" x14ac:dyDescent="0.3">
      <c r="Q276">
        <f t="shared" si="30"/>
        <v>247</v>
      </c>
      <c r="S276" s="13">
        <f t="shared" si="31"/>
        <v>0</v>
      </c>
      <c r="T276" s="13"/>
      <c r="U276" s="13"/>
      <c r="V276" s="11"/>
      <c r="W276" s="11"/>
      <c r="X276" s="11"/>
      <c r="Y276" s="11"/>
      <c r="Z276" s="11"/>
      <c r="AC276">
        <f t="shared" si="34"/>
        <v>0</v>
      </c>
      <c r="AD276">
        <v>273</v>
      </c>
      <c r="AE276" s="4">
        <f t="shared" si="32"/>
        <v>43203</v>
      </c>
      <c r="AF276" s="6">
        <f t="shared" si="33"/>
        <v>0.2947055422068745</v>
      </c>
      <c r="AG276" s="4">
        <v>43203</v>
      </c>
      <c r="AH276" s="6">
        <v>0.42237000000000002</v>
      </c>
      <c r="AI276" s="6">
        <v>0.15787499999999999</v>
      </c>
      <c r="AJ276" s="6">
        <v>0.189911</v>
      </c>
      <c r="AK276" s="4">
        <v>43203</v>
      </c>
      <c r="AL276" s="6">
        <f>VLOOKUP(AK276,Sheet3!$A$1:$B$1113,2,FALSE)</f>
        <v>1.7466275110027301</v>
      </c>
      <c r="AM276" s="6">
        <f t="shared" si="35"/>
        <v>0.2947055422068745</v>
      </c>
    </row>
    <row r="277" spans="17:39" x14ac:dyDescent="0.3">
      <c r="Q277">
        <f t="shared" si="30"/>
        <v>248</v>
      </c>
      <c r="S277" s="13">
        <f t="shared" si="31"/>
        <v>0</v>
      </c>
      <c r="T277" s="13"/>
      <c r="U277" s="13"/>
      <c r="V277" s="11"/>
      <c r="W277" s="11"/>
      <c r="X277" s="11"/>
      <c r="Y277" s="11"/>
      <c r="Z277" s="11"/>
      <c r="AC277">
        <f t="shared" si="34"/>
        <v>0</v>
      </c>
      <c r="AD277">
        <v>274</v>
      </c>
      <c r="AE277" s="4">
        <f t="shared" si="32"/>
        <v>43210</v>
      </c>
      <c r="AF277" s="6">
        <f t="shared" si="33"/>
        <v>-2.3268288482922284</v>
      </c>
      <c r="AG277" s="4">
        <v>43210</v>
      </c>
      <c r="AH277" s="6">
        <v>-2.8490280000000001</v>
      </c>
      <c r="AI277" s="6">
        <v>-2.4281779999999999</v>
      </c>
      <c r="AJ277" s="6">
        <v>-2.7627030000000001</v>
      </c>
      <c r="AK277" s="4">
        <v>43210</v>
      </c>
      <c r="AL277" s="6">
        <f>VLOOKUP(AK277,Sheet3!$A$1:$B$1113,2,FALSE)</f>
        <v>1.70598647820451</v>
      </c>
      <c r="AM277" s="6">
        <f t="shared" si="35"/>
        <v>-2.3268288482922284</v>
      </c>
    </row>
    <row r="278" spans="17:39" x14ac:dyDescent="0.3">
      <c r="Q278">
        <f t="shared" si="30"/>
        <v>249</v>
      </c>
      <c r="S278" s="13">
        <f t="shared" si="31"/>
        <v>0</v>
      </c>
      <c r="T278" s="13"/>
      <c r="U278" s="13"/>
      <c r="V278" s="11"/>
      <c r="W278" s="11"/>
      <c r="X278" s="11"/>
      <c r="Y278" s="11"/>
      <c r="Z278" s="11"/>
      <c r="AC278">
        <f t="shared" si="34"/>
        <v>0</v>
      </c>
      <c r="AD278">
        <v>275</v>
      </c>
      <c r="AE278" s="4">
        <f t="shared" si="32"/>
        <v>43217</v>
      </c>
      <c r="AF278" s="6">
        <f t="shared" si="33"/>
        <v>0.12726798658579952</v>
      </c>
      <c r="AG278" s="4">
        <v>43217</v>
      </c>
      <c r="AH278" s="6">
        <v>-0.105769</v>
      </c>
      <c r="AI278" s="6">
        <v>-0.33757599999999999</v>
      </c>
      <c r="AJ278" s="6">
        <v>-0.28931000000000001</v>
      </c>
      <c r="AK278" s="4">
        <v>43217</v>
      </c>
      <c r="AL278" s="6">
        <f>VLOOKUP(AK278,Sheet3!$A$1:$B$1113,2,FALSE)</f>
        <v>1.708157652846747</v>
      </c>
      <c r="AM278" s="6">
        <f t="shared" si="35"/>
        <v>0.12726798658579952</v>
      </c>
    </row>
    <row r="279" spans="17:39" x14ac:dyDescent="0.3">
      <c r="Q279">
        <f t="shared" si="30"/>
        <v>250</v>
      </c>
      <c r="S279" s="13">
        <f t="shared" si="31"/>
        <v>0</v>
      </c>
      <c r="T279" s="13"/>
      <c r="U279" s="13"/>
      <c r="V279" s="11"/>
      <c r="W279" s="11"/>
      <c r="X279" s="11"/>
      <c r="Y279" s="11"/>
      <c r="Z279" s="11"/>
      <c r="AC279">
        <f t="shared" si="34"/>
        <v>0</v>
      </c>
      <c r="AD279">
        <v>276</v>
      </c>
      <c r="AE279" s="4">
        <f t="shared" si="32"/>
        <v>43224</v>
      </c>
      <c r="AF279" s="6">
        <f t="shared" si="33"/>
        <v>1.1935554094229861</v>
      </c>
      <c r="AG279" s="4">
        <v>43224</v>
      </c>
      <c r="AH279" s="6">
        <v>0.47171099999999999</v>
      </c>
      <c r="AI279" s="6">
        <v>0.82427799999999996</v>
      </c>
      <c r="AJ279" s="6">
        <v>0.21848400000000001</v>
      </c>
      <c r="AK279" s="4">
        <v>43224</v>
      </c>
      <c r="AL279" s="6">
        <f>VLOOKUP(AK279,Sheet3!$A$1:$B$1113,2,FALSE)</f>
        <v>1.728545460913772</v>
      </c>
      <c r="AM279" s="6">
        <f t="shared" si="35"/>
        <v>1.1935554094229861</v>
      </c>
    </row>
    <row r="280" spans="17:39" x14ac:dyDescent="0.3">
      <c r="Q280">
        <f t="shared" si="30"/>
        <v>251</v>
      </c>
      <c r="S280" s="13">
        <f t="shared" si="31"/>
        <v>0</v>
      </c>
      <c r="T280" s="13"/>
      <c r="U280" s="13"/>
      <c r="V280" s="11"/>
      <c r="W280" s="11"/>
      <c r="X280" s="11"/>
      <c r="Y280" s="11"/>
      <c r="Z280" s="11"/>
      <c r="AC280">
        <f t="shared" si="34"/>
        <v>0</v>
      </c>
      <c r="AD280">
        <v>277</v>
      </c>
      <c r="AE280" s="4">
        <f t="shared" si="32"/>
        <v>43231</v>
      </c>
      <c r="AF280" s="6">
        <f t="shared" si="33"/>
        <v>1.7397003974325864</v>
      </c>
      <c r="AG280" s="4">
        <v>43231</v>
      </c>
      <c r="AH280" s="6">
        <v>2.6026660000000001</v>
      </c>
      <c r="AI280" s="6">
        <v>1.3884570000000001</v>
      </c>
      <c r="AJ280" s="6">
        <v>1.6148990000000001</v>
      </c>
      <c r="AK280" s="4">
        <v>43231</v>
      </c>
      <c r="AL280" s="6">
        <f>VLOOKUP(AK280,Sheet3!$A$1:$B$1113,2,FALSE)</f>
        <v>1.758616973167092</v>
      </c>
      <c r="AM280" s="6">
        <f t="shared" si="35"/>
        <v>1.7397003974325864</v>
      </c>
    </row>
    <row r="281" spans="17:39" x14ac:dyDescent="0.3">
      <c r="Q281">
        <f t="shared" si="30"/>
        <v>252</v>
      </c>
      <c r="S281" s="13">
        <f t="shared" si="31"/>
        <v>0</v>
      </c>
      <c r="T281" s="13"/>
      <c r="U281" s="13"/>
      <c r="V281" s="11"/>
      <c r="W281" s="11"/>
      <c r="X281" s="11"/>
      <c r="Y281" s="11"/>
      <c r="Z281" s="11"/>
      <c r="AC281">
        <f t="shared" si="34"/>
        <v>0</v>
      </c>
      <c r="AD281">
        <v>278</v>
      </c>
      <c r="AE281" s="4">
        <f t="shared" si="32"/>
        <v>43238</v>
      </c>
      <c r="AF281" s="6">
        <f t="shared" si="33"/>
        <v>0.58237417584936502</v>
      </c>
      <c r="AG281" s="4">
        <v>43238</v>
      </c>
      <c r="AH281" s="6">
        <v>0.78044599999999997</v>
      </c>
      <c r="AI281" s="6">
        <v>6.3547000000000006E-2</v>
      </c>
      <c r="AJ281" s="6">
        <v>-0.24095900000000001</v>
      </c>
      <c r="AK281" s="4">
        <v>43238</v>
      </c>
      <c r="AL281" s="6">
        <f>VLOOKUP(AK281,Sheet3!$A$1:$B$1113,2,FALSE)</f>
        <v>1.768858704270921</v>
      </c>
      <c r="AM281" s="6">
        <f t="shared" si="35"/>
        <v>0.58237417584936502</v>
      </c>
    </row>
    <row r="282" spans="17:39" x14ac:dyDescent="0.3">
      <c r="Q282">
        <f t="shared" si="30"/>
        <v>253</v>
      </c>
      <c r="S282" s="13">
        <f t="shared" si="31"/>
        <v>0</v>
      </c>
      <c r="T282" s="13"/>
      <c r="U282" s="13"/>
      <c r="V282" s="11"/>
      <c r="W282" s="11"/>
      <c r="X282" s="11"/>
      <c r="Y282" s="11"/>
      <c r="Z282" s="11"/>
      <c r="AC282">
        <f t="shared" si="34"/>
        <v>0</v>
      </c>
      <c r="AD282">
        <v>279</v>
      </c>
      <c r="AE282" s="4">
        <f t="shared" si="32"/>
        <v>43245</v>
      </c>
      <c r="AF282" s="6">
        <f t="shared" si="33"/>
        <v>-1.0643127876890368</v>
      </c>
      <c r="AG282" s="4">
        <v>43245</v>
      </c>
      <c r="AH282" s="6">
        <v>-2.2178909999999998</v>
      </c>
      <c r="AI282" s="6">
        <v>-1.290241</v>
      </c>
      <c r="AJ282" s="6">
        <v>-1.198123</v>
      </c>
      <c r="AK282" s="4">
        <v>43245</v>
      </c>
      <c r="AL282" s="6">
        <f>VLOOKUP(AK282,Sheet3!$A$1:$B$1113,2,FALSE)</f>
        <v>1.7500325148852149</v>
      </c>
      <c r="AM282" s="6">
        <f t="shared" si="35"/>
        <v>-1.0643127876890368</v>
      </c>
    </row>
    <row r="283" spans="17:39" x14ac:dyDescent="0.3">
      <c r="Q283">
        <f t="shared" si="30"/>
        <v>254</v>
      </c>
      <c r="S283" s="13">
        <f t="shared" si="31"/>
        <v>0</v>
      </c>
      <c r="T283" s="13"/>
      <c r="U283" s="13"/>
      <c r="V283" s="11"/>
      <c r="W283" s="11"/>
      <c r="X283" s="11"/>
      <c r="Y283" s="11"/>
      <c r="Z283" s="11"/>
      <c r="AC283">
        <f t="shared" si="34"/>
        <v>0</v>
      </c>
      <c r="AD283">
        <v>280</v>
      </c>
      <c r="AE283" s="4">
        <f t="shared" si="32"/>
        <v>43252</v>
      </c>
      <c r="AF283" s="6">
        <f t="shared" si="33"/>
        <v>-1.8753489660033318</v>
      </c>
      <c r="AG283" s="4">
        <v>43252</v>
      </c>
      <c r="AH283" s="6">
        <v>-1.202906</v>
      </c>
      <c r="AI283" s="6">
        <v>-3.9319069999999998</v>
      </c>
      <c r="AJ283" s="6">
        <v>-4.551253</v>
      </c>
      <c r="AK283" s="4">
        <v>43252</v>
      </c>
      <c r="AL283" s="6">
        <f>VLOOKUP(AK283,Sheet3!$A$1:$B$1113,2,FALSE)</f>
        <v>1.7172132982125929</v>
      </c>
      <c r="AM283" s="6">
        <f t="shared" si="35"/>
        <v>-1.8753489660033318</v>
      </c>
    </row>
    <row r="284" spans="17:39" x14ac:dyDescent="0.3">
      <c r="Q284">
        <f t="shared" si="30"/>
        <v>255</v>
      </c>
      <c r="S284" s="13">
        <f t="shared" si="31"/>
        <v>0</v>
      </c>
      <c r="T284" s="13"/>
      <c r="U284" s="13"/>
      <c r="V284" s="11"/>
      <c r="W284" s="11"/>
      <c r="X284" s="11"/>
      <c r="Y284" s="11"/>
      <c r="Z284" s="11"/>
      <c r="AC284">
        <f t="shared" si="34"/>
        <v>0</v>
      </c>
      <c r="AD284">
        <v>281</v>
      </c>
      <c r="AE284" s="4">
        <f t="shared" si="32"/>
        <v>43259</v>
      </c>
      <c r="AF284" s="6">
        <f t="shared" si="33"/>
        <v>1.1557925084525467</v>
      </c>
      <c r="AG284" s="4">
        <v>43259</v>
      </c>
      <c r="AH284" s="6">
        <v>0.2394</v>
      </c>
      <c r="AI284" s="6">
        <v>-0.27813700000000002</v>
      </c>
      <c r="AJ284" s="6">
        <v>-0.60502400000000001</v>
      </c>
      <c r="AK284" s="4">
        <v>43259</v>
      </c>
      <c r="AL284" s="6">
        <f>VLOOKUP(AK284,Sheet3!$A$1:$B$1113,2,FALSE)</f>
        <v>1.7370607208674851</v>
      </c>
      <c r="AM284" s="6">
        <f t="shared" si="35"/>
        <v>1.1557925084525467</v>
      </c>
    </row>
    <row r="285" spans="17:39" x14ac:dyDescent="0.3">
      <c r="Q285">
        <f t="shared" si="30"/>
        <v>256</v>
      </c>
      <c r="S285" s="13">
        <f t="shared" si="31"/>
        <v>0</v>
      </c>
      <c r="T285" s="13"/>
      <c r="U285" s="13"/>
      <c r="V285" s="11"/>
      <c r="W285" s="11"/>
      <c r="X285" s="11"/>
      <c r="Y285" s="11"/>
      <c r="Z285" s="11"/>
      <c r="AC285">
        <f t="shared" si="34"/>
        <v>0</v>
      </c>
      <c r="AD285">
        <v>282</v>
      </c>
      <c r="AE285" s="4">
        <f t="shared" si="32"/>
        <v>43266</v>
      </c>
      <c r="AF285" s="6">
        <f t="shared" si="33"/>
        <v>-1.9528830414592635</v>
      </c>
      <c r="AG285" s="4">
        <v>43266</v>
      </c>
      <c r="AH285" s="6">
        <v>-0.69271899999999997</v>
      </c>
      <c r="AI285" s="6">
        <v>-3.2695110000000001</v>
      </c>
      <c r="AJ285" s="6">
        <v>-4.4776860000000003</v>
      </c>
      <c r="AK285" s="4">
        <v>43266</v>
      </c>
      <c r="AL285" s="6">
        <f>VLOOKUP(AK285,Sheet3!$A$1:$B$1113,2,FALSE)</f>
        <v>1.7031379566298139</v>
      </c>
      <c r="AM285" s="6">
        <f t="shared" si="35"/>
        <v>-1.9528830414592635</v>
      </c>
    </row>
    <row r="286" spans="17:39" x14ac:dyDescent="0.3">
      <c r="Q286">
        <f t="shared" si="30"/>
        <v>257</v>
      </c>
      <c r="S286" s="13">
        <f t="shared" si="31"/>
        <v>0</v>
      </c>
      <c r="T286" s="13"/>
      <c r="U286" s="13"/>
      <c r="V286" s="11"/>
      <c r="W286" s="11"/>
      <c r="X286" s="11"/>
      <c r="Y286" s="11"/>
      <c r="Z286" s="11"/>
      <c r="AC286">
        <f t="shared" si="34"/>
        <v>0</v>
      </c>
      <c r="AD286">
        <v>283</v>
      </c>
      <c r="AE286" s="4">
        <f t="shared" si="32"/>
        <v>43273</v>
      </c>
      <c r="AF286" s="6">
        <f t="shared" si="33"/>
        <v>-2.8160979786213458</v>
      </c>
      <c r="AG286" s="4">
        <v>43273</v>
      </c>
      <c r="AH286" s="6">
        <v>-3.8505859999999998</v>
      </c>
      <c r="AI286" s="6">
        <v>-5.9049060000000004</v>
      </c>
      <c r="AJ286" s="6">
        <v>-6.5231709999999996</v>
      </c>
      <c r="AK286" s="4">
        <v>43273</v>
      </c>
      <c r="AL286" s="6">
        <f>VLOOKUP(AK286,Sheet3!$A$1:$B$1113,2,FALSE)</f>
        <v>1.6551759230600289</v>
      </c>
      <c r="AM286" s="6">
        <f t="shared" si="35"/>
        <v>-2.8160979786213458</v>
      </c>
    </row>
    <row r="287" spans="17:39" x14ac:dyDescent="0.3">
      <c r="Q287">
        <f t="shared" si="30"/>
        <v>258</v>
      </c>
      <c r="S287" s="13">
        <f t="shared" si="31"/>
        <v>0</v>
      </c>
      <c r="T287" s="13"/>
      <c r="U287" s="13"/>
      <c r="V287" s="11"/>
      <c r="W287" s="11"/>
      <c r="X287" s="11"/>
      <c r="Y287" s="11"/>
      <c r="Z287" s="11"/>
      <c r="AC287">
        <f t="shared" si="34"/>
        <v>0</v>
      </c>
      <c r="AD287">
        <v>284</v>
      </c>
      <c r="AE287" s="4">
        <f t="shared" si="32"/>
        <v>43280</v>
      </c>
      <c r="AF287" s="6">
        <f t="shared" si="33"/>
        <v>-0.61775147830948063</v>
      </c>
      <c r="AG287" s="4">
        <v>43280</v>
      </c>
      <c r="AH287" s="6">
        <v>-2.7132909999999999</v>
      </c>
      <c r="AI287" s="6">
        <v>1.117057</v>
      </c>
      <c r="AJ287" s="6">
        <v>1.2120029999999999</v>
      </c>
      <c r="AK287" s="4">
        <v>43280</v>
      </c>
      <c r="AL287" s="6">
        <f>VLOOKUP(AK287,Sheet3!$A$1:$B$1113,2,FALSE)</f>
        <v>1.644951049326703</v>
      </c>
      <c r="AM287" s="6">
        <f t="shared" si="35"/>
        <v>-0.61775147830948063</v>
      </c>
    </row>
    <row r="288" spans="17:39" x14ac:dyDescent="0.3">
      <c r="Q288">
        <f t="shared" ref="Q288:Q346" si="36">Q287+1</f>
        <v>259</v>
      </c>
      <c r="S288" s="13">
        <f t="shared" ref="S288:S346" si="37">(T288+U288)/2</f>
        <v>0</v>
      </c>
      <c r="T288" s="13"/>
      <c r="U288" s="13"/>
      <c r="V288" s="11"/>
      <c r="W288" s="11"/>
      <c r="X288" s="11"/>
      <c r="Y288" s="11"/>
      <c r="Z288" s="11"/>
      <c r="AC288">
        <f t="shared" si="34"/>
        <v>0</v>
      </c>
      <c r="AD288">
        <v>285</v>
      </c>
      <c r="AE288" s="4">
        <f t="shared" si="32"/>
        <v>43287</v>
      </c>
      <c r="AF288" s="6">
        <f t="shared" si="33"/>
        <v>-4.0713227895538999</v>
      </c>
      <c r="AG288" s="4">
        <v>43287</v>
      </c>
      <c r="AH288" s="6">
        <v>-4.1544420000000004</v>
      </c>
      <c r="AI288" s="6">
        <v>-4.2381060000000002</v>
      </c>
      <c r="AJ288" s="6">
        <v>-4.1714219999999997</v>
      </c>
      <c r="AK288" s="4">
        <v>43287</v>
      </c>
      <c r="AL288" s="6">
        <f>VLOOKUP(AK288,Sheet3!$A$1:$B$1113,2,FALSE)</f>
        <v>1.5779797823784589</v>
      </c>
      <c r="AM288" s="6">
        <f t="shared" si="35"/>
        <v>-4.0713227895538999</v>
      </c>
    </row>
    <row r="289" spans="17:39" x14ac:dyDescent="0.3">
      <c r="Q289">
        <f t="shared" si="36"/>
        <v>260</v>
      </c>
      <c r="S289" s="13">
        <f t="shared" si="37"/>
        <v>0</v>
      </c>
      <c r="T289" s="13"/>
      <c r="U289" s="13"/>
      <c r="V289" s="11"/>
      <c r="W289" s="11"/>
      <c r="X289" s="11"/>
      <c r="Y289" s="11"/>
      <c r="Z289" s="11"/>
      <c r="AC289">
        <f t="shared" si="34"/>
        <v>0</v>
      </c>
      <c r="AD289">
        <v>286</v>
      </c>
      <c r="AE289" s="4">
        <f t="shared" si="32"/>
        <v>43294</v>
      </c>
      <c r="AF289" s="6">
        <f t="shared" si="33"/>
        <v>5.4152228058852669</v>
      </c>
      <c r="AG289" s="4">
        <v>43294</v>
      </c>
      <c r="AH289" s="6">
        <v>3.7908569999999999</v>
      </c>
      <c r="AI289" s="6">
        <v>4.153912</v>
      </c>
      <c r="AJ289" s="6">
        <v>3.4812989999999999</v>
      </c>
      <c r="AK289" s="4">
        <v>43294</v>
      </c>
      <c r="AL289" s="6">
        <f>VLOOKUP(AK289,Sheet3!$A$1:$B$1113,2,FALSE)</f>
        <v>1.6634309034260759</v>
      </c>
      <c r="AM289" s="6">
        <f t="shared" si="35"/>
        <v>5.4152228058852669</v>
      </c>
    </row>
    <row r="290" spans="17:39" x14ac:dyDescent="0.3">
      <c r="Q290">
        <f t="shared" si="36"/>
        <v>261</v>
      </c>
      <c r="S290" s="13">
        <f t="shared" si="37"/>
        <v>0</v>
      </c>
      <c r="T290" s="13"/>
      <c r="U290" s="13"/>
      <c r="V290" s="11"/>
      <c r="W290" s="11"/>
      <c r="X290" s="11"/>
      <c r="Y290" s="11"/>
      <c r="Z290" s="11"/>
      <c r="AC290">
        <f t="shared" si="34"/>
        <v>0</v>
      </c>
      <c r="AD290">
        <v>287</v>
      </c>
      <c r="AE290" s="4">
        <f t="shared" si="32"/>
        <v>43301</v>
      </c>
      <c r="AF290" s="6">
        <f t="shared" si="33"/>
        <v>-0.52990101010779167</v>
      </c>
      <c r="AG290" s="4">
        <v>43301</v>
      </c>
      <c r="AH290" s="6">
        <v>5.8440000000000002E-3</v>
      </c>
      <c r="AI290" s="6">
        <v>-0.55597399999999997</v>
      </c>
      <c r="AJ290" s="6">
        <v>-0.36811899999999997</v>
      </c>
      <c r="AK290" s="4">
        <v>43301</v>
      </c>
      <c r="AL290" s="6">
        <f>VLOOKUP(AK290,Sheet3!$A$1:$B$1113,2,FALSE)</f>
        <v>1.654616366266376</v>
      </c>
      <c r="AM290" s="6">
        <f t="shared" si="35"/>
        <v>-0.52990101010779167</v>
      </c>
    </row>
    <row r="291" spans="17:39" x14ac:dyDescent="0.3">
      <c r="Q291">
        <f t="shared" si="36"/>
        <v>262</v>
      </c>
      <c r="S291" s="13">
        <f t="shared" si="37"/>
        <v>0</v>
      </c>
      <c r="T291" s="13"/>
      <c r="U291" s="13"/>
      <c r="V291" s="11"/>
      <c r="W291" s="11"/>
      <c r="X291" s="11"/>
      <c r="Y291" s="11"/>
      <c r="Z291" s="11"/>
      <c r="AC291">
        <f t="shared" si="34"/>
        <v>0</v>
      </c>
      <c r="AD291">
        <v>288</v>
      </c>
      <c r="AE291" s="4">
        <f t="shared" si="32"/>
        <v>43306</v>
      </c>
      <c r="AF291" s="6" t="e">
        <f t="shared" si="33"/>
        <v>#N/A</v>
      </c>
      <c r="AG291" s="4">
        <v>43306</v>
      </c>
      <c r="AH291" s="6">
        <v>2.4294579999999999</v>
      </c>
      <c r="AI291" s="6">
        <v>2.5777549999999998</v>
      </c>
      <c r="AJ291" s="6">
        <v>2.6054680000000001</v>
      </c>
      <c r="AK291" s="4">
        <v>43308</v>
      </c>
      <c r="AL291" s="6" t="e">
        <f>VLOOKUP(AK291,Sheet3!$A$1:$B$1113,2,FALSE)</f>
        <v>#N/A</v>
      </c>
      <c r="AM291" s="6" t="e">
        <f t="shared" si="35"/>
        <v>#N/A</v>
      </c>
    </row>
    <row r="292" spans="17:39" x14ac:dyDescent="0.3">
      <c r="Q292">
        <f t="shared" si="36"/>
        <v>263</v>
      </c>
      <c r="S292" s="13">
        <f t="shared" si="37"/>
        <v>0</v>
      </c>
      <c r="T292" s="13"/>
      <c r="U292" s="13"/>
      <c r="V292" s="11"/>
      <c r="W292" s="11"/>
      <c r="X292" s="11"/>
      <c r="Y292" s="11"/>
      <c r="Z292" s="11"/>
      <c r="AC292">
        <f t="shared" si="34"/>
        <v>1</v>
      </c>
      <c r="AD292">
        <v>289</v>
      </c>
      <c r="AE292" s="4">
        <f t="shared" si="32"/>
        <v>42741</v>
      </c>
      <c r="AF292" s="6" t="e">
        <f t="shared" si="33"/>
        <v>#N/A</v>
      </c>
      <c r="AG292" s="4">
        <v>42741</v>
      </c>
      <c r="AH292" s="6">
        <v>1.1354919999999999</v>
      </c>
      <c r="AI292" s="6">
        <v>1.7241</v>
      </c>
      <c r="AJ292" s="6">
        <v>1.4019470000000001</v>
      </c>
      <c r="AK292" s="4">
        <v>42741</v>
      </c>
      <c r="AL292" s="6">
        <f>VLOOKUP(AK292,Sheet3!$A$1:$B$1113,2,FALSE)</f>
        <v>1.577679929714922</v>
      </c>
      <c r="AM292" s="6" t="e">
        <f t="shared" si="35"/>
        <v>#N/A</v>
      </c>
    </row>
    <row r="293" spans="17:39" x14ac:dyDescent="0.3">
      <c r="Q293">
        <f t="shared" si="36"/>
        <v>264</v>
      </c>
      <c r="S293" s="13">
        <f t="shared" si="37"/>
        <v>0</v>
      </c>
      <c r="T293" s="13"/>
      <c r="U293" s="13"/>
      <c r="V293" s="11"/>
      <c r="W293" s="11"/>
      <c r="X293" s="11"/>
      <c r="Y293" s="11"/>
      <c r="Z293" s="11"/>
      <c r="AC293">
        <f t="shared" si="34"/>
        <v>0</v>
      </c>
      <c r="AD293">
        <v>290</v>
      </c>
      <c r="AE293" s="4">
        <f t="shared" si="32"/>
        <v>42748</v>
      </c>
      <c r="AF293" s="6">
        <f t="shared" si="33"/>
        <v>-2.5549776791323975</v>
      </c>
      <c r="AG293" s="4">
        <v>42748</v>
      </c>
      <c r="AH293" s="6">
        <v>-0.82906400000000002</v>
      </c>
      <c r="AI293" s="6">
        <v>-2.7773059999999998</v>
      </c>
      <c r="AJ293" s="6">
        <v>-3.759131</v>
      </c>
      <c r="AK293" s="4">
        <v>42748</v>
      </c>
      <c r="AL293" s="6">
        <f>VLOOKUP(AK293,Sheet3!$A$1:$B$1113,2,FALSE)</f>
        <v>1.537370559662554</v>
      </c>
      <c r="AM293" s="6">
        <f t="shared" si="35"/>
        <v>-2.5549776791323975</v>
      </c>
    </row>
    <row r="294" spans="17:39" x14ac:dyDescent="0.3">
      <c r="Q294">
        <f t="shared" si="36"/>
        <v>265</v>
      </c>
      <c r="S294" s="13">
        <f t="shared" si="37"/>
        <v>0</v>
      </c>
      <c r="T294" s="13"/>
      <c r="U294" s="13"/>
      <c r="V294" s="11"/>
      <c r="W294" s="11"/>
      <c r="X294" s="11"/>
      <c r="Y294" s="11"/>
      <c r="Z294" s="11"/>
      <c r="AC294">
        <f t="shared" si="34"/>
        <v>0</v>
      </c>
      <c r="AD294">
        <v>291</v>
      </c>
      <c r="AE294" s="4">
        <f t="shared" si="32"/>
        <v>42755</v>
      </c>
      <c r="AF294" s="6">
        <f t="shared" si="33"/>
        <v>-0.36184752802473907</v>
      </c>
      <c r="AG294" s="4">
        <v>42755</v>
      </c>
      <c r="AH294" s="6">
        <v>1.0535490000000001</v>
      </c>
      <c r="AI294" s="6">
        <v>-1.172933</v>
      </c>
      <c r="AJ294" s="6">
        <v>-2.3951609999999999</v>
      </c>
      <c r="AK294" s="4">
        <v>42755</v>
      </c>
      <c r="AL294" s="6">
        <f>VLOOKUP(AK294,Sheet3!$A$1:$B$1113,2,FALSE)</f>
        <v>1.531807622295835</v>
      </c>
      <c r="AM294" s="6">
        <f t="shared" si="35"/>
        <v>-0.36184752802473907</v>
      </c>
    </row>
    <row r="295" spans="17:39" x14ac:dyDescent="0.3">
      <c r="Q295">
        <f t="shared" si="36"/>
        <v>266</v>
      </c>
      <c r="S295" s="13">
        <f t="shared" si="37"/>
        <v>0</v>
      </c>
      <c r="T295" s="13"/>
      <c r="U295" s="13"/>
      <c r="V295" s="11"/>
      <c r="W295" s="11"/>
      <c r="X295" s="11"/>
      <c r="Y295" s="11"/>
      <c r="Z295" s="11"/>
      <c r="AC295">
        <f t="shared" si="34"/>
        <v>0</v>
      </c>
      <c r="AD295">
        <v>292</v>
      </c>
      <c r="AE295" s="4">
        <f t="shared" si="32"/>
        <v>42761</v>
      </c>
      <c r="AF295" s="6">
        <f t="shared" si="33"/>
        <v>1.3118554159569307</v>
      </c>
      <c r="AG295" s="4">
        <v>42761</v>
      </c>
      <c r="AH295" s="6">
        <v>0.98577000000000004</v>
      </c>
      <c r="AI295" s="6">
        <v>1.6613500000000001</v>
      </c>
      <c r="AJ295" s="6">
        <v>1.460208</v>
      </c>
      <c r="AK295" s="4">
        <v>42761</v>
      </c>
      <c r="AL295" s="6">
        <f>VLOOKUP(AK295,Sheet3!$A$1:$B$1113,2,FALSE)</f>
        <v>1.5519027235509639</v>
      </c>
      <c r="AM295" s="6">
        <f t="shared" si="35"/>
        <v>1.3118554159569307</v>
      </c>
    </row>
    <row r="296" spans="17:39" x14ac:dyDescent="0.3">
      <c r="Q296">
        <f t="shared" si="36"/>
        <v>267</v>
      </c>
      <c r="S296" s="13">
        <f t="shared" si="37"/>
        <v>0</v>
      </c>
      <c r="T296" s="13"/>
      <c r="U296" s="13"/>
      <c r="V296" s="11"/>
      <c r="W296" s="11"/>
      <c r="X296" s="11"/>
      <c r="Y296" s="11"/>
      <c r="Z296" s="11"/>
      <c r="AC296">
        <f t="shared" si="34"/>
        <v>0</v>
      </c>
      <c r="AD296">
        <v>293</v>
      </c>
      <c r="AE296" s="4">
        <f t="shared" si="32"/>
        <v>42769</v>
      </c>
      <c r="AF296" s="6">
        <f t="shared" si="33"/>
        <v>-0.39193848119760677</v>
      </c>
      <c r="AG296" s="4">
        <v>42769</v>
      </c>
      <c r="AH296" s="6">
        <v>-0.69269700000000001</v>
      </c>
      <c r="AI296" s="6">
        <v>-0.26694699999999999</v>
      </c>
      <c r="AJ296" s="6">
        <v>-0.28750300000000001</v>
      </c>
      <c r="AK296" s="4">
        <v>42769</v>
      </c>
      <c r="AL296" s="6">
        <f>VLOOKUP(AK296,Sheet3!$A$1:$B$1113,2,FALSE)</f>
        <v>1.545820219586614</v>
      </c>
      <c r="AM296" s="6">
        <f t="shared" si="35"/>
        <v>-0.39193848119760677</v>
      </c>
    </row>
    <row r="297" spans="17:39" x14ac:dyDescent="0.3">
      <c r="Q297">
        <f t="shared" si="36"/>
        <v>268</v>
      </c>
      <c r="S297" s="13">
        <f t="shared" si="37"/>
        <v>0</v>
      </c>
      <c r="T297" s="13"/>
      <c r="U297" s="13"/>
      <c r="V297" s="11"/>
      <c r="W297" s="11"/>
      <c r="X297" s="11"/>
      <c r="Y297" s="11"/>
      <c r="Z297" s="11"/>
      <c r="AC297">
        <f t="shared" si="34"/>
        <v>0</v>
      </c>
      <c r="AD297">
        <v>294</v>
      </c>
      <c r="AE297" s="4">
        <f t="shared" si="32"/>
        <v>42776</v>
      </c>
      <c r="AF297" s="6">
        <f t="shared" si="33"/>
        <v>1.6868451899867187</v>
      </c>
      <c r="AG297" s="4">
        <v>42776</v>
      </c>
      <c r="AH297" s="6">
        <v>1.456223</v>
      </c>
      <c r="AI297" s="6">
        <v>2.0946359999999999</v>
      </c>
      <c r="AJ297" s="6">
        <v>2.4260700000000002</v>
      </c>
      <c r="AK297" s="4">
        <v>42776</v>
      </c>
      <c r="AL297" s="6">
        <f>VLOOKUP(AK297,Sheet3!$A$1:$B$1113,2,FALSE)</f>
        <v>1.5718958136065531</v>
      </c>
      <c r="AM297" s="6">
        <f t="shared" si="35"/>
        <v>1.6868451899867187</v>
      </c>
    </row>
    <row r="298" spans="17:39" x14ac:dyDescent="0.3">
      <c r="Q298">
        <f t="shared" si="36"/>
        <v>269</v>
      </c>
      <c r="S298" s="13">
        <f t="shared" si="37"/>
        <v>0</v>
      </c>
      <c r="T298" s="13"/>
      <c r="U298" s="13"/>
      <c r="V298" s="11"/>
      <c r="W298" s="11"/>
      <c r="X298" s="11"/>
      <c r="Y298" s="11"/>
      <c r="Z298" s="11"/>
      <c r="AC298">
        <f t="shared" si="34"/>
        <v>0</v>
      </c>
      <c r="AD298">
        <v>295</v>
      </c>
      <c r="AE298" s="4">
        <f t="shared" si="32"/>
        <v>42783</v>
      </c>
      <c r="AF298" s="6">
        <f t="shared" si="33"/>
        <v>-0.26573863376282425</v>
      </c>
      <c r="AG298" s="4">
        <v>42783</v>
      </c>
      <c r="AH298" s="6">
        <v>0.23304900000000001</v>
      </c>
      <c r="AI298" s="6">
        <v>-0.47254000000000002</v>
      </c>
      <c r="AJ298" s="6">
        <v>-0.67259999999999998</v>
      </c>
      <c r="AK298" s="4">
        <v>42783</v>
      </c>
      <c r="AL298" s="6">
        <f>VLOOKUP(AK298,Sheet3!$A$1:$B$1113,2,FALSE)</f>
        <v>1.5677186791472999</v>
      </c>
      <c r="AM298" s="6">
        <f t="shared" si="35"/>
        <v>-0.26573863376282425</v>
      </c>
    </row>
    <row r="299" spans="17:39" x14ac:dyDescent="0.3">
      <c r="Q299">
        <f t="shared" si="36"/>
        <v>270</v>
      </c>
      <c r="S299" s="13">
        <f t="shared" si="37"/>
        <v>0</v>
      </c>
      <c r="T299" s="13"/>
      <c r="U299" s="13"/>
      <c r="V299" s="11"/>
      <c r="W299" s="11"/>
      <c r="X299" s="11"/>
      <c r="Y299" s="11"/>
      <c r="Z299" s="11"/>
      <c r="AC299">
        <f t="shared" si="34"/>
        <v>0</v>
      </c>
      <c r="AD299">
        <v>296</v>
      </c>
      <c r="AE299" s="4">
        <f t="shared" si="32"/>
        <v>42790</v>
      </c>
      <c r="AF299" s="6">
        <f t="shared" si="33"/>
        <v>1.9885540528324475</v>
      </c>
      <c r="AG299" s="4">
        <v>42790</v>
      </c>
      <c r="AH299" s="6">
        <v>1.5318039999999999</v>
      </c>
      <c r="AI299" s="6">
        <v>2.679538</v>
      </c>
      <c r="AJ299" s="6">
        <v>2.6311930000000001</v>
      </c>
      <c r="AK299" s="4">
        <v>42790</v>
      </c>
      <c r="AL299" s="6">
        <f>VLOOKUP(AK299,Sheet3!$A$1:$B$1113,2,FALSE)</f>
        <v>1.5988936124784949</v>
      </c>
      <c r="AM299" s="6">
        <f t="shared" si="35"/>
        <v>1.9885540528324475</v>
      </c>
    </row>
    <row r="300" spans="17:39" x14ac:dyDescent="0.3">
      <c r="Q300">
        <f t="shared" si="36"/>
        <v>271</v>
      </c>
      <c r="S300" s="13">
        <f t="shared" si="37"/>
        <v>0</v>
      </c>
      <c r="T300" s="13"/>
      <c r="U300" s="13"/>
      <c r="V300" s="11"/>
      <c r="W300" s="11"/>
      <c r="X300" s="11"/>
      <c r="Y300" s="11"/>
      <c r="Z300" s="11"/>
      <c r="AC300">
        <f t="shared" si="34"/>
        <v>0</v>
      </c>
      <c r="AD300">
        <v>297</v>
      </c>
      <c r="AE300" s="4">
        <f t="shared" si="32"/>
        <v>42797</v>
      </c>
      <c r="AF300" s="6">
        <f t="shared" si="33"/>
        <v>-6.0217228567160941E-2</v>
      </c>
      <c r="AG300" s="4">
        <v>42797</v>
      </c>
      <c r="AH300" s="6">
        <v>-1.3238589999999999</v>
      </c>
      <c r="AI300" s="6">
        <v>-0.36019000000000001</v>
      </c>
      <c r="AJ300" s="6">
        <v>-0.44474999999999998</v>
      </c>
      <c r="AK300" s="4">
        <v>42797</v>
      </c>
      <c r="AL300" s="6">
        <f>VLOOKUP(AK300,Sheet3!$A$1:$B$1113,2,FALSE)</f>
        <v>1.5979308030573229</v>
      </c>
      <c r="AM300" s="6">
        <f t="shared" si="35"/>
        <v>-6.0217228567160941E-2</v>
      </c>
    </row>
    <row r="301" spans="17:39" x14ac:dyDescent="0.3">
      <c r="Q301">
        <f t="shared" si="36"/>
        <v>272</v>
      </c>
      <c r="S301" s="13">
        <f t="shared" si="37"/>
        <v>0</v>
      </c>
      <c r="T301" s="13"/>
      <c r="U301" s="13"/>
      <c r="V301" s="11"/>
      <c r="W301" s="11"/>
      <c r="X301" s="11"/>
      <c r="Y301" s="11"/>
      <c r="Z301" s="11"/>
      <c r="AC301">
        <f t="shared" si="34"/>
        <v>0</v>
      </c>
      <c r="AD301">
        <v>298</v>
      </c>
      <c r="AE301" s="4">
        <f t="shared" si="32"/>
        <v>42804</v>
      </c>
      <c r="AF301" s="6">
        <f t="shared" si="33"/>
        <v>0.48854760590217872</v>
      </c>
      <c r="AG301" s="4">
        <v>42804</v>
      </c>
      <c r="AH301" s="6">
        <v>8.4000000000000003E-4</v>
      </c>
      <c r="AI301" s="6">
        <v>-7.6284000000000005E-2</v>
      </c>
      <c r="AJ301" s="6">
        <v>0.38009399999999999</v>
      </c>
      <c r="AK301" s="4">
        <v>42804</v>
      </c>
      <c r="AL301" s="6">
        <f>VLOOKUP(AK301,Sheet3!$A$1:$B$1113,2,FALSE)</f>
        <v>1.6057374557396329</v>
      </c>
      <c r="AM301" s="6">
        <f t="shared" si="35"/>
        <v>0.48854760590217872</v>
      </c>
    </row>
    <row r="302" spans="17:39" x14ac:dyDescent="0.3">
      <c r="Q302">
        <f t="shared" si="36"/>
        <v>273</v>
      </c>
      <c r="S302" s="13">
        <f t="shared" si="37"/>
        <v>0</v>
      </c>
      <c r="T302" s="13"/>
      <c r="U302" s="13"/>
      <c r="V302" s="11"/>
      <c r="W302" s="11"/>
      <c r="X302" s="11"/>
      <c r="Y302" s="11"/>
      <c r="Z302" s="11"/>
      <c r="AC302">
        <f t="shared" si="34"/>
        <v>0</v>
      </c>
      <c r="AD302">
        <v>299</v>
      </c>
      <c r="AE302" s="4">
        <f t="shared" si="32"/>
        <v>42811</v>
      </c>
      <c r="AF302" s="6">
        <f t="shared" si="33"/>
        <v>0.73914198266846753</v>
      </c>
      <c r="AG302" s="4">
        <v>42811</v>
      </c>
      <c r="AH302" s="6">
        <v>0.52258099999999996</v>
      </c>
      <c r="AI302" s="6">
        <v>0.54792600000000002</v>
      </c>
      <c r="AJ302" s="6">
        <v>0.77402899999999997</v>
      </c>
      <c r="AK302" s="4">
        <v>42811</v>
      </c>
      <c r="AL302" s="6">
        <f>VLOOKUP(AK302,Sheet3!$A$1:$B$1113,2,FALSE)</f>
        <v>1.6176061354064371</v>
      </c>
      <c r="AM302" s="6">
        <f t="shared" si="35"/>
        <v>0.73914198266846753</v>
      </c>
    </row>
    <row r="303" spans="17:39" x14ac:dyDescent="0.3">
      <c r="Q303">
        <f t="shared" si="36"/>
        <v>274</v>
      </c>
      <c r="S303" s="13">
        <f t="shared" si="37"/>
        <v>0</v>
      </c>
      <c r="T303" s="13"/>
      <c r="U303" s="13"/>
      <c r="V303" s="11"/>
      <c r="W303" s="11"/>
      <c r="X303" s="11"/>
      <c r="Y303" s="11"/>
      <c r="Z303" s="11"/>
      <c r="AC303">
        <f t="shared" si="34"/>
        <v>0</v>
      </c>
      <c r="AD303">
        <v>300</v>
      </c>
      <c r="AE303" s="4">
        <f t="shared" si="32"/>
        <v>42818</v>
      </c>
      <c r="AF303" s="6">
        <f t="shared" si="33"/>
        <v>1.6032199094613953</v>
      </c>
      <c r="AG303" s="4">
        <v>42818</v>
      </c>
      <c r="AH303" s="6">
        <v>1.2709539999999999</v>
      </c>
      <c r="AI303" s="6">
        <v>0.97742200000000001</v>
      </c>
      <c r="AJ303" s="6">
        <v>-1.831E-2</v>
      </c>
      <c r="AK303" s="4">
        <v>42818</v>
      </c>
      <c r="AL303" s="6">
        <f>VLOOKUP(AK303,Sheet3!$A$1:$B$1113,2,FALSE)</f>
        <v>1.6435399190259421</v>
      </c>
      <c r="AM303" s="6">
        <f t="shared" si="35"/>
        <v>1.6032199094613953</v>
      </c>
    </row>
    <row r="304" spans="17:39" x14ac:dyDescent="0.3">
      <c r="Q304">
        <f t="shared" si="36"/>
        <v>275</v>
      </c>
      <c r="S304" s="13">
        <f t="shared" si="37"/>
        <v>0</v>
      </c>
      <c r="T304" s="13"/>
      <c r="U304" s="13"/>
      <c r="V304" s="11"/>
      <c r="W304" s="11"/>
      <c r="X304" s="11"/>
      <c r="Y304" s="11"/>
      <c r="Z304" s="11"/>
      <c r="AC304">
        <f t="shared" si="34"/>
        <v>0</v>
      </c>
      <c r="AD304">
        <v>301</v>
      </c>
      <c r="AE304" s="4">
        <f t="shared" si="32"/>
        <v>42825</v>
      </c>
      <c r="AF304" s="6">
        <f t="shared" si="33"/>
        <v>-1.7551797117436929</v>
      </c>
      <c r="AG304" s="4">
        <v>42825</v>
      </c>
      <c r="AH304" s="6">
        <v>-0.96154899999999999</v>
      </c>
      <c r="AI304" s="6">
        <v>-2.2143830000000002</v>
      </c>
      <c r="AJ304" s="6">
        <v>-3.0589949999999999</v>
      </c>
      <c r="AK304" s="4">
        <v>42825</v>
      </c>
      <c r="AL304" s="6">
        <f>VLOOKUP(AK304,Sheet3!$A$1:$B$1113,2,FALSE)</f>
        <v>1.61469283981279</v>
      </c>
      <c r="AM304" s="6">
        <f t="shared" si="35"/>
        <v>-1.7551797117436929</v>
      </c>
    </row>
    <row r="305" spans="17:39" x14ac:dyDescent="0.3">
      <c r="Q305">
        <f t="shared" si="36"/>
        <v>276</v>
      </c>
      <c r="S305" s="13">
        <f t="shared" si="37"/>
        <v>0</v>
      </c>
      <c r="T305" s="13"/>
      <c r="U305" s="13"/>
      <c r="V305" s="11"/>
      <c r="W305" s="11"/>
      <c r="X305" s="11"/>
      <c r="Y305" s="11"/>
      <c r="Z305" s="11"/>
      <c r="AC305">
        <f t="shared" si="34"/>
        <v>0</v>
      </c>
      <c r="AD305">
        <v>302</v>
      </c>
      <c r="AE305" s="4">
        <f t="shared" si="32"/>
        <v>42832</v>
      </c>
      <c r="AF305" s="6">
        <f t="shared" si="33"/>
        <v>2.0707570626838478</v>
      </c>
      <c r="AG305" s="4">
        <v>42832</v>
      </c>
      <c r="AH305" s="6">
        <v>1.777115</v>
      </c>
      <c r="AI305" s="6">
        <v>2.766133</v>
      </c>
      <c r="AJ305" s="6">
        <v>2.46549</v>
      </c>
      <c r="AK305" s="4">
        <v>42832</v>
      </c>
      <c r="AL305" s="6">
        <f>VLOOKUP(AK305,Sheet3!$A$1:$B$1113,2,FALSE)</f>
        <v>1.6481292058338639</v>
      </c>
      <c r="AM305" s="6">
        <f t="shared" si="35"/>
        <v>2.0707570626838478</v>
      </c>
    </row>
    <row r="306" spans="17:39" x14ac:dyDescent="0.3">
      <c r="Q306">
        <f t="shared" si="36"/>
        <v>277</v>
      </c>
      <c r="S306" s="13">
        <f t="shared" si="37"/>
        <v>0</v>
      </c>
      <c r="T306" s="13"/>
      <c r="U306" s="13"/>
      <c r="V306" s="11"/>
      <c r="W306" s="11"/>
      <c r="X306" s="11"/>
      <c r="Y306" s="11"/>
      <c r="Z306" s="11"/>
      <c r="AC306">
        <f t="shared" si="34"/>
        <v>0</v>
      </c>
      <c r="AD306">
        <v>303</v>
      </c>
      <c r="AE306" s="4">
        <f t="shared" si="32"/>
        <v>42839</v>
      </c>
      <c r="AF306" s="6">
        <f t="shared" si="33"/>
        <v>-1.4327991678173224</v>
      </c>
      <c r="AG306" s="4">
        <v>42839</v>
      </c>
      <c r="AH306" s="6">
        <v>-0.88014800000000004</v>
      </c>
      <c r="AI306" s="6">
        <v>-0.76859299999999997</v>
      </c>
      <c r="AJ306" s="6">
        <v>-2.3300329999999998</v>
      </c>
      <c r="AK306" s="4">
        <v>42839</v>
      </c>
      <c r="AL306" s="6">
        <f>VLOOKUP(AK306,Sheet3!$A$1:$B$1113,2,FALSE)</f>
        <v>1.624514824288122</v>
      </c>
      <c r="AM306" s="6">
        <f t="shared" si="35"/>
        <v>-1.4327991678173224</v>
      </c>
    </row>
    <row r="307" spans="17:39" x14ac:dyDescent="0.3">
      <c r="Q307">
        <f t="shared" si="36"/>
        <v>278</v>
      </c>
      <c r="S307" s="13">
        <f t="shared" si="37"/>
        <v>0</v>
      </c>
      <c r="T307" s="13"/>
      <c r="U307" s="13"/>
      <c r="V307" s="11"/>
      <c r="W307" s="11"/>
      <c r="X307" s="11"/>
      <c r="Y307" s="11"/>
      <c r="Z307" s="11"/>
      <c r="AC307">
        <f t="shared" si="34"/>
        <v>0</v>
      </c>
      <c r="AD307">
        <v>304</v>
      </c>
      <c r="AE307" s="4">
        <f t="shared" si="32"/>
        <v>42846</v>
      </c>
      <c r="AF307" s="6">
        <f t="shared" si="33"/>
        <v>-0.78822395339828155</v>
      </c>
      <c r="AG307" s="4">
        <v>42846</v>
      </c>
      <c r="AH307" s="6">
        <v>-0.56555200000000005</v>
      </c>
      <c r="AI307" s="6">
        <v>-3.4841289999999998</v>
      </c>
      <c r="AJ307" s="6">
        <v>-4.7960500000000001</v>
      </c>
      <c r="AK307" s="4">
        <v>42846</v>
      </c>
      <c r="AL307" s="6">
        <f>VLOOKUP(AK307,Sheet3!$A$1:$B$1113,2,FALSE)</f>
        <v>1.611710009316577</v>
      </c>
      <c r="AM307" s="6">
        <f t="shared" si="35"/>
        <v>-0.78822395339828155</v>
      </c>
    </row>
    <row r="308" spans="17:39" x14ac:dyDescent="0.3">
      <c r="Q308">
        <f t="shared" si="36"/>
        <v>279</v>
      </c>
      <c r="S308" s="13">
        <f t="shared" si="37"/>
        <v>0</v>
      </c>
      <c r="T308" s="13"/>
      <c r="U308" s="13"/>
      <c r="V308" s="11"/>
      <c r="W308" s="11"/>
      <c r="X308" s="11"/>
      <c r="Y308" s="11"/>
      <c r="Z308" s="11"/>
      <c r="AC308">
        <f t="shared" si="34"/>
        <v>0</v>
      </c>
      <c r="AD308">
        <v>305</v>
      </c>
      <c r="AE308" s="4">
        <f t="shared" si="32"/>
        <v>42853</v>
      </c>
      <c r="AF308" s="6">
        <f t="shared" si="33"/>
        <v>-0.44818635915960803</v>
      </c>
      <c r="AG308" s="4">
        <v>42853</v>
      </c>
      <c r="AH308" s="6">
        <v>-0.77978599999999998</v>
      </c>
      <c r="AI308" s="6">
        <v>-1.410164</v>
      </c>
      <c r="AJ308" s="6">
        <v>-1.300222</v>
      </c>
      <c r="AK308" s="4">
        <v>42853</v>
      </c>
      <c r="AL308" s="6">
        <f>VLOOKUP(AK308,Sheet3!$A$1:$B$1113,2,FALSE)</f>
        <v>1.60448654490561</v>
      </c>
      <c r="AM308" s="6">
        <f t="shared" si="35"/>
        <v>-0.44818635915960803</v>
      </c>
    </row>
    <row r="309" spans="17:39" x14ac:dyDescent="0.3">
      <c r="Q309">
        <f t="shared" si="36"/>
        <v>280</v>
      </c>
      <c r="S309" s="13">
        <f t="shared" si="37"/>
        <v>0</v>
      </c>
      <c r="T309" s="13"/>
      <c r="U309" s="13"/>
      <c r="V309" s="11"/>
      <c r="W309" s="11"/>
      <c r="X309" s="11"/>
      <c r="Y309" s="11"/>
      <c r="Z309" s="11"/>
      <c r="AC309">
        <f t="shared" si="34"/>
        <v>0</v>
      </c>
      <c r="AD309">
        <v>306</v>
      </c>
      <c r="AE309" s="4">
        <f t="shared" si="32"/>
        <v>42860</v>
      </c>
      <c r="AF309" s="6">
        <f t="shared" si="33"/>
        <v>-1.4953614112722002</v>
      </c>
      <c r="AG309" s="4">
        <v>42860</v>
      </c>
      <c r="AH309" s="6">
        <v>-1.6629910000000001</v>
      </c>
      <c r="AI309" s="6">
        <v>-1.9668760000000001</v>
      </c>
      <c r="AJ309" s="6">
        <v>-1.808419</v>
      </c>
      <c r="AK309" s="4">
        <v>42860</v>
      </c>
      <c r="AL309" s="6">
        <f>VLOOKUP(AK309,Sheet3!$A$1:$B$1113,2,FALSE)</f>
        <v>1.580493672264037</v>
      </c>
      <c r="AM309" s="6">
        <f t="shared" si="35"/>
        <v>-1.4953614112722002</v>
      </c>
    </row>
    <row r="310" spans="17:39" x14ac:dyDescent="0.3">
      <c r="Q310">
        <f t="shared" si="36"/>
        <v>281</v>
      </c>
      <c r="S310" s="13">
        <f t="shared" si="37"/>
        <v>0</v>
      </c>
      <c r="T310" s="13"/>
      <c r="U310" s="13"/>
      <c r="V310" s="11"/>
      <c r="W310" s="11"/>
      <c r="X310" s="11"/>
      <c r="Y310" s="11"/>
      <c r="Z310" s="11"/>
      <c r="AC310">
        <f t="shared" si="34"/>
        <v>0</v>
      </c>
      <c r="AD310">
        <v>307</v>
      </c>
      <c r="AE310" s="4">
        <f t="shared" si="32"/>
        <v>42867</v>
      </c>
      <c r="AF310" s="6">
        <f t="shared" si="33"/>
        <v>-1.2352321364175967</v>
      </c>
      <c r="AG310" s="4">
        <v>42867</v>
      </c>
      <c r="AH310" s="6">
        <v>8.362E-2</v>
      </c>
      <c r="AI310" s="6">
        <v>-3.709546</v>
      </c>
      <c r="AJ310" s="6">
        <v>-4.2721</v>
      </c>
      <c r="AK310" s="4">
        <v>42867</v>
      </c>
      <c r="AL310" s="6">
        <f>VLOOKUP(AK310,Sheet3!$A$1:$B$1113,2,FALSE)</f>
        <v>1.5609709065101851</v>
      </c>
      <c r="AM310" s="6">
        <f t="shared" si="35"/>
        <v>-1.2352321364175967</v>
      </c>
    </row>
    <row r="311" spans="17:39" x14ac:dyDescent="0.3">
      <c r="Q311">
        <f t="shared" si="36"/>
        <v>282</v>
      </c>
      <c r="S311" s="13">
        <f t="shared" si="37"/>
        <v>0</v>
      </c>
      <c r="T311" s="13"/>
      <c r="U311" s="13"/>
      <c r="V311" s="11"/>
      <c r="W311" s="11"/>
      <c r="X311" s="11"/>
      <c r="Y311" s="11"/>
      <c r="Z311" s="11"/>
      <c r="AC311">
        <f t="shared" si="34"/>
        <v>0</v>
      </c>
      <c r="AD311">
        <v>308</v>
      </c>
      <c r="AE311" s="4">
        <f t="shared" si="32"/>
        <v>42874</v>
      </c>
      <c r="AF311" s="6">
        <f t="shared" si="33"/>
        <v>1.2030100118976428</v>
      </c>
      <c r="AG311" s="4">
        <v>42874</v>
      </c>
      <c r="AH311" s="6">
        <v>0.54559599999999997</v>
      </c>
      <c r="AI311" s="6">
        <v>1.8962840000000001</v>
      </c>
      <c r="AJ311" s="6">
        <v>1.883043</v>
      </c>
      <c r="AK311" s="4">
        <v>42874</v>
      </c>
      <c r="AL311" s="6">
        <f>VLOOKUP(AK311,Sheet3!$A$1:$B$1113,2,FALSE)</f>
        <v>1.5797495427983119</v>
      </c>
      <c r="AM311" s="6">
        <f t="shared" si="35"/>
        <v>1.2030100118976428</v>
      </c>
    </row>
    <row r="312" spans="17:39" x14ac:dyDescent="0.3">
      <c r="Q312">
        <f t="shared" si="36"/>
        <v>283</v>
      </c>
      <c r="S312" s="13">
        <f t="shared" si="37"/>
        <v>0</v>
      </c>
      <c r="T312" s="13"/>
      <c r="U312" s="13"/>
      <c r="V312" s="11"/>
      <c r="W312" s="11"/>
      <c r="X312" s="11"/>
      <c r="Y312" s="11"/>
      <c r="Z312" s="11"/>
      <c r="AC312">
        <f t="shared" si="34"/>
        <v>0</v>
      </c>
      <c r="AD312">
        <v>309</v>
      </c>
      <c r="AE312" s="4">
        <f t="shared" si="32"/>
        <v>42881</v>
      </c>
      <c r="AF312" s="6">
        <f t="shared" si="33"/>
        <v>-1.1272811811183669</v>
      </c>
      <c r="AG312" s="4">
        <v>42881</v>
      </c>
      <c r="AH312" s="6">
        <v>2.249962</v>
      </c>
      <c r="AI312" s="6">
        <v>-2.3103590000000001</v>
      </c>
      <c r="AJ312" s="6">
        <v>-3.6852740000000002</v>
      </c>
      <c r="AK312" s="4">
        <v>42881</v>
      </c>
      <c r="AL312" s="6">
        <f>VLOOKUP(AK312,Sheet3!$A$1:$B$1113,2,FALSE)</f>
        <v>1.5619413234935431</v>
      </c>
      <c r="AM312" s="6">
        <f t="shared" si="35"/>
        <v>-1.1272811811183669</v>
      </c>
    </row>
    <row r="313" spans="17:39" x14ac:dyDescent="0.3">
      <c r="Q313">
        <f t="shared" si="36"/>
        <v>284</v>
      </c>
      <c r="S313" s="13">
        <f t="shared" si="37"/>
        <v>0</v>
      </c>
      <c r="T313" s="13"/>
      <c r="U313" s="13"/>
      <c r="V313" s="11"/>
      <c r="W313" s="11"/>
      <c r="X313" s="11"/>
      <c r="Y313" s="11"/>
      <c r="Z313" s="11"/>
      <c r="AC313">
        <f t="shared" si="34"/>
        <v>0</v>
      </c>
      <c r="AD313">
        <v>310</v>
      </c>
      <c r="AE313" s="4">
        <f t="shared" si="32"/>
        <v>42888</v>
      </c>
      <c r="AF313" s="6">
        <f t="shared" si="33"/>
        <v>-0.7086251277816924</v>
      </c>
      <c r="AG313" s="4">
        <v>42888</v>
      </c>
      <c r="AH313" s="6">
        <v>0.174487</v>
      </c>
      <c r="AI313" s="6">
        <v>-1.1035999999999999</v>
      </c>
      <c r="AJ313" s="6">
        <v>-1.9204270000000001</v>
      </c>
      <c r="AK313" s="4">
        <v>42888</v>
      </c>
      <c r="AL313" s="6">
        <f>VLOOKUP(AK313,Sheet3!$A$1:$B$1113,2,FALSE)</f>
        <v>1.5508730147940619</v>
      </c>
      <c r="AM313" s="6">
        <f t="shared" si="35"/>
        <v>-0.7086251277816924</v>
      </c>
    </row>
    <row r="314" spans="17:39" x14ac:dyDescent="0.3">
      <c r="Q314">
        <f t="shared" si="36"/>
        <v>285</v>
      </c>
      <c r="S314" s="13">
        <f t="shared" si="37"/>
        <v>0</v>
      </c>
      <c r="T314" s="13"/>
      <c r="U314" s="13"/>
      <c r="V314" s="11"/>
      <c r="W314" s="11"/>
      <c r="X314" s="11"/>
      <c r="Y314" s="11"/>
      <c r="Z314" s="11"/>
      <c r="AC314">
        <f t="shared" si="34"/>
        <v>0</v>
      </c>
      <c r="AD314">
        <v>311</v>
      </c>
      <c r="AE314" s="4">
        <f t="shared" si="32"/>
        <v>42895</v>
      </c>
      <c r="AF314" s="6">
        <f t="shared" si="33"/>
        <v>3.6627327189181935</v>
      </c>
      <c r="AG314" s="4">
        <v>42895</v>
      </c>
      <c r="AH314" s="6">
        <v>2.5717110000000001</v>
      </c>
      <c r="AI314" s="6">
        <v>3.4085079999999999</v>
      </c>
      <c r="AJ314" s="6">
        <v>3.581591</v>
      </c>
      <c r="AK314" s="4">
        <v>42895</v>
      </c>
      <c r="AL314" s="6">
        <f>VLOOKUP(AK314,Sheet3!$A$1:$B$1113,2,FALSE)</f>
        <v>1.6076773481357971</v>
      </c>
      <c r="AM314" s="6">
        <f t="shared" si="35"/>
        <v>3.6627327189181935</v>
      </c>
    </row>
    <row r="315" spans="17:39" x14ac:dyDescent="0.3">
      <c r="Q315">
        <f t="shared" si="36"/>
        <v>286</v>
      </c>
      <c r="S315" s="13">
        <f t="shared" si="37"/>
        <v>0</v>
      </c>
      <c r="T315" s="13"/>
      <c r="U315" s="13"/>
      <c r="V315" s="11"/>
      <c r="W315" s="11"/>
      <c r="X315" s="11"/>
      <c r="Y315" s="11"/>
      <c r="Z315" s="11"/>
      <c r="AC315">
        <f t="shared" si="34"/>
        <v>0</v>
      </c>
      <c r="AD315">
        <v>312</v>
      </c>
      <c r="AE315" s="4">
        <f t="shared" si="32"/>
        <v>42902</v>
      </c>
      <c r="AF315" s="6">
        <f t="shared" si="33"/>
        <v>-0.23946999742201491</v>
      </c>
      <c r="AG315" s="4">
        <v>42902</v>
      </c>
      <c r="AH315" s="6">
        <v>-1.605326</v>
      </c>
      <c r="AI315" s="6">
        <v>0.73250999999999999</v>
      </c>
      <c r="AJ315" s="6">
        <v>1.285053</v>
      </c>
      <c r="AK315" s="4">
        <v>42902</v>
      </c>
      <c r="AL315" s="6">
        <f>VLOOKUP(AK315,Sheet3!$A$1:$B$1113,2,FALSE)</f>
        <v>1.6038274432316619</v>
      </c>
      <c r="AM315" s="6">
        <f t="shared" si="35"/>
        <v>-0.23946999742201491</v>
      </c>
    </row>
    <row r="316" spans="17:39" x14ac:dyDescent="0.3">
      <c r="Q316">
        <f t="shared" si="36"/>
        <v>287</v>
      </c>
      <c r="S316" s="13">
        <f t="shared" si="37"/>
        <v>0</v>
      </c>
      <c r="T316" s="13"/>
      <c r="U316" s="13"/>
      <c r="V316" s="11"/>
      <c r="W316" s="11"/>
      <c r="X316" s="11"/>
      <c r="Y316" s="11"/>
      <c r="Z316" s="11"/>
      <c r="AC316">
        <f t="shared" si="34"/>
        <v>0</v>
      </c>
      <c r="AD316">
        <v>313</v>
      </c>
      <c r="AE316" s="4">
        <f t="shared" si="32"/>
        <v>42909</v>
      </c>
      <c r="AF316" s="6">
        <f t="shared" si="33"/>
        <v>1.4420213514042324</v>
      </c>
      <c r="AG316" s="4">
        <v>42909</v>
      </c>
      <c r="AH316" s="6">
        <v>2.9590529999999999</v>
      </c>
      <c r="AI316" s="6">
        <v>-4.4667999999999999E-2</v>
      </c>
      <c r="AJ316" s="6">
        <v>-0.89061299999999999</v>
      </c>
      <c r="AK316" s="4">
        <v>42909</v>
      </c>
      <c r="AL316" s="6">
        <f>VLOOKUP(AK316,Sheet3!$A$1:$B$1113,2,FALSE)</f>
        <v>1.626954977402743</v>
      </c>
      <c r="AM316" s="6">
        <f t="shared" si="35"/>
        <v>1.4420213514042324</v>
      </c>
    </row>
    <row r="317" spans="17:39" x14ac:dyDescent="0.3">
      <c r="Q317">
        <f t="shared" si="36"/>
        <v>288</v>
      </c>
      <c r="S317" s="13">
        <f t="shared" si="37"/>
        <v>0</v>
      </c>
      <c r="T317" s="13"/>
      <c r="U317" s="13"/>
      <c r="V317" s="11"/>
      <c r="W317" s="11"/>
      <c r="X317" s="11"/>
      <c r="Y317" s="11"/>
      <c r="Z317" s="11"/>
      <c r="AC317">
        <f t="shared" si="34"/>
        <v>0</v>
      </c>
      <c r="AD317">
        <v>314</v>
      </c>
      <c r="AE317" s="4">
        <f t="shared" si="32"/>
        <v>42916</v>
      </c>
      <c r="AF317" s="6">
        <f t="shared" si="33"/>
        <v>1.403638110028349</v>
      </c>
      <c r="AG317" s="4">
        <v>42916</v>
      </c>
      <c r="AH317" s="6">
        <v>1.212145</v>
      </c>
      <c r="AI317" s="6">
        <v>2.1270419999999999</v>
      </c>
      <c r="AJ317" s="6">
        <v>1.207822</v>
      </c>
      <c r="AK317" s="4">
        <v>42916</v>
      </c>
      <c r="AL317" s="6">
        <f>VLOOKUP(AK317,Sheet3!$A$1:$B$1113,2,FALSE)</f>
        <v>1.649791537498571</v>
      </c>
      <c r="AM317" s="6">
        <f t="shared" si="35"/>
        <v>1.403638110028349</v>
      </c>
    </row>
    <row r="318" spans="17:39" x14ac:dyDescent="0.3">
      <c r="Q318">
        <f t="shared" si="36"/>
        <v>289</v>
      </c>
      <c r="S318" s="13">
        <f t="shared" si="37"/>
        <v>0</v>
      </c>
      <c r="T318" s="13"/>
      <c r="U318" s="13"/>
      <c r="V318" s="11"/>
      <c r="W318" s="11"/>
      <c r="X318" s="11"/>
      <c r="Y318" s="11"/>
      <c r="Z318" s="11"/>
      <c r="AC318">
        <f t="shared" si="34"/>
        <v>0</v>
      </c>
      <c r="AD318">
        <v>315</v>
      </c>
      <c r="AE318" s="4">
        <f t="shared" si="32"/>
        <v>42923</v>
      </c>
      <c r="AF318" s="6">
        <f t="shared" si="33"/>
        <v>0.54760700557872077</v>
      </c>
      <c r="AG318" s="4">
        <v>42923</v>
      </c>
      <c r="AH318" s="6">
        <v>-0.2964</v>
      </c>
      <c r="AI318" s="6">
        <v>1.4312959999999999</v>
      </c>
      <c r="AJ318" s="6">
        <v>2.1112109999999999</v>
      </c>
      <c r="AK318" s="4">
        <v>42923</v>
      </c>
      <c r="AL318" s="6">
        <f>VLOOKUP(AK318,Sheet3!$A$1:$B$1113,2,FALSE)</f>
        <v>1.6588259115353581</v>
      </c>
      <c r="AM318" s="6">
        <f t="shared" si="35"/>
        <v>0.54760700557872077</v>
      </c>
    </row>
    <row r="319" spans="17:39" x14ac:dyDescent="0.3">
      <c r="Q319">
        <f t="shared" si="36"/>
        <v>290</v>
      </c>
      <c r="S319" s="13">
        <f t="shared" si="37"/>
        <v>0</v>
      </c>
      <c r="T319" s="13"/>
      <c r="U319" s="13"/>
      <c r="V319" s="11"/>
      <c r="W319" s="11"/>
      <c r="X319" s="11"/>
      <c r="Y319" s="11"/>
      <c r="Z319" s="11"/>
      <c r="AC319">
        <f t="shared" si="34"/>
        <v>0</v>
      </c>
      <c r="AD319">
        <v>316</v>
      </c>
      <c r="AE319" s="4">
        <f t="shared" si="32"/>
        <v>42930</v>
      </c>
      <c r="AF319" s="6">
        <f t="shared" si="33"/>
        <v>-0.7878954372888991</v>
      </c>
      <c r="AG319" s="4">
        <v>42930</v>
      </c>
      <c r="AH319" s="6">
        <v>1.2900879999999999</v>
      </c>
      <c r="AI319" s="6">
        <v>-1.5623339999999999</v>
      </c>
      <c r="AJ319" s="6">
        <v>-2.4949650000000001</v>
      </c>
      <c r="AK319" s="4">
        <v>42930</v>
      </c>
      <c r="AL319" s="6">
        <f>VLOOKUP(AK319,Sheet3!$A$1:$B$1113,2,FALSE)</f>
        <v>1.645756097865805</v>
      </c>
      <c r="AM319" s="6">
        <f t="shared" si="35"/>
        <v>-0.7878954372888991</v>
      </c>
    </row>
    <row r="320" spans="17:39" x14ac:dyDescent="0.3">
      <c r="Q320">
        <f t="shared" si="36"/>
        <v>291</v>
      </c>
      <c r="S320" s="13">
        <f t="shared" si="37"/>
        <v>0</v>
      </c>
      <c r="T320" s="13"/>
      <c r="U320" s="13"/>
      <c r="V320" s="11"/>
      <c r="W320" s="11"/>
      <c r="X320" s="11"/>
      <c r="Y320" s="11"/>
      <c r="Z320" s="11"/>
      <c r="AC320">
        <f t="shared" si="34"/>
        <v>0</v>
      </c>
      <c r="AD320">
        <v>317</v>
      </c>
      <c r="AE320" s="4">
        <f t="shared" si="32"/>
        <v>42937</v>
      </c>
      <c r="AF320" s="6">
        <f t="shared" si="33"/>
        <v>0.21759229596212126</v>
      </c>
      <c r="AG320" s="4">
        <v>42937</v>
      </c>
      <c r="AH320" s="6">
        <v>0.68871099999999996</v>
      </c>
      <c r="AI320" s="6">
        <v>-4.2935000000000001E-2</v>
      </c>
      <c r="AJ320" s="6">
        <v>-2.4279299999999999</v>
      </c>
      <c r="AK320" s="4">
        <v>42937</v>
      </c>
      <c r="AL320" s="6">
        <f>VLOOKUP(AK320,Sheet3!$A$1:$B$1113,2,FALSE)</f>
        <v>1.6493371363450879</v>
      </c>
      <c r="AM320" s="6">
        <f t="shared" si="35"/>
        <v>0.21759229596212126</v>
      </c>
    </row>
    <row r="321" spans="17:39" x14ac:dyDescent="0.3">
      <c r="Q321">
        <f t="shared" si="36"/>
        <v>292</v>
      </c>
      <c r="S321" s="13">
        <f t="shared" si="37"/>
        <v>0</v>
      </c>
      <c r="T321" s="13"/>
      <c r="U321" s="13"/>
      <c r="V321" s="11"/>
      <c r="W321" s="11"/>
      <c r="X321" s="11"/>
      <c r="Y321" s="11"/>
      <c r="Z321" s="11"/>
      <c r="AC321">
        <f t="shared" si="34"/>
        <v>0</v>
      </c>
      <c r="AD321">
        <v>318</v>
      </c>
      <c r="AE321" s="4">
        <f t="shared" si="32"/>
        <v>42944</v>
      </c>
      <c r="AF321" s="6">
        <f t="shared" si="33"/>
        <v>0.37216854744532846</v>
      </c>
      <c r="AG321" s="4">
        <v>42944</v>
      </c>
      <c r="AH321" s="6">
        <v>-0.17985899999999999</v>
      </c>
      <c r="AI321" s="6">
        <v>1.458593</v>
      </c>
      <c r="AJ321" s="6">
        <v>1.8406990000000001</v>
      </c>
      <c r="AK321" s="4">
        <v>42944</v>
      </c>
      <c r="AL321" s="6">
        <f>VLOOKUP(AK321,Sheet3!$A$1:$B$1113,2,FALSE)</f>
        <v>1.6554754504078999</v>
      </c>
      <c r="AM321" s="6">
        <f t="shared" si="35"/>
        <v>0.37216854744532846</v>
      </c>
    </row>
    <row r="322" spans="17:39" x14ac:dyDescent="0.3">
      <c r="Q322">
        <f t="shared" si="36"/>
        <v>293</v>
      </c>
      <c r="S322" s="13">
        <f t="shared" si="37"/>
        <v>0</v>
      </c>
      <c r="T322" s="13"/>
      <c r="U322" s="13"/>
      <c r="V322" s="11"/>
      <c r="W322" s="11"/>
      <c r="X322" s="11"/>
      <c r="Y322" s="11"/>
      <c r="Z322" s="11"/>
      <c r="AC322">
        <f t="shared" si="34"/>
        <v>0</v>
      </c>
      <c r="AD322">
        <v>319</v>
      </c>
      <c r="AE322" s="4">
        <f t="shared" si="32"/>
        <v>42951</v>
      </c>
      <c r="AF322" s="6">
        <f t="shared" si="33"/>
        <v>-0.84219273708900921</v>
      </c>
      <c r="AG322" s="16">
        <v>42951</v>
      </c>
      <c r="AH322" s="21">
        <v>-0.38452999999999998</v>
      </c>
      <c r="AI322" s="21">
        <v>0.15528700000000001</v>
      </c>
      <c r="AJ322" s="21">
        <v>3.9773999999999997E-2</v>
      </c>
      <c r="AK322" s="16">
        <v>42951</v>
      </c>
      <c r="AL322" s="6">
        <f>VLOOKUP(AK322,Sheet3!$A$1:$B$1113,2,FALSE)</f>
        <v>1.6415331564002731</v>
      </c>
      <c r="AM322" s="6">
        <f t="shared" si="35"/>
        <v>-0.84219273708900921</v>
      </c>
    </row>
    <row r="323" spans="17:39" x14ac:dyDescent="0.3">
      <c r="Q323">
        <f t="shared" si="36"/>
        <v>294</v>
      </c>
      <c r="S323" s="13">
        <f t="shared" si="37"/>
        <v>0</v>
      </c>
      <c r="T323" s="13"/>
      <c r="U323" s="13"/>
      <c r="V323" s="11"/>
      <c r="W323" s="11"/>
      <c r="X323" s="11"/>
      <c r="Y323" s="11"/>
      <c r="Z323" s="11"/>
      <c r="AC323">
        <f t="shared" si="34"/>
        <v>0</v>
      </c>
      <c r="AD323">
        <v>320</v>
      </c>
      <c r="AE323" s="4">
        <f t="shared" si="32"/>
        <v>42958</v>
      </c>
      <c r="AF323" s="6">
        <f t="shared" si="33"/>
        <v>-0.32323848984913139</v>
      </c>
      <c r="AG323" s="4">
        <v>42958</v>
      </c>
      <c r="AH323" s="6">
        <v>-1.6244909999999999</v>
      </c>
      <c r="AI323" s="6">
        <v>-1.026885</v>
      </c>
      <c r="AJ323" s="6">
        <v>-0.822071</v>
      </c>
      <c r="AK323" s="4">
        <v>42958</v>
      </c>
      <c r="AL323" s="6">
        <f>VLOOKUP(AK323,Sheet3!$A$1:$B$1113,2,FALSE)</f>
        <v>1.636227089415152</v>
      </c>
      <c r="AM323" s="6">
        <f t="shared" si="35"/>
        <v>-0.32323848984913139</v>
      </c>
    </row>
    <row r="324" spans="17:39" x14ac:dyDescent="0.3">
      <c r="Q324">
        <f t="shared" si="36"/>
        <v>295</v>
      </c>
      <c r="S324" s="13">
        <f t="shared" si="37"/>
        <v>0</v>
      </c>
      <c r="T324" s="13"/>
      <c r="U324" s="13"/>
      <c r="V324" s="11"/>
      <c r="W324" s="11"/>
      <c r="X324" s="11"/>
      <c r="Y324" s="11"/>
      <c r="Z324" s="11"/>
      <c r="AC324">
        <f t="shared" si="34"/>
        <v>0</v>
      </c>
      <c r="AD324">
        <v>321</v>
      </c>
      <c r="AE324" s="4">
        <f t="shared" si="32"/>
        <v>42965</v>
      </c>
      <c r="AF324" s="6">
        <f t="shared" si="33"/>
        <v>2.0671573364475115</v>
      </c>
      <c r="AG324" s="4">
        <v>42965</v>
      </c>
      <c r="AH324" s="6">
        <v>2.120018</v>
      </c>
      <c r="AI324" s="6">
        <v>3.0280740000000002</v>
      </c>
      <c r="AJ324" s="6">
        <v>3.3793600000000001</v>
      </c>
      <c r="AK324" s="4">
        <v>42965</v>
      </c>
      <c r="AL324" s="6">
        <f>VLOOKUP(AK324,Sheet3!$A$1:$B$1113,2,FALSE)</f>
        <v>1.670050477734939</v>
      </c>
      <c r="AM324" s="6">
        <f t="shared" si="35"/>
        <v>2.0671573364475115</v>
      </c>
    </row>
    <row r="325" spans="17:39" x14ac:dyDescent="0.3">
      <c r="Q325">
        <f t="shared" si="36"/>
        <v>296</v>
      </c>
      <c r="S325" s="13">
        <f t="shared" si="37"/>
        <v>0</v>
      </c>
      <c r="T325" s="13"/>
      <c r="U325" s="13"/>
      <c r="V325" s="11"/>
      <c r="W325" s="11"/>
      <c r="X325" s="11"/>
      <c r="Y325" s="11"/>
      <c r="Z325" s="11"/>
      <c r="AC325">
        <f t="shared" si="34"/>
        <v>0</v>
      </c>
      <c r="AD325">
        <v>322</v>
      </c>
      <c r="AE325" s="4">
        <f t="shared" ref="AE325:AE388" si="38">AG325</f>
        <v>42972</v>
      </c>
      <c r="AF325" s="6">
        <f t="shared" ref="AF325:AF388" si="39">AM325</f>
        <v>0.62364705559960765</v>
      </c>
      <c r="AG325" s="4">
        <v>42972</v>
      </c>
      <c r="AH325" s="6">
        <v>1.908344</v>
      </c>
      <c r="AI325" s="6">
        <v>-1.9300999999999999E-2</v>
      </c>
      <c r="AJ325" s="6">
        <v>-0.221079</v>
      </c>
      <c r="AK325" s="4">
        <v>42972</v>
      </c>
      <c r="AL325" s="6">
        <f>VLOOKUP(AK325,Sheet3!$A$1:$B$1113,2,FALSE)</f>
        <v>1.68046569836636</v>
      </c>
      <c r="AM325" s="6">
        <f t="shared" si="35"/>
        <v>0.62364705559960765</v>
      </c>
    </row>
    <row r="326" spans="17:39" x14ac:dyDescent="0.3">
      <c r="Q326">
        <f t="shared" si="36"/>
        <v>297</v>
      </c>
      <c r="S326" s="13">
        <f t="shared" si="37"/>
        <v>0</v>
      </c>
      <c r="T326" s="13"/>
      <c r="U326" s="13"/>
      <c r="V326" s="11"/>
      <c r="W326" s="11"/>
      <c r="X326" s="11"/>
      <c r="Y326" s="11"/>
      <c r="Z326" s="11"/>
      <c r="AC326">
        <f t="shared" ref="AC326:AC389" si="40">IF(AE326&lt;=AE325,1,0)</f>
        <v>0</v>
      </c>
      <c r="AD326">
        <v>323</v>
      </c>
      <c r="AE326" s="4">
        <f t="shared" si="38"/>
        <v>42979</v>
      </c>
      <c r="AF326" s="6">
        <f t="shared" si="39"/>
        <v>2.3536110917270481</v>
      </c>
      <c r="AG326" s="4">
        <v>42979</v>
      </c>
      <c r="AH326" s="6">
        <v>0.91639000000000004</v>
      </c>
      <c r="AI326" s="6">
        <v>2.8357869999999998</v>
      </c>
      <c r="AJ326" s="6">
        <v>2.389106</v>
      </c>
      <c r="AK326" s="4">
        <v>42979</v>
      </c>
      <c r="AL326" s="6">
        <f>VLOOKUP(AK326,Sheet3!$A$1:$B$1113,2,FALSE)</f>
        <v>1.7200173254357789</v>
      </c>
      <c r="AM326" s="6">
        <f t="shared" ref="AM326:AM389" si="41">(AL326/AL325-1)*100</f>
        <v>2.3536110917270481</v>
      </c>
    </row>
    <row r="327" spans="17:39" x14ac:dyDescent="0.3">
      <c r="Q327">
        <f t="shared" si="36"/>
        <v>298</v>
      </c>
      <c r="S327" s="13">
        <f t="shared" si="37"/>
        <v>0</v>
      </c>
      <c r="T327" s="13"/>
      <c r="U327" s="13"/>
      <c r="V327" s="11"/>
      <c r="W327" s="11"/>
      <c r="X327" s="11"/>
      <c r="Y327" s="11"/>
      <c r="Z327" s="11"/>
      <c r="AC327">
        <f t="shared" si="40"/>
        <v>0</v>
      </c>
      <c r="AD327">
        <v>324</v>
      </c>
      <c r="AE327" s="4">
        <f t="shared" si="38"/>
        <v>42986</v>
      </c>
      <c r="AF327" s="6">
        <f t="shared" si="39"/>
        <v>0.29147320523379427</v>
      </c>
      <c r="AG327" s="4">
        <v>42986</v>
      </c>
      <c r="AH327" s="6">
        <v>-0.118751</v>
      </c>
      <c r="AI327" s="6">
        <v>0.73052899999999998</v>
      </c>
      <c r="AJ327" s="6">
        <v>1.2776719999999999</v>
      </c>
      <c r="AK327" s="4">
        <v>42986</v>
      </c>
      <c r="AL327" s="6">
        <f>VLOOKUP(AK327,Sheet3!$A$1:$B$1113,2,FALSE)</f>
        <v>1.725030715064803</v>
      </c>
      <c r="AM327" s="6">
        <f t="shared" si="41"/>
        <v>0.29147320523379427</v>
      </c>
    </row>
    <row r="328" spans="17:39" x14ac:dyDescent="0.3">
      <c r="Q328">
        <f t="shared" si="36"/>
        <v>299</v>
      </c>
      <c r="S328" s="13">
        <f t="shared" si="37"/>
        <v>0</v>
      </c>
      <c r="T328" s="13"/>
      <c r="U328" s="13"/>
      <c r="V328" s="11"/>
      <c r="W328" s="11"/>
      <c r="X328" s="11"/>
      <c r="Y328" s="11"/>
      <c r="Z328" s="11"/>
      <c r="AC328">
        <f t="shared" si="40"/>
        <v>0</v>
      </c>
      <c r="AD328">
        <v>325</v>
      </c>
      <c r="AE328" s="4">
        <f t="shared" si="38"/>
        <v>42993</v>
      </c>
      <c r="AF328" s="6">
        <f t="shared" si="39"/>
        <v>0.51480554327447692</v>
      </c>
      <c r="AG328" s="4">
        <v>42993</v>
      </c>
      <c r="AH328" s="6">
        <v>0.138709</v>
      </c>
      <c r="AI328" s="6">
        <v>0.72801800000000005</v>
      </c>
      <c r="AJ328" s="6">
        <v>0.53286900000000004</v>
      </c>
      <c r="AK328" s="4">
        <v>42993</v>
      </c>
      <c r="AL328" s="6">
        <f>VLOOKUP(AK328,Sheet3!$A$1:$B$1113,2,FALSE)</f>
        <v>1.733911268809144</v>
      </c>
      <c r="AM328" s="6">
        <f t="shared" si="41"/>
        <v>0.51480554327447692</v>
      </c>
    </row>
    <row r="329" spans="17:39" x14ac:dyDescent="0.3">
      <c r="Q329">
        <f t="shared" si="36"/>
        <v>300</v>
      </c>
      <c r="S329" s="13">
        <f t="shared" si="37"/>
        <v>0</v>
      </c>
      <c r="T329" s="13"/>
      <c r="U329" s="13"/>
      <c r="V329" s="11"/>
      <c r="W329" s="11"/>
      <c r="X329" s="11"/>
      <c r="Y329" s="11"/>
      <c r="Z329" s="11"/>
      <c r="AC329">
        <f t="shared" si="40"/>
        <v>0</v>
      </c>
      <c r="AD329">
        <v>326</v>
      </c>
      <c r="AE329" s="4">
        <f t="shared" si="38"/>
        <v>43000</v>
      </c>
      <c r="AF329" s="6">
        <f t="shared" si="39"/>
        <v>-1.1556792904499069E-2</v>
      </c>
      <c r="AG329" s="4">
        <v>43000</v>
      </c>
      <c r="AH329" s="6">
        <v>0.16793</v>
      </c>
      <c r="AI329" s="6">
        <v>-0.75556999999999996</v>
      </c>
      <c r="AJ329" s="6">
        <v>-0.39134099999999999</v>
      </c>
      <c r="AK329" s="4">
        <v>43000</v>
      </c>
      <c r="AL329" s="6">
        <f>VLOOKUP(AK329,Sheet3!$A$1:$B$1113,2,FALSE)</f>
        <v>1.73371088427466</v>
      </c>
      <c r="AM329" s="6">
        <f t="shared" si="41"/>
        <v>-1.1556792904499069E-2</v>
      </c>
    </row>
    <row r="330" spans="17:39" x14ac:dyDescent="0.3">
      <c r="Q330">
        <f t="shared" si="36"/>
        <v>301</v>
      </c>
      <c r="S330" s="13">
        <f t="shared" si="37"/>
        <v>0</v>
      </c>
      <c r="T330" s="13"/>
      <c r="U330" s="13"/>
      <c r="V330" s="11"/>
      <c r="W330" s="11"/>
      <c r="X330" s="11"/>
      <c r="Y330" s="11"/>
      <c r="Z330" s="11"/>
      <c r="AC330">
        <f t="shared" si="40"/>
        <v>0</v>
      </c>
      <c r="AD330">
        <v>327</v>
      </c>
      <c r="AE330" s="4">
        <f t="shared" si="38"/>
        <v>43007</v>
      </c>
      <c r="AF330" s="6">
        <f t="shared" si="39"/>
        <v>0.95545467158621999</v>
      </c>
      <c r="AG330" s="4">
        <v>43007</v>
      </c>
      <c r="AH330" s="6">
        <v>-3.2027E-2</v>
      </c>
      <c r="AI330" s="6">
        <v>0.47548800000000002</v>
      </c>
      <c r="AJ330" s="6">
        <v>-9.0964000000000003E-2</v>
      </c>
      <c r="AK330" s="4">
        <v>43007</v>
      </c>
      <c r="AL330" s="6">
        <f>VLOOKUP(AK330,Sheet3!$A$1:$B$1113,2,FALSE)</f>
        <v>1.7502757059102609</v>
      </c>
      <c r="AM330" s="6">
        <f t="shared" si="41"/>
        <v>0.95545467158621999</v>
      </c>
    </row>
    <row r="331" spans="17:39" x14ac:dyDescent="0.3">
      <c r="Q331">
        <f t="shared" si="36"/>
        <v>302</v>
      </c>
      <c r="S331" s="13">
        <f t="shared" si="37"/>
        <v>0</v>
      </c>
      <c r="T331" s="13"/>
      <c r="U331" s="13"/>
      <c r="V331" s="11"/>
      <c r="W331" s="11"/>
      <c r="X331" s="11"/>
      <c r="Y331" s="11"/>
      <c r="Z331" s="11"/>
      <c r="AC331">
        <f t="shared" si="40"/>
        <v>0</v>
      </c>
      <c r="AD331">
        <v>328</v>
      </c>
      <c r="AE331" s="4">
        <f t="shared" si="38"/>
        <v>43021</v>
      </c>
      <c r="AF331" s="6">
        <f t="shared" si="39"/>
        <v>1.9638838995452712</v>
      </c>
      <c r="AG331" s="4">
        <v>43021</v>
      </c>
      <c r="AH331" s="6">
        <v>2.2025380000000001</v>
      </c>
      <c r="AI331" s="6">
        <v>1.6137140000000001</v>
      </c>
      <c r="AJ331" s="6">
        <v>1.655491</v>
      </c>
      <c r="AK331" s="4">
        <v>43021</v>
      </c>
      <c r="AL331" s="6">
        <f>VLOOKUP(AK331,Sheet3!$A$1:$B$1113,2,FALSE)</f>
        <v>1.7846490886962849</v>
      </c>
      <c r="AM331" s="6">
        <f t="shared" si="41"/>
        <v>1.9638838995452712</v>
      </c>
    </row>
    <row r="332" spans="17:39" x14ac:dyDescent="0.3">
      <c r="Q332">
        <f t="shared" si="36"/>
        <v>303</v>
      </c>
      <c r="S332" s="13">
        <f t="shared" si="37"/>
        <v>0</v>
      </c>
      <c r="T332" s="13"/>
      <c r="U332" s="13"/>
      <c r="V332" s="11"/>
      <c r="W332" s="11"/>
      <c r="X332" s="11"/>
      <c r="Y332" s="11"/>
      <c r="Z332" s="11"/>
      <c r="AC332">
        <f t="shared" si="40"/>
        <v>0</v>
      </c>
      <c r="AD332">
        <v>329</v>
      </c>
      <c r="AE332" s="4">
        <f t="shared" si="38"/>
        <v>43028</v>
      </c>
      <c r="AF332" s="6">
        <f t="shared" si="39"/>
        <v>-0.28886529939333716</v>
      </c>
      <c r="AG332" s="4">
        <v>43028</v>
      </c>
      <c r="AH332" s="6">
        <v>0.149204</v>
      </c>
      <c r="AI332" s="6">
        <v>-2.0625360000000001</v>
      </c>
      <c r="AJ332" s="6">
        <v>-2.7719490000000002</v>
      </c>
      <c r="AK332" s="4">
        <v>43028</v>
      </c>
      <c r="AL332" s="6">
        <f>VLOOKUP(AK332,Sheet3!$A$1:$B$1113,2,FALSE)</f>
        <v>1.779493856763102</v>
      </c>
      <c r="AM332" s="6">
        <f t="shared" si="41"/>
        <v>-0.28886529939333716</v>
      </c>
    </row>
    <row r="333" spans="17:39" x14ac:dyDescent="0.3">
      <c r="Q333">
        <f t="shared" si="36"/>
        <v>304</v>
      </c>
      <c r="S333" s="13">
        <f t="shared" si="37"/>
        <v>0</v>
      </c>
      <c r="T333" s="13"/>
      <c r="U333" s="13"/>
      <c r="V333" s="11"/>
      <c r="W333" s="11"/>
      <c r="X333" s="11"/>
      <c r="Y333" s="11"/>
      <c r="Z333" s="11"/>
      <c r="AC333">
        <f t="shared" si="40"/>
        <v>0</v>
      </c>
      <c r="AD333">
        <v>330</v>
      </c>
      <c r="AE333" s="4">
        <f t="shared" si="38"/>
        <v>43035</v>
      </c>
      <c r="AF333" s="6">
        <f t="shared" si="39"/>
        <v>2.2003652835894449</v>
      </c>
      <c r="AG333" s="4">
        <v>43035</v>
      </c>
      <c r="AH333" s="6">
        <v>2.4221840000000001</v>
      </c>
      <c r="AI333" s="6">
        <v>0.90364999999999995</v>
      </c>
      <c r="AJ333" s="6">
        <v>0.24878900000000001</v>
      </c>
      <c r="AK333" s="4">
        <v>43035</v>
      </c>
      <c r="AL333" s="6">
        <f>VLOOKUP(AK333,Sheet3!$A$1:$B$1113,2,FALSE)</f>
        <v>1.818649221810924</v>
      </c>
      <c r="AM333" s="6">
        <f t="shared" si="41"/>
        <v>2.2003652835894449</v>
      </c>
    </row>
    <row r="334" spans="17:39" x14ac:dyDescent="0.3">
      <c r="Q334">
        <f t="shared" si="36"/>
        <v>305</v>
      </c>
      <c r="S334" s="13">
        <f t="shared" si="37"/>
        <v>0</v>
      </c>
      <c r="T334" s="13"/>
      <c r="U334" s="13"/>
      <c r="V334" s="11"/>
      <c r="W334" s="11"/>
      <c r="X334" s="11"/>
      <c r="Y334" s="11"/>
      <c r="Z334" s="11"/>
      <c r="AC334">
        <f t="shared" si="40"/>
        <v>0</v>
      </c>
      <c r="AD334">
        <v>331</v>
      </c>
      <c r="AE334" s="4">
        <f t="shared" si="38"/>
        <v>43042</v>
      </c>
      <c r="AF334" s="6">
        <f t="shared" si="39"/>
        <v>-1.2216179154473483</v>
      </c>
      <c r="AG334" s="4">
        <v>43042</v>
      </c>
      <c r="AH334" s="6">
        <v>-0.727746</v>
      </c>
      <c r="AI334" s="6">
        <v>-3.0739369999999999</v>
      </c>
      <c r="AJ334" s="6">
        <v>-3.7799839999999998</v>
      </c>
      <c r="AK334" s="4">
        <v>43042</v>
      </c>
      <c r="AL334" s="6">
        <f>VLOOKUP(AK334,Sheet3!$A$1:$B$1113,2,FALSE)</f>
        <v>1.796432277098138</v>
      </c>
      <c r="AM334" s="6">
        <f t="shared" si="41"/>
        <v>-1.2216179154473483</v>
      </c>
    </row>
    <row r="335" spans="17:39" x14ac:dyDescent="0.3">
      <c r="Q335">
        <f t="shared" si="36"/>
        <v>306</v>
      </c>
      <c r="S335" s="13">
        <f t="shared" si="37"/>
        <v>0</v>
      </c>
      <c r="T335" s="13"/>
      <c r="U335" s="13"/>
      <c r="V335" s="11"/>
      <c r="W335" s="11"/>
      <c r="X335" s="11"/>
      <c r="Y335" s="11"/>
      <c r="Z335" s="11"/>
      <c r="AC335">
        <f t="shared" si="40"/>
        <v>0</v>
      </c>
      <c r="AD335">
        <v>332</v>
      </c>
      <c r="AE335" s="4">
        <f t="shared" si="38"/>
        <v>43049</v>
      </c>
      <c r="AF335" s="6">
        <f t="shared" si="39"/>
        <v>3.8373278130445332</v>
      </c>
      <c r="AG335" s="4">
        <v>43049</v>
      </c>
      <c r="AH335" s="6">
        <v>2.9857830000000001</v>
      </c>
      <c r="AI335" s="6">
        <v>3.3333930000000001</v>
      </c>
      <c r="AJ335" s="6">
        <v>2.5811220000000001</v>
      </c>
      <c r="AK335" s="4">
        <v>43049</v>
      </c>
      <c r="AL335" s="6">
        <f>VLOOKUP(AK335,Sheet3!$A$1:$B$1113,2,FALSE)</f>
        <v>1.8653672725097341</v>
      </c>
      <c r="AM335" s="6">
        <f t="shared" si="41"/>
        <v>3.8373278130445332</v>
      </c>
    </row>
    <row r="336" spans="17:39" x14ac:dyDescent="0.3">
      <c r="Q336">
        <f t="shared" si="36"/>
        <v>307</v>
      </c>
      <c r="S336" s="13">
        <f t="shared" si="37"/>
        <v>0</v>
      </c>
      <c r="T336" s="13"/>
      <c r="U336" s="13"/>
      <c r="V336" s="11"/>
      <c r="W336" s="11"/>
      <c r="X336" s="11"/>
      <c r="Y336" s="11"/>
      <c r="Z336" s="11"/>
      <c r="AC336">
        <f t="shared" si="40"/>
        <v>0</v>
      </c>
      <c r="AD336">
        <v>333</v>
      </c>
      <c r="AE336" s="4">
        <f t="shared" si="38"/>
        <v>43056</v>
      </c>
      <c r="AF336" s="6">
        <f t="shared" si="39"/>
        <v>-2.1349660538145465</v>
      </c>
      <c r="AG336" s="4">
        <v>43056</v>
      </c>
      <c r="AH336" s="6">
        <v>0.21740699999999999</v>
      </c>
      <c r="AI336" s="6">
        <v>-4.2051769999999999</v>
      </c>
      <c r="AJ336" s="6">
        <v>-5.1801370000000002</v>
      </c>
      <c r="AK336" s="4">
        <v>43056</v>
      </c>
      <c r="AL336" s="6">
        <f>VLOOKUP(AK336,Sheet3!$A$1:$B$1113,2,FALSE)</f>
        <v>1.825542314462685</v>
      </c>
      <c r="AM336" s="6">
        <f t="shared" si="41"/>
        <v>-2.1349660538145465</v>
      </c>
    </row>
    <row r="337" spans="17:39" x14ac:dyDescent="0.3">
      <c r="Q337">
        <f t="shared" si="36"/>
        <v>308</v>
      </c>
      <c r="S337" s="13">
        <f t="shared" si="37"/>
        <v>0</v>
      </c>
      <c r="T337" s="13"/>
      <c r="U337" s="13"/>
      <c r="V337" s="11"/>
      <c r="W337" s="11"/>
      <c r="X337" s="11"/>
      <c r="Y337" s="11"/>
      <c r="Z337" s="11"/>
      <c r="AC337">
        <f t="shared" si="40"/>
        <v>0</v>
      </c>
      <c r="AD337">
        <v>334</v>
      </c>
      <c r="AE337" s="4">
        <f t="shared" si="38"/>
        <v>43063</v>
      </c>
      <c r="AF337" s="6">
        <f t="shared" si="39"/>
        <v>-1.8667067713953878</v>
      </c>
      <c r="AG337" s="4">
        <v>43063</v>
      </c>
      <c r="AH337" s="6">
        <v>-0.40398000000000001</v>
      </c>
      <c r="AI337" s="6">
        <v>-1.318981</v>
      </c>
      <c r="AJ337" s="6">
        <v>-1.8301909999999999</v>
      </c>
      <c r="AK337" s="4">
        <v>43063</v>
      </c>
      <c r="AL337" s="6">
        <f>VLOOKUP(AK337,Sheet3!$A$1:$B$1113,2,FALSE)</f>
        <v>1.791464792463922</v>
      </c>
      <c r="AM337" s="6">
        <f t="shared" si="41"/>
        <v>-1.8667067713953878</v>
      </c>
    </row>
    <row r="338" spans="17:39" x14ac:dyDescent="0.3">
      <c r="Q338">
        <f t="shared" si="36"/>
        <v>309</v>
      </c>
      <c r="S338" s="13">
        <f t="shared" si="37"/>
        <v>0</v>
      </c>
      <c r="T338" s="13"/>
      <c r="U338" s="13"/>
      <c r="V338" s="11"/>
      <c r="W338" s="11"/>
      <c r="X338" s="11"/>
      <c r="Y338" s="11"/>
      <c r="Z338" s="11"/>
      <c r="AC338">
        <f t="shared" si="40"/>
        <v>0</v>
      </c>
      <c r="AD338">
        <v>335</v>
      </c>
      <c r="AE338" s="4">
        <f t="shared" si="38"/>
        <v>43070</v>
      </c>
      <c r="AF338" s="6">
        <f t="shared" si="39"/>
        <v>-1.0760033999472007</v>
      </c>
      <c r="AG338" s="4">
        <v>43070</v>
      </c>
      <c r="AH338" s="6">
        <v>-2.5843479999999999</v>
      </c>
      <c r="AI338" s="6">
        <v>0.61131500000000005</v>
      </c>
      <c r="AJ338" s="6">
        <v>1.0676159999999999</v>
      </c>
      <c r="AK338" s="4">
        <v>43070</v>
      </c>
      <c r="AL338" s="6">
        <f>VLOOKUP(AK338,Sheet3!$A$1:$B$1113,2,FALSE)</f>
        <v>1.772188570388153</v>
      </c>
      <c r="AM338" s="6">
        <f t="shared" si="41"/>
        <v>-1.0760033999472007</v>
      </c>
    </row>
    <row r="339" spans="17:39" x14ac:dyDescent="0.3">
      <c r="Q339">
        <f t="shared" si="36"/>
        <v>310</v>
      </c>
      <c r="S339" s="13">
        <f t="shared" si="37"/>
        <v>0</v>
      </c>
      <c r="T339" s="13"/>
      <c r="U339" s="13"/>
      <c r="V339" s="11"/>
      <c r="W339" s="11"/>
      <c r="X339" s="11"/>
      <c r="Y339" s="11"/>
      <c r="Z339" s="11"/>
      <c r="AC339">
        <f t="shared" si="40"/>
        <v>0</v>
      </c>
      <c r="AD339">
        <v>336</v>
      </c>
      <c r="AE339" s="4">
        <f t="shared" si="38"/>
        <v>43077</v>
      </c>
      <c r="AF339" s="6">
        <f t="shared" si="39"/>
        <v>-0.28104660227095124</v>
      </c>
      <c r="AG339" s="4">
        <v>43077</v>
      </c>
      <c r="AH339" s="6">
        <v>0.131129</v>
      </c>
      <c r="AI339" s="6">
        <v>-1.7931699999999999</v>
      </c>
      <c r="AJ339" s="6">
        <v>-1.909357</v>
      </c>
      <c r="AK339" s="4">
        <v>43077</v>
      </c>
      <c r="AL339" s="6">
        <f>VLOOKUP(AK339,Sheet3!$A$1:$B$1113,2,FALSE)</f>
        <v>1.767207894625243</v>
      </c>
      <c r="AM339" s="6">
        <f t="shared" si="41"/>
        <v>-0.28104660227095124</v>
      </c>
    </row>
    <row r="340" spans="17:39" x14ac:dyDescent="0.3">
      <c r="Q340">
        <f t="shared" si="36"/>
        <v>311</v>
      </c>
      <c r="S340" s="13">
        <f t="shared" si="37"/>
        <v>0</v>
      </c>
      <c r="T340" s="13"/>
      <c r="U340" s="13"/>
      <c r="V340" s="11"/>
      <c r="W340" s="11"/>
      <c r="X340" s="11"/>
      <c r="Y340" s="11"/>
      <c r="Z340" s="11"/>
      <c r="AC340">
        <f t="shared" si="40"/>
        <v>0</v>
      </c>
      <c r="AD340">
        <v>337</v>
      </c>
      <c r="AE340" s="4">
        <f t="shared" si="38"/>
        <v>43084</v>
      </c>
      <c r="AF340" s="6">
        <f t="shared" si="39"/>
        <v>0.63275729911902445</v>
      </c>
      <c r="AG340" s="4">
        <v>43084</v>
      </c>
      <c r="AH340" s="6">
        <v>-0.56261000000000005</v>
      </c>
      <c r="AI340" s="6">
        <v>0.52582200000000001</v>
      </c>
      <c r="AJ340" s="6">
        <v>0.63220299999999996</v>
      </c>
      <c r="AK340" s="4">
        <v>43084</v>
      </c>
      <c r="AL340" s="6">
        <f>VLOOKUP(AK340,Sheet3!$A$1:$B$1113,2,FALSE)</f>
        <v>1.7783900315690919</v>
      </c>
      <c r="AM340" s="6">
        <f t="shared" si="41"/>
        <v>0.63275729911902445</v>
      </c>
    </row>
    <row r="341" spans="17:39" x14ac:dyDescent="0.3">
      <c r="Q341">
        <f t="shared" si="36"/>
        <v>312</v>
      </c>
      <c r="S341" s="13">
        <f t="shared" si="37"/>
        <v>0</v>
      </c>
      <c r="T341" s="13"/>
      <c r="U341" s="13"/>
      <c r="V341" s="11"/>
      <c r="W341" s="11"/>
      <c r="X341" s="11"/>
      <c r="Y341" s="11"/>
      <c r="Z341" s="11"/>
      <c r="AC341">
        <f t="shared" si="40"/>
        <v>0</v>
      </c>
      <c r="AD341">
        <v>338</v>
      </c>
      <c r="AE341" s="4">
        <f t="shared" si="38"/>
        <v>43091</v>
      </c>
      <c r="AF341" s="6">
        <f t="shared" si="39"/>
        <v>1.6017171778620387</v>
      </c>
      <c r="AG341" s="4">
        <v>43091</v>
      </c>
      <c r="AH341" s="6">
        <v>1.8524309999999999</v>
      </c>
      <c r="AI341" s="6">
        <v>0.114243</v>
      </c>
      <c r="AJ341" s="6">
        <v>-1.198283</v>
      </c>
      <c r="AK341" s="4">
        <v>43091</v>
      </c>
      <c r="AL341" s="6">
        <f>VLOOKUP(AK341,Sheet3!$A$1:$B$1113,2,FALSE)</f>
        <v>1.8068748101941201</v>
      </c>
      <c r="AM341" s="6">
        <f t="shared" si="41"/>
        <v>1.6017171778620387</v>
      </c>
    </row>
    <row r="342" spans="17:39" x14ac:dyDescent="0.3">
      <c r="Q342">
        <f t="shared" si="36"/>
        <v>313</v>
      </c>
      <c r="S342" s="13">
        <f t="shared" si="37"/>
        <v>0</v>
      </c>
      <c r="T342" s="13"/>
      <c r="U342" s="13"/>
      <c r="V342" s="11"/>
      <c r="W342" s="11"/>
      <c r="X342" s="11"/>
      <c r="Y342" s="11"/>
      <c r="Z342" s="11"/>
      <c r="AC342">
        <f t="shared" si="40"/>
        <v>0</v>
      </c>
      <c r="AD342">
        <v>339</v>
      </c>
      <c r="AE342" s="4">
        <f t="shared" si="38"/>
        <v>43098</v>
      </c>
      <c r="AF342" s="6">
        <f t="shared" si="39"/>
        <v>-0.59277334575534857</v>
      </c>
      <c r="AG342" s="4">
        <v>43098</v>
      </c>
      <c r="AH342" s="6">
        <v>-0.58559399999999995</v>
      </c>
      <c r="AI342" s="6">
        <v>0.12712100000000001</v>
      </c>
      <c r="AJ342" s="6">
        <v>-0.28484999999999999</v>
      </c>
      <c r="AK342" s="4">
        <v>43098</v>
      </c>
      <c r="AL342" s="6">
        <f>VLOOKUP(AK342,Sheet3!$A$1:$B$1113,2,FALSE)</f>
        <v>1.7961641379281219</v>
      </c>
      <c r="AM342" s="6">
        <f t="shared" si="41"/>
        <v>-0.59277334575534857</v>
      </c>
    </row>
    <row r="343" spans="17:39" x14ac:dyDescent="0.3">
      <c r="Q343">
        <f t="shared" si="36"/>
        <v>314</v>
      </c>
      <c r="S343" s="13">
        <f t="shared" si="37"/>
        <v>0</v>
      </c>
      <c r="T343" s="13"/>
      <c r="U343" s="13"/>
      <c r="V343" s="11"/>
      <c r="W343" s="11"/>
      <c r="X343" s="11"/>
      <c r="Y343" s="11"/>
      <c r="Z343" s="11"/>
      <c r="AC343">
        <f t="shared" si="40"/>
        <v>0</v>
      </c>
      <c r="AD343">
        <v>340</v>
      </c>
      <c r="AE343" s="4">
        <f t="shared" si="38"/>
        <v>43105</v>
      </c>
      <c r="AF343" s="6">
        <f t="shared" si="39"/>
        <v>2.2890634557757972</v>
      </c>
      <c r="AG343" s="4">
        <v>43105</v>
      </c>
      <c r="AH343" s="6">
        <v>2.676742</v>
      </c>
      <c r="AI343" s="6">
        <v>2.6625779999999999</v>
      </c>
      <c r="AJ343" s="6">
        <v>2.2731750000000002</v>
      </c>
      <c r="AK343" s="4">
        <v>43105</v>
      </c>
      <c r="AL343" s="6">
        <f>VLOOKUP(AK343,Sheet3!$A$1:$B$1113,2,FALSE)</f>
        <v>1.8372794748151851</v>
      </c>
      <c r="AM343" s="6">
        <f t="shared" si="41"/>
        <v>2.2890634557757972</v>
      </c>
    </row>
    <row r="344" spans="17:39" x14ac:dyDescent="0.3">
      <c r="Q344">
        <f t="shared" si="36"/>
        <v>315</v>
      </c>
      <c r="S344" s="13">
        <f t="shared" si="37"/>
        <v>0</v>
      </c>
      <c r="T344" s="13"/>
      <c r="U344" s="13"/>
      <c r="V344" s="11"/>
      <c r="W344" s="11"/>
      <c r="X344" s="11"/>
      <c r="Y344" s="11"/>
      <c r="Z344" s="11"/>
      <c r="AC344">
        <f t="shared" si="40"/>
        <v>0</v>
      </c>
      <c r="AD344">
        <v>341</v>
      </c>
      <c r="AE344" s="4">
        <f t="shared" si="38"/>
        <v>43112</v>
      </c>
      <c r="AF344" s="6">
        <f t="shared" si="39"/>
        <v>0.5440153597845665</v>
      </c>
      <c r="AG344" s="4">
        <v>43112</v>
      </c>
      <c r="AH344" s="6">
        <v>2.083974</v>
      </c>
      <c r="AI344" s="6">
        <v>-0.27862399999999998</v>
      </c>
      <c r="AJ344" s="6">
        <v>-0.68330500000000005</v>
      </c>
      <c r="AK344" s="4">
        <v>43112</v>
      </c>
      <c r="AL344" s="6">
        <f>VLOOKUP(AK344,Sheet3!$A$1:$B$1113,2,FALSE)</f>
        <v>1.8472745573603491</v>
      </c>
      <c r="AM344" s="6">
        <f t="shared" si="41"/>
        <v>0.5440153597845665</v>
      </c>
    </row>
    <row r="345" spans="17:39" x14ac:dyDescent="0.3">
      <c r="Q345">
        <f t="shared" si="36"/>
        <v>316</v>
      </c>
      <c r="S345" s="13">
        <f t="shared" si="37"/>
        <v>0</v>
      </c>
      <c r="T345" s="13"/>
      <c r="U345" s="13"/>
      <c r="V345" s="11"/>
      <c r="W345" s="11"/>
      <c r="X345" s="11"/>
      <c r="Y345" s="11"/>
      <c r="Z345" s="11"/>
      <c r="AC345">
        <f t="shared" si="40"/>
        <v>0</v>
      </c>
      <c r="AD345">
        <v>342</v>
      </c>
      <c r="AE345" s="4">
        <f t="shared" si="38"/>
        <v>43119</v>
      </c>
      <c r="AF345" s="6">
        <f t="shared" si="39"/>
        <v>-0.87276245150006426</v>
      </c>
      <c r="AG345" s="4">
        <v>43119</v>
      </c>
      <c r="AH345" s="6">
        <v>1.429443</v>
      </c>
      <c r="AI345" s="6">
        <v>-1.9844710000000001</v>
      </c>
      <c r="AJ345" s="6">
        <v>-2.6588229999999999</v>
      </c>
      <c r="AK345" s="4">
        <v>43119</v>
      </c>
      <c r="AL345" s="6">
        <f>VLOOKUP(AK345,Sheet3!$A$1:$B$1113,2,FALSE)</f>
        <v>1.831152238647594</v>
      </c>
      <c r="AM345" s="6">
        <f t="shared" si="41"/>
        <v>-0.87276245150006426</v>
      </c>
    </row>
    <row r="346" spans="17:39" x14ac:dyDescent="0.3">
      <c r="Q346">
        <f t="shared" si="36"/>
        <v>317</v>
      </c>
      <c r="S346" s="13">
        <f t="shared" si="37"/>
        <v>0</v>
      </c>
      <c r="T346" s="13"/>
      <c r="U346" s="13"/>
      <c r="V346" s="11"/>
      <c r="W346" s="11"/>
      <c r="X346" s="11"/>
      <c r="Y346" s="11"/>
      <c r="Z346" s="11"/>
      <c r="AC346">
        <f t="shared" si="40"/>
        <v>0</v>
      </c>
      <c r="AD346">
        <v>343</v>
      </c>
      <c r="AE346" s="4">
        <f t="shared" si="38"/>
        <v>43126</v>
      </c>
      <c r="AF346" s="6">
        <f t="shared" si="39"/>
        <v>2.1695823735483843</v>
      </c>
      <c r="AG346" s="4">
        <v>43126</v>
      </c>
      <c r="AH346" s="6">
        <v>2.2379410000000002</v>
      </c>
      <c r="AI346" s="6">
        <v>1.773668</v>
      </c>
      <c r="AJ346" s="6">
        <v>1.696401</v>
      </c>
      <c r="AK346" s="4">
        <v>43126</v>
      </c>
      <c r="AL346" s="6">
        <f>VLOOKUP(AK346,Sheet3!$A$1:$B$1113,2,FALSE)</f>
        <v>1.870880594850129</v>
      </c>
      <c r="AM346" s="6">
        <f t="shared" si="41"/>
        <v>2.1695823735483843</v>
      </c>
    </row>
    <row r="347" spans="17:39" x14ac:dyDescent="0.3">
      <c r="T347" s="13"/>
      <c r="U347" s="13"/>
      <c r="V347" s="11"/>
      <c r="W347" s="11"/>
      <c r="X347" s="11"/>
      <c r="Y347" s="11"/>
      <c r="Z347" s="11"/>
      <c r="AC347">
        <f t="shared" si="40"/>
        <v>0</v>
      </c>
      <c r="AD347">
        <v>344</v>
      </c>
      <c r="AE347" s="4">
        <f t="shared" si="38"/>
        <v>43133</v>
      </c>
      <c r="AF347" s="6">
        <f t="shared" si="39"/>
        <v>-2.4950080626097493</v>
      </c>
      <c r="AG347" s="4">
        <v>43133</v>
      </c>
      <c r="AH347" s="6">
        <v>-2.5122</v>
      </c>
      <c r="AI347" s="6">
        <v>-5.9336419999999999</v>
      </c>
      <c r="AJ347" s="6">
        <v>-8.0519429999999996</v>
      </c>
      <c r="AK347" s="4">
        <v>43133</v>
      </c>
      <c r="AL347" s="6">
        <f>VLOOKUP(AK347,Sheet3!$A$1:$B$1113,2,FALSE)</f>
        <v>1.8242019731668171</v>
      </c>
      <c r="AM347" s="6">
        <f t="shared" si="41"/>
        <v>-2.4950080626097493</v>
      </c>
    </row>
    <row r="348" spans="17:39" x14ac:dyDescent="0.3">
      <c r="T348" s="13"/>
      <c r="U348" s="13"/>
      <c r="V348" s="11"/>
      <c r="W348" s="11"/>
      <c r="X348" s="11"/>
      <c r="Y348" s="11"/>
      <c r="Z348" s="11"/>
      <c r="AC348">
        <f t="shared" si="40"/>
        <v>0</v>
      </c>
      <c r="AD348">
        <v>345</v>
      </c>
      <c r="AE348" s="4">
        <f t="shared" si="38"/>
        <v>43140</v>
      </c>
      <c r="AF348" s="6">
        <f t="shared" si="39"/>
        <v>-8.9050042450550482</v>
      </c>
      <c r="AG348" s="4">
        <v>43140</v>
      </c>
      <c r="AH348" s="6">
        <v>-10.080928</v>
      </c>
      <c r="AI348" s="6">
        <v>-7.493144</v>
      </c>
      <c r="AJ348" s="6">
        <v>-6.7024600000000003</v>
      </c>
      <c r="AK348" s="4">
        <v>43140</v>
      </c>
      <c r="AL348" s="6">
        <f>VLOOKUP(AK348,Sheet3!$A$1:$B$1113,2,FALSE)</f>
        <v>1.661756710017934</v>
      </c>
      <c r="AM348" s="6">
        <f t="shared" si="41"/>
        <v>-8.9050042450550482</v>
      </c>
    </row>
    <row r="349" spans="17:39" x14ac:dyDescent="0.3">
      <c r="T349" s="13"/>
      <c r="U349" s="13"/>
      <c r="V349" s="11"/>
      <c r="W349" s="11"/>
      <c r="X349" s="11"/>
      <c r="Y349" s="11"/>
      <c r="Z349" s="11"/>
      <c r="AC349">
        <f t="shared" si="40"/>
        <v>0</v>
      </c>
      <c r="AD349">
        <v>346</v>
      </c>
      <c r="AE349" s="4">
        <f t="shared" si="38"/>
        <v>43145</v>
      </c>
      <c r="AF349" s="6">
        <f t="shared" si="39"/>
        <v>4.149218395005172</v>
      </c>
      <c r="AG349" s="4">
        <v>43145</v>
      </c>
      <c r="AH349" s="6">
        <v>3.2887300000000002</v>
      </c>
      <c r="AI349" s="6">
        <v>3.5992920000000002</v>
      </c>
      <c r="AJ349" s="6">
        <v>2.9347729999999999</v>
      </c>
      <c r="AK349" s="4">
        <v>43145</v>
      </c>
      <c r="AL349" s="6">
        <f>VLOOKUP(AK349,Sheet3!$A$1:$B$1113,2,FALSE)</f>
        <v>1.730706625110231</v>
      </c>
      <c r="AM349" s="6">
        <f t="shared" si="41"/>
        <v>4.149218395005172</v>
      </c>
    </row>
    <row r="350" spans="17:39" x14ac:dyDescent="0.3">
      <c r="T350" s="13"/>
      <c r="U350" s="13"/>
      <c r="V350" s="11"/>
      <c r="W350" s="11"/>
      <c r="X350" s="11"/>
      <c r="Y350" s="11"/>
      <c r="Z350" s="11"/>
      <c r="AC350">
        <f t="shared" si="40"/>
        <v>0</v>
      </c>
      <c r="AD350">
        <v>347</v>
      </c>
      <c r="AE350" s="4">
        <f t="shared" si="38"/>
        <v>43154</v>
      </c>
      <c r="AF350" s="6">
        <f t="shared" si="39"/>
        <v>2.4520236148666275</v>
      </c>
      <c r="AG350" s="4">
        <v>43154</v>
      </c>
      <c r="AH350" s="6">
        <v>2.6248680000000002</v>
      </c>
      <c r="AI350" s="6">
        <v>2.4821240000000002</v>
      </c>
      <c r="AJ350" s="6">
        <v>2.1707740000000002</v>
      </c>
      <c r="AK350" s="4">
        <v>43154</v>
      </c>
      <c r="AL350" s="6">
        <f>VLOOKUP(AK350,Sheet3!$A$1:$B$1113,2,FALSE)</f>
        <v>1.7731439602619949</v>
      </c>
      <c r="AM350" s="6">
        <f t="shared" si="41"/>
        <v>2.4520236148666275</v>
      </c>
    </row>
    <row r="351" spans="17:39" x14ac:dyDescent="0.3">
      <c r="T351" s="13"/>
      <c r="U351" s="13"/>
      <c r="V351" s="11"/>
      <c r="W351" s="11"/>
      <c r="X351" s="11"/>
      <c r="Y351" s="11"/>
      <c r="Z351" s="11"/>
      <c r="AC351">
        <f t="shared" si="40"/>
        <v>0</v>
      </c>
      <c r="AD351">
        <v>348</v>
      </c>
      <c r="AE351" s="4">
        <f t="shared" si="38"/>
        <v>43161</v>
      </c>
      <c r="AF351" s="6">
        <f t="shared" si="39"/>
        <v>-2.6722139773405207E-2</v>
      </c>
      <c r="AG351" s="4">
        <v>43161</v>
      </c>
      <c r="AH351" s="6">
        <v>-1.34185</v>
      </c>
      <c r="AI351" s="6">
        <v>2.6901929999999998</v>
      </c>
      <c r="AJ351" s="6">
        <v>4.1856489999999997</v>
      </c>
      <c r="AK351" s="4">
        <v>43161</v>
      </c>
      <c r="AL351" s="6">
        <f>VLOOKUP(AK351,Sheet3!$A$1:$B$1113,2,FALSE)</f>
        <v>1.77267013825455</v>
      </c>
      <c r="AM351" s="6">
        <f t="shared" si="41"/>
        <v>-2.6722139773405207E-2</v>
      </c>
    </row>
    <row r="352" spans="17:39" x14ac:dyDescent="0.3">
      <c r="T352" s="13"/>
      <c r="U352" s="13"/>
      <c r="V352" s="11"/>
      <c r="W352" s="11"/>
      <c r="X352" s="11"/>
      <c r="Y352" s="11"/>
      <c r="Z352" s="11"/>
      <c r="AC352">
        <f t="shared" si="40"/>
        <v>0</v>
      </c>
      <c r="AD352">
        <v>349</v>
      </c>
      <c r="AE352" s="4">
        <f t="shared" si="38"/>
        <v>43168</v>
      </c>
      <c r="AF352" s="6">
        <f t="shared" si="39"/>
        <v>2.3790108957972622</v>
      </c>
      <c r="AG352" s="4">
        <v>43168</v>
      </c>
      <c r="AH352" s="6">
        <v>2.300637</v>
      </c>
      <c r="AI352" s="6">
        <v>2.4873129999999999</v>
      </c>
      <c r="AJ352" s="6">
        <v>3.087208</v>
      </c>
      <c r="AK352" s="4">
        <v>43168</v>
      </c>
      <c r="AL352" s="6">
        <f>VLOOKUP(AK352,Sheet3!$A$1:$B$1113,2,FALSE)</f>
        <v>1.81484215399017</v>
      </c>
      <c r="AM352" s="6">
        <f t="shared" si="41"/>
        <v>2.3790108957972622</v>
      </c>
    </row>
    <row r="353" spans="20:39" x14ac:dyDescent="0.3">
      <c r="T353" s="13"/>
      <c r="U353" s="13"/>
      <c r="V353" s="11"/>
      <c r="W353" s="11"/>
      <c r="X353" s="11"/>
      <c r="Y353" s="11"/>
      <c r="Z353" s="11"/>
      <c r="AC353">
        <f t="shared" si="40"/>
        <v>0</v>
      </c>
      <c r="AD353">
        <v>350</v>
      </c>
      <c r="AE353" s="4">
        <f t="shared" si="38"/>
        <v>43175</v>
      </c>
      <c r="AF353" s="6">
        <f t="shared" si="39"/>
        <v>-1.1138481032961223</v>
      </c>
      <c r="AG353" s="4">
        <v>43175</v>
      </c>
      <c r="AH353" s="6">
        <v>-1.2763279999999999</v>
      </c>
      <c r="AI353" s="6">
        <v>-0.97744200000000003</v>
      </c>
      <c r="AJ353" s="6">
        <v>-0.45634400000000003</v>
      </c>
      <c r="AK353" s="4">
        <v>43175</v>
      </c>
      <c r="AL353" s="6">
        <f>VLOOKUP(AK353,Sheet3!$A$1:$B$1113,2,FALSE)</f>
        <v>1.7946275690801321</v>
      </c>
      <c r="AM353" s="6">
        <f t="shared" si="41"/>
        <v>-1.1138481032961223</v>
      </c>
    </row>
    <row r="354" spans="20:39" x14ac:dyDescent="0.3">
      <c r="T354" s="13"/>
      <c r="U354" s="13"/>
      <c r="V354" s="11"/>
      <c r="W354" s="11"/>
      <c r="X354" s="11"/>
      <c r="Y354" s="11"/>
      <c r="Z354" s="11"/>
      <c r="AC354">
        <f t="shared" si="40"/>
        <v>0</v>
      </c>
      <c r="AD354">
        <v>351</v>
      </c>
      <c r="AE354" s="4">
        <f t="shared" si="38"/>
        <v>43182</v>
      </c>
      <c r="AF354" s="6">
        <f t="shared" si="39"/>
        <v>-4.3934110207793475</v>
      </c>
      <c r="AG354" s="4">
        <v>43182</v>
      </c>
      <c r="AH354" s="6">
        <v>-3.7345000000000002</v>
      </c>
      <c r="AI354" s="6">
        <v>-5.8434039999999996</v>
      </c>
      <c r="AJ354" s="6">
        <v>-5.9217909999999998</v>
      </c>
      <c r="AK354" s="4">
        <v>43182</v>
      </c>
      <c r="AL354" s="6">
        <f>VLOOKUP(AK354,Sheet3!$A$1:$B$1113,2,FALSE)</f>
        <v>1.7157822036782211</v>
      </c>
      <c r="AM354" s="6">
        <f t="shared" si="41"/>
        <v>-4.3934110207793475</v>
      </c>
    </row>
    <row r="355" spans="20:39" x14ac:dyDescent="0.3">
      <c r="T355" s="13"/>
      <c r="U355" s="13"/>
      <c r="V355" s="11"/>
      <c r="W355" s="11"/>
      <c r="X355" s="11"/>
      <c r="Y355" s="11"/>
      <c r="Z355" s="11"/>
      <c r="AC355">
        <f t="shared" si="40"/>
        <v>0</v>
      </c>
      <c r="AD355">
        <v>352</v>
      </c>
      <c r="AE355" s="4">
        <f t="shared" si="38"/>
        <v>43189</v>
      </c>
      <c r="AF355" s="6">
        <f t="shared" si="39"/>
        <v>2.7991353901638982</v>
      </c>
      <c r="AG355" s="4">
        <v>43189</v>
      </c>
      <c r="AH355" s="6">
        <v>-0.16486300000000001</v>
      </c>
      <c r="AI355" s="6">
        <v>5.6605720000000002</v>
      </c>
      <c r="AJ355" s="6">
        <v>6.1811980000000002</v>
      </c>
      <c r="AK355" s="4">
        <v>43189</v>
      </c>
      <c r="AL355" s="6">
        <f>VLOOKUP(AK355,Sheet3!$A$1:$B$1113,2,FALSE)</f>
        <v>1.7638092705595121</v>
      </c>
      <c r="AM355" s="6">
        <f t="shared" si="41"/>
        <v>2.7991353901638982</v>
      </c>
    </row>
    <row r="356" spans="20:39" x14ac:dyDescent="0.3">
      <c r="T356" s="13"/>
      <c r="U356" s="13"/>
      <c r="V356" s="11"/>
      <c r="W356" s="11"/>
      <c r="X356" s="11"/>
      <c r="Y356" s="11"/>
      <c r="Z356" s="11"/>
      <c r="AC356">
        <f t="shared" si="40"/>
        <v>0</v>
      </c>
      <c r="AD356">
        <v>353</v>
      </c>
      <c r="AE356" s="4">
        <f t="shared" si="38"/>
        <v>43194</v>
      </c>
      <c r="AF356" s="6">
        <f t="shared" si="39"/>
        <v>-1.265105183625137</v>
      </c>
      <c r="AG356" s="4">
        <v>43194</v>
      </c>
      <c r="AH356" s="6">
        <v>-1.1192820000000001</v>
      </c>
      <c r="AI356" s="6">
        <v>-1.58718</v>
      </c>
      <c r="AJ356" s="6">
        <v>-1.32006</v>
      </c>
      <c r="AK356" s="4">
        <v>43194</v>
      </c>
      <c r="AL356" s="6">
        <f>VLOOKUP(AK356,Sheet3!$A$1:$B$1113,2,FALSE)</f>
        <v>1.7414952280484031</v>
      </c>
      <c r="AM356" s="6">
        <f t="shared" si="41"/>
        <v>-1.265105183625137</v>
      </c>
    </row>
    <row r="357" spans="20:39" x14ac:dyDescent="0.3">
      <c r="T357" s="13"/>
      <c r="U357" s="13"/>
      <c r="V357" s="11"/>
      <c r="W357" s="11"/>
      <c r="X357" s="11"/>
      <c r="Y357" s="11"/>
      <c r="Z357" s="11"/>
      <c r="AC357">
        <f t="shared" si="40"/>
        <v>0</v>
      </c>
      <c r="AD357">
        <v>354</v>
      </c>
      <c r="AE357" s="4">
        <f t="shared" si="38"/>
        <v>43203</v>
      </c>
      <c r="AF357" s="6">
        <f t="shared" si="39"/>
        <v>0.2947055422068745</v>
      </c>
      <c r="AG357" s="4">
        <v>43203</v>
      </c>
      <c r="AH357" s="6">
        <v>0.42237000000000002</v>
      </c>
      <c r="AI357" s="6">
        <v>0.15787499999999999</v>
      </c>
      <c r="AJ357" s="6">
        <v>0.189911</v>
      </c>
      <c r="AK357" s="4">
        <v>43203</v>
      </c>
      <c r="AL357" s="6">
        <f>VLOOKUP(AK357,Sheet3!$A$1:$B$1113,2,FALSE)</f>
        <v>1.7466275110027301</v>
      </c>
      <c r="AM357" s="6">
        <f t="shared" si="41"/>
        <v>0.2947055422068745</v>
      </c>
    </row>
    <row r="358" spans="20:39" x14ac:dyDescent="0.3">
      <c r="T358" s="13"/>
      <c r="U358" s="13"/>
      <c r="V358" s="11"/>
      <c r="W358" s="11"/>
      <c r="X358" s="11"/>
      <c r="Y358" s="11"/>
      <c r="Z358" s="11"/>
      <c r="AC358">
        <f t="shared" si="40"/>
        <v>0</v>
      </c>
      <c r="AD358">
        <v>355</v>
      </c>
      <c r="AE358" s="4">
        <f t="shared" si="38"/>
        <v>43210</v>
      </c>
      <c r="AF358" s="6">
        <f t="shared" si="39"/>
        <v>-2.3268288482922284</v>
      </c>
      <c r="AG358" s="4">
        <v>43210</v>
      </c>
      <c r="AH358" s="6">
        <v>-2.8490280000000001</v>
      </c>
      <c r="AI358" s="6">
        <v>-2.4281779999999999</v>
      </c>
      <c r="AJ358" s="6">
        <v>-2.7627030000000001</v>
      </c>
      <c r="AK358" s="4">
        <v>43210</v>
      </c>
      <c r="AL358" s="6">
        <f>VLOOKUP(AK358,Sheet3!$A$1:$B$1113,2,FALSE)</f>
        <v>1.70598647820451</v>
      </c>
      <c r="AM358" s="6">
        <f t="shared" si="41"/>
        <v>-2.3268288482922284</v>
      </c>
    </row>
    <row r="359" spans="20:39" x14ac:dyDescent="0.3">
      <c r="T359" s="13"/>
      <c r="U359" s="13"/>
      <c r="V359" s="11"/>
      <c r="W359" s="11"/>
      <c r="X359" s="11"/>
      <c r="Y359" s="11"/>
      <c r="Z359" s="11"/>
      <c r="AC359">
        <f t="shared" si="40"/>
        <v>0</v>
      </c>
      <c r="AD359">
        <v>356</v>
      </c>
      <c r="AE359" s="4">
        <f t="shared" si="38"/>
        <v>43217</v>
      </c>
      <c r="AF359" s="6">
        <f t="shared" si="39"/>
        <v>0.12726798658579952</v>
      </c>
      <c r="AG359" s="4">
        <v>43217</v>
      </c>
      <c r="AH359" s="6">
        <v>-0.105769</v>
      </c>
      <c r="AI359" s="6">
        <v>-0.33757599999999999</v>
      </c>
      <c r="AJ359" s="6">
        <v>-0.28931000000000001</v>
      </c>
      <c r="AK359" s="4">
        <v>43217</v>
      </c>
      <c r="AL359" s="6">
        <f>VLOOKUP(AK359,Sheet3!$A$1:$B$1113,2,FALSE)</f>
        <v>1.708157652846747</v>
      </c>
      <c r="AM359" s="6">
        <f t="shared" si="41"/>
        <v>0.12726798658579952</v>
      </c>
    </row>
    <row r="360" spans="20:39" x14ac:dyDescent="0.3">
      <c r="T360" s="13"/>
      <c r="U360" s="13"/>
      <c r="V360" s="11"/>
      <c r="W360" s="11"/>
      <c r="X360" s="11"/>
      <c r="Y360" s="11"/>
      <c r="Z360" s="11"/>
      <c r="AC360">
        <f t="shared" si="40"/>
        <v>0</v>
      </c>
      <c r="AD360">
        <v>357</v>
      </c>
      <c r="AE360" s="4">
        <f t="shared" si="38"/>
        <v>43224</v>
      </c>
      <c r="AF360" s="6">
        <f t="shared" si="39"/>
        <v>1.1935554094229861</v>
      </c>
      <c r="AG360" s="4">
        <v>43224</v>
      </c>
      <c r="AH360" s="6">
        <v>0.47171099999999999</v>
      </c>
      <c r="AI360" s="6">
        <v>0.82427799999999996</v>
      </c>
      <c r="AJ360" s="6">
        <v>0.21848400000000001</v>
      </c>
      <c r="AK360" s="4">
        <v>43224</v>
      </c>
      <c r="AL360" s="6">
        <f>VLOOKUP(AK360,Sheet3!$A$1:$B$1113,2,FALSE)</f>
        <v>1.728545460913772</v>
      </c>
      <c r="AM360" s="6">
        <f t="shared" si="41"/>
        <v>1.1935554094229861</v>
      </c>
    </row>
    <row r="361" spans="20:39" x14ac:dyDescent="0.3">
      <c r="T361" s="13"/>
      <c r="U361" s="13"/>
      <c r="V361" s="11"/>
      <c r="W361" s="11"/>
      <c r="X361" s="11"/>
      <c r="Y361" s="11"/>
      <c r="Z361" s="11"/>
      <c r="AC361">
        <f t="shared" si="40"/>
        <v>0</v>
      </c>
      <c r="AD361">
        <v>358</v>
      </c>
      <c r="AE361" s="4">
        <f t="shared" si="38"/>
        <v>43231</v>
      </c>
      <c r="AF361" s="6">
        <f t="shared" si="39"/>
        <v>1.7397003974325864</v>
      </c>
      <c r="AG361" s="4">
        <v>43231</v>
      </c>
      <c r="AH361" s="6">
        <v>2.6026660000000001</v>
      </c>
      <c r="AI361" s="6">
        <v>1.3884570000000001</v>
      </c>
      <c r="AJ361" s="6">
        <v>1.6148990000000001</v>
      </c>
      <c r="AK361" s="4">
        <v>43231</v>
      </c>
      <c r="AL361" s="6">
        <f>VLOOKUP(AK361,Sheet3!$A$1:$B$1113,2,FALSE)</f>
        <v>1.758616973167092</v>
      </c>
      <c r="AM361" s="6">
        <f t="shared" si="41"/>
        <v>1.7397003974325864</v>
      </c>
    </row>
    <row r="362" spans="20:39" x14ac:dyDescent="0.3">
      <c r="T362" s="13"/>
      <c r="U362" s="13"/>
      <c r="V362" s="11"/>
      <c r="W362" s="11"/>
      <c r="X362" s="11"/>
      <c r="Y362" s="11"/>
      <c r="Z362" s="11"/>
      <c r="AC362">
        <f t="shared" si="40"/>
        <v>0</v>
      </c>
      <c r="AD362">
        <v>359</v>
      </c>
      <c r="AE362" s="4">
        <f t="shared" si="38"/>
        <v>43238</v>
      </c>
      <c r="AF362" s="6">
        <f t="shared" si="39"/>
        <v>0.58237417584936502</v>
      </c>
      <c r="AG362" s="4">
        <v>43238</v>
      </c>
      <c r="AH362" s="6">
        <v>0.78044599999999997</v>
      </c>
      <c r="AI362" s="6">
        <v>6.3547000000000006E-2</v>
      </c>
      <c r="AJ362" s="6">
        <v>-0.24095900000000001</v>
      </c>
      <c r="AK362" s="4">
        <v>43238</v>
      </c>
      <c r="AL362" s="6">
        <f>VLOOKUP(AK362,Sheet3!$A$1:$B$1113,2,FALSE)</f>
        <v>1.768858704270921</v>
      </c>
      <c r="AM362" s="6">
        <f t="shared" si="41"/>
        <v>0.58237417584936502</v>
      </c>
    </row>
    <row r="363" spans="20:39" x14ac:dyDescent="0.3">
      <c r="T363" s="13"/>
      <c r="U363" s="13"/>
      <c r="V363" s="11"/>
      <c r="W363" s="11"/>
      <c r="X363" s="11"/>
      <c r="Y363" s="11"/>
      <c r="Z363" s="11"/>
      <c r="AC363">
        <f t="shared" si="40"/>
        <v>0</v>
      </c>
      <c r="AD363">
        <v>360</v>
      </c>
      <c r="AE363" s="4">
        <f t="shared" si="38"/>
        <v>43245</v>
      </c>
      <c r="AF363" s="6">
        <f t="shared" si="39"/>
        <v>-1.0643127876890368</v>
      </c>
      <c r="AG363" s="4">
        <v>43245</v>
      </c>
      <c r="AH363" s="6">
        <v>-2.2178909999999998</v>
      </c>
      <c r="AI363" s="6">
        <v>-1.290241</v>
      </c>
      <c r="AJ363" s="6">
        <v>-1.198123</v>
      </c>
      <c r="AK363" s="4">
        <v>43245</v>
      </c>
      <c r="AL363" s="6">
        <f>VLOOKUP(AK363,Sheet3!$A$1:$B$1113,2,FALSE)</f>
        <v>1.7500325148852149</v>
      </c>
      <c r="AM363" s="6">
        <f t="shared" si="41"/>
        <v>-1.0643127876890368</v>
      </c>
    </row>
    <row r="364" spans="20:39" x14ac:dyDescent="0.3">
      <c r="T364" s="13"/>
      <c r="U364" s="13"/>
      <c r="V364" s="11"/>
      <c r="W364" s="11"/>
      <c r="X364" s="11"/>
      <c r="Y364" s="11"/>
      <c r="Z364" s="11"/>
      <c r="AC364">
        <f t="shared" si="40"/>
        <v>0</v>
      </c>
      <c r="AD364">
        <v>361</v>
      </c>
      <c r="AE364" s="4">
        <f t="shared" si="38"/>
        <v>43252</v>
      </c>
      <c r="AF364" s="6">
        <f t="shared" si="39"/>
        <v>-1.8753489660033318</v>
      </c>
      <c r="AG364" s="4">
        <v>43252</v>
      </c>
      <c r="AH364" s="6">
        <v>-1.202906</v>
      </c>
      <c r="AI364" s="6">
        <v>-3.9319069999999998</v>
      </c>
      <c r="AJ364" s="6">
        <v>-4.551253</v>
      </c>
      <c r="AK364" s="4">
        <v>43252</v>
      </c>
      <c r="AL364" s="6">
        <f>VLOOKUP(AK364,Sheet3!$A$1:$B$1113,2,FALSE)</f>
        <v>1.7172132982125929</v>
      </c>
      <c r="AM364" s="6">
        <f t="shared" si="41"/>
        <v>-1.8753489660033318</v>
      </c>
    </row>
    <row r="365" spans="20:39" x14ac:dyDescent="0.3">
      <c r="T365" s="13"/>
      <c r="U365" s="13"/>
      <c r="V365" s="11"/>
      <c r="W365" s="11"/>
      <c r="X365" s="11"/>
      <c r="Y365" s="11"/>
      <c r="Z365" s="11"/>
      <c r="AC365">
        <f t="shared" si="40"/>
        <v>0</v>
      </c>
      <c r="AD365">
        <v>362</v>
      </c>
      <c r="AE365" s="4">
        <f t="shared" si="38"/>
        <v>43259</v>
      </c>
      <c r="AF365" s="6">
        <f t="shared" si="39"/>
        <v>1.1557925084525467</v>
      </c>
      <c r="AG365" s="4">
        <v>43259</v>
      </c>
      <c r="AH365" s="6">
        <v>0.2394</v>
      </c>
      <c r="AI365" s="6">
        <v>-0.27813700000000002</v>
      </c>
      <c r="AJ365" s="6">
        <v>-0.60502400000000001</v>
      </c>
      <c r="AK365" s="4">
        <v>43259</v>
      </c>
      <c r="AL365" s="6">
        <f>VLOOKUP(AK365,Sheet3!$A$1:$B$1113,2,FALSE)</f>
        <v>1.7370607208674851</v>
      </c>
      <c r="AM365" s="6">
        <f t="shared" si="41"/>
        <v>1.1557925084525467</v>
      </c>
    </row>
    <row r="366" spans="20:39" x14ac:dyDescent="0.3">
      <c r="T366" s="13"/>
      <c r="U366" s="13"/>
      <c r="V366" s="11"/>
      <c r="W366" s="11"/>
      <c r="X366" s="11"/>
      <c r="Y366" s="11"/>
      <c r="Z366" s="11"/>
      <c r="AC366">
        <f t="shared" si="40"/>
        <v>0</v>
      </c>
      <c r="AD366">
        <v>363</v>
      </c>
      <c r="AE366" s="4">
        <f t="shared" si="38"/>
        <v>43266</v>
      </c>
      <c r="AF366" s="6">
        <f t="shared" si="39"/>
        <v>-1.9528830414592635</v>
      </c>
      <c r="AG366" s="4">
        <v>43266</v>
      </c>
      <c r="AH366" s="6">
        <v>-0.69271899999999997</v>
      </c>
      <c r="AI366" s="6">
        <v>-3.2695110000000001</v>
      </c>
      <c r="AJ366" s="6">
        <v>-4.4776860000000003</v>
      </c>
      <c r="AK366" s="4">
        <v>43266</v>
      </c>
      <c r="AL366" s="6">
        <f>VLOOKUP(AK366,Sheet3!$A$1:$B$1113,2,FALSE)</f>
        <v>1.7031379566298139</v>
      </c>
      <c r="AM366" s="6">
        <f t="shared" si="41"/>
        <v>-1.9528830414592635</v>
      </c>
    </row>
    <row r="367" spans="20:39" x14ac:dyDescent="0.3">
      <c r="T367" s="13"/>
      <c r="U367" s="13"/>
      <c r="V367" s="11"/>
      <c r="W367" s="11"/>
      <c r="X367" s="11"/>
      <c r="Y367" s="11"/>
      <c r="Z367" s="11"/>
      <c r="AC367">
        <f t="shared" si="40"/>
        <v>0</v>
      </c>
      <c r="AD367">
        <v>364</v>
      </c>
      <c r="AE367" s="4">
        <f t="shared" si="38"/>
        <v>43273</v>
      </c>
      <c r="AF367" s="6">
        <f t="shared" si="39"/>
        <v>-2.8160979786213458</v>
      </c>
      <c r="AG367" s="4">
        <v>43273</v>
      </c>
      <c r="AH367" s="6">
        <v>-3.8505859999999998</v>
      </c>
      <c r="AI367" s="6">
        <v>-5.9049060000000004</v>
      </c>
      <c r="AJ367" s="6">
        <v>-6.5231709999999996</v>
      </c>
      <c r="AK367" s="4">
        <v>43273</v>
      </c>
      <c r="AL367" s="6">
        <f>VLOOKUP(AK367,Sheet3!$A$1:$B$1113,2,FALSE)</f>
        <v>1.6551759230600289</v>
      </c>
      <c r="AM367" s="6">
        <f t="shared" si="41"/>
        <v>-2.8160979786213458</v>
      </c>
    </row>
    <row r="368" spans="20:39" x14ac:dyDescent="0.3">
      <c r="T368" s="13"/>
      <c r="U368" s="13"/>
      <c r="V368" s="11"/>
      <c r="W368" s="11"/>
      <c r="X368" s="11"/>
      <c r="Y368" s="11"/>
      <c r="Z368" s="11"/>
      <c r="AC368">
        <f t="shared" si="40"/>
        <v>0</v>
      </c>
      <c r="AD368">
        <v>365</v>
      </c>
      <c r="AE368" s="4">
        <f t="shared" si="38"/>
        <v>43280</v>
      </c>
      <c r="AF368" s="6">
        <f t="shared" si="39"/>
        <v>-0.61775147830948063</v>
      </c>
      <c r="AG368" s="4">
        <v>43280</v>
      </c>
      <c r="AH368" s="6">
        <v>-2.7132909999999999</v>
      </c>
      <c r="AI368" s="6">
        <v>1.117057</v>
      </c>
      <c r="AJ368" s="6">
        <v>1.2120029999999999</v>
      </c>
      <c r="AK368" s="4">
        <v>43280</v>
      </c>
      <c r="AL368" s="6">
        <f>VLOOKUP(AK368,Sheet3!$A$1:$B$1113,2,FALSE)</f>
        <v>1.644951049326703</v>
      </c>
      <c r="AM368" s="6">
        <f t="shared" si="41"/>
        <v>-0.61775147830948063</v>
      </c>
    </row>
    <row r="369" spans="20:39" x14ac:dyDescent="0.3">
      <c r="T369" s="13"/>
      <c r="U369" s="13"/>
      <c r="V369" s="11"/>
      <c r="W369" s="11"/>
      <c r="X369" s="11"/>
      <c r="Y369" s="11"/>
      <c r="Z369" s="11"/>
      <c r="AC369">
        <f t="shared" si="40"/>
        <v>0</v>
      </c>
      <c r="AD369">
        <v>366</v>
      </c>
      <c r="AE369" s="4">
        <f t="shared" si="38"/>
        <v>43287</v>
      </c>
      <c r="AF369" s="6">
        <f t="shared" si="39"/>
        <v>-4.0713227895538999</v>
      </c>
      <c r="AG369" s="4">
        <v>43287</v>
      </c>
      <c r="AH369" s="6">
        <v>-4.1544420000000004</v>
      </c>
      <c r="AI369" s="6">
        <v>-4.2381060000000002</v>
      </c>
      <c r="AJ369" s="6">
        <v>-4.1714219999999997</v>
      </c>
      <c r="AK369" s="4">
        <v>43287</v>
      </c>
      <c r="AL369" s="6">
        <f>VLOOKUP(AK369,Sheet3!$A$1:$B$1113,2,FALSE)</f>
        <v>1.5779797823784589</v>
      </c>
      <c r="AM369" s="6">
        <f t="shared" si="41"/>
        <v>-4.0713227895538999</v>
      </c>
    </row>
    <row r="370" spans="20:39" x14ac:dyDescent="0.3">
      <c r="T370" s="13"/>
      <c r="U370" s="13"/>
      <c r="V370" s="11"/>
      <c r="W370" s="11"/>
      <c r="X370" s="11"/>
      <c r="Y370" s="11"/>
      <c r="Z370" s="11"/>
      <c r="AC370">
        <f t="shared" si="40"/>
        <v>0</v>
      </c>
      <c r="AD370">
        <v>367</v>
      </c>
      <c r="AE370" s="4">
        <f t="shared" si="38"/>
        <v>43294</v>
      </c>
      <c r="AF370" s="6">
        <f t="shared" si="39"/>
        <v>5.4152228058852669</v>
      </c>
      <c r="AG370" s="4">
        <v>43294</v>
      </c>
      <c r="AH370" s="6">
        <v>3.7908569999999999</v>
      </c>
      <c r="AI370" s="6">
        <v>4.153912</v>
      </c>
      <c r="AJ370" s="6">
        <v>3.4812989999999999</v>
      </c>
      <c r="AK370" s="4">
        <v>43294</v>
      </c>
      <c r="AL370" s="6">
        <f>VLOOKUP(AK370,Sheet3!$A$1:$B$1113,2,FALSE)</f>
        <v>1.6634309034260759</v>
      </c>
      <c r="AM370" s="6">
        <f t="shared" si="41"/>
        <v>5.4152228058852669</v>
      </c>
    </row>
    <row r="371" spans="20:39" x14ac:dyDescent="0.3">
      <c r="T371" s="13"/>
      <c r="U371" s="13"/>
      <c r="V371" s="11"/>
      <c r="W371" s="11"/>
      <c r="X371" s="11"/>
      <c r="Y371" s="11"/>
      <c r="Z371" s="11"/>
      <c r="AC371">
        <f t="shared" si="40"/>
        <v>0</v>
      </c>
      <c r="AD371">
        <v>368</v>
      </c>
      <c r="AE371" s="4">
        <f t="shared" si="38"/>
        <v>43301</v>
      </c>
      <c r="AF371" s="6">
        <f t="shared" si="39"/>
        <v>-0.52990101010779167</v>
      </c>
      <c r="AG371" s="4">
        <v>43301</v>
      </c>
      <c r="AH371" s="6">
        <v>5.8440000000000002E-3</v>
      </c>
      <c r="AI371" s="6">
        <v>-0.55597399999999997</v>
      </c>
      <c r="AJ371" s="6">
        <v>-0.36811899999999997</v>
      </c>
      <c r="AK371" s="4">
        <v>43301</v>
      </c>
      <c r="AL371" s="6">
        <f>VLOOKUP(AK371,Sheet3!$A$1:$B$1113,2,FALSE)</f>
        <v>1.654616366266376</v>
      </c>
      <c r="AM371" s="6">
        <f t="shared" si="41"/>
        <v>-0.52990101010779167</v>
      </c>
    </row>
    <row r="372" spans="20:39" x14ac:dyDescent="0.3">
      <c r="T372" s="13"/>
      <c r="U372" s="13"/>
      <c r="V372" s="11"/>
      <c r="W372" s="11"/>
      <c r="X372" s="11"/>
      <c r="Y372" s="11"/>
      <c r="Z372" s="11"/>
      <c r="AC372">
        <f t="shared" si="40"/>
        <v>0</v>
      </c>
      <c r="AD372">
        <v>369</v>
      </c>
      <c r="AE372" s="4">
        <f t="shared" si="38"/>
        <v>43304</v>
      </c>
      <c r="AF372" s="6" t="e">
        <f t="shared" si="39"/>
        <v>#N/A</v>
      </c>
      <c r="AG372" s="4">
        <v>43304</v>
      </c>
      <c r="AH372" s="6">
        <v>0.94066700000000003</v>
      </c>
      <c r="AI372" s="6">
        <v>0.74879799999999996</v>
      </c>
      <c r="AJ372" s="6">
        <v>0.74163000000000001</v>
      </c>
      <c r="AK372" s="4">
        <v>43308</v>
      </c>
      <c r="AL372" s="6" t="e">
        <f>VLOOKUP(AK372,Sheet3!$A$1:$B$1113,2,FALSE)</f>
        <v>#N/A</v>
      </c>
      <c r="AM372" s="6" t="e">
        <f t="shared" si="41"/>
        <v>#N/A</v>
      </c>
    </row>
    <row r="373" spans="20:39" x14ac:dyDescent="0.3">
      <c r="T373" s="13"/>
      <c r="U373" s="13"/>
      <c r="V373" s="11"/>
      <c r="W373" s="11"/>
      <c r="X373" s="11"/>
      <c r="Y373" s="11"/>
      <c r="Z373" s="11"/>
      <c r="AC373">
        <f t="shared" si="40"/>
        <v>1</v>
      </c>
      <c r="AD373">
        <v>370</v>
      </c>
      <c r="AE373" s="4">
        <f t="shared" si="38"/>
        <v>42930</v>
      </c>
      <c r="AF373" s="6" t="e">
        <f t="shared" si="39"/>
        <v>#N/A</v>
      </c>
      <c r="AG373" s="4">
        <v>42930</v>
      </c>
      <c r="AH373" s="6">
        <v>1.2900879999999999</v>
      </c>
      <c r="AI373" s="6">
        <v>-1.5623339999999999</v>
      </c>
      <c r="AJ373" s="6">
        <v>-2.4949650000000001</v>
      </c>
      <c r="AK373" s="4">
        <v>42930</v>
      </c>
      <c r="AL373" s="6">
        <f>VLOOKUP(AK373,Sheet3!$A$1:$B$1113,2,FALSE)</f>
        <v>1.645756097865805</v>
      </c>
      <c r="AM373" s="6" t="e">
        <f t="shared" si="41"/>
        <v>#N/A</v>
      </c>
    </row>
    <row r="374" spans="20:39" x14ac:dyDescent="0.3">
      <c r="T374" s="13"/>
      <c r="U374" s="13"/>
      <c r="V374" s="11"/>
      <c r="W374" s="11"/>
      <c r="X374" s="11"/>
      <c r="Y374" s="11"/>
      <c r="Z374" s="11"/>
      <c r="AC374">
        <f t="shared" si="40"/>
        <v>0</v>
      </c>
      <c r="AD374">
        <v>371</v>
      </c>
      <c r="AE374" s="4">
        <f t="shared" si="38"/>
        <v>42937</v>
      </c>
      <c r="AF374" s="6">
        <f t="shared" si="39"/>
        <v>0.21759229596212126</v>
      </c>
      <c r="AG374" s="4">
        <v>42937</v>
      </c>
      <c r="AH374" s="6">
        <v>0.68871099999999996</v>
      </c>
      <c r="AI374" s="6">
        <v>-4.2935000000000001E-2</v>
      </c>
      <c r="AJ374" s="6">
        <v>-2.4279299999999999</v>
      </c>
      <c r="AK374" s="4">
        <v>42937</v>
      </c>
      <c r="AL374" s="6">
        <f>VLOOKUP(AK374,Sheet3!$A$1:$B$1113,2,FALSE)</f>
        <v>1.6493371363450879</v>
      </c>
      <c r="AM374" s="6">
        <f t="shared" si="41"/>
        <v>0.21759229596212126</v>
      </c>
    </row>
    <row r="375" spans="20:39" x14ac:dyDescent="0.3">
      <c r="T375" s="13"/>
      <c r="U375" s="13"/>
      <c r="V375" s="11"/>
      <c r="W375" s="11"/>
      <c r="X375" s="11"/>
      <c r="Y375" s="11"/>
      <c r="Z375" s="11"/>
      <c r="AC375">
        <f t="shared" si="40"/>
        <v>0</v>
      </c>
      <c r="AD375">
        <v>372</v>
      </c>
      <c r="AE375" s="4">
        <f t="shared" si="38"/>
        <v>42944</v>
      </c>
      <c r="AF375" s="6">
        <f t="shared" si="39"/>
        <v>0.37216854744532846</v>
      </c>
      <c r="AG375" s="4">
        <v>42944</v>
      </c>
      <c r="AH375" s="6">
        <v>-0.17985899999999999</v>
      </c>
      <c r="AI375" s="6">
        <v>1.458593</v>
      </c>
      <c r="AJ375" s="6">
        <v>1.8406990000000001</v>
      </c>
      <c r="AK375" s="4">
        <v>42944</v>
      </c>
      <c r="AL375" s="6">
        <f>VLOOKUP(AK375,Sheet3!$A$1:$B$1113,2,FALSE)</f>
        <v>1.6554754504078999</v>
      </c>
      <c r="AM375" s="6">
        <f t="shared" si="41"/>
        <v>0.37216854744532846</v>
      </c>
    </row>
    <row r="376" spans="20:39" x14ac:dyDescent="0.3">
      <c r="T376" s="13"/>
      <c r="U376" s="13"/>
      <c r="V376" s="11"/>
      <c r="W376" s="11"/>
      <c r="X376" s="11"/>
      <c r="Y376" s="11"/>
      <c r="Z376" s="11"/>
      <c r="AC376">
        <f t="shared" si="40"/>
        <v>0</v>
      </c>
      <c r="AD376">
        <v>373</v>
      </c>
      <c r="AE376" s="4">
        <f t="shared" si="38"/>
        <v>42951</v>
      </c>
      <c r="AF376" s="6">
        <f t="shared" si="39"/>
        <v>-0.84219273708900921</v>
      </c>
      <c r="AG376" s="4">
        <v>42951</v>
      </c>
      <c r="AH376" s="6">
        <v>-0.38452999999999998</v>
      </c>
      <c r="AI376" s="6">
        <v>0.15528700000000001</v>
      </c>
      <c r="AJ376" s="6">
        <v>3.9773999999999997E-2</v>
      </c>
      <c r="AK376" s="4">
        <v>42951</v>
      </c>
      <c r="AL376" s="6">
        <f>VLOOKUP(AK376,Sheet3!$A$1:$B$1113,2,FALSE)</f>
        <v>1.6415331564002731</v>
      </c>
      <c r="AM376" s="6">
        <f t="shared" si="41"/>
        <v>-0.84219273708900921</v>
      </c>
    </row>
    <row r="377" spans="20:39" x14ac:dyDescent="0.3">
      <c r="T377" s="13"/>
      <c r="U377" s="13"/>
      <c r="V377" s="11"/>
      <c r="W377" s="11"/>
      <c r="X377" s="11"/>
      <c r="Y377" s="11"/>
      <c r="Z377" s="11"/>
      <c r="AC377">
        <f t="shared" si="40"/>
        <v>0</v>
      </c>
      <c r="AD377">
        <v>374</v>
      </c>
      <c r="AE377" s="4">
        <f t="shared" si="38"/>
        <v>42958</v>
      </c>
      <c r="AF377" s="6">
        <f t="shared" si="39"/>
        <v>-0.32323848984913139</v>
      </c>
      <c r="AG377" s="4">
        <v>42958</v>
      </c>
      <c r="AH377" s="6">
        <v>-1.6244909999999999</v>
      </c>
      <c r="AI377" s="6">
        <v>-1.026885</v>
      </c>
      <c r="AJ377" s="6">
        <v>-0.822071</v>
      </c>
      <c r="AK377" s="4">
        <v>42958</v>
      </c>
      <c r="AL377" s="6">
        <f>VLOOKUP(AK377,Sheet3!$A$1:$B$1113,2,FALSE)</f>
        <v>1.636227089415152</v>
      </c>
      <c r="AM377" s="6">
        <f t="shared" si="41"/>
        <v>-0.32323848984913139</v>
      </c>
    </row>
    <row r="378" spans="20:39" x14ac:dyDescent="0.3">
      <c r="T378" s="13"/>
      <c r="U378" s="13"/>
      <c r="V378" s="11"/>
      <c r="W378" s="11"/>
      <c r="X378" s="11"/>
      <c r="Y378" s="11"/>
      <c r="Z378" s="11"/>
      <c r="AC378">
        <f t="shared" si="40"/>
        <v>0</v>
      </c>
      <c r="AD378">
        <v>375</v>
      </c>
      <c r="AE378" s="4">
        <f t="shared" si="38"/>
        <v>42965</v>
      </c>
      <c r="AF378" s="6">
        <f t="shared" si="39"/>
        <v>2.0671573364475115</v>
      </c>
      <c r="AG378" s="4">
        <v>42965</v>
      </c>
      <c r="AH378" s="6">
        <v>2.120018</v>
      </c>
      <c r="AI378" s="6">
        <v>3.0280740000000002</v>
      </c>
      <c r="AJ378" s="6">
        <v>3.3793600000000001</v>
      </c>
      <c r="AK378" s="4">
        <v>42965</v>
      </c>
      <c r="AL378" s="6">
        <f>VLOOKUP(AK378,Sheet3!$A$1:$B$1113,2,FALSE)</f>
        <v>1.670050477734939</v>
      </c>
      <c r="AM378" s="6">
        <f t="shared" si="41"/>
        <v>2.0671573364475115</v>
      </c>
    </row>
    <row r="379" spans="20:39" x14ac:dyDescent="0.3">
      <c r="T379" s="13"/>
      <c r="U379" s="13"/>
      <c r="V379" s="11"/>
      <c r="W379" s="11"/>
      <c r="X379" s="11"/>
      <c r="Y379" s="11"/>
      <c r="Z379" s="11"/>
      <c r="AC379">
        <f t="shared" si="40"/>
        <v>0</v>
      </c>
      <c r="AD379">
        <v>376</v>
      </c>
      <c r="AE379" s="4">
        <f t="shared" si="38"/>
        <v>42972</v>
      </c>
      <c r="AF379" s="6">
        <f t="shared" si="39"/>
        <v>0.62364705559960765</v>
      </c>
      <c r="AG379" s="4">
        <v>42972</v>
      </c>
      <c r="AH379" s="6">
        <v>1.908344</v>
      </c>
      <c r="AI379" s="6">
        <v>-1.9300999999999999E-2</v>
      </c>
      <c r="AJ379" s="6">
        <v>-0.221079</v>
      </c>
      <c r="AK379" s="4">
        <v>42972</v>
      </c>
      <c r="AL379" s="6">
        <f>VLOOKUP(AK379,Sheet3!$A$1:$B$1113,2,FALSE)</f>
        <v>1.68046569836636</v>
      </c>
      <c r="AM379" s="6">
        <f t="shared" si="41"/>
        <v>0.62364705559960765</v>
      </c>
    </row>
    <row r="380" spans="20:39" x14ac:dyDescent="0.3">
      <c r="T380" s="13"/>
      <c r="U380" s="13"/>
      <c r="V380" s="11"/>
      <c r="W380" s="11"/>
      <c r="X380" s="11"/>
      <c r="Y380" s="11"/>
      <c r="Z380" s="11"/>
      <c r="AC380">
        <f t="shared" si="40"/>
        <v>0</v>
      </c>
      <c r="AD380">
        <v>377</v>
      </c>
      <c r="AE380" s="4">
        <f t="shared" si="38"/>
        <v>42979</v>
      </c>
      <c r="AF380" s="6">
        <f t="shared" si="39"/>
        <v>2.3536110917270481</v>
      </c>
      <c r="AG380" s="4">
        <v>42979</v>
      </c>
      <c r="AH380" s="6">
        <v>0.91639000000000004</v>
      </c>
      <c r="AI380" s="6">
        <v>2.8357869999999998</v>
      </c>
      <c r="AJ380" s="6">
        <v>2.389106</v>
      </c>
      <c r="AK380" s="4">
        <v>42979</v>
      </c>
      <c r="AL380" s="6">
        <f>VLOOKUP(AK380,Sheet3!$A$1:$B$1113,2,FALSE)</f>
        <v>1.7200173254357789</v>
      </c>
      <c r="AM380" s="6">
        <f t="shared" si="41"/>
        <v>2.3536110917270481</v>
      </c>
    </row>
    <row r="381" spans="20:39" x14ac:dyDescent="0.3">
      <c r="T381" s="13"/>
      <c r="U381" s="13"/>
      <c r="V381" s="11"/>
      <c r="W381" s="11"/>
      <c r="X381" s="11"/>
      <c r="Y381" s="11"/>
      <c r="Z381" s="11"/>
      <c r="AC381">
        <f t="shared" si="40"/>
        <v>0</v>
      </c>
      <c r="AD381">
        <v>378</v>
      </c>
      <c r="AE381" s="4">
        <f t="shared" si="38"/>
        <v>42986</v>
      </c>
      <c r="AF381" s="6">
        <f t="shared" si="39"/>
        <v>0.29147320523379427</v>
      </c>
      <c r="AG381" s="4">
        <v>42986</v>
      </c>
      <c r="AH381" s="6">
        <v>-0.118751</v>
      </c>
      <c r="AI381" s="6">
        <v>0.73052899999999998</v>
      </c>
      <c r="AJ381" s="6">
        <v>1.2776719999999999</v>
      </c>
      <c r="AK381" s="4">
        <v>42986</v>
      </c>
      <c r="AL381" s="6">
        <f>VLOOKUP(AK381,Sheet3!$A$1:$B$1113,2,FALSE)</f>
        <v>1.725030715064803</v>
      </c>
      <c r="AM381" s="6">
        <f t="shared" si="41"/>
        <v>0.29147320523379427</v>
      </c>
    </row>
    <row r="382" spans="20:39" x14ac:dyDescent="0.3">
      <c r="T382" s="13"/>
      <c r="U382" s="13"/>
      <c r="V382" s="11"/>
      <c r="W382" s="11"/>
      <c r="X382" s="11"/>
      <c r="Y382" s="11"/>
      <c r="Z382" s="11"/>
      <c r="AC382">
        <f t="shared" si="40"/>
        <v>0</v>
      </c>
      <c r="AD382">
        <v>379</v>
      </c>
      <c r="AE382" s="4">
        <f t="shared" si="38"/>
        <v>42993</v>
      </c>
      <c r="AF382" s="6">
        <f t="shared" si="39"/>
        <v>0.51480554327447692</v>
      </c>
      <c r="AG382" s="4">
        <v>42993</v>
      </c>
      <c r="AH382" s="6">
        <v>0.138709</v>
      </c>
      <c r="AI382" s="6">
        <v>0.72801800000000005</v>
      </c>
      <c r="AJ382" s="6">
        <v>0.53286900000000004</v>
      </c>
      <c r="AK382" s="4">
        <v>42993</v>
      </c>
      <c r="AL382" s="6">
        <f>VLOOKUP(AK382,Sheet3!$A$1:$B$1113,2,FALSE)</f>
        <v>1.733911268809144</v>
      </c>
      <c r="AM382" s="6">
        <f t="shared" si="41"/>
        <v>0.51480554327447692</v>
      </c>
    </row>
    <row r="383" spans="20:39" x14ac:dyDescent="0.3">
      <c r="T383" s="13"/>
      <c r="U383" s="13"/>
      <c r="V383" s="11"/>
      <c r="W383" s="11"/>
      <c r="X383" s="11"/>
      <c r="Y383" s="11"/>
      <c r="Z383" s="11"/>
      <c r="AC383">
        <f t="shared" si="40"/>
        <v>0</v>
      </c>
      <c r="AD383">
        <v>380</v>
      </c>
      <c r="AE383" s="4">
        <f t="shared" si="38"/>
        <v>43000</v>
      </c>
      <c r="AF383" s="6">
        <f t="shared" si="39"/>
        <v>-1.1556792904499069E-2</v>
      </c>
      <c r="AG383" s="4">
        <v>43000</v>
      </c>
      <c r="AH383" s="6">
        <v>0.16793</v>
      </c>
      <c r="AI383" s="6">
        <v>-0.75556999999999996</v>
      </c>
      <c r="AJ383" s="6">
        <v>-0.39134099999999999</v>
      </c>
      <c r="AK383" s="4">
        <v>43000</v>
      </c>
      <c r="AL383" s="6">
        <f>VLOOKUP(AK383,Sheet3!$A$1:$B$1113,2,FALSE)</f>
        <v>1.73371088427466</v>
      </c>
      <c r="AM383" s="6">
        <f t="shared" si="41"/>
        <v>-1.1556792904499069E-2</v>
      </c>
    </row>
    <row r="384" spans="20:39" x14ac:dyDescent="0.3">
      <c r="T384" s="13"/>
      <c r="U384" s="13"/>
      <c r="V384" s="11"/>
      <c r="W384" s="11"/>
      <c r="X384" s="11"/>
      <c r="Y384" s="11"/>
      <c r="Z384" s="11"/>
      <c r="AC384">
        <f t="shared" si="40"/>
        <v>0</v>
      </c>
      <c r="AD384">
        <v>381</v>
      </c>
      <c r="AE384" s="4">
        <f t="shared" si="38"/>
        <v>43007</v>
      </c>
      <c r="AF384" s="6">
        <f t="shared" si="39"/>
        <v>0.95545467158621999</v>
      </c>
      <c r="AG384" s="4">
        <v>43007</v>
      </c>
      <c r="AH384" s="6">
        <v>-3.2027E-2</v>
      </c>
      <c r="AI384" s="6">
        <v>0.47548800000000002</v>
      </c>
      <c r="AJ384" s="6">
        <v>-9.0964000000000003E-2</v>
      </c>
      <c r="AK384" s="4">
        <v>43007</v>
      </c>
      <c r="AL384" s="6">
        <f>VLOOKUP(AK384,Sheet3!$A$1:$B$1113,2,FALSE)</f>
        <v>1.7502757059102609</v>
      </c>
      <c r="AM384" s="6">
        <f t="shared" si="41"/>
        <v>0.95545467158621999</v>
      </c>
    </row>
    <row r="385" spans="20:39" x14ac:dyDescent="0.3">
      <c r="T385" s="13"/>
      <c r="U385" s="13"/>
      <c r="V385" s="11"/>
      <c r="W385" s="11"/>
      <c r="X385" s="11"/>
      <c r="Y385" s="11"/>
      <c r="Z385" s="11"/>
      <c r="AC385">
        <f t="shared" si="40"/>
        <v>0</v>
      </c>
      <c r="AD385">
        <v>382</v>
      </c>
      <c r="AE385" s="4">
        <f t="shared" si="38"/>
        <v>43021</v>
      </c>
      <c r="AF385" s="6">
        <f t="shared" si="39"/>
        <v>1.9638838995452712</v>
      </c>
      <c r="AG385" s="4">
        <v>43021</v>
      </c>
      <c r="AH385" s="6">
        <v>2.2025380000000001</v>
      </c>
      <c r="AI385" s="6">
        <v>1.6137140000000001</v>
      </c>
      <c r="AJ385" s="6">
        <v>1.655491</v>
      </c>
      <c r="AK385" s="4">
        <v>43021</v>
      </c>
      <c r="AL385" s="6">
        <f>VLOOKUP(AK385,Sheet3!$A$1:$B$1113,2,FALSE)</f>
        <v>1.7846490886962849</v>
      </c>
      <c r="AM385" s="6">
        <f t="shared" si="41"/>
        <v>1.9638838995452712</v>
      </c>
    </row>
    <row r="386" spans="20:39" x14ac:dyDescent="0.3">
      <c r="T386" s="13"/>
      <c r="U386" s="13"/>
      <c r="V386" s="11"/>
      <c r="W386" s="11"/>
      <c r="X386" s="11"/>
      <c r="Y386" s="11"/>
      <c r="Z386" s="11"/>
      <c r="AC386">
        <f t="shared" si="40"/>
        <v>0</v>
      </c>
      <c r="AD386">
        <v>383</v>
      </c>
      <c r="AE386" s="4">
        <f t="shared" si="38"/>
        <v>43028</v>
      </c>
      <c r="AF386" s="6">
        <f t="shared" si="39"/>
        <v>-0.28886529939333716</v>
      </c>
      <c r="AG386" s="4">
        <v>43028</v>
      </c>
      <c r="AH386" s="6">
        <v>0.149204</v>
      </c>
      <c r="AI386" s="6">
        <v>-2.0625360000000001</v>
      </c>
      <c r="AJ386" s="6">
        <v>-2.7719490000000002</v>
      </c>
      <c r="AK386" s="4">
        <v>43028</v>
      </c>
      <c r="AL386" s="6">
        <f>VLOOKUP(AK386,Sheet3!$A$1:$B$1113,2,FALSE)</f>
        <v>1.779493856763102</v>
      </c>
      <c r="AM386" s="6">
        <f t="shared" si="41"/>
        <v>-0.28886529939333716</v>
      </c>
    </row>
    <row r="387" spans="20:39" x14ac:dyDescent="0.3">
      <c r="T387" s="13"/>
      <c r="U387" s="13"/>
      <c r="V387" s="11"/>
      <c r="W387" s="11"/>
      <c r="X387" s="11"/>
      <c r="Y387" s="11"/>
      <c r="Z387" s="11"/>
      <c r="AC387">
        <f t="shared" si="40"/>
        <v>0</v>
      </c>
      <c r="AD387">
        <v>384</v>
      </c>
      <c r="AE387" s="4">
        <f t="shared" si="38"/>
        <v>43035</v>
      </c>
      <c r="AF387" s="6">
        <f t="shared" si="39"/>
        <v>2.2003652835894449</v>
      </c>
      <c r="AG387" s="4">
        <v>43035</v>
      </c>
      <c r="AH387" s="6">
        <v>2.4221840000000001</v>
      </c>
      <c r="AI387" s="6">
        <v>0.90364999999999995</v>
      </c>
      <c r="AJ387" s="6">
        <v>0.24878900000000001</v>
      </c>
      <c r="AK387" s="4">
        <v>43035</v>
      </c>
      <c r="AL387" s="6">
        <f>VLOOKUP(AK387,Sheet3!$A$1:$B$1113,2,FALSE)</f>
        <v>1.818649221810924</v>
      </c>
      <c r="AM387" s="6">
        <f t="shared" si="41"/>
        <v>2.2003652835894449</v>
      </c>
    </row>
    <row r="388" spans="20:39" x14ac:dyDescent="0.3">
      <c r="T388" s="13"/>
      <c r="U388" s="13"/>
      <c r="V388" s="11"/>
      <c r="W388" s="11"/>
      <c r="X388" s="11"/>
      <c r="Y388" s="11"/>
      <c r="Z388" s="11"/>
      <c r="AC388">
        <f t="shared" si="40"/>
        <v>0</v>
      </c>
      <c r="AD388">
        <v>385</v>
      </c>
      <c r="AE388" s="4">
        <f t="shared" si="38"/>
        <v>43042</v>
      </c>
      <c r="AF388" s="6">
        <f t="shared" si="39"/>
        <v>-1.2216179154473483</v>
      </c>
      <c r="AG388" s="4">
        <v>43042</v>
      </c>
      <c r="AH388" s="6">
        <v>-0.727746</v>
      </c>
      <c r="AI388" s="6">
        <v>-3.0739369999999999</v>
      </c>
      <c r="AJ388" s="6">
        <v>-3.7799839999999998</v>
      </c>
      <c r="AK388" s="4">
        <v>43042</v>
      </c>
      <c r="AL388" s="6">
        <f>VLOOKUP(AK388,Sheet3!$A$1:$B$1113,2,FALSE)</f>
        <v>1.796432277098138</v>
      </c>
      <c r="AM388" s="6">
        <f t="shared" si="41"/>
        <v>-1.2216179154473483</v>
      </c>
    </row>
    <row r="389" spans="20:39" x14ac:dyDescent="0.3">
      <c r="T389" s="13"/>
      <c r="U389" s="13"/>
      <c r="V389" s="11"/>
      <c r="W389" s="11"/>
      <c r="X389" s="11"/>
      <c r="Y389" s="11"/>
      <c r="Z389" s="11"/>
      <c r="AC389">
        <f t="shared" si="40"/>
        <v>0</v>
      </c>
      <c r="AD389">
        <v>386</v>
      </c>
      <c r="AE389" s="4">
        <f t="shared" ref="AE389:AE452" si="42">AG389</f>
        <v>43049</v>
      </c>
      <c r="AF389" s="6">
        <f t="shared" ref="AF389:AF452" si="43">AM389</f>
        <v>3.8373278130445332</v>
      </c>
      <c r="AG389" s="4">
        <v>43049</v>
      </c>
      <c r="AH389" s="6">
        <v>2.9857830000000001</v>
      </c>
      <c r="AI389" s="6">
        <v>3.3333930000000001</v>
      </c>
      <c r="AJ389" s="6">
        <v>2.5811220000000001</v>
      </c>
      <c r="AK389" s="4">
        <v>43049</v>
      </c>
      <c r="AL389" s="6">
        <f>VLOOKUP(AK389,Sheet3!$A$1:$B$1113,2,FALSE)</f>
        <v>1.8653672725097341</v>
      </c>
      <c r="AM389" s="6">
        <f t="shared" si="41"/>
        <v>3.8373278130445332</v>
      </c>
    </row>
    <row r="390" spans="20:39" x14ac:dyDescent="0.3">
      <c r="T390" s="13"/>
      <c r="U390" s="13"/>
      <c r="V390" s="11"/>
      <c r="W390" s="11"/>
      <c r="X390" s="11"/>
      <c r="Y390" s="11"/>
      <c r="Z390" s="11"/>
      <c r="AC390">
        <f t="shared" ref="AC390:AC453" si="44">IF(AE390&lt;=AE389,1,0)</f>
        <v>0</v>
      </c>
      <c r="AD390">
        <v>387</v>
      </c>
      <c r="AE390" s="4">
        <f t="shared" si="42"/>
        <v>43056</v>
      </c>
      <c r="AF390" s="6">
        <f t="shared" si="43"/>
        <v>-2.1349660538145465</v>
      </c>
      <c r="AG390" s="4">
        <v>43056</v>
      </c>
      <c r="AH390" s="6">
        <v>0.21740699999999999</v>
      </c>
      <c r="AI390" s="6">
        <v>-4.2051769999999999</v>
      </c>
      <c r="AJ390" s="6">
        <v>-5.1801370000000002</v>
      </c>
      <c r="AK390" s="4">
        <v>43056</v>
      </c>
      <c r="AL390" s="6">
        <f>VLOOKUP(AK390,Sheet3!$A$1:$B$1113,2,FALSE)</f>
        <v>1.825542314462685</v>
      </c>
      <c r="AM390" s="6">
        <f t="shared" ref="AM390:AM453" si="45">(AL390/AL389-1)*100</f>
        <v>-2.1349660538145465</v>
      </c>
    </row>
    <row r="391" spans="20:39" x14ac:dyDescent="0.3">
      <c r="T391" s="13"/>
      <c r="U391" s="13"/>
      <c r="V391" s="11"/>
      <c r="W391" s="11"/>
      <c r="X391" s="11"/>
      <c r="Y391" s="11"/>
      <c r="Z391" s="11"/>
      <c r="AC391">
        <f t="shared" si="44"/>
        <v>0</v>
      </c>
      <c r="AD391">
        <v>388</v>
      </c>
      <c r="AE391" s="4">
        <f t="shared" si="42"/>
        <v>43063</v>
      </c>
      <c r="AF391" s="6">
        <f t="shared" si="43"/>
        <v>-1.8667067713953878</v>
      </c>
      <c r="AG391" s="4">
        <v>43063</v>
      </c>
      <c r="AH391" s="6">
        <v>-0.40398000000000001</v>
      </c>
      <c r="AI391" s="6">
        <v>-1.318981</v>
      </c>
      <c r="AJ391" s="6">
        <v>-1.8301909999999999</v>
      </c>
      <c r="AK391" s="4">
        <v>43063</v>
      </c>
      <c r="AL391" s="6">
        <f>VLOOKUP(AK391,Sheet3!$A$1:$B$1113,2,FALSE)</f>
        <v>1.791464792463922</v>
      </c>
      <c r="AM391" s="6">
        <f t="shared" si="45"/>
        <v>-1.8667067713953878</v>
      </c>
    </row>
    <row r="392" spans="20:39" x14ac:dyDescent="0.3">
      <c r="T392" s="13"/>
      <c r="U392" s="13"/>
      <c r="V392" s="11"/>
      <c r="W392" s="11"/>
      <c r="X392" s="11"/>
      <c r="Y392" s="11"/>
      <c r="Z392" s="11"/>
      <c r="AC392">
        <f t="shared" si="44"/>
        <v>0</v>
      </c>
      <c r="AD392">
        <v>389</v>
      </c>
      <c r="AE392" s="4">
        <f t="shared" si="42"/>
        <v>43070</v>
      </c>
      <c r="AF392" s="6">
        <f t="shared" si="43"/>
        <v>-1.0760033999472007</v>
      </c>
      <c r="AG392" s="4">
        <v>43070</v>
      </c>
      <c r="AH392" s="6">
        <v>-2.5843479999999999</v>
      </c>
      <c r="AI392" s="6">
        <v>0.61131500000000005</v>
      </c>
      <c r="AJ392" s="6">
        <v>1.0676159999999999</v>
      </c>
      <c r="AK392" s="4">
        <v>43070</v>
      </c>
      <c r="AL392" s="6">
        <f>VLOOKUP(AK392,Sheet3!$A$1:$B$1113,2,FALSE)</f>
        <v>1.772188570388153</v>
      </c>
      <c r="AM392" s="6">
        <f t="shared" si="45"/>
        <v>-1.0760033999472007</v>
      </c>
    </row>
    <row r="393" spans="20:39" x14ac:dyDescent="0.3">
      <c r="T393" s="13"/>
      <c r="U393" s="13"/>
      <c r="V393" s="11"/>
      <c r="W393" s="11"/>
      <c r="X393" s="11"/>
      <c r="Y393" s="11"/>
      <c r="Z393" s="11"/>
      <c r="AC393">
        <f t="shared" si="44"/>
        <v>0</v>
      </c>
      <c r="AD393">
        <v>390</v>
      </c>
      <c r="AE393" s="4">
        <f t="shared" si="42"/>
        <v>43077</v>
      </c>
      <c r="AF393" s="6">
        <f t="shared" si="43"/>
        <v>-0.28104660227095124</v>
      </c>
      <c r="AG393" s="4">
        <v>43077</v>
      </c>
      <c r="AH393" s="6">
        <v>0.131129</v>
      </c>
      <c r="AI393" s="6">
        <v>-1.7931699999999999</v>
      </c>
      <c r="AJ393" s="6">
        <v>-1.909357</v>
      </c>
      <c r="AK393" s="4">
        <v>43077</v>
      </c>
      <c r="AL393" s="6">
        <f>VLOOKUP(AK393,Sheet3!$A$1:$B$1113,2,FALSE)</f>
        <v>1.767207894625243</v>
      </c>
      <c r="AM393" s="6">
        <f t="shared" si="45"/>
        <v>-0.28104660227095124</v>
      </c>
    </row>
    <row r="394" spans="20:39" x14ac:dyDescent="0.3">
      <c r="T394" s="13"/>
      <c r="U394" s="13"/>
      <c r="V394" s="11"/>
      <c r="W394" s="11"/>
      <c r="X394" s="11"/>
      <c r="Y394" s="11"/>
      <c r="Z394" s="11"/>
      <c r="AC394">
        <f t="shared" si="44"/>
        <v>0</v>
      </c>
      <c r="AD394">
        <v>391</v>
      </c>
      <c r="AE394" s="4">
        <f t="shared" si="42"/>
        <v>43084</v>
      </c>
      <c r="AF394" s="6">
        <f t="shared" si="43"/>
        <v>0.63275729911902445</v>
      </c>
      <c r="AG394" s="4">
        <v>43084</v>
      </c>
      <c r="AH394" s="6">
        <v>-0.56261000000000005</v>
      </c>
      <c r="AI394" s="6">
        <v>0.52582200000000001</v>
      </c>
      <c r="AJ394" s="6">
        <v>0.63220299999999996</v>
      </c>
      <c r="AK394" s="4">
        <v>43084</v>
      </c>
      <c r="AL394" s="6">
        <f>VLOOKUP(AK394,Sheet3!$A$1:$B$1113,2,FALSE)</f>
        <v>1.7783900315690919</v>
      </c>
      <c r="AM394" s="6">
        <f t="shared" si="45"/>
        <v>0.63275729911902445</v>
      </c>
    </row>
    <row r="395" spans="20:39" x14ac:dyDescent="0.3">
      <c r="T395" s="13"/>
      <c r="U395" s="13"/>
      <c r="V395" s="11"/>
      <c r="W395" s="11"/>
      <c r="X395" s="11"/>
      <c r="Y395" s="11"/>
      <c r="Z395" s="11"/>
      <c r="AC395">
        <f t="shared" si="44"/>
        <v>0</v>
      </c>
      <c r="AD395">
        <v>392</v>
      </c>
      <c r="AE395" s="4">
        <f t="shared" si="42"/>
        <v>43091</v>
      </c>
      <c r="AF395" s="6">
        <f t="shared" si="43"/>
        <v>1.6017171778620387</v>
      </c>
      <c r="AG395" s="4">
        <v>43091</v>
      </c>
      <c r="AH395" s="6">
        <v>1.8524309999999999</v>
      </c>
      <c r="AI395" s="6">
        <v>0.114243</v>
      </c>
      <c r="AJ395" s="6">
        <v>-1.198283</v>
      </c>
      <c r="AK395" s="4">
        <v>43091</v>
      </c>
      <c r="AL395" s="6">
        <f>VLOOKUP(AK395,Sheet3!$A$1:$B$1113,2,FALSE)</f>
        <v>1.8068748101941201</v>
      </c>
      <c r="AM395" s="6">
        <f t="shared" si="45"/>
        <v>1.6017171778620387</v>
      </c>
    </row>
    <row r="396" spans="20:39" x14ac:dyDescent="0.3">
      <c r="T396" s="13"/>
      <c r="U396" s="13"/>
      <c r="V396" s="11"/>
      <c r="W396" s="11"/>
      <c r="X396" s="11"/>
      <c r="Y396" s="11"/>
      <c r="Z396" s="11"/>
      <c r="AC396">
        <f t="shared" si="44"/>
        <v>0</v>
      </c>
      <c r="AD396">
        <v>393</v>
      </c>
      <c r="AE396" s="4">
        <f t="shared" si="42"/>
        <v>43098</v>
      </c>
      <c r="AF396" s="6">
        <f t="shared" si="43"/>
        <v>-0.59277334575534857</v>
      </c>
      <c r="AG396" s="4">
        <v>43098</v>
      </c>
      <c r="AH396" s="6">
        <v>-0.58559399999999995</v>
      </c>
      <c r="AI396" s="6">
        <v>0.12712100000000001</v>
      </c>
      <c r="AJ396" s="6">
        <v>-0.28484999999999999</v>
      </c>
      <c r="AK396" s="4">
        <v>43098</v>
      </c>
      <c r="AL396" s="6">
        <f>VLOOKUP(AK396,Sheet3!$A$1:$B$1113,2,FALSE)</f>
        <v>1.7961641379281219</v>
      </c>
      <c r="AM396" s="6">
        <f t="shared" si="45"/>
        <v>-0.59277334575534857</v>
      </c>
    </row>
    <row r="397" spans="20:39" x14ac:dyDescent="0.3">
      <c r="T397" s="13"/>
      <c r="U397" s="13"/>
      <c r="V397" s="11"/>
      <c r="W397" s="11"/>
      <c r="X397" s="11"/>
      <c r="Y397" s="11"/>
      <c r="Z397" s="11"/>
      <c r="AC397">
        <f t="shared" si="44"/>
        <v>0</v>
      </c>
      <c r="AD397">
        <v>394</v>
      </c>
      <c r="AE397" s="4">
        <f t="shared" si="42"/>
        <v>43105</v>
      </c>
      <c r="AF397" s="6">
        <f t="shared" si="43"/>
        <v>2.2890634557757972</v>
      </c>
      <c r="AG397" s="4">
        <v>43105</v>
      </c>
      <c r="AH397" s="6">
        <v>2.676742</v>
      </c>
      <c r="AI397" s="6">
        <v>2.6625779999999999</v>
      </c>
      <c r="AJ397" s="6">
        <v>2.2731750000000002</v>
      </c>
      <c r="AK397" s="4">
        <v>43105</v>
      </c>
      <c r="AL397" s="6">
        <f>VLOOKUP(AK397,Sheet3!$A$1:$B$1113,2,FALSE)</f>
        <v>1.8372794748151851</v>
      </c>
      <c r="AM397" s="6">
        <f t="shared" si="45"/>
        <v>2.2890634557757972</v>
      </c>
    </row>
    <row r="398" spans="20:39" x14ac:dyDescent="0.3">
      <c r="T398" s="13"/>
      <c r="U398" s="13"/>
      <c r="V398" s="11"/>
      <c r="W398" s="11"/>
      <c r="X398" s="11"/>
      <c r="Y398" s="11"/>
      <c r="Z398" s="11"/>
      <c r="AC398">
        <f t="shared" si="44"/>
        <v>0</v>
      </c>
      <c r="AD398">
        <v>395</v>
      </c>
      <c r="AE398" s="4">
        <f t="shared" si="42"/>
        <v>43112</v>
      </c>
      <c r="AF398" s="6">
        <f t="shared" si="43"/>
        <v>0.5440153597845665</v>
      </c>
      <c r="AG398" s="4">
        <v>43112</v>
      </c>
      <c r="AH398" s="6">
        <v>2.083974</v>
      </c>
      <c r="AI398" s="6">
        <v>-0.27862399999999998</v>
      </c>
      <c r="AJ398" s="6">
        <v>-0.68330500000000005</v>
      </c>
      <c r="AK398" s="4">
        <v>43112</v>
      </c>
      <c r="AL398" s="6">
        <f>VLOOKUP(AK398,Sheet3!$A$1:$B$1113,2,FALSE)</f>
        <v>1.8472745573603491</v>
      </c>
      <c r="AM398" s="6">
        <f t="shared" si="45"/>
        <v>0.5440153597845665</v>
      </c>
    </row>
    <row r="399" spans="20:39" x14ac:dyDescent="0.3">
      <c r="T399" s="13"/>
      <c r="U399" s="13"/>
      <c r="V399" s="11"/>
      <c r="W399" s="11"/>
      <c r="X399" s="11"/>
      <c r="Y399" s="11"/>
      <c r="Z399" s="11"/>
      <c r="AC399">
        <f t="shared" si="44"/>
        <v>0</v>
      </c>
      <c r="AD399">
        <v>396</v>
      </c>
      <c r="AE399" s="4">
        <f t="shared" si="42"/>
        <v>43119</v>
      </c>
      <c r="AF399" s="6">
        <f t="shared" si="43"/>
        <v>-0.87276245150006426</v>
      </c>
      <c r="AG399" s="4">
        <v>43119</v>
      </c>
      <c r="AH399" s="6">
        <v>1.429443</v>
      </c>
      <c r="AI399" s="6">
        <v>-1.9844710000000001</v>
      </c>
      <c r="AJ399" s="6">
        <v>-2.6588229999999999</v>
      </c>
      <c r="AK399" s="4">
        <v>43119</v>
      </c>
      <c r="AL399" s="6">
        <f>VLOOKUP(AK399,Sheet3!$A$1:$B$1113,2,FALSE)</f>
        <v>1.831152238647594</v>
      </c>
      <c r="AM399" s="6">
        <f t="shared" si="45"/>
        <v>-0.87276245150006426</v>
      </c>
    </row>
    <row r="400" spans="20:39" x14ac:dyDescent="0.3">
      <c r="T400" s="13"/>
      <c r="U400" s="13"/>
      <c r="V400" s="11"/>
      <c r="W400" s="11"/>
      <c r="X400" s="11"/>
      <c r="Y400" s="11"/>
      <c r="Z400" s="11"/>
      <c r="AC400">
        <f t="shared" si="44"/>
        <v>0</v>
      </c>
      <c r="AD400">
        <v>397</v>
      </c>
      <c r="AE400" s="4">
        <f t="shared" si="42"/>
        <v>43126</v>
      </c>
      <c r="AF400" s="6">
        <f t="shared" si="43"/>
        <v>2.1695823735483843</v>
      </c>
      <c r="AG400" s="4">
        <v>43126</v>
      </c>
      <c r="AH400" s="6">
        <v>2.2379410000000002</v>
      </c>
      <c r="AI400" s="6">
        <v>1.773668</v>
      </c>
      <c r="AJ400" s="6">
        <v>1.696401</v>
      </c>
      <c r="AK400" s="4">
        <v>43126</v>
      </c>
      <c r="AL400" s="6">
        <f>VLOOKUP(AK400,Sheet3!$A$1:$B$1113,2,FALSE)</f>
        <v>1.870880594850129</v>
      </c>
      <c r="AM400" s="6">
        <f t="shared" si="45"/>
        <v>2.1695823735483843</v>
      </c>
    </row>
    <row r="401" spans="20:39" x14ac:dyDescent="0.3">
      <c r="T401" s="13"/>
      <c r="U401" s="13"/>
      <c r="V401" s="11"/>
      <c r="W401" s="11"/>
      <c r="X401" s="11"/>
      <c r="Y401" s="11"/>
      <c r="Z401" s="11"/>
      <c r="AC401">
        <f t="shared" si="44"/>
        <v>0</v>
      </c>
      <c r="AD401">
        <v>398</v>
      </c>
      <c r="AE401" s="4">
        <f t="shared" si="42"/>
        <v>43133</v>
      </c>
      <c r="AF401" s="6">
        <f t="shared" si="43"/>
        <v>-2.4950080626097493</v>
      </c>
      <c r="AG401" s="4">
        <v>43133</v>
      </c>
      <c r="AH401" s="6">
        <v>-2.5122</v>
      </c>
      <c r="AI401" s="6">
        <v>-5.9336419999999999</v>
      </c>
      <c r="AJ401" s="6">
        <v>-8.0519429999999996</v>
      </c>
      <c r="AK401" s="4">
        <v>43133</v>
      </c>
      <c r="AL401" s="6">
        <f>VLOOKUP(AK401,Sheet3!$A$1:$B$1113,2,FALSE)</f>
        <v>1.8242019731668171</v>
      </c>
      <c r="AM401" s="6">
        <f t="shared" si="45"/>
        <v>-2.4950080626097493</v>
      </c>
    </row>
    <row r="402" spans="20:39" x14ac:dyDescent="0.3">
      <c r="T402" s="13"/>
      <c r="U402" s="13"/>
      <c r="V402" s="11"/>
      <c r="W402" s="11"/>
      <c r="X402" s="11"/>
      <c r="Y402" s="11"/>
      <c r="Z402" s="11"/>
      <c r="AC402">
        <f t="shared" si="44"/>
        <v>0</v>
      </c>
      <c r="AD402">
        <v>399</v>
      </c>
      <c r="AE402" s="4">
        <f t="shared" si="42"/>
        <v>43140</v>
      </c>
      <c r="AF402" s="6">
        <f t="shared" si="43"/>
        <v>-8.9050042450550482</v>
      </c>
      <c r="AG402" s="4">
        <v>43140</v>
      </c>
      <c r="AH402" s="6">
        <v>-10.080928</v>
      </c>
      <c r="AI402" s="6">
        <v>-7.493144</v>
      </c>
      <c r="AJ402" s="6">
        <v>-6.7024600000000003</v>
      </c>
      <c r="AK402" s="4">
        <v>43140</v>
      </c>
      <c r="AL402" s="6">
        <f>VLOOKUP(AK402,Sheet3!$A$1:$B$1113,2,FALSE)</f>
        <v>1.661756710017934</v>
      </c>
      <c r="AM402" s="6">
        <f t="shared" si="45"/>
        <v>-8.9050042450550482</v>
      </c>
    </row>
    <row r="403" spans="20:39" x14ac:dyDescent="0.3">
      <c r="T403" s="13"/>
      <c r="U403" s="13"/>
      <c r="V403" s="11"/>
      <c r="W403" s="11"/>
      <c r="X403" s="11"/>
      <c r="Y403" s="11"/>
      <c r="Z403" s="11"/>
      <c r="AC403">
        <f t="shared" si="44"/>
        <v>0</v>
      </c>
      <c r="AD403">
        <v>400</v>
      </c>
      <c r="AE403" s="4">
        <f t="shared" si="42"/>
        <v>43145</v>
      </c>
      <c r="AF403" s="6">
        <f t="shared" si="43"/>
        <v>4.149218395005172</v>
      </c>
      <c r="AG403" s="4">
        <v>43145</v>
      </c>
      <c r="AH403" s="6">
        <v>3.2887300000000002</v>
      </c>
      <c r="AI403" s="6">
        <v>3.5992920000000002</v>
      </c>
      <c r="AJ403" s="6">
        <v>2.9347729999999999</v>
      </c>
      <c r="AK403" s="4">
        <v>43145</v>
      </c>
      <c r="AL403" s="6">
        <f>VLOOKUP(AK403,Sheet3!$A$1:$B$1113,2,FALSE)</f>
        <v>1.730706625110231</v>
      </c>
      <c r="AM403" s="6">
        <f t="shared" si="45"/>
        <v>4.149218395005172</v>
      </c>
    </row>
    <row r="404" spans="20:39" x14ac:dyDescent="0.3">
      <c r="T404" s="13"/>
      <c r="U404" s="13"/>
      <c r="V404" s="11"/>
      <c r="W404" s="11"/>
      <c r="X404" s="11"/>
      <c r="Y404" s="11"/>
      <c r="Z404" s="11"/>
      <c r="AC404">
        <f t="shared" si="44"/>
        <v>0</v>
      </c>
      <c r="AD404">
        <v>401</v>
      </c>
      <c r="AE404" s="4">
        <f t="shared" si="42"/>
        <v>43154</v>
      </c>
      <c r="AF404" s="6">
        <f t="shared" si="43"/>
        <v>2.4520236148666275</v>
      </c>
      <c r="AG404" s="4">
        <v>43154</v>
      </c>
      <c r="AH404" s="6">
        <v>2.6248680000000002</v>
      </c>
      <c r="AI404" s="6">
        <v>2.4821240000000002</v>
      </c>
      <c r="AJ404" s="6">
        <v>2.1707740000000002</v>
      </c>
      <c r="AK404" s="4">
        <v>43154</v>
      </c>
      <c r="AL404" s="6">
        <f>VLOOKUP(AK404,Sheet3!$A$1:$B$1113,2,FALSE)</f>
        <v>1.7731439602619949</v>
      </c>
      <c r="AM404" s="6">
        <f t="shared" si="45"/>
        <v>2.4520236148666275</v>
      </c>
    </row>
    <row r="405" spans="20:39" x14ac:dyDescent="0.3">
      <c r="T405" s="13"/>
      <c r="U405" s="13"/>
      <c r="V405" s="11"/>
      <c r="W405" s="11"/>
      <c r="X405" s="11"/>
      <c r="Y405" s="11"/>
      <c r="Z405" s="11"/>
      <c r="AC405">
        <f t="shared" si="44"/>
        <v>0</v>
      </c>
      <c r="AD405">
        <v>402</v>
      </c>
      <c r="AE405" s="4">
        <f t="shared" si="42"/>
        <v>43161</v>
      </c>
      <c r="AF405" s="6">
        <f t="shared" si="43"/>
        <v>-2.6722139773405207E-2</v>
      </c>
      <c r="AG405" s="4">
        <v>43161</v>
      </c>
      <c r="AH405" s="6">
        <v>-1.34185</v>
      </c>
      <c r="AI405" s="6">
        <v>2.6901929999999998</v>
      </c>
      <c r="AJ405" s="6">
        <v>4.1856489999999997</v>
      </c>
      <c r="AK405" s="4">
        <v>43161</v>
      </c>
      <c r="AL405" s="6">
        <f>VLOOKUP(AK405,Sheet3!$A$1:$B$1113,2,FALSE)</f>
        <v>1.77267013825455</v>
      </c>
      <c r="AM405" s="6">
        <f t="shared" si="45"/>
        <v>-2.6722139773405207E-2</v>
      </c>
    </row>
    <row r="406" spans="20:39" x14ac:dyDescent="0.3">
      <c r="T406" s="13"/>
      <c r="U406" s="13"/>
      <c r="V406" s="11"/>
      <c r="W406" s="11"/>
      <c r="X406" s="11"/>
      <c r="Y406" s="11"/>
      <c r="Z406" s="11"/>
      <c r="AC406">
        <f t="shared" si="44"/>
        <v>0</v>
      </c>
      <c r="AD406">
        <v>403</v>
      </c>
      <c r="AE406" s="4">
        <f t="shared" si="42"/>
        <v>43168</v>
      </c>
      <c r="AF406" s="6">
        <f t="shared" si="43"/>
        <v>2.3790108957972622</v>
      </c>
      <c r="AG406" s="4">
        <v>43168</v>
      </c>
      <c r="AH406" s="6">
        <v>2.300637</v>
      </c>
      <c r="AI406" s="6">
        <v>2.4873129999999999</v>
      </c>
      <c r="AJ406" s="6">
        <v>3.087208</v>
      </c>
      <c r="AK406" s="4">
        <v>43168</v>
      </c>
      <c r="AL406" s="6">
        <f>VLOOKUP(AK406,Sheet3!$A$1:$B$1113,2,FALSE)</f>
        <v>1.81484215399017</v>
      </c>
      <c r="AM406" s="6">
        <f t="shared" si="45"/>
        <v>2.3790108957972622</v>
      </c>
    </row>
    <row r="407" spans="20:39" x14ac:dyDescent="0.3">
      <c r="V407" s="11"/>
      <c r="W407" s="11"/>
      <c r="X407" s="11"/>
      <c r="Y407" s="11"/>
      <c r="Z407" s="11"/>
      <c r="AC407">
        <f t="shared" si="44"/>
        <v>0</v>
      </c>
      <c r="AD407">
        <v>404</v>
      </c>
      <c r="AE407" s="4">
        <f t="shared" si="42"/>
        <v>43175</v>
      </c>
      <c r="AF407" s="6">
        <f t="shared" si="43"/>
        <v>-1.1138481032961223</v>
      </c>
      <c r="AG407" s="4">
        <v>43175</v>
      </c>
      <c r="AH407" s="6">
        <v>-1.2763279999999999</v>
      </c>
      <c r="AI407" s="6">
        <v>-0.97744200000000003</v>
      </c>
      <c r="AJ407" s="6">
        <v>-0.45634400000000003</v>
      </c>
      <c r="AK407" s="4">
        <v>43175</v>
      </c>
      <c r="AL407" s="6">
        <f>VLOOKUP(AK407,Sheet3!$A$1:$B$1113,2,FALSE)</f>
        <v>1.7946275690801321</v>
      </c>
      <c r="AM407" s="6">
        <f t="shared" si="45"/>
        <v>-1.1138481032961223</v>
      </c>
    </row>
    <row r="408" spans="20:39" x14ac:dyDescent="0.3">
      <c r="V408" s="11"/>
      <c r="W408" s="11"/>
      <c r="X408" s="11"/>
      <c r="Y408" s="11"/>
      <c r="Z408" s="11"/>
      <c r="AC408">
        <f t="shared" si="44"/>
        <v>0</v>
      </c>
      <c r="AD408">
        <v>405</v>
      </c>
      <c r="AE408" s="4">
        <f t="shared" si="42"/>
        <v>43182</v>
      </c>
      <c r="AF408" s="6">
        <f t="shared" si="43"/>
        <v>-4.3934110207793475</v>
      </c>
      <c r="AG408" s="4">
        <v>43182</v>
      </c>
      <c r="AH408" s="6">
        <v>-3.7345000000000002</v>
      </c>
      <c r="AI408" s="6">
        <v>-5.8434039999999996</v>
      </c>
      <c r="AJ408" s="6">
        <v>-5.9217909999999998</v>
      </c>
      <c r="AK408" s="4">
        <v>43182</v>
      </c>
      <c r="AL408" s="6">
        <f>VLOOKUP(AK408,Sheet3!$A$1:$B$1113,2,FALSE)</f>
        <v>1.7157822036782211</v>
      </c>
      <c r="AM408" s="6">
        <f t="shared" si="45"/>
        <v>-4.3934110207793475</v>
      </c>
    </row>
    <row r="409" spans="20:39" x14ac:dyDescent="0.3">
      <c r="V409" s="11"/>
      <c r="W409" s="11"/>
      <c r="X409" s="11"/>
      <c r="Y409" s="11"/>
      <c r="Z409" s="11"/>
      <c r="AC409">
        <f t="shared" si="44"/>
        <v>0</v>
      </c>
      <c r="AD409">
        <v>406</v>
      </c>
      <c r="AE409" s="4">
        <f t="shared" si="42"/>
        <v>43189</v>
      </c>
      <c r="AF409" s="6">
        <f t="shared" si="43"/>
        <v>2.7991353901638982</v>
      </c>
      <c r="AG409" s="4">
        <v>43189</v>
      </c>
      <c r="AH409" s="6">
        <v>-0.16486300000000001</v>
      </c>
      <c r="AI409" s="6">
        <v>5.6605720000000002</v>
      </c>
      <c r="AJ409" s="6">
        <v>6.1811980000000002</v>
      </c>
      <c r="AK409" s="4">
        <v>43189</v>
      </c>
      <c r="AL409" s="6">
        <f>VLOOKUP(AK409,Sheet3!$A$1:$B$1113,2,FALSE)</f>
        <v>1.7638092705595121</v>
      </c>
      <c r="AM409" s="6">
        <f t="shared" si="45"/>
        <v>2.7991353901638982</v>
      </c>
    </row>
    <row r="410" spans="20:39" x14ac:dyDescent="0.3">
      <c r="V410" s="11"/>
      <c r="W410" s="11"/>
      <c r="X410" s="11"/>
      <c r="Y410" s="11"/>
      <c r="Z410" s="11"/>
      <c r="AC410">
        <f t="shared" si="44"/>
        <v>0</v>
      </c>
      <c r="AD410">
        <v>407</v>
      </c>
      <c r="AE410" s="4">
        <f t="shared" si="42"/>
        <v>43194</v>
      </c>
      <c r="AF410" s="6">
        <f t="shared" si="43"/>
        <v>-1.265105183625137</v>
      </c>
      <c r="AG410" s="4">
        <v>43194</v>
      </c>
      <c r="AH410" s="6">
        <v>-1.1192820000000001</v>
      </c>
      <c r="AI410" s="6">
        <v>-1.58718</v>
      </c>
      <c r="AJ410" s="6">
        <v>-1.32006</v>
      </c>
      <c r="AK410" s="4">
        <v>43194</v>
      </c>
      <c r="AL410" s="6">
        <f>VLOOKUP(AK410,Sheet3!$A$1:$B$1113,2,FALSE)</f>
        <v>1.7414952280484031</v>
      </c>
      <c r="AM410" s="6">
        <f t="shared" si="45"/>
        <v>-1.265105183625137</v>
      </c>
    </row>
    <row r="411" spans="20:39" x14ac:dyDescent="0.3">
      <c r="V411" s="11"/>
      <c r="W411" s="11"/>
      <c r="X411" s="11"/>
      <c r="Y411" s="11"/>
      <c r="Z411" s="11"/>
      <c r="AC411">
        <f t="shared" si="44"/>
        <v>0</v>
      </c>
      <c r="AD411">
        <v>408</v>
      </c>
      <c r="AE411" s="4">
        <f t="shared" si="42"/>
        <v>43203</v>
      </c>
      <c r="AF411" s="6">
        <f t="shared" si="43"/>
        <v>0.2947055422068745</v>
      </c>
      <c r="AG411" s="4">
        <v>43203</v>
      </c>
      <c r="AH411" s="6">
        <v>0.42237000000000002</v>
      </c>
      <c r="AI411" s="6">
        <v>0.15787499999999999</v>
      </c>
      <c r="AJ411" s="6">
        <v>0.189911</v>
      </c>
      <c r="AK411" s="4">
        <v>43203</v>
      </c>
      <c r="AL411" s="6">
        <f>VLOOKUP(AK411,Sheet3!$A$1:$B$1113,2,FALSE)</f>
        <v>1.7466275110027301</v>
      </c>
      <c r="AM411" s="6">
        <f t="shared" si="45"/>
        <v>0.2947055422068745</v>
      </c>
    </row>
    <row r="412" spans="20:39" x14ac:dyDescent="0.3">
      <c r="V412" s="11"/>
      <c r="W412" s="11"/>
      <c r="X412" s="11"/>
      <c r="Y412" s="11"/>
      <c r="Z412" s="11"/>
      <c r="AC412">
        <f t="shared" si="44"/>
        <v>0</v>
      </c>
      <c r="AD412">
        <v>409</v>
      </c>
      <c r="AE412" s="4">
        <f t="shared" si="42"/>
        <v>43210</v>
      </c>
      <c r="AF412" s="6">
        <f t="shared" si="43"/>
        <v>-2.3268288482922284</v>
      </c>
      <c r="AG412" s="4">
        <v>43210</v>
      </c>
      <c r="AH412" s="6">
        <v>-2.8490280000000001</v>
      </c>
      <c r="AI412" s="6">
        <v>-2.4281779999999999</v>
      </c>
      <c r="AJ412" s="6">
        <v>-2.7627030000000001</v>
      </c>
      <c r="AK412" s="4">
        <v>43210</v>
      </c>
      <c r="AL412" s="6">
        <f>VLOOKUP(AK412,Sheet3!$A$1:$B$1113,2,FALSE)</f>
        <v>1.70598647820451</v>
      </c>
      <c r="AM412" s="6">
        <f t="shared" si="45"/>
        <v>-2.3268288482922284</v>
      </c>
    </row>
    <row r="413" spans="20:39" x14ac:dyDescent="0.3">
      <c r="V413" s="11"/>
      <c r="W413" s="11"/>
      <c r="X413" s="11"/>
      <c r="Y413" s="11"/>
      <c r="Z413" s="11"/>
      <c r="AC413">
        <f t="shared" si="44"/>
        <v>0</v>
      </c>
      <c r="AD413">
        <v>410</v>
      </c>
      <c r="AE413" s="4">
        <f t="shared" si="42"/>
        <v>43217</v>
      </c>
      <c r="AF413" s="6">
        <f t="shared" si="43"/>
        <v>0.12726798658579952</v>
      </c>
      <c r="AG413" s="4">
        <v>43217</v>
      </c>
      <c r="AH413" s="6">
        <v>-0.105769</v>
      </c>
      <c r="AI413" s="6">
        <v>-0.33757599999999999</v>
      </c>
      <c r="AJ413" s="6">
        <v>-0.28931000000000001</v>
      </c>
      <c r="AK413" s="4">
        <v>43217</v>
      </c>
      <c r="AL413" s="6">
        <f>VLOOKUP(AK413,Sheet3!$A$1:$B$1113,2,FALSE)</f>
        <v>1.708157652846747</v>
      </c>
      <c r="AM413" s="6">
        <f t="shared" si="45"/>
        <v>0.12726798658579952</v>
      </c>
    </row>
    <row r="414" spans="20:39" x14ac:dyDescent="0.3">
      <c r="V414" s="11"/>
      <c r="W414" s="11"/>
      <c r="X414" s="11"/>
      <c r="Y414" s="11"/>
      <c r="Z414" s="11"/>
      <c r="AC414">
        <f t="shared" si="44"/>
        <v>0</v>
      </c>
      <c r="AD414">
        <v>411</v>
      </c>
      <c r="AE414" s="4">
        <f t="shared" si="42"/>
        <v>43224</v>
      </c>
      <c r="AF414" s="6">
        <f t="shared" si="43"/>
        <v>1.1935554094229861</v>
      </c>
      <c r="AG414" s="4">
        <v>43224</v>
      </c>
      <c r="AH414" s="6">
        <v>0.47171099999999999</v>
      </c>
      <c r="AI414" s="6">
        <v>0.82427799999999996</v>
      </c>
      <c r="AJ414" s="6">
        <v>0.21848400000000001</v>
      </c>
      <c r="AK414" s="4">
        <v>43224</v>
      </c>
      <c r="AL414" s="6">
        <f>VLOOKUP(AK414,Sheet3!$A$1:$B$1113,2,FALSE)</f>
        <v>1.728545460913772</v>
      </c>
      <c r="AM414" s="6">
        <f t="shared" si="45"/>
        <v>1.1935554094229861</v>
      </c>
    </row>
    <row r="415" spans="20:39" x14ac:dyDescent="0.3">
      <c r="V415" s="11"/>
      <c r="W415" s="11"/>
      <c r="X415" s="11"/>
      <c r="Y415" s="11"/>
      <c r="Z415" s="11"/>
      <c r="AC415">
        <f t="shared" si="44"/>
        <v>0</v>
      </c>
      <c r="AD415">
        <v>412</v>
      </c>
      <c r="AE415" s="4">
        <f t="shared" si="42"/>
        <v>43231</v>
      </c>
      <c r="AF415" s="6">
        <f t="shared" si="43"/>
        <v>1.7397003974325864</v>
      </c>
      <c r="AG415" s="4">
        <v>43231</v>
      </c>
      <c r="AH415" s="6">
        <v>2.6026660000000001</v>
      </c>
      <c r="AI415" s="6">
        <v>1.3884570000000001</v>
      </c>
      <c r="AJ415" s="6">
        <v>1.6148990000000001</v>
      </c>
      <c r="AK415" s="4">
        <v>43231</v>
      </c>
      <c r="AL415" s="6">
        <f>VLOOKUP(AK415,Sheet3!$A$1:$B$1113,2,FALSE)</f>
        <v>1.758616973167092</v>
      </c>
      <c r="AM415" s="6">
        <f t="shared" si="45"/>
        <v>1.7397003974325864</v>
      </c>
    </row>
    <row r="416" spans="20:39" x14ac:dyDescent="0.3">
      <c r="V416" s="11"/>
      <c r="W416" s="11"/>
      <c r="X416" s="11"/>
      <c r="Y416" s="11"/>
      <c r="Z416" s="11"/>
      <c r="AC416">
        <f t="shared" si="44"/>
        <v>0</v>
      </c>
      <c r="AD416">
        <v>413</v>
      </c>
      <c r="AE416" s="4">
        <f t="shared" si="42"/>
        <v>43238</v>
      </c>
      <c r="AF416" s="6">
        <f t="shared" si="43"/>
        <v>0.58237417584936502</v>
      </c>
      <c r="AG416" s="4">
        <v>43238</v>
      </c>
      <c r="AH416" s="6">
        <v>0.78044599999999997</v>
      </c>
      <c r="AI416" s="6">
        <v>6.3547000000000006E-2</v>
      </c>
      <c r="AJ416" s="6">
        <v>-0.24095900000000001</v>
      </c>
      <c r="AK416" s="4">
        <v>43238</v>
      </c>
      <c r="AL416" s="6">
        <f>VLOOKUP(AK416,Sheet3!$A$1:$B$1113,2,FALSE)</f>
        <v>1.768858704270921</v>
      </c>
      <c r="AM416" s="6">
        <f t="shared" si="45"/>
        <v>0.58237417584936502</v>
      </c>
    </row>
    <row r="417" spans="22:39" x14ac:dyDescent="0.3">
      <c r="V417" s="11"/>
      <c r="W417" s="11"/>
      <c r="X417" s="11"/>
      <c r="Y417" s="11"/>
      <c r="Z417" s="11"/>
      <c r="AC417">
        <f t="shared" si="44"/>
        <v>0</v>
      </c>
      <c r="AD417">
        <v>414</v>
      </c>
      <c r="AE417" s="4">
        <f t="shared" si="42"/>
        <v>43245</v>
      </c>
      <c r="AF417" s="6">
        <f t="shared" si="43"/>
        <v>-1.0643127876890368</v>
      </c>
      <c r="AG417" s="4">
        <v>43245</v>
      </c>
      <c r="AH417" s="6">
        <v>-2.2178909999999998</v>
      </c>
      <c r="AI417" s="6">
        <v>-1.290241</v>
      </c>
      <c r="AJ417" s="6">
        <v>-1.198123</v>
      </c>
      <c r="AK417" s="4">
        <v>43245</v>
      </c>
      <c r="AL417" s="6">
        <f>VLOOKUP(AK417,Sheet3!$A$1:$B$1113,2,FALSE)</f>
        <v>1.7500325148852149</v>
      </c>
      <c r="AM417" s="6">
        <f t="shared" si="45"/>
        <v>-1.0643127876890368</v>
      </c>
    </row>
    <row r="418" spans="22:39" x14ac:dyDescent="0.3">
      <c r="V418" s="11"/>
      <c r="W418" s="11"/>
      <c r="X418" s="11"/>
      <c r="Y418" s="11"/>
      <c r="Z418" s="11"/>
      <c r="AC418">
        <f t="shared" si="44"/>
        <v>0</v>
      </c>
      <c r="AD418">
        <v>415</v>
      </c>
      <c r="AE418" s="4">
        <f t="shared" si="42"/>
        <v>43252</v>
      </c>
      <c r="AF418" s="6">
        <f t="shared" si="43"/>
        <v>-1.8753489660033318</v>
      </c>
      <c r="AG418" s="4">
        <v>43252</v>
      </c>
      <c r="AH418" s="6">
        <v>-1.202906</v>
      </c>
      <c r="AI418" s="6">
        <v>-3.9319069999999998</v>
      </c>
      <c r="AJ418" s="6">
        <v>-4.551253</v>
      </c>
      <c r="AK418" s="4">
        <v>43252</v>
      </c>
      <c r="AL418" s="6">
        <f>VLOOKUP(AK418,Sheet3!$A$1:$B$1113,2,FALSE)</f>
        <v>1.7172132982125929</v>
      </c>
      <c r="AM418" s="6">
        <f t="shared" si="45"/>
        <v>-1.8753489660033318</v>
      </c>
    </row>
    <row r="419" spans="22:39" x14ac:dyDescent="0.3">
      <c r="V419" s="11"/>
      <c r="W419" s="11"/>
      <c r="X419" s="11"/>
      <c r="Y419" s="11"/>
      <c r="Z419" s="11"/>
      <c r="AC419">
        <f t="shared" si="44"/>
        <v>0</v>
      </c>
      <c r="AD419">
        <v>416</v>
      </c>
      <c r="AE419" s="4">
        <f t="shared" si="42"/>
        <v>43259</v>
      </c>
      <c r="AF419" s="6">
        <f t="shared" si="43"/>
        <v>1.1557925084525467</v>
      </c>
      <c r="AG419" s="4">
        <v>43259</v>
      </c>
      <c r="AH419" s="6">
        <v>0.2394</v>
      </c>
      <c r="AI419" s="6">
        <v>-0.27813700000000002</v>
      </c>
      <c r="AJ419" s="6">
        <v>-0.60502400000000001</v>
      </c>
      <c r="AK419" s="4">
        <v>43259</v>
      </c>
      <c r="AL419" s="6">
        <f>VLOOKUP(AK419,Sheet3!$A$1:$B$1113,2,FALSE)</f>
        <v>1.7370607208674851</v>
      </c>
      <c r="AM419" s="6">
        <f t="shared" si="45"/>
        <v>1.1557925084525467</v>
      </c>
    </row>
    <row r="420" spans="22:39" x14ac:dyDescent="0.3">
      <c r="V420" s="11"/>
      <c r="W420" s="11"/>
      <c r="X420" s="11"/>
      <c r="Y420" s="11"/>
      <c r="Z420" s="11"/>
      <c r="AC420">
        <f t="shared" si="44"/>
        <v>0</v>
      </c>
      <c r="AD420">
        <v>417</v>
      </c>
      <c r="AE420" s="4">
        <f t="shared" si="42"/>
        <v>43266</v>
      </c>
      <c r="AF420" s="6">
        <f t="shared" si="43"/>
        <v>-1.9528830414592635</v>
      </c>
      <c r="AG420" s="4">
        <v>43266</v>
      </c>
      <c r="AH420" s="6">
        <v>-0.69271899999999997</v>
      </c>
      <c r="AI420" s="6">
        <v>-3.2695110000000001</v>
      </c>
      <c r="AJ420" s="6">
        <v>-4.4776860000000003</v>
      </c>
      <c r="AK420" s="4">
        <v>43266</v>
      </c>
      <c r="AL420" s="6">
        <f>VLOOKUP(AK420,Sheet3!$A$1:$B$1113,2,FALSE)</f>
        <v>1.7031379566298139</v>
      </c>
      <c r="AM420" s="6">
        <f t="shared" si="45"/>
        <v>-1.9528830414592635</v>
      </c>
    </row>
    <row r="421" spans="22:39" x14ac:dyDescent="0.3">
      <c r="V421" s="11"/>
      <c r="W421" s="11"/>
      <c r="X421" s="11"/>
      <c r="Y421" s="11"/>
      <c r="Z421" s="11"/>
      <c r="AC421">
        <f t="shared" si="44"/>
        <v>0</v>
      </c>
      <c r="AD421">
        <v>418</v>
      </c>
      <c r="AE421" s="4">
        <f t="shared" si="42"/>
        <v>43273</v>
      </c>
      <c r="AF421" s="6">
        <f t="shared" si="43"/>
        <v>-2.8160979786213458</v>
      </c>
      <c r="AG421" s="4">
        <v>43273</v>
      </c>
      <c r="AH421" s="6">
        <v>-3.8505859999999998</v>
      </c>
      <c r="AI421" s="6">
        <v>-5.9049060000000004</v>
      </c>
      <c r="AJ421" s="6">
        <v>-6.5231709999999996</v>
      </c>
      <c r="AK421" s="4">
        <v>43273</v>
      </c>
      <c r="AL421" s="6">
        <f>VLOOKUP(AK421,Sheet3!$A$1:$B$1113,2,FALSE)</f>
        <v>1.6551759230600289</v>
      </c>
      <c r="AM421" s="6">
        <f t="shared" si="45"/>
        <v>-2.8160979786213458</v>
      </c>
    </row>
    <row r="422" spans="22:39" x14ac:dyDescent="0.3">
      <c r="AC422">
        <f t="shared" si="44"/>
        <v>0</v>
      </c>
      <c r="AD422">
        <v>419</v>
      </c>
      <c r="AE422" s="4">
        <f t="shared" si="42"/>
        <v>43280</v>
      </c>
      <c r="AF422" s="6">
        <f t="shared" si="43"/>
        <v>-0.61775147830948063</v>
      </c>
      <c r="AG422" s="4">
        <v>43280</v>
      </c>
      <c r="AH422" s="6">
        <v>-2.7132909999999999</v>
      </c>
      <c r="AI422" s="6">
        <v>1.117057</v>
      </c>
      <c r="AJ422" s="6">
        <v>1.2120029999999999</v>
      </c>
      <c r="AK422" s="4">
        <v>43280</v>
      </c>
      <c r="AL422" s="6">
        <f>VLOOKUP(AK422,Sheet3!$A$1:$B$1113,2,FALSE)</f>
        <v>1.644951049326703</v>
      </c>
      <c r="AM422" s="6">
        <f t="shared" si="45"/>
        <v>-0.61775147830948063</v>
      </c>
    </row>
    <row r="423" spans="22:39" x14ac:dyDescent="0.3">
      <c r="AC423">
        <f t="shared" si="44"/>
        <v>0</v>
      </c>
      <c r="AD423">
        <v>420</v>
      </c>
      <c r="AE423" s="4">
        <f t="shared" si="42"/>
        <v>43287</v>
      </c>
      <c r="AF423" s="6">
        <f t="shared" si="43"/>
        <v>-4.0713227895538999</v>
      </c>
      <c r="AG423" s="4">
        <v>43287</v>
      </c>
      <c r="AH423" s="6">
        <v>-4.1544420000000004</v>
      </c>
      <c r="AI423" s="6">
        <v>-4.2381060000000002</v>
      </c>
      <c r="AJ423" s="6">
        <v>-4.1714219999999997</v>
      </c>
      <c r="AK423" s="4">
        <v>43287</v>
      </c>
      <c r="AL423" s="6">
        <f>VLOOKUP(AK423,Sheet3!$A$1:$B$1113,2,FALSE)</f>
        <v>1.5779797823784589</v>
      </c>
      <c r="AM423" s="6">
        <f t="shared" si="45"/>
        <v>-4.0713227895538999</v>
      </c>
    </row>
    <row r="424" spans="22:39" x14ac:dyDescent="0.3">
      <c r="AC424">
        <f t="shared" si="44"/>
        <v>0</v>
      </c>
      <c r="AD424">
        <v>421</v>
      </c>
      <c r="AE424" s="4">
        <f t="shared" si="42"/>
        <v>43294</v>
      </c>
      <c r="AF424" s="6">
        <f t="shared" si="43"/>
        <v>5.4152228058852669</v>
      </c>
      <c r="AG424" s="4">
        <v>43294</v>
      </c>
      <c r="AH424" s="6">
        <v>3.7908569999999999</v>
      </c>
      <c r="AI424" s="6">
        <v>4.153912</v>
      </c>
      <c r="AJ424" s="6">
        <v>3.4812989999999999</v>
      </c>
      <c r="AK424" s="4">
        <v>43294</v>
      </c>
      <c r="AL424" s="6">
        <f>VLOOKUP(AK424,Sheet3!$A$1:$B$1113,2,FALSE)</f>
        <v>1.6634309034260759</v>
      </c>
      <c r="AM424" s="6">
        <f t="shared" si="45"/>
        <v>5.4152228058852669</v>
      </c>
    </row>
    <row r="425" spans="22:39" x14ac:dyDescent="0.3">
      <c r="AC425">
        <f t="shared" si="44"/>
        <v>0</v>
      </c>
      <c r="AD425">
        <v>422</v>
      </c>
      <c r="AE425" s="4">
        <f t="shared" si="42"/>
        <v>43298</v>
      </c>
      <c r="AF425" s="6">
        <f t="shared" si="43"/>
        <v>-0.52990101010779167</v>
      </c>
      <c r="AG425" s="4">
        <v>43298</v>
      </c>
      <c r="AH425" s="6">
        <v>-1.2400869999999999</v>
      </c>
      <c r="AI425" s="6">
        <v>-0.153503</v>
      </c>
      <c r="AJ425" s="6">
        <v>0.247923</v>
      </c>
      <c r="AK425" s="4">
        <v>43301</v>
      </c>
      <c r="AL425" s="6">
        <f>VLOOKUP(AK425,Sheet3!$A$1:$B$1113,2,FALSE)</f>
        <v>1.654616366266376</v>
      </c>
      <c r="AM425" s="6">
        <f t="shared" si="45"/>
        <v>-0.52990101010779167</v>
      </c>
    </row>
    <row r="426" spans="22:39" x14ac:dyDescent="0.3">
      <c r="AC426">
        <f t="shared" si="44"/>
        <v>1</v>
      </c>
      <c r="AD426">
        <v>423</v>
      </c>
      <c r="AE426" s="4">
        <f t="shared" si="42"/>
        <v>41719</v>
      </c>
      <c r="AF426" s="6">
        <f t="shared" si="43"/>
        <v>-40.093339050136755</v>
      </c>
      <c r="AG426" s="4">
        <v>41719</v>
      </c>
      <c r="AH426" s="6">
        <v>1.6940550000000001</v>
      </c>
      <c r="AI426" s="6">
        <v>1.630687</v>
      </c>
      <c r="AJ426" s="6">
        <v>1.77572</v>
      </c>
      <c r="AK426" s="4">
        <v>41719</v>
      </c>
      <c r="AL426" s="6">
        <f>VLOOKUP(AK426,Sheet3!$A$1:$B$1113,2,FALSE)</f>
        <v>0.99122541656014529</v>
      </c>
      <c r="AM426" s="6">
        <f t="shared" si="45"/>
        <v>-40.093339050136755</v>
      </c>
    </row>
    <row r="427" spans="22:39" x14ac:dyDescent="0.3">
      <c r="AC427">
        <f t="shared" si="44"/>
        <v>0</v>
      </c>
      <c r="AD427">
        <v>424</v>
      </c>
      <c r="AE427" s="4">
        <f t="shared" si="42"/>
        <v>41726</v>
      </c>
      <c r="AF427" s="6">
        <f t="shared" si="43"/>
        <v>-3.2986548732062415</v>
      </c>
      <c r="AG427" s="4">
        <v>41726</v>
      </c>
      <c r="AH427" s="6">
        <v>-0.31651899999999999</v>
      </c>
      <c r="AI427" s="6">
        <v>-2.2036530000000001</v>
      </c>
      <c r="AJ427" s="6">
        <v>-4.0703180000000003</v>
      </c>
      <c r="AK427" s="4">
        <v>41726</v>
      </c>
      <c r="AL427" s="6">
        <f>VLOOKUP(AK427,Sheet3!$A$1:$B$1113,2,FALSE)</f>
        <v>0.95852831105232517</v>
      </c>
      <c r="AM427" s="6">
        <f t="shared" si="45"/>
        <v>-3.2986548732062415</v>
      </c>
    </row>
    <row r="428" spans="22:39" x14ac:dyDescent="0.3">
      <c r="AC428">
        <f t="shared" si="44"/>
        <v>0</v>
      </c>
      <c r="AD428">
        <v>425</v>
      </c>
      <c r="AE428" s="4">
        <f t="shared" si="42"/>
        <v>41733</v>
      </c>
      <c r="AF428" s="6">
        <f t="shared" si="43"/>
        <v>1.6199670107311714</v>
      </c>
      <c r="AG428" s="4">
        <v>41733</v>
      </c>
      <c r="AH428" s="6">
        <v>1.557042</v>
      </c>
      <c r="AI428" s="6">
        <v>1.912765</v>
      </c>
      <c r="AJ428" s="6">
        <v>1.538897</v>
      </c>
      <c r="AK428" s="4">
        <v>41733</v>
      </c>
      <c r="AL428" s="6">
        <f>VLOOKUP(AK428,Sheet3!$A$1:$B$1113,2,FALSE)</f>
        <v>0.97405615347989161</v>
      </c>
      <c r="AM428" s="6">
        <f t="shared" si="45"/>
        <v>1.6199670107311714</v>
      </c>
    </row>
    <row r="429" spans="22:39" x14ac:dyDescent="0.3">
      <c r="AC429">
        <f t="shared" si="44"/>
        <v>0</v>
      </c>
      <c r="AD429">
        <v>426</v>
      </c>
      <c r="AE429" s="4">
        <f t="shared" si="42"/>
        <v>41740</v>
      </c>
      <c r="AF429" s="6">
        <f t="shared" si="43"/>
        <v>2.0376686596808025</v>
      </c>
      <c r="AG429" s="4">
        <v>41740</v>
      </c>
      <c r="AH429" s="6">
        <v>3.8981970000000001</v>
      </c>
      <c r="AI429" s="6">
        <v>2.0807370000000001</v>
      </c>
      <c r="AJ429" s="6">
        <v>1.666005</v>
      </c>
      <c r="AK429" s="4">
        <v>41740</v>
      </c>
      <c r="AL429" s="6">
        <f>VLOOKUP(AK429,Sheet3!$A$1:$B$1113,2,FALSE)</f>
        <v>0.9939041904470437</v>
      </c>
      <c r="AM429" s="6">
        <f t="shared" si="45"/>
        <v>2.0376686596808025</v>
      </c>
    </row>
    <row r="430" spans="22:39" x14ac:dyDescent="0.3">
      <c r="AC430">
        <f t="shared" si="44"/>
        <v>0</v>
      </c>
      <c r="AD430">
        <v>427</v>
      </c>
      <c r="AE430" s="4">
        <f t="shared" si="42"/>
        <v>41747</v>
      </c>
      <c r="AF430" s="6">
        <f t="shared" si="43"/>
        <v>-0.32194654834758474</v>
      </c>
      <c r="AG430" s="4">
        <v>41747</v>
      </c>
      <c r="AH430" s="6">
        <v>-2.0340729999999998</v>
      </c>
      <c r="AI430" s="6">
        <v>0.20063700000000001</v>
      </c>
      <c r="AJ430" s="6">
        <v>0.98693399999999998</v>
      </c>
      <c r="AK430" s="4">
        <v>41747</v>
      </c>
      <c r="AL430" s="6">
        <f>VLOOKUP(AK430,Sheet3!$A$1:$B$1113,2,FALSE)</f>
        <v>0.99070435021201741</v>
      </c>
      <c r="AM430" s="6">
        <f t="shared" si="45"/>
        <v>-0.32194654834758474</v>
      </c>
    </row>
    <row r="431" spans="22:39" x14ac:dyDescent="0.3">
      <c r="AC431">
        <f t="shared" si="44"/>
        <v>0</v>
      </c>
      <c r="AD431">
        <v>428</v>
      </c>
      <c r="AE431" s="4">
        <f t="shared" si="42"/>
        <v>41754</v>
      </c>
      <c r="AF431" s="6">
        <f t="shared" si="43"/>
        <v>-4.3703382838198408</v>
      </c>
      <c r="AG431" s="4">
        <v>41754</v>
      </c>
      <c r="AH431" s="6">
        <v>-2.546799</v>
      </c>
      <c r="AI431" s="6">
        <v>-5.6730239999999998</v>
      </c>
      <c r="AJ431" s="6">
        <v>-5.9067499999999997</v>
      </c>
      <c r="AK431" s="4">
        <v>41754</v>
      </c>
      <c r="AL431" s="6">
        <f>VLOOKUP(AK431,Sheet3!$A$1:$B$1113,2,FALSE)</f>
        <v>0.94740721871523303</v>
      </c>
      <c r="AM431" s="6">
        <f t="shared" si="45"/>
        <v>-4.3703382838198408</v>
      </c>
    </row>
    <row r="432" spans="22:39" x14ac:dyDescent="0.3">
      <c r="AC432">
        <f t="shared" si="44"/>
        <v>0</v>
      </c>
      <c r="AD432">
        <v>429</v>
      </c>
      <c r="AE432" s="4">
        <f t="shared" si="42"/>
        <v>41759</v>
      </c>
      <c r="AF432" s="6">
        <f t="shared" si="43"/>
        <v>-0.24948146062584442</v>
      </c>
      <c r="AG432" s="4">
        <v>41759</v>
      </c>
      <c r="AH432" s="6">
        <v>-0.42286600000000002</v>
      </c>
      <c r="AI432" s="6">
        <v>-0.90802099999999997</v>
      </c>
      <c r="AJ432" s="6">
        <v>-1.2509410000000001</v>
      </c>
      <c r="AK432" s="4">
        <v>41759</v>
      </c>
      <c r="AL432" s="6">
        <f>VLOOKUP(AK432,Sheet3!$A$1:$B$1113,2,FALSE)</f>
        <v>0.94504361334790754</v>
      </c>
      <c r="AM432" s="6">
        <f t="shared" si="45"/>
        <v>-0.24948146062584442</v>
      </c>
    </row>
    <row r="433" spans="29:39" x14ac:dyDescent="0.3">
      <c r="AC433">
        <f t="shared" si="44"/>
        <v>0</v>
      </c>
      <c r="AD433">
        <v>430</v>
      </c>
      <c r="AE433" s="4">
        <f t="shared" si="42"/>
        <v>41768</v>
      </c>
      <c r="AF433" s="6">
        <f t="shared" si="43"/>
        <v>-1.3553105804293142</v>
      </c>
      <c r="AG433" s="4">
        <v>41768</v>
      </c>
      <c r="AH433" s="6">
        <v>-1.146452</v>
      </c>
      <c r="AI433" s="6">
        <v>-1.3315380000000001</v>
      </c>
      <c r="AJ433" s="6">
        <v>-0.96062000000000003</v>
      </c>
      <c r="AK433" s="4">
        <v>41768</v>
      </c>
      <c r="AL433" s="6">
        <f>VLOOKUP(AK433,Sheet3!$A$1:$B$1113,2,FALSE)</f>
        <v>0.93223533726653185</v>
      </c>
      <c r="AM433" s="6">
        <f t="shared" si="45"/>
        <v>-1.3553105804293142</v>
      </c>
    </row>
    <row r="434" spans="29:39" x14ac:dyDescent="0.3">
      <c r="AC434">
        <f t="shared" si="44"/>
        <v>0</v>
      </c>
      <c r="AD434">
        <v>431</v>
      </c>
      <c r="AE434" s="4">
        <f t="shared" si="42"/>
        <v>41775</v>
      </c>
      <c r="AF434" s="6">
        <f t="shared" si="43"/>
        <v>-0.659565494850467</v>
      </c>
      <c r="AG434" s="4">
        <v>41775</v>
      </c>
      <c r="AH434" s="6">
        <v>0.56426900000000002</v>
      </c>
      <c r="AI434" s="6">
        <v>0.28616599999999998</v>
      </c>
      <c r="AJ434" s="6">
        <v>-0.215671</v>
      </c>
      <c r="AK434" s="4">
        <v>41775</v>
      </c>
      <c r="AL434" s="6">
        <f>VLOOKUP(AK434,Sheet3!$A$1:$B$1113,2,FALSE)</f>
        <v>0.92608663465111896</v>
      </c>
      <c r="AM434" s="6">
        <f t="shared" si="45"/>
        <v>-0.659565494850467</v>
      </c>
    </row>
    <row r="435" spans="29:39" x14ac:dyDescent="0.3">
      <c r="AC435">
        <f t="shared" si="44"/>
        <v>0</v>
      </c>
      <c r="AD435">
        <v>432</v>
      </c>
      <c r="AE435" s="4">
        <f t="shared" si="42"/>
        <v>41782</v>
      </c>
      <c r="AF435" s="6">
        <f t="shared" si="43"/>
        <v>1.9913390462354297</v>
      </c>
      <c r="AG435" s="4">
        <v>41782</v>
      </c>
      <c r="AH435" s="6">
        <v>0.114728</v>
      </c>
      <c r="AI435" s="6">
        <v>1.6075269999999999</v>
      </c>
      <c r="AJ435" s="6">
        <v>2.466119</v>
      </c>
      <c r="AK435" s="4">
        <v>41782</v>
      </c>
      <c r="AL435" s="6">
        <f>VLOOKUP(AK435,Sheet3!$A$1:$B$1113,2,FALSE)</f>
        <v>0.94452815940889434</v>
      </c>
      <c r="AM435" s="6">
        <f t="shared" si="45"/>
        <v>1.9913390462354297</v>
      </c>
    </row>
    <row r="436" spans="29:39" x14ac:dyDescent="0.3">
      <c r="AC436">
        <f t="shared" si="44"/>
        <v>0</v>
      </c>
      <c r="AD436">
        <v>433</v>
      </c>
      <c r="AE436" s="4">
        <f t="shared" si="42"/>
        <v>41789</v>
      </c>
      <c r="AF436" s="6">
        <f t="shared" si="43"/>
        <v>1.2209511897382619</v>
      </c>
      <c r="AG436" s="4">
        <v>41789</v>
      </c>
      <c r="AH436" s="6">
        <v>0.374695</v>
      </c>
      <c r="AI436" s="6">
        <v>1.127011</v>
      </c>
      <c r="AJ436" s="6">
        <v>1.435365</v>
      </c>
      <c r="AK436" s="4">
        <v>41789</v>
      </c>
      <c r="AL436" s="6">
        <f>VLOOKUP(AK436,Sheet3!$A$1:$B$1113,2,FALSE)</f>
        <v>0.95606038720861009</v>
      </c>
      <c r="AM436" s="6">
        <f t="shared" si="45"/>
        <v>1.2209511897382619</v>
      </c>
    </row>
    <row r="437" spans="29:39" x14ac:dyDescent="0.3">
      <c r="AC437">
        <f t="shared" si="44"/>
        <v>0</v>
      </c>
      <c r="AD437">
        <v>434</v>
      </c>
      <c r="AE437" s="4">
        <f t="shared" si="42"/>
        <v>41796</v>
      </c>
      <c r="AF437" s="6">
        <f t="shared" si="43"/>
        <v>8.7179036178697267E-2</v>
      </c>
      <c r="AG437" s="4">
        <v>41796</v>
      </c>
      <c r="AH437" s="6">
        <v>-1.0085029999999999</v>
      </c>
      <c r="AI437" s="6">
        <v>-0.28478300000000001</v>
      </c>
      <c r="AJ437" s="6">
        <v>0.30286800000000003</v>
      </c>
      <c r="AK437" s="4">
        <v>41796</v>
      </c>
      <c r="AL437" s="6">
        <f>VLOOKUP(AK437,Sheet3!$A$1:$B$1113,2,FALSE)</f>
        <v>0.9568938714394648</v>
      </c>
      <c r="AM437" s="6">
        <f t="shared" si="45"/>
        <v>8.7179036178697267E-2</v>
      </c>
    </row>
    <row r="438" spans="29:39" x14ac:dyDescent="0.3">
      <c r="AC438">
        <f t="shared" si="44"/>
        <v>0</v>
      </c>
      <c r="AD438">
        <v>435</v>
      </c>
      <c r="AE438" s="4">
        <f t="shared" si="42"/>
        <v>41803</v>
      </c>
      <c r="AF438" s="6">
        <f t="shared" si="43"/>
        <v>1.932226229367795</v>
      </c>
      <c r="AG438" s="4">
        <v>41803</v>
      </c>
      <c r="AH438" s="6">
        <v>1.9452700000000001</v>
      </c>
      <c r="AI438" s="6">
        <v>1.9176949999999999</v>
      </c>
      <c r="AJ438" s="6">
        <v>2.235093</v>
      </c>
      <c r="AK438" s="4">
        <v>41803</v>
      </c>
      <c r="AL438" s="6">
        <f>VLOOKUP(AK438,Sheet3!$A$1:$B$1113,2,FALSE)</f>
        <v>0.97538322581063119</v>
      </c>
      <c r="AM438" s="6">
        <f t="shared" si="45"/>
        <v>1.932226229367795</v>
      </c>
    </row>
    <row r="439" spans="29:39" x14ac:dyDescent="0.3">
      <c r="AC439">
        <f t="shared" si="44"/>
        <v>0</v>
      </c>
      <c r="AD439">
        <v>436</v>
      </c>
      <c r="AE439" s="4">
        <f t="shared" si="42"/>
        <v>41810</v>
      </c>
      <c r="AF439" s="6">
        <f t="shared" si="43"/>
        <v>-2.1546988834426517</v>
      </c>
      <c r="AG439" s="4">
        <v>41810</v>
      </c>
      <c r="AH439" s="6">
        <v>-1.815653</v>
      </c>
      <c r="AI439" s="6">
        <v>-2.6265839999999998</v>
      </c>
      <c r="AJ439" s="6">
        <v>-2.7578619999999998</v>
      </c>
      <c r="AK439" s="4">
        <v>41810</v>
      </c>
      <c r="AL439" s="6">
        <f>VLOOKUP(AK439,Sheet3!$A$1:$B$1113,2,FALSE)</f>
        <v>0.95436665433480261</v>
      </c>
      <c r="AM439" s="6">
        <f t="shared" si="45"/>
        <v>-2.1546988834426517</v>
      </c>
    </row>
    <row r="440" spans="29:39" x14ac:dyDescent="0.3">
      <c r="AC440">
        <f t="shared" si="44"/>
        <v>0</v>
      </c>
      <c r="AD440">
        <v>437</v>
      </c>
      <c r="AE440" s="4">
        <f t="shared" si="42"/>
        <v>41817</v>
      </c>
      <c r="AF440" s="6">
        <f t="shared" si="43"/>
        <v>2.4370683560020368</v>
      </c>
      <c r="AG440" s="4">
        <v>41817</v>
      </c>
      <c r="AH440" s="6">
        <v>0.63316399999999995</v>
      </c>
      <c r="AI440" s="6">
        <v>2.6384789999999998</v>
      </c>
      <c r="AJ440" s="6">
        <v>4.1944400000000002</v>
      </c>
      <c r="AK440" s="4">
        <v>41817</v>
      </c>
      <c r="AL440" s="6">
        <f>VLOOKUP(AK440,Sheet3!$A$1:$B$1113,2,FALSE)</f>
        <v>0.97762522206783142</v>
      </c>
      <c r="AM440" s="6">
        <f t="shared" si="45"/>
        <v>2.4370683560020368</v>
      </c>
    </row>
    <row r="441" spans="29:39" x14ac:dyDescent="0.3">
      <c r="AC441">
        <f t="shared" si="44"/>
        <v>0</v>
      </c>
      <c r="AD441">
        <v>438</v>
      </c>
      <c r="AE441" s="4">
        <f t="shared" si="42"/>
        <v>41824</v>
      </c>
      <c r="AF441" s="6">
        <f t="shared" si="43"/>
        <v>1.7430726831490606</v>
      </c>
      <c r="AG441" s="4">
        <v>41824</v>
      </c>
      <c r="AH441" s="6">
        <v>1.322492</v>
      </c>
      <c r="AI441" s="6">
        <v>2.9629319999999999</v>
      </c>
      <c r="AJ441" s="6">
        <v>3.0667080000000002</v>
      </c>
      <c r="AK441" s="4">
        <v>41824</v>
      </c>
      <c r="AL441" s="6">
        <f>VLOOKUP(AK441,Sheet3!$A$1:$B$1113,2,FALSE)</f>
        <v>0.99466594025727106</v>
      </c>
      <c r="AM441" s="6">
        <f t="shared" si="45"/>
        <v>1.7430726831490606</v>
      </c>
    </row>
    <row r="442" spans="29:39" x14ac:dyDescent="0.3">
      <c r="AC442">
        <f t="shared" si="44"/>
        <v>0</v>
      </c>
      <c r="AD442">
        <v>439</v>
      </c>
      <c r="AE442" s="4">
        <f t="shared" si="42"/>
        <v>41831</v>
      </c>
      <c r="AF442" s="6">
        <f t="shared" si="43"/>
        <v>-1.3317423733596012</v>
      </c>
      <c r="AG442" s="4">
        <v>41831</v>
      </c>
      <c r="AH442" s="6">
        <v>-1.408458</v>
      </c>
      <c r="AI442" s="6">
        <v>0.62903299999999995</v>
      </c>
      <c r="AJ442" s="6">
        <v>-0.229208</v>
      </c>
      <c r="AK442" s="4">
        <v>41831</v>
      </c>
      <c r="AL442" s="6">
        <f>VLOOKUP(AK442,Sheet3!$A$1:$B$1113,2,FALSE)</f>
        <v>0.98141955245748924</v>
      </c>
      <c r="AM442" s="6">
        <f t="shared" si="45"/>
        <v>-1.3317423733596012</v>
      </c>
    </row>
    <row r="443" spans="29:39" x14ac:dyDescent="0.3">
      <c r="AC443">
        <f t="shared" si="44"/>
        <v>0</v>
      </c>
      <c r="AD443">
        <v>440</v>
      </c>
      <c r="AE443" s="4">
        <f t="shared" si="42"/>
        <v>41838</v>
      </c>
      <c r="AF443" s="6">
        <f t="shared" si="43"/>
        <v>-0.57864655651973518</v>
      </c>
      <c r="AG443" s="4">
        <v>41838</v>
      </c>
      <c r="AH443" s="6">
        <v>0.75116099999999997</v>
      </c>
      <c r="AI443" s="6">
        <v>0.31689299999999998</v>
      </c>
      <c r="AJ443" s="6">
        <v>-1.115748</v>
      </c>
      <c r="AK443" s="4">
        <v>41838</v>
      </c>
      <c r="AL443" s="6">
        <f>VLOOKUP(AK443,Sheet3!$A$1:$B$1113,2,FALSE)</f>
        <v>0.9757406020121826</v>
      </c>
      <c r="AM443" s="6">
        <f t="shared" si="45"/>
        <v>-0.57864655651973518</v>
      </c>
    </row>
    <row r="444" spans="29:39" x14ac:dyDescent="0.3">
      <c r="AC444">
        <f t="shared" si="44"/>
        <v>0</v>
      </c>
      <c r="AD444">
        <v>441</v>
      </c>
      <c r="AE444" s="4">
        <f t="shared" si="42"/>
        <v>41845</v>
      </c>
      <c r="AF444" s="6">
        <f t="shared" si="43"/>
        <v>0.99075409115891855</v>
      </c>
      <c r="AG444" s="4">
        <v>41845</v>
      </c>
      <c r="AH444" s="6">
        <v>4.4502579999999998</v>
      </c>
      <c r="AI444" s="6">
        <v>1.169567</v>
      </c>
      <c r="AJ444" s="6">
        <v>-0.22479199999999999</v>
      </c>
      <c r="AK444" s="4">
        <v>41845</v>
      </c>
      <c r="AL444" s="6">
        <f>VLOOKUP(AK444,Sheet3!$A$1:$B$1113,2,FALSE)</f>
        <v>0.98540779194571704</v>
      </c>
      <c r="AM444" s="6">
        <f t="shared" si="45"/>
        <v>0.99075409115891855</v>
      </c>
    </row>
    <row r="445" spans="29:39" x14ac:dyDescent="0.3">
      <c r="AC445">
        <f t="shared" si="44"/>
        <v>0</v>
      </c>
      <c r="AD445">
        <v>442</v>
      </c>
      <c r="AE445" s="4">
        <f t="shared" si="42"/>
        <v>41852</v>
      </c>
      <c r="AF445" s="6">
        <f t="shared" si="43"/>
        <v>2.3482577796054782</v>
      </c>
      <c r="AG445" s="4">
        <v>41852</v>
      </c>
      <c r="AH445" s="6">
        <v>3.0501839999999998</v>
      </c>
      <c r="AI445" s="6">
        <v>2.9443489999999999</v>
      </c>
      <c r="AJ445" s="6">
        <v>3.19028</v>
      </c>
      <c r="AK445" s="4">
        <v>41852</v>
      </c>
      <c r="AL445" s="6">
        <f>VLOOKUP(AK445,Sheet3!$A$1:$B$1113,2,FALSE)</f>
        <v>1.008547707080921</v>
      </c>
      <c r="AM445" s="6">
        <f t="shared" si="45"/>
        <v>2.3482577796054782</v>
      </c>
    </row>
    <row r="446" spans="29:39" x14ac:dyDescent="0.3">
      <c r="AC446">
        <f t="shared" si="44"/>
        <v>0</v>
      </c>
      <c r="AD446">
        <v>443</v>
      </c>
      <c r="AE446" s="4">
        <f t="shared" si="42"/>
        <v>41859</v>
      </c>
      <c r="AF446" s="6">
        <f t="shared" si="43"/>
        <v>1.4176087769581347</v>
      </c>
      <c r="AG446" s="4">
        <v>41859</v>
      </c>
      <c r="AH446" s="6">
        <v>7.4354000000000003E-2</v>
      </c>
      <c r="AI446" s="6">
        <v>2.4102779999999999</v>
      </c>
      <c r="AJ446" s="6">
        <v>2.969932</v>
      </c>
      <c r="AK446" s="4">
        <v>41859</v>
      </c>
      <c r="AL446" s="6">
        <f>VLOOKUP(AK446,Sheet3!$A$1:$B$1113,2,FALSE)</f>
        <v>1.0228449678963101</v>
      </c>
      <c r="AM446" s="6">
        <f t="shared" si="45"/>
        <v>1.4176087769581347</v>
      </c>
    </row>
    <row r="447" spans="29:39" x14ac:dyDescent="0.3">
      <c r="AC447">
        <f t="shared" si="44"/>
        <v>0</v>
      </c>
      <c r="AD447">
        <v>444</v>
      </c>
      <c r="AE447" s="4">
        <f t="shared" si="42"/>
        <v>41866</v>
      </c>
      <c r="AF447" s="6">
        <f t="shared" si="43"/>
        <v>1.5334686151584842</v>
      </c>
      <c r="AG447" s="4">
        <v>41866</v>
      </c>
      <c r="AH447" s="6">
        <v>1.2655209999999999</v>
      </c>
      <c r="AI447" s="6">
        <v>2.5961699999999999</v>
      </c>
      <c r="AJ447" s="6">
        <v>2.9489049999999999</v>
      </c>
      <c r="AK447" s="4">
        <v>41866</v>
      </c>
      <c r="AL447" s="6">
        <f>VLOOKUP(AK447,Sheet3!$A$1:$B$1113,2,FALSE)</f>
        <v>1.0385299744607279</v>
      </c>
      <c r="AM447" s="6">
        <f t="shared" si="45"/>
        <v>1.5334686151584842</v>
      </c>
    </row>
    <row r="448" spans="29:39" x14ac:dyDescent="0.3">
      <c r="AC448">
        <f t="shared" si="44"/>
        <v>0</v>
      </c>
      <c r="AD448">
        <v>445</v>
      </c>
      <c r="AE448" s="4">
        <f t="shared" si="42"/>
        <v>41873</v>
      </c>
      <c r="AF448" s="6">
        <f t="shared" si="43"/>
        <v>1.5465394737526061</v>
      </c>
      <c r="AG448" s="4">
        <v>41873</v>
      </c>
      <c r="AH448" s="6">
        <v>0.20032700000000001</v>
      </c>
      <c r="AI448" s="6">
        <v>2.217994</v>
      </c>
      <c r="AJ448" s="6">
        <v>3.071834</v>
      </c>
      <c r="AK448" s="4">
        <v>41873</v>
      </c>
      <c r="AL448" s="6">
        <f>VLOOKUP(AK448,Sheet3!$A$1:$B$1113,2,FALSE)</f>
        <v>1.0545912504625159</v>
      </c>
      <c r="AM448" s="6">
        <f t="shared" si="45"/>
        <v>1.5465394737526061</v>
      </c>
    </row>
    <row r="449" spans="29:39" x14ac:dyDescent="0.3">
      <c r="AC449">
        <f t="shared" si="44"/>
        <v>0</v>
      </c>
      <c r="AD449">
        <v>446</v>
      </c>
      <c r="AE449" s="4">
        <f t="shared" si="42"/>
        <v>41880</v>
      </c>
      <c r="AF449" s="6">
        <f t="shared" si="43"/>
        <v>-1.2266406900514726</v>
      </c>
      <c r="AG449" s="4">
        <v>41880</v>
      </c>
      <c r="AH449" s="6">
        <v>-1.1447290000000001</v>
      </c>
      <c r="AI449" s="6">
        <v>-2.0760320000000001</v>
      </c>
      <c r="AJ449" s="6">
        <v>-1.866004</v>
      </c>
      <c r="AK449" s="4">
        <v>41880</v>
      </c>
      <c r="AL449" s="6">
        <f>VLOOKUP(AK449,Sheet3!$A$1:$B$1113,2,FALSE)</f>
        <v>1.04165520507062</v>
      </c>
      <c r="AM449" s="6">
        <f t="shared" si="45"/>
        <v>-1.2266406900514726</v>
      </c>
    </row>
    <row r="450" spans="29:39" x14ac:dyDescent="0.3">
      <c r="AC450">
        <f t="shared" si="44"/>
        <v>0</v>
      </c>
      <c r="AD450">
        <v>447</v>
      </c>
      <c r="AE450" s="4">
        <f t="shared" si="42"/>
        <v>41887</v>
      </c>
      <c r="AF450" s="6">
        <f t="shared" si="43"/>
        <v>4.1237552390138266</v>
      </c>
      <c r="AG450" s="4">
        <v>41887</v>
      </c>
      <c r="AH450" s="6">
        <v>4.7458669999999996</v>
      </c>
      <c r="AI450" s="6">
        <v>5.3884720000000002</v>
      </c>
      <c r="AJ450" s="6">
        <v>5.5620940000000001</v>
      </c>
      <c r="AK450" s="4">
        <v>41887</v>
      </c>
      <c r="AL450" s="6">
        <f>VLOOKUP(AK450,Sheet3!$A$1:$B$1113,2,FALSE)</f>
        <v>1.08461051616218</v>
      </c>
      <c r="AM450" s="6">
        <f t="shared" si="45"/>
        <v>4.1237552390138266</v>
      </c>
    </row>
    <row r="451" spans="29:39" x14ac:dyDescent="0.3">
      <c r="AC451">
        <f t="shared" si="44"/>
        <v>0</v>
      </c>
      <c r="AD451">
        <v>448</v>
      </c>
      <c r="AE451" s="4">
        <f t="shared" si="42"/>
        <v>41894</v>
      </c>
      <c r="AF451" s="6">
        <f t="shared" si="43"/>
        <v>0.95822291312857022</v>
      </c>
      <c r="AG451" s="4">
        <v>41894</v>
      </c>
      <c r="AH451" s="6">
        <v>-0.445073</v>
      </c>
      <c r="AI451" s="6">
        <v>1.9388300000000001</v>
      </c>
      <c r="AJ451" s="6">
        <v>2.434952</v>
      </c>
      <c r="AK451" s="4">
        <v>41894</v>
      </c>
      <c r="AL451" s="6">
        <f>VLOOKUP(AK451,Sheet3!$A$1:$B$1113,2,FALSE)</f>
        <v>1.0950035026462479</v>
      </c>
      <c r="AM451" s="6">
        <f t="shared" si="45"/>
        <v>0.95822291312857022</v>
      </c>
    </row>
    <row r="452" spans="29:39" x14ac:dyDescent="0.3">
      <c r="AC452">
        <f t="shared" si="44"/>
        <v>0</v>
      </c>
      <c r="AD452">
        <v>449</v>
      </c>
      <c r="AE452" s="4">
        <f t="shared" si="42"/>
        <v>41901</v>
      </c>
      <c r="AF452" s="6">
        <f t="shared" si="43"/>
        <v>-0.47396898252074493</v>
      </c>
      <c r="AG452" s="4">
        <v>41901</v>
      </c>
      <c r="AH452" s="6">
        <v>-0.53917400000000004</v>
      </c>
      <c r="AI452" s="6">
        <v>3.7377000000000001E-2</v>
      </c>
      <c r="AJ452" s="6">
        <v>0.135155</v>
      </c>
      <c r="AK452" s="4">
        <v>41901</v>
      </c>
      <c r="AL452" s="6">
        <f>VLOOKUP(AK452,Sheet3!$A$1:$B$1113,2,FALSE)</f>
        <v>1.0898135256861889</v>
      </c>
      <c r="AM452" s="6">
        <f t="shared" si="45"/>
        <v>-0.47396898252074493</v>
      </c>
    </row>
    <row r="453" spans="29:39" x14ac:dyDescent="0.3">
      <c r="AC453">
        <f t="shared" si="44"/>
        <v>0</v>
      </c>
      <c r="AD453">
        <v>450</v>
      </c>
      <c r="AE453" s="4">
        <f t="shared" ref="AE453:AE516" si="46">AG453</f>
        <v>41908</v>
      </c>
      <c r="AF453" s="6">
        <f t="shared" ref="AF453:AF516" si="47">AM453</f>
        <v>1.1979431490642289</v>
      </c>
      <c r="AG453" s="4">
        <v>41908</v>
      </c>
      <c r="AH453" s="6">
        <v>0.49439</v>
      </c>
      <c r="AI453" s="6">
        <v>1.496367</v>
      </c>
      <c r="AJ453" s="6">
        <v>2.4762119999999999</v>
      </c>
      <c r="AK453" s="4">
        <v>41908</v>
      </c>
      <c r="AL453" s="6">
        <f>VLOOKUP(AK453,Sheet3!$A$1:$B$1113,2,FALSE)</f>
        <v>1.102868872154722</v>
      </c>
      <c r="AM453" s="6">
        <f t="shared" si="45"/>
        <v>1.1979431490642289</v>
      </c>
    </row>
    <row r="454" spans="29:39" x14ac:dyDescent="0.3">
      <c r="AC454">
        <f t="shared" ref="AC454:AC517" si="48">IF(AE454&lt;=AE453,1,0)</f>
        <v>0</v>
      </c>
      <c r="AD454">
        <v>451</v>
      </c>
      <c r="AE454" s="4">
        <f t="shared" si="46"/>
        <v>41912</v>
      </c>
      <c r="AF454" s="6">
        <f t="shared" si="47"/>
        <v>1.1056136979616715</v>
      </c>
      <c r="AG454" s="4">
        <v>41912</v>
      </c>
      <c r="AH454" s="6">
        <v>0.56569000000000003</v>
      </c>
      <c r="AI454" s="6">
        <v>1.7843720000000001</v>
      </c>
      <c r="AJ454" s="6">
        <v>1.856619</v>
      </c>
      <c r="AK454" s="4">
        <v>41912</v>
      </c>
      <c r="AL454" s="6">
        <f>VLOOKUP(AK454,Sheet3!$A$1:$B$1113,2,FALSE)</f>
        <v>1.1150623414758201</v>
      </c>
      <c r="AM454" s="6">
        <f t="shared" ref="AM454:AM517" si="49">(AL454/AL453-1)*100</f>
        <v>1.1056136979616715</v>
      </c>
    </row>
    <row r="455" spans="29:39" x14ac:dyDescent="0.3">
      <c r="AC455">
        <f t="shared" si="48"/>
        <v>0</v>
      </c>
      <c r="AD455">
        <v>452</v>
      </c>
      <c r="AE455" s="4">
        <f t="shared" si="46"/>
        <v>41922</v>
      </c>
      <c r="AF455" s="6">
        <f t="shared" si="47"/>
        <v>0.62833220416966817</v>
      </c>
      <c r="AG455" s="4">
        <v>41922</v>
      </c>
      <c r="AH455" s="6">
        <v>0.644679</v>
      </c>
      <c r="AI455" s="6">
        <v>1.3371120000000001</v>
      </c>
      <c r="AJ455" s="6">
        <v>1.4663299999999999</v>
      </c>
      <c r="AK455" s="4">
        <v>41922</v>
      </c>
      <c r="AL455" s="6">
        <f>VLOOKUP(AK455,Sheet3!$A$1:$B$1113,2,FALSE)</f>
        <v>1.1220686372638811</v>
      </c>
      <c r="AM455" s="6">
        <f t="shared" si="49"/>
        <v>0.62833220416966817</v>
      </c>
    </row>
    <row r="456" spans="29:39" x14ac:dyDescent="0.3">
      <c r="AC456">
        <f t="shared" si="48"/>
        <v>0</v>
      </c>
      <c r="AD456">
        <v>453</v>
      </c>
      <c r="AE456" s="4">
        <f t="shared" si="46"/>
        <v>41929</v>
      </c>
      <c r="AF456" s="6">
        <f t="shared" si="47"/>
        <v>-2.0550068626629114</v>
      </c>
      <c r="AG456" s="4">
        <v>41929</v>
      </c>
      <c r="AH456" s="6">
        <v>-1.015774</v>
      </c>
      <c r="AI456" s="6">
        <v>-2.431244</v>
      </c>
      <c r="AJ456" s="6">
        <v>-2.546414</v>
      </c>
      <c r="AK456" s="4">
        <v>41929</v>
      </c>
      <c r="AL456" s="6">
        <f>VLOOKUP(AK456,Sheet3!$A$1:$B$1113,2,FALSE)</f>
        <v>1.09901004976432</v>
      </c>
      <c r="AM456" s="6">
        <f t="shared" si="49"/>
        <v>-2.0550068626629114</v>
      </c>
    </row>
    <row r="457" spans="29:39" x14ac:dyDescent="0.3">
      <c r="AC457">
        <f t="shared" si="48"/>
        <v>0</v>
      </c>
      <c r="AD457">
        <v>454</v>
      </c>
      <c r="AE457" s="4">
        <f t="shared" si="46"/>
        <v>41936</v>
      </c>
      <c r="AF457" s="6">
        <f t="shared" si="47"/>
        <v>-1.42400418817209</v>
      </c>
      <c r="AG457" s="4">
        <v>41936</v>
      </c>
      <c r="AH457" s="6">
        <v>-2.0897459999999999</v>
      </c>
      <c r="AI457" s="6">
        <v>-1.7706390000000001</v>
      </c>
      <c r="AJ457" s="6">
        <v>-1.9268590000000001</v>
      </c>
      <c r="AK457" s="4">
        <v>41936</v>
      </c>
      <c r="AL457" s="6">
        <f>VLOOKUP(AK457,Sheet3!$A$1:$B$1113,2,FALSE)</f>
        <v>1.083360100627244</v>
      </c>
      <c r="AM457" s="6">
        <f t="shared" si="49"/>
        <v>-1.42400418817209</v>
      </c>
    </row>
    <row r="458" spans="29:39" x14ac:dyDescent="0.3">
      <c r="AC458">
        <f t="shared" si="48"/>
        <v>0</v>
      </c>
      <c r="AD458">
        <v>455</v>
      </c>
      <c r="AE458" s="4">
        <f t="shared" si="46"/>
        <v>41943</v>
      </c>
      <c r="AF458" s="6">
        <f t="shared" si="47"/>
        <v>3.2239240648979317</v>
      </c>
      <c r="AG458" s="4">
        <v>41943</v>
      </c>
      <c r="AH458" s="6">
        <v>4.9198440000000003</v>
      </c>
      <c r="AI458" s="6">
        <v>4.4348650000000003</v>
      </c>
      <c r="AJ458" s="6">
        <v>4.4881739999999999</v>
      </c>
      <c r="AK458" s="4">
        <v>41943</v>
      </c>
      <c r="AL458" s="6">
        <f>VLOOKUP(AK458,Sheet3!$A$1:$B$1113,2,FALSE)</f>
        <v>1.1182868076208681</v>
      </c>
      <c r="AM458" s="6">
        <f t="shared" si="49"/>
        <v>3.2239240648979317</v>
      </c>
    </row>
    <row r="459" spans="29:39" x14ac:dyDescent="0.3">
      <c r="AC459">
        <f t="shared" si="48"/>
        <v>0</v>
      </c>
      <c r="AD459">
        <v>456</v>
      </c>
      <c r="AE459" s="4">
        <f t="shared" si="46"/>
        <v>41950</v>
      </c>
      <c r="AF459" s="6">
        <f t="shared" si="47"/>
        <v>5.5967104215004504E-2</v>
      </c>
      <c r="AG459" s="4">
        <v>41950</v>
      </c>
      <c r="AH459" s="6">
        <v>-0.246061</v>
      </c>
      <c r="AI459" s="6">
        <v>-0.18371899999999999</v>
      </c>
      <c r="AJ459" s="6">
        <v>0.314998</v>
      </c>
      <c r="AK459" s="4">
        <v>41950</v>
      </c>
      <c r="AL459" s="6">
        <f>VLOOKUP(AK459,Sheet3!$A$1:$B$1113,2,FALSE)</f>
        <v>1.118912680363912</v>
      </c>
      <c r="AM459" s="6">
        <f t="shared" si="49"/>
        <v>5.5967104215004504E-2</v>
      </c>
    </row>
    <row r="460" spans="29:39" x14ac:dyDescent="0.3">
      <c r="AC460">
        <f t="shared" si="48"/>
        <v>0</v>
      </c>
      <c r="AD460">
        <v>457</v>
      </c>
      <c r="AE460" s="4">
        <f t="shared" si="46"/>
        <v>41957</v>
      </c>
      <c r="AF460" s="6">
        <f t="shared" si="47"/>
        <v>-1.4345241069325887</v>
      </c>
      <c r="AG460" s="4">
        <v>41957</v>
      </c>
      <c r="AH460" s="6">
        <v>3.1548829999999999</v>
      </c>
      <c r="AI460" s="6">
        <v>-1.359103</v>
      </c>
      <c r="AJ460" s="6">
        <v>-3.5118040000000001</v>
      </c>
      <c r="AK460" s="4">
        <v>41957</v>
      </c>
      <c r="AL460" s="6">
        <f>VLOOKUP(AK460,Sheet3!$A$1:$B$1113,2,FALSE)</f>
        <v>1.102861608228566</v>
      </c>
      <c r="AM460" s="6">
        <f t="shared" si="49"/>
        <v>-1.4345241069325887</v>
      </c>
    </row>
    <row r="461" spans="29:39" x14ac:dyDescent="0.3">
      <c r="AC461">
        <f t="shared" si="48"/>
        <v>0</v>
      </c>
      <c r="AD461">
        <v>458</v>
      </c>
      <c r="AE461" s="4">
        <f t="shared" si="46"/>
        <v>41964</v>
      </c>
      <c r="AF461" s="6">
        <f t="shared" si="47"/>
        <v>2.1971533805255961</v>
      </c>
      <c r="AG461" s="4">
        <v>41964</v>
      </c>
      <c r="AH461" s="6">
        <v>9.1511999999999996E-2</v>
      </c>
      <c r="AI461" s="6">
        <v>2.447527</v>
      </c>
      <c r="AJ461" s="6">
        <v>3.8494060000000001</v>
      </c>
      <c r="AK461" s="4">
        <v>41964</v>
      </c>
      <c r="AL461" s="6">
        <f>VLOOKUP(AK461,Sheet3!$A$1:$B$1113,2,FALSE)</f>
        <v>1.1270931693362789</v>
      </c>
      <c r="AM461" s="6">
        <f t="shared" si="49"/>
        <v>2.1971533805255961</v>
      </c>
    </row>
    <row r="462" spans="29:39" x14ac:dyDescent="0.3">
      <c r="AC462">
        <f t="shared" si="48"/>
        <v>0</v>
      </c>
      <c r="AD462">
        <v>459</v>
      </c>
      <c r="AE462" s="4">
        <f t="shared" si="46"/>
        <v>41971</v>
      </c>
      <c r="AF462" s="6">
        <f t="shared" si="47"/>
        <v>5.0060574387854162</v>
      </c>
      <c r="AG462" s="4">
        <v>41971</v>
      </c>
      <c r="AH462" s="6">
        <v>8.723357</v>
      </c>
      <c r="AI462" s="6">
        <v>4.2843679999999997</v>
      </c>
      <c r="AJ462" s="6">
        <v>3.8029579999999998</v>
      </c>
      <c r="AK462" s="4">
        <v>41971</v>
      </c>
      <c r="AL462" s="6">
        <f>VLOOKUP(AK462,Sheet3!$A$1:$B$1113,2,FALSE)</f>
        <v>1.18351610078188</v>
      </c>
      <c r="AM462" s="6">
        <f t="shared" si="49"/>
        <v>5.0060574387854162</v>
      </c>
    </row>
    <row r="463" spans="29:39" x14ac:dyDescent="0.3">
      <c r="AC463">
        <f t="shared" si="48"/>
        <v>0</v>
      </c>
      <c r="AD463">
        <v>460</v>
      </c>
      <c r="AE463" s="4">
        <f t="shared" si="46"/>
        <v>41978</v>
      </c>
      <c r="AF463" s="6">
        <f t="shared" si="47"/>
        <v>3.8257561406426221</v>
      </c>
      <c r="AG463" s="4">
        <v>41978</v>
      </c>
      <c r="AH463" s="6">
        <v>11.25263</v>
      </c>
      <c r="AI463" s="6">
        <v>1.6896180000000001</v>
      </c>
      <c r="AJ463" s="6">
        <v>-0.247279</v>
      </c>
      <c r="AK463" s="4">
        <v>41978</v>
      </c>
      <c r="AL463" s="6">
        <f>VLOOKUP(AK463,Sheet3!$A$1:$B$1113,2,FALSE)</f>
        <v>1.228794540683037</v>
      </c>
      <c r="AM463" s="6">
        <f t="shared" si="49"/>
        <v>3.8257561406426221</v>
      </c>
    </row>
    <row r="464" spans="29:39" x14ac:dyDescent="0.3">
      <c r="AC464">
        <f t="shared" si="48"/>
        <v>0</v>
      </c>
      <c r="AD464">
        <v>461</v>
      </c>
      <c r="AE464" s="4">
        <f t="shared" si="46"/>
        <v>41985</v>
      </c>
      <c r="AF464" s="6">
        <f t="shared" si="47"/>
        <v>0.36411161002596337</v>
      </c>
      <c r="AG464" s="4">
        <v>41985</v>
      </c>
      <c r="AH464" s="6">
        <v>2.1870240000000001</v>
      </c>
      <c r="AI464" s="6">
        <v>2.9867119999999998</v>
      </c>
      <c r="AJ464" s="6">
        <v>1.2859769999999999</v>
      </c>
      <c r="AK464" s="4">
        <v>41985</v>
      </c>
      <c r="AL464" s="6">
        <f>VLOOKUP(AK464,Sheet3!$A$1:$B$1113,2,FALSE)</f>
        <v>1.233268724269029</v>
      </c>
      <c r="AM464" s="6">
        <f t="shared" si="49"/>
        <v>0.36411161002596337</v>
      </c>
    </row>
    <row r="465" spans="29:39" x14ac:dyDescent="0.3">
      <c r="AC465">
        <f t="shared" si="48"/>
        <v>0</v>
      </c>
      <c r="AD465">
        <v>462</v>
      </c>
      <c r="AE465" s="4">
        <f t="shared" si="46"/>
        <v>41992</v>
      </c>
      <c r="AF465" s="6">
        <f t="shared" si="47"/>
        <v>1.4095502781865665</v>
      </c>
      <c r="AG465" s="4">
        <v>41992</v>
      </c>
      <c r="AH465" s="6">
        <v>5.9482150000000003</v>
      </c>
      <c r="AI465" s="6">
        <v>0.56291400000000003</v>
      </c>
      <c r="AJ465" s="6">
        <v>-1.637049</v>
      </c>
      <c r="AK465" s="4">
        <v>41992</v>
      </c>
      <c r="AL465" s="6">
        <f>VLOOKUP(AK465,Sheet3!$A$1:$B$1113,2,FALSE)</f>
        <v>1.2506522670027509</v>
      </c>
      <c r="AM465" s="6">
        <f t="shared" si="49"/>
        <v>1.4095502781865665</v>
      </c>
    </row>
    <row r="466" spans="29:39" x14ac:dyDescent="0.3">
      <c r="AC466">
        <f t="shared" si="48"/>
        <v>0</v>
      </c>
      <c r="AD466">
        <v>463</v>
      </c>
      <c r="AE466" s="4">
        <f t="shared" si="46"/>
        <v>41999</v>
      </c>
      <c r="AF466" s="6">
        <f t="shared" si="47"/>
        <v>-1.0462012826766065</v>
      </c>
      <c r="AG466" s="4">
        <v>41999</v>
      </c>
      <c r="AH466" s="6">
        <v>1.852465</v>
      </c>
      <c r="AI466" s="6">
        <v>-1.8350610000000001</v>
      </c>
      <c r="AJ466" s="6">
        <v>-3.170312</v>
      </c>
      <c r="AK466" s="4">
        <v>41999</v>
      </c>
      <c r="AL466" s="6">
        <f>VLOOKUP(AK466,Sheet3!$A$1:$B$1113,2,FALSE)</f>
        <v>1.237567926943544</v>
      </c>
      <c r="AM466" s="6">
        <f t="shared" si="49"/>
        <v>-1.0462012826766065</v>
      </c>
    </row>
    <row r="467" spans="29:39" x14ac:dyDescent="0.3">
      <c r="AC467">
        <f t="shared" si="48"/>
        <v>0</v>
      </c>
      <c r="AD467">
        <v>464</v>
      </c>
      <c r="AE467" s="4">
        <f t="shared" si="46"/>
        <v>42004</v>
      </c>
      <c r="AF467" s="6">
        <f t="shared" si="47"/>
        <v>0.1004467513524121</v>
      </c>
      <c r="AG467" s="4">
        <v>42004</v>
      </c>
      <c r="AH467" s="6">
        <v>2.5499160000000001</v>
      </c>
      <c r="AI467" s="6">
        <v>-1.844765</v>
      </c>
      <c r="AJ467" s="6">
        <v>-3.3111660000000001</v>
      </c>
      <c r="AK467" s="4">
        <v>42004</v>
      </c>
      <c r="AL467" s="6">
        <f>VLOOKUP(AK467,Sheet3!$A$1:$B$1113,2,FALSE)</f>
        <v>1.2388110237219381</v>
      </c>
      <c r="AM467" s="6">
        <f t="shared" si="49"/>
        <v>0.1004467513524121</v>
      </c>
    </row>
    <row r="468" spans="29:39" x14ac:dyDescent="0.3">
      <c r="AC468">
        <f t="shared" si="48"/>
        <v>0</v>
      </c>
      <c r="AD468">
        <v>465</v>
      </c>
      <c r="AE468" s="4">
        <f t="shared" si="46"/>
        <v>42013</v>
      </c>
      <c r="AF468" s="6">
        <f t="shared" si="47"/>
        <v>1.2152076625880914</v>
      </c>
      <c r="AG468" s="4">
        <v>42013</v>
      </c>
      <c r="AH468" s="6">
        <v>0.36839499999999997</v>
      </c>
      <c r="AI468" s="6">
        <v>1.62218</v>
      </c>
      <c r="AJ468" s="6">
        <v>1.6672199999999999</v>
      </c>
      <c r="AK468" s="4">
        <v>42013</v>
      </c>
      <c r="AL468" s="6">
        <f>VLOOKUP(AK468,Sheet3!$A$1:$B$1113,2,FALSE)</f>
        <v>1.2538651502071929</v>
      </c>
      <c r="AM468" s="6">
        <f t="shared" si="49"/>
        <v>1.2152076625880914</v>
      </c>
    </row>
    <row r="469" spans="29:39" x14ac:dyDescent="0.3">
      <c r="AC469">
        <f t="shared" si="48"/>
        <v>0</v>
      </c>
      <c r="AD469">
        <v>466</v>
      </c>
      <c r="AE469" s="4">
        <f t="shared" si="46"/>
        <v>42020</v>
      </c>
      <c r="AF469" s="6">
        <f t="shared" si="47"/>
        <v>3.1763740014012498</v>
      </c>
      <c r="AG469" s="4">
        <v>42020</v>
      </c>
      <c r="AH469" s="6">
        <v>2.49309</v>
      </c>
      <c r="AI469" s="6">
        <v>2.053315</v>
      </c>
      <c r="AJ469" s="6">
        <v>2.0245229999999999</v>
      </c>
      <c r="AK469" s="4">
        <v>42020</v>
      </c>
      <c r="AL469" s="6">
        <f>VLOOKUP(AK469,Sheet3!$A$1:$B$1113,2,FALSE)</f>
        <v>1.2936925968510049</v>
      </c>
      <c r="AM469" s="6">
        <f t="shared" si="49"/>
        <v>3.1763740014012498</v>
      </c>
    </row>
    <row r="470" spans="29:39" x14ac:dyDescent="0.3">
      <c r="AC470">
        <f t="shared" si="48"/>
        <v>0</v>
      </c>
      <c r="AD470">
        <v>467</v>
      </c>
      <c r="AE470" s="4">
        <f t="shared" si="46"/>
        <v>42027</v>
      </c>
      <c r="AF470" s="6">
        <f t="shared" si="47"/>
        <v>1.1366101505589254</v>
      </c>
      <c r="AG470" s="4">
        <v>42027</v>
      </c>
      <c r="AH470" s="6">
        <v>-1.744469</v>
      </c>
      <c r="AI470" s="6">
        <v>2.0500630000000002</v>
      </c>
      <c r="AJ470" s="6">
        <v>3.9985439999999999</v>
      </c>
      <c r="AK470" s="4">
        <v>42027</v>
      </c>
      <c r="AL470" s="6">
        <f>VLOOKUP(AK470,Sheet3!$A$1:$B$1113,2,FALSE)</f>
        <v>1.3083968382238429</v>
      </c>
      <c r="AM470" s="6">
        <f t="shared" si="49"/>
        <v>1.1366101505589254</v>
      </c>
    </row>
    <row r="471" spans="29:39" x14ac:dyDescent="0.3">
      <c r="AC471">
        <f t="shared" si="48"/>
        <v>0</v>
      </c>
      <c r="AD471">
        <v>468</v>
      </c>
      <c r="AE471" s="4">
        <f t="shared" si="46"/>
        <v>42034</v>
      </c>
      <c r="AF471" s="6">
        <f t="shared" si="47"/>
        <v>-1.3906910834247999</v>
      </c>
      <c r="AG471" s="4">
        <v>42034</v>
      </c>
      <c r="AH471" s="6">
        <v>-3.8452489999999999</v>
      </c>
      <c r="AI471" s="6">
        <v>-9.9590000000000008E-3</v>
      </c>
      <c r="AJ471" s="6">
        <v>0.684859</v>
      </c>
      <c r="AK471" s="4">
        <v>42034</v>
      </c>
      <c r="AL471" s="6">
        <f>VLOOKUP(AK471,Sheet3!$A$1:$B$1113,2,FALSE)</f>
        <v>1.2902010800588519</v>
      </c>
      <c r="AM471" s="6">
        <f t="shared" si="49"/>
        <v>-1.3906910834247999</v>
      </c>
    </row>
    <row r="472" spans="29:39" x14ac:dyDescent="0.3">
      <c r="AC472">
        <f t="shared" si="48"/>
        <v>0</v>
      </c>
      <c r="AD472">
        <v>469</v>
      </c>
      <c r="AE472" s="4">
        <f t="shared" si="46"/>
        <v>42041</v>
      </c>
      <c r="AF472" s="6">
        <f t="shared" si="47"/>
        <v>-0.76047718105927142</v>
      </c>
      <c r="AG472" s="4">
        <v>42041</v>
      </c>
      <c r="AH472" s="6">
        <v>-3.551431</v>
      </c>
      <c r="AI472" s="6">
        <v>-1.73882</v>
      </c>
      <c r="AJ472" s="6">
        <v>-0.30012499999999998</v>
      </c>
      <c r="AK472" s="4">
        <v>42041</v>
      </c>
      <c r="AL472" s="6">
        <f>VLOOKUP(AK472,Sheet3!$A$1:$B$1113,2,FALSE)</f>
        <v>1.2803893952552241</v>
      </c>
      <c r="AM472" s="6">
        <f t="shared" si="49"/>
        <v>-0.76047718105927142</v>
      </c>
    </row>
    <row r="473" spans="29:39" x14ac:dyDescent="0.3">
      <c r="AC473">
        <f t="shared" si="48"/>
        <v>0</v>
      </c>
      <c r="AD473">
        <v>470</v>
      </c>
      <c r="AE473" s="4">
        <f t="shared" si="46"/>
        <v>42048</v>
      </c>
      <c r="AF473" s="6">
        <f t="shared" si="47"/>
        <v>4.4834155085665239</v>
      </c>
      <c r="AG473" s="4">
        <v>42048</v>
      </c>
      <c r="AH473" s="6">
        <v>4.7520540000000002</v>
      </c>
      <c r="AI473" s="6">
        <v>4.236605</v>
      </c>
      <c r="AJ473" s="6">
        <v>4.4262490000000003</v>
      </c>
      <c r="AK473" s="4">
        <v>42048</v>
      </c>
      <c r="AL473" s="6">
        <f>VLOOKUP(AK473,Sheet3!$A$1:$B$1113,2,FALSE)</f>
        <v>1.337794571972138</v>
      </c>
      <c r="AM473" s="6">
        <f t="shared" si="49"/>
        <v>4.4834155085665239</v>
      </c>
    </row>
    <row r="474" spans="29:39" x14ac:dyDescent="0.3">
      <c r="AC474">
        <f t="shared" si="48"/>
        <v>0</v>
      </c>
      <c r="AD474">
        <v>471</v>
      </c>
      <c r="AE474" s="4">
        <f t="shared" si="46"/>
        <v>42052</v>
      </c>
      <c r="AF474" s="6">
        <f t="shared" si="47"/>
        <v>2.4667858679555232</v>
      </c>
      <c r="AG474" s="4">
        <v>42052</v>
      </c>
      <c r="AH474" s="6">
        <v>1.5128699999999999</v>
      </c>
      <c r="AI474" s="6">
        <v>2.4582999999999999</v>
      </c>
      <c r="AJ474" s="6">
        <v>2.996032</v>
      </c>
      <c r="AK474" s="4">
        <v>42052</v>
      </c>
      <c r="AL474" s="6">
        <f>VLOOKUP(AK474,Sheet3!$A$1:$B$1113,2,FALSE)</f>
        <v>1.3707950994158229</v>
      </c>
      <c r="AM474" s="6">
        <f t="shared" si="49"/>
        <v>2.4667858679555232</v>
      </c>
    </row>
    <row r="475" spans="29:39" x14ac:dyDescent="0.3">
      <c r="AC475">
        <f t="shared" si="48"/>
        <v>0</v>
      </c>
      <c r="AD475">
        <v>472</v>
      </c>
      <c r="AE475" s="4">
        <f t="shared" si="46"/>
        <v>42062</v>
      </c>
      <c r="AF475" s="6">
        <f t="shared" si="47"/>
        <v>0.48399400013747762</v>
      </c>
      <c r="AG475" s="4">
        <v>42062</v>
      </c>
      <c r="AH475" s="6">
        <v>1.43431</v>
      </c>
      <c r="AI475" s="6">
        <v>1.8163290000000001</v>
      </c>
      <c r="AJ475" s="6">
        <v>1.735528</v>
      </c>
      <c r="AK475" s="4">
        <v>42062</v>
      </c>
      <c r="AL475" s="6">
        <f>VLOOKUP(AK475,Sheet3!$A$1:$B$1113,2,FALSE)</f>
        <v>1.377429665451174</v>
      </c>
      <c r="AM475" s="6">
        <f t="shared" si="49"/>
        <v>0.48399400013747762</v>
      </c>
    </row>
    <row r="476" spans="29:39" x14ac:dyDescent="0.3">
      <c r="AC476">
        <f t="shared" si="48"/>
        <v>0</v>
      </c>
      <c r="AD476">
        <v>473</v>
      </c>
      <c r="AE476" s="4">
        <f t="shared" si="46"/>
        <v>42069</v>
      </c>
      <c r="AF476" s="6">
        <f t="shared" si="47"/>
        <v>3.4621992310279737E-2</v>
      </c>
      <c r="AG476" s="4">
        <v>42069</v>
      </c>
      <c r="AH476" s="6">
        <v>-2.6399979999999998</v>
      </c>
      <c r="AI476" s="6">
        <v>1.9035260000000001</v>
      </c>
      <c r="AJ476" s="6">
        <v>2.7515969999999998</v>
      </c>
      <c r="AK476" s="4">
        <v>42069</v>
      </c>
      <c r="AL476" s="6">
        <f>VLOOKUP(AK476,Sheet3!$A$1:$B$1113,2,FALSE)</f>
        <v>1.377906559044026</v>
      </c>
      <c r="AM476" s="6">
        <f t="shared" si="49"/>
        <v>3.4621992310279737E-2</v>
      </c>
    </row>
    <row r="477" spans="29:39" x14ac:dyDescent="0.3">
      <c r="AC477">
        <f t="shared" si="48"/>
        <v>0</v>
      </c>
      <c r="AD477">
        <v>474</v>
      </c>
      <c r="AE477" s="4">
        <f t="shared" si="46"/>
        <v>42076</v>
      </c>
      <c r="AF477" s="6">
        <f t="shared" si="47"/>
        <v>3.8176986672083357</v>
      </c>
      <c r="AG477" s="4">
        <v>42076</v>
      </c>
      <c r="AH477" s="6">
        <v>3.9998909999999999</v>
      </c>
      <c r="AI477" s="6">
        <v>3.20478</v>
      </c>
      <c r="AJ477" s="6">
        <v>4.2371749999999997</v>
      </c>
      <c r="AK477" s="4">
        <v>42076</v>
      </c>
      <c r="AL477" s="6">
        <f>VLOOKUP(AK477,Sheet3!$A$1:$B$1113,2,FALSE)</f>
        <v>1.430510879384026</v>
      </c>
      <c r="AM477" s="6">
        <f t="shared" si="49"/>
        <v>3.8176986672083357</v>
      </c>
    </row>
    <row r="478" spans="29:39" x14ac:dyDescent="0.3">
      <c r="AC478">
        <f t="shared" si="48"/>
        <v>0</v>
      </c>
      <c r="AD478">
        <v>475</v>
      </c>
      <c r="AE478" s="4">
        <f t="shared" si="46"/>
        <v>42083</v>
      </c>
      <c r="AF478" s="6">
        <f t="shared" si="47"/>
        <v>7.4073583302583179</v>
      </c>
      <c r="AG478" s="4">
        <v>42083</v>
      </c>
      <c r="AH478" s="6">
        <v>7.5993110000000001</v>
      </c>
      <c r="AI478" s="6">
        <v>8.2362699999999993</v>
      </c>
      <c r="AJ478" s="6">
        <v>8.7521740000000001</v>
      </c>
      <c r="AK478" s="4">
        <v>42083</v>
      </c>
      <c r="AL478" s="6">
        <f>VLOOKUP(AK478,Sheet3!$A$1:$B$1113,2,FALSE)</f>
        <v>1.5364739461733301</v>
      </c>
      <c r="AM478" s="6">
        <f t="shared" si="49"/>
        <v>7.4073583302583179</v>
      </c>
    </row>
    <row r="479" spans="29:39" x14ac:dyDescent="0.3">
      <c r="AC479">
        <f t="shared" si="48"/>
        <v>0</v>
      </c>
      <c r="AD479">
        <v>476</v>
      </c>
      <c r="AE479" s="4">
        <f t="shared" si="46"/>
        <v>42090</v>
      </c>
      <c r="AF479" s="6">
        <f t="shared" si="47"/>
        <v>3.9485281780630155</v>
      </c>
      <c r="AG479" s="4">
        <v>42090</v>
      </c>
      <c r="AH479" s="6">
        <v>2.0326650000000002</v>
      </c>
      <c r="AI479" s="6">
        <v>4.4526719999999997</v>
      </c>
      <c r="AJ479" s="6">
        <v>4.7057339999999996</v>
      </c>
      <c r="AK479" s="4">
        <v>42090</v>
      </c>
      <c r="AL479" s="6">
        <f>VLOOKUP(AK479,Sheet3!$A$1:$B$1113,2,FALSE)</f>
        <v>1.597142052886581</v>
      </c>
      <c r="AM479" s="6">
        <f t="shared" si="49"/>
        <v>3.9485281780630155</v>
      </c>
    </row>
    <row r="480" spans="29:39" x14ac:dyDescent="0.3">
      <c r="AC480">
        <f t="shared" si="48"/>
        <v>0</v>
      </c>
      <c r="AD480">
        <v>477</v>
      </c>
      <c r="AE480" s="4">
        <f t="shared" si="46"/>
        <v>42097</v>
      </c>
      <c r="AF480" s="6">
        <f t="shared" si="47"/>
        <v>6.4878015648405452</v>
      </c>
      <c r="AG480" s="4">
        <v>42097</v>
      </c>
      <c r="AH480" s="6">
        <v>5.0064489999999999</v>
      </c>
      <c r="AI480" s="6">
        <v>7.3095169999999996</v>
      </c>
      <c r="AJ480" s="6">
        <v>8.1387640000000001</v>
      </c>
      <c r="AK480" s="4">
        <v>42097</v>
      </c>
      <c r="AL480" s="6">
        <f>VLOOKUP(AK480,Sheet3!$A$1:$B$1113,2,FALSE)</f>
        <v>1.7007614599864831</v>
      </c>
      <c r="AM480" s="6">
        <f t="shared" si="49"/>
        <v>6.4878015648405452</v>
      </c>
    </row>
    <row r="481" spans="29:39" x14ac:dyDescent="0.3">
      <c r="AC481">
        <f t="shared" si="48"/>
        <v>0</v>
      </c>
      <c r="AD481">
        <v>478</v>
      </c>
      <c r="AE481" s="4">
        <f t="shared" si="46"/>
        <v>42104</v>
      </c>
      <c r="AF481" s="6">
        <f t="shared" si="47"/>
        <v>2.6929497453406448</v>
      </c>
      <c r="AG481" s="4">
        <v>42104</v>
      </c>
      <c r="AH481" s="6">
        <v>4.1691979999999997</v>
      </c>
      <c r="AI481" s="6">
        <v>3.557477</v>
      </c>
      <c r="AJ481" s="6">
        <v>1.9237299999999999</v>
      </c>
      <c r="AK481" s="4">
        <v>42104</v>
      </c>
      <c r="AL481" s="6">
        <f>VLOOKUP(AK481,Sheet3!$A$1:$B$1113,2,FALSE)</f>
        <v>1.7465621113920411</v>
      </c>
      <c r="AM481" s="6">
        <f t="shared" si="49"/>
        <v>2.6929497453406448</v>
      </c>
    </row>
    <row r="482" spans="29:39" x14ac:dyDescent="0.3">
      <c r="AC482">
        <f t="shared" si="48"/>
        <v>0</v>
      </c>
      <c r="AD482">
        <v>479</v>
      </c>
      <c r="AE482" s="4">
        <f t="shared" si="46"/>
        <v>42111</v>
      </c>
      <c r="AF482" s="6">
        <f t="shared" si="47"/>
        <v>-0.44263009272808018</v>
      </c>
      <c r="AG482" s="4">
        <v>42111</v>
      </c>
      <c r="AH482" s="6">
        <v>5.7941039999999999</v>
      </c>
      <c r="AI482" s="6">
        <v>0.35928500000000002</v>
      </c>
      <c r="AJ482" s="6">
        <v>-0.340673</v>
      </c>
      <c r="AK482" s="4">
        <v>42111</v>
      </c>
      <c r="AL482" s="6">
        <f>VLOOKUP(AK482,Sheet3!$A$1:$B$1113,2,FALSE)</f>
        <v>1.7388313018988331</v>
      </c>
      <c r="AM482" s="6">
        <f t="shared" si="49"/>
        <v>-0.44263009272808018</v>
      </c>
    </row>
    <row r="483" spans="29:39" x14ac:dyDescent="0.3">
      <c r="AC483">
        <f t="shared" si="48"/>
        <v>0</v>
      </c>
      <c r="AD483">
        <v>480</v>
      </c>
      <c r="AE483" s="4">
        <f t="shared" si="46"/>
        <v>42118</v>
      </c>
      <c r="AF483" s="6">
        <f t="shared" si="47"/>
        <v>4.156294634975799</v>
      </c>
      <c r="AG483" s="4">
        <v>42118</v>
      </c>
      <c r="AH483" s="6">
        <v>2.3172730000000001</v>
      </c>
      <c r="AI483" s="6">
        <v>5.4923970000000004</v>
      </c>
      <c r="AJ483" s="6">
        <v>5.8134690000000004</v>
      </c>
      <c r="AK483" s="4">
        <v>42118</v>
      </c>
      <c r="AL483" s="6">
        <f>VLOOKUP(AK483,Sheet3!$A$1:$B$1113,2,FALSE)</f>
        <v>1.8111022540109341</v>
      </c>
      <c r="AM483" s="6">
        <f t="shared" si="49"/>
        <v>4.156294634975799</v>
      </c>
    </row>
    <row r="484" spans="29:39" x14ac:dyDescent="0.3">
      <c r="AC484">
        <f t="shared" si="48"/>
        <v>0</v>
      </c>
      <c r="AD484">
        <v>481</v>
      </c>
      <c r="AE484" s="4">
        <f t="shared" si="46"/>
        <v>42124</v>
      </c>
      <c r="AF484" s="6">
        <f t="shared" si="47"/>
        <v>1.2166254711055702</v>
      </c>
      <c r="AG484" s="4">
        <v>42124</v>
      </c>
      <c r="AH484" s="6">
        <v>1.004648</v>
      </c>
      <c r="AI484" s="6">
        <v>0.60075299999999998</v>
      </c>
      <c r="AJ484" s="6">
        <v>0.55887500000000001</v>
      </c>
      <c r="AK484" s="4">
        <v>42124</v>
      </c>
      <c r="AL484" s="6">
        <f>VLOOKUP(AK484,Sheet3!$A$1:$B$1113,2,FALSE)</f>
        <v>1.833136585340998</v>
      </c>
      <c r="AM484" s="6">
        <f t="shared" si="49"/>
        <v>1.2166254711055702</v>
      </c>
    </row>
    <row r="485" spans="29:39" x14ac:dyDescent="0.3">
      <c r="AC485">
        <f t="shared" si="48"/>
        <v>0</v>
      </c>
      <c r="AD485">
        <v>482</v>
      </c>
      <c r="AE485" s="4">
        <f t="shared" si="46"/>
        <v>42132</v>
      </c>
      <c r="AF485" s="6">
        <f t="shared" si="47"/>
        <v>0.89133482322079072</v>
      </c>
      <c r="AG485" s="4">
        <v>42132</v>
      </c>
      <c r="AH485" s="6">
        <v>-4.0312970000000004</v>
      </c>
      <c r="AI485" s="6">
        <v>-3.168717</v>
      </c>
      <c r="AJ485" s="6">
        <v>0.92225400000000002</v>
      </c>
      <c r="AK485" s="4">
        <v>42132</v>
      </c>
      <c r="AL485" s="6">
        <f>VLOOKUP(AK485,Sheet3!$A$1:$B$1113,2,FALSE)</f>
        <v>1.849475970083343</v>
      </c>
      <c r="AM485" s="6">
        <f t="shared" si="49"/>
        <v>0.89133482322079072</v>
      </c>
    </row>
    <row r="486" spans="29:39" x14ac:dyDescent="0.3">
      <c r="AC486">
        <f t="shared" si="48"/>
        <v>0</v>
      </c>
      <c r="AD486">
        <v>483</v>
      </c>
      <c r="AE486" s="4">
        <f t="shared" si="46"/>
        <v>42139</v>
      </c>
      <c r="AF486" s="6">
        <f t="shared" si="47"/>
        <v>6.6239647393823819</v>
      </c>
      <c r="AG486" s="4">
        <v>42139</v>
      </c>
      <c r="AH486" s="6">
        <v>1.2957609999999999</v>
      </c>
      <c r="AI486" s="6">
        <v>6.603739</v>
      </c>
      <c r="AJ486" s="6">
        <v>9.1835229999999992</v>
      </c>
      <c r="AK486" s="4">
        <v>42139</v>
      </c>
      <c r="AL486" s="6">
        <f>VLOOKUP(AK486,Sheet3!$A$1:$B$1113,2,FALSE)</f>
        <v>1.9719846062050139</v>
      </c>
      <c r="AM486" s="6">
        <f t="shared" si="49"/>
        <v>6.6239647393823819</v>
      </c>
    </row>
    <row r="487" spans="29:39" x14ac:dyDescent="0.3">
      <c r="AC487">
        <f t="shared" si="48"/>
        <v>0</v>
      </c>
      <c r="AD487">
        <v>484</v>
      </c>
      <c r="AE487" s="4">
        <f t="shared" si="46"/>
        <v>42146</v>
      </c>
      <c r="AF487" s="6">
        <f t="shared" si="47"/>
        <v>10.343837272183553</v>
      </c>
      <c r="AG487" s="4">
        <v>42146</v>
      </c>
      <c r="AH487" s="6">
        <v>7.2304750000000002</v>
      </c>
      <c r="AI487" s="6">
        <v>11.841469</v>
      </c>
      <c r="AJ487" s="6">
        <v>13.098317</v>
      </c>
      <c r="AK487" s="4">
        <v>42146</v>
      </c>
      <c r="AL487" s="6">
        <f>VLOOKUP(AK487,Sheet3!$A$1:$B$1113,2,FALSE)</f>
        <v>2.1759634849033702</v>
      </c>
      <c r="AM487" s="6">
        <f t="shared" si="49"/>
        <v>10.343837272183553</v>
      </c>
    </row>
    <row r="488" spans="29:39" x14ac:dyDescent="0.3">
      <c r="AC488">
        <f t="shared" si="48"/>
        <v>0</v>
      </c>
      <c r="AD488">
        <v>485</v>
      </c>
      <c r="AE488" s="4">
        <f t="shared" si="46"/>
        <v>42153</v>
      </c>
      <c r="AF488" s="6">
        <f t="shared" si="47"/>
        <v>1.0229287881199589</v>
      </c>
      <c r="AG488" s="4">
        <v>42153</v>
      </c>
      <c r="AH488" s="6">
        <v>-2.231843</v>
      </c>
      <c r="AI488" s="6">
        <v>1.929543</v>
      </c>
      <c r="AJ488" s="6">
        <v>2.679217</v>
      </c>
      <c r="AK488" s="4">
        <v>42153</v>
      </c>
      <c r="AL488" s="6">
        <f>VLOOKUP(AK488,Sheet3!$A$1:$B$1113,2,FALSE)</f>
        <v>2.1982220418094252</v>
      </c>
      <c r="AM488" s="6">
        <f t="shared" si="49"/>
        <v>1.0229287881199589</v>
      </c>
    </row>
    <row r="489" spans="29:39" x14ac:dyDescent="0.3">
      <c r="AC489">
        <f t="shared" si="48"/>
        <v>0</v>
      </c>
      <c r="AD489">
        <v>486</v>
      </c>
      <c r="AE489" s="4">
        <f t="shared" si="46"/>
        <v>42160</v>
      </c>
      <c r="AF489" s="6">
        <f t="shared" si="47"/>
        <v>8.13981730267923</v>
      </c>
      <c r="AG489" s="4">
        <v>42160</v>
      </c>
      <c r="AH489" s="6">
        <v>8.0507489999999997</v>
      </c>
      <c r="AI489" s="6">
        <v>11.815925999999999</v>
      </c>
      <c r="AJ489" s="6">
        <v>11.042579</v>
      </c>
      <c r="AK489" s="4">
        <v>42160</v>
      </c>
      <c r="AL489" s="6">
        <f>VLOOKUP(AK489,Sheet3!$A$1:$B$1113,2,FALSE)</f>
        <v>2.3771532999199372</v>
      </c>
      <c r="AM489" s="6">
        <f t="shared" si="49"/>
        <v>8.13981730267923</v>
      </c>
    </row>
    <row r="490" spans="29:39" x14ac:dyDescent="0.3">
      <c r="AC490">
        <f t="shared" si="48"/>
        <v>0</v>
      </c>
      <c r="AD490">
        <v>487</v>
      </c>
      <c r="AE490" s="4">
        <f t="shared" si="46"/>
        <v>42167</v>
      </c>
      <c r="AF490" s="6">
        <f t="shared" si="47"/>
        <v>1.7879019638204374</v>
      </c>
      <c r="AG490" s="4">
        <v>42167</v>
      </c>
      <c r="AH490" s="6">
        <v>1.9990829999999999</v>
      </c>
      <c r="AI490" s="6">
        <v>3.6015060000000001</v>
      </c>
      <c r="AJ490" s="6">
        <v>3.7370260000000002</v>
      </c>
      <c r="AK490" s="4">
        <v>42167</v>
      </c>
      <c r="AL490" s="6">
        <f>VLOOKUP(AK490,Sheet3!$A$1:$B$1113,2,FALSE)</f>
        <v>2.4196544704522278</v>
      </c>
      <c r="AM490" s="6">
        <f t="shared" si="49"/>
        <v>1.7879019638204374</v>
      </c>
    </row>
    <row r="491" spans="29:39" x14ac:dyDescent="0.3">
      <c r="AC491">
        <f t="shared" si="48"/>
        <v>0</v>
      </c>
      <c r="AD491">
        <v>488</v>
      </c>
      <c r="AE491" s="4">
        <f t="shared" si="46"/>
        <v>42174</v>
      </c>
      <c r="AF491" s="6">
        <f t="shared" si="47"/>
        <v>-13.026104241723536</v>
      </c>
      <c r="AG491" s="4">
        <v>42174</v>
      </c>
      <c r="AH491" s="6">
        <v>-13.084318</v>
      </c>
      <c r="AI491" s="6">
        <v>-13.498163999999999</v>
      </c>
      <c r="AJ491" s="6">
        <v>-13.205240999999999</v>
      </c>
      <c r="AK491" s="4">
        <v>42174</v>
      </c>
      <c r="AL491" s="6">
        <f>VLOOKUP(AK491,Sheet3!$A$1:$B$1113,2,FALSE)</f>
        <v>2.104467756841597</v>
      </c>
      <c r="AM491" s="6">
        <f t="shared" si="49"/>
        <v>-13.026104241723536</v>
      </c>
    </row>
    <row r="492" spans="29:39" x14ac:dyDescent="0.3">
      <c r="AC492">
        <f t="shared" si="48"/>
        <v>0</v>
      </c>
      <c r="AD492">
        <v>489</v>
      </c>
      <c r="AE492" s="4">
        <f t="shared" si="46"/>
        <v>42181</v>
      </c>
      <c r="AF492" s="6">
        <f t="shared" si="47"/>
        <v>-9.2145567815165705</v>
      </c>
      <c r="AG492" s="4">
        <v>42181</v>
      </c>
      <c r="AH492" s="6">
        <v>-6.4881099999999998</v>
      </c>
      <c r="AI492" s="6">
        <v>-9.1048910000000003</v>
      </c>
      <c r="AJ492" s="6">
        <v>-9.9347080000000005</v>
      </c>
      <c r="AK492" s="4">
        <v>42181</v>
      </c>
      <c r="AL492" s="6">
        <f>VLOOKUP(AK492,Sheet3!$A$1:$B$1113,2,FALSE)</f>
        <v>1.9105503804387201</v>
      </c>
      <c r="AM492" s="6">
        <f t="shared" si="49"/>
        <v>-9.2145567815165705</v>
      </c>
    </row>
    <row r="493" spans="29:39" x14ac:dyDescent="0.3">
      <c r="AC493">
        <f t="shared" si="48"/>
        <v>0</v>
      </c>
      <c r="AD493">
        <v>490</v>
      </c>
      <c r="AE493" s="4">
        <f t="shared" si="46"/>
        <v>42188</v>
      </c>
      <c r="AF493" s="6">
        <f t="shared" si="47"/>
        <v>-15.51014417735751</v>
      </c>
      <c r="AG493" s="4">
        <v>42188</v>
      </c>
      <c r="AH493" s="6">
        <v>-10.384169</v>
      </c>
      <c r="AI493" s="6">
        <v>-18.975121000000001</v>
      </c>
      <c r="AJ493" s="6">
        <v>-20.220500000000001</v>
      </c>
      <c r="AK493" s="4">
        <v>42188</v>
      </c>
      <c r="AL493" s="6">
        <f>VLOOKUP(AK493,Sheet3!$A$1:$B$1113,2,FALSE)</f>
        <v>1.6142212618516221</v>
      </c>
      <c r="AM493" s="6">
        <f t="shared" si="49"/>
        <v>-15.51014417735751</v>
      </c>
    </row>
    <row r="494" spans="29:39" x14ac:dyDescent="0.3">
      <c r="AC494">
        <f t="shared" si="48"/>
        <v>0</v>
      </c>
      <c r="AD494">
        <v>491</v>
      </c>
      <c r="AE494" s="4">
        <f t="shared" si="46"/>
        <v>42195</v>
      </c>
      <c r="AF494" s="6">
        <f t="shared" si="47"/>
        <v>-3.8357281989732761</v>
      </c>
      <c r="AG494" s="4">
        <v>42195</v>
      </c>
      <c r="AH494" s="6">
        <v>5.6779190000000002</v>
      </c>
      <c r="AI494" s="6">
        <v>-1.505091</v>
      </c>
      <c r="AJ494" s="6">
        <v>-7.8906049999999999</v>
      </c>
      <c r="AK494" s="4">
        <v>42195</v>
      </c>
      <c r="AL494" s="6">
        <f>VLOOKUP(AK494,Sheet3!$A$1:$B$1113,2,FALSE)</f>
        <v>1.5523041217169571</v>
      </c>
      <c r="AM494" s="6">
        <f t="shared" si="49"/>
        <v>-3.8357281989732761</v>
      </c>
    </row>
    <row r="495" spans="29:39" x14ac:dyDescent="0.3">
      <c r="AC495">
        <f t="shared" si="48"/>
        <v>0</v>
      </c>
      <c r="AD495">
        <v>492</v>
      </c>
      <c r="AE495" s="4">
        <f t="shared" si="46"/>
        <v>42202</v>
      </c>
      <c r="AF495" s="6">
        <f t="shared" si="47"/>
        <v>8.9378240026966704</v>
      </c>
      <c r="AG495" s="4">
        <v>42202</v>
      </c>
      <c r="AH495" s="6">
        <v>1.0943350000000001</v>
      </c>
      <c r="AI495" s="6">
        <v>10.351073</v>
      </c>
      <c r="AJ495" s="6">
        <v>10.683971</v>
      </c>
      <c r="AK495" s="4">
        <v>42202</v>
      </c>
      <c r="AL495" s="6">
        <f>VLOOKUP(AK495,Sheet3!$A$1:$B$1113,2,FALSE)</f>
        <v>1.691046332102625</v>
      </c>
      <c r="AM495" s="6">
        <f t="shared" si="49"/>
        <v>8.9378240026966704</v>
      </c>
    </row>
    <row r="496" spans="29:39" x14ac:dyDescent="0.3">
      <c r="AC496">
        <f t="shared" si="48"/>
        <v>0</v>
      </c>
      <c r="AD496">
        <v>493</v>
      </c>
      <c r="AE496" s="4">
        <f t="shared" si="46"/>
        <v>42209</v>
      </c>
      <c r="AF496" s="6">
        <f t="shared" si="47"/>
        <v>6.5124264639459639</v>
      </c>
      <c r="AG496" s="4">
        <v>42209</v>
      </c>
      <c r="AH496" s="6">
        <v>0.59696800000000005</v>
      </c>
      <c r="AI496" s="6">
        <v>5.3832779999999998</v>
      </c>
      <c r="AJ496" s="6">
        <v>9.5217080000000003</v>
      </c>
      <c r="AK496" s="4">
        <v>42209</v>
      </c>
      <c r="AL496" s="6">
        <f>VLOOKUP(AK496,Sheet3!$A$1:$B$1113,2,FALSE)</f>
        <v>1.801174480952064</v>
      </c>
      <c r="AM496" s="6">
        <f t="shared" si="49"/>
        <v>6.5124264639459639</v>
      </c>
    </row>
    <row r="497" spans="29:39" x14ac:dyDescent="0.3">
      <c r="AC497">
        <f t="shared" si="48"/>
        <v>0</v>
      </c>
      <c r="AD497">
        <v>494</v>
      </c>
      <c r="AE497" s="4">
        <f t="shared" si="46"/>
        <v>42216</v>
      </c>
      <c r="AF497" s="6">
        <f t="shared" si="47"/>
        <v>-10.014024471935834</v>
      </c>
      <c r="AG497" s="4">
        <v>42216</v>
      </c>
      <c r="AH497" s="6">
        <v>-8.6100429999999992</v>
      </c>
      <c r="AI497" s="6">
        <v>-8.2849489999999992</v>
      </c>
      <c r="AJ497" s="6">
        <v>-11.733426</v>
      </c>
      <c r="AK497" s="4">
        <v>42216</v>
      </c>
      <c r="AL497" s="6">
        <f>VLOOKUP(AK497,Sheet3!$A$1:$B$1113,2,FALSE)</f>
        <v>1.6208044276472611</v>
      </c>
      <c r="AM497" s="6">
        <f t="shared" si="49"/>
        <v>-10.014024471935834</v>
      </c>
    </row>
    <row r="498" spans="29:39" x14ac:dyDescent="0.3">
      <c r="AC498">
        <f t="shared" si="48"/>
        <v>0</v>
      </c>
      <c r="AD498">
        <v>495</v>
      </c>
      <c r="AE498" s="4">
        <f t="shared" si="46"/>
        <v>42223</v>
      </c>
      <c r="AF498" s="6">
        <f t="shared" si="47"/>
        <v>2.7571010037850341</v>
      </c>
      <c r="AG498" s="4">
        <v>42223</v>
      </c>
      <c r="AH498" s="6">
        <v>2.3644910000000001</v>
      </c>
      <c r="AI498" s="6">
        <v>3.7046160000000001</v>
      </c>
      <c r="AJ498" s="6">
        <v>3.9192819999999999</v>
      </c>
      <c r="AK498" s="4">
        <v>42223</v>
      </c>
      <c r="AL498" s="6">
        <f>VLOOKUP(AK498,Sheet3!$A$1:$B$1113,2,FALSE)</f>
        <v>1.665491642791316</v>
      </c>
      <c r="AM498" s="6">
        <f t="shared" si="49"/>
        <v>2.7571010037850341</v>
      </c>
    </row>
    <row r="499" spans="29:39" x14ac:dyDescent="0.3">
      <c r="AC499">
        <f t="shared" si="48"/>
        <v>0</v>
      </c>
      <c r="AD499">
        <v>496</v>
      </c>
      <c r="AE499" s="4">
        <f t="shared" si="46"/>
        <v>42230</v>
      </c>
      <c r="AF499" s="6">
        <f t="shared" si="47"/>
        <v>5.0447921865675038</v>
      </c>
      <c r="AG499" s="4">
        <v>42230</v>
      </c>
      <c r="AH499" s="6">
        <v>4.2640789999999997</v>
      </c>
      <c r="AI499" s="6">
        <v>7.6363320000000003</v>
      </c>
      <c r="AJ499" s="6">
        <v>8.2715789999999991</v>
      </c>
      <c r="AK499" s="4">
        <v>42230</v>
      </c>
      <c r="AL499" s="6">
        <f>VLOOKUP(AK499,Sheet3!$A$1:$B$1113,2,FALSE)</f>
        <v>1.7495122350547869</v>
      </c>
      <c r="AM499" s="6">
        <f t="shared" si="49"/>
        <v>5.0447921865675038</v>
      </c>
    </row>
    <row r="500" spans="29:39" x14ac:dyDescent="0.3">
      <c r="AC500">
        <f t="shared" si="48"/>
        <v>0</v>
      </c>
      <c r="AD500">
        <v>497</v>
      </c>
      <c r="AE500" s="4">
        <f t="shared" si="46"/>
        <v>42237</v>
      </c>
      <c r="AF500" s="6">
        <f t="shared" si="47"/>
        <v>-10.995745194860707</v>
      </c>
      <c r="AG500" s="4">
        <v>42237</v>
      </c>
      <c r="AH500" s="6">
        <v>-11.881660999999999</v>
      </c>
      <c r="AI500" s="6">
        <v>-11.736943999999999</v>
      </c>
      <c r="AJ500" s="6">
        <v>-11.272180000000001</v>
      </c>
      <c r="AK500" s="4">
        <v>42237</v>
      </c>
      <c r="AL500" s="6">
        <f>VLOOKUP(AK500,Sheet3!$A$1:$B$1113,2,FALSE)</f>
        <v>1.55714032753525</v>
      </c>
      <c r="AM500" s="6">
        <f t="shared" si="49"/>
        <v>-10.995745194860707</v>
      </c>
    </row>
    <row r="501" spans="29:39" x14ac:dyDescent="0.3">
      <c r="AC501">
        <f t="shared" si="48"/>
        <v>0</v>
      </c>
      <c r="AD501">
        <v>498</v>
      </c>
      <c r="AE501" s="4">
        <f t="shared" si="46"/>
        <v>42244</v>
      </c>
      <c r="AF501" s="6">
        <f t="shared" si="47"/>
        <v>-6.6203506634939675</v>
      </c>
      <c r="AG501" s="4">
        <v>42244</v>
      </c>
      <c r="AH501" s="6">
        <v>-6.8880629999999998</v>
      </c>
      <c r="AI501" s="6">
        <v>-10.114521</v>
      </c>
      <c r="AJ501" s="6">
        <v>-10.177878</v>
      </c>
      <c r="AK501" s="4">
        <v>42244</v>
      </c>
      <c r="AL501" s="6">
        <f>VLOOKUP(AK501,Sheet3!$A$1:$B$1113,2,FALSE)</f>
        <v>1.4540521775297379</v>
      </c>
      <c r="AM501" s="6">
        <f t="shared" si="49"/>
        <v>-6.6203506634939675</v>
      </c>
    </row>
    <row r="502" spans="29:39" x14ac:dyDescent="0.3">
      <c r="AC502">
        <f t="shared" si="48"/>
        <v>0</v>
      </c>
      <c r="AD502">
        <v>499</v>
      </c>
      <c r="AE502" s="4">
        <f t="shared" si="46"/>
        <v>42249</v>
      </c>
      <c r="AF502" s="6">
        <f t="shared" si="47"/>
        <v>-7.8576391389565075</v>
      </c>
      <c r="AG502" s="4">
        <v>42249</v>
      </c>
      <c r="AH502" s="6">
        <v>0.70447300000000002</v>
      </c>
      <c r="AI502" s="6">
        <v>-10.52684</v>
      </c>
      <c r="AJ502" s="6">
        <v>-13.79513</v>
      </c>
      <c r="AK502" s="4">
        <v>42249</v>
      </c>
      <c r="AL502" s="6">
        <f>VLOOKUP(AK502,Sheet3!$A$1:$B$1113,2,FALSE)</f>
        <v>1.3397980045273119</v>
      </c>
      <c r="AM502" s="6">
        <f t="shared" si="49"/>
        <v>-7.8576391389565075</v>
      </c>
    </row>
    <row r="503" spans="29:39" x14ac:dyDescent="0.3">
      <c r="AC503">
        <f t="shared" si="48"/>
        <v>0</v>
      </c>
      <c r="AD503">
        <v>500</v>
      </c>
      <c r="AE503" s="4">
        <f t="shared" si="46"/>
        <v>42258</v>
      </c>
      <c r="AF503" s="6">
        <f t="shared" si="47"/>
        <v>6.1930740407298845</v>
      </c>
      <c r="AG503" s="4">
        <v>42258</v>
      </c>
      <c r="AH503" s="6">
        <v>-0.55391999999999997</v>
      </c>
      <c r="AI503" s="6">
        <v>6.0557379999999998</v>
      </c>
      <c r="AJ503" s="6">
        <v>11.531126</v>
      </c>
      <c r="AK503" s="4">
        <v>42258</v>
      </c>
      <c r="AL503" s="6">
        <f>VLOOKUP(AK503,Sheet3!$A$1:$B$1113,2,FALSE)</f>
        <v>1.4227726869439099</v>
      </c>
      <c r="AM503" s="6">
        <f t="shared" si="49"/>
        <v>6.1930740407298845</v>
      </c>
    </row>
    <row r="504" spans="29:39" x14ac:dyDescent="0.3">
      <c r="AC504">
        <f t="shared" si="48"/>
        <v>0</v>
      </c>
      <c r="AD504">
        <v>501</v>
      </c>
      <c r="AE504" s="4">
        <f t="shared" si="46"/>
        <v>42265</v>
      </c>
      <c r="AF504" s="6">
        <f t="shared" si="47"/>
        <v>-3.3318085705002609</v>
      </c>
      <c r="AG504" s="4">
        <v>42265</v>
      </c>
      <c r="AH504" s="6">
        <v>-2.8655279999999999</v>
      </c>
      <c r="AI504" s="6">
        <v>-7.0293429999999999</v>
      </c>
      <c r="AJ504" s="6">
        <v>-4.978942</v>
      </c>
      <c r="AK504" s="4">
        <v>42265</v>
      </c>
      <c r="AL504" s="6">
        <f>VLOOKUP(AK504,Sheet3!$A$1:$B$1113,2,FALSE)</f>
        <v>1.3753686246215759</v>
      </c>
      <c r="AM504" s="6">
        <f t="shared" si="49"/>
        <v>-3.3318085705002609</v>
      </c>
    </row>
    <row r="505" spans="29:39" x14ac:dyDescent="0.3">
      <c r="AC505">
        <f t="shared" si="48"/>
        <v>0</v>
      </c>
      <c r="AD505">
        <v>502</v>
      </c>
      <c r="AE505" s="4">
        <f t="shared" si="46"/>
        <v>42272</v>
      </c>
      <c r="AF505" s="6">
        <f t="shared" si="47"/>
        <v>1.4486872456773048</v>
      </c>
      <c r="AG505" s="4">
        <v>42272</v>
      </c>
      <c r="AH505" s="6">
        <v>-0.59428400000000003</v>
      </c>
      <c r="AI505" s="6">
        <v>1.184304</v>
      </c>
      <c r="AJ505" s="6">
        <v>1.111267</v>
      </c>
      <c r="AK505" s="4">
        <v>42272</v>
      </c>
      <c r="AL505" s="6">
        <f>VLOOKUP(AK505,Sheet3!$A$1:$B$1113,2,FALSE)</f>
        <v>1.395293414467516</v>
      </c>
      <c r="AM505" s="6">
        <f t="shared" si="49"/>
        <v>1.4486872456773048</v>
      </c>
    </row>
    <row r="506" spans="29:39" x14ac:dyDescent="0.3">
      <c r="AC506">
        <f t="shared" si="48"/>
        <v>0</v>
      </c>
      <c r="AD506">
        <v>503</v>
      </c>
      <c r="AE506" s="4">
        <f t="shared" si="46"/>
        <v>42277</v>
      </c>
      <c r="AF506" s="6">
        <f t="shared" si="47"/>
        <v>1.435613872028374</v>
      </c>
      <c r="AG506" s="4">
        <v>42277</v>
      </c>
      <c r="AH506" s="6">
        <v>-0.89741099999999996</v>
      </c>
      <c r="AI506" s="6">
        <v>0.25131100000000001</v>
      </c>
      <c r="AJ506" s="6">
        <v>1.1431180000000001</v>
      </c>
      <c r="AK506" s="4">
        <v>42277</v>
      </c>
      <c r="AL506" s="6">
        <f>VLOOKUP(AK506,Sheet3!$A$1:$B$1113,2,FALSE)</f>
        <v>1.41532444028111</v>
      </c>
      <c r="AM506" s="6">
        <f t="shared" si="49"/>
        <v>1.435613872028374</v>
      </c>
    </row>
    <row r="507" spans="29:39" x14ac:dyDescent="0.3">
      <c r="AC507">
        <f t="shared" si="48"/>
        <v>0</v>
      </c>
      <c r="AD507">
        <v>504</v>
      </c>
      <c r="AE507" s="4">
        <f t="shared" si="46"/>
        <v>42286</v>
      </c>
      <c r="AF507" s="6">
        <f t="shared" si="47"/>
        <v>4.9506121155497906</v>
      </c>
      <c r="AG507" s="4">
        <v>42286</v>
      </c>
      <c r="AH507" s="6">
        <v>4.2825680000000004</v>
      </c>
      <c r="AI507" s="6">
        <v>5.6554440000000001</v>
      </c>
      <c r="AJ507" s="6">
        <v>5.860716</v>
      </c>
      <c r="AK507" s="4">
        <v>42286</v>
      </c>
      <c r="AL507" s="6">
        <f>VLOOKUP(AK507,Sheet3!$A$1:$B$1113,2,FALSE)</f>
        <v>1.485391663496004</v>
      </c>
      <c r="AM507" s="6">
        <f t="shared" si="49"/>
        <v>4.9506121155497906</v>
      </c>
    </row>
    <row r="508" spans="29:39" x14ac:dyDescent="0.3">
      <c r="AC508">
        <f t="shared" si="48"/>
        <v>0</v>
      </c>
      <c r="AD508">
        <v>505</v>
      </c>
      <c r="AE508" s="4">
        <f t="shared" si="46"/>
        <v>42293</v>
      </c>
      <c r="AF508" s="6">
        <f t="shared" si="47"/>
        <v>7.4541856971189313</v>
      </c>
      <c r="AG508" s="4">
        <v>42293</v>
      </c>
      <c r="AH508" s="6">
        <v>5.806667</v>
      </c>
      <c r="AI508" s="6">
        <v>8.925872</v>
      </c>
      <c r="AJ508" s="6">
        <v>9.3225429999999996</v>
      </c>
      <c r="AK508" s="4">
        <v>42293</v>
      </c>
      <c r="AL508" s="6">
        <f>VLOOKUP(AK508,Sheet3!$A$1:$B$1113,2,FALSE)</f>
        <v>1.59611551642252</v>
      </c>
      <c r="AM508" s="6">
        <f t="shared" si="49"/>
        <v>7.4541856971189313</v>
      </c>
    </row>
    <row r="509" spans="29:39" x14ac:dyDescent="0.3">
      <c r="AC509">
        <f t="shared" si="48"/>
        <v>0</v>
      </c>
      <c r="AD509">
        <v>506</v>
      </c>
      <c r="AE509" s="4">
        <f t="shared" si="46"/>
        <v>42300</v>
      </c>
      <c r="AF509" s="6">
        <f t="shared" si="47"/>
        <v>1.8502574242788228</v>
      </c>
      <c r="AG509" s="4">
        <v>42300</v>
      </c>
      <c r="AH509" s="6">
        <v>1.0519270000000001</v>
      </c>
      <c r="AI509" s="6">
        <v>1.286608</v>
      </c>
      <c r="AJ509" s="6">
        <v>2.6784620000000001</v>
      </c>
      <c r="AK509" s="4">
        <v>42300</v>
      </c>
      <c r="AL509" s="6">
        <f>VLOOKUP(AK509,Sheet3!$A$1:$B$1113,2,FALSE)</f>
        <v>1.6256477622651939</v>
      </c>
      <c r="AM509" s="6">
        <f t="shared" si="49"/>
        <v>1.8502574242788228</v>
      </c>
    </row>
    <row r="510" spans="29:39" x14ac:dyDescent="0.3">
      <c r="AC510">
        <f t="shared" si="48"/>
        <v>0</v>
      </c>
      <c r="AD510">
        <v>507</v>
      </c>
      <c r="AE510" s="4">
        <f t="shared" si="46"/>
        <v>42307</v>
      </c>
      <c r="AF510" s="6">
        <f t="shared" si="47"/>
        <v>5.6694795668099651E-2</v>
      </c>
      <c r="AG510" s="4">
        <v>42307</v>
      </c>
      <c r="AH510" s="6">
        <v>-1.0405990000000001</v>
      </c>
      <c r="AI510" s="6">
        <v>-0.74617599999999995</v>
      </c>
      <c r="AJ510" s="6">
        <v>6.2213999999999998E-2</v>
      </c>
      <c r="AK510" s="4">
        <v>42307</v>
      </c>
      <c r="AL510" s="6">
        <f>VLOOKUP(AK510,Sheet3!$A$1:$B$1113,2,FALSE)</f>
        <v>1.6265694199422931</v>
      </c>
      <c r="AM510" s="6">
        <f t="shared" si="49"/>
        <v>5.6694795668099651E-2</v>
      </c>
    </row>
    <row r="511" spans="29:39" x14ac:dyDescent="0.3">
      <c r="AC511">
        <f t="shared" si="48"/>
        <v>0</v>
      </c>
      <c r="AD511">
        <v>508</v>
      </c>
      <c r="AE511" s="4">
        <f t="shared" si="46"/>
        <v>42314</v>
      </c>
      <c r="AF511" s="6">
        <f t="shared" si="47"/>
        <v>5.3059168757727981</v>
      </c>
      <c r="AG511" s="4">
        <v>42314</v>
      </c>
      <c r="AH511" s="6">
        <v>7.3369929999999997</v>
      </c>
      <c r="AI511" s="6">
        <v>5.1076639999999998</v>
      </c>
      <c r="AJ511" s="6">
        <v>4.7997589999999999</v>
      </c>
      <c r="AK511" s="4">
        <v>42314</v>
      </c>
      <c r="AL511" s="6">
        <f>VLOOKUP(AK511,Sheet3!$A$1:$B$1113,2,FALSE)</f>
        <v>1.712873841291171</v>
      </c>
      <c r="AM511" s="6">
        <f t="shared" si="49"/>
        <v>5.3059168757727981</v>
      </c>
    </row>
    <row r="512" spans="29:39" x14ac:dyDescent="0.3">
      <c r="AC512">
        <f t="shared" si="48"/>
        <v>0</v>
      </c>
      <c r="AD512">
        <v>509</v>
      </c>
      <c r="AE512" s="4">
        <f t="shared" si="46"/>
        <v>42321</v>
      </c>
      <c r="AF512" s="6">
        <f t="shared" si="47"/>
        <v>1.4773137946547887</v>
      </c>
      <c r="AG512" s="4">
        <v>42321</v>
      </c>
      <c r="AH512" s="6">
        <v>-1.2424740000000001</v>
      </c>
      <c r="AI512" s="6">
        <v>1.614924</v>
      </c>
      <c r="AJ512" s="6">
        <v>3.1724939999999999</v>
      </c>
      <c r="AK512" s="4">
        <v>42321</v>
      </c>
      <c r="AL512" s="6">
        <f>VLOOKUP(AK512,Sheet3!$A$1:$B$1113,2,FALSE)</f>
        <v>1.7381783628335989</v>
      </c>
      <c r="AM512" s="6">
        <f t="shared" si="49"/>
        <v>1.4773137946547887</v>
      </c>
    </row>
    <row r="513" spans="29:39" x14ac:dyDescent="0.3">
      <c r="AC513">
        <f t="shared" si="48"/>
        <v>0</v>
      </c>
      <c r="AD513">
        <v>510</v>
      </c>
      <c r="AE513" s="4">
        <f t="shared" si="46"/>
        <v>42328</v>
      </c>
      <c r="AF513" s="6">
        <f t="shared" si="47"/>
        <v>3.287424877529288</v>
      </c>
      <c r="AG513" s="4">
        <v>42328</v>
      </c>
      <c r="AH513" s="6">
        <v>0.75118200000000002</v>
      </c>
      <c r="AI513" s="6">
        <v>3.1604869999999998</v>
      </c>
      <c r="AJ513" s="6">
        <v>5.0890279999999999</v>
      </c>
      <c r="AK513" s="4">
        <v>42328</v>
      </c>
      <c r="AL513" s="6">
        <f>VLOOKUP(AK513,Sheet3!$A$1:$B$1113,2,FALSE)</f>
        <v>1.7953196707492221</v>
      </c>
      <c r="AM513" s="6">
        <f t="shared" si="49"/>
        <v>3.287424877529288</v>
      </c>
    </row>
    <row r="514" spans="29:39" x14ac:dyDescent="0.3">
      <c r="AC514">
        <f t="shared" si="48"/>
        <v>0</v>
      </c>
      <c r="AD514">
        <v>511</v>
      </c>
      <c r="AE514" s="4">
        <f t="shared" si="46"/>
        <v>42335</v>
      </c>
      <c r="AF514" s="6">
        <f t="shared" si="47"/>
        <v>-3.8508745114380849</v>
      </c>
      <c r="AG514" s="4">
        <v>42335</v>
      </c>
      <c r="AH514" s="6">
        <v>-5.7596400000000001</v>
      </c>
      <c r="AI514" s="6">
        <v>-5.510205</v>
      </c>
      <c r="AJ514" s="6">
        <v>-4.8547820000000002</v>
      </c>
      <c r="AK514" s="4">
        <v>42335</v>
      </c>
      <c r="AL514" s="6">
        <f>VLOOKUP(AK514,Sheet3!$A$1:$B$1113,2,FALSE)</f>
        <v>1.7261841631495061</v>
      </c>
      <c r="AM514" s="6">
        <f t="shared" si="49"/>
        <v>-3.8508745114380849</v>
      </c>
    </row>
    <row r="515" spans="29:39" x14ac:dyDescent="0.3">
      <c r="AC515">
        <f t="shared" si="48"/>
        <v>0</v>
      </c>
      <c r="AD515">
        <v>512</v>
      </c>
      <c r="AE515" s="4">
        <f t="shared" si="46"/>
        <v>42342</v>
      </c>
      <c r="AF515" s="6">
        <f t="shared" si="47"/>
        <v>1.0393925776154722</v>
      </c>
      <c r="AG515" s="4">
        <v>42342</v>
      </c>
      <c r="AH515" s="6">
        <v>3.3904990000000002</v>
      </c>
      <c r="AI515" s="6">
        <v>1.8376939999999999</v>
      </c>
      <c r="AJ515" s="6">
        <v>1.4906889999999999</v>
      </c>
      <c r="AK515" s="4">
        <v>42342</v>
      </c>
      <c r="AL515" s="6">
        <f>VLOOKUP(AK515,Sheet3!$A$1:$B$1113,2,FALSE)</f>
        <v>1.7441259932172559</v>
      </c>
      <c r="AM515" s="6">
        <f t="shared" si="49"/>
        <v>1.0393925776154722</v>
      </c>
    </row>
    <row r="516" spans="29:39" x14ac:dyDescent="0.3">
      <c r="AC516">
        <f t="shared" si="48"/>
        <v>0</v>
      </c>
      <c r="AD516">
        <v>513</v>
      </c>
      <c r="AE516" s="4">
        <f t="shared" si="46"/>
        <v>42349</v>
      </c>
      <c r="AF516" s="6">
        <f t="shared" si="47"/>
        <v>-0.96359811468685885</v>
      </c>
      <c r="AG516" s="4">
        <v>42349</v>
      </c>
      <c r="AH516" s="6">
        <v>-1.8907339999999999</v>
      </c>
      <c r="AI516" s="6">
        <v>-2.9417300000000002</v>
      </c>
      <c r="AJ516" s="6">
        <v>-1.343558</v>
      </c>
      <c r="AK516" s="4">
        <v>42349</v>
      </c>
      <c r="AL516" s="6">
        <f>VLOOKUP(AK516,Sheet3!$A$1:$B$1113,2,FALSE)</f>
        <v>1.727319628028851</v>
      </c>
      <c r="AM516" s="6">
        <f t="shared" si="49"/>
        <v>-0.96359811468685885</v>
      </c>
    </row>
    <row r="517" spans="29:39" x14ac:dyDescent="0.3">
      <c r="AC517">
        <f t="shared" si="48"/>
        <v>0</v>
      </c>
      <c r="AD517">
        <v>514</v>
      </c>
      <c r="AE517" s="4">
        <f t="shared" ref="AE517:AE580" si="50">AG517</f>
        <v>42356</v>
      </c>
      <c r="AF517" s="6">
        <f t="shared" ref="AF517:AF580" si="51">AM517</f>
        <v>5.3580794998074888</v>
      </c>
      <c r="AG517" s="4">
        <v>42356</v>
      </c>
      <c r="AH517" s="6">
        <v>4.4304740000000002</v>
      </c>
      <c r="AI517" s="6">
        <v>5.6053360000000003</v>
      </c>
      <c r="AJ517" s="6">
        <v>6.875534</v>
      </c>
      <c r="AK517" s="4">
        <v>42356</v>
      </c>
      <c r="AL517" s="6">
        <f>VLOOKUP(AK517,Sheet3!$A$1:$B$1113,2,FALSE)</f>
        <v>1.8198707869144159</v>
      </c>
      <c r="AM517" s="6">
        <f t="shared" si="49"/>
        <v>5.3580794998074888</v>
      </c>
    </row>
    <row r="518" spans="29:39" x14ac:dyDescent="0.3">
      <c r="AC518">
        <f t="shared" ref="AC518:AC581" si="52">IF(AE518&lt;=AE517,1,0)</f>
        <v>0</v>
      </c>
      <c r="AD518">
        <v>515</v>
      </c>
      <c r="AE518" s="4">
        <f t="shared" si="50"/>
        <v>42363</v>
      </c>
      <c r="AF518" s="6">
        <f t="shared" si="51"/>
        <v>0.65853775773661027</v>
      </c>
      <c r="AG518" s="4">
        <v>42363</v>
      </c>
      <c r="AH518" s="6">
        <v>1.8654409999999999</v>
      </c>
      <c r="AI518" s="6">
        <v>1.204701</v>
      </c>
      <c r="AJ518" s="6">
        <v>0.91271100000000005</v>
      </c>
      <c r="AK518" s="4">
        <v>42363</v>
      </c>
      <c r="AL518" s="6">
        <f>VLOOKUP(AK518,Sheet3!$A$1:$B$1113,2,FALSE)</f>
        <v>1.8318553231882659</v>
      </c>
      <c r="AM518" s="6">
        <f t="shared" ref="AM518:AM581" si="53">(AL518/AL517-1)*100</f>
        <v>0.65853775773661027</v>
      </c>
    </row>
    <row r="519" spans="29:39" x14ac:dyDescent="0.3">
      <c r="AC519">
        <f t="shared" si="52"/>
        <v>0</v>
      </c>
      <c r="AD519">
        <v>516</v>
      </c>
      <c r="AE519" s="4">
        <f t="shared" si="50"/>
        <v>42369</v>
      </c>
      <c r="AF519" s="6">
        <f t="shared" si="51"/>
        <v>-1.2828237639373796</v>
      </c>
      <c r="AG519" s="4">
        <v>42369</v>
      </c>
      <c r="AH519" s="6">
        <v>-2.7928790000000001</v>
      </c>
      <c r="AI519" s="6">
        <v>-2.2386119999999998</v>
      </c>
      <c r="AJ519" s="6">
        <v>-1.0498050000000001</v>
      </c>
      <c r="AK519" s="4">
        <v>42369</v>
      </c>
      <c r="AL519" s="6">
        <f>VLOOKUP(AK519,Sheet3!$A$1:$B$1113,2,FALSE)</f>
        <v>1.808355847781455</v>
      </c>
      <c r="AM519" s="6">
        <f t="shared" si="53"/>
        <v>-1.2828237639373796</v>
      </c>
    </row>
    <row r="520" spans="29:39" x14ac:dyDescent="0.3">
      <c r="AC520">
        <f t="shared" si="52"/>
        <v>0</v>
      </c>
      <c r="AD520">
        <v>517</v>
      </c>
      <c r="AE520" s="4">
        <f t="shared" si="50"/>
        <v>42377</v>
      </c>
      <c r="AF520" s="6">
        <f t="shared" si="51"/>
        <v>-12.950321583210334</v>
      </c>
      <c r="AG520" s="4">
        <v>42377</v>
      </c>
      <c r="AH520" s="6">
        <v>-9.9019309999999994</v>
      </c>
      <c r="AI520" s="6">
        <v>-13.747705</v>
      </c>
      <c r="AJ520" s="6">
        <v>-16.375202000000002</v>
      </c>
      <c r="AK520" s="4">
        <v>42377</v>
      </c>
      <c r="AL520" s="6">
        <f>VLOOKUP(AK520,Sheet3!$A$1:$B$1113,2,FALSE)</f>
        <v>1.574167950124967</v>
      </c>
      <c r="AM520" s="6">
        <f t="shared" si="53"/>
        <v>-12.950321583210334</v>
      </c>
    </row>
    <row r="521" spans="29:39" x14ac:dyDescent="0.3">
      <c r="AC521">
        <f t="shared" si="52"/>
        <v>0</v>
      </c>
      <c r="AD521">
        <v>518</v>
      </c>
      <c r="AE521" s="4">
        <f t="shared" si="50"/>
        <v>42384</v>
      </c>
      <c r="AF521" s="6">
        <f t="shared" si="51"/>
        <v>-7.8476080968413298</v>
      </c>
      <c r="AG521" s="4">
        <v>42384</v>
      </c>
      <c r="AH521" s="6">
        <v>-7.2238150000000001</v>
      </c>
      <c r="AI521" s="6">
        <v>-10.299934</v>
      </c>
      <c r="AJ521" s="6">
        <v>-11.357101</v>
      </c>
      <c r="AK521" s="4">
        <v>42384</v>
      </c>
      <c r="AL521" s="6">
        <f>VLOOKUP(AK521,Sheet3!$A$1:$B$1113,2,FALSE)</f>
        <v>1.4506334186130789</v>
      </c>
      <c r="AM521" s="6">
        <f t="shared" si="53"/>
        <v>-7.8476080968413298</v>
      </c>
    </row>
    <row r="522" spans="29:39" x14ac:dyDescent="0.3">
      <c r="AC522">
        <f t="shared" si="52"/>
        <v>0</v>
      </c>
      <c r="AD522">
        <v>519</v>
      </c>
      <c r="AE522" s="4">
        <f t="shared" si="50"/>
        <v>42391</v>
      </c>
      <c r="AF522" s="6">
        <f t="shared" si="51"/>
        <v>1.5159221202176498</v>
      </c>
      <c r="AG522" s="4">
        <v>42391</v>
      </c>
      <c r="AH522" s="6">
        <v>-0.16889899999999999</v>
      </c>
      <c r="AI522" s="6">
        <v>1.474963</v>
      </c>
      <c r="AJ522" s="6">
        <v>2.6196419999999998</v>
      </c>
      <c r="AK522" s="4">
        <v>42391</v>
      </c>
      <c r="AL522" s="6">
        <f>VLOOKUP(AK522,Sheet3!$A$1:$B$1113,2,FALSE)</f>
        <v>1.4726238914891041</v>
      </c>
      <c r="AM522" s="6">
        <f t="shared" si="53"/>
        <v>1.5159221202176498</v>
      </c>
    </row>
    <row r="523" spans="29:39" x14ac:dyDescent="0.3">
      <c r="AC523">
        <f t="shared" si="52"/>
        <v>0</v>
      </c>
      <c r="AD523">
        <v>520</v>
      </c>
      <c r="AE523" s="4">
        <f t="shared" si="50"/>
        <v>42398</v>
      </c>
      <c r="AF523" s="6">
        <f t="shared" si="51"/>
        <v>-6.6942731893400387</v>
      </c>
      <c r="AG523" s="4">
        <v>42398</v>
      </c>
      <c r="AH523" s="6">
        <v>-5.3757640000000002</v>
      </c>
      <c r="AI523" s="6">
        <v>-8.5523989999999994</v>
      </c>
      <c r="AJ523" s="6">
        <v>-8.5274009999999993</v>
      </c>
      <c r="AK523" s="4">
        <v>42398</v>
      </c>
      <c r="AL523" s="6">
        <f>VLOOKUP(AK523,Sheet3!$A$1:$B$1113,2,FALSE)</f>
        <v>1.374042425141333</v>
      </c>
      <c r="AM523" s="6">
        <f t="shared" si="53"/>
        <v>-6.6942731893400387</v>
      </c>
    </row>
    <row r="524" spans="29:39" x14ac:dyDescent="0.3">
      <c r="AC524">
        <f t="shared" si="52"/>
        <v>0</v>
      </c>
      <c r="AD524">
        <v>521</v>
      </c>
      <c r="AE524" s="4">
        <f t="shared" si="50"/>
        <v>42405</v>
      </c>
      <c r="AF524" s="6">
        <f t="shared" si="51"/>
        <v>3.9155242243598121</v>
      </c>
      <c r="AG524" s="4">
        <v>42405</v>
      </c>
      <c r="AH524" s="6">
        <v>0.600769</v>
      </c>
      <c r="AI524" s="6">
        <v>3.5667810000000002</v>
      </c>
      <c r="AJ524" s="6">
        <v>4.5079950000000002</v>
      </c>
      <c r="AK524" s="4">
        <v>42405</v>
      </c>
      <c r="AL524" s="6">
        <f>VLOOKUP(AK524,Sheet3!$A$1:$B$1113,2,FALSE)</f>
        <v>1.427843389150723</v>
      </c>
      <c r="AM524" s="6">
        <f t="shared" si="53"/>
        <v>3.9155242243598121</v>
      </c>
    </row>
    <row r="525" spans="29:39" x14ac:dyDescent="0.3">
      <c r="AC525">
        <f t="shared" si="52"/>
        <v>0</v>
      </c>
      <c r="AD525">
        <v>522</v>
      </c>
      <c r="AE525" s="4">
        <f t="shared" si="50"/>
        <v>42419</v>
      </c>
      <c r="AF525" s="6">
        <f t="shared" si="51"/>
        <v>4.8228878710923517</v>
      </c>
      <c r="AG525" s="4">
        <v>42419</v>
      </c>
      <c r="AH525" s="6">
        <v>2.962275</v>
      </c>
      <c r="AI525" s="6">
        <v>5.5668839999999999</v>
      </c>
      <c r="AJ525" s="6">
        <v>6.7439730000000004</v>
      </c>
      <c r="AK525" s="4">
        <v>42419</v>
      </c>
      <c r="AL525" s="6">
        <f>VLOOKUP(AK525,Sheet3!$A$1:$B$1113,2,FALSE)</f>
        <v>1.496706674784267</v>
      </c>
      <c r="AM525" s="6">
        <f t="shared" si="53"/>
        <v>4.8228878710923517</v>
      </c>
    </row>
    <row r="526" spans="29:39" x14ac:dyDescent="0.3">
      <c r="AC526">
        <f t="shared" si="52"/>
        <v>0</v>
      </c>
      <c r="AD526">
        <v>523</v>
      </c>
      <c r="AE526" s="4">
        <f t="shared" si="50"/>
        <v>42426</v>
      </c>
      <c r="AF526" s="6">
        <f t="shared" si="51"/>
        <v>-5.8371110782217013</v>
      </c>
      <c r="AG526" s="4">
        <v>42426</v>
      </c>
      <c r="AH526" s="6">
        <v>-3.3934630000000001</v>
      </c>
      <c r="AI526" s="6">
        <v>-5.5285209999999996</v>
      </c>
      <c r="AJ526" s="6">
        <v>-6.9476329999999997</v>
      </c>
      <c r="AK526" s="4">
        <v>42426</v>
      </c>
      <c r="AL526" s="6">
        <f>VLOOKUP(AK526,Sheet3!$A$1:$B$1113,2,FALSE)</f>
        <v>1.4093422436619509</v>
      </c>
      <c r="AM526" s="6">
        <f t="shared" si="53"/>
        <v>-5.8371110782217013</v>
      </c>
    </row>
    <row r="527" spans="29:39" x14ac:dyDescent="0.3">
      <c r="AC527">
        <f t="shared" si="52"/>
        <v>0</v>
      </c>
      <c r="AD527">
        <v>524</v>
      </c>
      <c r="AE527" s="4">
        <f t="shared" si="50"/>
        <v>42433</v>
      </c>
      <c r="AF527" s="6">
        <f t="shared" si="51"/>
        <v>-1.6435690466329311</v>
      </c>
      <c r="AG527" s="4">
        <v>42433</v>
      </c>
      <c r="AH527" s="6">
        <v>4.947673</v>
      </c>
      <c r="AI527" s="6">
        <v>-0.484626</v>
      </c>
      <c r="AJ527" s="6">
        <v>-3.235004</v>
      </c>
      <c r="AK527" s="4">
        <v>42433</v>
      </c>
      <c r="AL527" s="6">
        <f>VLOOKUP(AK527,Sheet3!$A$1:$B$1113,2,FALSE)</f>
        <v>1.386178730784001</v>
      </c>
      <c r="AM527" s="6">
        <f t="shared" si="53"/>
        <v>-1.6435690466329311</v>
      </c>
    </row>
    <row r="528" spans="29:39" x14ac:dyDescent="0.3">
      <c r="AC528">
        <f t="shared" si="52"/>
        <v>0</v>
      </c>
      <c r="AD528">
        <v>525</v>
      </c>
      <c r="AE528" s="4">
        <f t="shared" si="50"/>
        <v>42440</v>
      </c>
      <c r="AF528" s="6">
        <f t="shared" si="51"/>
        <v>-1.35204724196063</v>
      </c>
      <c r="AG528" s="4">
        <v>42440</v>
      </c>
      <c r="AH528" s="6">
        <v>-2.4436909999999998</v>
      </c>
      <c r="AI528" s="6">
        <v>-2.0026389999999998</v>
      </c>
      <c r="AJ528" s="6">
        <v>-0.93321799999999999</v>
      </c>
      <c r="AK528" s="4">
        <v>42440</v>
      </c>
      <c r="AL528" s="6">
        <f>VLOOKUP(AK528,Sheet3!$A$1:$B$1113,2,FALSE)</f>
        <v>1.367436939485791</v>
      </c>
      <c r="AM528" s="6">
        <f t="shared" si="53"/>
        <v>-1.35204724196063</v>
      </c>
    </row>
    <row r="529" spans="29:39" x14ac:dyDescent="0.3">
      <c r="AC529">
        <f t="shared" si="52"/>
        <v>0</v>
      </c>
      <c r="AD529">
        <v>526</v>
      </c>
      <c r="AE529" s="4">
        <f t="shared" si="50"/>
        <v>42447</v>
      </c>
      <c r="AF529" s="6">
        <f t="shared" si="51"/>
        <v>8.1564735838592473</v>
      </c>
      <c r="AG529" s="4">
        <v>42447</v>
      </c>
      <c r="AH529" s="6">
        <v>5.0915879999999998</v>
      </c>
      <c r="AI529" s="6">
        <v>7.9920609999999996</v>
      </c>
      <c r="AJ529" s="6">
        <v>10.172530999999999</v>
      </c>
      <c r="AK529" s="4">
        <v>42447</v>
      </c>
      <c r="AL529" s="6">
        <f>VLOOKUP(AK529,Sheet3!$A$1:$B$1113,2,FALSE)</f>
        <v>1.4789715722308829</v>
      </c>
      <c r="AM529" s="6">
        <f t="shared" si="53"/>
        <v>8.1564735838592473</v>
      </c>
    </row>
    <row r="530" spans="29:39" x14ac:dyDescent="0.3">
      <c r="AC530">
        <f t="shared" si="52"/>
        <v>0</v>
      </c>
      <c r="AD530">
        <v>527</v>
      </c>
      <c r="AE530" s="4">
        <f t="shared" si="50"/>
        <v>42454</v>
      </c>
      <c r="AF530" s="6">
        <f t="shared" si="51"/>
        <v>1.5747761864176146</v>
      </c>
      <c r="AG530" s="4">
        <v>42454</v>
      </c>
      <c r="AH530" s="6">
        <v>0.81507600000000002</v>
      </c>
      <c r="AI530" s="6">
        <v>2.1543540000000001</v>
      </c>
      <c r="AJ530" s="6">
        <v>3.0385580000000001</v>
      </c>
      <c r="AK530" s="4">
        <v>42454</v>
      </c>
      <c r="AL530" s="6">
        <f>VLOOKUP(AK530,Sheet3!$A$1:$B$1113,2,FALSE)</f>
        <v>1.502262064354261</v>
      </c>
      <c r="AM530" s="6">
        <f t="shared" si="53"/>
        <v>1.5747761864176146</v>
      </c>
    </row>
    <row r="531" spans="29:39" x14ac:dyDescent="0.3">
      <c r="AC531">
        <f t="shared" si="52"/>
        <v>0</v>
      </c>
      <c r="AD531">
        <v>528</v>
      </c>
      <c r="AE531" s="4">
        <f t="shared" si="50"/>
        <v>42461</v>
      </c>
      <c r="AF531" s="6">
        <f t="shared" si="51"/>
        <v>0.71863507799656556</v>
      </c>
      <c r="AG531" s="4">
        <v>42461</v>
      </c>
      <c r="AH531" s="6">
        <v>0.75294799999999995</v>
      </c>
      <c r="AI531" s="6">
        <v>0.77494300000000005</v>
      </c>
      <c r="AJ531" s="6">
        <v>0.55187699999999995</v>
      </c>
      <c r="AK531" s="4">
        <v>42461</v>
      </c>
      <c r="AL531" s="6">
        <f>VLOOKUP(AK531,Sheet3!$A$1:$B$1113,2,FALSE)</f>
        <v>1.513057846512146</v>
      </c>
      <c r="AM531" s="6">
        <f t="shared" si="53"/>
        <v>0.71863507799656556</v>
      </c>
    </row>
    <row r="532" spans="29:39" x14ac:dyDescent="0.3">
      <c r="AC532">
        <f t="shared" si="52"/>
        <v>0</v>
      </c>
      <c r="AD532">
        <v>529</v>
      </c>
      <c r="AE532" s="4">
        <f t="shared" si="50"/>
        <v>42468</v>
      </c>
      <c r="AF532" s="6">
        <f t="shared" si="51"/>
        <v>0.42653073933807129</v>
      </c>
      <c r="AG532" s="4">
        <v>42468</v>
      </c>
      <c r="AH532" s="6">
        <v>-1.1226</v>
      </c>
      <c r="AI532" s="6">
        <v>0.72191899999999998</v>
      </c>
      <c r="AJ532" s="6">
        <v>1.1310579999999999</v>
      </c>
      <c r="AK532" s="4">
        <v>42468</v>
      </c>
      <c r="AL532" s="6">
        <f>VLOOKUP(AK532,Sheet3!$A$1:$B$1113,2,FALSE)</f>
        <v>1.519511503331487</v>
      </c>
      <c r="AM532" s="6">
        <f t="shared" si="53"/>
        <v>0.42653073933807129</v>
      </c>
    </row>
    <row r="533" spans="29:39" x14ac:dyDescent="0.3">
      <c r="AC533">
        <f t="shared" si="52"/>
        <v>0</v>
      </c>
      <c r="AD533">
        <v>530</v>
      </c>
      <c r="AE533" s="4">
        <f t="shared" si="50"/>
        <v>42475</v>
      </c>
      <c r="AF533" s="6">
        <f t="shared" si="51"/>
        <v>3.1286949675862985</v>
      </c>
      <c r="AG533" s="4">
        <v>42475</v>
      </c>
      <c r="AH533" s="6">
        <v>2.7145929999999998</v>
      </c>
      <c r="AI533" s="6">
        <v>3.4951650000000001</v>
      </c>
      <c r="AJ533" s="6">
        <v>4.2068940000000001</v>
      </c>
      <c r="AK533" s="4">
        <v>42475</v>
      </c>
      <c r="AL533" s="6">
        <f>VLOOKUP(AK533,Sheet3!$A$1:$B$1113,2,FALSE)</f>
        <v>1.567052383268114</v>
      </c>
      <c r="AM533" s="6">
        <f t="shared" si="53"/>
        <v>3.1286949675862985</v>
      </c>
    </row>
    <row r="534" spans="29:39" x14ac:dyDescent="0.3">
      <c r="AC534">
        <f t="shared" si="52"/>
        <v>0</v>
      </c>
      <c r="AD534">
        <v>531</v>
      </c>
      <c r="AE534" s="4">
        <f t="shared" si="50"/>
        <v>42482</v>
      </c>
      <c r="AF534" s="6">
        <f t="shared" si="51"/>
        <v>-4.5074008941371151</v>
      </c>
      <c r="AG534" s="4">
        <v>42482</v>
      </c>
      <c r="AH534" s="6">
        <v>-2.9736549999999999</v>
      </c>
      <c r="AI534" s="6">
        <v>-5.8428740000000001</v>
      </c>
      <c r="AJ534" s="6">
        <v>-6.3190200000000001</v>
      </c>
      <c r="AK534" s="4">
        <v>42482</v>
      </c>
      <c r="AL534" s="6">
        <f>VLOOKUP(AK534,Sheet3!$A$1:$B$1113,2,FALSE)</f>
        <v>1.4964190501330901</v>
      </c>
      <c r="AM534" s="6">
        <f t="shared" si="53"/>
        <v>-4.5074008941371151</v>
      </c>
    </row>
    <row r="535" spans="29:39" x14ac:dyDescent="0.3">
      <c r="AC535">
        <f t="shared" si="52"/>
        <v>0</v>
      </c>
      <c r="AD535">
        <v>532</v>
      </c>
      <c r="AE535" s="4">
        <f t="shared" si="50"/>
        <v>42489</v>
      </c>
      <c r="AF535" s="6">
        <f t="shared" si="51"/>
        <v>0.4893752267576712</v>
      </c>
      <c r="AG535" s="4">
        <v>42489</v>
      </c>
      <c r="AH535" s="6">
        <v>-0.57186300000000001</v>
      </c>
      <c r="AI535" s="6">
        <v>-0.42796099999999998</v>
      </c>
      <c r="AJ535" s="6">
        <v>0.11197799999999999</v>
      </c>
      <c r="AK535" s="4">
        <v>42489</v>
      </c>
      <c r="AL535" s="6">
        <f>VLOOKUP(AK535,Sheet3!$A$1:$B$1113,2,FALSE)</f>
        <v>1.5037421542529239</v>
      </c>
      <c r="AM535" s="6">
        <f t="shared" si="53"/>
        <v>0.4893752267576712</v>
      </c>
    </row>
    <row r="536" spans="29:39" x14ac:dyDescent="0.3">
      <c r="AC536">
        <f t="shared" si="52"/>
        <v>0</v>
      </c>
      <c r="AD536">
        <v>533</v>
      </c>
      <c r="AE536" s="4">
        <f t="shared" si="50"/>
        <v>42496</v>
      </c>
      <c r="AF536" s="6">
        <f t="shared" si="51"/>
        <v>-0.19081438307457788</v>
      </c>
      <c r="AG536" s="4">
        <v>42496</v>
      </c>
      <c r="AH536" s="6">
        <v>-0.83601000000000003</v>
      </c>
      <c r="AI536" s="6">
        <v>-0.40271699999999999</v>
      </c>
      <c r="AJ536" s="6">
        <v>-0.18892900000000001</v>
      </c>
      <c r="AK536" s="4">
        <v>42496</v>
      </c>
      <c r="AL536" s="6">
        <f>VLOOKUP(AK536,Sheet3!$A$1:$B$1113,2,FALSE)</f>
        <v>1.5008727979382539</v>
      </c>
      <c r="AM536" s="6">
        <f t="shared" si="53"/>
        <v>-0.19081438307457788</v>
      </c>
    </row>
    <row r="537" spans="29:39" x14ac:dyDescent="0.3">
      <c r="AC537">
        <f t="shared" si="52"/>
        <v>0</v>
      </c>
      <c r="AD537">
        <v>534</v>
      </c>
      <c r="AE537" s="4">
        <f t="shared" si="50"/>
        <v>42503</v>
      </c>
      <c r="AF537" s="6">
        <f t="shared" si="51"/>
        <v>-3.0655771608283033</v>
      </c>
      <c r="AG537" s="4">
        <v>42503</v>
      </c>
      <c r="AH537" s="6">
        <v>-1.770384</v>
      </c>
      <c r="AI537" s="6">
        <v>-4.1462510000000004</v>
      </c>
      <c r="AJ537" s="6">
        <v>-5.6678879999999996</v>
      </c>
      <c r="AK537" s="4">
        <v>42503</v>
      </c>
      <c r="AL537" s="6">
        <f>VLOOKUP(AK537,Sheet3!$A$1:$B$1113,2,FALSE)</f>
        <v>1.454862384231574</v>
      </c>
      <c r="AM537" s="6">
        <f t="shared" si="53"/>
        <v>-3.0655771608283033</v>
      </c>
    </row>
    <row r="538" spans="29:39" x14ac:dyDescent="0.3">
      <c r="AC538">
        <f t="shared" si="52"/>
        <v>0</v>
      </c>
      <c r="AD538">
        <v>535</v>
      </c>
      <c r="AE538" s="4">
        <f t="shared" si="50"/>
        <v>42510</v>
      </c>
      <c r="AF538" s="6">
        <f t="shared" si="51"/>
        <v>0.24195012925922743</v>
      </c>
      <c r="AG538" s="4">
        <v>42510</v>
      </c>
      <c r="AH538" s="6">
        <v>0.10677300000000001</v>
      </c>
      <c r="AI538" s="6">
        <v>0.32534299999999999</v>
      </c>
      <c r="AJ538" s="6">
        <v>0.68107300000000004</v>
      </c>
      <c r="AK538" s="4">
        <v>42510</v>
      </c>
      <c r="AL538" s="6">
        <f>VLOOKUP(AK538,Sheet3!$A$1:$B$1113,2,FALSE)</f>
        <v>1.458382425650766</v>
      </c>
      <c r="AM538" s="6">
        <f t="shared" si="53"/>
        <v>0.24195012925922743</v>
      </c>
    </row>
    <row r="539" spans="29:39" x14ac:dyDescent="0.3">
      <c r="AC539">
        <f t="shared" si="52"/>
        <v>0</v>
      </c>
      <c r="AD539">
        <v>536</v>
      </c>
      <c r="AE539" s="4">
        <f t="shared" si="50"/>
        <v>42517</v>
      </c>
      <c r="AF539" s="6">
        <f t="shared" si="51"/>
        <v>0.35838778024979145</v>
      </c>
      <c r="AG539" s="4">
        <v>42517</v>
      </c>
      <c r="AH539" s="6">
        <v>-0.51065300000000002</v>
      </c>
      <c r="AI539" s="6">
        <v>0.116658</v>
      </c>
      <c r="AJ539" s="6">
        <v>0.67092799999999997</v>
      </c>
      <c r="AK539" s="4">
        <v>42517</v>
      </c>
      <c r="AL539" s="6">
        <f>VLOOKUP(AK539,Sheet3!$A$1:$B$1113,2,FALSE)</f>
        <v>1.463609090053609</v>
      </c>
      <c r="AM539" s="6">
        <f t="shared" si="53"/>
        <v>0.35838778024979145</v>
      </c>
    </row>
    <row r="540" spans="29:39" x14ac:dyDescent="0.3">
      <c r="AC540">
        <f t="shared" si="52"/>
        <v>0</v>
      </c>
      <c r="AD540">
        <v>537</v>
      </c>
      <c r="AE540" s="4">
        <f t="shared" si="50"/>
        <v>42524</v>
      </c>
      <c r="AF540" s="6">
        <f t="shared" si="51"/>
        <v>4.7705169418886806</v>
      </c>
      <c r="AG540" s="4">
        <v>42524</v>
      </c>
      <c r="AH540" s="6">
        <v>4.1412649999999998</v>
      </c>
      <c r="AI540" s="6">
        <v>5.1051260000000003</v>
      </c>
      <c r="AJ540" s="6">
        <v>6.0521640000000003</v>
      </c>
      <c r="AK540" s="4">
        <v>42524</v>
      </c>
      <c r="AL540" s="6">
        <f>VLOOKUP(AK540,Sheet3!$A$1:$B$1113,2,FALSE)</f>
        <v>1.533430809657639</v>
      </c>
      <c r="AM540" s="6">
        <f t="shared" si="53"/>
        <v>4.7705169418886806</v>
      </c>
    </row>
    <row r="541" spans="29:39" x14ac:dyDescent="0.3">
      <c r="AC541">
        <f t="shared" si="52"/>
        <v>0</v>
      </c>
      <c r="AD541">
        <v>538</v>
      </c>
      <c r="AE541" s="4">
        <f t="shared" si="50"/>
        <v>42529</v>
      </c>
      <c r="AF541" s="6">
        <f t="shared" si="51"/>
        <v>0.23460285732632702</v>
      </c>
      <c r="AG541" s="4">
        <v>42529</v>
      </c>
      <c r="AH541" s="6">
        <v>-0.79449700000000001</v>
      </c>
      <c r="AI541" s="6">
        <v>-0.14463699999999999</v>
      </c>
      <c r="AJ541" s="6">
        <v>0.47818699999999997</v>
      </c>
      <c r="AK541" s="4">
        <v>42529</v>
      </c>
      <c r="AL541" s="6">
        <f>VLOOKUP(AK541,Sheet3!$A$1:$B$1113,2,FALSE)</f>
        <v>1.5370282821522181</v>
      </c>
      <c r="AM541" s="6">
        <f t="shared" si="53"/>
        <v>0.23460285732632702</v>
      </c>
    </row>
    <row r="542" spans="29:39" x14ac:dyDescent="0.3">
      <c r="AC542">
        <f t="shared" si="52"/>
        <v>0</v>
      </c>
      <c r="AD542">
        <v>539</v>
      </c>
      <c r="AE542" s="4">
        <f t="shared" si="50"/>
        <v>42538</v>
      </c>
      <c r="AF542" s="6">
        <f t="shared" si="51"/>
        <v>3.5403384661680803E-3</v>
      </c>
      <c r="AG542" s="4">
        <v>42538</v>
      </c>
      <c r="AH542" s="6">
        <v>-1.6949879999999999</v>
      </c>
      <c r="AI542" s="6">
        <v>-0.98948199999999997</v>
      </c>
      <c r="AJ542" s="6">
        <v>-0.20616999999999999</v>
      </c>
      <c r="AK542" s="4">
        <v>42538</v>
      </c>
      <c r="AL542" s="6">
        <f>VLOOKUP(AK542,Sheet3!$A$1:$B$1113,2,FALSE)</f>
        <v>1.5370826981557271</v>
      </c>
      <c r="AM542" s="6">
        <f t="shared" si="53"/>
        <v>3.5403384661680803E-3</v>
      </c>
    </row>
    <row r="543" spans="29:39" x14ac:dyDescent="0.3">
      <c r="AC543">
        <f t="shared" si="52"/>
        <v>0</v>
      </c>
      <c r="AD543">
        <v>540</v>
      </c>
      <c r="AE543" s="4">
        <f t="shared" si="50"/>
        <v>42545</v>
      </c>
      <c r="AF543" s="6">
        <f t="shared" si="51"/>
        <v>-6.5460106059633816E-2</v>
      </c>
      <c r="AG543" s="4">
        <v>42545</v>
      </c>
      <c r="AH543" s="6">
        <v>-1.0674589999999999</v>
      </c>
      <c r="AI543" s="6">
        <v>-1.0169250000000001</v>
      </c>
      <c r="AJ543" s="6">
        <v>0.170125</v>
      </c>
      <c r="AK543" s="4">
        <v>42545</v>
      </c>
      <c r="AL543" s="6">
        <f>VLOOKUP(AK543,Sheet3!$A$1:$B$1113,2,FALSE)</f>
        <v>1.53607652219129</v>
      </c>
      <c r="AM543" s="6">
        <f t="shared" si="53"/>
        <v>-6.5460106059633816E-2</v>
      </c>
    </row>
    <row r="544" spans="29:39" x14ac:dyDescent="0.3">
      <c r="AC544">
        <f t="shared" si="52"/>
        <v>0</v>
      </c>
      <c r="AD544">
        <v>541</v>
      </c>
      <c r="AE544" s="4">
        <f t="shared" si="50"/>
        <v>42552</v>
      </c>
      <c r="AF544" s="6">
        <f t="shared" si="51"/>
        <v>2.5380976709207692</v>
      </c>
      <c r="AG544" s="4">
        <v>42552</v>
      </c>
      <c r="AH544" s="6">
        <v>2.5037699999999998</v>
      </c>
      <c r="AI544" s="6">
        <v>3.5218780000000001</v>
      </c>
      <c r="AJ544" s="6">
        <v>3.342041</v>
      </c>
      <c r="AK544" s="4">
        <v>42552</v>
      </c>
      <c r="AL544" s="6">
        <f>VLOOKUP(AK544,Sheet3!$A$1:$B$1113,2,FALSE)</f>
        <v>1.575063644624588</v>
      </c>
      <c r="AM544" s="6">
        <f t="shared" si="53"/>
        <v>2.5380976709207692</v>
      </c>
    </row>
    <row r="545" spans="29:39" x14ac:dyDescent="0.3">
      <c r="AC545">
        <f t="shared" si="52"/>
        <v>0</v>
      </c>
      <c r="AD545">
        <v>542</v>
      </c>
      <c r="AE545" s="4">
        <f t="shared" si="50"/>
        <v>42559</v>
      </c>
      <c r="AF545" s="6">
        <f t="shared" si="51"/>
        <v>2.3573283227771302</v>
      </c>
      <c r="AG545" s="4">
        <v>42559</v>
      </c>
      <c r="AH545" s="6">
        <v>1.207282</v>
      </c>
      <c r="AI545" s="6">
        <v>3.081299</v>
      </c>
      <c r="AJ545" s="6">
        <v>2.6260330000000001</v>
      </c>
      <c r="AK545" s="4">
        <v>42559</v>
      </c>
      <c r="AL545" s="6">
        <f>VLOOKUP(AK545,Sheet3!$A$1:$B$1113,2,FALSE)</f>
        <v>1.612193066021089</v>
      </c>
      <c r="AM545" s="6">
        <f t="shared" si="53"/>
        <v>2.3573283227771302</v>
      </c>
    </row>
    <row r="546" spans="29:39" x14ac:dyDescent="0.3">
      <c r="AC546">
        <f t="shared" si="52"/>
        <v>0</v>
      </c>
      <c r="AD546">
        <v>543</v>
      </c>
      <c r="AE546" s="4">
        <f t="shared" si="50"/>
        <v>42566</v>
      </c>
      <c r="AF546" s="6">
        <f t="shared" si="51"/>
        <v>0.89862216375811155</v>
      </c>
      <c r="AG546" s="4">
        <v>42566</v>
      </c>
      <c r="AH546" s="6">
        <v>2.6312570000000002</v>
      </c>
      <c r="AI546" s="6">
        <v>2.2407279999999998</v>
      </c>
      <c r="AJ546" s="6">
        <v>0.48803999999999997</v>
      </c>
      <c r="AK546" s="4">
        <v>42566</v>
      </c>
      <c r="AL546" s="6">
        <f>VLOOKUP(AK546,Sheet3!$A$1:$B$1113,2,FALSE)</f>
        <v>1.6266805902349259</v>
      </c>
      <c r="AM546" s="6">
        <f t="shared" si="53"/>
        <v>0.89862216375811155</v>
      </c>
    </row>
    <row r="547" spans="29:39" x14ac:dyDescent="0.3">
      <c r="AC547">
        <f t="shared" si="52"/>
        <v>0</v>
      </c>
      <c r="AD547">
        <v>544</v>
      </c>
      <c r="AE547" s="4">
        <f t="shared" si="50"/>
        <v>42573</v>
      </c>
      <c r="AF547" s="6">
        <f t="shared" si="51"/>
        <v>-1.1687751424384496</v>
      </c>
      <c r="AG547" s="4">
        <v>42573</v>
      </c>
      <c r="AH547" s="6">
        <v>-1.5601670000000001</v>
      </c>
      <c r="AI547" s="6">
        <v>-0.77768000000000004</v>
      </c>
      <c r="AJ547" s="6">
        <v>-0.56685300000000005</v>
      </c>
      <c r="AK547" s="4">
        <v>42573</v>
      </c>
      <c r="AL547" s="6">
        <f>VLOOKUP(AK547,Sheet3!$A$1:$B$1113,2,FALSE)</f>
        <v>1.6076683518493891</v>
      </c>
      <c r="AM547" s="6">
        <f t="shared" si="53"/>
        <v>-1.1687751424384496</v>
      </c>
    </row>
    <row r="548" spans="29:39" x14ac:dyDescent="0.3">
      <c r="AC548">
        <f t="shared" si="52"/>
        <v>0</v>
      </c>
      <c r="AD548">
        <v>545</v>
      </c>
      <c r="AE548" s="4">
        <f t="shared" si="50"/>
        <v>42580</v>
      </c>
      <c r="AF548" s="6">
        <f t="shared" si="51"/>
        <v>-2.3699791506592072</v>
      </c>
      <c r="AG548" s="4">
        <v>42580</v>
      </c>
      <c r="AH548" s="6">
        <v>-0.65831399999999995</v>
      </c>
      <c r="AI548" s="6">
        <v>-2.9421889999999999</v>
      </c>
      <c r="AJ548" s="6">
        <v>-4.8239739999999998</v>
      </c>
      <c r="AK548" s="4">
        <v>42580</v>
      </c>
      <c r="AL548" s="6">
        <f>VLOOKUP(AK548,Sheet3!$A$1:$B$1113,2,FALSE)</f>
        <v>1.5695669470988121</v>
      </c>
      <c r="AM548" s="6">
        <f t="shared" si="53"/>
        <v>-2.3699791506592072</v>
      </c>
    </row>
    <row r="549" spans="29:39" x14ac:dyDescent="0.3">
      <c r="AC549">
        <f t="shared" si="52"/>
        <v>0</v>
      </c>
      <c r="AD549">
        <v>546</v>
      </c>
      <c r="AE549" s="4">
        <f t="shared" si="50"/>
        <v>42587</v>
      </c>
      <c r="AF549" s="6">
        <f t="shared" si="51"/>
        <v>-0.20491607877262119</v>
      </c>
      <c r="AG549" s="4">
        <v>42587</v>
      </c>
      <c r="AH549" s="6">
        <v>3.6819999999999999E-2</v>
      </c>
      <c r="AI549" s="6">
        <v>6.3660000000000001E-3</v>
      </c>
      <c r="AJ549" s="6">
        <v>5.0271000000000003E-2</v>
      </c>
      <c r="AK549" s="4">
        <v>42587</v>
      </c>
      <c r="AL549" s="6">
        <f>VLOOKUP(AK549,Sheet3!$A$1:$B$1113,2,FALSE)</f>
        <v>1.566350652057106</v>
      </c>
      <c r="AM549" s="6">
        <f t="shared" si="53"/>
        <v>-0.20491607877262119</v>
      </c>
    </row>
    <row r="550" spans="29:39" x14ac:dyDescent="0.3">
      <c r="AC550">
        <f t="shared" si="52"/>
        <v>0</v>
      </c>
      <c r="AD550">
        <v>547</v>
      </c>
      <c r="AE550" s="4">
        <f t="shared" si="50"/>
        <v>42594</v>
      </c>
      <c r="AF550" s="6">
        <f t="shared" si="51"/>
        <v>0.84433302177020497</v>
      </c>
      <c r="AG550" s="4">
        <v>42594</v>
      </c>
      <c r="AH550" s="6">
        <v>2.780672</v>
      </c>
      <c r="AI550" s="6">
        <v>1.5444119999999999</v>
      </c>
      <c r="AJ550" s="6">
        <v>1.2896510000000001</v>
      </c>
      <c r="AK550" s="4">
        <v>42594</v>
      </c>
      <c r="AL550" s="6">
        <f>VLOOKUP(AK550,Sheet3!$A$1:$B$1113,2,FALSE)</f>
        <v>1.5795758678491369</v>
      </c>
      <c r="AM550" s="6">
        <f t="shared" si="53"/>
        <v>0.84433302177020497</v>
      </c>
    </row>
    <row r="551" spans="29:39" x14ac:dyDescent="0.3">
      <c r="AC551">
        <f t="shared" si="52"/>
        <v>0</v>
      </c>
      <c r="AD551">
        <v>548</v>
      </c>
      <c r="AE551" s="4">
        <f t="shared" si="50"/>
        <v>42601</v>
      </c>
      <c r="AF551" s="6">
        <f t="shared" si="51"/>
        <v>2.1128335709148516</v>
      </c>
      <c r="AG551" s="4">
        <v>42601</v>
      </c>
      <c r="AH551" s="6">
        <v>2.1487850000000002</v>
      </c>
      <c r="AI551" s="6">
        <v>3.1824159999999999</v>
      </c>
      <c r="AJ551" s="6">
        <v>3.5787300000000002</v>
      </c>
      <c r="AK551" s="4">
        <v>42601</v>
      </c>
      <c r="AL551" s="6">
        <f>VLOOKUP(AK551,Sheet3!$A$1:$B$1113,2,FALSE)</f>
        <v>1.6129496770631231</v>
      </c>
      <c r="AM551" s="6">
        <f t="shared" si="53"/>
        <v>2.1128335709148516</v>
      </c>
    </row>
    <row r="552" spans="29:39" x14ac:dyDescent="0.3">
      <c r="AC552">
        <f t="shared" si="52"/>
        <v>0</v>
      </c>
      <c r="AD552">
        <v>549</v>
      </c>
      <c r="AE552" s="4">
        <f t="shared" si="50"/>
        <v>42608</v>
      </c>
      <c r="AF552" s="6">
        <f t="shared" si="51"/>
        <v>-0.5412704819762082</v>
      </c>
      <c r="AG552" s="4">
        <v>42608</v>
      </c>
      <c r="AH552" s="6">
        <v>-1.7215199999999999</v>
      </c>
      <c r="AI552" s="6">
        <v>-1.3665750000000001</v>
      </c>
      <c r="AJ552" s="6">
        <v>-1.2203740000000001</v>
      </c>
      <c r="AK552" s="4">
        <v>42608</v>
      </c>
      <c r="AL552" s="6">
        <f>VLOOKUP(AK552,Sheet3!$A$1:$B$1113,2,FALSE)</f>
        <v>1.6042192565720499</v>
      </c>
      <c r="AM552" s="6">
        <f t="shared" si="53"/>
        <v>-0.5412704819762082</v>
      </c>
    </row>
    <row r="553" spans="29:39" x14ac:dyDescent="0.3">
      <c r="AC553">
        <f t="shared" si="52"/>
        <v>0</v>
      </c>
      <c r="AD553">
        <v>550</v>
      </c>
      <c r="AE553" s="4">
        <f t="shared" si="50"/>
        <v>42615</v>
      </c>
      <c r="AF553" s="6">
        <f t="shared" si="51"/>
        <v>-0.86244514311990539</v>
      </c>
      <c r="AG553" s="4">
        <v>42615</v>
      </c>
      <c r="AH553" s="6">
        <v>0.212392</v>
      </c>
      <c r="AI553" s="6">
        <v>-0.83890100000000001</v>
      </c>
      <c r="AJ553" s="6">
        <v>-1.0156339999999999</v>
      </c>
      <c r="AK553" s="4">
        <v>42615</v>
      </c>
      <c r="AL553" s="6">
        <f>VLOOKUP(AK553,Sheet3!$A$1:$B$1113,2,FALSE)</f>
        <v>1.5903837455087499</v>
      </c>
      <c r="AM553" s="6">
        <f t="shared" si="53"/>
        <v>-0.86244514311990539</v>
      </c>
    </row>
    <row r="554" spans="29:39" x14ac:dyDescent="0.3">
      <c r="AC554">
        <f t="shared" si="52"/>
        <v>0</v>
      </c>
      <c r="AD554">
        <v>551</v>
      </c>
      <c r="AE554" s="4">
        <f t="shared" si="50"/>
        <v>42622</v>
      </c>
      <c r="AF554" s="6">
        <f t="shared" si="51"/>
        <v>1.362766406407534</v>
      </c>
      <c r="AG554" s="4">
        <v>42622</v>
      </c>
      <c r="AH554" s="6">
        <v>0.118578</v>
      </c>
      <c r="AI554" s="6">
        <v>1.794872</v>
      </c>
      <c r="AJ554" s="6">
        <v>1.6890860000000001</v>
      </c>
      <c r="AK554" s="4">
        <v>42622</v>
      </c>
      <c r="AL554" s="6">
        <f>VLOOKUP(AK554,Sheet3!$A$1:$B$1113,2,FALSE)</f>
        <v>1.6120569609255091</v>
      </c>
      <c r="AM554" s="6">
        <f t="shared" si="53"/>
        <v>1.362766406407534</v>
      </c>
    </row>
    <row r="555" spans="29:39" x14ac:dyDescent="0.3">
      <c r="AC555">
        <f t="shared" si="52"/>
        <v>0</v>
      </c>
      <c r="AD555">
        <v>552</v>
      </c>
      <c r="AE555" s="4">
        <f t="shared" si="50"/>
        <v>42627</v>
      </c>
      <c r="AF555" s="6">
        <f t="shared" si="51"/>
        <v>-2.2220670997831649</v>
      </c>
      <c r="AG555" s="4">
        <v>42627</v>
      </c>
      <c r="AH555" s="6">
        <v>-2.390387</v>
      </c>
      <c r="AI555" s="6">
        <v>-2.98089</v>
      </c>
      <c r="AJ555" s="6">
        <v>-2.8646889999999998</v>
      </c>
      <c r="AK555" s="4">
        <v>42627</v>
      </c>
      <c r="AL555" s="6">
        <f>VLOOKUP(AK555,Sheet3!$A$1:$B$1113,2,FALSE)</f>
        <v>1.5762359735670191</v>
      </c>
      <c r="AM555" s="6">
        <f t="shared" si="53"/>
        <v>-2.2220670997831649</v>
      </c>
    </row>
    <row r="556" spans="29:39" x14ac:dyDescent="0.3">
      <c r="AC556">
        <f t="shared" si="52"/>
        <v>0</v>
      </c>
      <c r="AD556">
        <v>553</v>
      </c>
      <c r="AE556" s="4">
        <f t="shared" si="50"/>
        <v>42636</v>
      </c>
      <c r="AF556" s="6">
        <f t="shared" si="51"/>
        <v>1.4309714726604694</v>
      </c>
      <c r="AG556" s="4">
        <v>42636</v>
      </c>
      <c r="AH556" s="6">
        <v>1.140466</v>
      </c>
      <c r="AI556" s="6">
        <v>1.4721740000000001</v>
      </c>
      <c r="AJ556" s="6">
        <v>1.2933330000000001</v>
      </c>
      <c r="AK556" s="4">
        <v>42636</v>
      </c>
      <c r="AL556" s="6">
        <f>VLOOKUP(AK556,Sheet3!$A$1:$B$1113,2,FALSE)</f>
        <v>1.5987914606905751</v>
      </c>
      <c r="AM556" s="6">
        <f t="shared" si="53"/>
        <v>1.4309714726604694</v>
      </c>
    </row>
    <row r="557" spans="29:39" x14ac:dyDescent="0.3">
      <c r="AC557">
        <f t="shared" si="52"/>
        <v>0</v>
      </c>
      <c r="AD557">
        <v>554</v>
      </c>
      <c r="AE557" s="4">
        <f t="shared" si="50"/>
        <v>42643</v>
      </c>
      <c r="AF557" s="6">
        <f t="shared" si="51"/>
        <v>-0.47983729918906759</v>
      </c>
      <c r="AG557" s="4">
        <v>42643</v>
      </c>
      <c r="AH557" s="6">
        <v>-0.68327199999999999</v>
      </c>
      <c r="AI557" s="6">
        <v>-0.66709399999999996</v>
      </c>
      <c r="AJ557" s="6">
        <v>-0.78573599999999999</v>
      </c>
      <c r="AK557" s="4">
        <v>42643</v>
      </c>
      <c r="AL557" s="6">
        <f>VLOOKUP(AK557,Sheet3!$A$1:$B$1113,2,FALSE)</f>
        <v>1.591119862925932</v>
      </c>
      <c r="AM557" s="6">
        <f t="shared" si="53"/>
        <v>-0.47983729918906759</v>
      </c>
    </row>
    <row r="558" spans="29:39" x14ac:dyDescent="0.3">
      <c r="AC558">
        <f t="shared" si="52"/>
        <v>0</v>
      </c>
      <c r="AD558">
        <v>555</v>
      </c>
      <c r="AE558" s="4">
        <f t="shared" si="50"/>
        <v>42657</v>
      </c>
      <c r="AF558" s="6">
        <f t="shared" si="51"/>
        <v>1.8029158414580859</v>
      </c>
      <c r="AG558" s="4">
        <v>42657</v>
      </c>
      <c r="AH558" s="6">
        <v>1.615699</v>
      </c>
      <c r="AI558" s="6">
        <v>2.2345760000000001</v>
      </c>
      <c r="AJ558" s="6">
        <v>2.917395</v>
      </c>
      <c r="AK558" s="4">
        <v>42657</v>
      </c>
      <c r="AL558" s="6">
        <f>VLOOKUP(AK558,Sheet3!$A$1:$B$1113,2,FALSE)</f>
        <v>1.6198064149912099</v>
      </c>
      <c r="AM558" s="6">
        <f t="shared" si="53"/>
        <v>1.8029158414580859</v>
      </c>
    </row>
    <row r="559" spans="29:39" x14ac:dyDescent="0.3">
      <c r="AC559">
        <f t="shared" si="52"/>
        <v>0</v>
      </c>
      <c r="AD559">
        <v>556</v>
      </c>
      <c r="AE559" s="4">
        <f t="shared" si="50"/>
        <v>42664</v>
      </c>
      <c r="AF559" s="6">
        <f t="shared" si="51"/>
        <v>3.2572773112526932E-2</v>
      </c>
      <c r="AG559" s="4">
        <v>42664</v>
      </c>
      <c r="AH559" s="6">
        <v>0.66221699999999994</v>
      </c>
      <c r="AI559" s="6">
        <v>8.9484999999999995E-2</v>
      </c>
      <c r="AJ559" s="6">
        <v>0.32888699999999998</v>
      </c>
      <c r="AK559" s="4">
        <v>42664</v>
      </c>
      <c r="AL559" s="6">
        <f>VLOOKUP(AK559,Sheet3!$A$1:$B$1113,2,FALSE)</f>
        <v>1.620334030859627</v>
      </c>
      <c r="AM559" s="6">
        <f t="shared" si="53"/>
        <v>3.2572773112526932E-2</v>
      </c>
    </row>
    <row r="560" spans="29:39" x14ac:dyDescent="0.3">
      <c r="AC560">
        <f t="shared" si="52"/>
        <v>0</v>
      </c>
      <c r="AD560">
        <v>557</v>
      </c>
      <c r="AE560" s="4">
        <f t="shared" si="50"/>
        <v>42671</v>
      </c>
      <c r="AF560" s="6">
        <f t="shared" si="51"/>
        <v>-0.21021268238894386</v>
      </c>
      <c r="AG560" s="4">
        <v>42671</v>
      </c>
      <c r="AH560" s="6">
        <v>0.37221100000000001</v>
      </c>
      <c r="AI560" s="6">
        <v>-0.30030800000000002</v>
      </c>
      <c r="AJ560" s="6">
        <v>-0.31750499999999998</v>
      </c>
      <c r="AK560" s="4">
        <v>42671</v>
      </c>
      <c r="AL560" s="6">
        <f>VLOOKUP(AK560,Sheet3!$A$1:$B$1113,2,FALSE)</f>
        <v>1.6169278832296961</v>
      </c>
      <c r="AM560" s="6">
        <f t="shared" si="53"/>
        <v>-0.21021268238894386</v>
      </c>
    </row>
    <row r="561" spans="29:39" x14ac:dyDescent="0.3">
      <c r="AC561">
        <f t="shared" si="52"/>
        <v>0</v>
      </c>
      <c r="AD561">
        <v>558</v>
      </c>
      <c r="AE561" s="4">
        <f t="shared" si="50"/>
        <v>42678</v>
      </c>
      <c r="AF561" s="6">
        <f t="shared" si="51"/>
        <v>0.23259658256427063</v>
      </c>
      <c r="AG561" s="4">
        <v>42678</v>
      </c>
      <c r="AH561" s="6">
        <v>0.42060399999999998</v>
      </c>
      <c r="AI561" s="6">
        <v>0.10467899999999999</v>
      </c>
      <c r="AJ561" s="6">
        <v>0.73261100000000001</v>
      </c>
      <c r="AK561" s="4">
        <v>42678</v>
      </c>
      <c r="AL561" s="6">
        <f>VLOOKUP(AK561,Sheet3!$A$1:$B$1113,2,FALSE)</f>
        <v>1.620688802228617</v>
      </c>
      <c r="AM561" s="6">
        <f t="shared" si="53"/>
        <v>0.23259658256427063</v>
      </c>
    </row>
    <row r="562" spans="29:39" x14ac:dyDescent="0.3">
      <c r="AC562">
        <f t="shared" si="52"/>
        <v>0</v>
      </c>
      <c r="AD562">
        <v>559</v>
      </c>
      <c r="AE562" s="4">
        <f t="shared" si="50"/>
        <v>42685</v>
      </c>
      <c r="AF562" s="6">
        <f t="shared" si="51"/>
        <v>1.1190871664048085</v>
      </c>
      <c r="AG562" s="4">
        <v>42685</v>
      </c>
      <c r="AH562" s="6">
        <v>1.879634</v>
      </c>
      <c r="AI562" s="6">
        <v>1.876857</v>
      </c>
      <c r="AJ562" s="6">
        <v>1.576662</v>
      </c>
      <c r="AK562" s="4">
        <v>42685</v>
      </c>
      <c r="AL562" s="6">
        <f>VLOOKUP(AK562,Sheet3!$A$1:$B$1113,2,FALSE)</f>
        <v>1.6388257226217171</v>
      </c>
      <c r="AM562" s="6">
        <f t="shared" si="53"/>
        <v>1.1190871664048085</v>
      </c>
    </row>
    <row r="563" spans="29:39" x14ac:dyDescent="0.3">
      <c r="AC563">
        <f t="shared" si="52"/>
        <v>0</v>
      </c>
      <c r="AD563">
        <v>560</v>
      </c>
      <c r="AE563" s="4">
        <f t="shared" si="50"/>
        <v>42692</v>
      </c>
      <c r="AF563" s="6">
        <f t="shared" si="51"/>
        <v>-0.12848761254707908</v>
      </c>
      <c r="AG563" s="4">
        <v>42692</v>
      </c>
      <c r="AH563" s="6">
        <v>6.8560000000000001E-3</v>
      </c>
      <c r="AI563" s="6">
        <v>0.28007900000000002</v>
      </c>
      <c r="AJ563" s="6">
        <v>0.270839</v>
      </c>
      <c r="AK563" s="4">
        <v>42692</v>
      </c>
      <c r="AL563" s="6">
        <f>VLOOKUP(AK563,Sheet3!$A$1:$B$1113,2,FALSE)</f>
        <v>1.6367200345769131</v>
      </c>
      <c r="AM563" s="6">
        <f t="shared" si="53"/>
        <v>-0.12848761254707908</v>
      </c>
    </row>
    <row r="564" spans="29:39" x14ac:dyDescent="0.3">
      <c r="AC564">
        <f t="shared" si="52"/>
        <v>0</v>
      </c>
      <c r="AD564">
        <v>561</v>
      </c>
      <c r="AE564" s="4">
        <f t="shared" si="50"/>
        <v>42699</v>
      </c>
      <c r="AF564" s="6">
        <f t="shared" si="51"/>
        <v>0.58743910022678314</v>
      </c>
      <c r="AG564" s="4">
        <v>42699</v>
      </c>
      <c r="AH564" s="6">
        <v>3.0386060000000001</v>
      </c>
      <c r="AI564" s="6">
        <v>0.76474900000000001</v>
      </c>
      <c r="AJ564" s="6">
        <v>-0.124625</v>
      </c>
      <c r="AK564" s="4">
        <v>42699</v>
      </c>
      <c r="AL564" s="6">
        <f>VLOOKUP(AK564,Sheet3!$A$1:$B$1113,2,FALSE)</f>
        <v>1.646334768021263</v>
      </c>
      <c r="AM564" s="6">
        <f t="shared" si="53"/>
        <v>0.58743910022678314</v>
      </c>
    </row>
    <row r="565" spans="29:39" x14ac:dyDescent="0.3">
      <c r="AC565">
        <f t="shared" si="52"/>
        <v>0</v>
      </c>
      <c r="AD565">
        <v>562</v>
      </c>
      <c r="AE565" s="4">
        <f t="shared" si="50"/>
        <v>42706</v>
      </c>
      <c r="AF565" s="6">
        <f t="shared" si="51"/>
        <v>-1.5316843291706683</v>
      </c>
      <c r="AG565" s="4">
        <v>42706</v>
      </c>
      <c r="AH565" s="6">
        <v>0.21742800000000001</v>
      </c>
      <c r="AI565" s="6">
        <v>-1.981765</v>
      </c>
      <c r="AJ565" s="6">
        <v>-2.566017</v>
      </c>
      <c r="AK565" s="4">
        <v>42706</v>
      </c>
      <c r="AL565" s="6">
        <f>VLOOKUP(AK565,Sheet3!$A$1:$B$1113,2,FALSE)</f>
        <v>1.6211181163737931</v>
      </c>
      <c r="AM565" s="6">
        <f t="shared" si="53"/>
        <v>-1.5316843291706683</v>
      </c>
    </row>
    <row r="566" spans="29:39" x14ac:dyDescent="0.3">
      <c r="AC566">
        <f t="shared" si="52"/>
        <v>0</v>
      </c>
      <c r="AD566">
        <v>563</v>
      </c>
      <c r="AE566" s="4">
        <f t="shared" si="50"/>
        <v>42713</v>
      </c>
      <c r="AF566" s="6">
        <f t="shared" si="51"/>
        <v>-0.20300625938894923</v>
      </c>
      <c r="AG566" s="4">
        <v>42713</v>
      </c>
      <c r="AH566" s="6">
        <v>-0.99900100000000003</v>
      </c>
      <c r="AI566" s="6">
        <v>-0.108251</v>
      </c>
      <c r="AJ566" s="6">
        <v>-0.214277</v>
      </c>
      <c r="AK566" s="4">
        <v>42713</v>
      </c>
      <c r="AL566" s="6">
        <f>VLOOKUP(AK566,Sheet3!$A$1:$B$1113,2,FALSE)</f>
        <v>1.617827145125466</v>
      </c>
      <c r="AM566" s="6">
        <f t="shared" si="53"/>
        <v>-0.20300625938894923</v>
      </c>
    </row>
    <row r="567" spans="29:39" x14ac:dyDescent="0.3">
      <c r="AC567">
        <f t="shared" si="52"/>
        <v>0</v>
      </c>
      <c r="AD567">
        <v>564</v>
      </c>
      <c r="AE567" s="4">
        <f t="shared" si="50"/>
        <v>42720</v>
      </c>
      <c r="AF567" s="6">
        <f t="shared" si="51"/>
        <v>-3.1238047614237319</v>
      </c>
      <c r="AG567" s="4">
        <v>42720</v>
      </c>
      <c r="AH567" s="6">
        <v>-4.2267479999999997</v>
      </c>
      <c r="AI567" s="6">
        <v>-2.999603</v>
      </c>
      <c r="AJ567" s="6">
        <v>-3.6182859999999999</v>
      </c>
      <c r="AK567" s="4">
        <v>42720</v>
      </c>
      <c r="AL567" s="6">
        <f>VLOOKUP(AK567,Sheet3!$A$1:$B$1113,2,FALSE)</f>
        <v>1.5672893837344311</v>
      </c>
      <c r="AM567" s="6">
        <f t="shared" si="53"/>
        <v>-3.1238047614237319</v>
      </c>
    </row>
    <row r="568" spans="29:39" x14ac:dyDescent="0.3">
      <c r="AC568">
        <f t="shared" si="52"/>
        <v>0</v>
      </c>
      <c r="AD568">
        <v>565</v>
      </c>
      <c r="AE568" s="4">
        <f t="shared" si="50"/>
        <v>42727</v>
      </c>
      <c r="AF568" s="6">
        <f t="shared" si="51"/>
        <v>-0.53266136090567295</v>
      </c>
      <c r="AG568" s="4">
        <v>42727</v>
      </c>
      <c r="AH568" s="6">
        <v>-1.1485669999999999</v>
      </c>
      <c r="AI568" s="6">
        <v>-0.57809900000000003</v>
      </c>
      <c r="AJ568" s="6">
        <v>-0.59146699999999996</v>
      </c>
      <c r="AK568" s="4">
        <v>42727</v>
      </c>
      <c r="AL568" s="6">
        <f>VLOOKUP(AK568,Sheet3!$A$1:$B$1113,2,FALSE)</f>
        <v>1.558941038773701</v>
      </c>
      <c r="AM568" s="6">
        <f t="shared" si="53"/>
        <v>-0.53266136090567295</v>
      </c>
    </row>
    <row r="569" spans="29:39" x14ac:dyDescent="0.3">
      <c r="AC569">
        <f t="shared" si="52"/>
        <v>0</v>
      </c>
      <c r="AD569">
        <v>566</v>
      </c>
      <c r="AE569" s="4">
        <f t="shared" si="50"/>
        <v>42734</v>
      </c>
      <c r="AF569" s="6">
        <f t="shared" si="51"/>
        <v>0.30216214187319679</v>
      </c>
      <c r="AG569" s="4">
        <v>42734</v>
      </c>
      <c r="AH569" s="6">
        <v>7.5029999999999999E-2</v>
      </c>
      <c r="AI569" s="6">
        <v>-0.292439</v>
      </c>
      <c r="AJ569" s="6">
        <v>-0.21740599999999999</v>
      </c>
      <c r="AK569" s="4">
        <v>42734</v>
      </c>
      <c r="AL569" s="6">
        <f>VLOOKUP(AK569,Sheet3!$A$1:$B$1113,2,FALSE)</f>
        <v>1.563651568407</v>
      </c>
      <c r="AM569" s="6">
        <f t="shared" si="53"/>
        <v>0.30216214187319679</v>
      </c>
    </row>
    <row r="570" spans="29:39" x14ac:dyDescent="0.3">
      <c r="AC570">
        <f t="shared" si="52"/>
        <v>0</v>
      </c>
      <c r="AD570">
        <v>567</v>
      </c>
      <c r="AE570" s="4">
        <f t="shared" si="50"/>
        <v>42741</v>
      </c>
      <c r="AF570" s="6">
        <f t="shared" si="51"/>
        <v>0.89715391787785759</v>
      </c>
      <c r="AG570" s="4">
        <v>42741</v>
      </c>
      <c r="AH570" s="6">
        <v>1.1354919999999999</v>
      </c>
      <c r="AI570" s="6">
        <v>1.7241</v>
      </c>
      <c r="AJ570" s="6">
        <v>1.4019470000000001</v>
      </c>
      <c r="AK570" s="4">
        <v>42741</v>
      </c>
      <c r="AL570" s="6">
        <f>VLOOKUP(AK570,Sheet3!$A$1:$B$1113,2,FALSE)</f>
        <v>1.577679929714922</v>
      </c>
      <c r="AM570" s="6">
        <f t="shared" si="53"/>
        <v>0.89715391787785759</v>
      </c>
    </row>
    <row r="571" spans="29:39" x14ac:dyDescent="0.3">
      <c r="AC571">
        <f t="shared" si="52"/>
        <v>0</v>
      </c>
      <c r="AD571">
        <v>568</v>
      </c>
      <c r="AE571" s="4">
        <f t="shared" si="50"/>
        <v>42748</v>
      </c>
      <c r="AF571" s="6">
        <f t="shared" si="51"/>
        <v>-2.5549776791323975</v>
      </c>
      <c r="AG571" s="4">
        <v>42748</v>
      </c>
      <c r="AH571" s="6">
        <v>-0.82906400000000002</v>
      </c>
      <c r="AI571" s="6">
        <v>-2.7773059999999998</v>
      </c>
      <c r="AJ571" s="6">
        <v>-3.759131</v>
      </c>
      <c r="AK571" s="4">
        <v>42748</v>
      </c>
      <c r="AL571" s="6">
        <f>VLOOKUP(AK571,Sheet3!$A$1:$B$1113,2,FALSE)</f>
        <v>1.537370559662554</v>
      </c>
      <c r="AM571" s="6">
        <f t="shared" si="53"/>
        <v>-2.5549776791323975</v>
      </c>
    </row>
    <row r="572" spans="29:39" x14ac:dyDescent="0.3">
      <c r="AC572">
        <f t="shared" si="52"/>
        <v>0</v>
      </c>
      <c r="AD572">
        <v>569</v>
      </c>
      <c r="AE572" s="4">
        <f t="shared" si="50"/>
        <v>42755</v>
      </c>
      <c r="AF572" s="6">
        <f t="shared" si="51"/>
        <v>-0.36184752802473907</v>
      </c>
      <c r="AG572" s="4">
        <v>42755</v>
      </c>
      <c r="AH572" s="6">
        <v>1.0535490000000001</v>
      </c>
      <c r="AI572" s="6">
        <v>-1.172933</v>
      </c>
      <c r="AJ572" s="6">
        <v>-2.3951609999999999</v>
      </c>
      <c r="AK572" s="4">
        <v>42755</v>
      </c>
      <c r="AL572" s="6">
        <f>VLOOKUP(AK572,Sheet3!$A$1:$B$1113,2,FALSE)</f>
        <v>1.531807622295835</v>
      </c>
      <c r="AM572" s="6">
        <f t="shared" si="53"/>
        <v>-0.36184752802473907</v>
      </c>
    </row>
    <row r="573" spans="29:39" x14ac:dyDescent="0.3">
      <c r="AC573">
        <f t="shared" si="52"/>
        <v>0</v>
      </c>
      <c r="AD573">
        <v>570</v>
      </c>
      <c r="AE573" s="4">
        <f t="shared" si="50"/>
        <v>42761</v>
      </c>
      <c r="AF573" s="6">
        <f t="shared" si="51"/>
        <v>1.3118554159569307</v>
      </c>
      <c r="AG573" s="4">
        <v>42761</v>
      </c>
      <c r="AH573" s="6">
        <v>0.98577000000000004</v>
      </c>
      <c r="AI573" s="6">
        <v>1.6613500000000001</v>
      </c>
      <c r="AJ573" s="6">
        <v>1.460208</v>
      </c>
      <c r="AK573" s="4">
        <v>42761</v>
      </c>
      <c r="AL573" s="6">
        <f>VLOOKUP(AK573,Sheet3!$A$1:$B$1113,2,FALSE)</f>
        <v>1.5519027235509639</v>
      </c>
      <c r="AM573" s="6">
        <f t="shared" si="53"/>
        <v>1.3118554159569307</v>
      </c>
    </row>
    <row r="574" spans="29:39" x14ac:dyDescent="0.3">
      <c r="AC574">
        <f t="shared" si="52"/>
        <v>0</v>
      </c>
      <c r="AD574">
        <v>571</v>
      </c>
      <c r="AE574" s="4">
        <f t="shared" si="50"/>
        <v>42769</v>
      </c>
      <c r="AF574" s="6">
        <f t="shared" si="51"/>
        <v>-0.39193848119760677</v>
      </c>
      <c r="AG574" s="4">
        <v>42769</v>
      </c>
      <c r="AH574" s="6">
        <v>-0.69269700000000001</v>
      </c>
      <c r="AI574" s="6">
        <v>-0.26694699999999999</v>
      </c>
      <c r="AJ574" s="6">
        <v>-0.28750300000000001</v>
      </c>
      <c r="AK574" s="4">
        <v>42769</v>
      </c>
      <c r="AL574" s="6">
        <f>VLOOKUP(AK574,Sheet3!$A$1:$B$1113,2,FALSE)</f>
        <v>1.545820219586614</v>
      </c>
      <c r="AM574" s="6">
        <f t="shared" si="53"/>
        <v>-0.39193848119760677</v>
      </c>
    </row>
    <row r="575" spans="29:39" x14ac:dyDescent="0.3">
      <c r="AC575">
        <f t="shared" si="52"/>
        <v>0</v>
      </c>
      <c r="AD575">
        <v>572</v>
      </c>
      <c r="AE575" s="4">
        <f t="shared" si="50"/>
        <v>42776</v>
      </c>
      <c r="AF575" s="6">
        <f t="shared" si="51"/>
        <v>1.6868451899867187</v>
      </c>
      <c r="AG575" s="4">
        <v>42776</v>
      </c>
      <c r="AH575" s="6">
        <v>1.456223</v>
      </c>
      <c r="AI575" s="6">
        <v>2.0946359999999999</v>
      </c>
      <c r="AJ575" s="6">
        <v>2.4260700000000002</v>
      </c>
      <c r="AK575" s="4">
        <v>42776</v>
      </c>
      <c r="AL575" s="6">
        <f>VLOOKUP(AK575,Sheet3!$A$1:$B$1113,2,FALSE)</f>
        <v>1.5718958136065531</v>
      </c>
      <c r="AM575" s="6">
        <f t="shared" si="53"/>
        <v>1.6868451899867187</v>
      </c>
    </row>
    <row r="576" spans="29:39" x14ac:dyDescent="0.3">
      <c r="AC576">
        <f t="shared" si="52"/>
        <v>0</v>
      </c>
      <c r="AD576">
        <v>573</v>
      </c>
      <c r="AE576" s="4">
        <f t="shared" si="50"/>
        <v>42783</v>
      </c>
      <c r="AF576" s="6">
        <f t="shared" si="51"/>
        <v>-0.26573863376282425</v>
      </c>
      <c r="AG576" s="4">
        <v>42783</v>
      </c>
      <c r="AH576" s="6">
        <v>0.23304900000000001</v>
      </c>
      <c r="AI576" s="6">
        <v>-0.47254000000000002</v>
      </c>
      <c r="AJ576" s="6">
        <v>-0.67259999999999998</v>
      </c>
      <c r="AK576" s="4">
        <v>42783</v>
      </c>
      <c r="AL576" s="6">
        <f>VLOOKUP(AK576,Sheet3!$A$1:$B$1113,2,FALSE)</f>
        <v>1.5677186791472999</v>
      </c>
      <c r="AM576" s="6">
        <f t="shared" si="53"/>
        <v>-0.26573863376282425</v>
      </c>
    </row>
    <row r="577" spans="29:39" x14ac:dyDescent="0.3">
      <c r="AC577">
        <f t="shared" si="52"/>
        <v>0</v>
      </c>
      <c r="AD577">
        <v>574</v>
      </c>
      <c r="AE577" s="4">
        <f t="shared" si="50"/>
        <v>42790</v>
      </c>
      <c r="AF577" s="6">
        <f t="shared" si="51"/>
        <v>1.9885540528324475</v>
      </c>
      <c r="AG577" s="4">
        <v>42790</v>
      </c>
      <c r="AH577" s="6">
        <v>1.5318039999999999</v>
      </c>
      <c r="AI577" s="6">
        <v>2.679538</v>
      </c>
      <c r="AJ577" s="6">
        <v>2.6311930000000001</v>
      </c>
      <c r="AK577" s="4">
        <v>42790</v>
      </c>
      <c r="AL577" s="6">
        <f>VLOOKUP(AK577,Sheet3!$A$1:$B$1113,2,FALSE)</f>
        <v>1.5988936124784949</v>
      </c>
      <c r="AM577" s="6">
        <f t="shared" si="53"/>
        <v>1.9885540528324475</v>
      </c>
    </row>
    <row r="578" spans="29:39" x14ac:dyDescent="0.3">
      <c r="AC578">
        <f t="shared" si="52"/>
        <v>0</v>
      </c>
      <c r="AD578">
        <v>575</v>
      </c>
      <c r="AE578" s="4">
        <f t="shared" si="50"/>
        <v>42797</v>
      </c>
      <c r="AF578" s="6">
        <f t="shared" si="51"/>
        <v>-6.0217228567160941E-2</v>
      </c>
      <c r="AG578" s="4">
        <v>42797</v>
      </c>
      <c r="AH578" s="6">
        <v>-1.3238589999999999</v>
      </c>
      <c r="AI578" s="6">
        <v>-0.36019000000000001</v>
      </c>
      <c r="AJ578" s="6">
        <v>-0.44474999999999998</v>
      </c>
      <c r="AK578" s="4">
        <v>42797</v>
      </c>
      <c r="AL578" s="6">
        <f>VLOOKUP(AK578,Sheet3!$A$1:$B$1113,2,FALSE)</f>
        <v>1.5979308030573229</v>
      </c>
      <c r="AM578" s="6">
        <f t="shared" si="53"/>
        <v>-6.0217228567160941E-2</v>
      </c>
    </row>
    <row r="579" spans="29:39" x14ac:dyDescent="0.3">
      <c r="AC579">
        <f t="shared" si="52"/>
        <v>0</v>
      </c>
      <c r="AD579">
        <v>576</v>
      </c>
      <c r="AE579" s="4">
        <f t="shared" si="50"/>
        <v>42804</v>
      </c>
      <c r="AF579" s="6">
        <f t="shared" si="51"/>
        <v>0.48854760590217872</v>
      </c>
      <c r="AG579" s="4">
        <v>42804</v>
      </c>
      <c r="AH579" s="6">
        <v>8.4000000000000003E-4</v>
      </c>
      <c r="AI579" s="6">
        <v>-7.6284000000000005E-2</v>
      </c>
      <c r="AJ579" s="6">
        <v>0.38009399999999999</v>
      </c>
      <c r="AK579" s="4">
        <v>42804</v>
      </c>
      <c r="AL579" s="6">
        <f>VLOOKUP(AK579,Sheet3!$A$1:$B$1113,2,FALSE)</f>
        <v>1.6057374557396329</v>
      </c>
      <c r="AM579" s="6">
        <f t="shared" si="53"/>
        <v>0.48854760590217872</v>
      </c>
    </row>
    <row r="580" spans="29:39" x14ac:dyDescent="0.3">
      <c r="AC580">
        <f t="shared" si="52"/>
        <v>0</v>
      </c>
      <c r="AD580">
        <v>577</v>
      </c>
      <c r="AE580" s="4">
        <f t="shared" si="50"/>
        <v>42811</v>
      </c>
      <c r="AF580" s="6">
        <f t="shared" si="51"/>
        <v>0.73914198266846753</v>
      </c>
      <c r="AG580" s="4">
        <v>42811</v>
      </c>
      <c r="AH580" s="6">
        <v>0.52258099999999996</v>
      </c>
      <c r="AI580" s="6">
        <v>0.54792600000000002</v>
      </c>
      <c r="AJ580" s="6">
        <v>0.77402899999999997</v>
      </c>
      <c r="AK580" s="4">
        <v>42811</v>
      </c>
      <c r="AL580" s="6">
        <f>VLOOKUP(AK580,Sheet3!$A$1:$B$1113,2,FALSE)</f>
        <v>1.6176061354064371</v>
      </c>
      <c r="AM580" s="6">
        <f t="shared" si="53"/>
        <v>0.73914198266846753</v>
      </c>
    </row>
    <row r="581" spans="29:39" x14ac:dyDescent="0.3">
      <c r="AC581">
        <f t="shared" si="52"/>
        <v>0</v>
      </c>
      <c r="AD581">
        <v>578</v>
      </c>
      <c r="AE581" s="4">
        <f t="shared" ref="AE581:AE644" si="54">AG581</f>
        <v>42818</v>
      </c>
      <c r="AF581" s="6">
        <f t="shared" ref="AF581:AF644" si="55">AM581</f>
        <v>1.6032199094613953</v>
      </c>
      <c r="AG581" s="4">
        <v>42818</v>
      </c>
      <c r="AH581" s="6">
        <v>1.2709539999999999</v>
      </c>
      <c r="AI581" s="6">
        <v>0.97742200000000001</v>
      </c>
      <c r="AJ581" s="6">
        <v>-1.831E-2</v>
      </c>
      <c r="AK581" s="4">
        <v>42818</v>
      </c>
      <c r="AL581" s="6">
        <f>VLOOKUP(AK581,Sheet3!$A$1:$B$1113,2,FALSE)</f>
        <v>1.6435399190259421</v>
      </c>
      <c r="AM581" s="6">
        <f t="shared" si="53"/>
        <v>1.6032199094613953</v>
      </c>
    </row>
    <row r="582" spans="29:39" x14ac:dyDescent="0.3">
      <c r="AC582">
        <f t="shared" ref="AC582:AC645" si="56">IF(AE582&lt;=AE581,1,0)</f>
        <v>0</v>
      </c>
      <c r="AD582">
        <v>579</v>
      </c>
      <c r="AE582" s="4">
        <f t="shared" si="54"/>
        <v>42825</v>
      </c>
      <c r="AF582" s="6">
        <f t="shared" si="55"/>
        <v>-1.7551797117436929</v>
      </c>
      <c r="AG582" s="4">
        <v>42825</v>
      </c>
      <c r="AH582" s="6">
        <v>-0.96154899999999999</v>
      </c>
      <c r="AI582" s="6">
        <v>-2.2143830000000002</v>
      </c>
      <c r="AJ582" s="6">
        <v>-3.0589949999999999</v>
      </c>
      <c r="AK582" s="4">
        <v>42825</v>
      </c>
      <c r="AL582" s="6">
        <f>VLOOKUP(AK582,Sheet3!$A$1:$B$1113,2,FALSE)</f>
        <v>1.61469283981279</v>
      </c>
      <c r="AM582" s="6">
        <f t="shared" ref="AM582:AM645" si="57">(AL582/AL581-1)*100</f>
        <v>-1.7551797117436929</v>
      </c>
    </row>
    <row r="583" spans="29:39" x14ac:dyDescent="0.3">
      <c r="AC583">
        <f t="shared" si="56"/>
        <v>0</v>
      </c>
      <c r="AD583">
        <v>580</v>
      </c>
      <c r="AE583" s="4">
        <f t="shared" si="54"/>
        <v>42832</v>
      </c>
      <c r="AF583" s="6">
        <f t="shared" si="55"/>
        <v>2.0707570626838478</v>
      </c>
      <c r="AG583" s="4">
        <v>42832</v>
      </c>
      <c r="AH583" s="6">
        <v>1.777115</v>
      </c>
      <c r="AI583" s="6">
        <v>2.766133</v>
      </c>
      <c r="AJ583" s="6">
        <v>2.46549</v>
      </c>
      <c r="AK583" s="4">
        <v>42832</v>
      </c>
      <c r="AL583" s="6">
        <f>VLOOKUP(AK583,Sheet3!$A$1:$B$1113,2,FALSE)</f>
        <v>1.6481292058338639</v>
      </c>
      <c r="AM583" s="6">
        <f t="shared" si="57"/>
        <v>2.0707570626838478</v>
      </c>
    </row>
    <row r="584" spans="29:39" x14ac:dyDescent="0.3">
      <c r="AC584">
        <f t="shared" si="56"/>
        <v>0</v>
      </c>
      <c r="AD584">
        <v>581</v>
      </c>
      <c r="AE584" s="4">
        <f t="shared" si="54"/>
        <v>42839</v>
      </c>
      <c r="AF584" s="6">
        <f t="shared" si="55"/>
        <v>-1.4327991678173224</v>
      </c>
      <c r="AG584" s="4">
        <v>42839</v>
      </c>
      <c r="AH584" s="6">
        <v>-0.88014800000000004</v>
      </c>
      <c r="AI584" s="6">
        <v>-0.76859299999999997</v>
      </c>
      <c r="AJ584" s="6">
        <v>-2.3300329999999998</v>
      </c>
      <c r="AK584" s="4">
        <v>42839</v>
      </c>
      <c r="AL584" s="6">
        <f>VLOOKUP(AK584,Sheet3!$A$1:$B$1113,2,FALSE)</f>
        <v>1.624514824288122</v>
      </c>
      <c r="AM584" s="6">
        <f t="shared" si="57"/>
        <v>-1.4327991678173224</v>
      </c>
    </row>
    <row r="585" spans="29:39" x14ac:dyDescent="0.3">
      <c r="AC585">
        <f t="shared" si="56"/>
        <v>0</v>
      </c>
      <c r="AD585">
        <v>582</v>
      </c>
      <c r="AE585" s="4">
        <f t="shared" si="54"/>
        <v>42846</v>
      </c>
      <c r="AF585" s="6">
        <f t="shared" si="55"/>
        <v>-0.78822395339828155</v>
      </c>
      <c r="AG585" s="4">
        <v>42846</v>
      </c>
      <c r="AH585" s="6">
        <v>-0.56555200000000005</v>
      </c>
      <c r="AI585" s="6">
        <v>-3.4841289999999998</v>
      </c>
      <c r="AJ585" s="6">
        <v>-4.7960500000000001</v>
      </c>
      <c r="AK585" s="4">
        <v>42846</v>
      </c>
      <c r="AL585" s="6">
        <f>VLOOKUP(AK585,Sheet3!$A$1:$B$1113,2,FALSE)</f>
        <v>1.611710009316577</v>
      </c>
      <c r="AM585" s="6">
        <f t="shared" si="57"/>
        <v>-0.78822395339828155</v>
      </c>
    </row>
    <row r="586" spans="29:39" x14ac:dyDescent="0.3">
      <c r="AC586">
        <f t="shared" si="56"/>
        <v>0</v>
      </c>
      <c r="AD586">
        <v>583</v>
      </c>
      <c r="AE586" s="4">
        <f t="shared" si="54"/>
        <v>42853</v>
      </c>
      <c r="AF586" s="6">
        <f t="shared" si="55"/>
        <v>-0.44818635915960803</v>
      </c>
      <c r="AG586" s="4">
        <v>42853</v>
      </c>
      <c r="AH586" s="6">
        <v>-0.77978599999999998</v>
      </c>
      <c r="AI586" s="6">
        <v>-1.410164</v>
      </c>
      <c r="AJ586" s="6">
        <v>-1.300222</v>
      </c>
      <c r="AK586" s="4">
        <v>42853</v>
      </c>
      <c r="AL586" s="6">
        <f>VLOOKUP(AK586,Sheet3!$A$1:$B$1113,2,FALSE)</f>
        <v>1.60448654490561</v>
      </c>
      <c r="AM586" s="6">
        <f t="shared" si="57"/>
        <v>-0.44818635915960803</v>
      </c>
    </row>
    <row r="587" spans="29:39" x14ac:dyDescent="0.3">
      <c r="AC587">
        <f t="shared" si="56"/>
        <v>0</v>
      </c>
      <c r="AD587">
        <v>584</v>
      </c>
      <c r="AE587" s="4">
        <f t="shared" si="54"/>
        <v>42860</v>
      </c>
      <c r="AF587" s="6">
        <f t="shared" si="55"/>
        <v>-1.4953614112722002</v>
      </c>
      <c r="AG587" s="4">
        <v>42860</v>
      </c>
      <c r="AH587" s="6">
        <v>-1.6629910000000001</v>
      </c>
      <c r="AI587" s="6">
        <v>-1.9668760000000001</v>
      </c>
      <c r="AJ587" s="6">
        <v>-1.808419</v>
      </c>
      <c r="AK587" s="4">
        <v>42860</v>
      </c>
      <c r="AL587" s="6">
        <f>VLOOKUP(AK587,Sheet3!$A$1:$B$1113,2,FALSE)</f>
        <v>1.580493672264037</v>
      </c>
      <c r="AM587" s="6">
        <f t="shared" si="57"/>
        <v>-1.4953614112722002</v>
      </c>
    </row>
    <row r="588" spans="29:39" x14ac:dyDescent="0.3">
      <c r="AC588">
        <f t="shared" si="56"/>
        <v>0</v>
      </c>
      <c r="AD588">
        <v>585</v>
      </c>
      <c r="AE588" s="4">
        <f t="shared" si="54"/>
        <v>42867</v>
      </c>
      <c r="AF588" s="6">
        <f t="shared" si="55"/>
        <v>-1.2352321364175967</v>
      </c>
      <c r="AG588" s="4">
        <v>42867</v>
      </c>
      <c r="AH588" s="6">
        <v>8.362E-2</v>
      </c>
      <c r="AI588" s="6">
        <v>-3.709546</v>
      </c>
      <c r="AJ588" s="6">
        <v>-4.2721</v>
      </c>
      <c r="AK588" s="4">
        <v>42867</v>
      </c>
      <c r="AL588" s="6">
        <f>VLOOKUP(AK588,Sheet3!$A$1:$B$1113,2,FALSE)</f>
        <v>1.5609709065101851</v>
      </c>
      <c r="AM588" s="6">
        <f t="shared" si="57"/>
        <v>-1.2352321364175967</v>
      </c>
    </row>
    <row r="589" spans="29:39" x14ac:dyDescent="0.3">
      <c r="AC589">
        <f t="shared" si="56"/>
        <v>0</v>
      </c>
      <c r="AD589">
        <v>586</v>
      </c>
      <c r="AE589" s="4">
        <f t="shared" si="54"/>
        <v>42874</v>
      </c>
      <c r="AF589" s="6">
        <f t="shared" si="55"/>
        <v>1.2030100118976428</v>
      </c>
      <c r="AG589" s="4">
        <v>42874</v>
      </c>
      <c r="AH589" s="6">
        <v>0.54559599999999997</v>
      </c>
      <c r="AI589" s="6">
        <v>1.8962840000000001</v>
      </c>
      <c r="AJ589" s="6">
        <v>1.883043</v>
      </c>
      <c r="AK589" s="4">
        <v>42874</v>
      </c>
      <c r="AL589" s="6">
        <f>VLOOKUP(AK589,Sheet3!$A$1:$B$1113,2,FALSE)</f>
        <v>1.5797495427983119</v>
      </c>
      <c r="AM589" s="6">
        <f t="shared" si="57"/>
        <v>1.2030100118976428</v>
      </c>
    </row>
    <row r="590" spans="29:39" x14ac:dyDescent="0.3">
      <c r="AC590">
        <f t="shared" si="56"/>
        <v>0</v>
      </c>
      <c r="AD590">
        <v>587</v>
      </c>
      <c r="AE590" s="4">
        <f t="shared" si="54"/>
        <v>42881</v>
      </c>
      <c r="AF590" s="6">
        <f t="shared" si="55"/>
        <v>-1.1272811811183669</v>
      </c>
      <c r="AG590" s="4">
        <v>42881</v>
      </c>
      <c r="AH590" s="6">
        <v>2.249962</v>
      </c>
      <c r="AI590" s="6">
        <v>-2.3103590000000001</v>
      </c>
      <c r="AJ590" s="6">
        <v>-3.6852740000000002</v>
      </c>
      <c r="AK590" s="4">
        <v>42881</v>
      </c>
      <c r="AL590" s="6">
        <f>VLOOKUP(AK590,Sheet3!$A$1:$B$1113,2,FALSE)</f>
        <v>1.5619413234935431</v>
      </c>
      <c r="AM590" s="6">
        <f t="shared" si="57"/>
        <v>-1.1272811811183669</v>
      </c>
    </row>
    <row r="591" spans="29:39" x14ac:dyDescent="0.3">
      <c r="AC591">
        <f t="shared" si="56"/>
        <v>0</v>
      </c>
      <c r="AD591">
        <v>588</v>
      </c>
      <c r="AE591" s="4">
        <f t="shared" si="54"/>
        <v>42888</v>
      </c>
      <c r="AF591" s="6">
        <f t="shared" si="55"/>
        <v>-0.7086251277816924</v>
      </c>
      <c r="AG591" s="4">
        <v>42888</v>
      </c>
      <c r="AH591" s="6">
        <v>0.174487</v>
      </c>
      <c r="AI591" s="6">
        <v>-1.1035999999999999</v>
      </c>
      <c r="AJ591" s="6">
        <v>-1.9204270000000001</v>
      </c>
      <c r="AK591" s="4">
        <v>42888</v>
      </c>
      <c r="AL591" s="6">
        <f>VLOOKUP(AK591,Sheet3!$A$1:$B$1113,2,FALSE)</f>
        <v>1.5508730147940619</v>
      </c>
      <c r="AM591" s="6">
        <f t="shared" si="57"/>
        <v>-0.7086251277816924</v>
      </c>
    </row>
    <row r="592" spans="29:39" x14ac:dyDescent="0.3">
      <c r="AC592">
        <f t="shared" si="56"/>
        <v>0</v>
      </c>
      <c r="AD592">
        <v>589</v>
      </c>
      <c r="AE592" s="4">
        <f t="shared" si="54"/>
        <v>42895</v>
      </c>
      <c r="AF592" s="6">
        <f t="shared" si="55"/>
        <v>3.6627327189181935</v>
      </c>
      <c r="AG592" s="4">
        <v>42895</v>
      </c>
      <c r="AH592" s="6">
        <v>2.5717110000000001</v>
      </c>
      <c r="AI592" s="6">
        <v>3.4085079999999999</v>
      </c>
      <c r="AJ592" s="6">
        <v>3.581591</v>
      </c>
      <c r="AK592" s="4">
        <v>42895</v>
      </c>
      <c r="AL592" s="6">
        <f>VLOOKUP(AK592,Sheet3!$A$1:$B$1113,2,FALSE)</f>
        <v>1.6076773481357971</v>
      </c>
      <c r="AM592" s="6">
        <f t="shared" si="57"/>
        <v>3.6627327189181935</v>
      </c>
    </row>
    <row r="593" spans="29:39" x14ac:dyDescent="0.3">
      <c r="AC593">
        <f t="shared" si="56"/>
        <v>0</v>
      </c>
      <c r="AD593">
        <v>590</v>
      </c>
      <c r="AE593" s="4">
        <f t="shared" si="54"/>
        <v>42902</v>
      </c>
      <c r="AF593" s="6">
        <f t="shared" si="55"/>
        <v>-0.23946999742201491</v>
      </c>
      <c r="AG593" s="4">
        <v>42902</v>
      </c>
      <c r="AH593" s="6">
        <v>-1.605326</v>
      </c>
      <c r="AI593" s="6">
        <v>0.73250999999999999</v>
      </c>
      <c r="AJ593" s="6">
        <v>1.285053</v>
      </c>
      <c r="AK593" s="4">
        <v>42902</v>
      </c>
      <c r="AL593" s="6">
        <f>VLOOKUP(AK593,Sheet3!$A$1:$B$1113,2,FALSE)</f>
        <v>1.6038274432316619</v>
      </c>
      <c r="AM593" s="6">
        <f t="shared" si="57"/>
        <v>-0.23946999742201491</v>
      </c>
    </row>
    <row r="594" spans="29:39" x14ac:dyDescent="0.3">
      <c r="AC594">
        <f t="shared" si="56"/>
        <v>0</v>
      </c>
      <c r="AD594">
        <v>591</v>
      </c>
      <c r="AE594" s="4">
        <f t="shared" si="54"/>
        <v>42909</v>
      </c>
      <c r="AF594" s="6">
        <f t="shared" si="55"/>
        <v>1.4420213514042324</v>
      </c>
      <c r="AG594" s="4">
        <v>42909</v>
      </c>
      <c r="AH594" s="6">
        <v>2.9590529999999999</v>
      </c>
      <c r="AI594" s="6">
        <v>-4.4667999999999999E-2</v>
      </c>
      <c r="AJ594" s="6">
        <v>-0.89061299999999999</v>
      </c>
      <c r="AK594" s="4">
        <v>42909</v>
      </c>
      <c r="AL594" s="6">
        <f>VLOOKUP(AK594,Sheet3!$A$1:$B$1113,2,FALSE)</f>
        <v>1.626954977402743</v>
      </c>
      <c r="AM594" s="6">
        <f t="shared" si="57"/>
        <v>1.4420213514042324</v>
      </c>
    </row>
    <row r="595" spans="29:39" x14ac:dyDescent="0.3">
      <c r="AC595">
        <f t="shared" si="56"/>
        <v>0</v>
      </c>
      <c r="AD595">
        <v>592</v>
      </c>
      <c r="AE595" s="4">
        <f t="shared" si="54"/>
        <v>42916</v>
      </c>
      <c r="AF595" s="6">
        <f t="shared" si="55"/>
        <v>1.403638110028349</v>
      </c>
      <c r="AG595" s="4">
        <v>42916</v>
      </c>
      <c r="AH595" s="6">
        <v>1.212145</v>
      </c>
      <c r="AI595" s="6">
        <v>2.1270419999999999</v>
      </c>
      <c r="AJ595" s="6">
        <v>1.207822</v>
      </c>
      <c r="AK595" s="4">
        <v>42916</v>
      </c>
      <c r="AL595" s="6">
        <f>VLOOKUP(AK595,Sheet3!$A$1:$B$1113,2,FALSE)</f>
        <v>1.649791537498571</v>
      </c>
      <c r="AM595" s="6">
        <f t="shared" si="57"/>
        <v>1.403638110028349</v>
      </c>
    </row>
    <row r="596" spans="29:39" x14ac:dyDescent="0.3">
      <c r="AC596">
        <f t="shared" si="56"/>
        <v>0</v>
      </c>
      <c r="AD596">
        <v>593</v>
      </c>
      <c r="AE596" s="4">
        <f t="shared" si="54"/>
        <v>42923</v>
      </c>
      <c r="AF596" s="6">
        <f t="shared" si="55"/>
        <v>0.54760700557872077</v>
      </c>
      <c r="AG596" s="4">
        <v>42923</v>
      </c>
      <c r="AH596" s="6">
        <v>-0.2964</v>
      </c>
      <c r="AI596" s="6">
        <v>1.4312959999999999</v>
      </c>
      <c r="AJ596" s="6">
        <v>2.1112109999999999</v>
      </c>
      <c r="AK596" s="4">
        <v>42923</v>
      </c>
      <c r="AL596" s="6">
        <f>VLOOKUP(AK596,Sheet3!$A$1:$B$1113,2,FALSE)</f>
        <v>1.6588259115353581</v>
      </c>
      <c r="AM596" s="6">
        <f t="shared" si="57"/>
        <v>0.54760700557872077</v>
      </c>
    </row>
    <row r="597" spans="29:39" x14ac:dyDescent="0.3">
      <c r="AC597">
        <f t="shared" si="56"/>
        <v>0</v>
      </c>
      <c r="AD597">
        <v>594</v>
      </c>
      <c r="AE597" s="4">
        <f t="shared" si="54"/>
        <v>42930</v>
      </c>
      <c r="AF597" s="6">
        <f t="shared" si="55"/>
        <v>-0.7878954372888991</v>
      </c>
      <c r="AG597" s="4">
        <v>42930</v>
      </c>
      <c r="AH597" s="6">
        <v>1.2900879999999999</v>
      </c>
      <c r="AI597" s="6">
        <v>-1.5623339999999999</v>
      </c>
      <c r="AJ597" s="6">
        <v>-2.4949650000000001</v>
      </c>
      <c r="AK597" s="4">
        <v>42930</v>
      </c>
      <c r="AL597" s="6">
        <f>VLOOKUP(AK597,Sheet3!$A$1:$B$1113,2,FALSE)</f>
        <v>1.645756097865805</v>
      </c>
      <c r="AM597" s="6">
        <f t="shared" si="57"/>
        <v>-0.7878954372888991</v>
      </c>
    </row>
    <row r="598" spans="29:39" x14ac:dyDescent="0.3">
      <c r="AC598">
        <f t="shared" si="56"/>
        <v>0</v>
      </c>
      <c r="AD598">
        <v>595</v>
      </c>
      <c r="AE598" s="4">
        <f t="shared" si="54"/>
        <v>42937</v>
      </c>
      <c r="AF598" s="6">
        <f t="shared" si="55"/>
        <v>0.21759229596212126</v>
      </c>
      <c r="AG598" s="4">
        <v>42937</v>
      </c>
      <c r="AH598" s="6">
        <v>0.68871099999999996</v>
      </c>
      <c r="AI598" s="6">
        <v>-4.2935000000000001E-2</v>
      </c>
      <c r="AJ598" s="6">
        <v>-2.4279299999999999</v>
      </c>
      <c r="AK598" s="4">
        <v>42937</v>
      </c>
      <c r="AL598" s="6">
        <f>VLOOKUP(AK598,Sheet3!$A$1:$B$1113,2,FALSE)</f>
        <v>1.6493371363450879</v>
      </c>
      <c r="AM598" s="6">
        <f t="shared" si="57"/>
        <v>0.21759229596212126</v>
      </c>
    </row>
    <row r="599" spans="29:39" x14ac:dyDescent="0.3">
      <c r="AC599">
        <f t="shared" si="56"/>
        <v>0</v>
      </c>
      <c r="AD599">
        <v>596</v>
      </c>
      <c r="AE599" s="4">
        <f t="shared" si="54"/>
        <v>42944</v>
      </c>
      <c r="AF599" s="6">
        <f t="shared" si="55"/>
        <v>0.37216854744532846</v>
      </c>
      <c r="AG599" s="4">
        <v>42944</v>
      </c>
      <c r="AH599" s="6">
        <v>-0.17985899999999999</v>
      </c>
      <c r="AI599" s="6">
        <v>1.458593</v>
      </c>
      <c r="AJ599" s="6">
        <v>1.8406990000000001</v>
      </c>
      <c r="AK599" s="4">
        <v>42944</v>
      </c>
      <c r="AL599" s="6">
        <f>VLOOKUP(AK599,Sheet3!$A$1:$B$1113,2,FALSE)</f>
        <v>1.6554754504078999</v>
      </c>
      <c r="AM599" s="6">
        <f t="shared" si="57"/>
        <v>0.37216854744532846</v>
      </c>
    </row>
    <row r="600" spans="29:39" x14ac:dyDescent="0.3">
      <c r="AC600">
        <f t="shared" si="56"/>
        <v>0</v>
      </c>
      <c r="AD600">
        <v>597</v>
      </c>
      <c r="AE600" s="4">
        <f t="shared" si="54"/>
        <v>42951</v>
      </c>
      <c r="AF600" s="6">
        <f t="shared" si="55"/>
        <v>-0.84219273708900921</v>
      </c>
      <c r="AG600" s="4">
        <v>42951</v>
      </c>
      <c r="AH600" s="6">
        <v>-0.38452999999999998</v>
      </c>
      <c r="AI600" s="6">
        <v>0.15528700000000001</v>
      </c>
      <c r="AJ600" s="6">
        <v>3.9773999999999997E-2</v>
      </c>
      <c r="AK600" s="4">
        <v>42951</v>
      </c>
      <c r="AL600" s="6">
        <f>VLOOKUP(AK600,Sheet3!$A$1:$B$1113,2,FALSE)</f>
        <v>1.6415331564002731</v>
      </c>
      <c r="AM600" s="6">
        <f t="shared" si="57"/>
        <v>-0.84219273708900921</v>
      </c>
    </row>
    <row r="601" spans="29:39" x14ac:dyDescent="0.3">
      <c r="AC601">
        <f t="shared" si="56"/>
        <v>0</v>
      </c>
      <c r="AD601">
        <v>598</v>
      </c>
      <c r="AE601" s="4">
        <f t="shared" si="54"/>
        <v>42958</v>
      </c>
      <c r="AF601" s="6">
        <f t="shared" si="55"/>
        <v>-0.32323848984913139</v>
      </c>
      <c r="AG601" s="4">
        <v>42958</v>
      </c>
      <c r="AH601" s="6">
        <v>-1.6244909999999999</v>
      </c>
      <c r="AI601" s="6">
        <v>-1.026885</v>
      </c>
      <c r="AJ601" s="6">
        <v>-0.822071</v>
      </c>
      <c r="AK601" s="4">
        <v>42958</v>
      </c>
      <c r="AL601" s="6">
        <f>VLOOKUP(AK601,Sheet3!$A$1:$B$1113,2,FALSE)</f>
        <v>1.636227089415152</v>
      </c>
      <c r="AM601" s="6">
        <f t="shared" si="57"/>
        <v>-0.32323848984913139</v>
      </c>
    </row>
    <row r="602" spans="29:39" x14ac:dyDescent="0.3">
      <c r="AC602">
        <f t="shared" si="56"/>
        <v>0</v>
      </c>
      <c r="AD602">
        <v>599</v>
      </c>
      <c r="AE602" s="4">
        <f t="shared" si="54"/>
        <v>42965</v>
      </c>
      <c r="AF602" s="6">
        <f t="shared" si="55"/>
        <v>2.0671573364475115</v>
      </c>
      <c r="AG602" s="4">
        <v>42965</v>
      </c>
      <c r="AH602" s="6">
        <v>2.120018</v>
      </c>
      <c r="AI602" s="6">
        <v>3.0280740000000002</v>
      </c>
      <c r="AJ602" s="6">
        <v>3.3793600000000001</v>
      </c>
      <c r="AK602" s="4">
        <v>42965</v>
      </c>
      <c r="AL602" s="6">
        <f>VLOOKUP(AK602,Sheet3!$A$1:$B$1113,2,FALSE)</f>
        <v>1.670050477734939</v>
      </c>
      <c r="AM602" s="6">
        <f t="shared" si="57"/>
        <v>2.0671573364475115</v>
      </c>
    </row>
    <row r="603" spans="29:39" x14ac:dyDescent="0.3">
      <c r="AC603">
        <f t="shared" si="56"/>
        <v>0</v>
      </c>
      <c r="AD603">
        <v>600</v>
      </c>
      <c r="AE603" s="4">
        <f t="shared" si="54"/>
        <v>42972</v>
      </c>
      <c r="AF603" s="6">
        <f t="shared" si="55"/>
        <v>0.62364705559960765</v>
      </c>
      <c r="AG603" s="4">
        <v>42972</v>
      </c>
      <c r="AH603" s="6">
        <v>1.908344</v>
      </c>
      <c r="AI603" s="6">
        <v>-1.9300999999999999E-2</v>
      </c>
      <c r="AJ603" s="6">
        <v>-0.221079</v>
      </c>
      <c r="AK603" s="4">
        <v>42972</v>
      </c>
      <c r="AL603" s="6">
        <f>VLOOKUP(AK603,Sheet3!$A$1:$B$1113,2,FALSE)</f>
        <v>1.68046569836636</v>
      </c>
      <c r="AM603" s="6">
        <f t="shared" si="57"/>
        <v>0.62364705559960765</v>
      </c>
    </row>
    <row r="604" spans="29:39" x14ac:dyDescent="0.3">
      <c r="AC604">
        <f t="shared" si="56"/>
        <v>0</v>
      </c>
      <c r="AD604">
        <v>601</v>
      </c>
      <c r="AE604" s="4">
        <f t="shared" si="54"/>
        <v>42979</v>
      </c>
      <c r="AF604" s="6">
        <f t="shared" si="55"/>
        <v>2.3536110917270481</v>
      </c>
      <c r="AG604" s="4">
        <v>42979</v>
      </c>
      <c r="AH604" s="6">
        <v>0.91639000000000004</v>
      </c>
      <c r="AI604" s="6">
        <v>2.8357869999999998</v>
      </c>
      <c r="AJ604" s="6">
        <v>2.389106</v>
      </c>
      <c r="AK604" s="4">
        <v>42979</v>
      </c>
      <c r="AL604" s="6">
        <f>VLOOKUP(AK604,Sheet3!$A$1:$B$1113,2,FALSE)</f>
        <v>1.7200173254357789</v>
      </c>
      <c r="AM604" s="6">
        <f t="shared" si="57"/>
        <v>2.3536110917270481</v>
      </c>
    </row>
    <row r="605" spans="29:39" x14ac:dyDescent="0.3">
      <c r="AC605">
        <f t="shared" si="56"/>
        <v>0</v>
      </c>
      <c r="AD605">
        <v>602</v>
      </c>
      <c r="AE605" s="4">
        <f t="shared" si="54"/>
        <v>42986</v>
      </c>
      <c r="AF605" s="6">
        <f t="shared" si="55"/>
        <v>0.29147320523379427</v>
      </c>
      <c r="AG605" s="4">
        <v>42986</v>
      </c>
      <c r="AH605" s="6">
        <v>-0.118751</v>
      </c>
      <c r="AI605" s="6">
        <v>0.73052899999999998</v>
      </c>
      <c r="AJ605" s="6">
        <v>1.2776719999999999</v>
      </c>
      <c r="AK605" s="4">
        <v>42986</v>
      </c>
      <c r="AL605" s="6">
        <f>VLOOKUP(AK605,Sheet3!$A$1:$B$1113,2,FALSE)</f>
        <v>1.725030715064803</v>
      </c>
      <c r="AM605" s="6">
        <f t="shared" si="57"/>
        <v>0.29147320523379427</v>
      </c>
    </row>
    <row r="606" spans="29:39" x14ac:dyDescent="0.3">
      <c r="AC606">
        <f t="shared" si="56"/>
        <v>0</v>
      </c>
      <c r="AD606">
        <v>603</v>
      </c>
      <c r="AE606" s="4">
        <f t="shared" si="54"/>
        <v>42993</v>
      </c>
      <c r="AF606" s="6">
        <f t="shared" si="55"/>
        <v>0.51480554327447692</v>
      </c>
      <c r="AG606" s="4">
        <v>42993</v>
      </c>
      <c r="AH606" s="6">
        <v>0.138709</v>
      </c>
      <c r="AI606" s="6">
        <v>0.72801800000000005</v>
      </c>
      <c r="AJ606" s="6">
        <v>0.53286900000000004</v>
      </c>
      <c r="AK606" s="4">
        <v>42993</v>
      </c>
      <c r="AL606" s="6">
        <f>VLOOKUP(AK606,Sheet3!$A$1:$B$1113,2,FALSE)</f>
        <v>1.733911268809144</v>
      </c>
      <c r="AM606" s="6">
        <f t="shared" si="57"/>
        <v>0.51480554327447692</v>
      </c>
    </row>
    <row r="607" spans="29:39" x14ac:dyDescent="0.3">
      <c r="AC607">
        <f t="shared" si="56"/>
        <v>0</v>
      </c>
      <c r="AD607">
        <v>604</v>
      </c>
      <c r="AE607" s="4">
        <f t="shared" si="54"/>
        <v>43000</v>
      </c>
      <c r="AF607" s="6">
        <f t="shared" si="55"/>
        <v>-1.1556792904499069E-2</v>
      </c>
      <c r="AG607" s="4">
        <v>43000</v>
      </c>
      <c r="AH607" s="6">
        <v>0.16793</v>
      </c>
      <c r="AI607" s="6">
        <v>-0.75556999999999996</v>
      </c>
      <c r="AJ607" s="6">
        <v>-0.39134099999999999</v>
      </c>
      <c r="AK607" s="4">
        <v>43000</v>
      </c>
      <c r="AL607" s="6">
        <f>VLOOKUP(AK607,Sheet3!$A$1:$B$1113,2,FALSE)</f>
        <v>1.73371088427466</v>
      </c>
      <c r="AM607" s="6">
        <f t="shared" si="57"/>
        <v>-1.1556792904499069E-2</v>
      </c>
    </row>
    <row r="608" spans="29:39" x14ac:dyDescent="0.3">
      <c r="AC608">
        <f t="shared" si="56"/>
        <v>0</v>
      </c>
      <c r="AD608">
        <v>605</v>
      </c>
      <c r="AE608" s="4">
        <f t="shared" si="54"/>
        <v>43007</v>
      </c>
      <c r="AF608" s="6">
        <f t="shared" si="55"/>
        <v>0.95545467158621999</v>
      </c>
      <c r="AG608" s="4">
        <v>43007</v>
      </c>
      <c r="AH608" s="6">
        <v>-3.2027E-2</v>
      </c>
      <c r="AI608" s="6">
        <v>0.47548800000000002</v>
      </c>
      <c r="AJ608" s="6">
        <v>-9.0964000000000003E-2</v>
      </c>
      <c r="AK608" s="4">
        <v>43007</v>
      </c>
      <c r="AL608" s="6">
        <f>VLOOKUP(AK608,Sheet3!$A$1:$B$1113,2,FALSE)</f>
        <v>1.7502757059102609</v>
      </c>
      <c r="AM608" s="6">
        <f t="shared" si="57"/>
        <v>0.95545467158621999</v>
      </c>
    </row>
    <row r="609" spans="29:39" x14ac:dyDescent="0.3">
      <c r="AC609">
        <f t="shared" si="56"/>
        <v>0</v>
      </c>
      <c r="AD609">
        <v>606</v>
      </c>
      <c r="AE609" s="4">
        <f t="shared" si="54"/>
        <v>43021</v>
      </c>
      <c r="AF609" s="6">
        <f t="shared" si="55"/>
        <v>1.9638838995452712</v>
      </c>
      <c r="AG609" s="4">
        <v>43021</v>
      </c>
      <c r="AH609" s="6">
        <v>2.2025380000000001</v>
      </c>
      <c r="AI609" s="6">
        <v>1.6137140000000001</v>
      </c>
      <c r="AJ609" s="6">
        <v>1.655491</v>
      </c>
      <c r="AK609" s="4">
        <v>43021</v>
      </c>
      <c r="AL609" s="6">
        <f>VLOOKUP(AK609,Sheet3!$A$1:$B$1113,2,FALSE)</f>
        <v>1.7846490886962849</v>
      </c>
      <c r="AM609" s="6">
        <f t="shared" si="57"/>
        <v>1.9638838995452712</v>
      </c>
    </row>
    <row r="610" spans="29:39" x14ac:dyDescent="0.3">
      <c r="AC610">
        <f t="shared" si="56"/>
        <v>0</v>
      </c>
      <c r="AD610">
        <v>607</v>
      </c>
      <c r="AE610" s="4">
        <f t="shared" si="54"/>
        <v>43028</v>
      </c>
      <c r="AF610" s="6">
        <f t="shared" si="55"/>
        <v>-0.28886529939333716</v>
      </c>
      <c r="AG610" s="4">
        <v>43028</v>
      </c>
      <c r="AH610" s="6">
        <v>0.149204</v>
      </c>
      <c r="AI610" s="6">
        <v>-2.0625360000000001</v>
      </c>
      <c r="AJ610" s="6">
        <v>-2.7719490000000002</v>
      </c>
      <c r="AK610" s="4">
        <v>43028</v>
      </c>
      <c r="AL610" s="6">
        <f>VLOOKUP(AK610,Sheet3!$A$1:$B$1113,2,FALSE)</f>
        <v>1.779493856763102</v>
      </c>
      <c r="AM610" s="6">
        <f t="shared" si="57"/>
        <v>-0.28886529939333716</v>
      </c>
    </row>
    <row r="611" spans="29:39" x14ac:dyDescent="0.3">
      <c r="AC611">
        <f t="shared" si="56"/>
        <v>0</v>
      </c>
      <c r="AD611">
        <v>608</v>
      </c>
      <c r="AE611" s="4">
        <f t="shared" si="54"/>
        <v>43035</v>
      </c>
      <c r="AF611" s="6">
        <f t="shared" si="55"/>
        <v>2.2003652835894449</v>
      </c>
      <c r="AG611" s="4">
        <v>43035</v>
      </c>
      <c r="AH611" s="6">
        <v>2.4221840000000001</v>
      </c>
      <c r="AI611" s="6">
        <v>0.90364999999999995</v>
      </c>
      <c r="AJ611" s="6">
        <v>0.24878900000000001</v>
      </c>
      <c r="AK611" s="4">
        <v>43035</v>
      </c>
      <c r="AL611" s="6">
        <f>VLOOKUP(AK611,Sheet3!$A$1:$B$1113,2,FALSE)</f>
        <v>1.818649221810924</v>
      </c>
      <c r="AM611" s="6">
        <f t="shared" si="57"/>
        <v>2.2003652835894449</v>
      </c>
    </row>
    <row r="612" spans="29:39" x14ac:dyDescent="0.3">
      <c r="AC612">
        <f t="shared" si="56"/>
        <v>0</v>
      </c>
      <c r="AD612">
        <v>609</v>
      </c>
      <c r="AE612" s="4">
        <f t="shared" si="54"/>
        <v>43042</v>
      </c>
      <c r="AF612" s="6">
        <f t="shared" si="55"/>
        <v>-1.2216179154473483</v>
      </c>
      <c r="AG612" s="4">
        <v>43042</v>
      </c>
      <c r="AH612" s="6">
        <v>-0.727746</v>
      </c>
      <c r="AI612" s="6">
        <v>-3.0739369999999999</v>
      </c>
      <c r="AJ612" s="6">
        <v>-3.7799839999999998</v>
      </c>
      <c r="AK612" s="4">
        <v>43042</v>
      </c>
      <c r="AL612" s="6">
        <f>VLOOKUP(AK612,Sheet3!$A$1:$B$1113,2,FALSE)</f>
        <v>1.796432277098138</v>
      </c>
      <c r="AM612" s="6">
        <f t="shared" si="57"/>
        <v>-1.2216179154473483</v>
      </c>
    </row>
    <row r="613" spans="29:39" x14ac:dyDescent="0.3">
      <c r="AC613">
        <f t="shared" si="56"/>
        <v>0</v>
      </c>
      <c r="AD613">
        <v>610</v>
      </c>
      <c r="AE613" s="4">
        <f t="shared" si="54"/>
        <v>43049</v>
      </c>
      <c r="AF613" s="6">
        <f t="shared" si="55"/>
        <v>3.8373278130445332</v>
      </c>
      <c r="AG613" s="4">
        <v>43049</v>
      </c>
      <c r="AH613" s="6">
        <v>2.9857830000000001</v>
      </c>
      <c r="AI613" s="6">
        <v>3.3333930000000001</v>
      </c>
      <c r="AJ613" s="6">
        <v>2.5811220000000001</v>
      </c>
      <c r="AK613" s="4">
        <v>43049</v>
      </c>
      <c r="AL613" s="6">
        <f>VLOOKUP(AK613,Sheet3!$A$1:$B$1113,2,FALSE)</f>
        <v>1.8653672725097341</v>
      </c>
      <c r="AM613" s="6">
        <f t="shared" si="57"/>
        <v>3.8373278130445332</v>
      </c>
    </row>
    <row r="614" spans="29:39" x14ac:dyDescent="0.3">
      <c r="AC614">
        <f t="shared" si="56"/>
        <v>0</v>
      </c>
      <c r="AD614">
        <v>611</v>
      </c>
      <c r="AE614" s="4">
        <f t="shared" si="54"/>
        <v>43056</v>
      </c>
      <c r="AF614" s="6">
        <f t="shared" si="55"/>
        <v>-2.1349660538145465</v>
      </c>
      <c r="AG614" s="4">
        <v>43056</v>
      </c>
      <c r="AH614" s="6">
        <v>0.21740699999999999</v>
      </c>
      <c r="AI614" s="6">
        <v>-4.2051769999999999</v>
      </c>
      <c r="AJ614" s="6">
        <v>-5.1801370000000002</v>
      </c>
      <c r="AK614" s="4">
        <v>43056</v>
      </c>
      <c r="AL614" s="6">
        <f>VLOOKUP(AK614,Sheet3!$A$1:$B$1113,2,FALSE)</f>
        <v>1.825542314462685</v>
      </c>
      <c r="AM614" s="6">
        <f t="shared" si="57"/>
        <v>-2.1349660538145465</v>
      </c>
    </row>
    <row r="615" spans="29:39" x14ac:dyDescent="0.3">
      <c r="AC615">
        <f t="shared" si="56"/>
        <v>0</v>
      </c>
      <c r="AD615">
        <v>612</v>
      </c>
      <c r="AE615" s="4">
        <f t="shared" si="54"/>
        <v>43063</v>
      </c>
      <c r="AF615" s="6">
        <f t="shared" si="55"/>
        <v>-1.8667067713953878</v>
      </c>
      <c r="AG615" s="4">
        <v>43063</v>
      </c>
      <c r="AH615" s="6">
        <v>-0.40398000000000001</v>
      </c>
      <c r="AI615" s="6">
        <v>-1.318981</v>
      </c>
      <c r="AJ615" s="6">
        <v>-1.8301909999999999</v>
      </c>
      <c r="AK615" s="4">
        <v>43063</v>
      </c>
      <c r="AL615" s="6">
        <f>VLOOKUP(AK615,Sheet3!$A$1:$B$1113,2,FALSE)</f>
        <v>1.791464792463922</v>
      </c>
      <c r="AM615" s="6">
        <f t="shared" si="57"/>
        <v>-1.8667067713953878</v>
      </c>
    </row>
    <row r="616" spans="29:39" x14ac:dyDescent="0.3">
      <c r="AC616">
        <f t="shared" si="56"/>
        <v>0</v>
      </c>
      <c r="AD616">
        <v>613</v>
      </c>
      <c r="AE616" s="4">
        <f t="shared" si="54"/>
        <v>43070</v>
      </c>
      <c r="AF616" s="6">
        <f t="shared" si="55"/>
        <v>-1.0760033999472007</v>
      </c>
      <c r="AG616" s="4">
        <v>43070</v>
      </c>
      <c r="AH616" s="6">
        <v>-2.5843479999999999</v>
      </c>
      <c r="AI616" s="6">
        <v>0.61131500000000005</v>
      </c>
      <c r="AJ616" s="6">
        <v>1.0676159999999999</v>
      </c>
      <c r="AK616" s="4">
        <v>43070</v>
      </c>
      <c r="AL616" s="6">
        <f>VLOOKUP(AK616,Sheet3!$A$1:$B$1113,2,FALSE)</f>
        <v>1.772188570388153</v>
      </c>
      <c r="AM616" s="6">
        <f t="shared" si="57"/>
        <v>-1.0760033999472007</v>
      </c>
    </row>
    <row r="617" spans="29:39" x14ac:dyDescent="0.3">
      <c r="AC617">
        <f t="shared" si="56"/>
        <v>0</v>
      </c>
      <c r="AD617">
        <v>614</v>
      </c>
      <c r="AE617" s="4">
        <f t="shared" si="54"/>
        <v>43077</v>
      </c>
      <c r="AF617" s="6">
        <f t="shared" si="55"/>
        <v>-0.28104660227095124</v>
      </c>
      <c r="AG617" s="4">
        <v>43077</v>
      </c>
      <c r="AH617" s="6">
        <v>0.131129</v>
      </c>
      <c r="AI617" s="6">
        <v>-1.7931699999999999</v>
      </c>
      <c r="AJ617" s="6">
        <v>-1.909357</v>
      </c>
      <c r="AK617" s="4">
        <v>43077</v>
      </c>
      <c r="AL617" s="6">
        <f>VLOOKUP(AK617,Sheet3!$A$1:$B$1113,2,FALSE)</f>
        <v>1.767207894625243</v>
      </c>
      <c r="AM617" s="6">
        <f t="shared" si="57"/>
        <v>-0.28104660227095124</v>
      </c>
    </row>
    <row r="618" spans="29:39" x14ac:dyDescent="0.3">
      <c r="AC618">
        <f t="shared" si="56"/>
        <v>0</v>
      </c>
      <c r="AD618">
        <v>615</v>
      </c>
      <c r="AE618" s="4">
        <f t="shared" si="54"/>
        <v>43084</v>
      </c>
      <c r="AF618" s="6">
        <f t="shared" si="55"/>
        <v>0.63275729911902445</v>
      </c>
      <c r="AG618" s="4">
        <v>43084</v>
      </c>
      <c r="AH618" s="6">
        <v>-0.56261000000000005</v>
      </c>
      <c r="AI618" s="6">
        <v>0.52582200000000001</v>
      </c>
      <c r="AJ618" s="6">
        <v>0.63220299999999996</v>
      </c>
      <c r="AK618" s="4">
        <v>43084</v>
      </c>
      <c r="AL618" s="6">
        <f>VLOOKUP(AK618,Sheet3!$A$1:$B$1113,2,FALSE)</f>
        <v>1.7783900315690919</v>
      </c>
      <c r="AM618" s="6">
        <f t="shared" si="57"/>
        <v>0.63275729911902445</v>
      </c>
    </row>
    <row r="619" spans="29:39" x14ac:dyDescent="0.3">
      <c r="AC619">
        <f t="shared" si="56"/>
        <v>0</v>
      </c>
      <c r="AD619">
        <v>616</v>
      </c>
      <c r="AE619" s="4">
        <f t="shared" si="54"/>
        <v>43091</v>
      </c>
      <c r="AF619" s="6">
        <f t="shared" si="55"/>
        <v>1.6017171778620387</v>
      </c>
      <c r="AG619" s="4">
        <v>43091</v>
      </c>
      <c r="AH619" s="6">
        <v>1.8524309999999999</v>
      </c>
      <c r="AI619" s="6">
        <v>0.114243</v>
      </c>
      <c r="AJ619" s="6">
        <v>-1.198283</v>
      </c>
      <c r="AK619" s="4">
        <v>43091</v>
      </c>
      <c r="AL619" s="6">
        <f>VLOOKUP(AK619,Sheet3!$A$1:$B$1113,2,FALSE)</f>
        <v>1.8068748101941201</v>
      </c>
      <c r="AM619" s="6">
        <f t="shared" si="57"/>
        <v>1.6017171778620387</v>
      </c>
    </row>
    <row r="620" spans="29:39" x14ac:dyDescent="0.3">
      <c r="AC620">
        <f t="shared" si="56"/>
        <v>0</v>
      </c>
      <c r="AD620">
        <v>617</v>
      </c>
      <c r="AE620" s="4">
        <f t="shared" si="54"/>
        <v>43098</v>
      </c>
      <c r="AF620" s="6">
        <f t="shared" si="55"/>
        <v>-0.59277334575534857</v>
      </c>
      <c r="AG620" s="4">
        <v>43098</v>
      </c>
      <c r="AH620" s="6">
        <v>-0.58559399999999995</v>
      </c>
      <c r="AI620" s="6">
        <v>0.12712100000000001</v>
      </c>
      <c r="AJ620" s="6">
        <v>-0.28484999999999999</v>
      </c>
      <c r="AK620" s="4">
        <v>43098</v>
      </c>
      <c r="AL620" s="6">
        <f>VLOOKUP(AK620,Sheet3!$A$1:$B$1113,2,FALSE)</f>
        <v>1.7961641379281219</v>
      </c>
      <c r="AM620" s="6">
        <f t="shared" si="57"/>
        <v>-0.59277334575534857</v>
      </c>
    </row>
    <row r="621" spans="29:39" x14ac:dyDescent="0.3">
      <c r="AC621">
        <f t="shared" si="56"/>
        <v>0</v>
      </c>
      <c r="AD621">
        <v>618</v>
      </c>
      <c r="AE621" s="4">
        <f t="shared" si="54"/>
        <v>43105</v>
      </c>
      <c r="AF621" s="6">
        <f t="shared" si="55"/>
        <v>2.2890634557757972</v>
      </c>
      <c r="AG621" s="4">
        <v>43105</v>
      </c>
      <c r="AH621" s="6">
        <v>2.676742</v>
      </c>
      <c r="AI621" s="6">
        <v>2.6625779999999999</v>
      </c>
      <c r="AJ621" s="6">
        <v>2.2731750000000002</v>
      </c>
      <c r="AK621" s="4">
        <v>43105</v>
      </c>
      <c r="AL621" s="6">
        <f>VLOOKUP(AK621,Sheet3!$A$1:$B$1113,2,FALSE)</f>
        <v>1.8372794748151851</v>
      </c>
      <c r="AM621" s="6">
        <f t="shared" si="57"/>
        <v>2.2890634557757972</v>
      </c>
    </row>
    <row r="622" spans="29:39" x14ac:dyDescent="0.3">
      <c r="AC622">
        <f t="shared" si="56"/>
        <v>0</v>
      </c>
      <c r="AD622">
        <v>619</v>
      </c>
      <c r="AE622" s="4">
        <f t="shared" si="54"/>
        <v>43112</v>
      </c>
      <c r="AF622" s="6">
        <f t="shared" si="55"/>
        <v>0.5440153597845665</v>
      </c>
      <c r="AG622" s="4">
        <v>43112</v>
      </c>
      <c r="AH622" s="6">
        <v>2.083974</v>
      </c>
      <c r="AI622" s="6">
        <v>-0.27862399999999998</v>
      </c>
      <c r="AJ622" s="6">
        <v>-0.68330500000000005</v>
      </c>
      <c r="AK622" s="4">
        <v>43112</v>
      </c>
      <c r="AL622" s="6">
        <f>VLOOKUP(AK622,Sheet3!$A$1:$B$1113,2,FALSE)</f>
        <v>1.8472745573603491</v>
      </c>
      <c r="AM622" s="6">
        <f t="shared" si="57"/>
        <v>0.5440153597845665</v>
      </c>
    </row>
    <row r="623" spans="29:39" x14ac:dyDescent="0.3">
      <c r="AC623">
        <f t="shared" si="56"/>
        <v>0</v>
      </c>
      <c r="AD623">
        <v>620</v>
      </c>
      <c r="AE623" s="4">
        <f t="shared" si="54"/>
        <v>43119</v>
      </c>
      <c r="AF623" s="6">
        <f t="shared" si="55"/>
        <v>-0.87276245150006426</v>
      </c>
      <c r="AG623" s="4">
        <v>43119</v>
      </c>
      <c r="AH623" s="6">
        <v>1.429443</v>
      </c>
      <c r="AI623" s="6">
        <v>-1.9844710000000001</v>
      </c>
      <c r="AJ623" s="6">
        <v>-2.6588229999999999</v>
      </c>
      <c r="AK623" s="4">
        <v>43119</v>
      </c>
      <c r="AL623" s="6">
        <f>VLOOKUP(AK623,Sheet3!$A$1:$B$1113,2,FALSE)</f>
        <v>1.831152238647594</v>
      </c>
      <c r="AM623" s="6">
        <f t="shared" si="57"/>
        <v>-0.87276245150006426</v>
      </c>
    </row>
    <row r="624" spans="29:39" x14ac:dyDescent="0.3">
      <c r="AC624">
        <f t="shared" si="56"/>
        <v>0</v>
      </c>
      <c r="AD624">
        <v>621</v>
      </c>
      <c r="AE624" s="4">
        <f t="shared" si="54"/>
        <v>43126</v>
      </c>
      <c r="AF624" s="6">
        <f t="shared" si="55"/>
        <v>2.1695823735483843</v>
      </c>
      <c r="AG624" s="4">
        <v>43126</v>
      </c>
      <c r="AH624" s="6">
        <v>2.2379410000000002</v>
      </c>
      <c r="AI624" s="6">
        <v>1.773668</v>
      </c>
      <c r="AJ624" s="6">
        <v>1.696401</v>
      </c>
      <c r="AK624" s="4">
        <v>43126</v>
      </c>
      <c r="AL624" s="6">
        <f>VLOOKUP(AK624,Sheet3!$A$1:$B$1113,2,FALSE)</f>
        <v>1.870880594850129</v>
      </c>
      <c r="AM624" s="6">
        <f t="shared" si="57"/>
        <v>2.1695823735483843</v>
      </c>
    </row>
    <row r="625" spans="29:39" x14ac:dyDescent="0.3">
      <c r="AC625">
        <f t="shared" si="56"/>
        <v>0</v>
      </c>
      <c r="AD625">
        <v>622</v>
      </c>
      <c r="AE625" s="4">
        <f t="shared" si="54"/>
        <v>43133</v>
      </c>
      <c r="AF625" s="6">
        <f t="shared" si="55"/>
        <v>-2.4950080626097493</v>
      </c>
      <c r="AG625" s="4">
        <v>43133</v>
      </c>
      <c r="AH625" s="6">
        <v>-2.5122</v>
      </c>
      <c r="AI625" s="6">
        <v>-5.9336419999999999</v>
      </c>
      <c r="AJ625" s="6">
        <v>-8.0519429999999996</v>
      </c>
      <c r="AK625" s="4">
        <v>43133</v>
      </c>
      <c r="AL625" s="6">
        <f>VLOOKUP(AK625,Sheet3!$A$1:$B$1113,2,FALSE)</f>
        <v>1.8242019731668171</v>
      </c>
      <c r="AM625" s="6">
        <f t="shared" si="57"/>
        <v>-2.4950080626097493</v>
      </c>
    </row>
    <row r="626" spans="29:39" x14ac:dyDescent="0.3">
      <c r="AC626">
        <f t="shared" si="56"/>
        <v>0</v>
      </c>
      <c r="AD626">
        <v>623</v>
      </c>
      <c r="AE626" s="4">
        <f t="shared" si="54"/>
        <v>43140</v>
      </c>
      <c r="AF626" s="6">
        <f t="shared" si="55"/>
        <v>-8.9050042450550482</v>
      </c>
      <c r="AG626" s="4">
        <v>43140</v>
      </c>
      <c r="AH626" s="6">
        <v>-10.080928</v>
      </c>
      <c r="AI626" s="6">
        <v>-7.493144</v>
      </c>
      <c r="AJ626" s="6">
        <v>-6.7024600000000003</v>
      </c>
      <c r="AK626" s="4">
        <v>43140</v>
      </c>
      <c r="AL626" s="6">
        <f>VLOOKUP(AK626,Sheet3!$A$1:$B$1113,2,FALSE)</f>
        <v>1.661756710017934</v>
      </c>
      <c r="AM626" s="6">
        <f t="shared" si="57"/>
        <v>-8.9050042450550482</v>
      </c>
    </row>
    <row r="627" spans="29:39" x14ac:dyDescent="0.3">
      <c r="AC627">
        <f t="shared" si="56"/>
        <v>0</v>
      </c>
      <c r="AD627">
        <v>624</v>
      </c>
      <c r="AE627" s="4">
        <f t="shared" si="54"/>
        <v>43145</v>
      </c>
      <c r="AF627" s="6">
        <f t="shared" si="55"/>
        <v>4.149218395005172</v>
      </c>
      <c r="AG627" s="4">
        <v>43145</v>
      </c>
      <c r="AH627" s="6">
        <v>3.2887300000000002</v>
      </c>
      <c r="AI627" s="6">
        <v>3.5992920000000002</v>
      </c>
      <c r="AJ627" s="6">
        <v>2.9347729999999999</v>
      </c>
      <c r="AK627" s="4">
        <v>43145</v>
      </c>
      <c r="AL627" s="6">
        <f>VLOOKUP(AK627,Sheet3!$A$1:$B$1113,2,FALSE)</f>
        <v>1.730706625110231</v>
      </c>
      <c r="AM627" s="6">
        <f t="shared" si="57"/>
        <v>4.149218395005172</v>
      </c>
    </row>
    <row r="628" spans="29:39" x14ac:dyDescent="0.3">
      <c r="AC628">
        <f t="shared" si="56"/>
        <v>0</v>
      </c>
      <c r="AD628">
        <v>625</v>
      </c>
      <c r="AE628" s="4">
        <f t="shared" si="54"/>
        <v>43154</v>
      </c>
      <c r="AF628" s="6">
        <f t="shared" si="55"/>
        <v>2.4520236148666275</v>
      </c>
      <c r="AG628" s="4">
        <v>43154</v>
      </c>
      <c r="AH628" s="6">
        <v>2.6248680000000002</v>
      </c>
      <c r="AI628" s="6">
        <v>2.4821240000000002</v>
      </c>
      <c r="AJ628" s="6">
        <v>2.1707740000000002</v>
      </c>
      <c r="AK628" s="4">
        <v>43154</v>
      </c>
      <c r="AL628" s="6">
        <f>VLOOKUP(AK628,Sheet3!$A$1:$B$1113,2,FALSE)</f>
        <v>1.7731439602619949</v>
      </c>
      <c r="AM628" s="6">
        <f t="shared" si="57"/>
        <v>2.4520236148666275</v>
      </c>
    </row>
    <row r="629" spans="29:39" x14ac:dyDescent="0.3">
      <c r="AC629">
        <f t="shared" si="56"/>
        <v>0</v>
      </c>
      <c r="AD629">
        <v>626</v>
      </c>
      <c r="AE629" s="4">
        <f t="shared" si="54"/>
        <v>43161</v>
      </c>
      <c r="AF629" s="6">
        <f t="shared" si="55"/>
        <v>-2.6722139773405207E-2</v>
      </c>
      <c r="AG629" s="4">
        <v>43161</v>
      </c>
      <c r="AH629" s="6">
        <v>-1.34185</v>
      </c>
      <c r="AI629" s="6">
        <v>2.6901929999999998</v>
      </c>
      <c r="AJ629" s="6">
        <v>4.1856489999999997</v>
      </c>
      <c r="AK629" s="4">
        <v>43161</v>
      </c>
      <c r="AL629" s="6">
        <f>VLOOKUP(AK629,Sheet3!$A$1:$B$1113,2,FALSE)</f>
        <v>1.77267013825455</v>
      </c>
      <c r="AM629" s="6">
        <f t="shared" si="57"/>
        <v>-2.6722139773405207E-2</v>
      </c>
    </row>
    <row r="630" spans="29:39" x14ac:dyDescent="0.3">
      <c r="AC630">
        <f t="shared" si="56"/>
        <v>0</v>
      </c>
      <c r="AD630">
        <v>627</v>
      </c>
      <c r="AE630" s="4">
        <f t="shared" si="54"/>
        <v>43168</v>
      </c>
      <c r="AF630" s="6">
        <f t="shared" si="55"/>
        <v>2.3790108957972622</v>
      </c>
      <c r="AG630" s="4">
        <v>43168</v>
      </c>
      <c r="AH630" s="6">
        <v>2.300637</v>
      </c>
      <c r="AI630" s="6">
        <v>2.4873129999999999</v>
      </c>
      <c r="AJ630" s="6">
        <v>3.087208</v>
      </c>
      <c r="AK630" s="4">
        <v>43168</v>
      </c>
      <c r="AL630" s="6">
        <f>VLOOKUP(AK630,Sheet3!$A$1:$B$1113,2,FALSE)</f>
        <v>1.81484215399017</v>
      </c>
      <c r="AM630" s="6">
        <f t="shared" si="57"/>
        <v>2.3790108957972622</v>
      </c>
    </row>
    <row r="631" spans="29:39" x14ac:dyDescent="0.3">
      <c r="AC631">
        <f t="shared" si="56"/>
        <v>0</v>
      </c>
      <c r="AD631">
        <v>628</v>
      </c>
      <c r="AE631" s="4">
        <f t="shared" si="54"/>
        <v>43175</v>
      </c>
      <c r="AF631" s="6">
        <f t="shared" si="55"/>
        <v>-1.1138481032961223</v>
      </c>
      <c r="AG631" s="4">
        <v>43175</v>
      </c>
      <c r="AH631" s="6">
        <v>-1.2763279999999999</v>
      </c>
      <c r="AI631" s="6">
        <v>-0.97744200000000003</v>
      </c>
      <c r="AJ631" s="6">
        <v>-0.45634400000000003</v>
      </c>
      <c r="AK631" s="4">
        <v>43175</v>
      </c>
      <c r="AL631" s="6">
        <f>VLOOKUP(AK631,Sheet3!$A$1:$B$1113,2,FALSE)</f>
        <v>1.7946275690801321</v>
      </c>
      <c r="AM631" s="6">
        <f t="shared" si="57"/>
        <v>-1.1138481032961223</v>
      </c>
    </row>
    <row r="632" spans="29:39" x14ac:dyDescent="0.3">
      <c r="AC632">
        <f t="shared" si="56"/>
        <v>0</v>
      </c>
      <c r="AD632">
        <v>629</v>
      </c>
      <c r="AE632" s="4">
        <f t="shared" si="54"/>
        <v>43182</v>
      </c>
      <c r="AF632" s="6">
        <f t="shared" si="55"/>
        <v>-4.3934110207793475</v>
      </c>
      <c r="AG632" s="4">
        <v>43182</v>
      </c>
      <c r="AH632" s="6">
        <v>-3.7345000000000002</v>
      </c>
      <c r="AI632" s="6">
        <v>-5.8434039999999996</v>
      </c>
      <c r="AJ632" s="6">
        <v>-5.9217909999999998</v>
      </c>
      <c r="AK632" s="4">
        <v>43182</v>
      </c>
      <c r="AL632" s="6">
        <f>VLOOKUP(AK632,Sheet3!$A$1:$B$1113,2,FALSE)</f>
        <v>1.7157822036782211</v>
      </c>
      <c r="AM632" s="6">
        <f t="shared" si="57"/>
        <v>-4.3934110207793475</v>
      </c>
    </row>
    <row r="633" spans="29:39" x14ac:dyDescent="0.3">
      <c r="AC633">
        <f t="shared" si="56"/>
        <v>0</v>
      </c>
      <c r="AD633">
        <v>630</v>
      </c>
      <c r="AE633" s="4">
        <f t="shared" si="54"/>
        <v>43189</v>
      </c>
      <c r="AF633" s="6">
        <f t="shared" si="55"/>
        <v>2.7991353901638982</v>
      </c>
      <c r="AG633" s="4">
        <v>43189</v>
      </c>
      <c r="AH633" s="6">
        <v>-0.16486300000000001</v>
      </c>
      <c r="AI633" s="6">
        <v>5.6605720000000002</v>
      </c>
      <c r="AJ633" s="6">
        <v>6.1811980000000002</v>
      </c>
      <c r="AK633" s="4">
        <v>43189</v>
      </c>
      <c r="AL633" s="6">
        <f>VLOOKUP(AK633,Sheet3!$A$1:$B$1113,2,FALSE)</f>
        <v>1.7638092705595121</v>
      </c>
      <c r="AM633" s="6">
        <f t="shared" si="57"/>
        <v>2.7991353901638982</v>
      </c>
    </row>
    <row r="634" spans="29:39" x14ac:dyDescent="0.3">
      <c r="AC634">
        <f t="shared" si="56"/>
        <v>0</v>
      </c>
      <c r="AD634">
        <v>631</v>
      </c>
      <c r="AE634" s="4">
        <f t="shared" si="54"/>
        <v>43194</v>
      </c>
      <c r="AF634" s="6">
        <f t="shared" si="55"/>
        <v>-1.265105183625137</v>
      </c>
      <c r="AG634" s="4">
        <v>43194</v>
      </c>
      <c r="AH634" s="6">
        <v>-1.1192820000000001</v>
      </c>
      <c r="AI634" s="6">
        <v>-1.58718</v>
      </c>
      <c r="AJ634" s="6">
        <v>-1.32006</v>
      </c>
      <c r="AK634" s="4">
        <v>43194</v>
      </c>
      <c r="AL634" s="6">
        <f>VLOOKUP(AK634,Sheet3!$A$1:$B$1113,2,FALSE)</f>
        <v>1.7414952280484031</v>
      </c>
      <c r="AM634" s="6">
        <f t="shared" si="57"/>
        <v>-1.265105183625137</v>
      </c>
    </row>
    <row r="635" spans="29:39" x14ac:dyDescent="0.3">
      <c r="AC635">
        <f t="shared" si="56"/>
        <v>0</v>
      </c>
      <c r="AD635">
        <v>632</v>
      </c>
      <c r="AE635" s="4">
        <f t="shared" si="54"/>
        <v>43203</v>
      </c>
      <c r="AF635" s="6">
        <f t="shared" si="55"/>
        <v>0.2947055422068745</v>
      </c>
      <c r="AG635" s="4">
        <v>43203</v>
      </c>
      <c r="AH635" s="6">
        <v>0.42237000000000002</v>
      </c>
      <c r="AI635" s="6">
        <v>0.15787499999999999</v>
      </c>
      <c r="AJ635" s="6">
        <v>0.189911</v>
      </c>
      <c r="AK635" s="4">
        <v>43203</v>
      </c>
      <c r="AL635" s="6">
        <f>VLOOKUP(AK635,Sheet3!$A$1:$B$1113,2,FALSE)</f>
        <v>1.7466275110027301</v>
      </c>
      <c r="AM635" s="6">
        <f t="shared" si="57"/>
        <v>0.2947055422068745</v>
      </c>
    </row>
    <row r="636" spans="29:39" x14ac:dyDescent="0.3">
      <c r="AC636">
        <f t="shared" si="56"/>
        <v>0</v>
      </c>
      <c r="AD636">
        <v>633</v>
      </c>
      <c r="AE636" s="4">
        <f t="shared" si="54"/>
        <v>43210</v>
      </c>
      <c r="AF636" s="6">
        <f t="shared" si="55"/>
        <v>-2.3268288482922284</v>
      </c>
      <c r="AG636" s="4">
        <v>43210</v>
      </c>
      <c r="AH636" s="6">
        <v>-2.8490280000000001</v>
      </c>
      <c r="AI636" s="6">
        <v>-2.4281779999999999</v>
      </c>
      <c r="AJ636" s="6">
        <v>-2.7627030000000001</v>
      </c>
      <c r="AK636" s="4">
        <v>43210</v>
      </c>
      <c r="AL636" s="6">
        <f>VLOOKUP(AK636,Sheet3!$A$1:$B$1113,2,FALSE)</f>
        <v>1.70598647820451</v>
      </c>
      <c r="AM636" s="6">
        <f t="shared" si="57"/>
        <v>-2.3268288482922284</v>
      </c>
    </row>
    <row r="637" spans="29:39" x14ac:dyDescent="0.3">
      <c r="AC637">
        <f t="shared" si="56"/>
        <v>0</v>
      </c>
      <c r="AD637">
        <v>634</v>
      </c>
      <c r="AE637" s="4">
        <f t="shared" si="54"/>
        <v>43217</v>
      </c>
      <c r="AF637" s="6">
        <f t="shared" si="55"/>
        <v>0.12726798658579952</v>
      </c>
      <c r="AG637" s="4">
        <v>43217</v>
      </c>
      <c r="AH637" s="6">
        <v>-0.105769</v>
      </c>
      <c r="AI637" s="6">
        <v>-0.33757599999999999</v>
      </c>
      <c r="AJ637" s="6">
        <v>-0.28931000000000001</v>
      </c>
      <c r="AK637" s="4">
        <v>43217</v>
      </c>
      <c r="AL637" s="6">
        <f>VLOOKUP(AK637,Sheet3!$A$1:$B$1113,2,FALSE)</f>
        <v>1.708157652846747</v>
      </c>
      <c r="AM637" s="6">
        <f t="shared" si="57"/>
        <v>0.12726798658579952</v>
      </c>
    </row>
    <row r="638" spans="29:39" x14ac:dyDescent="0.3">
      <c r="AC638">
        <f t="shared" si="56"/>
        <v>0</v>
      </c>
      <c r="AD638">
        <v>635</v>
      </c>
      <c r="AE638" s="4">
        <f t="shared" si="54"/>
        <v>43224</v>
      </c>
      <c r="AF638" s="6">
        <f t="shared" si="55"/>
        <v>1.1935554094229861</v>
      </c>
      <c r="AG638" s="4">
        <v>43224</v>
      </c>
      <c r="AH638" s="6">
        <v>0.47171099999999999</v>
      </c>
      <c r="AI638" s="6">
        <v>0.82427799999999996</v>
      </c>
      <c r="AJ638" s="6">
        <v>0.21848400000000001</v>
      </c>
      <c r="AK638" s="4">
        <v>43224</v>
      </c>
      <c r="AL638" s="6">
        <f>VLOOKUP(AK638,Sheet3!$A$1:$B$1113,2,FALSE)</f>
        <v>1.728545460913772</v>
      </c>
      <c r="AM638" s="6">
        <f t="shared" si="57"/>
        <v>1.1935554094229861</v>
      </c>
    </row>
    <row r="639" spans="29:39" x14ac:dyDescent="0.3">
      <c r="AC639">
        <f t="shared" si="56"/>
        <v>0</v>
      </c>
      <c r="AD639">
        <v>636</v>
      </c>
      <c r="AE639" s="4">
        <f t="shared" si="54"/>
        <v>43231</v>
      </c>
      <c r="AF639" s="6">
        <f t="shared" si="55"/>
        <v>1.7397003974325864</v>
      </c>
      <c r="AG639" s="4">
        <v>43231</v>
      </c>
      <c r="AH639" s="6">
        <v>2.6026660000000001</v>
      </c>
      <c r="AI639" s="6">
        <v>1.3884570000000001</v>
      </c>
      <c r="AJ639" s="6">
        <v>1.6148990000000001</v>
      </c>
      <c r="AK639" s="4">
        <v>43231</v>
      </c>
      <c r="AL639" s="6">
        <f>VLOOKUP(AK639,Sheet3!$A$1:$B$1113,2,FALSE)</f>
        <v>1.758616973167092</v>
      </c>
      <c r="AM639" s="6">
        <f t="shared" si="57"/>
        <v>1.7397003974325864</v>
      </c>
    </row>
    <row r="640" spans="29:39" x14ac:dyDescent="0.3">
      <c r="AC640">
        <f t="shared" si="56"/>
        <v>0</v>
      </c>
      <c r="AD640">
        <v>637</v>
      </c>
      <c r="AE640" s="4">
        <f t="shared" si="54"/>
        <v>43238</v>
      </c>
      <c r="AF640" s="6">
        <f t="shared" si="55"/>
        <v>0.58237417584936502</v>
      </c>
      <c r="AG640" s="4">
        <v>43238</v>
      </c>
      <c r="AH640" s="6">
        <v>0.78044599999999997</v>
      </c>
      <c r="AI640" s="6">
        <v>6.3547000000000006E-2</v>
      </c>
      <c r="AJ640" s="6">
        <v>-0.24095900000000001</v>
      </c>
      <c r="AK640" s="4">
        <v>43238</v>
      </c>
      <c r="AL640" s="6">
        <f>VLOOKUP(AK640,Sheet3!$A$1:$B$1113,2,FALSE)</f>
        <v>1.768858704270921</v>
      </c>
      <c r="AM640" s="6">
        <f t="shared" si="57"/>
        <v>0.58237417584936502</v>
      </c>
    </row>
    <row r="641" spans="29:39" x14ac:dyDescent="0.3">
      <c r="AC641">
        <f t="shared" si="56"/>
        <v>0</v>
      </c>
      <c r="AD641">
        <v>638</v>
      </c>
      <c r="AE641" s="4">
        <f t="shared" si="54"/>
        <v>43245</v>
      </c>
      <c r="AF641" s="6">
        <f t="shared" si="55"/>
        <v>-1.0643127876890368</v>
      </c>
      <c r="AG641" s="4">
        <v>43245</v>
      </c>
      <c r="AH641" s="6">
        <v>-2.2178909999999998</v>
      </c>
      <c r="AI641" s="6">
        <v>-1.290241</v>
      </c>
      <c r="AJ641" s="6">
        <v>-1.198123</v>
      </c>
      <c r="AK641" s="4">
        <v>43245</v>
      </c>
      <c r="AL641" s="6">
        <f>VLOOKUP(AK641,Sheet3!$A$1:$B$1113,2,FALSE)</f>
        <v>1.7500325148852149</v>
      </c>
      <c r="AM641" s="6">
        <f t="shared" si="57"/>
        <v>-1.0643127876890368</v>
      </c>
    </row>
    <row r="642" spans="29:39" x14ac:dyDescent="0.3">
      <c r="AC642">
        <f t="shared" si="56"/>
        <v>0</v>
      </c>
      <c r="AD642">
        <v>639</v>
      </c>
      <c r="AE642" s="4">
        <f t="shared" si="54"/>
        <v>43252</v>
      </c>
      <c r="AF642" s="6">
        <f t="shared" si="55"/>
        <v>-1.8753489660033318</v>
      </c>
      <c r="AG642" s="4">
        <v>43252</v>
      </c>
      <c r="AH642" s="6">
        <v>-1.202906</v>
      </c>
      <c r="AI642" s="6">
        <v>-3.9319069999999998</v>
      </c>
      <c r="AJ642" s="6">
        <v>-4.551253</v>
      </c>
      <c r="AK642" s="4">
        <v>43252</v>
      </c>
      <c r="AL642" s="6">
        <f>VLOOKUP(AK642,Sheet3!$A$1:$B$1113,2,FALSE)</f>
        <v>1.7172132982125929</v>
      </c>
      <c r="AM642" s="6">
        <f t="shared" si="57"/>
        <v>-1.8753489660033318</v>
      </c>
    </row>
    <row r="643" spans="29:39" x14ac:dyDescent="0.3">
      <c r="AC643">
        <f t="shared" si="56"/>
        <v>0</v>
      </c>
      <c r="AD643">
        <v>640</v>
      </c>
      <c r="AE643" s="4">
        <f t="shared" si="54"/>
        <v>43259</v>
      </c>
      <c r="AF643" s="6">
        <f t="shared" si="55"/>
        <v>1.1557925084525467</v>
      </c>
      <c r="AG643" s="4">
        <v>43259</v>
      </c>
      <c r="AH643" s="6">
        <v>0.2394</v>
      </c>
      <c r="AI643" s="6">
        <v>-0.27813700000000002</v>
      </c>
      <c r="AJ643" s="6">
        <v>-0.60502400000000001</v>
      </c>
      <c r="AK643" s="4">
        <v>43259</v>
      </c>
      <c r="AL643" s="6">
        <f>VLOOKUP(AK643,Sheet3!$A$1:$B$1113,2,FALSE)</f>
        <v>1.7370607208674851</v>
      </c>
      <c r="AM643" s="6">
        <f t="shared" si="57"/>
        <v>1.1557925084525467</v>
      </c>
    </row>
    <row r="644" spans="29:39" x14ac:dyDescent="0.3">
      <c r="AC644">
        <f t="shared" si="56"/>
        <v>0</v>
      </c>
      <c r="AD644">
        <v>641</v>
      </c>
      <c r="AE644" s="4">
        <f t="shared" si="54"/>
        <v>43266</v>
      </c>
      <c r="AF644" s="6">
        <f t="shared" si="55"/>
        <v>-1.9528830414592635</v>
      </c>
      <c r="AG644" s="4">
        <v>43266</v>
      </c>
      <c r="AH644" s="6">
        <v>-0.69271899999999997</v>
      </c>
      <c r="AI644" s="6">
        <v>-3.2695110000000001</v>
      </c>
      <c r="AJ644" s="6">
        <v>-4.4776860000000003</v>
      </c>
      <c r="AK644" s="4">
        <v>43266</v>
      </c>
      <c r="AL644" s="6">
        <f>VLOOKUP(AK644,Sheet3!$A$1:$B$1113,2,FALSE)</f>
        <v>1.7031379566298139</v>
      </c>
      <c r="AM644" s="6">
        <f t="shared" si="57"/>
        <v>-1.9528830414592635</v>
      </c>
    </row>
    <row r="645" spans="29:39" x14ac:dyDescent="0.3">
      <c r="AC645">
        <f t="shared" si="56"/>
        <v>0</v>
      </c>
      <c r="AD645">
        <v>642</v>
      </c>
      <c r="AE645" s="4">
        <f t="shared" ref="AE645:AE708" si="58">AG645</f>
        <v>43273</v>
      </c>
      <c r="AF645" s="6">
        <f t="shared" ref="AF645:AF708" si="59">AM645</f>
        <v>-2.8160979786213458</v>
      </c>
      <c r="AG645" s="4">
        <v>43273</v>
      </c>
      <c r="AH645" s="6">
        <v>-3.8505859999999998</v>
      </c>
      <c r="AI645" s="6">
        <v>-5.9049060000000004</v>
      </c>
      <c r="AJ645" s="6">
        <v>-6.5231709999999996</v>
      </c>
      <c r="AK645" s="4">
        <v>43273</v>
      </c>
      <c r="AL645" s="6">
        <f>VLOOKUP(AK645,Sheet3!$A$1:$B$1113,2,FALSE)</f>
        <v>1.6551759230600289</v>
      </c>
      <c r="AM645" s="6">
        <f t="shared" si="57"/>
        <v>-2.8160979786213458</v>
      </c>
    </row>
    <row r="646" spans="29:39" x14ac:dyDescent="0.3">
      <c r="AC646">
        <f t="shared" ref="AC646:AC709" si="60">IF(AE646&lt;=AE645,1,0)</f>
        <v>0</v>
      </c>
      <c r="AD646">
        <v>643</v>
      </c>
      <c r="AE646" s="4">
        <f t="shared" si="58"/>
        <v>43280</v>
      </c>
      <c r="AF646" s="6">
        <f t="shared" si="59"/>
        <v>-0.61775147830948063</v>
      </c>
      <c r="AG646" s="4">
        <v>43280</v>
      </c>
      <c r="AH646" s="6">
        <v>-2.7132909999999999</v>
      </c>
      <c r="AI646" s="6">
        <v>1.117057</v>
      </c>
      <c r="AJ646" s="6">
        <v>1.2120029999999999</v>
      </c>
      <c r="AK646" s="4">
        <v>43280</v>
      </c>
      <c r="AL646" s="6">
        <f>VLOOKUP(AK646,Sheet3!$A$1:$B$1113,2,FALSE)</f>
        <v>1.644951049326703</v>
      </c>
      <c r="AM646" s="6">
        <f t="shared" ref="AM646:AM709" si="61">(AL646/AL645-1)*100</f>
        <v>-0.61775147830948063</v>
      </c>
    </row>
    <row r="647" spans="29:39" x14ac:dyDescent="0.3">
      <c r="AC647">
        <f t="shared" si="60"/>
        <v>0</v>
      </c>
      <c r="AD647">
        <v>644</v>
      </c>
      <c r="AE647" s="4">
        <f t="shared" si="58"/>
        <v>43287</v>
      </c>
      <c r="AF647" s="6">
        <f t="shared" si="59"/>
        <v>-4.0713227895538999</v>
      </c>
      <c r="AG647" s="4">
        <v>43287</v>
      </c>
      <c r="AH647" s="6">
        <v>-4.1544420000000004</v>
      </c>
      <c r="AI647" s="6">
        <v>-4.2381060000000002</v>
      </c>
      <c r="AJ647" s="6">
        <v>-4.1714219999999997</v>
      </c>
      <c r="AK647" s="4">
        <v>43287</v>
      </c>
      <c r="AL647" s="6">
        <f>VLOOKUP(AK647,Sheet3!$A$1:$B$1113,2,FALSE)</f>
        <v>1.5779797823784589</v>
      </c>
      <c r="AM647" s="6">
        <f t="shared" si="61"/>
        <v>-4.0713227895538999</v>
      </c>
    </row>
    <row r="648" spans="29:39" x14ac:dyDescent="0.3">
      <c r="AC648">
        <f t="shared" si="60"/>
        <v>0</v>
      </c>
      <c r="AD648">
        <v>645</v>
      </c>
      <c r="AE648" s="4">
        <f t="shared" si="58"/>
        <v>43294</v>
      </c>
      <c r="AF648" s="6">
        <f t="shared" si="59"/>
        <v>5.4152228058852669</v>
      </c>
      <c r="AG648" s="4">
        <v>43294</v>
      </c>
      <c r="AH648" s="6">
        <v>3.7908569999999999</v>
      </c>
      <c r="AI648" s="6">
        <v>4.153912</v>
      </c>
      <c r="AJ648" s="6">
        <v>3.4812989999999999</v>
      </c>
      <c r="AK648" s="4">
        <v>43294</v>
      </c>
      <c r="AL648" s="6">
        <f>VLOOKUP(AK648,Sheet3!$A$1:$B$1113,2,FALSE)</f>
        <v>1.6634309034260759</v>
      </c>
      <c r="AM648" s="6">
        <f t="shared" si="61"/>
        <v>5.4152228058852669</v>
      </c>
    </row>
    <row r="649" spans="29:39" x14ac:dyDescent="0.3">
      <c r="AC649">
        <f t="shared" si="60"/>
        <v>0</v>
      </c>
      <c r="AD649">
        <v>646</v>
      </c>
      <c r="AE649" s="4">
        <f t="shared" si="58"/>
        <v>43298</v>
      </c>
      <c r="AF649" s="6">
        <f t="shared" si="59"/>
        <v>-0.52990101010779167</v>
      </c>
      <c r="AG649" s="4">
        <v>43298</v>
      </c>
      <c r="AH649" s="6">
        <v>-1.2400869999999999</v>
      </c>
      <c r="AI649" s="6">
        <v>-0.153503</v>
      </c>
      <c r="AJ649" s="6">
        <v>0.247923</v>
      </c>
      <c r="AK649" s="4">
        <v>43301</v>
      </c>
      <c r="AL649" s="6">
        <f>VLOOKUP(AK649,Sheet3!$A$1:$B$1113,2,FALSE)</f>
        <v>1.654616366266376</v>
      </c>
      <c r="AM649" s="6">
        <f t="shared" si="61"/>
        <v>-0.52990101010779167</v>
      </c>
    </row>
    <row r="650" spans="29:39" x14ac:dyDescent="0.3">
      <c r="AC650">
        <f t="shared" si="60"/>
        <v>1</v>
      </c>
      <c r="AD650">
        <v>647</v>
      </c>
      <c r="AE650" s="4">
        <f t="shared" si="58"/>
        <v>43084</v>
      </c>
      <c r="AF650" s="6">
        <f t="shared" si="59"/>
        <v>-100</v>
      </c>
      <c r="AG650" s="4">
        <v>43084</v>
      </c>
      <c r="AH650" s="6">
        <v>-1.12504</v>
      </c>
      <c r="AI650" s="6">
        <v>-0.768926</v>
      </c>
      <c r="AJ650" s="6">
        <v>-0.33165299999999998</v>
      </c>
      <c r="AK650" s="6"/>
      <c r="AL650" s="6"/>
      <c r="AM650" s="6">
        <f t="shared" si="61"/>
        <v>-100</v>
      </c>
    </row>
    <row r="651" spans="29:39" x14ac:dyDescent="0.3">
      <c r="AC651">
        <f t="shared" si="60"/>
        <v>0</v>
      </c>
      <c r="AD651">
        <v>648</v>
      </c>
      <c r="AE651" s="4">
        <f t="shared" si="58"/>
        <v>43087</v>
      </c>
      <c r="AF651" s="6" t="e">
        <f t="shared" si="59"/>
        <v>#DIV/0!</v>
      </c>
      <c r="AG651" s="4">
        <v>43087</v>
      </c>
      <c r="AH651" s="6">
        <v>0.11142299999999999</v>
      </c>
      <c r="AI651" s="6">
        <v>-0.57365699999999997</v>
      </c>
      <c r="AJ651" s="6">
        <v>-0.65820800000000002</v>
      </c>
      <c r="AK651" s="6"/>
      <c r="AL651" s="6"/>
      <c r="AM651" s="6" t="e">
        <f t="shared" si="61"/>
        <v>#DIV/0!</v>
      </c>
    </row>
    <row r="652" spans="29:39" x14ac:dyDescent="0.3">
      <c r="AC652">
        <f t="shared" si="60"/>
        <v>0</v>
      </c>
      <c r="AD652">
        <v>649</v>
      </c>
      <c r="AE652" s="4">
        <f t="shared" si="58"/>
        <v>43088</v>
      </c>
      <c r="AF652" s="6" t="e">
        <f t="shared" si="59"/>
        <v>#DIV/0!</v>
      </c>
      <c r="AG652" s="4">
        <v>43088</v>
      </c>
      <c r="AH652" s="6">
        <v>1.2555670000000001</v>
      </c>
      <c r="AI652" s="6">
        <v>0.826658</v>
      </c>
      <c r="AJ652" s="6">
        <v>0.56510300000000002</v>
      </c>
      <c r="AK652" s="6"/>
      <c r="AL652" s="6"/>
      <c r="AM652" s="6" t="e">
        <f t="shared" si="61"/>
        <v>#DIV/0!</v>
      </c>
    </row>
    <row r="653" spans="29:39" x14ac:dyDescent="0.3">
      <c r="AC653">
        <f t="shared" si="60"/>
        <v>0</v>
      </c>
      <c r="AD653">
        <v>650</v>
      </c>
      <c r="AE653" s="4">
        <f t="shared" si="58"/>
        <v>43089</v>
      </c>
      <c r="AF653" s="6" t="e">
        <f t="shared" si="59"/>
        <v>#DIV/0!</v>
      </c>
      <c r="AG653" s="4">
        <v>43089</v>
      </c>
      <c r="AH653" s="6">
        <v>-0.119931</v>
      </c>
      <c r="AI653" s="6">
        <v>-0.82989599999999997</v>
      </c>
      <c r="AJ653" s="6">
        <v>-1.0448710000000001</v>
      </c>
      <c r="AK653" s="6"/>
      <c r="AL653" s="6"/>
      <c r="AM653" s="6" t="e">
        <f t="shared" si="61"/>
        <v>#DIV/0!</v>
      </c>
    </row>
    <row r="654" spans="29:39" x14ac:dyDescent="0.3">
      <c r="AC654">
        <f t="shared" si="60"/>
        <v>0</v>
      </c>
      <c r="AD654">
        <v>651</v>
      </c>
      <c r="AE654" s="4">
        <f t="shared" si="58"/>
        <v>43090</v>
      </c>
      <c r="AF654" s="6" t="e">
        <f t="shared" si="59"/>
        <v>#DIV/0!</v>
      </c>
      <c r="AG654" s="4">
        <v>43090</v>
      </c>
      <c r="AH654" s="6">
        <v>0.926902</v>
      </c>
      <c r="AI654" s="6">
        <v>0.63128899999999999</v>
      </c>
      <c r="AJ654" s="6">
        <v>0.13972999999999999</v>
      </c>
      <c r="AK654" s="6"/>
      <c r="AL654" s="6"/>
      <c r="AM654" s="6" t="e">
        <f t="shared" si="61"/>
        <v>#DIV/0!</v>
      </c>
    </row>
    <row r="655" spans="29:39" x14ac:dyDescent="0.3">
      <c r="AC655">
        <f t="shared" si="60"/>
        <v>0</v>
      </c>
      <c r="AD655">
        <v>652</v>
      </c>
      <c r="AE655" s="4">
        <f t="shared" si="58"/>
        <v>43091</v>
      </c>
      <c r="AF655" s="6" t="e">
        <f t="shared" si="59"/>
        <v>#DIV/0!</v>
      </c>
      <c r="AG655" s="4">
        <v>43091</v>
      </c>
      <c r="AH655" s="6">
        <v>-0.32572699999999999</v>
      </c>
      <c r="AI655" s="6">
        <v>7.0305000000000006E-2</v>
      </c>
      <c r="AJ655" s="6">
        <v>-0.197717</v>
      </c>
      <c r="AK655" s="6"/>
      <c r="AL655" s="6"/>
      <c r="AM655" s="6" t="e">
        <f t="shared" si="61"/>
        <v>#DIV/0!</v>
      </c>
    </row>
    <row r="656" spans="29:39" x14ac:dyDescent="0.3">
      <c r="AC656">
        <f t="shared" si="60"/>
        <v>0</v>
      </c>
      <c r="AD656">
        <v>653</v>
      </c>
      <c r="AE656" s="4">
        <f t="shared" si="58"/>
        <v>43094</v>
      </c>
      <c r="AF656" s="6" t="e">
        <f t="shared" si="59"/>
        <v>#DIV/0!</v>
      </c>
      <c r="AG656" s="4">
        <v>43094</v>
      </c>
      <c r="AH656" s="6">
        <v>-0.32206099999999999</v>
      </c>
      <c r="AI656" s="6">
        <v>-0.91774900000000004</v>
      </c>
      <c r="AJ656" s="6">
        <v>-1.376733</v>
      </c>
      <c r="AK656" s="6"/>
      <c r="AL656" s="6"/>
      <c r="AM656" s="6" t="e">
        <f t="shared" si="61"/>
        <v>#DIV/0!</v>
      </c>
    </row>
    <row r="657" spans="29:39" x14ac:dyDescent="0.3">
      <c r="AC657">
        <f t="shared" si="60"/>
        <v>0</v>
      </c>
      <c r="AD657">
        <v>654</v>
      </c>
      <c r="AE657" s="4">
        <f t="shared" si="58"/>
        <v>43095</v>
      </c>
      <c r="AF657" s="6" t="e">
        <f t="shared" si="59"/>
        <v>#DIV/0!</v>
      </c>
      <c r="AG657" s="4">
        <v>43095</v>
      </c>
      <c r="AH657" s="6">
        <v>0.29895300000000002</v>
      </c>
      <c r="AI657" s="6">
        <v>0.55866300000000002</v>
      </c>
      <c r="AJ657" s="6">
        <v>0.43562499999999998</v>
      </c>
      <c r="AK657" s="6"/>
      <c r="AL657" s="6"/>
      <c r="AM657" s="6" t="e">
        <f t="shared" si="61"/>
        <v>#DIV/0!</v>
      </c>
    </row>
    <row r="658" spans="29:39" x14ac:dyDescent="0.3">
      <c r="AC658">
        <f t="shared" si="60"/>
        <v>0</v>
      </c>
      <c r="AD658">
        <v>655</v>
      </c>
      <c r="AE658" s="4">
        <f t="shared" si="58"/>
        <v>43096</v>
      </c>
      <c r="AF658" s="6" t="e">
        <f t="shared" si="59"/>
        <v>#DIV/0!</v>
      </c>
      <c r="AG658" s="4">
        <v>43096</v>
      </c>
      <c r="AH658" s="6">
        <v>-1.539731</v>
      </c>
      <c r="AI658" s="6">
        <v>-0.755521</v>
      </c>
      <c r="AJ658" s="6">
        <v>-0.40464</v>
      </c>
      <c r="AK658" s="6"/>
      <c r="AL658" s="6"/>
      <c r="AM658" s="6" t="e">
        <f t="shared" si="61"/>
        <v>#DIV/0!</v>
      </c>
    </row>
    <row r="659" spans="29:39" x14ac:dyDescent="0.3">
      <c r="AC659">
        <f t="shared" si="60"/>
        <v>0</v>
      </c>
      <c r="AD659">
        <v>656</v>
      </c>
      <c r="AE659" s="4">
        <f t="shared" si="58"/>
        <v>43097</v>
      </c>
      <c r="AF659" s="6" t="e">
        <f t="shared" si="59"/>
        <v>#DIV/0!</v>
      </c>
      <c r="AG659" s="4">
        <v>43097</v>
      </c>
      <c r="AH659" s="6">
        <v>0.69377200000000006</v>
      </c>
      <c r="AI659" s="6">
        <v>0.50407599999999997</v>
      </c>
      <c r="AJ659" s="6">
        <v>0.20084399999999999</v>
      </c>
      <c r="AK659" s="6"/>
      <c r="AL659" s="6"/>
      <c r="AM659" s="6" t="e">
        <f t="shared" si="61"/>
        <v>#DIV/0!</v>
      </c>
    </row>
    <row r="660" spans="29:39" x14ac:dyDescent="0.3">
      <c r="AC660">
        <f t="shared" si="60"/>
        <v>0</v>
      </c>
      <c r="AD660">
        <v>657</v>
      </c>
      <c r="AE660" s="4">
        <f t="shared" si="58"/>
        <v>43098</v>
      </c>
      <c r="AF660" s="6" t="e">
        <f t="shared" si="59"/>
        <v>#DIV/0!</v>
      </c>
      <c r="AG660" s="4">
        <v>43098</v>
      </c>
      <c r="AH660" s="6">
        <v>0.29753200000000002</v>
      </c>
      <c r="AI660" s="6">
        <v>0.75029800000000002</v>
      </c>
      <c r="AJ660" s="6">
        <v>0.87498699999999996</v>
      </c>
      <c r="AK660" s="6"/>
      <c r="AL660" s="6"/>
      <c r="AM660" s="6" t="e">
        <f t="shared" si="61"/>
        <v>#DIV/0!</v>
      </c>
    </row>
    <row r="661" spans="29:39" x14ac:dyDescent="0.3">
      <c r="AC661">
        <f t="shared" si="60"/>
        <v>0</v>
      </c>
      <c r="AD661">
        <v>658</v>
      </c>
      <c r="AE661" s="4">
        <f t="shared" si="58"/>
        <v>43102</v>
      </c>
      <c r="AF661" s="6" t="e">
        <f t="shared" si="59"/>
        <v>#DIV/0!</v>
      </c>
      <c r="AG661" s="4">
        <v>43102</v>
      </c>
      <c r="AH661" s="6">
        <v>1.402836</v>
      </c>
      <c r="AI661" s="6">
        <v>1.3023279999999999</v>
      </c>
      <c r="AJ661" s="6">
        <v>1.065124</v>
      </c>
      <c r="AK661" s="6"/>
      <c r="AL661" s="6"/>
      <c r="AM661" s="6" t="e">
        <f t="shared" si="61"/>
        <v>#DIV/0!</v>
      </c>
    </row>
    <row r="662" spans="29:39" x14ac:dyDescent="0.3">
      <c r="AC662">
        <f t="shared" si="60"/>
        <v>0</v>
      </c>
      <c r="AD662">
        <v>659</v>
      </c>
      <c r="AE662" s="4">
        <f t="shared" si="58"/>
        <v>43103</v>
      </c>
      <c r="AF662" s="6" t="e">
        <f t="shared" si="59"/>
        <v>#DIV/0!</v>
      </c>
      <c r="AG662" s="4">
        <v>43103</v>
      </c>
      <c r="AH662" s="6">
        <v>0.58695699999999995</v>
      </c>
      <c r="AI662" s="6">
        <v>0.88478199999999996</v>
      </c>
      <c r="AJ662" s="6">
        <v>0.95572800000000002</v>
      </c>
      <c r="AK662" s="6"/>
      <c r="AL662" s="6"/>
      <c r="AM662" s="6" t="e">
        <f t="shared" si="61"/>
        <v>#DIV/0!</v>
      </c>
    </row>
    <row r="663" spans="29:39" x14ac:dyDescent="0.3">
      <c r="AC663">
        <f t="shared" si="60"/>
        <v>0</v>
      </c>
      <c r="AD663">
        <v>660</v>
      </c>
      <c r="AE663" s="4">
        <f t="shared" si="58"/>
        <v>43104</v>
      </c>
      <c r="AF663" s="6" t="e">
        <f t="shared" si="59"/>
        <v>#DIV/0!</v>
      </c>
      <c r="AG663" s="4">
        <v>43104</v>
      </c>
      <c r="AH663" s="6">
        <v>0.42368600000000001</v>
      </c>
      <c r="AI663" s="6">
        <v>0.458368</v>
      </c>
      <c r="AJ663" s="6">
        <v>0.20935000000000001</v>
      </c>
      <c r="AK663" s="6"/>
      <c r="AL663" s="6"/>
      <c r="AM663" s="6" t="e">
        <f t="shared" si="61"/>
        <v>#DIV/0!</v>
      </c>
    </row>
    <row r="664" spans="29:39" x14ac:dyDescent="0.3">
      <c r="AC664">
        <f t="shared" si="60"/>
        <v>0</v>
      </c>
      <c r="AD664">
        <v>661</v>
      </c>
      <c r="AE664" s="4">
        <f t="shared" si="58"/>
        <v>43105</v>
      </c>
      <c r="AF664" s="6" t="e">
        <f t="shared" si="59"/>
        <v>#DIV/0!</v>
      </c>
      <c r="AG664" s="4">
        <v>43105</v>
      </c>
      <c r="AH664" s="6">
        <v>0.24071300000000001</v>
      </c>
      <c r="AI664" s="6">
        <v>-4.3829999999999997E-3</v>
      </c>
      <c r="AJ664" s="6">
        <v>2.7916E-2</v>
      </c>
      <c r="AK664" s="6"/>
      <c r="AL664" s="6"/>
      <c r="AM664" s="6" t="e">
        <f t="shared" si="61"/>
        <v>#DIV/0!</v>
      </c>
    </row>
    <row r="665" spans="29:39" x14ac:dyDescent="0.3">
      <c r="AC665">
        <f t="shared" si="60"/>
        <v>0</v>
      </c>
      <c r="AD665">
        <v>662</v>
      </c>
      <c r="AE665" s="4">
        <f t="shared" si="58"/>
        <v>43108</v>
      </c>
      <c r="AF665" s="6" t="e">
        <f t="shared" si="59"/>
        <v>#DIV/0!</v>
      </c>
      <c r="AG665" s="4">
        <v>43108</v>
      </c>
      <c r="AH665" s="6">
        <v>0.51728200000000002</v>
      </c>
      <c r="AI665" s="6">
        <v>0.45078600000000002</v>
      </c>
      <c r="AJ665" s="6">
        <v>0.15916</v>
      </c>
      <c r="AK665" s="6"/>
      <c r="AL665" s="6"/>
      <c r="AM665" s="6" t="e">
        <f t="shared" si="61"/>
        <v>#DIV/0!</v>
      </c>
    </row>
    <row r="666" spans="29:39" x14ac:dyDescent="0.3">
      <c r="AC666">
        <f t="shared" si="60"/>
        <v>0</v>
      </c>
      <c r="AD666">
        <v>663</v>
      </c>
      <c r="AE666" s="4">
        <f t="shared" si="58"/>
        <v>43109</v>
      </c>
      <c r="AF666" s="6" t="e">
        <f t="shared" si="59"/>
        <v>#DIV/0!</v>
      </c>
      <c r="AG666" s="4">
        <v>43109</v>
      </c>
      <c r="AH666" s="6">
        <v>0.70041100000000001</v>
      </c>
      <c r="AI666" s="6">
        <v>-6.757E-3</v>
      </c>
      <c r="AJ666" s="6">
        <v>-0.160664</v>
      </c>
      <c r="AK666" s="6"/>
      <c r="AL666" s="6"/>
      <c r="AM666" s="6" t="e">
        <f t="shared" si="61"/>
        <v>#DIV/0!</v>
      </c>
    </row>
    <row r="667" spans="29:39" x14ac:dyDescent="0.3">
      <c r="AC667">
        <f t="shared" si="60"/>
        <v>0</v>
      </c>
      <c r="AD667">
        <v>664</v>
      </c>
      <c r="AE667" s="4">
        <f t="shared" si="58"/>
        <v>43110</v>
      </c>
      <c r="AF667" s="6" t="e">
        <f t="shared" si="59"/>
        <v>#DIV/0!</v>
      </c>
      <c r="AG667" s="4">
        <v>43110</v>
      </c>
      <c r="AH667" s="6">
        <v>0.441971</v>
      </c>
      <c r="AI667" s="6">
        <v>-0.61756500000000003</v>
      </c>
      <c r="AJ667" s="6">
        <v>-0.52893900000000005</v>
      </c>
      <c r="AK667" s="6"/>
      <c r="AL667" s="6"/>
      <c r="AM667" s="6" t="e">
        <f t="shared" si="61"/>
        <v>#DIV/0!</v>
      </c>
    </row>
    <row r="668" spans="29:39" x14ac:dyDescent="0.3">
      <c r="AC668">
        <f t="shared" si="60"/>
        <v>0</v>
      </c>
      <c r="AD668">
        <v>665</v>
      </c>
      <c r="AE668" s="4">
        <f t="shared" si="58"/>
        <v>43111</v>
      </c>
      <c r="AF668" s="6" t="e">
        <f t="shared" si="59"/>
        <v>#DIV/0!</v>
      </c>
      <c r="AG668" s="4">
        <v>43111</v>
      </c>
      <c r="AH668" s="6">
        <v>-5.2922999999999998E-2</v>
      </c>
      <c r="AI668" s="6">
        <v>0.31222</v>
      </c>
      <c r="AJ668" s="6">
        <v>0.512934</v>
      </c>
      <c r="AK668" s="6"/>
      <c r="AL668" s="6"/>
      <c r="AM668" s="6" t="e">
        <f t="shared" si="61"/>
        <v>#DIV/0!</v>
      </c>
    </row>
    <row r="669" spans="29:39" x14ac:dyDescent="0.3">
      <c r="AC669">
        <f t="shared" si="60"/>
        <v>0</v>
      </c>
      <c r="AD669">
        <v>666</v>
      </c>
      <c r="AE669" s="4">
        <f t="shared" si="58"/>
        <v>43112</v>
      </c>
      <c r="AF669" s="6" t="e">
        <f t="shared" si="59"/>
        <v>#DIV/0!</v>
      </c>
      <c r="AG669" s="4">
        <v>43112</v>
      </c>
      <c r="AH669" s="6">
        <v>0.46164100000000002</v>
      </c>
      <c r="AI669" s="6">
        <v>-0.41342400000000001</v>
      </c>
      <c r="AJ669" s="6">
        <v>-0.66296299999999997</v>
      </c>
      <c r="AK669" s="6"/>
      <c r="AL669" s="6"/>
      <c r="AM669" s="6" t="e">
        <f t="shared" si="61"/>
        <v>#DIV/0!</v>
      </c>
    </row>
    <row r="670" spans="29:39" x14ac:dyDescent="0.3">
      <c r="AC670">
        <f t="shared" si="60"/>
        <v>0</v>
      </c>
      <c r="AD670">
        <v>667</v>
      </c>
      <c r="AE670" s="4">
        <f t="shared" si="58"/>
        <v>43115</v>
      </c>
      <c r="AF670" s="6" t="e">
        <f t="shared" si="59"/>
        <v>#DIV/0!</v>
      </c>
      <c r="AG670" s="4">
        <v>43115</v>
      </c>
      <c r="AH670" s="6">
        <v>5.64E-3</v>
      </c>
      <c r="AI670" s="6">
        <v>-2.2814390000000002</v>
      </c>
      <c r="AJ670" s="6">
        <v>-2.7851530000000002</v>
      </c>
      <c r="AK670" s="6"/>
      <c r="AL670" s="6"/>
      <c r="AM670" s="6" t="e">
        <f t="shared" si="61"/>
        <v>#DIV/0!</v>
      </c>
    </row>
    <row r="671" spans="29:39" x14ac:dyDescent="0.3">
      <c r="AC671">
        <f t="shared" si="60"/>
        <v>0</v>
      </c>
      <c r="AD671">
        <v>668</v>
      </c>
      <c r="AE671" s="4">
        <f t="shared" si="58"/>
        <v>43116</v>
      </c>
      <c r="AF671" s="6" t="e">
        <f t="shared" si="59"/>
        <v>#DIV/0!</v>
      </c>
      <c r="AG671" s="4">
        <v>43116</v>
      </c>
      <c r="AH671" s="6">
        <v>0.78655200000000003</v>
      </c>
      <c r="AI671" s="6">
        <v>0.76369600000000004</v>
      </c>
      <c r="AJ671" s="6">
        <v>0.45271600000000001</v>
      </c>
      <c r="AK671" s="6"/>
      <c r="AL671" s="6"/>
      <c r="AM671" s="6" t="e">
        <f t="shared" si="61"/>
        <v>#DIV/0!</v>
      </c>
    </row>
    <row r="672" spans="29:39" x14ac:dyDescent="0.3">
      <c r="AC672">
        <f t="shared" si="60"/>
        <v>0</v>
      </c>
      <c r="AD672">
        <v>669</v>
      </c>
      <c r="AE672" s="4">
        <f t="shared" si="58"/>
        <v>43117</v>
      </c>
      <c r="AF672" s="6" t="e">
        <f t="shared" si="59"/>
        <v>#DIV/0!</v>
      </c>
      <c r="AG672" s="4">
        <v>43117</v>
      </c>
      <c r="AH672" s="6">
        <v>-0.2432</v>
      </c>
      <c r="AI672" s="6">
        <v>-0.53439300000000001</v>
      </c>
      <c r="AJ672" s="6">
        <v>-0.25592599999999999</v>
      </c>
      <c r="AK672" s="6"/>
      <c r="AL672" s="6"/>
      <c r="AM672" s="6" t="e">
        <f t="shared" si="61"/>
        <v>#DIV/0!</v>
      </c>
    </row>
    <row r="673" spans="29:39" x14ac:dyDescent="0.3">
      <c r="AC673">
        <f t="shared" si="60"/>
        <v>0</v>
      </c>
      <c r="AD673">
        <v>670</v>
      </c>
      <c r="AE673" s="4">
        <f t="shared" si="58"/>
        <v>43118</v>
      </c>
      <c r="AF673" s="6" t="e">
        <f t="shared" si="59"/>
        <v>#DIV/0!</v>
      </c>
      <c r="AG673" s="4">
        <v>43118</v>
      </c>
      <c r="AH673" s="6">
        <v>0.54848799999999998</v>
      </c>
      <c r="AI673" s="6">
        <v>0.308591</v>
      </c>
      <c r="AJ673" s="6">
        <v>0.17815400000000001</v>
      </c>
      <c r="AK673" s="6"/>
      <c r="AL673" s="6"/>
      <c r="AM673" s="6" t="e">
        <f t="shared" si="61"/>
        <v>#DIV/0!</v>
      </c>
    </row>
    <row r="674" spans="29:39" x14ac:dyDescent="0.3">
      <c r="AC674">
        <f t="shared" si="60"/>
        <v>0</v>
      </c>
      <c r="AD674">
        <v>671</v>
      </c>
      <c r="AE674" s="4">
        <f t="shared" si="58"/>
        <v>43119</v>
      </c>
      <c r="AF674" s="6" t="e">
        <f t="shared" si="59"/>
        <v>#DIV/0!</v>
      </c>
      <c r="AG674" s="4">
        <v>43119</v>
      </c>
      <c r="AH674" s="6">
        <v>0.32724999999999999</v>
      </c>
      <c r="AI674" s="6">
        <v>-0.229381</v>
      </c>
      <c r="AJ674" s="6">
        <v>-0.24327399999999999</v>
      </c>
      <c r="AK674" s="6"/>
      <c r="AL674" s="6"/>
      <c r="AM674" s="6" t="e">
        <f t="shared" si="61"/>
        <v>#DIV/0!</v>
      </c>
    </row>
    <row r="675" spans="29:39" x14ac:dyDescent="0.3">
      <c r="AC675">
        <f t="shared" si="60"/>
        <v>0</v>
      </c>
      <c r="AD675">
        <v>672</v>
      </c>
      <c r="AE675" s="4">
        <f t="shared" si="58"/>
        <v>43122</v>
      </c>
      <c r="AF675" s="6" t="e">
        <f t="shared" si="59"/>
        <v>#DIV/0!</v>
      </c>
      <c r="AG675" s="4">
        <v>43122</v>
      </c>
      <c r="AH675" s="6">
        <v>1.194812</v>
      </c>
      <c r="AI675" s="6">
        <v>1.1998359999999999</v>
      </c>
      <c r="AJ675" s="6">
        <v>1.098767</v>
      </c>
      <c r="AK675" s="6"/>
      <c r="AL675" s="6"/>
      <c r="AM675" s="6" t="e">
        <f t="shared" si="61"/>
        <v>#DIV/0!</v>
      </c>
    </row>
    <row r="676" spans="29:39" x14ac:dyDescent="0.3">
      <c r="AC676">
        <f t="shared" si="60"/>
        <v>0</v>
      </c>
      <c r="AD676">
        <v>673</v>
      </c>
      <c r="AE676" s="4">
        <f t="shared" si="58"/>
        <v>43123</v>
      </c>
      <c r="AF676" s="6" t="e">
        <f t="shared" si="59"/>
        <v>#DIV/0!</v>
      </c>
      <c r="AG676" s="4">
        <v>43123</v>
      </c>
      <c r="AH676" s="6">
        <v>1.061097</v>
      </c>
      <c r="AI676" s="6">
        <v>0.115941</v>
      </c>
      <c r="AJ676" s="6">
        <v>7.7374999999999999E-2</v>
      </c>
      <c r="AK676" s="6"/>
      <c r="AL676" s="6"/>
      <c r="AM676" s="6" t="e">
        <f t="shared" si="61"/>
        <v>#DIV/0!</v>
      </c>
    </row>
    <row r="677" spans="29:39" x14ac:dyDescent="0.3">
      <c r="AC677">
        <f t="shared" si="60"/>
        <v>0</v>
      </c>
      <c r="AD677">
        <v>674</v>
      </c>
      <c r="AE677" s="4">
        <f t="shared" si="58"/>
        <v>43124</v>
      </c>
      <c r="AF677" s="6" t="e">
        <f t="shared" si="59"/>
        <v>#DIV/0!</v>
      </c>
      <c r="AG677" s="4">
        <v>43124</v>
      </c>
      <c r="AH677" s="6">
        <v>0.165938</v>
      </c>
      <c r="AI677" s="6">
        <v>0.61844399999999999</v>
      </c>
      <c r="AJ677" s="6">
        <v>0.74688399999999999</v>
      </c>
      <c r="AK677" s="6"/>
      <c r="AL677" s="6"/>
      <c r="AM677" s="6" t="e">
        <f t="shared" si="61"/>
        <v>#DIV/0!</v>
      </c>
    </row>
    <row r="678" spans="29:39" x14ac:dyDescent="0.3">
      <c r="AC678">
        <f t="shared" si="60"/>
        <v>0</v>
      </c>
      <c r="AD678">
        <v>675</v>
      </c>
      <c r="AE678" s="4">
        <f t="shared" si="58"/>
        <v>43125</v>
      </c>
      <c r="AF678" s="6" t="e">
        <f t="shared" si="59"/>
        <v>#DIV/0!</v>
      </c>
      <c r="AG678" s="4">
        <v>43125</v>
      </c>
      <c r="AH678" s="6">
        <v>-0.56506900000000004</v>
      </c>
      <c r="AI678" s="6">
        <v>-0.18115200000000001</v>
      </c>
      <c r="AJ678" s="6">
        <v>-0.138158</v>
      </c>
      <c r="AK678" s="6"/>
      <c r="AL678" s="6"/>
      <c r="AM678" s="6" t="e">
        <f t="shared" si="61"/>
        <v>#DIV/0!</v>
      </c>
    </row>
    <row r="679" spans="29:39" x14ac:dyDescent="0.3">
      <c r="AC679">
        <f t="shared" si="60"/>
        <v>0</v>
      </c>
      <c r="AD679">
        <v>676</v>
      </c>
      <c r="AE679" s="4">
        <f t="shared" si="58"/>
        <v>43126</v>
      </c>
      <c r="AF679" s="6" t="e">
        <f t="shared" si="59"/>
        <v>#DIV/0!</v>
      </c>
      <c r="AG679" s="4">
        <v>43126</v>
      </c>
      <c r="AH679" s="6">
        <v>0.37158999999999998</v>
      </c>
      <c r="AI679" s="6">
        <v>1.4331E-2</v>
      </c>
      <c r="AJ679" s="6">
        <v>-9.3757999999999994E-2</v>
      </c>
      <c r="AK679" s="6"/>
      <c r="AL679" s="6"/>
      <c r="AM679" s="6" t="e">
        <f t="shared" si="61"/>
        <v>#DIV/0!</v>
      </c>
    </row>
    <row r="680" spans="29:39" x14ac:dyDescent="0.3">
      <c r="AC680">
        <f t="shared" si="60"/>
        <v>0</v>
      </c>
      <c r="AD680">
        <v>677</v>
      </c>
      <c r="AE680" s="4">
        <f t="shared" si="58"/>
        <v>43129</v>
      </c>
      <c r="AF680" s="6" t="e">
        <f t="shared" si="59"/>
        <v>#DIV/0!</v>
      </c>
      <c r="AG680" s="4">
        <v>43129</v>
      </c>
      <c r="AH680" s="6">
        <v>-1.8095429999999999</v>
      </c>
      <c r="AI680" s="6">
        <v>-1.1552610000000001</v>
      </c>
      <c r="AJ680" s="6">
        <v>-1.183872</v>
      </c>
      <c r="AK680" s="6"/>
      <c r="AL680" s="6"/>
      <c r="AM680" s="6" t="e">
        <f t="shared" si="61"/>
        <v>#DIV/0!</v>
      </c>
    </row>
    <row r="681" spans="29:39" x14ac:dyDescent="0.3">
      <c r="AC681">
        <f t="shared" si="60"/>
        <v>0</v>
      </c>
      <c r="AD681">
        <v>678</v>
      </c>
      <c r="AE681" s="4">
        <f t="shared" si="58"/>
        <v>43130</v>
      </c>
      <c r="AF681" s="6" t="e">
        <f t="shared" si="59"/>
        <v>#DIV/0!</v>
      </c>
      <c r="AG681" s="4">
        <v>43130</v>
      </c>
      <c r="AH681" s="6">
        <v>-1.067313</v>
      </c>
      <c r="AI681" s="6">
        <v>5.6394E-2</v>
      </c>
      <c r="AJ681" s="6">
        <v>-0.24720900000000001</v>
      </c>
      <c r="AK681" s="6"/>
      <c r="AL681" s="6"/>
      <c r="AM681" s="6" t="e">
        <f t="shared" si="61"/>
        <v>#DIV/0!</v>
      </c>
    </row>
    <row r="682" spans="29:39" x14ac:dyDescent="0.3">
      <c r="AC682">
        <f t="shared" si="60"/>
        <v>0</v>
      </c>
      <c r="AD682">
        <v>679</v>
      </c>
      <c r="AE682" s="4">
        <f t="shared" si="58"/>
        <v>43131</v>
      </c>
      <c r="AF682" s="6" t="e">
        <f t="shared" si="59"/>
        <v>#DIV/0!</v>
      </c>
      <c r="AG682" s="4">
        <v>43131</v>
      </c>
      <c r="AH682" s="6">
        <v>0.46513199999999999</v>
      </c>
      <c r="AI682" s="6">
        <v>-1.9656579999999999</v>
      </c>
      <c r="AJ682" s="6">
        <v>-2.3612850000000001</v>
      </c>
      <c r="AK682" s="6"/>
      <c r="AL682" s="6"/>
      <c r="AM682" s="6" t="e">
        <f t="shared" si="61"/>
        <v>#DIV/0!</v>
      </c>
    </row>
    <row r="683" spans="29:39" x14ac:dyDescent="0.3">
      <c r="AC683">
        <f t="shared" si="60"/>
        <v>0</v>
      </c>
      <c r="AD683">
        <v>680</v>
      </c>
      <c r="AE683" s="4">
        <f t="shared" si="58"/>
        <v>43132</v>
      </c>
      <c r="AF683" s="6" t="e">
        <f t="shared" si="59"/>
        <v>#DIV/0!</v>
      </c>
      <c r="AG683" s="4">
        <v>43132</v>
      </c>
      <c r="AH683" s="6">
        <v>-0.70162599999999997</v>
      </c>
      <c r="AI683" s="6">
        <v>-3.3056589999999999</v>
      </c>
      <c r="AJ683" s="6">
        <v>-4.1901989999999998</v>
      </c>
      <c r="AK683" s="6"/>
      <c r="AL683" s="6"/>
      <c r="AM683" s="6" t="e">
        <f t="shared" si="61"/>
        <v>#DIV/0!</v>
      </c>
    </row>
    <row r="684" spans="29:39" x14ac:dyDescent="0.3">
      <c r="AC684">
        <f t="shared" si="60"/>
        <v>0</v>
      </c>
      <c r="AD684">
        <v>681</v>
      </c>
      <c r="AE684" s="4">
        <f t="shared" si="58"/>
        <v>43133</v>
      </c>
      <c r="AF684" s="6" t="e">
        <f t="shared" si="59"/>
        <v>#DIV/0!</v>
      </c>
      <c r="AG684" s="4">
        <v>43133</v>
      </c>
      <c r="AH684" s="6">
        <v>0.59668900000000002</v>
      </c>
      <c r="AI684" s="6">
        <v>0.33596399999999998</v>
      </c>
      <c r="AJ684" s="6">
        <v>-0.28564699999999998</v>
      </c>
      <c r="AK684" s="6"/>
      <c r="AL684" s="6"/>
      <c r="AM684" s="6" t="e">
        <f t="shared" si="61"/>
        <v>#DIV/0!</v>
      </c>
    </row>
    <row r="685" spans="29:39" x14ac:dyDescent="0.3">
      <c r="AC685">
        <f t="shared" si="60"/>
        <v>0</v>
      </c>
      <c r="AD685">
        <v>682</v>
      </c>
      <c r="AE685" s="4">
        <f t="shared" si="58"/>
        <v>43136</v>
      </c>
      <c r="AF685" s="6" t="e">
        <f t="shared" si="59"/>
        <v>#DIV/0!</v>
      </c>
      <c r="AG685" s="4">
        <v>43136</v>
      </c>
      <c r="AH685" s="6">
        <v>6.8219000000000002E-2</v>
      </c>
      <c r="AI685" s="6">
        <v>-0.11034099999999999</v>
      </c>
      <c r="AJ685" s="6">
        <v>-0.40158500000000003</v>
      </c>
      <c r="AK685" s="6"/>
      <c r="AL685" s="6"/>
      <c r="AM685" s="6" t="e">
        <f t="shared" si="61"/>
        <v>#DIV/0!</v>
      </c>
    </row>
    <row r="686" spans="29:39" x14ac:dyDescent="0.3">
      <c r="AC686">
        <f t="shared" si="60"/>
        <v>0</v>
      </c>
      <c r="AD686">
        <v>683</v>
      </c>
      <c r="AE686" s="4">
        <f t="shared" si="58"/>
        <v>43137</v>
      </c>
      <c r="AF686" s="6" t="e">
        <f t="shared" si="59"/>
        <v>#DIV/0!</v>
      </c>
      <c r="AG686" s="4">
        <v>43137</v>
      </c>
      <c r="AH686" s="6">
        <v>-2.9306619999999999</v>
      </c>
      <c r="AI686" s="6">
        <v>-4.9007759999999996</v>
      </c>
      <c r="AJ686" s="6">
        <v>-4.9389339999999997</v>
      </c>
      <c r="AK686" s="6"/>
      <c r="AL686" s="6"/>
      <c r="AM686" s="6" t="e">
        <f t="shared" si="61"/>
        <v>#DIV/0!</v>
      </c>
    </row>
    <row r="687" spans="29:39" x14ac:dyDescent="0.3">
      <c r="AC687">
        <f t="shared" si="60"/>
        <v>0</v>
      </c>
      <c r="AD687">
        <v>684</v>
      </c>
      <c r="AE687" s="4">
        <f t="shared" si="58"/>
        <v>43138</v>
      </c>
      <c r="AF687" s="6" t="e">
        <f t="shared" si="59"/>
        <v>#DIV/0!</v>
      </c>
      <c r="AG687" s="4">
        <v>43138</v>
      </c>
      <c r="AH687" s="6">
        <v>-2.371442</v>
      </c>
      <c r="AI687" s="6">
        <v>0.12390900000000001</v>
      </c>
      <c r="AJ687" s="6">
        <v>0.25378699999999998</v>
      </c>
      <c r="AK687" s="6"/>
      <c r="AL687" s="6"/>
      <c r="AM687" s="6" t="e">
        <f t="shared" si="61"/>
        <v>#DIV/0!</v>
      </c>
    </row>
    <row r="688" spans="29:39" x14ac:dyDescent="0.3">
      <c r="AC688">
        <f t="shared" si="60"/>
        <v>0</v>
      </c>
      <c r="AD688">
        <v>685</v>
      </c>
      <c r="AE688" s="4">
        <f t="shared" si="58"/>
        <v>43139</v>
      </c>
      <c r="AF688" s="6" t="e">
        <f t="shared" si="59"/>
        <v>#DIV/0!</v>
      </c>
      <c r="AG688" s="4">
        <v>43139</v>
      </c>
      <c r="AH688" s="6">
        <v>-0.94926600000000005</v>
      </c>
      <c r="AI688" s="6">
        <v>0.96557999999999999</v>
      </c>
      <c r="AJ688" s="6">
        <v>1.298476</v>
      </c>
      <c r="AK688" s="6"/>
      <c r="AL688" s="6"/>
      <c r="AM688" s="6" t="e">
        <f t="shared" si="61"/>
        <v>#DIV/0!</v>
      </c>
    </row>
    <row r="689" spans="29:39" x14ac:dyDescent="0.3">
      <c r="AC689">
        <f t="shared" si="60"/>
        <v>0</v>
      </c>
      <c r="AD689">
        <v>686</v>
      </c>
      <c r="AE689" s="4">
        <f t="shared" si="58"/>
        <v>43140</v>
      </c>
      <c r="AF689" s="6" t="e">
        <f t="shared" si="59"/>
        <v>#DIV/0!</v>
      </c>
      <c r="AG689" s="4">
        <v>43140</v>
      </c>
      <c r="AH689" s="6">
        <v>-4.2719959999999997</v>
      </c>
      <c r="AI689" s="6">
        <v>-3.6691760000000002</v>
      </c>
      <c r="AJ689" s="6">
        <v>-2.9688029999999999</v>
      </c>
      <c r="AK689" s="6"/>
      <c r="AL689" s="6"/>
      <c r="AM689" s="6" t="e">
        <f t="shared" si="61"/>
        <v>#DIV/0!</v>
      </c>
    </row>
    <row r="690" spans="29:39" x14ac:dyDescent="0.3">
      <c r="AC690">
        <f t="shared" si="60"/>
        <v>0</v>
      </c>
      <c r="AD690">
        <v>687</v>
      </c>
      <c r="AE690" s="4">
        <f t="shared" si="58"/>
        <v>43143</v>
      </c>
      <c r="AF690" s="6" t="e">
        <f t="shared" si="59"/>
        <v>#DIV/0!</v>
      </c>
      <c r="AG690" s="4">
        <v>43143</v>
      </c>
      <c r="AH690" s="6">
        <v>1.2875909999999999</v>
      </c>
      <c r="AI690" s="6">
        <v>2.595917</v>
      </c>
      <c r="AJ690" s="6">
        <v>2.490183</v>
      </c>
      <c r="AK690" s="6"/>
      <c r="AL690" s="6"/>
      <c r="AM690" s="6" t="e">
        <f t="shared" si="61"/>
        <v>#DIV/0!</v>
      </c>
    </row>
    <row r="691" spans="29:39" x14ac:dyDescent="0.3">
      <c r="AC691">
        <f t="shared" si="60"/>
        <v>0</v>
      </c>
      <c r="AD691">
        <v>688</v>
      </c>
      <c r="AE691" s="4">
        <f t="shared" si="58"/>
        <v>43144</v>
      </c>
      <c r="AF691" s="6" t="e">
        <f t="shared" si="59"/>
        <v>#DIV/0!</v>
      </c>
      <c r="AG691" s="4">
        <v>43144</v>
      </c>
      <c r="AH691" s="6">
        <v>1.1703490000000001</v>
      </c>
      <c r="AI691" s="6">
        <v>0.66418600000000005</v>
      </c>
      <c r="AJ691" s="6">
        <v>0.20565600000000001</v>
      </c>
      <c r="AK691" s="6"/>
      <c r="AL691" s="6"/>
      <c r="AM691" s="6" t="e">
        <f t="shared" si="61"/>
        <v>#DIV/0!</v>
      </c>
    </row>
    <row r="692" spans="29:39" x14ac:dyDescent="0.3">
      <c r="AC692">
        <f t="shared" si="60"/>
        <v>0</v>
      </c>
      <c r="AD692">
        <v>689</v>
      </c>
      <c r="AE692" s="4">
        <f t="shared" si="58"/>
        <v>43145</v>
      </c>
      <c r="AF692" s="6" t="e">
        <f t="shared" si="59"/>
        <v>#DIV/0!</v>
      </c>
      <c r="AG692" s="4">
        <v>43145</v>
      </c>
      <c r="AH692" s="6">
        <v>0.79603500000000005</v>
      </c>
      <c r="AI692" s="6">
        <v>0.31173200000000001</v>
      </c>
      <c r="AJ692" s="6">
        <v>0.227663</v>
      </c>
      <c r="AK692" s="6"/>
      <c r="AL692" s="6"/>
      <c r="AM692" s="6" t="e">
        <f t="shared" si="61"/>
        <v>#DIV/0!</v>
      </c>
    </row>
    <row r="693" spans="29:39" x14ac:dyDescent="0.3">
      <c r="AC693">
        <f t="shared" si="60"/>
        <v>0</v>
      </c>
      <c r="AD693">
        <v>690</v>
      </c>
      <c r="AE693" s="4">
        <f t="shared" si="58"/>
        <v>43153</v>
      </c>
      <c r="AF693" s="6" t="e">
        <f t="shared" si="59"/>
        <v>#DIV/0!</v>
      </c>
      <c r="AG693" s="4">
        <v>43153</v>
      </c>
      <c r="AH693" s="6">
        <v>2.1621540000000001</v>
      </c>
      <c r="AI693" s="6">
        <v>2.1007169999999999</v>
      </c>
      <c r="AJ693" s="6">
        <v>1.8684959999999999</v>
      </c>
      <c r="AK693" s="6"/>
      <c r="AL693" s="6"/>
      <c r="AM693" s="6" t="e">
        <f t="shared" si="61"/>
        <v>#DIV/0!</v>
      </c>
    </row>
    <row r="694" spans="29:39" x14ac:dyDescent="0.3">
      <c r="AC694">
        <f t="shared" si="60"/>
        <v>0</v>
      </c>
      <c r="AD694">
        <v>691</v>
      </c>
      <c r="AE694" s="4">
        <f t="shared" si="58"/>
        <v>43154</v>
      </c>
      <c r="AF694" s="6" t="e">
        <f t="shared" si="59"/>
        <v>#DIV/0!</v>
      </c>
      <c r="AG694" s="4">
        <v>43154</v>
      </c>
      <c r="AH694" s="6">
        <v>0.45292100000000002</v>
      </c>
      <c r="AI694" s="6">
        <v>0.37355899999999997</v>
      </c>
      <c r="AJ694" s="6">
        <v>0.29673300000000002</v>
      </c>
      <c r="AK694" s="6"/>
      <c r="AL694" s="6"/>
      <c r="AM694" s="6" t="e">
        <f t="shared" si="61"/>
        <v>#DIV/0!</v>
      </c>
    </row>
    <row r="695" spans="29:39" x14ac:dyDescent="0.3">
      <c r="AC695">
        <f t="shared" si="60"/>
        <v>0</v>
      </c>
      <c r="AD695">
        <v>692</v>
      </c>
      <c r="AE695" s="4">
        <f t="shared" si="58"/>
        <v>43157</v>
      </c>
      <c r="AF695" s="6" t="e">
        <f t="shared" si="59"/>
        <v>#DIV/0!</v>
      </c>
      <c r="AG695" s="4">
        <v>43157</v>
      </c>
      <c r="AH695" s="6">
        <v>1.1625810000000001</v>
      </c>
      <c r="AI695" s="6">
        <v>2.2382200000000001</v>
      </c>
      <c r="AJ695" s="6">
        <v>2.218245</v>
      </c>
      <c r="AK695" s="6"/>
      <c r="AL695" s="6"/>
      <c r="AM695" s="6" t="e">
        <f t="shared" si="61"/>
        <v>#DIV/0!</v>
      </c>
    </row>
    <row r="696" spans="29:39" x14ac:dyDescent="0.3">
      <c r="AC696">
        <f t="shared" si="60"/>
        <v>0</v>
      </c>
      <c r="AD696">
        <v>693</v>
      </c>
      <c r="AE696" s="4">
        <f t="shared" si="58"/>
        <v>43158</v>
      </c>
      <c r="AF696" s="6" t="e">
        <f t="shared" si="59"/>
        <v>#DIV/0!</v>
      </c>
      <c r="AG696" s="4">
        <v>43158</v>
      </c>
      <c r="AH696" s="6">
        <v>-1.4432240000000001</v>
      </c>
      <c r="AI696" s="6">
        <v>-0.317135</v>
      </c>
      <c r="AJ696" s="6">
        <v>0.34196799999999999</v>
      </c>
      <c r="AK696" s="6"/>
      <c r="AL696" s="6"/>
      <c r="AM696" s="6" t="e">
        <f t="shared" si="61"/>
        <v>#DIV/0!</v>
      </c>
    </row>
    <row r="697" spans="29:39" x14ac:dyDescent="0.3">
      <c r="AC697">
        <f t="shared" si="60"/>
        <v>0</v>
      </c>
      <c r="AD697">
        <v>694</v>
      </c>
      <c r="AE697" s="4">
        <f t="shared" si="58"/>
        <v>43159</v>
      </c>
      <c r="AF697" s="6" t="e">
        <f t="shared" si="59"/>
        <v>#DIV/0!</v>
      </c>
      <c r="AG697" s="4">
        <v>43159</v>
      </c>
      <c r="AH697" s="6">
        <v>-0.87063999999999997</v>
      </c>
      <c r="AI697" s="6">
        <v>0.218278</v>
      </c>
      <c r="AJ697" s="6">
        <v>0.52726700000000004</v>
      </c>
      <c r="AK697" s="6"/>
      <c r="AL697" s="6"/>
      <c r="AM697" s="6" t="e">
        <f t="shared" si="61"/>
        <v>#DIV/0!</v>
      </c>
    </row>
    <row r="698" spans="29:39" x14ac:dyDescent="0.3">
      <c r="AC698">
        <f t="shared" si="60"/>
        <v>0</v>
      </c>
      <c r="AD698">
        <v>695</v>
      </c>
      <c r="AE698" s="4">
        <f t="shared" si="58"/>
        <v>43160</v>
      </c>
      <c r="AF698" s="6" t="e">
        <f t="shared" si="59"/>
        <v>#DIV/0!</v>
      </c>
      <c r="AG698" s="4">
        <v>43160</v>
      </c>
      <c r="AH698" s="6">
        <v>0.632382</v>
      </c>
      <c r="AI698" s="6">
        <v>1.1047689999999999</v>
      </c>
      <c r="AJ698" s="6">
        <v>1.4438359999999999</v>
      </c>
      <c r="AK698" s="6"/>
      <c r="AL698" s="6"/>
      <c r="AM698" s="6" t="e">
        <f t="shared" si="61"/>
        <v>#DIV/0!</v>
      </c>
    </row>
    <row r="699" spans="29:39" x14ac:dyDescent="0.3">
      <c r="AC699">
        <f t="shared" si="60"/>
        <v>0</v>
      </c>
      <c r="AD699">
        <v>696</v>
      </c>
      <c r="AE699" s="4">
        <f t="shared" si="58"/>
        <v>43161</v>
      </c>
      <c r="AF699" s="6" t="e">
        <f t="shared" si="59"/>
        <v>#DIV/0!</v>
      </c>
      <c r="AG699" s="4">
        <v>43161</v>
      </c>
      <c r="AH699" s="6">
        <v>-0.80574500000000004</v>
      </c>
      <c r="AI699" s="6">
        <v>-0.556454</v>
      </c>
      <c r="AJ699" s="6">
        <v>-0.39358100000000001</v>
      </c>
      <c r="AK699" s="6"/>
      <c r="AL699" s="6"/>
      <c r="AM699" s="6" t="e">
        <f t="shared" si="61"/>
        <v>#DIV/0!</v>
      </c>
    </row>
    <row r="700" spans="29:39" x14ac:dyDescent="0.3">
      <c r="AC700">
        <f t="shared" si="60"/>
        <v>0</v>
      </c>
      <c r="AD700">
        <v>697</v>
      </c>
      <c r="AE700" s="4">
        <f t="shared" si="58"/>
        <v>43164</v>
      </c>
      <c r="AF700" s="6" t="e">
        <f t="shared" si="59"/>
        <v>#DIV/0!</v>
      </c>
      <c r="AG700" s="4">
        <v>43164</v>
      </c>
      <c r="AH700" s="6">
        <v>4.0731999999999997E-2</v>
      </c>
      <c r="AI700" s="6">
        <v>0.12817799999999999</v>
      </c>
      <c r="AJ700" s="6">
        <v>0.63183999999999996</v>
      </c>
      <c r="AK700" s="6"/>
      <c r="AL700" s="6"/>
      <c r="AM700" s="6" t="e">
        <f t="shared" si="61"/>
        <v>#DIV/0!</v>
      </c>
    </row>
    <row r="701" spans="29:39" x14ac:dyDescent="0.3">
      <c r="AC701">
        <f t="shared" si="60"/>
        <v>0</v>
      </c>
      <c r="AD701">
        <v>698</v>
      </c>
      <c r="AE701" s="4">
        <f t="shared" si="58"/>
        <v>43165</v>
      </c>
      <c r="AF701" s="6" t="e">
        <f t="shared" si="59"/>
        <v>#DIV/0!</v>
      </c>
      <c r="AG701" s="4">
        <v>43165</v>
      </c>
      <c r="AH701" s="6">
        <v>1.2062349999999999</v>
      </c>
      <c r="AI701" s="6">
        <v>1.343621</v>
      </c>
      <c r="AJ701" s="6">
        <v>0.92267699999999997</v>
      </c>
      <c r="AK701" s="6"/>
      <c r="AL701" s="6"/>
      <c r="AM701" s="6" t="e">
        <f t="shared" si="61"/>
        <v>#DIV/0!</v>
      </c>
    </row>
    <row r="702" spans="29:39" x14ac:dyDescent="0.3">
      <c r="AC702">
        <f t="shared" si="60"/>
        <v>0</v>
      </c>
      <c r="AD702">
        <v>699</v>
      </c>
      <c r="AE702" s="4">
        <f t="shared" si="58"/>
        <v>43166</v>
      </c>
      <c r="AF702" s="6" t="e">
        <f t="shared" si="59"/>
        <v>#DIV/0!</v>
      </c>
      <c r="AG702" s="4">
        <v>43166</v>
      </c>
      <c r="AH702" s="6">
        <v>-0.735537</v>
      </c>
      <c r="AI702" s="6">
        <v>-0.96149499999999999</v>
      </c>
      <c r="AJ702" s="6">
        <v>-0.70242300000000002</v>
      </c>
      <c r="AK702" s="6"/>
      <c r="AL702" s="6"/>
      <c r="AM702" s="6" t="e">
        <f t="shared" si="61"/>
        <v>#DIV/0!</v>
      </c>
    </row>
    <row r="703" spans="29:39" x14ac:dyDescent="0.3">
      <c r="AC703">
        <f t="shared" si="60"/>
        <v>0</v>
      </c>
      <c r="AD703">
        <v>700</v>
      </c>
      <c r="AE703" s="4">
        <f t="shared" si="58"/>
        <v>43167</v>
      </c>
      <c r="AF703" s="6" t="e">
        <f t="shared" si="59"/>
        <v>#DIV/0!</v>
      </c>
      <c r="AG703" s="4">
        <v>43167</v>
      </c>
      <c r="AH703" s="6">
        <v>1.014367</v>
      </c>
      <c r="AI703" s="6">
        <v>0.73978299999999997</v>
      </c>
      <c r="AJ703" s="6">
        <v>0.54776499999999995</v>
      </c>
      <c r="AK703" s="6"/>
      <c r="AL703" s="6"/>
      <c r="AM703" s="6" t="e">
        <f t="shared" si="61"/>
        <v>#DIV/0!</v>
      </c>
    </row>
    <row r="704" spans="29:39" x14ac:dyDescent="0.3">
      <c r="AC704">
        <f t="shared" si="60"/>
        <v>0</v>
      </c>
      <c r="AD704">
        <v>701</v>
      </c>
      <c r="AE704" s="4">
        <f t="shared" si="58"/>
        <v>43168</v>
      </c>
      <c r="AF704" s="6" t="e">
        <f t="shared" si="59"/>
        <v>#DIV/0!</v>
      </c>
      <c r="AG704" s="4">
        <v>43168</v>
      </c>
      <c r="AH704" s="6">
        <v>0.76675199999999999</v>
      </c>
      <c r="AI704" s="6">
        <v>1.2307110000000001</v>
      </c>
      <c r="AJ704" s="6">
        <v>1.664547</v>
      </c>
      <c r="AK704" s="6"/>
      <c r="AL704" s="6"/>
      <c r="AM704" s="6" t="e">
        <f t="shared" si="61"/>
        <v>#DIV/0!</v>
      </c>
    </row>
    <row r="705" spans="29:39" x14ac:dyDescent="0.3">
      <c r="AC705">
        <f t="shared" si="60"/>
        <v>0</v>
      </c>
      <c r="AD705">
        <v>702</v>
      </c>
      <c r="AE705" s="4">
        <f t="shared" si="58"/>
        <v>43171</v>
      </c>
      <c r="AF705" s="6" t="e">
        <f t="shared" si="59"/>
        <v>#DIV/0!</v>
      </c>
      <c r="AG705" s="4">
        <v>43171</v>
      </c>
      <c r="AH705" s="6">
        <v>0.45757199999999998</v>
      </c>
      <c r="AI705" s="6">
        <v>1.4306840000000001</v>
      </c>
      <c r="AJ705" s="6">
        <v>1.613745</v>
      </c>
      <c r="AK705" s="6"/>
      <c r="AL705" s="6"/>
      <c r="AM705" s="6" t="e">
        <f t="shared" si="61"/>
        <v>#DIV/0!</v>
      </c>
    </row>
    <row r="706" spans="29:39" x14ac:dyDescent="0.3">
      <c r="AC706">
        <f t="shared" si="60"/>
        <v>0</v>
      </c>
      <c r="AD706">
        <v>703</v>
      </c>
      <c r="AE706" s="4">
        <f t="shared" si="58"/>
        <v>43172</v>
      </c>
      <c r="AF706" s="6" t="e">
        <f t="shared" si="59"/>
        <v>#DIV/0!</v>
      </c>
      <c r="AG706" s="4">
        <v>43172</v>
      </c>
      <c r="AH706" s="6">
        <v>-0.88216700000000003</v>
      </c>
      <c r="AI706" s="6">
        <v>-0.66126700000000005</v>
      </c>
      <c r="AJ706" s="6">
        <v>-0.51521700000000004</v>
      </c>
      <c r="AK706" s="6"/>
      <c r="AL706" s="6"/>
      <c r="AM706" s="6" t="e">
        <f t="shared" si="61"/>
        <v>#DIV/0!</v>
      </c>
    </row>
    <row r="707" spans="29:39" x14ac:dyDescent="0.3">
      <c r="AC707">
        <f t="shared" si="60"/>
        <v>0</v>
      </c>
      <c r="AD707">
        <v>704</v>
      </c>
      <c r="AE707" s="4">
        <f t="shared" si="58"/>
        <v>43173</v>
      </c>
      <c r="AF707" s="6" t="e">
        <f t="shared" si="59"/>
        <v>#DIV/0!</v>
      </c>
      <c r="AG707" s="4">
        <v>43173</v>
      </c>
      <c r="AH707" s="6">
        <v>-0.43772899999999998</v>
      </c>
      <c r="AI707" s="6">
        <v>-1.036572</v>
      </c>
      <c r="AJ707" s="6">
        <v>-1.1116029999999999</v>
      </c>
      <c r="AK707" s="6"/>
      <c r="AL707" s="6"/>
      <c r="AM707" s="6" t="e">
        <f t="shared" si="61"/>
        <v>#DIV/0!</v>
      </c>
    </row>
    <row r="708" spans="29:39" x14ac:dyDescent="0.3">
      <c r="AC708">
        <f t="shared" si="60"/>
        <v>0</v>
      </c>
      <c r="AD708">
        <v>705</v>
      </c>
      <c r="AE708" s="4">
        <f t="shared" si="58"/>
        <v>43174</v>
      </c>
      <c r="AF708" s="6" t="e">
        <f t="shared" si="59"/>
        <v>#DIV/0!</v>
      </c>
      <c r="AG708" s="4">
        <v>43174</v>
      </c>
      <c r="AH708" s="6">
        <v>0.56017799999999995</v>
      </c>
      <c r="AI708" s="6">
        <v>-0.14874299999999999</v>
      </c>
      <c r="AJ708" s="6">
        <v>-0.157778</v>
      </c>
      <c r="AK708" s="6"/>
      <c r="AL708" s="6"/>
      <c r="AM708" s="6" t="e">
        <f t="shared" si="61"/>
        <v>#DIV/0!</v>
      </c>
    </row>
    <row r="709" spans="29:39" x14ac:dyDescent="0.3">
      <c r="AC709">
        <f t="shared" si="60"/>
        <v>0</v>
      </c>
      <c r="AD709">
        <v>706</v>
      </c>
      <c r="AE709" s="4">
        <f t="shared" ref="AE709:AE772" si="62">AG709</f>
        <v>43175</v>
      </c>
      <c r="AF709" s="6" t="e">
        <f t="shared" ref="AF709:AF772" si="63">AM709</f>
        <v>#DIV/0!</v>
      </c>
      <c r="AG709" s="4">
        <v>43175</v>
      </c>
      <c r="AH709" s="6">
        <v>-0.97017900000000001</v>
      </c>
      <c r="AI709" s="6">
        <v>-0.54699699999999996</v>
      </c>
      <c r="AJ709" s="6">
        <v>-0.26561800000000002</v>
      </c>
      <c r="AK709" s="6"/>
      <c r="AL709" s="6"/>
      <c r="AM709" s="6" t="e">
        <f t="shared" si="61"/>
        <v>#DIV/0!</v>
      </c>
    </row>
    <row r="710" spans="29:39" x14ac:dyDescent="0.3">
      <c r="AC710">
        <f t="shared" ref="AC710:AC773" si="64">IF(AE710&lt;=AE709,1,0)</f>
        <v>0</v>
      </c>
      <c r="AD710">
        <v>707</v>
      </c>
      <c r="AE710" s="4">
        <f t="shared" si="62"/>
        <v>43178</v>
      </c>
      <c r="AF710" s="6" t="e">
        <f t="shared" si="63"/>
        <v>#DIV/0!</v>
      </c>
      <c r="AG710" s="4">
        <v>43178</v>
      </c>
      <c r="AH710" s="6">
        <v>0.43943399999999999</v>
      </c>
      <c r="AI710" s="6">
        <v>0.12248199999999999</v>
      </c>
      <c r="AJ710" s="6">
        <v>0.214166</v>
      </c>
      <c r="AK710" s="6"/>
      <c r="AL710" s="6"/>
      <c r="AM710" s="6" t="e">
        <f t="shared" ref="AM710:AM773" si="65">(AL710/AL709-1)*100</f>
        <v>#DIV/0!</v>
      </c>
    </row>
    <row r="711" spans="29:39" x14ac:dyDescent="0.3">
      <c r="AC711">
        <f t="shared" si="64"/>
        <v>0</v>
      </c>
      <c r="AD711">
        <v>708</v>
      </c>
      <c r="AE711" s="4">
        <f t="shared" si="62"/>
        <v>43179</v>
      </c>
      <c r="AF711" s="6" t="e">
        <f t="shared" si="63"/>
        <v>#DIV/0!</v>
      </c>
      <c r="AG711" s="4">
        <v>43179</v>
      </c>
      <c r="AH711" s="6">
        <v>8.4830000000000003E-2</v>
      </c>
      <c r="AI711" s="6">
        <v>0.322799</v>
      </c>
      <c r="AJ711" s="6">
        <v>2.5706E-2</v>
      </c>
      <c r="AK711" s="6"/>
      <c r="AL711" s="6"/>
      <c r="AM711" s="6" t="e">
        <f t="shared" si="65"/>
        <v>#DIV/0!</v>
      </c>
    </row>
    <row r="712" spans="29:39" x14ac:dyDescent="0.3">
      <c r="AC712">
        <f t="shared" si="64"/>
        <v>0</v>
      </c>
      <c r="AD712">
        <v>709</v>
      </c>
      <c r="AE712" s="4">
        <f t="shared" si="62"/>
        <v>43180</v>
      </c>
      <c r="AF712" s="6" t="e">
        <f t="shared" si="63"/>
        <v>#DIV/0!</v>
      </c>
      <c r="AG712" s="4">
        <v>43180</v>
      </c>
      <c r="AH712" s="6">
        <v>-0.408414</v>
      </c>
      <c r="AI712" s="6">
        <v>-0.72070599999999996</v>
      </c>
      <c r="AJ712" s="6">
        <v>-0.75047799999999998</v>
      </c>
      <c r="AK712" s="6"/>
      <c r="AL712" s="6"/>
      <c r="AM712" s="6" t="e">
        <f t="shared" si="65"/>
        <v>#DIV/0!</v>
      </c>
    </row>
    <row r="713" spans="29:39" x14ac:dyDescent="0.3">
      <c r="AC713">
        <f t="shared" si="64"/>
        <v>0</v>
      </c>
      <c r="AD713">
        <v>710</v>
      </c>
      <c r="AE713" s="4">
        <f t="shared" si="62"/>
        <v>43181</v>
      </c>
      <c r="AF713" s="6" t="e">
        <f t="shared" si="63"/>
        <v>#DIV/0!</v>
      </c>
      <c r="AG713" s="4">
        <v>43181</v>
      </c>
      <c r="AH713" s="6">
        <v>-1.0022329999999999</v>
      </c>
      <c r="AI713" s="6">
        <v>-0.45644800000000002</v>
      </c>
      <c r="AJ713" s="6">
        <v>-9.4011999999999998E-2</v>
      </c>
      <c r="AK713" s="6"/>
      <c r="AL713" s="6"/>
      <c r="AM713" s="6" t="e">
        <f t="shared" si="65"/>
        <v>#DIV/0!</v>
      </c>
    </row>
    <row r="714" spans="29:39" x14ac:dyDescent="0.3">
      <c r="AC714">
        <f t="shared" si="64"/>
        <v>0</v>
      </c>
      <c r="AD714">
        <v>711</v>
      </c>
      <c r="AE714" s="4">
        <f t="shared" si="62"/>
        <v>43182</v>
      </c>
      <c r="AF714" s="6" t="e">
        <f t="shared" si="63"/>
        <v>#DIV/0!</v>
      </c>
      <c r="AG714" s="4">
        <v>43182</v>
      </c>
      <c r="AH714" s="6">
        <v>-2.870733</v>
      </c>
      <c r="AI714" s="6">
        <v>-5.1477389999999996</v>
      </c>
      <c r="AJ714" s="6">
        <v>-5.3483150000000004</v>
      </c>
      <c r="AK714" s="6"/>
      <c r="AL714" s="6"/>
      <c r="AM714" s="6" t="e">
        <f t="shared" si="65"/>
        <v>#DIV/0!</v>
      </c>
    </row>
    <row r="715" spans="29:39" x14ac:dyDescent="0.3">
      <c r="AC715">
        <f t="shared" si="64"/>
        <v>0</v>
      </c>
      <c r="AD715">
        <v>712</v>
      </c>
      <c r="AE715" s="4">
        <f t="shared" si="62"/>
        <v>43185</v>
      </c>
      <c r="AF715" s="6" t="e">
        <f t="shared" si="63"/>
        <v>#DIV/0!</v>
      </c>
      <c r="AG715" s="4">
        <v>43185</v>
      </c>
      <c r="AH715" s="6">
        <v>-0.64130399999999999</v>
      </c>
      <c r="AI715" s="6">
        <v>2.001096</v>
      </c>
      <c r="AJ715" s="6">
        <v>1.754799</v>
      </c>
      <c r="AK715" s="6"/>
      <c r="AL715" s="6"/>
      <c r="AM715" s="6" t="e">
        <f t="shared" si="65"/>
        <v>#DIV/0!</v>
      </c>
    </row>
    <row r="716" spans="29:39" x14ac:dyDescent="0.3">
      <c r="AC716">
        <f t="shared" si="64"/>
        <v>0</v>
      </c>
      <c r="AD716">
        <v>713</v>
      </c>
      <c r="AE716" s="4">
        <f t="shared" si="62"/>
        <v>43186</v>
      </c>
      <c r="AF716" s="6" t="e">
        <f t="shared" si="63"/>
        <v>#DIV/0!</v>
      </c>
      <c r="AG716" s="4">
        <v>43186</v>
      </c>
      <c r="AH716" s="6">
        <v>0.86022699999999996</v>
      </c>
      <c r="AI716" s="6">
        <v>2.233053</v>
      </c>
      <c r="AJ716" s="6">
        <v>2.5416180000000002</v>
      </c>
      <c r="AK716" s="6"/>
      <c r="AL716" s="6"/>
      <c r="AM716" s="6" t="e">
        <f t="shared" si="65"/>
        <v>#DIV/0!</v>
      </c>
    </row>
    <row r="717" spans="29:39" x14ac:dyDescent="0.3">
      <c r="AC717">
        <f t="shared" si="64"/>
        <v>0</v>
      </c>
      <c r="AD717">
        <v>714</v>
      </c>
      <c r="AE717" s="4">
        <f t="shared" si="62"/>
        <v>43187</v>
      </c>
      <c r="AF717" s="6" t="e">
        <f t="shared" si="63"/>
        <v>#DIV/0!</v>
      </c>
      <c r="AG717" s="4">
        <v>43187</v>
      </c>
      <c r="AH717" s="6">
        <v>-1.8029269999999999</v>
      </c>
      <c r="AI717" s="6">
        <v>-1.0179929999999999</v>
      </c>
      <c r="AJ717" s="6">
        <v>-0.673126</v>
      </c>
      <c r="AK717" s="6"/>
      <c r="AL717" s="6"/>
      <c r="AM717" s="6" t="e">
        <f t="shared" si="65"/>
        <v>#DIV/0!</v>
      </c>
    </row>
    <row r="718" spans="29:39" x14ac:dyDescent="0.3">
      <c r="AC718">
        <f t="shared" si="64"/>
        <v>0</v>
      </c>
      <c r="AD718">
        <v>715</v>
      </c>
      <c r="AE718" s="4">
        <f t="shared" si="62"/>
        <v>43188</v>
      </c>
      <c r="AF718" s="6" t="e">
        <f t="shared" si="63"/>
        <v>#DIV/0!</v>
      </c>
      <c r="AG718" s="4">
        <v>43188</v>
      </c>
      <c r="AH718" s="6">
        <v>1.3358859999999999</v>
      </c>
      <c r="AI718" s="6">
        <v>1.0298389999999999</v>
      </c>
      <c r="AJ718" s="6">
        <v>0.72940199999999999</v>
      </c>
      <c r="AK718" s="6"/>
      <c r="AL718" s="6"/>
      <c r="AM718" s="6" t="e">
        <f t="shared" si="65"/>
        <v>#DIV/0!</v>
      </c>
    </row>
    <row r="719" spans="29:39" x14ac:dyDescent="0.3">
      <c r="AC719">
        <f t="shared" si="64"/>
        <v>0</v>
      </c>
      <c r="AD719">
        <v>716</v>
      </c>
      <c r="AE719" s="4">
        <f t="shared" si="62"/>
        <v>43189</v>
      </c>
      <c r="AF719" s="6" t="e">
        <f t="shared" si="63"/>
        <v>#DIV/0!</v>
      </c>
      <c r="AG719" s="4">
        <v>43189</v>
      </c>
      <c r="AH719" s="6">
        <v>0.11422300000000001</v>
      </c>
      <c r="AI719" s="6">
        <v>1.3236600000000001</v>
      </c>
      <c r="AJ719" s="6">
        <v>1.711376</v>
      </c>
      <c r="AK719" s="6"/>
      <c r="AL719" s="6"/>
      <c r="AM719" s="6" t="e">
        <f t="shared" si="65"/>
        <v>#DIV/0!</v>
      </c>
    </row>
    <row r="720" spans="29:39" x14ac:dyDescent="0.3">
      <c r="AC720">
        <f t="shared" si="64"/>
        <v>0</v>
      </c>
      <c r="AD720">
        <v>717</v>
      </c>
      <c r="AE720" s="4">
        <f t="shared" si="62"/>
        <v>43192</v>
      </c>
      <c r="AF720" s="6" t="e">
        <f t="shared" si="63"/>
        <v>#DIV/0!</v>
      </c>
      <c r="AG720" s="4">
        <v>43192</v>
      </c>
      <c r="AH720" s="6">
        <v>-0.29700700000000002</v>
      </c>
      <c r="AI720" s="6">
        <v>0.118173</v>
      </c>
      <c r="AJ720" s="6">
        <v>0.54725699999999999</v>
      </c>
      <c r="AK720" s="6"/>
      <c r="AL720" s="6"/>
      <c r="AM720" s="6" t="e">
        <f t="shared" si="65"/>
        <v>#DIV/0!</v>
      </c>
    </row>
    <row r="721" spans="29:39" x14ac:dyDescent="0.3">
      <c r="AC721">
        <f t="shared" si="64"/>
        <v>0</v>
      </c>
      <c r="AD721">
        <v>718</v>
      </c>
      <c r="AE721" s="4">
        <f t="shared" si="62"/>
        <v>43193</v>
      </c>
      <c r="AF721" s="6" t="e">
        <f t="shared" si="63"/>
        <v>#DIV/0!</v>
      </c>
      <c r="AG721" s="4">
        <v>43193</v>
      </c>
      <c r="AH721" s="6">
        <v>-0.62875800000000004</v>
      </c>
      <c r="AI721" s="6">
        <v>-1.0169170000000001</v>
      </c>
      <c r="AJ721" s="6">
        <v>-0.97012600000000004</v>
      </c>
      <c r="AK721" s="6"/>
      <c r="AL721" s="6"/>
      <c r="AM721" s="6" t="e">
        <f t="shared" si="65"/>
        <v>#DIV/0!</v>
      </c>
    </row>
    <row r="722" spans="29:39" x14ac:dyDescent="0.3">
      <c r="AC722">
        <f t="shared" si="64"/>
        <v>0</v>
      </c>
      <c r="AD722">
        <v>719</v>
      </c>
      <c r="AE722" s="4">
        <f t="shared" si="62"/>
        <v>43194</v>
      </c>
      <c r="AF722" s="6" t="e">
        <f t="shared" si="63"/>
        <v>#DIV/0!</v>
      </c>
      <c r="AG722" s="4">
        <v>43194</v>
      </c>
      <c r="AH722" s="6">
        <v>-0.19720799999999999</v>
      </c>
      <c r="AI722" s="6">
        <v>-0.69347599999999998</v>
      </c>
      <c r="AJ722" s="6">
        <v>-0.89571699999999999</v>
      </c>
      <c r="AK722" s="6"/>
      <c r="AL722" s="6"/>
      <c r="AM722" s="6" t="e">
        <f t="shared" si="65"/>
        <v>#DIV/0!</v>
      </c>
    </row>
    <row r="723" spans="29:39" x14ac:dyDescent="0.3">
      <c r="AC723">
        <f t="shared" si="64"/>
        <v>0</v>
      </c>
      <c r="AD723">
        <v>720</v>
      </c>
      <c r="AE723" s="4">
        <f t="shared" si="62"/>
        <v>43199</v>
      </c>
      <c r="AF723" s="6" t="e">
        <f t="shared" si="63"/>
        <v>#DIV/0!</v>
      </c>
      <c r="AG723" s="4">
        <v>43199</v>
      </c>
      <c r="AH723" s="6">
        <v>-5.0152000000000002E-2</v>
      </c>
      <c r="AI723" s="6">
        <v>0.132327</v>
      </c>
      <c r="AJ723" s="6">
        <v>0.14499200000000001</v>
      </c>
      <c r="AK723" s="6"/>
      <c r="AL723" s="6"/>
      <c r="AM723" s="6" t="e">
        <f t="shared" si="65"/>
        <v>#DIV/0!</v>
      </c>
    </row>
    <row r="724" spans="29:39" x14ac:dyDescent="0.3">
      <c r="AC724">
        <f t="shared" si="64"/>
        <v>0</v>
      </c>
      <c r="AD724">
        <v>721</v>
      </c>
      <c r="AE724" s="4">
        <f t="shared" si="62"/>
        <v>43200</v>
      </c>
      <c r="AF724" s="6" t="e">
        <f t="shared" si="63"/>
        <v>#DIV/0!</v>
      </c>
      <c r="AG724" s="4">
        <v>43200</v>
      </c>
      <c r="AH724" s="6">
        <v>1.9269419999999999</v>
      </c>
      <c r="AI724" s="6">
        <v>0.63218099999999999</v>
      </c>
      <c r="AJ724" s="6">
        <v>3.1619000000000001E-2</v>
      </c>
      <c r="AK724" s="6"/>
      <c r="AL724" s="6"/>
      <c r="AM724" s="6" t="e">
        <f t="shared" si="65"/>
        <v>#DIV/0!</v>
      </c>
    </row>
    <row r="725" spans="29:39" x14ac:dyDescent="0.3">
      <c r="AC725">
        <f t="shared" si="64"/>
        <v>0</v>
      </c>
      <c r="AD725">
        <v>722</v>
      </c>
      <c r="AE725" s="4">
        <f t="shared" si="62"/>
        <v>43201</v>
      </c>
      <c r="AF725" s="6" t="e">
        <f t="shared" si="63"/>
        <v>#DIV/0!</v>
      </c>
      <c r="AG725" s="4">
        <v>43201</v>
      </c>
      <c r="AH725" s="6">
        <v>0.284441</v>
      </c>
      <c r="AI725" s="6">
        <v>0.37716499999999997</v>
      </c>
      <c r="AJ725" s="6">
        <v>0.58085699999999996</v>
      </c>
      <c r="AK725" s="6"/>
      <c r="AL725" s="6"/>
      <c r="AM725" s="6" t="e">
        <f t="shared" si="65"/>
        <v>#DIV/0!</v>
      </c>
    </row>
    <row r="726" spans="29:39" x14ac:dyDescent="0.3">
      <c r="AC726">
        <f t="shared" si="64"/>
        <v>0</v>
      </c>
      <c r="AD726">
        <v>723</v>
      </c>
      <c r="AE726" s="4">
        <f t="shared" si="62"/>
        <v>43202</v>
      </c>
      <c r="AF726" s="6" t="e">
        <f t="shared" si="63"/>
        <v>#DIV/0!</v>
      </c>
      <c r="AG726" s="4">
        <v>43202</v>
      </c>
      <c r="AH726" s="6">
        <v>-1.0082409999999999</v>
      </c>
      <c r="AI726" s="6">
        <v>-0.5796</v>
      </c>
      <c r="AJ726" s="6">
        <v>-0.475858</v>
      </c>
      <c r="AK726" s="6"/>
      <c r="AL726" s="6"/>
      <c r="AM726" s="6" t="e">
        <f t="shared" si="65"/>
        <v>#DIV/0!</v>
      </c>
    </row>
    <row r="727" spans="29:39" x14ac:dyDescent="0.3">
      <c r="AC727">
        <f t="shared" si="64"/>
        <v>0</v>
      </c>
      <c r="AD727">
        <v>724</v>
      </c>
      <c r="AE727" s="4">
        <f t="shared" si="62"/>
        <v>43203</v>
      </c>
      <c r="AF727" s="6" t="e">
        <f t="shared" si="63"/>
        <v>#DIV/0!</v>
      </c>
      <c r="AG727" s="4">
        <v>43203</v>
      </c>
      <c r="AH727" s="6">
        <v>-0.70514699999999997</v>
      </c>
      <c r="AI727" s="6">
        <v>-0.39905099999999999</v>
      </c>
      <c r="AJ727" s="6">
        <v>-8.8914000000000007E-2</v>
      </c>
      <c r="AK727" s="6"/>
      <c r="AL727" s="6"/>
      <c r="AM727" s="6" t="e">
        <f t="shared" si="65"/>
        <v>#DIV/0!</v>
      </c>
    </row>
    <row r="728" spans="29:39" x14ac:dyDescent="0.3">
      <c r="AC728">
        <f t="shared" si="64"/>
        <v>0</v>
      </c>
      <c r="AD728">
        <v>725</v>
      </c>
      <c r="AE728" s="4">
        <f t="shared" si="62"/>
        <v>43206</v>
      </c>
      <c r="AF728" s="6" t="e">
        <f t="shared" si="63"/>
        <v>#DIV/0!</v>
      </c>
      <c r="AG728" s="4">
        <v>43206</v>
      </c>
      <c r="AH728" s="6">
        <v>-1.60886</v>
      </c>
      <c r="AI728" s="6">
        <v>-0.24524499999999999</v>
      </c>
      <c r="AJ728" s="6">
        <v>-5.5518999999999999E-2</v>
      </c>
      <c r="AK728" s="6"/>
      <c r="AL728" s="6"/>
      <c r="AM728" s="6" t="e">
        <f t="shared" si="65"/>
        <v>#DIV/0!</v>
      </c>
    </row>
    <row r="729" spans="29:39" x14ac:dyDescent="0.3">
      <c r="AC729">
        <f t="shared" si="64"/>
        <v>0</v>
      </c>
      <c r="AD729">
        <v>726</v>
      </c>
      <c r="AE729" s="4">
        <f t="shared" si="62"/>
        <v>43207</v>
      </c>
      <c r="AF729" s="6" t="e">
        <f t="shared" si="63"/>
        <v>#DIV/0!</v>
      </c>
      <c r="AG729" s="4">
        <v>43207</v>
      </c>
      <c r="AH729" s="6">
        <v>-1.581097</v>
      </c>
      <c r="AI729" s="6">
        <v>-2.0216240000000001</v>
      </c>
      <c r="AJ729" s="6">
        <v>-2.2810480000000002</v>
      </c>
      <c r="AK729" s="6"/>
      <c r="AL729" s="6"/>
      <c r="AM729" s="6" t="e">
        <f t="shared" si="65"/>
        <v>#DIV/0!</v>
      </c>
    </row>
    <row r="730" spans="29:39" x14ac:dyDescent="0.3">
      <c r="AC730">
        <f t="shared" si="64"/>
        <v>0</v>
      </c>
      <c r="AD730">
        <v>727</v>
      </c>
      <c r="AE730" s="4">
        <f t="shared" si="62"/>
        <v>43208</v>
      </c>
      <c r="AF730" s="6" t="e">
        <f t="shared" si="63"/>
        <v>#DIV/0!</v>
      </c>
      <c r="AG730" s="4">
        <v>43208</v>
      </c>
      <c r="AH730" s="6">
        <v>0.47059200000000001</v>
      </c>
      <c r="AI730" s="6">
        <v>1.354652</v>
      </c>
      <c r="AJ730" s="6">
        <v>1.4714989999999999</v>
      </c>
      <c r="AK730" s="6"/>
      <c r="AL730" s="6"/>
      <c r="AM730" s="6" t="e">
        <f t="shared" si="65"/>
        <v>#DIV/0!</v>
      </c>
    </row>
    <row r="731" spans="29:39" x14ac:dyDescent="0.3">
      <c r="AC731">
        <f t="shared" si="64"/>
        <v>0</v>
      </c>
      <c r="AD731">
        <v>728</v>
      </c>
      <c r="AE731" s="4">
        <f t="shared" si="62"/>
        <v>43209</v>
      </c>
      <c r="AF731" s="6" t="e">
        <f t="shared" si="63"/>
        <v>#DIV/0!</v>
      </c>
      <c r="AG731" s="4">
        <v>43209</v>
      </c>
      <c r="AH731" s="6">
        <v>1.209708</v>
      </c>
      <c r="AI731" s="6">
        <v>0.57071899999999998</v>
      </c>
      <c r="AJ731" s="6">
        <v>0.23717199999999999</v>
      </c>
      <c r="AK731" s="6"/>
      <c r="AL731" s="6"/>
      <c r="AM731" s="6" t="e">
        <f t="shared" si="65"/>
        <v>#DIV/0!</v>
      </c>
    </row>
    <row r="732" spans="29:39" x14ac:dyDescent="0.3">
      <c r="AC732">
        <f t="shared" si="64"/>
        <v>0</v>
      </c>
      <c r="AD732">
        <v>729</v>
      </c>
      <c r="AE732" s="4">
        <f t="shared" si="62"/>
        <v>43210</v>
      </c>
      <c r="AF732" s="6" t="e">
        <f t="shared" si="63"/>
        <v>#DIV/0!</v>
      </c>
      <c r="AG732" s="4">
        <v>43210</v>
      </c>
      <c r="AH732" s="6">
        <v>-1.337639</v>
      </c>
      <c r="AI732" s="6">
        <v>-2.0633309999999998</v>
      </c>
      <c r="AJ732" s="6">
        <v>-2.1135959999999998</v>
      </c>
      <c r="AK732" s="6"/>
      <c r="AL732" s="6"/>
      <c r="AM732" s="6" t="e">
        <f t="shared" si="65"/>
        <v>#DIV/0!</v>
      </c>
    </row>
    <row r="733" spans="29:39" x14ac:dyDescent="0.3">
      <c r="AC733">
        <f t="shared" si="64"/>
        <v>0</v>
      </c>
      <c r="AD733">
        <v>730</v>
      </c>
      <c r="AE733" s="4">
        <f t="shared" si="62"/>
        <v>43213</v>
      </c>
      <c r="AF733" s="6" t="e">
        <f t="shared" si="63"/>
        <v>#DIV/0!</v>
      </c>
      <c r="AG733" s="4">
        <v>43213</v>
      </c>
      <c r="AH733" s="6">
        <v>0.145483</v>
      </c>
      <c r="AI733" s="6">
        <v>-0.96781099999999998</v>
      </c>
      <c r="AJ733" s="6">
        <v>-1.0625009999999999</v>
      </c>
      <c r="AK733" s="6"/>
      <c r="AL733" s="6"/>
      <c r="AM733" s="6" t="e">
        <f t="shared" si="65"/>
        <v>#DIV/0!</v>
      </c>
    </row>
    <row r="734" spans="29:39" x14ac:dyDescent="0.3">
      <c r="AC734">
        <f t="shared" si="64"/>
        <v>0</v>
      </c>
      <c r="AD734">
        <v>731</v>
      </c>
      <c r="AE734" s="4">
        <f t="shared" si="62"/>
        <v>43214</v>
      </c>
      <c r="AF734" s="6" t="e">
        <f t="shared" si="63"/>
        <v>#DIV/0!</v>
      </c>
      <c r="AG734" s="4">
        <v>43214</v>
      </c>
      <c r="AH734" s="6">
        <v>2.0487579999999999</v>
      </c>
      <c r="AI734" s="6">
        <v>2.2883589999999998</v>
      </c>
      <c r="AJ734" s="6">
        <v>2.1660080000000002</v>
      </c>
      <c r="AK734" s="6"/>
      <c r="AL734" s="6"/>
      <c r="AM734" s="6" t="e">
        <f t="shared" si="65"/>
        <v>#DIV/0!</v>
      </c>
    </row>
    <row r="735" spans="29:39" x14ac:dyDescent="0.3">
      <c r="AC735">
        <f t="shared" si="64"/>
        <v>0</v>
      </c>
      <c r="AD735">
        <v>732</v>
      </c>
      <c r="AE735" s="4">
        <f t="shared" si="62"/>
        <v>43215</v>
      </c>
      <c r="AF735" s="6" t="e">
        <f t="shared" si="63"/>
        <v>#DIV/0!</v>
      </c>
      <c r="AG735" s="4">
        <v>43215</v>
      </c>
      <c r="AH735" s="6">
        <v>-0.38473099999999999</v>
      </c>
      <c r="AI735" s="6">
        <v>3.7421999999999997E-2</v>
      </c>
      <c r="AJ735" s="6">
        <v>0.38499</v>
      </c>
      <c r="AK735" s="6"/>
      <c r="AL735" s="6"/>
      <c r="AM735" s="6" t="e">
        <f t="shared" si="65"/>
        <v>#DIV/0!</v>
      </c>
    </row>
    <row r="736" spans="29:39" x14ac:dyDescent="0.3">
      <c r="AC736">
        <f t="shared" si="64"/>
        <v>0</v>
      </c>
      <c r="AD736">
        <v>733</v>
      </c>
      <c r="AE736" s="4">
        <f t="shared" si="62"/>
        <v>43216</v>
      </c>
      <c r="AF736" s="6" t="e">
        <f t="shared" si="63"/>
        <v>#DIV/0!</v>
      </c>
      <c r="AG736" s="4">
        <v>43216</v>
      </c>
      <c r="AH736" s="6">
        <v>-1.912069</v>
      </c>
      <c r="AI736" s="6">
        <v>-1.870071</v>
      </c>
      <c r="AJ736" s="6">
        <v>-1.831785</v>
      </c>
      <c r="AK736" s="6"/>
      <c r="AL736" s="6"/>
      <c r="AM736" s="6" t="e">
        <f t="shared" si="65"/>
        <v>#DIV/0!</v>
      </c>
    </row>
    <row r="737" spans="29:39" x14ac:dyDescent="0.3">
      <c r="AC737">
        <f t="shared" si="64"/>
        <v>0</v>
      </c>
      <c r="AD737">
        <v>734</v>
      </c>
      <c r="AE737" s="4">
        <f t="shared" si="62"/>
        <v>43217</v>
      </c>
      <c r="AF737" s="6" t="e">
        <f t="shared" si="63"/>
        <v>#DIV/0!</v>
      </c>
      <c r="AG737" s="4">
        <v>43217</v>
      </c>
      <c r="AH737" s="6">
        <v>3.6810000000000002E-2</v>
      </c>
      <c r="AI737" s="6">
        <v>0.22241900000000001</v>
      </c>
      <c r="AJ737" s="6">
        <v>0.10014199999999999</v>
      </c>
      <c r="AK737" s="6"/>
      <c r="AL737" s="6"/>
      <c r="AM737" s="6" t="e">
        <f t="shared" si="65"/>
        <v>#DIV/0!</v>
      </c>
    </row>
    <row r="738" spans="29:39" x14ac:dyDescent="0.3">
      <c r="AC738">
        <f t="shared" si="64"/>
        <v>0</v>
      </c>
      <c r="AD738">
        <v>735</v>
      </c>
      <c r="AE738" s="4">
        <f t="shared" si="62"/>
        <v>43222</v>
      </c>
      <c r="AF738" s="6" t="e">
        <f t="shared" si="63"/>
        <v>#DIV/0!</v>
      </c>
      <c r="AG738" s="4">
        <v>43222</v>
      </c>
      <c r="AH738" s="6">
        <v>0.18019199999999999</v>
      </c>
      <c r="AI738" s="6">
        <v>-9.6575999999999995E-2</v>
      </c>
      <c r="AJ738" s="6">
        <v>-0.46400999999999998</v>
      </c>
      <c r="AK738" s="6"/>
      <c r="AL738" s="6"/>
      <c r="AM738" s="6" t="e">
        <f t="shared" si="65"/>
        <v>#DIV/0!</v>
      </c>
    </row>
    <row r="739" spans="29:39" x14ac:dyDescent="0.3">
      <c r="AC739">
        <f t="shared" si="64"/>
        <v>0</v>
      </c>
      <c r="AD739">
        <v>736</v>
      </c>
      <c r="AE739" s="4">
        <f t="shared" si="62"/>
        <v>43223</v>
      </c>
      <c r="AF739" s="6" t="e">
        <f t="shared" si="63"/>
        <v>#DIV/0!</v>
      </c>
      <c r="AG739" s="4">
        <v>43223</v>
      </c>
      <c r="AH739" s="6">
        <v>0.77993500000000004</v>
      </c>
      <c r="AI739" s="6">
        <v>0.94414100000000001</v>
      </c>
      <c r="AJ739" s="6">
        <v>0.90120999999999996</v>
      </c>
      <c r="AK739" s="6"/>
      <c r="AL739" s="6"/>
      <c r="AM739" s="6" t="e">
        <f t="shared" si="65"/>
        <v>#DIV/0!</v>
      </c>
    </row>
    <row r="740" spans="29:39" x14ac:dyDescent="0.3">
      <c r="AC740">
        <f t="shared" si="64"/>
        <v>0</v>
      </c>
      <c r="AD740">
        <v>737</v>
      </c>
      <c r="AE740" s="4">
        <f t="shared" si="62"/>
        <v>43224</v>
      </c>
      <c r="AF740" s="6" t="e">
        <f t="shared" si="63"/>
        <v>#DIV/0!</v>
      </c>
      <c r="AG740" s="4">
        <v>43224</v>
      </c>
      <c r="AH740" s="6">
        <v>-0.485157</v>
      </c>
      <c r="AI740" s="6">
        <v>-2.2186999999999998E-2</v>
      </c>
      <c r="AJ740" s="6">
        <v>-0.21360899999999999</v>
      </c>
      <c r="AK740" s="6"/>
      <c r="AL740" s="6"/>
      <c r="AM740" s="6" t="e">
        <f t="shared" si="65"/>
        <v>#DIV/0!</v>
      </c>
    </row>
    <row r="741" spans="29:39" x14ac:dyDescent="0.3">
      <c r="AC741">
        <f t="shared" si="64"/>
        <v>0</v>
      </c>
      <c r="AD741">
        <v>738</v>
      </c>
      <c r="AE741" s="4">
        <f t="shared" si="62"/>
        <v>43227</v>
      </c>
      <c r="AF741" s="6" t="e">
        <f t="shared" si="63"/>
        <v>#DIV/0!</v>
      </c>
      <c r="AG741" s="4">
        <v>43227</v>
      </c>
      <c r="AH741" s="6">
        <v>1.5787009999999999</v>
      </c>
      <c r="AI741" s="6">
        <v>1.8588769999999999</v>
      </c>
      <c r="AJ741" s="6">
        <v>1.765209</v>
      </c>
      <c r="AK741" s="6"/>
      <c r="AL741" s="6"/>
      <c r="AM741" s="6" t="e">
        <f t="shared" si="65"/>
        <v>#DIV/0!</v>
      </c>
    </row>
    <row r="742" spans="29:39" x14ac:dyDescent="0.3">
      <c r="AC742">
        <f t="shared" si="64"/>
        <v>0</v>
      </c>
      <c r="AD742">
        <v>739</v>
      </c>
      <c r="AE742" s="4">
        <f t="shared" si="62"/>
        <v>43228</v>
      </c>
      <c r="AF742" s="6" t="e">
        <f t="shared" si="63"/>
        <v>#DIV/0!</v>
      </c>
      <c r="AG742" s="4">
        <v>43228</v>
      </c>
      <c r="AH742" s="6">
        <v>1.1603239999999999</v>
      </c>
      <c r="AI742" s="6">
        <v>0.37668800000000002</v>
      </c>
      <c r="AJ742" s="6">
        <v>0.47484399999999999</v>
      </c>
      <c r="AK742" s="6"/>
      <c r="AL742" s="6"/>
      <c r="AM742" s="6" t="e">
        <f t="shared" si="65"/>
        <v>#DIV/0!</v>
      </c>
    </row>
    <row r="743" spans="29:39" x14ac:dyDescent="0.3">
      <c r="AC743">
        <f t="shared" si="64"/>
        <v>0</v>
      </c>
      <c r="AD743">
        <v>740</v>
      </c>
      <c r="AE743" s="4">
        <f t="shared" si="62"/>
        <v>43229</v>
      </c>
      <c r="AF743" s="6" t="e">
        <f t="shared" si="63"/>
        <v>#DIV/0!</v>
      </c>
      <c r="AG743" s="4">
        <v>43229</v>
      </c>
      <c r="AH743" s="6">
        <v>-0.18206</v>
      </c>
      <c r="AI743" s="6">
        <v>-0.20823900000000001</v>
      </c>
      <c r="AJ743" s="6">
        <v>-4.8446000000000003E-2</v>
      </c>
      <c r="AK743" s="6"/>
      <c r="AL743" s="6"/>
      <c r="AM743" s="6" t="e">
        <f t="shared" si="65"/>
        <v>#DIV/0!</v>
      </c>
    </row>
    <row r="744" spans="29:39" x14ac:dyDescent="0.3">
      <c r="AC744">
        <f t="shared" si="64"/>
        <v>0</v>
      </c>
      <c r="AD744">
        <v>741</v>
      </c>
      <c r="AE744" s="4">
        <f t="shared" si="62"/>
        <v>43230</v>
      </c>
      <c r="AF744" s="6" t="e">
        <f t="shared" si="63"/>
        <v>#DIV/0!</v>
      </c>
      <c r="AG744" s="4">
        <v>43230</v>
      </c>
      <c r="AH744" s="6">
        <v>0.55380799999999997</v>
      </c>
      <c r="AI744" s="6">
        <v>0.18806200000000001</v>
      </c>
      <c r="AJ744" s="6">
        <v>0.42399999999999999</v>
      </c>
      <c r="AK744" s="6"/>
      <c r="AL744" s="6"/>
      <c r="AM744" s="6" t="e">
        <f t="shared" si="65"/>
        <v>#DIV/0!</v>
      </c>
    </row>
    <row r="745" spans="29:39" x14ac:dyDescent="0.3">
      <c r="AC745">
        <f t="shared" si="64"/>
        <v>0</v>
      </c>
      <c r="AD745">
        <v>742</v>
      </c>
      <c r="AE745" s="4">
        <f t="shared" si="62"/>
        <v>43231</v>
      </c>
      <c r="AF745" s="6" t="e">
        <f t="shared" si="63"/>
        <v>#DIV/0!</v>
      </c>
      <c r="AG745" s="4">
        <v>43231</v>
      </c>
      <c r="AH745" s="6">
        <v>-0.51934000000000002</v>
      </c>
      <c r="AI745" s="6">
        <v>-0.81497600000000003</v>
      </c>
      <c r="AJ745" s="6">
        <v>-0.991232</v>
      </c>
      <c r="AK745" s="6"/>
      <c r="AL745" s="6"/>
      <c r="AM745" s="6" t="e">
        <f t="shared" si="65"/>
        <v>#DIV/0!</v>
      </c>
    </row>
    <row r="746" spans="29:39" x14ac:dyDescent="0.3">
      <c r="AC746">
        <f t="shared" si="64"/>
        <v>0</v>
      </c>
      <c r="AD746">
        <v>743</v>
      </c>
      <c r="AE746" s="4">
        <f t="shared" si="62"/>
        <v>43234</v>
      </c>
      <c r="AF746" s="6" t="e">
        <f t="shared" si="63"/>
        <v>#DIV/0!</v>
      </c>
      <c r="AG746" s="4">
        <v>43234</v>
      </c>
      <c r="AH746" s="6">
        <v>0.941299</v>
      </c>
      <c r="AI746" s="6">
        <v>-0.39704499999999998</v>
      </c>
      <c r="AJ746" s="6">
        <v>-0.67858799999999997</v>
      </c>
      <c r="AK746" s="6"/>
      <c r="AL746" s="6"/>
      <c r="AM746" s="6" t="e">
        <f t="shared" si="65"/>
        <v>#DIV/0!</v>
      </c>
    </row>
    <row r="747" spans="29:39" x14ac:dyDescent="0.3">
      <c r="AC747">
        <f t="shared" si="64"/>
        <v>0</v>
      </c>
      <c r="AD747">
        <v>744</v>
      </c>
      <c r="AE747" s="4">
        <f t="shared" si="62"/>
        <v>43235</v>
      </c>
      <c r="AF747" s="6" t="e">
        <f t="shared" si="63"/>
        <v>#DIV/0!</v>
      </c>
      <c r="AG747" s="4">
        <v>43235</v>
      </c>
      <c r="AH747" s="6">
        <v>0.37869199999999997</v>
      </c>
      <c r="AI747" s="6">
        <v>0.88839699999999999</v>
      </c>
      <c r="AJ747" s="6">
        <v>1.0528120000000001</v>
      </c>
      <c r="AK747" s="6"/>
      <c r="AL747" s="6"/>
      <c r="AM747" s="6" t="e">
        <f t="shared" si="65"/>
        <v>#DIV/0!</v>
      </c>
    </row>
    <row r="748" spans="29:39" x14ac:dyDescent="0.3">
      <c r="AC748">
        <f t="shared" si="64"/>
        <v>0</v>
      </c>
      <c r="AD748">
        <v>745</v>
      </c>
      <c r="AE748" s="4">
        <f t="shared" si="62"/>
        <v>43236</v>
      </c>
      <c r="AF748" s="6" t="e">
        <f t="shared" si="63"/>
        <v>#DIV/0!</v>
      </c>
      <c r="AG748" s="4">
        <v>43236</v>
      </c>
      <c r="AH748" s="6">
        <v>-0.79644599999999999</v>
      </c>
      <c r="AI748" s="6">
        <v>-0.27406199999999997</v>
      </c>
      <c r="AJ748" s="6">
        <v>-0.57779100000000005</v>
      </c>
      <c r="AK748" s="6"/>
      <c r="AL748" s="6"/>
      <c r="AM748" s="6" t="e">
        <f t="shared" si="65"/>
        <v>#DIV/0!</v>
      </c>
    </row>
    <row r="749" spans="29:39" x14ac:dyDescent="0.3">
      <c r="AC749">
        <f t="shared" si="64"/>
        <v>0</v>
      </c>
      <c r="AD749">
        <v>746</v>
      </c>
      <c r="AE749" s="4">
        <f t="shared" si="62"/>
        <v>43237</v>
      </c>
      <c r="AF749" s="6" t="e">
        <f t="shared" si="63"/>
        <v>#DIV/0!</v>
      </c>
      <c r="AG749" s="4">
        <v>43237</v>
      </c>
      <c r="AH749" s="6">
        <v>-0.73965199999999998</v>
      </c>
      <c r="AI749" s="6">
        <v>-0.50450899999999999</v>
      </c>
      <c r="AJ749" s="6">
        <v>-0.47392600000000001</v>
      </c>
      <c r="AK749" s="6"/>
      <c r="AL749" s="6"/>
      <c r="AM749" s="6" t="e">
        <f t="shared" si="65"/>
        <v>#DIV/0!</v>
      </c>
    </row>
    <row r="750" spans="29:39" x14ac:dyDescent="0.3">
      <c r="AC750">
        <f t="shared" si="64"/>
        <v>0</v>
      </c>
      <c r="AD750">
        <v>747</v>
      </c>
      <c r="AE750" s="4">
        <f t="shared" si="62"/>
        <v>43238</v>
      </c>
      <c r="AF750" s="6" t="e">
        <f t="shared" si="63"/>
        <v>#DIV/0!</v>
      </c>
      <c r="AG750" s="4">
        <v>43238</v>
      </c>
      <c r="AH750" s="6">
        <v>1.0096400000000001</v>
      </c>
      <c r="AI750" s="6">
        <v>0.35775000000000001</v>
      </c>
      <c r="AJ750" s="6">
        <v>0.44786199999999998</v>
      </c>
      <c r="AK750" s="6"/>
      <c r="AL750" s="6"/>
      <c r="AM750" s="6" t="e">
        <f t="shared" si="65"/>
        <v>#DIV/0!</v>
      </c>
    </row>
    <row r="751" spans="29:39" x14ac:dyDescent="0.3">
      <c r="AC751">
        <f t="shared" si="64"/>
        <v>0</v>
      </c>
      <c r="AD751">
        <v>748</v>
      </c>
      <c r="AE751" s="4">
        <f t="shared" si="62"/>
        <v>43241</v>
      </c>
      <c r="AF751" s="6" t="e">
        <f t="shared" si="63"/>
        <v>#DIV/0!</v>
      </c>
      <c r="AG751" s="4">
        <v>43241</v>
      </c>
      <c r="AH751" s="6">
        <v>0.46574700000000002</v>
      </c>
      <c r="AI751" s="6">
        <v>1.285196</v>
      </c>
      <c r="AJ751" s="6">
        <v>1.153483</v>
      </c>
      <c r="AK751" s="6"/>
      <c r="AL751" s="6"/>
      <c r="AM751" s="6" t="e">
        <f t="shared" si="65"/>
        <v>#DIV/0!</v>
      </c>
    </row>
    <row r="752" spans="29:39" x14ac:dyDescent="0.3">
      <c r="AC752">
        <f t="shared" si="64"/>
        <v>0</v>
      </c>
      <c r="AD752">
        <v>749</v>
      </c>
      <c r="AE752" s="4">
        <f t="shared" si="62"/>
        <v>43242</v>
      </c>
      <c r="AF752" s="6" t="e">
        <f t="shared" si="63"/>
        <v>#DIV/0!</v>
      </c>
      <c r="AG752" s="4">
        <v>43242</v>
      </c>
      <c r="AH752" s="6">
        <v>-0.38339899999999999</v>
      </c>
      <c r="AI752" s="6">
        <v>0.341026</v>
      </c>
      <c r="AJ752" s="6">
        <v>0.40695300000000001</v>
      </c>
      <c r="AK752" s="6"/>
      <c r="AL752" s="6"/>
      <c r="AM752" s="6" t="e">
        <f t="shared" si="65"/>
        <v>#DIV/0!</v>
      </c>
    </row>
    <row r="753" spans="29:39" x14ac:dyDescent="0.3">
      <c r="AC753">
        <f t="shared" si="64"/>
        <v>0</v>
      </c>
      <c r="AD753">
        <v>750</v>
      </c>
      <c r="AE753" s="4">
        <f t="shared" si="62"/>
        <v>43243</v>
      </c>
      <c r="AF753" s="6" t="e">
        <f t="shared" si="63"/>
        <v>#DIV/0!</v>
      </c>
      <c r="AG753" s="4">
        <v>43243</v>
      </c>
      <c r="AH753" s="6">
        <v>-1.3216300000000001</v>
      </c>
      <c r="AI753" s="6">
        <v>-1.297569</v>
      </c>
      <c r="AJ753" s="6">
        <v>-1.0723039999999999</v>
      </c>
      <c r="AK753" s="6"/>
      <c r="AL753" s="6"/>
      <c r="AM753" s="6" t="e">
        <f t="shared" si="65"/>
        <v>#DIV/0!</v>
      </c>
    </row>
    <row r="754" spans="29:39" x14ac:dyDescent="0.3">
      <c r="AC754">
        <f t="shared" si="64"/>
        <v>0</v>
      </c>
      <c r="AD754">
        <v>751</v>
      </c>
      <c r="AE754" s="4">
        <f t="shared" si="62"/>
        <v>43244</v>
      </c>
      <c r="AF754" s="6" t="e">
        <f t="shared" si="63"/>
        <v>#DIV/0!</v>
      </c>
      <c r="AG754" s="4">
        <v>43244</v>
      </c>
      <c r="AH754" s="6">
        <v>-0.70994699999999999</v>
      </c>
      <c r="AI754" s="6">
        <v>-0.35295700000000002</v>
      </c>
      <c r="AJ754" s="6">
        <v>-0.35762100000000002</v>
      </c>
      <c r="AK754" s="6"/>
      <c r="AL754" s="6"/>
      <c r="AM754" s="6" t="e">
        <f t="shared" si="65"/>
        <v>#DIV/0!</v>
      </c>
    </row>
    <row r="755" spans="29:39" x14ac:dyDescent="0.3">
      <c r="AC755">
        <f t="shared" si="64"/>
        <v>0</v>
      </c>
      <c r="AD755">
        <v>752</v>
      </c>
      <c r="AE755" s="4">
        <f t="shared" si="62"/>
        <v>43245</v>
      </c>
      <c r="AF755" s="6" t="e">
        <f t="shared" si="63"/>
        <v>#DIV/0!</v>
      </c>
      <c r="AG755" s="4">
        <v>43245</v>
      </c>
      <c r="AH755" s="6">
        <v>-0.28007300000000002</v>
      </c>
      <c r="AI755" s="6">
        <v>-1.2485869999999999</v>
      </c>
      <c r="AJ755" s="6">
        <v>-1.3133090000000001</v>
      </c>
      <c r="AK755" s="6"/>
      <c r="AL755" s="6"/>
      <c r="AM755" s="6" t="e">
        <f t="shared" si="65"/>
        <v>#DIV/0!</v>
      </c>
    </row>
    <row r="756" spans="29:39" x14ac:dyDescent="0.3">
      <c r="AC756">
        <f t="shared" si="64"/>
        <v>0</v>
      </c>
      <c r="AD756">
        <v>753</v>
      </c>
      <c r="AE756" s="4">
        <f t="shared" si="62"/>
        <v>43248</v>
      </c>
      <c r="AF756" s="6" t="e">
        <f t="shared" si="63"/>
        <v>#DIV/0!</v>
      </c>
      <c r="AG756" s="4">
        <v>43248</v>
      </c>
      <c r="AH756" s="6">
        <v>0.43919599999999998</v>
      </c>
      <c r="AI756" s="6">
        <v>-0.44839499999999999</v>
      </c>
      <c r="AJ756" s="6">
        <v>-0.78032999999999997</v>
      </c>
      <c r="AK756" s="6"/>
      <c r="AL756" s="6"/>
      <c r="AM756" s="6" t="e">
        <f t="shared" si="65"/>
        <v>#DIV/0!</v>
      </c>
    </row>
    <row r="757" spans="29:39" x14ac:dyDescent="0.3">
      <c r="AC757">
        <f t="shared" si="64"/>
        <v>0</v>
      </c>
      <c r="AD757">
        <v>754</v>
      </c>
      <c r="AE757" s="4">
        <f t="shared" si="62"/>
        <v>43249</v>
      </c>
      <c r="AF757" s="6" t="e">
        <f t="shared" si="63"/>
        <v>#DIV/0!</v>
      </c>
      <c r="AG757" s="4">
        <v>43249</v>
      </c>
      <c r="AH757" s="6">
        <v>-0.76307400000000003</v>
      </c>
      <c r="AI757" s="6">
        <v>-0.94745599999999996</v>
      </c>
      <c r="AJ757" s="6">
        <v>-0.82633199999999996</v>
      </c>
      <c r="AK757" s="6"/>
      <c r="AL757" s="6"/>
      <c r="AM757" s="6" t="e">
        <f t="shared" si="65"/>
        <v>#DIV/0!</v>
      </c>
    </row>
    <row r="758" spans="29:39" x14ac:dyDescent="0.3">
      <c r="AC758">
        <f t="shared" si="64"/>
        <v>0</v>
      </c>
      <c r="AD758">
        <v>755</v>
      </c>
      <c r="AE758" s="4">
        <f t="shared" si="62"/>
        <v>43250</v>
      </c>
      <c r="AF758" s="6" t="e">
        <f t="shared" si="63"/>
        <v>#DIV/0!</v>
      </c>
      <c r="AG758" s="4">
        <v>43250</v>
      </c>
      <c r="AH758" s="6">
        <v>-2.1197870000000001</v>
      </c>
      <c r="AI758" s="6">
        <v>-2.6194660000000001</v>
      </c>
      <c r="AJ758" s="6">
        <v>-3.174833</v>
      </c>
      <c r="AK758" s="6"/>
      <c r="AL758" s="6"/>
      <c r="AM758" s="6" t="e">
        <f t="shared" si="65"/>
        <v>#DIV/0!</v>
      </c>
    </row>
    <row r="759" spans="29:39" x14ac:dyDescent="0.3">
      <c r="AC759">
        <f t="shared" si="64"/>
        <v>0</v>
      </c>
      <c r="AD759">
        <v>756</v>
      </c>
      <c r="AE759" s="4">
        <f t="shared" si="62"/>
        <v>43251</v>
      </c>
      <c r="AF759" s="6" t="e">
        <f t="shared" si="63"/>
        <v>#DIV/0!</v>
      </c>
      <c r="AG759" s="4">
        <v>43251</v>
      </c>
      <c r="AH759" s="6">
        <v>2.121826</v>
      </c>
      <c r="AI759" s="6">
        <v>1.265031</v>
      </c>
      <c r="AJ759" s="6">
        <v>1.3278380000000001</v>
      </c>
      <c r="AK759" s="6"/>
      <c r="AL759" s="6"/>
      <c r="AM759" s="6" t="e">
        <f t="shared" si="65"/>
        <v>#DIV/0!</v>
      </c>
    </row>
    <row r="760" spans="29:39" x14ac:dyDescent="0.3">
      <c r="AC760">
        <f t="shared" si="64"/>
        <v>0</v>
      </c>
      <c r="AD760">
        <v>757</v>
      </c>
      <c r="AE760" s="4">
        <f t="shared" si="62"/>
        <v>43252</v>
      </c>
      <c r="AF760" s="6" t="e">
        <f t="shared" si="63"/>
        <v>#DIV/0!</v>
      </c>
      <c r="AG760" s="4">
        <v>43252</v>
      </c>
      <c r="AH760" s="6">
        <v>-0.83597200000000005</v>
      </c>
      <c r="AI760" s="6">
        <v>-1.2053069999999999</v>
      </c>
      <c r="AJ760" s="6">
        <v>-1.1312489999999999</v>
      </c>
      <c r="AK760" s="6"/>
      <c r="AL760" s="6"/>
      <c r="AM760" s="6" t="e">
        <f t="shared" si="65"/>
        <v>#DIV/0!</v>
      </c>
    </row>
    <row r="761" spans="29:39" x14ac:dyDescent="0.3">
      <c r="AC761">
        <f t="shared" si="64"/>
        <v>0</v>
      </c>
      <c r="AD761">
        <v>758</v>
      </c>
      <c r="AE761" s="4">
        <f t="shared" si="62"/>
        <v>43255</v>
      </c>
      <c r="AF761" s="6" t="e">
        <f t="shared" si="63"/>
        <v>#DIV/0!</v>
      </c>
      <c r="AG761" s="4">
        <v>43255</v>
      </c>
      <c r="AH761" s="6">
        <v>0.98098700000000005</v>
      </c>
      <c r="AI761" s="6">
        <v>-3.4597000000000003E-2</v>
      </c>
      <c r="AJ761" s="6">
        <v>-0.45042500000000002</v>
      </c>
      <c r="AK761" s="6"/>
      <c r="AL761" s="6"/>
      <c r="AM761" s="6" t="e">
        <f t="shared" si="65"/>
        <v>#DIV/0!</v>
      </c>
    </row>
    <row r="762" spans="29:39" x14ac:dyDescent="0.3">
      <c r="AC762">
        <f t="shared" si="64"/>
        <v>0</v>
      </c>
      <c r="AD762">
        <v>759</v>
      </c>
      <c r="AE762" s="4">
        <f t="shared" si="62"/>
        <v>43256</v>
      </c>
      <c r="AF762" s="6" t="e">
        <f t="shared" si="63"/>
        <v>#DIV/0!</v>
      </c>
      <c r="AG762" s="4">
        <v>43256</v>
      </c>
      <c r="AH762" s="6">
        <v>0.99113700000000005</v>
      </c>
      <c r="AI762" s="6">
        <v>1.687959</v>
      </c>
      <c r="AJ762" s="6">
        <v>1.621893</v>
      </c>
      <c r="AK762" s="6"/>
      <c r="AL762" s="6"/>
      <c r="AM762" s="6" t="e">
        <f t="shared" si="65"/>
        <v>#DIV/0!</v>
      </c>
    </row>
    <row r="763" spans="29:39" x14ac:dyDescent="0.3">
      <c r="AC763">
        <f t="shared" si="64"/>
        <v>0</v>
      </c>
      <c r="AD763">
        <v>760</v>
      </c>
      <c r="AE763" s="4">
        <f t="shared" si="62"/>
        <v>43257</v>
      </c>
      <c r="AF763" s="6" t="e">
        <f t="shared" si="63"/>
        <v>#DIV/0!</v>
      </c>
      <c r="AG763" s="4">
        <v>43257</v>
      </c>
      <c r="AH763" s="6">
        <v>-0.20714299999999999</v>
      </c>
      <c r="AI763" s="6">
        <v>-8.3409999999999998E-2</v>
      </c>
      <c r="AJ763" s="6">
        <v>6.4195000000000002E-2</v>
      </c>
      <c r="AK763" s="6"/>
      <c r="AL763" s="6"/>
      <c r="AM763" s="6" t="e">
        <f t="shared" si="65"/>
        <v>#DIV/0!</v>
      </c>
    </row>
    <row r="764" spans="29:39" x14ac:dyDescent="0.3">
      <c r="AC764">
        <f t="shared" si="64"/>
        <v>0</v>
      </c>
      <c r="AD764">
        <v>761</v>
      </c>
      <c r="AE764" s="4">
        <f t="shared" si="62"/>
        <v>43258</v>
      </c>
      <c r="AF764" s="6" t="e">
        <f t="shared" si="63"/>
        <v>#DIV/0!</v>
      </c>
      <c r="AG764" s="4">
        <v>43258</v>
      </c>
      <c r="AH764" s="6">
        <v>-0.16517399999999999</v>
      </c>
      <c r="AI764" s="6">
        <v>-0.62761100000000003</v>
      </c>
      <c r="AJ764" s="6">
        <v>-0.72130700000000003</v>
      </c>
      <c r="AK764" s="6"/>
      <c r="AL764" s="6"/>
      <c r="AM764" s="6" t="e">
        <f t="shared" si="65"/>
        <v>#DIV/0!</v>
      </c>
    </row>
    <row r="765" spans="29:39" x14ac:dyDescent="0.3">
      <c r="AC765">
        <f t="shared" si="64"/>
        <v>0</v>
      </c>
      <c r="AD765">
        <v>762</v>
      </c>
      <c r="AE765" s="4">
        <f t="shared" si="62"/>
        <v>43259</v>
      </c>
      <c r="AF765" s="6" t="e">
        <f t="shared" si="63"/>
        <v>#DIV/0!</v>
      </c>
      <c r="AG765" s="4">
        <v>43259</v>
      </c>
      <c r="AH765" s="6">
        <v>-1.341601</v>
      </c>
      <c r="AI765" s="6">
        <v>-1.19753</v>
      </c>
      <c r="AJ765" s="6">
        <v>-1.098476</v>
      </c>
      <c r="AK765" s="6"/>
      <c r="AL765" s="6"/>
      <c r="AM765" s="6" t="e">
        <f t="shared" si="65"/>
        <v>#DIV/0!</v>
      </c>
    </row>
    <row r="766" spans="29:39" x14ac:dyDescent="0.3">
      <c r="AC766">
        <f t="shared" si="64"/>
        <v>0</v>
      </c>
      <c r="AD766">
        <v>763</v>
      </c>
      <c r="AE766" s="4">
        <f t="shared" si="62"/>
        <v>43262</v>
      </c>
      <c r="AF766" s="6" t="e">
        <f t="shared" si="63"/>
        <v>#DIV/0!</v>
      </c>
      <c r="AG766" s="4">
        <v>43262</v>
      </c>
      <c r="AH766" s="6">
        <v>9.6810000000000004E-3</v>
      </c>
      <c r="AI766" s="6">
        <v>-0.651694</v>
      </c>
      <c r="AJ766" s="6">
        <v>-0.87041199999999996</v>
      </c>
      <c r="AK766" s="6"/>
      <c r="AL766" s="6"/>
      <c r="AM766" s="6" t="e">
        <f t="shared" si="65"/>
        <v>#DIV/0!</v>
      </c>
    </row>
    <row r="767" spans="29:39" x14ac:dyDescent="0.3">
      <c r="AC767">
        <f t="shared" si="64"/>
        <v>0</v>
      </c>
      <c r="AD767">
        <v>764</v>
      </c>
      <c r="AE767" s="4">
        <f t="shared" si="62"/>
        <v>43263</v>
      </c>
      <c r="AF767" s="6" t="e">
        <f t="shared" si="63"/>
        <v>#DIV/0!</v>
      </c>
      <c r="AG767" s="4">
        <v>43263</v>
      </c>
      <c r="AH767" s="6">
        <v>1.216186</v>
      </c>
      <c r="AI767" s="6">
        <v>1.0828420000000001</v>
      </c>
      <c r="AJ767" s="6">
        <v>0.76749999999999996</v>
      </c>
      <c r="AK767" s="6"/>
      <c r="AL767" s="6"/>
      <c r="AM767" s="6" t="e">
        <f t="shared" si="65"/>
        <v>#DIV/0!</v>
      </c>
    </row>
    <row r="768" spans="29:39" x14ac:dyDescent="0.3">
      <c r="AC768">
        <f t="shared" si="64"/>
        <v>0</v>
      </c>
      <c r="AD768">
        <v>765</v>
      </c>
      <c r="AE768" s="4">
        <f t="shared" si="62"/>
        <v>43264</v>
      </c>
      <c r="AF768" s="6" t="e">
        <f t="shared" si="63"/>
        <v>#DIV/0!</v>
      </c>
      <c r="AG768" s="4">
        <v>43264</v>
      </c>
      <c r="AH768" s="6">
        <v>-0.98313499999999998</v>
      </c>
      <c r="AI768" s="6">
        <v>-1.51631</v>
      </c>
      <c r="AJ768" s="6">
        <v>-1.7229749999999999</v>
      </c>
      <c r="AK768" s="6"/>
      <c r="AL768" s="6"/>
      <c r="AM768" s="6" t="e">
        <f t="shared" si="65"/>
        <v>#DIV/0!</v>
      </c>
    </row>
    <row r="769" spans="29:39" x14ac:dyDescent="0.3">
      <c r="AC769">
        <f t="shared" si="64"/>
        <v>0</v>
      </c>
      <c r="AD769">
        <v>766</v>
      </c>
      <c r="AE769" s="4">
        <f t="shared" si="62"/>
        <v>43265</v>
      </c>
      <c r="AF769" s="6" t="e">
        <f t="shared" si="63"/>
        <v>#DIV/0!</v>
      </c>
      <c r="AG769" s="4">
        <v>43265</v>
      </c>
      <c r="AH769" s="6">
        <v>-0.39525500000000002</v>
      </c>
      <c r="AI769" s="6">
        <v>-0.35822799999999999</v>
      </c>
      <c r="AJ769" s="6">
        <v>-0.52879200000000004</v>
      </c>
      <c r="AK769" s="6"/>
      <c r="AL769" s="6"/>
      <c r="AM769" s="6" t="e">
        <f t="shared" si="65"/>
        <v>#DIV/0!</v>
      </c>
    </row>
    <row r="770" spans="29:39" x14ac:dyDescent="0.3">
      <c r="AC770">
        <f t="shared" si="64"/>
        <v>0</v>
      </c>
      <c r="AD770">
        <v>767</v>
      </c>
      <c r="AE770" s="4">
        <f t="shared" si="62"/>
        <v>43266</v>
      </c>
      <c r="AF770" s="6" t="e">
        <f t="shared" si="63"/>
        <v>#DIV/0!</v>
      </c>
      <c r="AG770" s="4">
        <v>43266</v>
      </c>
      <c r="AH770" s="6">
        <v>-0.52822100000000005</v>
      </c>
      <c r="AI770" s="6">
        <v>-1.8433520000000001</v>
      </c>
      <c r="AJ770" s="6">
        <v>-2.1790989999999999</v>
      </c>
      <c r="AK770" s="6"/>
      <c r="AL770" s="6"/>
      <c r="AM770" s="6" t="e">
        <f t="shared" si="65"/>
        <v>#DIV/0!</v>
      </c>
    </row>
    <row r="771" spans="29:39" x14ac:dyDescent="0.3">
      <c r="AC771">
        <f t="shared" si="64"/>
        <v>0</v>
      </c>
      <c r="AD771">
        <v>768</v>
      </c>
      <c r="AE771" s="4">
        <f t="shared" si="62"/>
        <v>43270</v>
      </c>
      <c r="AF771" s="6" t="e">
        <f t="shared" si="63"/>
        <v>#DIV/0!</v>
      </c>
      <c r="AG771" s="4">
        <v>43270</v>
      </c>
      <c r="AH771" s="6">
        <v>-3.5252309999999998</v>
      </c>
      <c r="AI771" s="6">
        <v>-6.2406740000000003</v>
      </c>
      <c r="AJ771" s="6">
        <v>-6.841075</v>
      </c>
      <c r="AK771" s="6"/>
      <c r="AL771" s="6"/>
      <c r="AM771" s="6" t="e">
        <f t="shared" si="65"/>
        <v>#DIV/0!</v>
      </c>
    </row>
    <row r="772" spans="29:39" x14ac:dyDescent="0.3">
      <c r="AC772">
        <f t="shared" si="64"/>
        <v>0</v>
      </c>
      <c r="AD772">
        <v>769</v>
      </c>
      <c r="AE772" s="4">
        <f t="shared" si="62"/>
        <v>43271</v>
      </c>
      <c r="AF772" s="6" t="e">
        <f t="shared" si="63"/>
        <v>#DIV/0!</v>
      </c>
      <c r="AG772" s="4">
        <v>43271</v>
      </c>
      <c r="AH772" s="6">
        <v>0.39565099999999997</v>
      </c>
      <c r="AI772" s="6">
        <v>1.1024350000000001</v>
      </c>
      <c r="AJ772" s="6">
        <v>1.1904220000000001</v>
      </c>
      <c r="AK772" s="6"/>
      <c r="AL772" s="6"/>
      <c r="AM772" s="6" t="e">
        <f t="shared" si="65"/>
        <v>#DIV/0!</v>
      </c>
    </row>
    <row r="773" spans="29:39" x14ac:dyDescent="0.3">
      <c r="AC773">
        <f t="shared" si="64"/>
        <v>0</v>
      </c>
      <c r="AD773">
        <v>770</v>
      </c>
      <c r="AE773" s="4">
        <f t="shared" ref="AE773:AE836" si="66">AG773</f>
        <v>43272</v>
      </c>
      <c r="AF773" s="6" t="e">
        <f t="shared" ref="AF773:AF836" si="67">AM773</f>
        <v>#DIV/0!</v>
      </c>
      <c r="AG773" s="4">
        <v>43272</v>
      </c>
      <c r="AH773" s="6">
        <v>-1.1684570000000001</v>
      </c>
      <c r="AI773" s="6">
        <v>-2.0995200000000001</v>
      </c>
      <c r="AJ773" s="6">
        <v>-2.3506290000000001</v>
      </c>
      <c r="AK773" s="6"/>
      <c r="AL773" s="6"/>
      <c r="AM773" s="6" t="e">
        <f t="shared" si="65"/>
        <v>#DIV/0!</v>
      </c>
    </row>
    <row r="774" spans="29:39" x14ac:dyDescent="0.3">
      <c r="AC774">
        <f t="shared" ref="AC774:AC837" si="68">IF(AE774&lt;=AE773,1,0)</f>
        <v>0</v>
      </c>
      <c r="AD774">
        <v>771</v>
      </c>
      <c r="AE774" s="4">
        <f t="shared" si="66"/>
        <v>43273</v>
      </c>
      <c r="AF774" s="6" t="e">
        <f t="shared" si="67"/>
        <v>#DIV/0!</v>
      </c>
      <c r="AG774" s="4">
        <v>43273</v>
      </c>
      <c r="AH774" s="6">
        <v>0.44363399999999997</v>
      </c>
      <c r="AI774" s="6">
        <v>1.3925540000000001</v>
      </c>
      <c r="AJ774" s="6">
        <v>1.54783</v>
      </c>
      <c r="AK774" s="6"/>
      <c r="AL774" s="6"/>
      <c r="AM774" s="6" t="e">
        <f t="shared" ref="AM774:AM837" si="69">(AL774/AL773-1)*100</f>
        <v>#DIV/0!</v>
      </c>
    </row>
    <row r="775" spans="29:39" x14ac:dyDescent="0.3">
      <c r="AC775">
        <f t="shared" si="68"/>
        <v>0</v>
      </c>
      <c r="AD775">
        <v>772</v>
      </c>
      <c r="AE775" s="4">
        <f t="shared" si="66"/>
        <v>43276</v>
      </c>
      <c r="AF775" s="6" t="e">
        <f t="shared" si="67"/>
        <v>#DIV/0!</v>
      </c>
      <c r="AG775" s="4">
        <v>43276</v>
      </c>
      <c r="AH775" s="6">
        <v>-1.3418730000000001</v>
      </c>
      <c r="AI775" s="6">
        <v>-0.68001299999999998</v>
      </c>
      <c r="AJ775" s="6">
        <v>-0.52227299999999999</v>
      </c>
      <c r="AK775" s="6"/>
      <c r="AL775" s="6"/>
      <c r="AM775" s="6" t="e">
        <f t="shared" si="69"/>
        <v>#DIV/0!</v>
      </c>
    </row>
    <row r="776" spans="29:39" x14ac:dyDescent="0.3">
      <c r="AC776">
        <f t="shared" si="68"/>
        <v>0</v>
      </c>
      <c r="AD776">
        <v>773</v>
      </c>
      <c r="AE776" s="4">
        <f t="shared" si="66"/>
        <v>43277</v>
      </c>
      <c r="AF776" s="6" t="e">
        <f t="shared" si="67"/>
        <v>#DIV/0!</v>
      </c>
      <c r="AG776" s="4">
        <v>43277</v>
      </c>
      <c r="AH776" s="6">
        <v>-0.82479100000000005</v>
      </c>
      <c r="AI776" s="6">
        <v>0.68779299999999999</v>
      </c>
      <c r="AJ776" s="6">
        <v>0.83956900000000001</v>
      </c>
      <c r="AK776" s="6"/>
      <c r="AL776" s="6"/>
      <c r="AM776" s="6" t="e">
        <f t="shared" si="69"/>
        <v>#DIV/0!</v>
      </c>
    </row>
    <row r="777" spans="29:39" x14ac:dyDescent="0.3">
      <c r="AC777">
        <f t="shared" si="68"/>
        <v>0</v>
      </c>
      <c r="AD777">
        <v>774</v>
      </c>
      <c r="AE777" s="4">
        <f t="shared" si="66"/>
        <v>43278</v>
      </c>
      <c r="AF777" s="6" t="e">
        <f t="shared" si="67"/>
        <v>#DIV/0!</v>
      </c>
      <c r="AG777" s="4">
        <v>43278</v>
      </c>
      <c r="AH777" s="6">
        <v>-2.034745</v>
      </c>
      <c r="AI777" s="6">
        <v>-0.98415900000000001</v>
      </c>
      <c r="AJ777" s="6">
        <v>-0.89586600000000005</v>
      </c>
      <c r="AK777" s="6"/>
      <c r="AL777" s="6"/>
      <c r="AM777" s="6" t="e">
        <f t="shared" si="69"/>
        <v>#DIV/0!</v>
      </c>
    </row>
    <row r="778" spans="29:39" x14ac:dyDescent="0.3">
      <c r="AC778">
        <f t="shared" si="68"/>
        <v>0</v>
      </c>
      <c r="AD778">
        <v>775</v>
      </c>
      <c r="AE778" s="4">
        <f t="shared" si="66"/>
        <v>43279</v>
      </c>
      <c r="AF778" s="6" t="e">
        <f t="shared" si="67"/>
        <v>#DIV/0!</v>
      </c>
      <c r="AG778" s="4">
        <v>43279</v>
      </c>
      <c r="AH778" s="6">
        <v>-1.0330699999999999</v>
      </c>
      <c r="AI778" s="6">
        <v>-1.0644530000000001</v>
      </c>
      <c r="AJ778" s="6">
        <v>-1.1811050000000001</v>
      </c>
      <c r="AK778" s="6"/>
      <c r="AL778" s="6"/>
      <c r="AM778" s="6" t="e">
        <f t="shared" si="69"/>
        <v>#DIV/0!</v>
      </c>
    </row>
    <row r="779" spans="29:39" x14ac:dyDescent="0.3">
      <c r="AC779">
        <f t="shared" si="68"/>
        <v>0</v>
      </c>
      <c r="AD779">
        <v>776</v>
      </c>
      <c r="AE779" s="4">
        <f t="shared" si="66"/>
        <v>43280</v>
      </c>
      <c r="AF779" s="6" t="e">
        <f t="shared" si="67"/>
        <v>#DIV/0!</v>
      </c>
      <c r="AG779" s="4">
        <v>43280</v>
      </c>
      <c r="AH779" s="6">
        <v>2.5546470000000001</v>
      </c>
      <c r="AI779" s="6">
        <v>3.2176360000000002</v>
      </c>
      <c r="AJ779" s="6">
        <v>3.0251890000000001</v>
      </c>
      <c r="AK779" s="6"/>
      <c r="AL779" s="6"/>
      <c r="AM779" s="6" t="e">
        <f t="shared" si="69"/>
        <v>#DIV/0!</v>
      </c>
    </row>
    <row r="780" spans="29:39" x14ac:dyDescent="0.3">
      <c r="AC780">
        <f t="shared" si="68"/>
        <v>0</v>
      </c>
      <c r="AD780">
        <v>777</v>
      </c>
      <c r="AE780" s="4">
        <f t="shared" si="66"/>
        <v>43283</v>
      </c>
      <c r="AF780" s="6" t="e">
        <f t="shared" si="67"/>
        <v>#DIV/0!</v>
      </c>
      <c r="AG780" s="4">
        <v>43283</v>
      </c>
      <c r="AH780" s="6">
        <v>-2.93424</v>
      </c>
      <c r="AI780" s="6">
        <v>-1.5137080000000001</v>
      </c>
      <c r="AJ780" s="6">
        <v>-1.256003</v>
      </c>
      <c r="AK780" s="6"/>
      <c r="AL780" s="6"/>
      <c r="AM780" s="6" t="e">
        <f t="shared" si="69"/>
        <v>#DIV/0!</v>
      </c>
    </row>
    <row r="781" spans="29:39" x14ac:dyDescent="0.3">
      <c r="AC781">
        <f t="shared" si="68"/>
        <v>0</v>
      </c>
      <c r="AD781">
        <v>778</v>
      </c>
      <c r="AE781" s="4">
        <f t="shared" si="66"/>
        <v>43284</v>
      </c>
      <c r="AF781" s="6" t="e">
        <f t="shared" si="67"/>
        <v>#DIV/0!</v>
      </c>
      <c r="AG781" s="4">
        <v>43284</v>
      </c>
      <c r="AH781" s="6">
        <v>3.8623999999999999E-2</v>
      </c>
      <c r="AI781" s="6">
        <v>1.1354580000000001</v>
      </c>
      <c r="AJ781" s="6">
        <v>1.1465719999999999</v>
      </c>
      <c r="AK781" s="6"/>
      <c r="AL781" s="6"/>
      <c r="AM781" s="6" t="e">
        <f t="shared" si="69"/>
        <v>#DIV/0!</v>
      </c>
    </row>
    <row r="782" spans="29:39" x14ac:dyDescent="0.3">
      <c r="AC782">
        <f t="shared" si="68"/>
        <v>0</v>
      </c>
      <c r="AD782">
        <v>779</v>
      </c>
      <c r="AE782" s="4">
        <f t="shared" si="66"/>
        <v>43285</v>
      </c>
      <c r="AF782" s="6" t="e">
        <f t="shared" si="67"/>
        <v>#DIV/0!</v>
      </c>
      <c r="AG782" s="4">
        <v>43285</v>
      </c>
      <c r="AH782" s="6">
        <v>-1.335555</v>
      </c>
      <c r="AI782" s="6">
        <v>-1.4582599999999999</v>
      </c>
      <c r="AJ782" s="6">
        <v>-1.8017240000000001</v>
      </c>
      <c r="AK782" s="6"/>
      <c r="AL782" s="6"/>
      <c r="AM782" s="6" t="e">
        <f t="shared" si="69"/>
        <v>#DIV/0!</v>
      </c>
    </row>
    <row r="783" spans="29:39" x14ac:dyDescent="0.3">
      <c r="AC783">
        <f t="shared" si="68"/>
        <v>0</v>
      </c>
      <c r="AD783">
        <v>780</v>
      </c>
      <c r="AE783" s="4">
        <f t="shared" si="66"/>
        <v>43286</v>
      </c>
      <c r="AF783" s="6" t="e">
        <f t="shared" si="67"/>
        <v>#DIV/0!</v>
      </c>
      <c r="AG783" s="4">
        <v>43286</v>
      </c>
      <c r="AH783" s="6">
        <v>-0.63350200000000001</v>
      </c>
      <c r="AI783" s="6">
        <v>-2.7059479999999998</v>
      </c>
      <c r="AJ783" s="6">
        <v>-2.69068</v>
      </c>
      <c r="AK783" s="6"/>
      <c r="AL783" s="6"/>
      <c r="AM783" s="6" t="e">
        <f t="shared" si="69"/>
        <v>#DIV/0!</v>
      </c>
    </row>
    <row r="784" spans="29:39" x14ac:dyDescent="0.3">
      <c r="AC784">
        <f t="shared" si="68"/>
        <v>0</v>
      </c>
      <c r="AD784">
        <v>781</v>
      </c>
      <c r="AE784" s="4">
        <f t="shared" si="66"/>
        <v>43287</v>
      </c>
      <c r="AF784" s="6" t="e">
        <f t="shared" si="67"/>
        <v>#DIV/0!</v>
      </c>
      <c r="AG784" s="4">
        <v>43287</v>
      </c>
      <c r="AH784" s="6">
        <v>0.67869000000000002</v>
      </c>
      <c r="AI784" s="6">
        <v>0.27830300000000002</v>
      </c>
      <c r="AJ784" s="6">
        <v>0.40951599999999999</v>
      </c>
      <c r="AK784" s="6"/>
      <c r="AL784" s="6"/>
      <c r="AM784" s="6" t="e">
        <f t="shared" si="69"/>
        <v>#DIV/0!</v>
      </c>
    </row>
    <row r="785" spans="29:39" x14ac:dyDescent="0.3">
      <c r="AC785">
        <f t="shared" si="68"/>
        <v>0</v>
      </c>
      <c r="AD785">
        <v>782</v>
      </c>
      <c r="AE785" s="4">
        <f t="shared" si="66"/>
        <v>43290</v>
      </c>
      <c r="AF785" s="6" t="e">
        <f t="shared" si="67"/>
        <v>#DIV/0!</v>
      </c>
      <c r="AG785" s="4">
        <v>43290</v>
      </c>
      <c r="AH785" s="6">
        <v>2.7951730000000001</v>
      </c>
      <c r="AI785" s="6">
        <v>2.2199119999999999</v>
      </c>
      <c r="AJ785" s="6">
        <v>2.101909</v>
      </c>
      <c r="AK785" s="6"/>
      <c r="AL785" s="6"/>
      <c r="AM785" s="6" t="e">
        <f t="shared" si="69"/>
        <v>#DIV/0!</v>
      </c>
    </row>
    <row r="786" spans="29:39" x14ac:dyDescent="0.3">
      <c r="AC786">
        <f t="shared" si="68"/>
        <v>0</v>
      </c>
      <c r="AD786">
        <v>783</v>
      </c>
      <c r="AE786" s="4">
        <f t="shared" si="66"/>
        <v>43291</v>
      </c>
      <c r="AF786" s="6" t="e">
        <f t="shared" si="67"/>
        <v>#DIV/0!</v>
      </c>
      <c r="AG786" s="4">
        <v>43291</v>
      </c>
      <c r="AH786" s="6">
        <v>0.24085999999999999</v>
      </c>
      <c r="AI786" s="6">
        <v>0.56743200000000005</v>
      </c>
      <c r="AJ786" s="6">
        <v>0.678871</v>
      </c>
      <c r="AK786" s="6"/>
      <c r="AL786" s="6"/>
      <c r="AM786" s="6" t="e">
        <f t="shared" si="69"/>
        <v>#DIV/0!</v>
      </c>
    </row>
    <row r="787" spans="29:39" x14ac:dyDescent="0.3">
      <c r="AC787">
        <f t="shared" si="68"/>
        <v>0</v>
      </c>
      <c r="AD787">
        <v>784</v>
      </c>
      <c r="AE787" s="4">
        <f t="shared" si="66"/>
        <v>43292</v>
      </c>
      <c r="AF787" s="6" t="e">
        <f t="shared" si="67"/>
        <v>#DIV/0!</v>
      </c>
      <c r="AG787" s="4">
        <v>43292</v>
      </c>
      <c r="AH787" s="6">
        <v>-1.7299359999999999</v>
      </c>
      <c r="AI787" s="6">
        <v>-1.954161</v>
      </c>
      <c r="AJ787" s="6">
        <v>-2.3256999999999999</v>
      </c>
      <c r="AK787" s="6"/>
      <c r="AL787" s="6"/>
      <c r="AM787" s="6" t="e">
        <f t="shared" si="69"/>
        <v>#DIV/0!</v>
      </c>
    </row>
    <row r="788" spans="29:39" x14ac:dyDescent="0.3">
      <c r="AC788">
        <f t="shared" si="68"/>
        <v>1</v>
      </c>
      <c r="AD788">
        <v>785</v>
      </c>
      <c r="AE788" s="4">
        <f t="shared" si="66"/>
        <v>41332</v>
      </c>
      <c r="AF788" s="6" t="e">
        <f t="shared" si="67"/>
        <v>#DIV/0!</v>
      </c>
      <c r="AG788" s="4">
        <v>41332</v>
      </c>
      <c r="AH788" s="6">
        <v>1.0547610000000001</v>
      </c>
      <c r="AI788" s="6">
        <v>7.6190999999999995E-2</v>
      </c>
      <c r="AJ788" s="6">
        <v>4.2870999999999999E-2</v>
      </c>
      <c r="AK788" s="6"/>
      <c r="AL788" s="6"/>
      <c r="AM788" s="6" t="e">
        <f t="shared" si="69"/>
        <v>#DIV/0!</v>
      </c>
    </row>
    <row r="789" spans="29:39" x14ac:dyDescent="0.3">
      <c r="AC789">
        <f t="shared" si="68"/>
        <v>0</v>
      </c>
      <c r="AD789">
        <v>786</v>
      </c>
      <c r="AE789" s="4">
        <f t="shared" si="66"/>
        <v>41333</v>
      </c>
      <c r="AF789" s="6" t="e">
        <f t="shared" si="67"/>
        <v>#DIV/0!</v>
      </c>
      <c r="AG789" s="4">
        <v>41333</v>
      </c>
      <c r="AH789" s="6">
        <v>3.0312060000000001</v>
      </c>
      <c r="AI789" s="6">
        <v>2.0448279999999999</v>
      </c>
      <c r="AJ789" s="6">
        <v>1.8771230000000001</v>
      </c>
      <c r="AK789" s="6"/>
      <c r="AL789" s="6"/>
      <c r="AM789" s="6" t="e">
        <f t="shared" si="69"/>
        <v>#DIV/0!</v>
      </c>
    </row>
    <row r="790" spans="29:39" x14ac:dyDescent="0.3">
      <c r="AC790">
        <f t="shared" si="68"/>
        <v>0</v>
      </c>
      <c r="AD790">
        <v>787</v>
      </c>
      <c r="AE790" s="4">
        <f t="shared" si="66"/>
        <v>41334</v>
      </c>
      <c r="AF790" s="6" t="e">
        <f t="shared" si="67"/>
        <v>#DIV/0!</v>
      </c>
      <c r="AG790" s="4">
        <v>41334</v>
      </c>
      <c r="AH790" s="6">
        <v>-0.167993</v>
      </c>
      <c r="AI790" s="6">
        <v>1.1147670000000001</v>
      </c>
      <c r="AJ790" s="6">
        <v>1.596527</v>
      </c>
      <c r="AK790" s="6"/>
      <c r="AL790" s="6"/>
      <c r="AM790" s="6" t="e">
        <f t="shared" si="69"/>
        <v>#DIV/0!</v>
      </c>
    </row>
    <row r="791" spans="29:39" x14ac:dyDescent="0.3">
      <c r="AC791">
        <f t="shared" si="68"/>
        <v>0</v>
      </c>
      <c r="AD791">
        <v>788</v>
      </c>
      <c r="AE791" s="4">
        <f t="shared" si="66"/>
        <v>41337</v>
      </c>
      <c r="AF791" s="6" t="e">
        <f t="shared" si="67"/>
        <v>#DIV/0!</v>
      </c>
      <c r="AG791" s="4">
        <v>41337</v>
      </c>
      <c r="AH791" s="6">
        <v>-4.6132850000000003</v>
      </c>
      <c r="AI791" s="6">
        <v>-3.5550989999999998</v>
      </c>
      <c r="AJ791" s="6">
        <v>-2.9929030000000001</v>
      </c>
      <c r="AK791" s="6"/>
      <c r="AL791" s="6"/>
      <c r="AM791" s="6" t="e">
        <f t="shared" si="69"/>
        <v>#DIV/0!</v>
      </c>
    </row>
    <row r="792" spans="29:39" x14ac:dyDescent="0.3">
      <c r="AC792">
        <f t="shared" si="68"/>
        <v>0</v>
      </c>
      <c r="AD792">
        <v>789</v>
      </c>
      <c r="AE792" s="4">
        <f t="shared" si="66"/>
        <v>41338</v>
      </c>
      <c r="AF792" s="6" t="e">
        <f t="shared" si="67"/>
        <v>#DIV/0!</v>
      </c>
      <c r="AG792" s="4">
        <v>41338</v>
      </c>
      <c r="AH792" s="6">
        <v>3.0283039999999999</v>
      </c>
      <c r="AI792" s="6">
        <v>2.2509619999999999</v>
      </c>
      <c r="AJ792" s="6">
        <v>2.3393519999999999</v>
      </c>
      <c r="AK792" s="6"/>
      <c r="AL792" s="6"/>
      <c r="AM792" s="6" t="e">
        <f t="shared" si="69"/>
        <v>#DIV/0!</v>
      </c>
    </row>
    <row r="793" spans="29:39" x14ac:dyDescent="0.3">
      <c r="AC793">
        <f t="shared" si="68"/>
        <v>0</v>
      </c>
      <c r="AD793">
        <v>790</v>
      </c>
      <c r="AE793" s="4">
        <f t="shared" si="66"/>
        <v>41339</v>
      </c>
      <c r="AF793" s="6" t="e">
        <f t="shared" si="67"/>
        <v>#DIV/0!</v>
      </c>
      <c r="AG793" s="4">
        <v>41339</v>
      </c>
      <c r="AH793" s="6">
        <v>1.044492</v>
      </c>
      <c r="AI793" s="6">
        <v>1.5567880000000001</v>
      </c>
      <c r="AJ793" s="6">
        <v>1.721489</v>
      </c>
      <c r="AK793" s="6"/>
      <c r="AL793" s="6"/>
      <c r="AM793" s="6" t="e">
        <f t="shared" si="69"/>
        <v>#DIV/0!</v>
      </c>
    </row>
    <row r="794" spans="29:39" x14ac:dyDescent="0.3">
      <c r="AC794">
        <f t="shared" si="68"/>
        <v>0</v>
      </c>
      <c r="AD794">
        <v>791</v>
      </c>
      <c r="AE794" s="4">
        <f t="shared" si="66"/>
        <v>41340</v>
      </c>
      <c r="AF794" s="6" t="e">
        <f t="shared" si="67"/>
        <v>#DIV/0!</v>
      </c>
      <c r="AG794" s="4">
        <v>41340</v>
      </c>
      <c r="AH794" s="6">
        <v>-1.15927</v>
      </c>
      <c r="AI794" s="6">
        <v>-1.2122280000000001</v>
      </c>
      <c r="AJ794" s="6">
        <v>-1.2065109999999999</v>
      </c>
      <c r="AK794" s="6"/>
      <c r="AL794" s="6"/>
      <c r="AM794" s="6" t="e">
        <f t="shared" si="69"/>
        <v>#DIV/0!</v>
      </c>
    </row>
    <row r="795" spans="29:39" x14ac:dyDescent="0.3">
      <c r="AC795">
        <f t="shared" si="68"/>
        <v>0</v>
      </c>
      <c r="AD795">
        <v>792</v>
      </c>
      <c r="AE795" s="4">
        <f t="shared" si="66"/>
        <v>41341</v>
      </c>
      <c r="AF795" s="6" t="e">
        <f t="shared" si="67"/>
        <v>#DIV/0!</v>
      </c>
      <c r="AG795" s="4">
        <v>41341</v>
      </c>
      <c r="AH795" s="6">
        <v>-0.47917900000000002</v>
      </c>
      <c r="AI795" s="6">
        <v>-1.0876429999999999</v>
      </c>
      <c r="AJ795" s="6">
        <v>-0.993896</v>
      </c>
      <c r="AK795" s="6"/>
      <c r="AL795" s="6"/>
      <c r="AM795" s="6" t="e">
        <f t="shared" si="69"/>
        <v>#DIV/0!</v>
      </c>
    </row>
    <row r="796" spans="29:39" x14ac:dyDescent="0.3">
      <c r="AC796">
        <f t="shared" si="68"/>
        <v>0</v>
      </c>
      <c r="AD796">
        <v>793</v>
      </c>
      <c r="AE796" s="4">
        <f t="shared" si="66"/>
        <v>41344</v>
      </c>
      <c r="AF796" s="6" t="e">
        <f t="shared" si="67"/>
        <v>#DIV/0!</v>
      </c>
      <c r="AG796" s="4">
        <v>41344</v>
      </c>
      <c r="AH796" s="6">
        <v>-0.55832000000000004</v>
      </c>
      <c r="AI796" s="6">
        <v>2.0306000000000001E-2</v>
      </c>
      <c r="AJ796" s="6">
        <v>7.6856999999999995E-2</v>
      </c>
      <c r="AK796" s="6"/>
      <c r="AL796" s="6"/>
      <c r="AM796" s="6" t="e">
        <f t="shared" si="69"/>
        <v>#DIV/0!</v>
      </c>
    </row>
    <row r="797" spans="29:39" x14ac:dyDescent="0.3">
      <c r="AC797">
        <f t="shared" si="68"/>
        <v>0</v>
      </c>
      <c r="AD797">
        <v>794</v>
      </c>
      <c r="AE797" s="4">
        <f t="shared" si="66"/>
        <v>41345</v>
      </c>
      <c r="AF797" s="6" t="e">
        <f t="shared" si="67"/>
        <v>#DIV/0!</v>
      </c>
      <c r="AG797" s="4">
        <v>41345</v>
      </c>
      <c r="AH797" s="6">
        <v>-1.417891</v>
      </c>
      <c r="AI797" s="6">
        <v>-2.518268</v>
      </c>
      <c r="AJ797" s="6">
        <v>-2.763646</v>
      </c>
      <c r="AK797" s="6"/>
      <c r="AL797" s="6"/>
      <c r="AM797" s="6" t="e">
        <f t="shared" si="69"/>
        <v>#DIV/0!</v>
      </c>
    </row>
    <row r="798" spans="29:39" x14ac:dyDescent="0.3">
      <c r="AC798">
        <f t="shared" si="68"/>
        <v>0</v>
      </c>
      <c r="AD798">
        <v>795</v>
      </c>
      <c r="AE798" s="4">
        <f t="shared" si="66"/>
        <v>41346</v>
      </c>
      <c r="AF798" s="6" t="e">
        <f t="shared" si="67"/>
        <v>#DIV/0!</v>
      </c>
      <c r="AG798" s="4">
        <v>41346</v>
      </c>
      <c r="AH798" s="6">
        <v>-1.1006739999999999</v>
      </c>
      <c r="AI798" s="6">
        <v>-0.91420299999999999</v>
      </c>
      <c r="AJ798" s="6">
        <v>-0.79845299999999997</v>
      </c>
      <c r="AK798" s="6"/>
      <c r="AL798" s="6"/>
      <c r="AM798" s="6" t="e">
        <f t="shared" si="69"/>
        <v>#DIV/0!</v>
      </c>
    </row>
    <row r="799" spans="29:39" x14ac:dyDescent="0.3">
      <c r="AC799">
        <f t="shared" si="68"/>
        <v>0</v>
      </c>
      <c r="AD799">
        <v>796</v>
      </c>
      <c r="AE799" s="4">
        <f t="shared" si="66"/>
        <v>41347</v>
      </c>
      <c r="AF799" s="6" t="e">
        <f t="shared" si="67"/>
        <v>#DIV/0!</v>
      </c>
      <c r="AG799" s="4">
        <v>41347</v>
      </c>
      <c r="AH799" s="6">
        <v>0.26852799999999999</v>
      </c>
      <c r="AI799" s="6">
        <v>0.44947599999999999</v>
      </c>
      <c r="AJ799" s="6">
        <v>0.35893900000000001</v>
      </c>
      <c r="AK799" s="6"/>
      <c r="AL799" s="6"/>
      <c r="AM799" s="6" t="e">
        <f t="shared" si="69"/>
        <v>#DIV/0!</v>
      </c>
    </row>
    <row r="800" spans="29:39" x14ac:dyDescent="0.3">
      <c r="AC800">
        <f t="shared" si="68"/>
        <v>0</v>
      </c>
      <c r="AD800">
        <v>797</v>
      </c>
      <c r="AE800" s="4">
        <f t="shared" si="66"/>
        <v>41348</v>
      </c>
      <c r="AF800" s="6" t="e">
        <f t="shared" si="67"/>
        <v>#DIV/0!</v>
      </c>
      <c r="AG800" s="4">
        <v>41348</v>
      </c>
      <c r="AH800" s="6">
        <v>0.220971</v>
      </c>
      <c r="AI800" s="6">
        <v>0.183558</v>
      </c>
      <c r="AJ800" s="6">
        <v>0.14607600000000001</v>
      </c>
      <c r="AK800" s="6"/>
      <c r="AL800" s="6"/>
      <c r="AM800" s="6" t="e">
        <f t="shared" si="69"/>
        <v>#DIV/0!</v>
      </c>
    </row>
    <row r="801" spans="29:39" x14ac:dyDescent="0.3">
      <c r="AC801">
        <f t="shared" si="68"/>
        <v>0</v>
      </c>
      <c r="AD801">
        <v>798</v>
      </c>
      <c r="AE801" s="4">
        <f t="shared" si="66"/>
        <v>41351</v>
      </c>
      <c r="AF801" s="6" t="e">
        <f t="shared" si="67"/>
        <v>#DIV/0!</v>
      </c>
      <c r="AG801" s="4">
        <v>41351</v>
      </c>
      <c r="AH801" s="6">
        <v>-1.471727</v>
      </c>
      <c r="AI801" s="6">
        <v>-1.270276</v>
      </c>
      <c r="AJ801" s="6">
        <v>-1.1665509999999999</v>
      </c>
      <c r="AK801" s="6"/>
      <c r="AL801" s="6"/>
      <c r="AM801" s="6" t="e">
        <f t="shared" si="69"/>
        <v>#DIV/0!</v>
      </c>
    </row>
    <row r="802" spans="29:39" x14ac:dyDescent="0.3">
      <c r="AC802">
        <f t="shared" si="68"/>
        <v>0</v>
      </c>
      <c r="AD802">
        <v>799</v>
      </c>
      <c r="AE802" s="4">
        <f t="shared" si="66"/>
        <v>41352</v>
      </c>
      <c r="AF802" s="6" t="e">
        <f t="shared" si="67"/>
        <v>#DIV/0!</v>
      </c>
      <c r="AG802" s="4">
        <v>41352</v>
      </c>
      <c r="AH802" s="6">
        <v>0.90325900000000003</v>
      </c>
      <c r="AI802" s="6">
        <v>0.31956899999999999</v>
      </c>
      <c r="AJ802" s="6">
        <v>0.105697</v>
      </c>
      <c r="AK802" s="6"/>
      <c r="AL802" s="6"/>
      <c r="AM802" s="6" t="e">
        <f t="shared" si="69"/>
        <v>#DIV/0!</v>
      </c>
    </row>
    <row r="803" spans="29:39" x14ac:dyDescent="0.3">
      <c r="AC803">
        <f t="shared" si="68"/>
        <v>0</v>
      </c>
      <c r="AD803">
        <v>800</v>
      </c>
      <c r="AE803" s="4">
        <f t="shared" si="66"/>
        <v>41353</v>
      </c>
      <c r="AF803" s="6" t="e">
        <f t="shared" si="67"/>
        <v>#DIV/0!</v>
      </c>
      <c r="AG803" s="4">
        <v>41353</v>
      </c>
      <c r="AH803" s="6">
        <v>3.3692570000000002</v>
      </c>
      <c r="AI803" s="6">
        <v>2.6090200000000001</v>
      </c>
      <c r="AJ803" s="6">
        <v>2.5457860000000001</v>
      </c>
      <c r="AK803" s="6"/>
      <c r="AL803" s="6"/>
      <c r="AM803" s="6" t="e">
        <f t="shared" si="69"/>
        <v>#DIV/0!</v>
      </c>
    </row>
    <row r="804" spans="29:39" x14ac:dyDescent="0.3">
      <c r="AC804">
        <f t="shared" si="68"/>
        <v>0</v>
      </c>
      <c r="AD804">
        <v>801</v>
      </c>
      <c r="AE804" s="4">
        <f t="shared" si="66"/>
        <v>41354</v>
      </c>
      <c r="AF804" s="6" t="e">
        <f t="shared" si="67"/>
        <v>#DIV/0!</v>
      </c>
      <c r="AG804" s="4">
        <v>41354</v>
      </c>
      <c r="AH804" s="6">
        <v>0.18443200000000001</v>
      </c>
      <c r="AI804" s="6">
        <v>1.0558510000000001</v>
      </c>
      <c r="AJ804" s="6">
        <v>1.2956129999999999</v>
      </c>
      <c r="AK804" s="6"/>
      <c r="AL804" s="6"/>
      <c r="AM804" s="6" t="e">
        <f t="shared" si="69"/>
        <v>#DIV/0!</v>
      </c>
    </row>
    <row r="805" spans="29:39" x14ac:dyDescent="0.3">
      <c r="AC805">
        <f t="shared" si="68"/>
        <v>0</v>
      </c>
      <c r="AD805">
        <v>802</v>
      </c>
      <c r="AE805" s="4">
        <f t="shared" si="66"/>
        <v>41355</v>
      </c>
      <c r="AF805" s="6" t="e">
        <f t="shared" si="67"/>
        <v>#DIV/0!</v>
      </c>
      <c r="AG805" s="4">
        <v>41355</v>
      </c>
      <c r="AH805" s="6">
        <v>0.12695999999999999</v>
      </c>
      <c r="AI805" s="6">
        <v>0.41794999999999999</v>
      </c>
      <c r="AJ805" s="6">
        <v>0.23579800000000001</v>
      </c>
      <c r="AK805" s="6"/>
      <c r="AL805" s="6"/>
      <c r="AM805" s="6" t="e">
        <f t="shared" si="69"/>
        <v>#DIV/0!</v>
      </c>
    </row>
    <row r="806" spans="29:39" x14ac:dyDescent="0.3">
      <c r="AC806">
        <f t="shared" si="68"/>
        <v>0</v>
      </c>
      <c r="AD806">
        <v>803</v>
      </c>
      <c r="AE806" s="4">
        <f t="shared" si="66"/>
        <v>41358</v>
      </c>
      <c r="AF806" s="6" t="e">
        <f t="shared" si="67"/>
        <v>#DIV/0!</v>
      </c>
      <c r="AG806" s="4">
        <v>41358</v>
      </c>
      <c r="AH806" s="6">
        <v>-0.199022</v>
      </c>
      <c r="AI806" s="6">
        <v>-0.318359</v>
      </c>
      <c r="AJ806" s="6">
        <v>0.188054</v>
      </c>
      <c r="AK806" s="6"/>
      <c r="AL806" s="6"/>
      <c r="AM806" s="6" t="e">
        <f t="shared" si="69"/>
        <v>#DIV/0!</v>
      </c>
    </row>
    <row r="807" spans="29:39" x14ac:dyDescent="0.3">
      <c r="AC807">
        <f t="shared" si="68"/>
        <v>0</v>
      </c>
      <c r="AD807">
        <v>804</v>
      </c>
      <c r="AE807" s="4">
        <f t="shared" si="66"/>
        <v>41359</v>
      </c>
      <c r="AF807" s="6" t="e">
        <f t="shared" si="67"/>
        <v>#DIV/0!</v>
      </c>
      <c r="AG807" s="4">
        <v>41359</v>
      </c>
      <c r="AH807" s="6">
        <v>-1.4560120000000001</v>
      </c>
      <c r="AI807" s="6">
        <v>-0.69247099999999995</v>
      </c>
      <c r="AJ807" s="6">
        <v>-0.52416499999999999</v>
      </c>
      <c r="AK807" s="6"/>
      <c r="AL807" s="6"/>
      <c r="AM807" s="6" t="e">
        <f t="shared" si="69"/>
        <v>#DIV/0!</v>
      </c>
    </row>
    <row r="808" spans="29:39" x14ac:dyDescent="0.3">
      <c r="AC808">
        <f t="shared" si="68"/>
        <v>0</v>
      </c>
      <c r="AD808">
        <v>805</v>
      </c>
      <c r="AE808" s="4">
        <f t="shared" si="66"/>
        <v>41360</v>
      </c>
      <c r="AF808" s="6" t="e">
        <f t="shared" si="67"/>
        <v>#DIV/0!</v>
      </c>
      <c r="AG808" s="4">
        <v>41360</v>
      </c>
      <c r="AH808" s="6">
        <v>0.329314</v>
      </c>
      <c r="AI808" s="6">
        <v>0.23830299999999999</v>
      </c>
      <c r="AJ808" s="6">
        <v>0.30305199999999999</v>
      </c>
      <c r="AK808" s="6"/>
      <c r="AL808" s="6"/>
      <c r="AM808" s="6" t="e">
        <f t="shared" si="69"/>
        <v>#DIV/0!</v>
      </c>
    </row>
    <row r="809" spans="29:39" x14ac:dyDescent="0.3">
      <c r="AC809">
        <f t="shared" si="68"/>
        <v>0</v>
      </c>
      <c r="AD809">
        <v>806</v>
      </c>
      <c r="AE809" s="4">
        <f t="shared" si="66"/>
        <v>41361</v>
      </c>
      <c r="AF809" s="6" t="e">
        <f t="shared" si="67"/>
        <v>#DIV/0!</v>
      </c>
      <c r="AG809" s="4">
        <v>41361</v>
      </c>
      <c r="AH809" s="6">
        <v>-3.2601909999999998</v>
      </c>
      <c r="AI809" s="6">
        <v>-2.9074469999999999</v>
      </c>
      <c r="AJ809" s="6">
        <v>-3.0193789999999998</v>
      </c>
      <c r="AK809" s="6"/>
      <c r="AL809" s="6"/>
      <c r="AM809" s="6" t="e">
        <f t="shared" si="69"/>
        <v>#DIV/0!</v>
      </c>
    </row>
    <row r="810" spans="29:39" x14ac:dyDescent="0.3">
      <c r="AC810">
        <f t="shared" si="68"/>
        <v>0</v>
      </c>
      <c r="AD810">
        <v>807</v>
      </c>
      <c r="AE810" s="4">
        <f t="shared" si="66"/>
        <v>41362</v>
      </c>
      <c r="AF810" s="6" t="e">
        <f t="shared" si="67"/>
        <v>#DIV/0!</v>
      </c>
      <c r="AG810" s="4">
        <v>41362</v>
      </c>
      <c r="AH810" s="6">
        <v>-0.16880700000000001</v>
      </c>
      <c r="AI810" s="6">
        <v>-4.9057999999999997E-2</v>
      </c>
      <c r="AJ810" s="6">
        <v>5.3393000000000003E-2</v>
      </c>
      <c r="AK810" s="6"/>
      <c r="AL810" s="6"/>
      <c r="AM810" s="6" t="e">
        <f t="shared" si="69"/>
        <v>#DIV/0!</v>
      </c>
    </row>
    <row r="811" spans="29:39" x14ac:dyDescent="0.3">
      <c r="AC811">
        <f t="shared" si="68"/>
        <v>0</v>
      </c>
      <c r="AD811">
        <v>808</v>
      </c>
      <c r="AE811" s="4">
        <f t="shared" si="66"/>
        <v>41365</v>
      </c>
      <c r="AF811" s="6" t="e">
        <f t="shared" si="67"/>
        <v>#DIV/0!</v>
      </c>
      <c r="AG811" s="4">
        <v>41365</v>
      </c>
      <c r="AH811" s="6">
        <v>-7.5989000000000001E-2</v>
      </c>
      <c r="AI811" s="6">
        <v>0.68677200000000005</v>
      </c>
      <c r="AJ811" s="6">
        <v>0.83904000000000001</v>
      </c>
      <c r="AK811" s="6"/>
      <c r="AL811" s="6"/>
      <c r="AM811" s="6" t="e">
        <f t="shared" si="69"/>
        <v>#DIV/0!</v>
      </c>
    </row>
    <row r="812" spans="29:39" x14ac:dyDescent="0.3">
      <c r="AC812">
        <f t="shared" si="68"/>
        <v>0</v>
      </c>
      <c r="AD812">
        <v>809</v>
      </c>
      <c r="AE812" s="4">
        <f t="shared" si="66"/>
        <v>41366</v>
      </c>
      <c r="AF812" s="6" t="e">
        <f t="shared" si="67"/>
        <v>#DIV/0!</v>
      </c>
      <c r="AG812" s="4">
        <v>41366</v>
      </c>
      <c r="AH812" s="6">
        <v>-0.27258300000000002</v>
      </c>
      <c r="AI812" s="6">
        <v>-1.223293</v>
      </c>
      <c r="AJ812" s="6">
        <v>-1.6888270000000001</v>
      </c>
      <c r="AK812" s="6"/>
      <c r="AL812" s="6"/>
      <c r="AM812" s="6" t="e">
        <f t="shared" si="69"/>
        <v>#DIV/0!</v>
      </c>
    </row>
    <row r="813" spans="29:39" x14ac:dyDescent="0.3">
      <c r="AC813">
        <f t="shared" si="68"/>
        <v>0</v>
      </c>
      <c r="AD813">
        <v>810</v>
      </c>
      <c r="AE813" s="4">
        <f t="shared" si="66"/>
        <v>41367</v>
      </c>
      <c r="AF813" s="6" t="e">
        <f t="shared" si="67"/>
        <v>#DIV/0!</v>
      </c>
      <c r="AG813" s="4">
        <v>41367</v>
      </c>
      <c r="AH813" s="6">
        <v>-0.114383</v>
      </c>
      <c r="AI813" s="6">
        <v>-0.91200199999999998</v>
      </c>
      <c r="AJ813" s="6">
        <v>-1.0205569999999999</v>
      </c>
      <c r="AK813" s="6"/>
      <c r="AL813" s="6"/>
      <c r="AM813" s="6" t="e">
        <f t="shared" si="69"/>
        <v>#DIV/0!</v>
      </c>
    </row>
    <row r="814" spans="29:39" x14ac:dyDescent="0.3">
      <c r="AC814">
        <f t="shared" si="68"/>
        <v>0</v>
      </c>
      <c r="AD814">
        <v>811</v>
      </c>
      <c r="AE814" s="4">
        <f t="shared" si="66"/>
        <v>41372</v>
      </c>
      <c r="AF814" s="6" t="e">
        <f t="shared" si="67"/>
        <v>#DIV/0!</v>
      </c>
      <c r="AG814" s="4">
        <v>41372</v>
      </c>
      <c r="AH814" s="6">
        <v>-0.452901</v>
      </c>
      <c r="AI814" s="6">
        <v>0.40909800000000002</v>
      </c>
      <c r="AJ814" s="6">
        <v>0.72528099999999995</v>
      </c>
      <c r="AK814" s="6"/>
      <c r="AL814" s="6"/>
      <c r="AM814" s="6" t="e">
        <f t="shared" si="69"/>
        <v>#DIV/0!</v>
      </c>
    </row>
    <row r="815" spans="29:39" x14ac:dyDescent="0.3">
      <c r="AC815">
        <f t="shared" si="68"/>
        <v>0</v>
      </c>
      <c r="AD815">
        <v>812</v>
      </c>
      <c r="AE815" s="4">
        <f t="shared" si="66"/>
        <v>41373</v>
      </c>
      <c r="AF815" s="6" t="e">
        <f t="shared" si="67"/>
        <v>#DIV/0!</v>
      </c>
      <c r="AG815" s="4">
        <v>41373</v>
      </c>
      <c r="AH815" s="6">
        <v>0.69291800000000003</v>
      </c>
      <c r="AI815" s="6">
        <v>0.97448599999999996</v>
      </c>
      <c r="AJ815" s="6">
        <v>0.937419</v>
      </c>
      <c r="AK815" s="6"/>
      <c r="AL815" s="6"/>
      <c r="AM815" s="6" t="e">
        <f t="shared" si="69"/>
        <v>#DIV/0!</v>
      </c>
    </row>
    <row r="816" spans="29:39" x14ac:dyDescent="0.3">
      <c r="AC816">
        <f t="shared" si="68"/>
        <v>0</v>
      </c>
      <c r="AD816" s="15">
        <v>813</v>
      </c>
      <c r="AE816" s="4">
        <f t="shared" si="66"/>
        <v>41374</v>
      </c>
      <c r="AF816" s="6" t="e">
        <f t="shared" si="67"/>
        <v>#DIV/0!</v>
      </c>
      <c r="AG816" s="4">
        <v>41374</v>
      </c>
      <c r="AH816" s="6">
        <v>-0.16553999999999999</v>
      </c>
      <c r="AI816" s="6">
        <v>-0.20624999999999999</v>
      </c>
      <c r="AJ816" s="6">
        <v>-0.47731800000000002</v>
      </c>
      <c r="AK816" s="6"/>
      <c r="AL816" s="6"/>
      <c r="AM816" s="6" t="e">
        <f t="shared" si="69"/>
        <v>#DIV/0!</v>
      </c>
    </row>
    <row r="817" spans="29:39" x14ac:dyDescent="0.3">
      <c r="AC817">
        <f t="shared" si="68"/>
        <v>0</v>
      </c>
      <c r="AD817">
        <v>814</v>
      </c>
      <c r="AE817" s="4">
        <f t="shared" si="66"/>
        <v>41375</v>
      </c>
      <c r="AF817" s="6" t="e">
        <f t="shared" si="67"/>
        <v>#DIV/0!</v>
      </c>
      <c r="AG817" s="4">
        <v>41375</v>
      </c>
      <c r="AH817" s="6">
        <v>-0.29907699999999998</v>
      </c>
      <c r="AI817" s="6">
        <v>-0.40875499999999998</v>
      </c>
      <c r="AJ817" s="6">
        <v>-0.30911100000000002</v>
      </c>
      <c r="AK817" s="6"/>
      <c r="AL817" s="6"/>
      <c r="AM817" s="6" t="e">
        <f t="shared" si="69"/>
        <v>#DIV/0!</v>
      </c>
    </row>
    <row r="818" spans="29:39" x14ac:dyDescent="0.3">
      <c r="AC818">
        <f t="shared" si="68"/>
        <v>0</v>
      </c>
      <c r="AD818">
        <v>815</v>
      </c>
      <c r="AE818" s="4">
        <f t="shared" si="66"/>
        <v>41376</v>
      </c>
      <c r="AF818" s="6" t="e">
        <f t="shared" si="67"/>
        <v>#DIV/0!</v>
      </c>
      <c r="AG818" s="4">
        <v>41376</v>
      </c>
      <c r="AH818" s="6">
        <v>-0.63619000000000003</v>
      </c>
      <c r="AI818" s="6">
        <v>-0.83839300000000005</v>
      </c>
      <c r="AJ818" s="6">
        <v>-0.83343</v>
      </c>
      <c r="AK818" s="6"/>
      <c r="AL818" s="6"/>
      <c r="AM818" s="6" t="e">
        <f t="shared" si="69"/>
        <v>#DIV/0!</v>
      </c>
    </row>
    <row r="819" spans="29:39" x14ac:dyDescent="0.3">
      <c r="AC819">
        <f t="shared" si="68"/>
        <v>0</v>
      </c>
      <c r="AD819">
        <v>816</v>
      </c>
      <c r="AE819" s="4">
        <f t="shared" si="66"/>
        <v>41379</v>
      </c>
      <c r="AF819" s="6" t="e">
        <f t="shared" si="67"/>
        <v>#DIV/0!</v>
      </c>
      <c r="AG819" s="4">
        <v>41379</v>
      </c>
      <c r="AH819" s="6">
        <v>-1.0273289999999999</v>
      </c>
      <c r="AI819" s="6">
        <v>-1.4042060000000001</v>
      </c>
      <c r="AJ819" s="6">
        <v>-1.352495</v>
      </c>
      <c r="AK819" s="6"/>
      <c r="AL819" s="6"/>
      <c r="AM819" s="6" t="e">
        <f t="shared" si="69"/>
        <v>#DIV/0!</v>
      </c>
    </row>
    <row r="820" spans="29:39" x14ac:dyDescent="0.3">
      <c r="AC820">
        <f t="shared" si="68"/>
        <v>0</v>
      </c>
      <c r="AD820">
        <v>817</v>
      </c>
      <c r="AE820" s="4">
        <f t="shared" si="66"/>
        <v>41380</v>
      </c>
      <c r="AF820" s="6" t="e">
        <f t="shared" si="67"/>
        <v>#DIV/0!</v>
      </c>
      <c r="AG820" s="4">
        <v>41380</v>
      </c>
      <c r="AH820" s="6">
        <v>0.93457900000000005</v>
      </c>
      <c r="AI820" s="6">
        <v>1.0825100000000001</v>
      </c>
      <c r="AJ820" s="6">
        <v>0.982298</v>
      </c>
      <c r="AK820" s="6"/>
      <c r="AL820" s="6"/>
      <c r="AM820" s="6" t="e">
        <f t="shared" si="69"/>
        <v>#DIV/0!</v>
      </c>
    </row>
    <row r="821" spans="29:39" x14ac:dyDescent="0.3">
      <c r="AC821">
        <f t="shared" si="68"/>
        <v>0</v>
      </c>
      <c r="AD821">
        <v>818</v>
      </c>
      <c r="AE821" s="4">
        <f t="shared" si="66"/>
        <v>41381</v>
      </c>
      <c r="AF821" s="6" t="e">
        <f t="shared" si="67"/>
        <v>#DIV/0!</v>
      </c>
      <c r="AG821" s="4">
        <v>41381</v>
      </c>
      <c r="AH821" s="6">
        <v>-4.5495000000000001E-2</v>
      </c>
      <c r="AI821" s="6">
        <v>0.86710900000000002</v>
      </c>
      <c r="AJ821" s="6">
        <v>1.103882</v>
      </c>
      <c r="AK821" s="6"/>
      <c r="AL821" s="6"/>
      <c r="AM821" s="6" t="e">
        <f t="shared" si="69"/>
        <v>#DIV/0!</v>
      </c>
    </row>
    <row r="822" spans="29:39" x14ac:dyDescent="0.3">
      <c r="AC822">
        <f t="shared" si="68"/>
        <v>0</v>
      </c>
      <c r="AD822">
        <v>819</v>
      </c>
      <c r="AE822" s="4">
        <f t="shared" si="66"/>
        <v>41382</v>
      </c>
      <c r="AF822" s="6" t="e">
        <f t="shared" si="67"/>
        <v>#DIV/0!</v>
      </c>
      <c r="AG822" s="4">
        <v>41382</v>
      </c>
      <c r="AH822" s="6">
        <v>0.25942900000000002</v>
      </c>
      <c r="AI822" s="6">
        <v>0.31051299999999998</v>
      </c>
      <c r="AJ822" s="6">
        <v>0.32996300000000001</v>
      </c>
      <c r="AK822" s="6"/>
      <c r="AL822" s="6"/>
      <c r="AM822" s="6" t="e">
        <f t="shared" si="69"/>
        <v>#DIV/0!</v>
      </c>
    </row>
    <row r="823" spans="29:39" x14ac:dyDescent="0.3">
      <c r="AC823">
        <f t="shared" si="68"/>
        <v>0</v>
      </c>
      <c r="AD823">
        <v>820</v>
      </c>
      <c r="AE823" s="4">
        <f t="shared" si="66"/>
        <v>41383</v>
      </c>
      <c r="AF823" s="6" t="e">
        <f t="shared" si="67"/>
        <v>#DIV/0!</v>
      </c>
      <c r="AG823" s="4">
        <v>41383</v>
      </c>
      <c r="AH823" s="6">
        <v>2.798384</v>
      </c>
      <c r="AI823" s="6">
        <v>2.1101299999999998</v>
      </c>
      <c r="AJ823" s="6">
        <v>1.9273940000000001</v>
      </c>
      <c r="AK823" s="6"/>
      <c r="AL823" s="6"/>
      <c r="AM823" s="6" t="e">
        <f t="shared" si="69"/>
        <v>#DIV/0!</v>
      </c>
    </row>
    <row r="824" spans="29:39" x14ac:dyDescent="0.3">
      <c r="AC824">
        <f t="shared" si="68"/>
        <v>0</v>
      </c>
      <c r="AD824">
        <v>821</v>
      </c>
      <c r="AE824" s="4">
        <f t="shared" si="66"/>
        <v>41386</v>
      </c>
      <c r="AF824" s="6" t="e">
        <f t="shared" si="67"/>
        <v>#DIV/0!</v>
      </c>
      <c r="AG824" s="4">
        <v>41386</v>
      </c>
      <c r="AH824" s="6">
        <v>-0.124594</v>
      </c>
      <c r="AI824" s="6">
        <v>0.468694</v>
      </c>
      <c r="AJ824" s="6">
        <v>1.075814</v>
      </c>
      <c r="AK824" s="6"/>
      <c r="AL824" s="6"/>
      <c r="AM824" s="6" t="e">
        <f t="shared" si="69"/>
        <v>#DIV/0!</v>
      </c>
    </row>
    <row r="825" spans="29:39" x14ac:dyDescent="0.3">
      <c r="AC825">
        <f t="shared" si="68"/>
        <v>0</v>
      </c>
      <c r="AD825">
        <v>822</v>
      </c>
      <c r="AE825" s="4">
        <f t="shared" si="66"/>
        <v>41387</v>
      </c>
      <c r="AF825" s="6" t="e">
        <f t="shared" si="67"/>
        <v>#DIV/0!</v>
      </c>
      <c r="AG825" s="4">
        <v>41387</v>
      </c>
      <c r="AH825" s="6">
        <v>-3.2085970000000001</v>
      </c>
      <c r="AI825" s="6">
        <v>-2.7102840000000001</v>
      </c>
      <c r="AJ825" s="6">
        <v>-2.8394629999999998</v>
      </c>
      <c r="AK825" s="6"/>
      <c r="AL825" s="6"/>
      <c r="AM825" s="6" t="e">
        <f t="shared" si="69"/>
        <v>#DIV/0!</v>
      </c>
    </row>
    <row r="826" spans="29:39" x14ac:dyDescent="0.3">
      <c r="AC826">
        <f t="shared" si="68"/>
        <v>0</v>
      </c>
      <c r="AD826">
        <v>823</v>
      </c>
      <c r="AE826" s="4">
        <f t="shared" si="66"/>
        <v>41388</v>
      </c>
      <c r="AF826" s="6" t="e">
        <f t="shared" si="67"/>
        <v>#DIV/0!</v>
      </c>
      <c r="AG826" s="4">
        <v>41388</v>
      </c>
      <c r="AH826" s="6">
        <v>1.882366</v>
      </c>
      <c r="AI826" s="6">
        <v>1.993854</v>
      </c>
      <c r="AJ826" s="6">
        <v>2.317215</v>
      </c>
      <c r="AK826" s="6"/>
      <c r="AL826" s="6"/>
      <c r="AM826" s="6" t="e">
        <f t="shared" si="69"/>
        <v>#DIV/0!</v>
      </c>
    </row>
    <row r="827" spans="29:39" x14ac:dyDescent="0.3">
      <c r="AC827">
        <f t="shared" si="68"/>
        <v>0</v>
      </c>
      <c r="AD827">
        <v>824</v>
      </c>
      <c r="AE827" s="4">
        <f t="shared" si="66"/>
        <v>41389</v>
      </c>
      <c r="AF827" s="6" t="e">
        <f t="shared" si="67"/>
        <v>#DIV/0!</v>
      </c>
      <c r="AG827" s="4">
        <v>41389</v>
      </c>
      <c r="AH827" s="6">
        <v>-1.110123</v>
      </c>
      <c r="AI827" s="6">
        <v>-1.5257849999999999</v>
      </c>
      <c r="AJ827" s="6">
        <v>-1.8684959999999999</v>
      </c>
      <c r="AK827" s="6"/>
      <c r="AL827" s="6"/>
      <c r="AM827" s="6" t="e">
        <f t="shared" si="69"/>
        <v>#DIV/0!</v>
      </c>
    </row>
    <row r="828" spans="29:39" x14ac:dyDescent="0.3">
      <c r="AC828">
        <f t="shared" si="68"/>
        <v>0</v>
      </c>
      <c r="AD828">
        <v>825</v>
      </c>
      <c r="AE828" s="4">
        <f t="shared" si="66"/>
        <v>41390</v>
      </c>
      <c r="AF828" s="6" t="e">
        <f t="shared" si="67"/>
        <v>#DIV/0!</v>
      </c>
      <c r="AG828" s="4">
        <v>41390</v>
      </c>
      <c r="AH828" s="6">
        <v>-0.83347000000000004</v>
      </c>
      <c r="AI828" s="6">
        <v>-1.85449</v>
      </c>
      <c r="AJ828" s="6">
        <v>-1.9724429999999999</v>
      </c>
      <c r="AK828" s="6"/>
      <c r="AL828" s="6"/>
      <c r="AM828" s="6" t="e">
        <f t="shared" si="69"/>
        <v>#DIV/0!</v>
      </c>
    </row>
    <row r="829" spans="29:39" x14ac:dyDescent="0.3">
      <c r="AC829">
        <f t="shared" si="68"/>
        <v>0</v>
      </c>
      <c r="AD829">
        <v>826</v>
      </c>
      <c r="AE829" s="4">
        <f t="shared" si="66"/>
        <v>41396</v>
      </c>
      <c r="AF829" s="6" t="e">
        <f t="shared" si="67"/>
        <v>#DIV/0!</v>
      </c>
      <c r="AG829" s="4">
        <v>41396</v>
      </c>
      <c r="AH829" s="6">
        <v>9.5328999999999997E-2</v>
      </c>
      <c r="AI829" s="6">
        <v>0.46416499999999999</v>
      </c>
      <c r="AJ829" s="6">
        <v>1.0933710000000001</v>
      </c>
      <c r="AK829" s="6"/>
      <c r="AL829" s="6"/>
      <c r="AM829" s="6" t="e">
        <f t="shared" si="69"/>
        <v>#DIV/0!</v>
      </c>
    </row>
    <row r="830" spans="29:39" x14ac:dyDescent="0.3">
      <c r="AC830">
        <f t="shared" si="68"/>
        <v>0</v>
      </c>
      <c r="AD830">
        <v>827</v>
      </c>
      <c r="AE830" s="4">
        <f t="shared" si="66"/>
        <v>41397</v>
      </c>
      <c r="AF830" s="6" t="e">
        <f t="shared" si="67"/>
        <v>#DIV/0!</v>
      </c>
      <c r="AG830" s="4">
        <v>41397</v>
      </c>
      <c r="AH830" s="6">
        <v>1.766505</v>
      </c>
      <c r="AI830" s="6">
        <v>1.9282980000000001</v>
      </c>
      <c r="AJ830" s="6">
        <v>2.1753079999999998</v>
      </c>
      <c r="AK830" s="6"/>
      <c r="AL830" s="6"/>
      <c r="AM830" s="6" t="e">
        <f t="shared" si="69"/>
        <v>#DIV/0!</v>
      </c>
    </row>
    <row r="831" spans="29:39" x14ac:dyDescent="0.3">
      <c r="AC831">
        <f t="shared" si="68"/>
        <v>0</v>
      </c>
      <c r="AD831">
        <v>828</v>
      </c>
      <c r="AE831" s="4">
        <f t="shared" si="66"/>
        <v>41400</v>
      </c>
      <c r="AF831" s="6" t="e">
        <f t="shared" si="67"/>
        <v>#DIV/0!</v>
      </c>
      <c r="AG831" s="4">
        <v>41400</v>
      </c>
      <c r="AH831" s="6">
        <v>1.3266009999999999</v>
      </c>
      <c r="AI831" s="6">
        <v>1.9084909999999999</v>
      </c>
      <c r="AJ831" s="6">
        <v>1.88541</v>
      </c>
      <c r="AK831" s="6"/>
      <c r="AL831" s="6"/>
      <c r="AM831" s="6" t="e">
        <f t="shared" si="69"/>
        <v>#DIV/0!</v>
      </c>
    </row>
    <row r="832" spans="29:39" x14ac:dyDescent="0.3">
      <c r="AC832">
        <f t="shared" si="68"/>
        <v>0</v>
      </c>
      <c r="AD832">
        <v>829</v>
      </c>
      <c r="AE832" s="4">
        <f t="shared" si="66"/>
        <v>41401</v>
      </c>
      <c r="AF832" s="6" t="e">
        <f t="shared" si="67"/>
        <v>#DIV/0!</v>
      </c>
      <c r="AG832" s="4">
        <v>41401</v>
      </c>
      <c r="AH832" s="6">
        <v>0.15657299999999999</v>
      </c>
      <c r="AI832" s="6">
        <v>0.19974600000000001</v>
      </c>
      <c r="AJ832" s="6">
        <v>0.31273800000000002</v>
      </c>
      <c r="AK832" s="6"/>
      <c r="AL832" s="6"/>
      <c r="AM832" s="6" t="e">
        <f t="shared" si="69"/>
        <v>#DIV/0!</v>
      </c>
    </row>
    <row r="833" spans="29:39" x14ac:dyDescent="0.3">
      <c r="AC833">
        <f t="shared" si="68"/>
        <v>0</v>
      </c>
      <c r="AD833">
        <v>830</v>
      </c>
      <c r="AE833" s="4">
        <f t="shared" si="66"/>
        <v>41402</v>
      </c>
      <c r="AF833" s="6" t="e">
        <f t="shared" si="67"/>
        <v>#DIV/0!</v>
      </c>
      <c r="AG833" s="4">
        <v>41402</v>
      </c>
      <c r="AH833" s="6">
        <v>0.50831300000000001</v>
      </c>
      <c r="AI833" s="6">
        <v>0.91924499999999998</v>
      </c>
      <c r="AJ833" s="6">
        <v>1.259611</v>
      </c>
      <c r="AK833" s="6"/>
      <c r="AL833" s="6"/>
      <c r="AM833" s="6" t="e">
        <f t="shared" si="69"/>
        <v>#DIV/0!</v>
      </c>
    </row>
    <row r="834" spans="29:39" x14ac:dyDescent="0.3">
      <c r="AC834">
        <f t="shared" si="68"/>
        <v>0</v>
      </c>
      <c r="AD834">
        <v>831</v>
      </c>
      <c r="AE834" s="4">
        <f t="shared" si="66"/>
        <v>41403</v>
      </c>
      <c r="AF834" s="6" t="e">
        <f t="shared" si="67"/>
        <v>#DIV/0!</v>
      </c>
      <c r="AG834" s="4">
        <v>41403</v>
      </c>
      <c r="AH834" s="6">
        <v>-0.590059</v>
      </c>
      <c r="AI834" s="6">
        <v>5.4053999999999998E-2</v>
      </c>
      <c r="AJ834" s="6">
        <v>0.39118000000000003</v>
      </c>
      <c r="AK834" s="6"/>
      <c r="AL834" s="6"/>
      <c r="AM834" s="6" t="e">
        <f t="shared" si="69"/>
        <v>#DIV/0!</v>
      </c>
    </row>
    <row r="835" spans="29:39" x14ac:dyDescent="0.3">
      <c r="AC835">
        <f t="shared" si="68"/>
        <v>0</v>
      </c>
      <c r="AD835">
        <v>832</v>
      </c>
      <c r="AE835" s="4">
        <f t="shared" si="66"/>
        <v>41404</v>
      </c>
      <c r="AF835" s="6" t="e">
        <f t="shared" si="67"/>
        <v>#DIV/0!</v>
      </c>
      <c r="AG835" s="4">
        <v>41404</v>
      </c>
      <c r="AH835" s="6">
        <v>0.51594399999999996</v>
      </c>
      <c r="AI835" s="6">
        <v>0.60628199999999999</v>
      </c>
      <c r="AJ835" s="6">
        <v>0.49173899999999998</v>
      </c>
      <c r="AK835" s="6"/>
      <c r="AL835" s="6"/>
      <c r="AM835" s="6" t="e">
        <f t="shared" si="69"/>
        <v>#DIV/0!</v>
      </c>
    </row>
    <row r="836" spans="29:39" x14ac:dyDescent="0.3">
      <c r="AC836">
        <f t="shared" si="68"/>
        <v>0</v>
      </c>
      <c r="AD836">
        <v>833</v>
      </c>
      <c r="AE836" s="4">
        <f t="shared" si="66"/>
        <v>41407</v>
      </c>
      <c r="AF836" s="6" t="e">
        <f t="shared" si="67"/>
        <v>#DIV/0!</v>
      </c>
      <c r="AG836" s="4">
        <v>41407</v>
      </c>
      <c r="AH836" s="6">
        <v>-0.39624799999999999</v>
      </c>
      <c r="AI836" s="6">
        <v>0.375448</v>
      </c>
      <c r="AJ836" s="6">
        <v>0.63242799999999999</v>
      </c>
      <c r="AK836" s="6"/>
      <c r="AL836" s="6"/>
      <c r="AM836" s="6" t="e">
        <f t="shared" si="69"/>
        <v>#DIV/0!</v>
      </c>
    </row>
    <row r="837" spans="29:39" x14ac:dyDescent="0.3">
      <c r="AC837">
        <f t="shared" si="68"/>
        <v>0</v>
      </c>
      <c r="AD837">
        <v>834</v>
      </c>
      <c r="AE837" s="4">
        <f t="shared" ref="AE837:AE900" si="70">AG837</f>
        <v>41408</v>
      </c>
      <c r="AF837" s="6" t="e">
        <f t="shared" ref="AF837:AF900" si="71">AM837</f>
        <v>#DIV/0!</v>
      </c>
      <c r="AG837" s="4">
        <v>41408</v>
      </c>
      <c r="AH837" s="6">
        <v>-1.478998</v>
      </c>
      <c r="AI837" s="6">
        <v>-1.1544920000000001</v>
      </c>
      <c r="AJ837" s="6">
        <v>-1.197926</v>
      </c>
      <c r="AK837" s="6"/>
      <c r="AL837" s="6"/>
      <c r="AM837" s="6" t="e">
        <f t="shared" si="69"/>
        <v>#DIV/0!</v>
      </c>
    </row>
    <row r="838" spans="29:39" x14ac:dyDescent="0.3">
      <c r="AC838">
        <f t="shared" ref="AC838:AC901" si="72">IF(AE838&lt;=AE837,1,0)</f>
        <v>0</v>
      </c>
      <c r="AD838">
        <v>835</v>
      </c>
      <c r="AE838" s="4">
        <f t="shared" si="70"/>
        <v>41409</v>
      </c>
      <c r="AF838" s="6" t="e">
        <f t="shared" si="71"/>
        <v>#DIV/0!</v>
      </c>
      <c r="AG838" s="4">
        <v>41409</v>
      </c>
      <c r="AH838" s="6">
        <v>0.54493199999999997</v>
      </c>
      <c r="AI838" s="6">
        <v>1.3468279999999999</v>
      </c>
      <c r="AJ838" s="6">
        <v>1.650665</v>
      </c>
      <c r="AK838" s="6"/>
      <c r="AL838" s="6"/>
      <c r="AM838" s="6" t="e">
        <f t="shared" ref="AM838:AM901" si="73">(AL838/AL837-1)*100</f>
        <v>#DIV/0!</v>
      </c>
    </row>
    <row r="839" spans="29:39" x14ac:dyDescent="0.3">
      <c r="AC839">
        <f t="shared" si="72"/>
        <v>0</v>
      </c>
      <c r="AD839">
        <v>836</v>
      </c>
      <c r="AE839" s="4">
        <f t="shared" si="70"/>
        <v>41410</v>
      </c>
      <c r="AF839" s="6" t="e">
        <f t="shared" si="71"/>
        <v>#DIV/0!</v>
      </c>
      <c r="AG839" s="4">
        <v>41410</v>
      </c>
      <c r="AH839" s="6">
        <v>1.826301</v>
      </c>
      <c r="AI839" s="6">
        <v>1.0744469999999999</v>
      </c>
      <c r="AJ839" s="6">
        <v>0.60965899999999995</v>
      </c>
      <c r="AK839" s="6"/>
      <c r="AL839" s="6"/>
      <c r="AM839" s="6" t="e">
        <f t="shared" si="73"/>
        <v>#DIV/0!</v>
      </c>
    </row>
    <row r="840" spans="29:39" x14ac:dyDescent="0.3">
      <c r="AC840">
        <f t="shared" si="72"/>
        <v>0</v>
      </c>
      <c r="AD840">
        <v>837</v>
      </c>
      <c r="AE840" s="4">
        <f t="shared" si="70"/>
        <v>41411</v>
      </c>
      <c r="AF840" s="6" t="e">
        <f t="shared" si="71"/>
        <v>#DIV/0!</v>
      </c>
      <c r="AG840" s="4">
        <v>41411</v>
      </c>
      <c r="AH840" s="6">
        <v>1.541069</v>
      </c>
      <c r="AI840" s="6">
        <v>1.5304660000000001</v>
      </c>
      <c r="AJ840" s="6">
        <v>1.347426</v>
      </c>
      <c r="AK840" s="6"/>
      <c r="AL840" s="6"/>
      <c r="AM840" s="6" t="e">
        <f t="shared" si="73"/>
        <v>#DIV/0!</v>
      </c>
    </row>
    <row r="841" spans="29:39" x14ac:dyDescent="0.3">
      <c r="AC841">
        <f t="shared" si="72"/>
        <v>0</v>
      </c>
      <c r="AD841">
        <v>838</v>
      </c>
      <c r="AE841" s="4">
        <f t="shared" si="70"/>
        <v>41414</v>
      </c>
      <c r="AF841" s="6" t="e">
        <f t="shared" si="71"/>
        <v>#DIV/0!</v>
      </c>
      <c r="AG841" s="4">
        <v>41414</v>
      </c>
      <c r="AH841" s="6">
        <v>0.67741799999999996</v>
      </c>
      <c r="AI841" s="6">
        <v>1.2555940000000001</v>
      </c>
      <c r="AJ841" s="6">
        <v>1.827483</v>
      </c>
      <c r="AK841" s="6"/>
      <c r="AL841" s="6"/>
      <c r="AM841" s="6" t="e">
        <f t="shared" si="73"/>
        <v>#DIV/0!</v>
      </c>
    </row>
    <row r="842" spans="29:39" x14ac:dyDescent="0.3">
      <c r="AC842">
        <f t="shared" si="72"/>
        <v>0</v>
      </c>
      <c r="AD842">
        <v>839</v>
      </c>
      <c r="AE842" s="4">
        <f t="shared" si="70"/>
        <v>41415</v>
      </c>
      <c r="AF842" s="6" t="e">
        <f t="shared" si="71"/>
        <v>#DIV/0!</v>
      </c>
      <c r="AG842" s="4">
        <v>41415</v>
      </c>
      <c r="AH842" s="6">
        <v>0.20102600000000001</v>
      </c>
      <c r="AI842" s="6">
        <v>1.3192699999999999</v>
      </c>
      <c r="AJ842" s="6">
        <v>1.5429580000000001</v>
      </c>
      <c r="AK842" s="6"/>
      <c r="AL842" s="6"/>
      <c r="AM842" s="6" t="e">
        <f t="shared" si="73"/>
        <v>#DIV/0!</v>
      </c>
    </row>
    <row r="843" spans="29:39" x14ac:dyDescent="0.3">
      <c r="AC843">
        <f t="shared" si="72"/>
        <v>0</v>
      </c>
      <c r="AD843">
        <v>840</v>
      </c>
      <c r="AE843" s="4">
        <f t="shared" si="70"/>
        <v>41416</v>
      </c>
      <c r="AF843" s="6" t="e">
        <f t="shared" si="71"/>
        <v>#DIV/0!</v>
      </c>
      <c r="AG843" s="4">
        <v>41416</v>
      </c>
      <c r="AH843" s="6">
        <v>0.121651</v>
      </c>
      <c r="AI843" s="6">
        <v>-0.82346200000000003</v>
      </c>
      <c r="AJ843" s="6">
        <v>-1.375075</v>
      </c>
      <c r="AK843" s="6"/>
      <c r="AL843" s="6"/>
      <c r="AM843" s="6" t="e">
        <f t="shared" si="73"/>
        <v>#DIV/0!</v>
      </c>
    </row>
    <row r="844" spans="29:39" x14ac:dyDescent="0.3">
      <c r="AC844">
        <f t="shared" si="72"/>
        <v>0</v>
      </c>
      <c r="AD844">
        <v>841</v>
      </c>
      <c r="AE844" s="4">
        <f t="shared" si="70"/>
        <v>41417</v>
      </c>
      <c r="AF844" s="6" t="e">
        <f t="shared" si="71"/>
        <v>#DIV/0!</v>
      </c>
      <c r="AG844" s="4">
        <v>41417</v>
      </c>
      <c r="AH844" s="6">
        <v>-1.343947</v>
      </c>
      <c r="AI844" s="6">
        <v>-0.84254700000000005</v>
      </c>
      <c r="AJ844" s="6">
        <v>-0.53737900000000005</v>
      </c>
      <c r="AK844" s="6"/>
      <c r="AL844" s="6"/>
      <c r="AM844" s="6" t="e">
        <f t="shared" si="73"/>
        <v>#DIV/0!</v>
      </c>
    </row>
    <row r="845" spans="29:39" x14ac:dyDescent="0.3">
      <c r="AC845">
        <f t="shared" si="72"/>
        <v>0</v>
      </c>
      <c r="AD845">
        <v>842</v>
      </c>
      <c r="AE845" s="4">
        <f t="shared" si="70"/>
        <v>41418</v>
      </c>
      <c r="AF845" s="6" t="e">
        <f t="shared" si="71"/>
        <v>#DIV/0!</v>
      </c>
      <c r="AG845" s="4">
        <v>41418</v>
      </c>
      <c r="AH845" s="6">
        <v>0.55671099999999996</v>
      </c>
      <c r="AI845" s="6">
        <v>1.5531269999999999</v>
      </c>
      <c r="AJ845" s="6">
        <v>1.7557160000000001</v>
      </c>
      <c r="AK845" s="6"/>
      <c r="AL845" s="6"/>
      <c r="AM845" s="6" t="e">
        <f t="shared" si="73"/>
        <v>#DIV/0!</v>
      </c>
    </row>
    <row r="846" spans="29:39" x14ac:dyDescent="0.3">
      <c r="AC846">
        <f t="shared" si="72"/>
        <v>0</v>
      </c>
      <c r="AD846">
        <v>843</v>
      </c>
      <c r="AE846" s="4">
        <f t="shared" si="70"/>
        <v>41421</v>
      </c>
      <c r="AF846" s="6" t="e">
        <f t="shared" si="71"/>
        <v>#DIV/0!</v>
      </c>
      <c r="AG846" s="4">
        <v>41421</v>
      </c>
      <c r="AH846" s="6">
        <v>9.0828000000000006E-2</v>
      </c>
      <c r="AI846" s="6">
        <v>1.0141530000000001</v>
      </c>
      <c r="AJ846" s="6">
        <v>1.2011909999999999</v>
      </c>
      <c r="AK846" s="6"/>
      <c r="AL846" s="6"/>
      <c r="AM846" s="6" t="e">
        <f t="shared" si="73"/>
        <v>#DIV/0!</v>
      </c>
    </row>
    <row r="847" spans="29:39" x14ac:dyDescent="0.3">
      <c r="AC847">
        <f t="shared" si="72"/>
        <v>0</v>
      </c>
      <c r="AD847">
        <v>844</v>
      </c>
      <c r="AE847" s="4">
        <f t="shared" si="70"/>
        <v>41422</v>
      </c>
      <c r="AF847" s="6" t="e">
        <f t="shared" si="71"/>
        <v>#DIV/0!</v>
      </c>
      <c r="AG847" s="4">
        <v>41422</v>
      </c>
      <c r="AH847" s="6">
        <v>1.7222740000000001</v>
      </c>
      <c r="AI847" s="6">
        <v>0.19251799999999999</v>
      </c>
      <c r="AJ847" s="6">
        <v>-0.73805500000000002</v>
      </c>
      <c r="AK847" s="6"/>
      <c r="AL847" s="6"/>
      <c r="AM847" s="6" t="e">
        <f t="shared" si="73"/>
        <v>#DIV/0!</v>
      </c>
    </row>
    <row r="848" spans="29:39" x14ac:dyDescent="0.3">
      <c r="AC848">
        <f t="shared" si="72"/>
        <v>0</v>
      </c>
      <c r="AD848">
        <v>845</v>
      </c>
      <c r="AE848" s="4">
        <f t="shared" si="70"/>
        <v>41423</v>
      </c>
      <c r="AF848" s="6" t="e">
        <f t="shared" si="71"/>
        <v>#DIV/0!</v>
      </c>
      <c r="AG848" s="4">
        <v>41423</v>
      </c>
      <c r="AH848" s="6">
        <v>-6.7993999999999999E-2</v>
      </c>
      <c r="AI848" s="6">
        <v>0.74552300000000005</v>
      </c>
      <c r="AJ848" s="6">
        <v>0.81124799999999997</v>
      </c>
      <c r="AK848" s="6"/>
      <c r="AL848" s="6"/>
      <c r="AM848" s="6" t="e">
        <f t="shared" si="73"/>
        <v>#DIV/0!</v>
      </c>
    </row>
    <row r="849" spans="29:39" x14ac:dyDescent="0.3">
      <c r="AC849">
        <f t="shared" si="72"/>
        <v>0</v>
      </c>
      <c r="AD849">
        <v>846</v>
      </c>
      <c r="AE849" s="4">
        <f t="shared" si="70"/>
        <v>41424</v>
      </c>
      <c r="AF849" s="6" t="e">
        <f t="shared" si="71"/>
        <v>#DIV/0!</v>
      </c>
      <c r="AG849" s="4">
        <v>41424</v>
      </c>
      <c r="AH849" s="6">
        <v>-0.31174299999999999</v>
      </c>
      <c r="AI849" s="6">
        <v>0.22858600000000001</v>
      </c>
      <c r="AJ849" s="6">
        <v>0.41003699999999998</v>
      </c>
      <c r="AK849" s="6"/>
      <c r="AL849" s="6"/>
      <c r="AM849" s="6" t="e">
        <f t="shared" si="73"/>
        <v>#DIV/0!</v>
      </c>
    </row>
    <row r="850" spans="29:39" x14ac:dyDescent="0.3">
      <c r="AC850">
        <f t="shared" si="72"/>
        <v>0</v>
      </c>
      <c r="AD850">
        <v>847</v>
      </c>
      <c r="AE850" s="4">
        <f t="shared" si="70"/>
        <v>41425</v>
      </c>
      <c r="AF850" s="6" t="e">
        <f t="shared" si="71"/>
        <v>#DIV/0!</v>
      </c>
      <c r="AG850" s="4">
        <v>41425</v>
      </c>
      <c r="AH850" s="6">
        <v>-1.0589820000000001</v>
      </c>
      <c r="AI850" s="6">
        <v>-0.61876299999999995</v>
      </c>
      <c r="AJ850" s="6">
        <v>-0.47446899999999997</v>
      </c>
      <c r="AK850" s="6"/>
      <c r="AL850" s="6"/>
      <c r="AM850" s="6" t="e">
        <f t="shared" si="73"/>
        <v>#DIV/0!</v>
      </c>
    </row>
    <row r="851" spans="29:39" x14ac:dyDescent="0.3">
      <c r="AC851">
        <f t="shared" si="72"/>
        <v>0</v>
      </c>
      <c r="AD851">
        <v>848</v>
      </c>
      <c r="AE851" s="4">
        <f t="shared" si="70"/>
        <v>41428</v>
      </c>
      <c r="AF851" s="6" t="e">
        <f t="shared" si="71"/>
        <v>#DIV/0!</v>
      </c>
      <c r="AG851" s="4">
        <v>41428</v>
      </c>
      <c r="AH851" s="6">
        <v>-0.14590900000000001</v>
      </c>
      <c r="AI851" s="6">
        <v>-0.69530000000000003</v>
      </c>
      <c r="AJ851" s="6">
        <v>-0.90903100000000003</v>
      </c>
      <c r="AK851" s="6"/>
      <c r="AL851" s="6"/>
      <c r="AM851" s="6" t="e">
        <f t="shared" si="73"/>
        <v>#DIV/0!</v>
      </c>
    </row>
    <row r="852" spans="29:39" x14ac:dyDescent="0.3">
      <c r="AC852">
        <f t="shared" si="72"/>
        <v>0</v>
      </c>
      <c r="AD852">
        <v>849</v>
      </c>
      <c r="AE852" s="4">
        <f t="shared" si="70"/>
        <v>41429</v>
      </c>
      <c r="AF852" s="6" t="e">
        <f t="shared" si="71"/>
        <v>#DIV/0!</v>
      </c>
      <c r="AG852" s="4">
        <v>41429</v>
      </c>
      <c r="AH852" s="6">
        <v>-1.419991</v>
      </c>
      <c r="AI852" s="6">
        <v>-1.960566</v>
      </c>
      <c r="AJ852" s="6">
        <v>-2.2191689999999999</v>
      </c>
      <c r="AK852" s="6"/>
      <c r="AL852" s="6"/>
      <c r="AM852" s="6" t="e">
        <f t="shared" si="73"/>
        <v>#DIV/0!</v>
      </c>
    </row>
    <row r="853" spans="29:39" x14ac:dyDescent="0.3">
      <c r="AC853">
        <f t="shared" si="72"/>
        <v>0</v>
      </c>
      <c r="AD853">
        <v>850</v>
      </c>
      <c r="AE853" s="4">
        <f t="shared" si="70"/>
        <v>41430</v>
      </c>
      <c r="AF853" s="6" t="e">
        <f t="shared" si="71"/>
        <v>#DIV/0!</v>
      </c>
      <c r="AG853" s="4">
        <v>41430</v>
      </c>
      <c r="AH853" s="6">
        <v>-0.19983100000000001</v>
      </c>
      <c r="AI853" s="6">
        <v>0.412437</v>
      </c>
      <c r="AJ853" s="6">
        <v>0.60836900000000005</v>
      </c>
      <c r="AK853" s="6"/>
      <c r="AL853" s="6"/>
      <c r="AM853" s="6" t="e">
        <f t="shared" si="73"/>
        <v>#DIV/0!</v>
      </c>
    </row>
    <row r="854" spans="29:39" x14ac:dyDescent="0.3">
      <c r="AC854">
        <f t="shared" si="72"/>
        <v>0</v>
      </c>
      <c r="AD854">
        <v>851</v>
      </c>
      <c r="AE854" s="4">
        <f t="shared" si="70"/>
        <v>41431</v>
      </c>
      <c r="AF854" s="6" t="e">
        <f t="shared" si="71"/>
        <v>#DIV/0!</v>
      </c>
      <c r="AG854" s="4">
        <v>41431</v>
      </c>
      <c r="AH854" s="6">
        <v>-1.2768409999999999</v>
      </c>
      <c r="AI854" s="6">
        <v>-1.768559</v>
      </c>
      <c r="AJ854" s="6">
        <v>-1.6588909999999999</v>
      </c>
      <c r="AK854" s="6"/>
      <c r="AL854" s="6"/>
      <c r="AM854" s="6" t="e">
        <f t="shared" si="73"/>
        <v>#DIV/0!</v>
      </c>
    </row>
    <row r="855" spans="29:39" x14ac:dyDescent="0.3">
      <c r="AC855">
        <f t="shared" si="72"/>
        <v>0</v>
      </c>
      <c r="AD855">
        <v>852</v>
      </c>
      <c r="AE855" s="4">
        <f t="shared" si="70"/>
        <v>41432</v>
      </c>
      <c r="AF855" s="6" t="e">
        <f t="shared" si="71"/>
        <v>#DIV/0!</v>
      </c>
      <c r="AG855" s="4">
        <v>41432</v>
      </c>
      <c r="AH855" s="6">
        <v>-1.7281519999999999</v>
      </c>
      <c r="AI855" s="6">
        <v>-1.966148</v>
      </c>
      <c r="AJ855" s="6">
        <v>-1.2709280000000001</v>
      </c>
      <c r="AK855" s="6"/>
      <c r="AL855" s="6"/>
      <c r="AM855" s="6" t="e">
        <f t="shared" si="73"/>
        <v>#DIV/0!</v>
      </c>
    </row>
    <row r="856" spans="29:39" x14ac:dyDescent="0.3">
      <c r="AC856">
        <f t="shared" si="72"/>
        <v>0</v>
      </c>
      <c r="AD856">
        <v>853</v>
      </c>
      <c r="AE856" s="4">
        <f t="shared" si="70"/>
        <v>41438</v>
      </c>
      <c r="AF856" s="6" t="e">
        <f t="shared" si="71"/>
        <v>#DIV/0!</v>
      </c>
      <c r="AG856" s="4">
        <v>41438</v>
      </c>
      <c r="AH856" s="6">
        <v>-3.3904019999999999</v>
      </c>
      <c r="AI856" s="6">
        <v>-2.7974039999999998</v>
      </c>
      <c r="AJ856" s="6">
        <v>-2.4530110000000001</v>
      </c>
      <c r="AK856" s="6"/>
      <c r="AL856" s="6"/>
      <c r="AM856" s="6" t="e">
        <f t="shared" si="73"/>
        <v>#DIV/0!</v>
      </c>
    </row>
    <row r="857" spans="29:39" x14ac:dyDescent="0.3">
      <c r="AC857">
        <f t="shared" si="72"/>
        <v>0</v>
      </c>
      <c r="AD857">
        <v>854</v>
      </c>
      <c r="AE857" s="4">
        <f t="shared" si="70"/>
        <v>41439</v>
      </c>
      <c r="AF857" s="6" t="e">
        <f t="shared" si="71"/>
        <v>#DIV/0!</v>
      </c>
      <c r="AG857" s="4">
        <v>41439</v>
      </c>
      <c r="AH857" s="6">
        <v>0.70143500000000003</v>
      </c>
      <c r="AI857" s="6">
        <v>1.9893879999999999</v>
      </c>
      <c r="AJ857" s="6">
        <v>2.2578130000000001</v>
      </c>
      <c r="AK857" s="6"/>
      <c r="AL857" s="6"/>
      <c r="AM857" s="6" t="e">
        <f t="shared" si="73"/>
        <v>#DIV/0!</v>
      </c>
    </row>
    <row r="858" spans="29:39" x14ac:dyDescent="0.3">
      <c r="AC858">
        <f t="shared" si="72"/>
        <v>0</v>
      </c>
      <c r="AD858">
        <v>855</v>
      </c>
      <c r="AE858" s="4">
        <f t="shared" si="70"/>
        <v>41442</v>
      </c>
      <c r="AF858" s="6" t="e">
        <f t="shared" si="71"/>
        <v>#DIV/0!</v>
      </c>
      <c r="AG858" s="4">
        <v>41442</v>
      </c>
      <c r="AH858" s="6">
        <v>-0.53509399999999996</v>
      </c>
      <c r="AI858" s="6">
        <v>0.23411599999999999</v>
      </c>
      <c r="AJ858" s="6">
        <v>0.52352900000000002</v>
      </c>
      <c r="AK858" s="6"/>
      <c r="AL858" s="6"/>
      <c r="AM858" s="6" t="e">
        <f t="shared" si="73"/>
        <v>#DIV/0!</v>
      </c>
    </row>
    <row r="859" spans="29:39" x14ac:dyDescent="0.3">
      <c r="AC859">
        <f t="shared" si="72"/>
        <v>0</v>
      </c>
      <c r="AD859">
        <v>856</v>
      </c>
      <c r="AE859" s="4">
        <f t="shared" si="70"/>
        <v>41443</v>
      </c>
      <c r="AF859" s="6" t="e">
        <f t="shared" si="71"/>
        <v>#DIV/0!</v>
      </c>
      <c r="AG859" s="4">
        <v>41443</v>
      </c>
      <c r="AH859" s="6">
        <v>0.62009099999999995</v>
      </c>
      <c r="AI859" s="6">
        <v>0.34471800000000002</v>
      </c>
      <c r="AJ859" s="6">
        <v>0.220277</v>
      </c>
      <c r="AK859" s="6"/>
      <c r="AL859" s="6"/>
      <c r="AM859" s="6" t="e">
        <f t="shared" si="73"/>
        <v>#DIV/0!</v>
      </c>
    </row>
    <row r="860" spans="29:39" x14ac:dyDescent="0.3">
      <c r="AC860">
        <f t="shared" si="72"/>
        <v>0</v>
      </c>
      <c r="AD860">
        <v>857</v>
      </c>
      <c r="AE860" s="4">
        <f t="shared" si="70"/>
        <v>41444</v>
      </c>
      <c r="AF860" s="6" t="e">
        <f t="shared" si="71"/>
        <v>#DIV/0!</v>
      </c>
      <c r="AG860" s="4">
        <v>41444</v>
      </c>
      <c r="AH860" s="6">
        <v>-0.74336100000000005</v>
      </c>
      <c r="AI860" s="6">
        <v>-0.62289300000000003</v>
      </c>
      <c r="AJ860" s="6">
        <v>-0.44542799999999999</v>
      </c>
      <c r="AK860" s="6"/>
      <c r="AL860" s="6"/>
      <c r="AM860" s="6" t="e">
        <f t="shared" si="73"/>
        <v>#DIV/0!</v>
      </c>
    </row>
    <row r="861" spans="29:39" x14ac:dyDescent="0.3">
      <c r="AC861">
        <f t="shared" si="72"/>
        <v>0</v>
      </c>
      <c r="AD861">
        <v>858</v>
      </c>
      <c r="AE861" s="4">
        <f t="shared" si="70"/>
        <v>41445</v>
      </c>
      <c r="AF861" s="6" t="e">
        <f t="shared" si="71"/>
        <v>#DIV/0!</v>
      </c>
      <c r="AG861" s="4">
        <v>41445</v>
      </c>
      <c r="AH861" s="6">
        <v>-3.3030719999999998</v>
      </c>
      <c r="AI861" s="6">
        <v>-3.3012600000000001</v>
      </c>
      <c r="AJ861" s="6">
        <v>-3.1703920000000001</v>
      </c>
      <c r="AK861" s="6"/>
      <c r="AL861" s="6"/>
      <c r="AM861" s="6" t="e">
        <f t="shared" si="73"/>
        <v>#DIV/0!</v>
      </c>
    </row>
    <row r="862" spans="29:39" x14ac:dyDescent="0.3">
      <c r="AC862">
        <f t="shared" si="72"/>
        <v>0</v>
      </c>
      <c r="AD862">
        <v>859</v>
      </c>
      <c r="AE862" s="4">
        <f t="shared" si="70"/>
        <v>41446</v>
      </c>
      <c r="AF862" s="6" t="e">
        <f t="shared" si="71"/>
        <v>#DIV/0!</v>
      </c>
      <c r="AG862" s="4">
        <v>41446</v>
      </c>
      <c r="AH862" s="6">
        <v>-0.17540600000000001</v>
      </c>
      <c r="AI862" s="6">
        <v>-0.53451599999999999</v>
      </c>
      <c r="AJ862" s="6">
        <v>-0.70097900000000002</v>
      </c>
      <c r="AK862" s="6"/>
      <c r="AL862" s="6"/>
      <c r="AM862" s="6" t="e">
        <f t="shared" si="73"/>
        <v>#DIV/0!</v>
      </c>
    </row>
    <row r="863" spans="29:39" x14ac:dyDescent="0.3">
      <c r="AC863">
        <f t="shared" si="72"/>
        <v>0</v>
      </c>
      <c r="AD863">
        <v>860</v>
      </c>
      <c r="AE863" s="4">
        <f t="shared" si="70"/>
        <v>41449</v>
      </c>
      <c r="AF863" s="6" t="e">
        <f t="shared" si="71"/>
        <v>#DIV/0!</v>
      </c>
      <c r="AG863" s="4">
        <v>41449</v>
      </c>
      <c r="AH863" s="6">
        <v>-6.3081199999999997</v>
      </c>
      <c r="AI863" s="6">
        <v>-6.1953300000000002</v>
      </c>
      <c r="AJ863" s="6">
        <v>-5.9750560000000004</v>
      </c>
      <c r="AK863" s="6"/>
      <c r="AL863" s="6"/>
      <c r="AM863" s="6" t="e">
        <f t="shared" si="73"/>
        <v>#DIV/0!</v>
      </c>
    </row>
    <row r="864" spans="29:39" x14ac:dyDescent="0.3">
      <c r="AC864">
        <f t="shared" si="72"/>
        <v>0</v>
      </c>
      <c r="AD864">
        <v>861</v>
      </c>
      <c r="AE864" s="4">
        <f t="shared" si="70"/>
        <v>41450</v>
      </c>
      <c r="AF864" s="6" t="e">
        <f t="shared" si="71"/>
        <v>#DIV/0!</v>
      </c>
      <c r="AG864" s="4">
        <v>41450</v>
      </c>
      <c r="AH864" s="6">
        <v>-0.26662599999999997</v>
      </c>
      <c r="AI864" s="6">
        <v>-0.42771900000000002</v>
      </c>
      <c r="AJ864" s="6">
        <v>-6.0476000000000002E-2</v>
      </c>
      <c r="AK864" s="6"/>
      <c r="AL864" s="6"/>
      <c r="AM864" s="6" t="e">
        <f t="shared" si="73"/>
        <v>#DIV/0!</v>
      </c>
    </row>
    <row r="865" spans="29:39" x14ac:dyDescent="0.3">
      <c r="AC865">
        <f t="shared" si="72"/>
        <v>0</v>
      </c>
      <c r="AD865">
        <v>862</v>
      </c>
      <c r="AE865" s="4">
        <f t="shared" si="70"/>
        <v>41451</v>
      </c>
      <c r="AF865" s="6" t="e">
        <f t="shared" si="71"/>
        <v>#DIV/0!</v>
      </c>
      <c r="AG865" s="4">
        <v>41451</v>
      </c>
      <c r="AH865" s="6">
        <v>0.13281499999999999</v>
      </c>
      <c r="AI865" s="6">
        <v>2.0714890000000001</v>
      </c>
      <c r="AJ865" s="6">
        <v>2.6479439999999999</v>
      </c>
      <c r="AK865" s="6"/>
      <c r="AL865" s="6"/>
      <c r="AM865" s="6" t="e">
        <f t="shared" si="73"/>
        <v>#DIV/0!</v>
      </c>
    </row>
    <row r="866" spans="29:39" x14ac:dyDescent="0.3">
      <c r="AC866">
        <f t="shared" si="72"/>
        <v>0</v>
      </c>
      <c r="AD866">
        <v>863</v>
      </c>
      <c r="AE866" s="4">
        <f t="shared" si="70"/>
        <v>41452</v>
      </c>
      <c r="AF866" s="6" t="e">
        <f t="shared" si="71"/>
        <v>#DIV/0!</v>
      </c>
      <c r="AG866" s="4">
        <v>41452</v>
      </c>
      <c r="AH866" s="6">
        <v>-0.34875299999999998</v>
      </c>
      <c r="AI866" s="6">
        <v>-1.600697</v>
      </c>
      <c r="AJ866" s="6">
        <v>-1.954752</v>
      </c>
      <c r="AK866" s="6"/>
      <c r="AL866" s="6"/>
      <c r="AM866" s="6" t="e">
        <f t="shared" si="73"/>
        <v>#DIV/0!</v>
      </c>
    </row>
    <row r="867" spans="29:39" x14ac:dyDescent="0.3">
      <c r="AC867">
        <f t="shared" si="72"/>
        <v>0</v>
      </c>
      <c r="AD867">
        <v>864</v>
      </c>
      <c r="AE867" s="4">
        <f t="shared" si="70"/>
        <v>41453</v>
      </c>
      <c r="AF867" s="6" t="e">
        <f t="shared" si="71"/>
        <v>#DIV/0!</v>
      </c>
      <c r="AG867" s="4">
        <v>41453</v>
      </c>
      <c r="AH867" s="6">
        <v>1.8467789999999999</v>
      </c>
      <c r="AI867" s="6">
        <v>8.5239999999999996E-2</v>
      </c>
      <c r="AJ867" s="6">
        <v>-0.65008500000000002</v>
      </c>
      <c r="AK867" s="6"/>
      <c r="AL867" s="6"/>
      <c r="AM867" s="6" t="e">
        <f t="shared" si="73"/>
        <v>#DIV/0!</v>
      </c>
    </row>
    <row r="868" spans="29:39" x14ac:dyDescent="0.3">
      <c r="AC868">
        <f t="shared" si="72"/>
        <v>0</v>
      </c>
      <c r="AD868">
        <v>865</v>
      </c>
      <c r="AE868" s="4">
        <f t="shared" si="70"/>
        <v>41456</v>
      </c>
      <c r="AF868" s="6" t="e">
        <f t="shared" si="71"/>
        <v>#DIV/0!</v>
      </c>
      <c r="AG868" s="4">
        <v>41456</v>
      </c>
      <c r="AH868" s="6">
        <v>0.57610499999999998</v>
      </c>
      <c r="AI868" s="6">
        <v>2.120317</v>
      </c>
      <c r="AJ868" s="6">
        <v>2.540041</v>
      </c>
      <c r="AK868" s="6"/>
      <c r="AL868" s="6"/>
      <c r="AM868" s="6" t="e">
        <f t="shared" si="73"/>
        <v>#DIV/0!</v>
      </c>
    </row>
    <row r="869" spans="29:39" x14ac:dyDescent="0.3">
      <c r="AC869">
        <f t="shared" si="72"/>
        <v>0</v>
      </c>
      <c r="AD869">
        <v>866</v>
      </c>
      <c r="AE869" s="4">
        <f t="shared" si="70"/>
        <v>41457</v>
      </c>
      <c r="AF869" s="6" t="e">
        <f t="shared" si="71"/>
        <v>#DIV/0!</v>
      </c>
      <c r="AG869" s="4">
        <v>41457</v>
      </c>
      <c r="AH869" s="6">
        <v>0.39158399999999999</v>
      </c>
      <c r="AI869" s="6">
        <v>1.6480710000000001</v>
      </c>
      <c r="AJ869" s="6">
        <v>2.066573</v>
      </c>
      <c r="AK869" s="6"/>
      <c r="AL869" s="6"/>
      <c r="AM869" s="6" t="e">
        <f t="shared" si="73"/>
        <v>#DIV/0!</v>
      </c>
    </row>
    <row r="870" spans="29:39" x14ac:dyDescent="0.3">
      <c r="AC870">
        <f t="shared" si="72"/>
        <v>0</v>
      </c>
      <c r="AD870">
        <v>867</v>
      </c>
      <c r="AE870" s="4">
        <f t="shared" si="70"/>
        <v>41458</v>
      </c>
      <c r="AF870" s="6" t="e">
        <f t="shared" si="71"/>
        <v>#DIV/0!</v>
      </c>
      <c r="AG870" s="4">
        <v>41458</v>
      </c>
      <c r="AH870" s="6">
        <v>-0.81710799999999995</v>
      </c>
      <c r="AI870" s="6">
        <v>0.152751</v>
      </c>
      <c r="AJ870" s="6">
        <v>0.28284300000000001</v>
      </c>
      <c r="AK870" s="6"/>
      <c r="AL870" s="6"/>
      <c r="AM870" s="6" t="e">
        <f t="shared" si="73"/>
        <v>#DIV/0!</v>
      </c>
    </row>
    <row r="871" spans="29:39" x14ac:dyDescent="0.3">
      <c r="AC871">
        <f t="shared" si="72"/>
        <v>0</v>
      </c>
      <c r="AD871">
        <v>868</v>
      </c>
      <c r="AE871" s="4">
        <f t="shared" si="70"/>
        <v>41459</v>
      </c>
      <c r="AF871" s="6" t="e">
        <f t="shared" si="71"/>
        <v>#DIV/0!</v>
      </c>
      <c r="AG871" s="4">
        <v>41459</v>
      </c>
      <c r="AH871" s="6">
        <v>0.82361200000000001</v>
      </c>
      <c r="AI871" s="6">
        <v>0.78188400000000002</v>
      </c>
      <c r="AJ871" s="6">
        <v>0.39713300000000001</v>
      </c>
      <c r="AK871" s="6"/>
      <c r="AL871" s="6"/>
      <c r="AM871" s="6" t="e">
        <f t="shared" si="73"/>
        <v>#DIV/0!</v>
      </c>
    </row>
    <row r="872" spans="29:39" x14ac:dyDescent="0.3">
      <c r="AC872">
        <f t="shared" si="72"/>
        <v>0</v>
      </c>
      <c r="AD872">
        <v>869</v>
      </c>
      <c r="AE872" s="4">
        <f t="shared" si="70"/>
        <v>41460</v>
      </c>
      <c r="AF872" s="6" t="e">
        <f t="shared" si="71"/>
        <v>#DIV/0!</v>
      </c>
      <c r="AG872" s="4">
        <v>41460</v>
      </c>
      <c r="AH872" s="6">
        <v>0.21917400000000001</v>
      </c>
      <c r="AI872" s="6">
        <v>-0.55918199999999996</v>
      </c>
      <c r="AJ872" s="6">
        <v>-1.0347740000000001</v>
      </c>
      <c r="AK872" s="6"/>
      <c r="AL872" s="6"/>
      <c r="AM872" s="6" t="e">
        <f t="shared" si="73"/>
        <v>#DIV/0!</v>
      </c>
    </row>
    <row r="873" spans="29:39" x14ac:dyDescent="0.3">
      <c r="AC873">
        <f t="shared" si="72"/>
        <v>0</v>
      </c>
      <c r="AD873">
        <v>870</v>
      </c>
      <c r="AE873" s="4">
        <f t="shared" si="70"/>
        <v>41463</v>
      </c>
      <c r="AF873" s="6" t="e">
        <f t="shared" si="71"/>
        <v>#DIV/0!</v>
      </c>
      <c r="AG873" s="4">
        <v>41463</v>
      </c>
      <c r="AH873" s="6">
        <v>-2.8394379999999999</v>
      </c>
      <c r="AI873" s="6">
        <v>-3.8870200000000001</v>
      </c>
      <c r="AJ873" s="6">
        <v>-3.612139</v>
      </c>
      <c r="AK873" s="6"/>
      <c r="AL873" s="6"/>
      <c r="AM873" s="6" t="e">
        <f t="shared" si="73"/>
        <v>#DIV/0!</v>
      </c>
    </row>
    <row r="874" spans="29:39" x14ac:dyDescent="0.3">
      <c r="AC874">
        <f t="shared" si="72"/>
        <v>0</v>
      </c>
      <c r="AD874">
        <v>871</v>
      </c>
      <c r="AE874" s="4">
        <f t="shared" si="70"/>
        <v>41464</v>
      </c>
      <c r="AF874" s="6" t="e">
        <f t="shared" si="71"/>
        <v>#DIV/0!</v>
      </c>
      <c r="AG874" s="4">
        <v>41464</v>
      </c>
      <c r="AH874" s="6">
        <v>-4.3908000000000003E-2</v>
      </c>
      <c r="AI874" s="6">
        <v>0.59972700000000001</v>
      </c>
      <c r="AJ874" s="6">
        <v>0.82985100000000001</v>
      </c>
      <c r="AK874" s="6"/>
      <c r="AL874" s="6"/>
      <c r="AM874" s="6" t="e">
        <f t="shared" si="73"/>
        <v>#DIV/0!</v>
      </c>
    </row>
    <row r="875" spans="29:39" x14ac:dyDescent="0.3">
      <c r="AC875">
        <f t="shared" si="72"/>
        <v>0</v>
      </c>
      <c r="AD875">
        <v>872</v>
      </c>
      <c r="AE875" s="4">
        <f t="shared" si="70"/>
        <v>41465</v>
      </c>
      <c r="AF875" s="6" t="e">
        <f t="shared" si="71"/>
        <v>#DIV/0!</v>
      </c>
      <c r="AG875" s="4">
        <v>41465</v>
      </c>
      <c r="AH875" s="6">
        <v>2.8389000000000002</v>
      </c>
      <c r="AI875" s="6">
        <v>3.1130909999999998</v>
      </c>
      <c r="AJ875" s="6">
        <v>2.748818</v>
      </c>
      <c r="AK875" s="6"/>
      <c r="AL875" s="6"/>
      <c r="AM875" s="6" t="e">
        <f t="shared" si="73"/>
        <v>#DIV/0!</v>
      </c>
    </row>
    <row r="876" spans="29:39" x14ac:dyDescent="0.3">
      <c r="AC876">
        <f t="shared" si="72"/>
        <v>0</v>
      </c>
      <c r="AD876">
        <v>873</v>
      </c>
      <c r="AE876" s="4">
        <f t="shared" si="70"/>
        <v>41466</v>
      </c>
      <c r="AF876" s="6" t="e">
        <f t="shared" si="71"/>
        <v>#DIV/0!</v>
      </c>
      <c r="AG876" s="4">
        <v>41466</v>
      </c>
      <c r="AH876" s="6">
        <v>4.6142089999999998</v>
      </c>
      <c r="AI876" s="6">
        <v>2.8110059999999999</v>
      </c>
      <c r="AJ876" s="6">
        <v>2.1590509999999998</v>
      </c>
      <c r="AK876" s="6"/>
      <c r="AL876" s="6"/>
      <c r="AM876" s="6" t="e">
        <f t="shared" si="73"/>
        <v>#DIV/0!</v>
      </c>
    </row>
    <row r="877" spans="29:39" x14ac:dyDescent="0.3">
      <c r="AC877">
        <f t="shared" si="72"/>
        <v>0</v>
      </c>
      <c r="AD877">
        <v>874</v>
      </c>
      <c r="AE877" s="4">
        <f t="shared" si="70"/>
        <v>41467</v>
      </c>
      <c r="AF877" s="6" t="e">
        <f t="shared" si="71"/>
        <v>#DIV/0!</v>
      </c>
      <c r="AG877" s="4">
        <v>41467</v>
      </c>
      <c r="AH877" s="6">
        <v>-2.2054960000000001</v>
      </c>
      <c r="AI877" s="6">
        <v>-0.88975800000000005</v>
      </c>
      <c r="AJ877" s="6">
        <v>-7.4085999999999999E-2</v>
      </c>
      <c r="AK877" s="6"/>
      <c r="AL877" s="6"/>
      <c r="AM877" s="6" t="e">
        <f t="shared" si="73"/>
        <v>#DIV/0!</v>
      </c>
    </row>
    <row r="878" spans="29:39" x14ac:dyDescent="0.3">
      <c r="AC878">
        <f t="shared" si="72"/>
        <v>0</v>
      </c>
      <c r="AD878">
        <v>875</v>
      </c>
      <c r="AE878" s="4">
        <f t="shared" si="70"/>
        <v>41470</v>
      </c>
      <c r="AF878" s="6" t="e">
        <f t="shared" si="71"/>
        <v>#DIV/0!</v>
      </c>
      <c r="AG878" s="4">
        <v>41470</v>
      </c>
      <c r="AH878" s="6">
        <v>1.4030229999999999</v>
      </c>
      <c r="AI878" s="6">
        <v>1.9942569999999999</v>
      </c>
      <c r="AJ878" s="6">
        <v>2.4596809999999998</v>
      </c>
      <c r="AK878" s="6"/>
      <c r="AL878" s="6"/>
      <c r="AM878" s="6" t="e">
        <f t="shared" si="73"/>
        <v>#DIV/0!</v>
      </c>
    </row>
    <row r="879" spans="29:39" x14ac:dyDescent="0.3">
      <c r="AC879">
        <f t="shared" si="72"/>
        <v>0</v>
      </c>
      <c r="AD879">
        <v>876</v>
      </c>
      <c r="AE879" s="4">
        <f t="shared" si="70"/>
        <v>41471</v>
      </c>
      <c r="AF879" s="6" t="e">
        <f t="shared" si="71"/>
        <v>#DIV/0!</v>
      </c>
      <c r="AG879" s="4">
        <v>41471</v>
      </c>
      <c r="AH879" s="6">
        <v>0.45728799999999997</v>
      </c>
      <c r="AI879" s="6">
        <v>1.227214</v>
      </c>
      <c r="AJ879" s="6">
        <v>1.102595</v>
      </c>
      <c r="AK879" s="6"/>
      <c r="AL879" s="6"/>
      <c r="AM879" s="6" t="e">
        <f t="shared" si="73"/>
        <v>#DIV/0!</v>
      </c>
    </row>
    <row r="880" spans="29:39" x14ac:dyDescent="0.3">
      <c r="AC880">
        <f t="shared" si="72"/>
        <v>0</v>
      </c>
      <c r="AD880">
        <v>877</v>
      </c>
      <c r="AE880" s="4">
        <f t="shared" si="70"/>
        <v>41472</v>
      </c>
      <c r="AF880" s="6" t="e">
        <f t="shared" si="71"/>
        <v>#DIV/0!</v>
      </c>
      <c r="AG880" s="4">
        <v>41472</v>
      </c>
      <c r="AH880" s="6">
        <v>-1.5105390000000001</v>
      </c>
      <c r="AI880" s="6">
        <v>-1.4489380000000001</v>
      </c>
      <c r="AJ880" s="6">
        <v>-1.4574050000000001</v>
      </c>
      <c r="AK880" s="6"/>
      <c r="AL880" s="6"/>
      <c r="AM880" s="6" t="e">
        <f t="shared" si="73"/>
        <v>#DIV/0!</v>
      </c>
    </row>
    <row r="881" spans="29:39" x14ac:dyDescent="0.3">
      <c r="AC881">
        <f t="shared" si="72"/>
        <v>0</v>
      </c>
      <c r="AD881">
        <v>878</v>
      </c>
      <c r="AE881" s="4">
        <f t="shared" si="70"/>
        <v>41473</v>
      </c>
      <c r="AF881" s="6" t="e">
        <f t="shared" si="71"/>
        <v>#DIV/0!</v>
      </c>
      <c r="AG881" s="4">
        <v>41473</v>
      </c>
      <c r="AH881" s="6">
        <v>-1.6430439999999999</v>
      </c>
      <c r="AI881" s="6">
        <v>-0.11113099999999999</v>
      </c>
      <c r="AJ881" s="6">
        <v>6.0581000000000003E-2</v>
      </c>
      <c r="AK881" s="6"/>
      <c r="AL881" s="6"/>
      <c r="AM881" s="6" t="e">
        <f t="shared" si="73"/>
        <v>#DIV/0!</v>
      </c>
    </row>
    <row r="882" spans="29:39" x14ac:dyDescent="0.3">
      <c r="AC882">
        <f t="shared" si="72"/>
        <v>0</v>
      </c>
      <c r="AD882">
        <v>879</v>
      </c>
      <c r="AE882" s="4">
        <f t="shared" si="70"/>
        <v>41474</v>
      </c>
      <c r="AF882" s="6" t="e">
        <f t="shared" si="71"/>
        <v>#DIV/0!</v>
      </c>
      <c r="AG882" s="4">
        <v>41474</v>
      </c>
      <c r="AH882" s="6">
        <v>-2.44285</v>
      </c>
      <c r="AI882" s="6">
        <v>-2.496121</v>
      </c>
      <c r="AJ882" s="6">
        <v>-2.0208390000000001</v>
      </c>
      <c r="AK882" s="6"/>
      <c r="AL882" s="6"/>
      <c r="AM882" s="6" t="e">
        <f t="shared" si="73"/>
        <v>#DIV/0!</v>
      </c>
    </row>
    <row r="883" spans="29:39" x14ac:dyDescent="0.3">
      <c r="AC883">
        <f t="shared" si="72"/>
        <v>0</v>
      </c>
      <c r="AD883">
        <v>880</v>
      </c>
      <c r="AE883" s="4">
        <f t="shared" si="70"/>
        <v>41477</v>
      </c>
      <c r="AF883" s="6" t="e">
        <f t="shared" si="71"/>
        <v>#DIV/0!</v>
      </c>
      <c r="AG883" s="4">
        <v>41477</v>
      </c>
      <c r="AH883" s="6">
        <v>0.534632</v>
      </c>
      <c r="AI883" s="6">
        <v>1.973157</v>
      </c>
      <c r="AJ883" s="6">
        <v>2.2739919999999998</v>
      </c>
      <c r="AK883" s="6"/>
      <c r="AL883" s="6"/>
      <c r="AM883" s="6" t="e">
        <f t="shared" si="73"/>
        <v>#DIV/0!</v>
      </c>
    </row>
    <row r="884" spans="29:39" x14ac:dyDescent="0.3">
      <c r="AC884">
        <f t="shared" si="72"/>
        <v>0</v>
      </c>
      <c r="AD884">
        <v>881</v>
      </c>
      <c r="AE884" s="4">
        <f t="shared" si="70"/>
        <v>41478</v>
      </c>
      <c r="AF884" s="6" t="e">
        <f t="shared" si="71"/>
        <v>#DIV/0!</v>
      </c>
      <c r="AG884" s="4">
        <v>41478</v>
      </c>
      <c r="AH884" s="6">
        <v>2.8905780000000001</v>
      </c>
      <c r="AI884" s="6">
        <v>2.4177460000000002</v>
      </c>
      <c r="AJ884" s="6">
        <v>2.447247</v>
      </c>
      <c r="AK884" s="6"/>
      <c r="AL884" s="6"/>
      <c r="AM884" s="6" t="e">
        <f t="shared" si="73"/>
        <v>#DIV/0!</v>
      </c>
    </row>
    <row r="885" spans="29:39" x14ac:dyDescent="0.3">
      <c r="AC885">
        <f t="shared" si="72"/>
        <v>0</v>
      </c>
      <c r="AD885">
        <v>882</v>
      </c>
      <c r="AE885" s="4">
        <f t="shared" si="70"/>
        <v>41479</v>
      </c>
      <c r="AF885" s="6" t="e">
        <f t="shared" si="71"/>
        <v>#DIV/0!</v>
      </c>
      <c r="AG885" s="4">
        <v>41479</v>
      </c>
      <c r="AH885" s="6">
        <v>-0.73676699999999995</v>
      </c>
      <c r="AI885" s="6">
        <v>0.60130300000000003</v>
      </c>
      <c r="AJ885" s="6">
        <v>1.0621339999999999</v>
      </c>
      <c r="AK885" s="6"/>
      <c r="AL885" s="6"/>
      <c r="AM885" s="6" t="e">
        <f t="shared" si="73"/>
        <v>#DIV/0!</v>
      </c>
    </row>
    <row r="886" spans="29:39" x14ac:dyDescent="0.3">
      <c r="AC886">
        <f t="shared" si="72"/>
        <v>0</v>
      </c>
      <c r="AD886">
        <v>883</v>
      </c>
      <c r="AE886" s="4">
        <f t="shared" si="70"/>
        <v>41480</v>
      </c>
      <c r="AF886" s="6" t="e">
        <f t="shared" si="71"/>
        <v>#DIV/0!</v>
      </c>
      <c r="AG886" s="4">
        <v>41480</v>
      </c>
      <c r="AH886" s="6">
        <v>-0.50988100000000003</v>
      </c>
      <c r="AI886" s="6">
        <v>-1.907869</v>
      </c>
      <c r="AJ886" s="6">
        <v>-2.330044</v>
      </c>
      <c r="AK886" s="6"/>
      <c r="AL886" s="6"/>
      <c r="AM886" s="6" t="e">
        <f t="shared" si="73"/>
        <v>#DIV/0!</v>
      </c>
    </row>
    <row r="887" spans="29:39" x14ac:dyDescent="0.3">
      <c r="AC887">
        <f t="shared" si="72"/>
        <v>0</v>
      </c>
      <c r="AD887">
        <v>884</v>
      </c>
      <c r="AE887" s="4">
        <f t="shared" si="70"/>
        <v>41481</v>
      </c>
      <c r="AF887" s="6" t="e">
        <f t="shared" si="71"/>
        <v>#DIV/0!</v>
      </c>
      <c r="AG887" s="4">
        <v>41481</v>
      </c>
      <c r="AH887" s="6">
        <v>-0.61112299999999997</v>
      </c>
      <c r="AI887" s="6">
        <v>-0.116716</v>
      </c>
      <c r="AJ887" s="6">
        <v>0.14174999999999999</v>
      </c>
      <c r="AK887" s="6"/>
      <c r="AL887" s="6"/>
      <c r="AM887" s="6" t="e">
        <f t="shared" si="73"/>
        <v>#DIV/0!</v>
      </c>
    </row>
    <row r="888" spans="29:39" x14ac:dyDescent="0.3">
      <c r="AC888">
        <f t="shared" si="72"/>
        <v>0</v>
      </c>
      <c r="AD888">
        <v>885</v>
      </c>
      <c r="AE888" s="4">
        <f t="shared" si="70"/>
        <v>41484</v>
      </c>
      <c r="AF888" s="6" t="e">
        <f t="shared" si="71"/>
        <v>#DIV/0!</v>
      </c>
      <c r="AG888" s="4">
        <v>41484</v>
      </c>
      <c r="AH888" s="6">
        <v>-2.1599740000000001</v>
      </c>
      <c r="AI888" s="6">
        <v>-1.933684</v>
      </c>
      <c r="AJ888" s="6">
        <v>-1.7091750000000001</v>
      </c>
      <c r="AK888" s="6"/>
      <c r="AL888" s="6"/>
      <c r="AM888" s="6" t="e">
        <f t="shared" si="73"/>
        <v>#DIV/0!</v>
      </c>
    </row>
    <row r="889" spans="29:39" x14ac:dyDescent="0.3">
      <c r="AC889">
        <f t="shared" si="72"/>
        <v>0</v>
      </c>
      <c r="AD889">
        <v>886</v>
      </c>
      <c r="AE889" s="4">
        <f t="shared" si="70"/>
        <v>41485</v>
      </c>
      <c r="AF889" s="6" t="e">
        <f t="shared" si="71"/>
        <v>#DIV/0!</v>
      </c>
      <c r="AG889" s="4">
        <v>41485</v>
      </c>
      <c r="AH889" s="6">
        <v>0.616645</v>
      </c>
      <c r="AI889" s="6">
        <v>-0.44866699999999998</v>
      </c>
      <c r="AJ889" s="6">
        <v>-0.48130099999999998</v>
      </c>
      <c r="AK889" s="6"/>
      <c r="AL889" s="6"/>
      <c r="AM889" s="6" t="e">
        <f t="shared" si="73"/>
        <v>#DIV/0!</v>
      </c>
    </row>
    <row r="890" spans="29:39" x14ac:dyDescent="0.3">
      <c r="AC890">
        <f t="shared" si="72"/>
        <v>0</v>
      </c>
      <c r="AD890">
        <v>887</v>
      </c>
      <c r="AE890" s="4">
        <f t="shared" si="70"/>
        <v>41486</v>
      </c>
      <c r="AF890" s="6" t="e">
        <f t="shared" si="71"/>
        <v>#DIV/0!</v>
      </c>
      <c r="AG890" s="4">
        <v>41486</v>
      </c>
      <c r="AH890" s="6">
        <v>0.165937</v>
      </c>
      <c r="AI890" s="6">
        <v>0.57234700000000005</v>
      </c>
      <c r="AJ890" s="6">
        <v>0.46788999999999997</v>
      </c>
      <c r="AK890" s="6"/>
      <c r="AL890" s="6"/>
      <c r="AM890" s="6" t="e">
        <f t="shared" si="73"/>
        <v>#DIV/0!</v>
      </c>
    </row>
    <row r="891" spans="29:39" x14ac:dyDescent="0.3">
      <c r="AC891">
        <f t="shared" si="72"/>
        <v>0</v>
      </c>
      <c r="AD891">
        <v>888</v>
      </c>
      <c r="AE891" s="4">
        <f t="shared" si="70"/>
        <v>41487</v>
      </c>
      <c r="AF891" s="6" t="e">
        <f t="shared" si="71"/>
        <v>#DIV/0!</v>
      </c>
      <c r="AG891" s="4">
        <v>41487</v>
      </c>
      <c r="AH891" s="6">
        <v>2.3867989999999999</v>
      </c>
      <c r="AI891" s="6">
        <v>2.6352600000000002</v>
      </c>
      <c r="AJ891" s="6">
        <v>3.2300089999999999</v>
      </c>
      <c r="AK891" s="6"/>
      <c r="AL891" s="6"/>
      <c r="AM891" s="6" t="e">
        <f t="shared" si="73"/>
        <v>#DIV/0!</v>
      </c>
    </row>
    <row r="892" spans="29:39" x14ac:dyDescent="0.3">
      <c r="AC892">
        <f t="shared" si="72"/>
        <v>0</v>
      </c>
      <c r="AD892">
        <v>889</v>
      </c>
      <c r="AE892" s="4">
        <f t="shared" si="70"/>
        <v>41488</v>
      </c>
      <c r="AF892" s="6" t="e">
        <f t="shared" si="71"/>
        <v>#DIV/0!</v>
      </c>
      <c r="AG892" s="4">
        <v>41488</v>
      </c>
      <c r="AH892" s="6">
        <v>8.4573999999999996E-2</v>
      </c>
      <c r="AI892" s="6">
        <v>0.35377599999999998</v>
      </c>
      <c r="AJ892" s="6">
        <v>0.30552800000000002</v>
      </c>
      <c r="AK892" s="6"/>
      <c r="AL892" s="6"/>
      <c r="AM892" s="6" t="e">
        <f t="shared" si="73"/>
        <v>#DIV/0!</v>
      </c>
    </row>
    <row r="893" spans="29:39" x14ac:dyDescent="0.3">
      <c r="AC893">
        <f t="shared" si="72"/>
        <v>0</v>
      </c>
      <c r="AD893">
        <v>890</v>
      </c>
      <c r="AE893" s="4">
        <f t="shared" si="70"/>
        <v>41491</v>
      </c>
      <c r="AF893" s="6" t="e">
        <f t="shared" si="71"/>
        <v>#DIV/0!</v>
      </c>
      <c r="AG893" s="4">
        <v>41491</v>
      </c>
      <c r="AH893" s="6">
        <v>1.382393</v>
      </c>
      <c r="AI893" s="6">
        <v>1.667672</v>
      </c>
      <c r="AJ893" s="6">
        <v>1.5686199999999999</v>
      </c>
      <c r="AK893" s="6"/>
      <c r="AL893" s="6"/>
      <c r="AM893" s="6" t="e">
        <f t="shared" si="73"/>
        <v>#DIV/0!</v>
      </c>
    </row>
    <row r="894" spans="29:39" x14ac:dyDescent="0.3">
      <c r="AC894">
        <f t="shared" si="72"/>
        <v>0</v>
      </c>
      <c r="AD894">
        <v>891</v>
      </c>
      <c r="AE894" s="4">
        <f t="shared" si="70"/>
        <v>41492</v>
      </c>
      <c r="AF894" s="6" t="e">
        <f t="shared" si="71"/>
        <v>#DIV/0!</v>
      </c>
      <c r="AG894" s="4">
        <v>41492</v>
      </c>
      <c r="AH894" s="6">
        <v>0.672072</v>
      </c>
      <c r="AI894" s="6">
        <v>1.07406</v>
      </c>
      <c r="AJ894" s="6">
        <v>1.0857540000000001</v>
      </c>
      <c r="AK894" s="6"/>
      <c r="AL894" s="6"/>
      <c r="AM894" s="6" t="e">
        <f t="shared" si="73"/>
        <v>#DIV/0!</v>
      </c>
    </row>
    <row r="895" spans="29:39" x14ac:dyDescent="0.3">
      <c r="AC895">
        <f t="shared" si="72"/>
        <v>0</v>
      </c>
      <c r="AD895">
        <v>892</v>
      </c>
      <c r="AE895" s="4">
        <f t="shared" si="70"/>
        <v>41493</v>
      </c>
      <c r="AF895" s="6" t="e">
        <f t="shared" si="71"/>
        <v>#DIV/0!</v>
      </c>
      <c r="AG895" s="4">
        <v>41493</v>
      </c>
      <c r="AH895" s="6">
        <v>-0.56756899999999999</v>
      </c>
      <c r="AI895" s="6">
        <v>-0.95854600000000001</v>
      </c>
      <c r="AJ895" s="6">
        <v>-1.262316</v>
      </c>
      <c r="AK895" s="6"/>
      <c r="AL895" s="6"/>
      <c r="AM895" s="6" t="e">
        <f t="shared" si="73"/>
        <v>#DIV/0!</v>
      </c>
    </row>
    <row r="896" spans="29:39" x14ac:dyDescent="0.3">
      <c r="AC896">
        <f t="shared" si="72"/>
        <v>0</v>
      </c>
      <c r="AD896">
        <v>893</v>
      </c>
      <c r="AE896" s="4">
        <f t="shared" si="70"/>
        <v>41494</v>
      </c>
      <c r="AF896" s="6" t="e">
        <f t="shared" si="71"/>
        <v>#DIV/0!</v>
      </c>
      <c r="AG896" s="4">
        <v>41494</v>
      </c>
      <c r="AH896" s="6">
        <v>-0.16841900000000001</v>
      </c>
      <c r="AI896" s="6">
        <v>0.26504899999999998</v>
      </c>
      <c r="AJ896" s="6">
        <v>0.457951</v>
      </c>
      <c r="AK896" s="6"/>
      <c r="AL896" s="6"/>
      <c r="AM896" s="6" t="e">
        <f t="shared" si="73"/>
        <v>#DIV/0!</v>
      </c>
    </row>
    <row r="897" spans="29:39" x14ac:dyDescent="0.3">
      <c r="AC897">
        <f t="shared" si="72"/>
        <v>0</v>
      </c>
      <c r="AD897">
        <v>894</v>
      </c>
      <c r="AE897" s="4">
        <f t="shared" si="70"/>
        <v>41495</v>
      </c>
      <c r="AF897" s="6" t="e">
        <f t="shared" si="71"/>
        <v>#DIV/0!</v>
      </c>
      <c r="AG897" s="4">
        <v>41495</v>
      </c>
      <c r="AH897" s="6">
        <v>0.40530899999999997</v>
      </c>
      <c r="AI897" s="6">
        <v>0.35758600000000001</v>
      </c>
      <c r="AJ897" s="6">
        <v>8.8260000000000005E-3</v>
      </c>
      <c r="AK897" s="6"/>
      <c r="AL897" s="6"/>
      <c r="AM897" s="6" t="e">
        <f t="shared" si="73"/>
        <v>#DIV/0!</v>
      </c>
    </row>
    <row r="898" spans="29:39" x14ac:dyDescent="0.3">
      <c r="AC898">
        <f t="shared" si="72"/>
        <v>0</v>
      </c>
      <c r="AD898">
        <v>895</v>
      </c>
      <c r="AE898" s="4">
        <f t="shared" si="70"/>
        <v>41498</v>
      </c>
      <c r="AF898" s="6" t="e">
        <f t="shared" si="71"/>
        <v>#DIV/0!</v>
      </c>
      <c r="AG898" s="4">
        <v>41498</v>
      </c>
      <c r="AH898" s="6">
        <v>2.9214220000000002</v>
      </c>
      <c r="AI898" s="6">
        <v>1.5875950000000001</v>
      </c>
      <c r="AJ898" s="6">
        <v>0.80353799999999997</v>
      </c>
      <c r="AK898" s="6"/>
      <c r="AL898" s="6"/>
      <c r="AM898" s="6" t="e">
        <f t="shared" si="73"/>
        <v>#DIV/0!</v>
      </c>
    </row>
    <row r="899" spans="29:39" x14ac:dyDescent="0.3">
      <c r="AC899">
        <f t="shared" si="72"/>
        <v>0</v>
      </c>
      <c r="AD899">
        <v>896</v>
      </c>
      <c r="AE899" s="4">
        <f t="shared" si="70"/>
        <v>41499</v>
      </c>
      <c r="AF899" s="6" t="e">
        <f t="shared" si="71"/>
        <v>#DIV/0!</v>
      </c>
      <c r="AG899" s="4">
        <v>41499</v>
      </c>
      <c r="AH899" s="6">
        <v>0.26666200000000001</v>
      </c>
      <c r="AI899" s="6">
        <v>0.52654999999999996</v>
      </c>
      <c r="AJ899" s="6">
        <v>0.76949500000000004</v>
      </c>
      <c r="AK899" s="6"/>
      <c r="AL899" s="6"/>
      <c r="AM899" s="6" t="e">
        <f t="shared" si="73"/>
        <v>#DIV/0!</v>
      </c>
    </row>
    <row r="900" spans="29:39" x14ac:dyDescent="0.3">
      <c r="AC900">
        <f t="shared" si="72"/>
        <v>0</v>
      </c>
      <c r="AD900">
        <v>897</v>
      </c>
      <c r="AE900" s="4">
        <f t="shared" si="70"/>
        <v>41500</v>
      </c>
      <c r="AF900" s="6" t="e">
        <f t="shared" si="71"/>
        <v>#DIV/0!</v>
      </c>
      <c r="AG900" s="4">
        <v>41500</v>
      </c>
      <c r="AH900" s="6">
        <v>-0.42338799999999999</v>
      </c>
      <c r="AI900" s="6">
        <v>-0.39155200000000001</v>
      </c>
      <c r="AJ900" s="6">
        <v>-7.0528999999999994E-2</v>
      </c>
      <c r="AK900" s="6"/>
      <c r="AL900" s="6"/>
      <c r="AM900" s="6" t="e">
        <f t="shared" si="73"/>
        <v>#DIV/0!</v>
      </c>
    </row>
    <row r="901" spans="29:39" x14ac:dyDescent="0.3">
      <c r="AC901">
        <f t="shared" si="72"/>
        <v>0</v>
      </c>
      <c r="AD901">
        <v>898</v>
      </c>
      <c r="AE901" s="4">
        <f t="shared" ref="AE901:AE964" si="74">AG901</f>
        <v>41501</v>
      </c>
      <c r="AF901" s="6" t="e">
        <f t="shared" ref="AF901:AF964" si="75">AM901</f>
        <v>#DIV/0!</v>
      </c>
      <c r="AG901" s="4">
        <v>41501</v>
      </c>
      <c r="AH901" s="6">
        <v>-1.170841</v>
      </c>
      <c r="AI901" s="6">
        <v>-1.351804</v>
      </c>
      <c r="AJ901" s="6">
        <v>-1.0589999999999999</v>
      </c>
      <c r="AK901" s="6"/>
      <c r="AL901" s="6"/>
      <c r="AM901" s="6" t="e">
        <f t="shared" si="73"/>
        <v>#DIV/0!</v>
      </c>
    </row>
    <row r="902" spans="29:39" x14ac:dyDescent="0.3">
      <c r="AC902">
        <f t="shared" ref="AC902:AC965" si="76">IF(AE902&lt;=AE901,1,0)</f>
        <v>0</v>
      </c>
      <c r="AD902">
        <v>899</v>
      </c>
      <c r="AE902" s="4">
        <f t="shared" si="74"/>
        <v>41502</v>
      </c>
      <c r="AF902" s="6" t="e">
        <f t="shared" si="75"/>
        <v>#DIV/0!</v>
      </c>
      <c r="AG902" s="4">
        <v>41502</v>
      </c>
      <c r="AH902" s="6">
        <v>-0.75086900000000001</v>
      </c>
      <c r="AI902" s="6">
        <v>-2.1196969999999999</v>
      </c>
      <c r="AJ902" s="6">
        <v>-2.3926289999999999</v>
      </c>
      <c r="AK902" s="6"/>
      <c r="AL902" s="6"/>
      <c r="AM902" s="6" t="e">
        <f t="shared" ref="AM902:AM965" si="77">(AL902/AL901-1)*100</f>
        <v>#DIV/0!</v>
      </c>
    </row>
    <row r="903" spans="29:39" x14ac:dyDescent="0.3">
      <c r="AC903">
        <f t="shared" si="76"/>
        <v>0</v>
      </c>
      <c r="AD903">
        <v>900</v>
      </c>
      <c r="AE903" s="4">
        <f t="shared" si="74"/>
        <v>41505</v>
      </c>
      <c r="AF903" s="6" t="e">
        <f t="shared" si="75"/>
        <v>#DIV/0!</v>
      </c>
      <c r="AG903" s="4">
        <v>41505</v>
      </c>
      <c r="AH903" s="6">
        <v>1.1842140000000001</v>
      </c>
      <c r="AI903" s="6">
        <v>1.538397</v>
      </c>
      <c r="AJ903" s="6">
        <v>2.406914</v>
      </c>
      <c r="AK903" s="6"/>
      <c r="AL903" s="6"/>
      <c r="AM903" s="6" t="e">
        <f t="shared" si="77"/>
        <v>#DIV/0!</v>
      </c>
    </row>
    <row r="904" spans="29:39" x14ac:dyDescent="0.3">
      <c r="AC904">
        <f t="shared" si="76"/>
        <v>0</v>
      </c>
      <c r="AD904">
        <v>901</v>
      </c>
      <c r="AE904" s="4">
        <f t="shared" si="74"/>
        <v>41506</v>
      </c>
      <c r="AF904" s="6" t="e">
        <f t="shared" si="75"/>
        <v>#DIV/0!</v>
      </c>
      <c r="AG904" s="4">
        <v>41506</v>
      </c>
      <c r="AH904" s="6">
        <v>-0.81344899999999998</v>
      </c>
      <c r="AI904" s="6">
        <v>-0.26020900000000002</v>
      </c>
      <c r="AJ904" s="6">
        <v>0.2928</v>
      </c>
      <c r="AK904" s="6"/>
      <c r="AL904" s="6"/>
      <c r="AM904" s="6" t="e">
        <f t="shared" si="77"/>
        <v>#DIV/0!</v>
      </c>
    </row>
    <row r="905" spans="29:39" x14ac:dyDescent="0.3">
      <c r="AC905">
        <f t="shared" si="76"/>
        <v>0</v>
      </c>
      <c r="AD905">
        <v>902</v>
      </c>
      <c r="AE905" s="4">
        <f t="shared" si="74"/>
        <v>41507</v>
      </c>
      <c r="AF905" s="6" t="e">
        <f t="shared" si="75"/>
        <v>#DIV/0!</v>
      </c>
      <c r="AG905" s="4">
        <v>41507</v>
      </c>
      <c r="AH905" s="6">
        <v>-0.16761300000000001</v>
      </c>
      <c r="AI905" s="6">
        <v>0.77407800000000004</v>
      </c>
      <c r="AJ905" s="6">
        <v>0.55539799999999995</v>
      </c>
      <c r="AK905" s="6"/>
      <c r="AL905" s="6"/>
      <c r="AM905" s="6" t="e">
        <f t="shared" si="77"/>
        <v>#DIV/0!</v>
      </c>
    </row>
    <row r="906" spans="29:39" x14ac:dyDescent="0.3">
      <c r="AC906">
        <f t="shared" si="76"/>
        <v>0</v>
      </c>
      <c r="AD906">
        <v>903</v>
      </c>
      <c r="AE906" s="4">
        <f t="shared" si="74"/>
        <v>41508</v>
      </c>
      <c r="AF906" s="6" t="e">
        <f t="shared" si="75"/>
        <v>#DIV/0!</v>
      </c>
      <c r="AG906" s="4">
        <v>41508</v>
      </c>
      <c r="AH906" s="6">
        <v>-0.20172499999999999</v>
      </c>
      <c r="AI906" s="6">
        <v>0.247223</v>
      </c>
      <c r="AJ906" s="6">
        <v>0.40400700000000001</v>
      </c>
      <c r="AK906" s="6"/>
      <c r="AL906" s="6"/>
      <c r="AM906" s="6" t="e">
        <f t="shared" si="77"/>
        <v>#DIV/0!</v>
      </c>
    </row>
    <row r="907" spans="29:39" x14ac:dyDescent="0.3">
      <c r="AC907">
        <f t="shared" si="76"/>
        <v>0</v>
      </c>
      <c r="AD907">
        <v>904</v>
      </c>
      <c r="AE907" s="4">
        <f t="shared" si="74"/>
        <v>41509</v>
      </c>
      <c r="AF907" s="6" t="e">
        <f t="shared" si="75"/>
        <v>#DIV/0!</v>
      </c>
      <c r="AG907" s="4">
        <v>41509</v>
      </c>
      <c r="AH907" s="6">
        <v>-0.73799899999999996</v>
      </c>
      <c r="AI907" s="6">
        <v>-0.23371600000000001</v>
      </c>
      <c r="AJ907" s="6">
        <v>8.2699999999999996E-2</v>
      </c>
      <c r="AK907" s="6"/>
      <c r="AL907" s="6"/>
      <c r="AM907" s="6" t="e">
        <f t="shared" si="77"/>
        <v>#DIV/0!</v>
      </c>
    </row>
    <row r="908" spans="29:39" x14ac:dyDescent="0.3">
      <c r="AC908">
        <f t="shared" si="76"/>
        <v>0</v>
      </c>
      <c r="AD908">
        <v>905</v>
      </c>
      <c r="AE908" s="4">
        <f t="shared" si="74"/>
        <v>41512</v>
      </c>
      <c r="AF908" s="6" t="e">
        <f t="shared" si="75"/>
        <v>#DIV/0!</v>
      </c>
      <c r="AG908" s="4">
        <v>41512</v>
      </c>
      <c r="AH908" s="6">
        <v>2.1289250000000002</v>
      </c>
      <c r="AI908" s="6">
        <v>2.084444</v>
      </c>
      <c r="AJ908" s="6">
        <v>1.9727269999999999</v>
      </c>
      <c r="AK908" s="6"/>
      <c r="AL908" s="6"/>
      <c r="AM908" s="6" t="e">
        <f t="shared" si="77"/>
        <v>#DIV/0!</v>
      </c>
    </row>
    <row r="909" spans="29:39" x14ac:dyDescent="0.3">
      <c r="AC909">
        <f t="shared" si="76"/>
        <v>0</v>
      </c>
      <c r="AD909">
        <v>906</v>
      </c>
      <c r="AE909" s="4">
        <f t="shared" si="74"/>
        <v>41513</v>
      </c>
      <c r="AF909" s="6" t="e">
        <f t="shared" si="75"/>
        <v>#DIV/0!</v>
      </c>
      <c r="AG909" s="4">
        <v>41513</v>
      </c>
      <c r="AH909" s="6">
        <v>0.22542200000000001</v>
      </c>
      <c r="AI909" s="6">
        <v>0.76965799999999995</v>
      </c>
      <c r="AJ909" s="6">
        <v>0.91412300000000002</v>
      </c>
      <c r="AK909" s="6"/>
      <c r="AL909" s="6"/>
      <c r="AM909" s="6" t="e">
        <f t="shared" si="77"/>
        <v>#DIV/0!</v>
      </c>
    </row>
    <row r="910" spans="29:39" x14ac:dyDescent="0.3">
      <c r="AC910">
        <f t="shared" si="76"/>
        <v>0</v>
      </c>
      <c r="AD910">
        <v>907</v>
      </c>
      <c r="AE910" s="4">
        <f t="shared" si="74"/>
        <v>41514</v>
      </c>
      <c r="AF910" s="6" t="e">
        <f t="shared" si="75"/>
        <v>#DIV/0!</v>
      </c>
      <c r="AG910" s="4">
        <v>41514</v>
      </c>
      <c r="AH910" s="6">
        <v>-0.547871</v>
      </c>
      <c r="AI910" s="6">
        <v>-0.75501799999999997</v>
      </c>
      <c r="AJ910" s="6">
        <v>-1.1241000000000001</v>
      </c>
      <c r="AK910" s="6"/>
      <c r="AL910" s="6"/>
      <c r="AM910" s="6" t="e">
        <f t="shared" si="77"/>
        <v>#DIV/0!</v>
      </c>
    </row>
    <row r="911" spans="29:39" x14ac:dyDescent="0.3">
      <c r="AC911">
        <f t="shared" si="76"/>
        <v>0</v>
      </c>
      <c r="AD911">
        <v>908</v>
      </c>
      <c r="AE911" s="4">
        <f t="shared" si="74"/>
        <v>41515</v>
      </c>
      <c r="AF911" s="6" t="e">
        <f t="shared" si="75"/>
        <v>#DIV/0!</v>
      </c>
      <c r="AG911" s="4">
        <v>41515</v>
      </c>
      <c r="AH911" s="6">
        <v>-0.41859000000000002</v>
      </c>
      <c r="AI911" s="6">
        <v>-7.6594999999999996E-2</v>
      </c>
      <c r="AJ911" s="6">
        <v>6.6252000000000005E-2</v>
      </c>
      <c r="AK911" s="6"/>
      <c r="AL911" s="6"/>
      <c r="AM911" s="6" t="e">
        <f t="shared" si="77"/>
        <v>#DIV/0!</v>
      </c>
    </row>
    <row r="912" spans="29:39" x14ac:dyDescent="0.3">
      <c r="AC912">
        <f t="shared" si="76"/>
        <v>0</v>
      </c>
      <c r="AD912">
        <v>909</v>
      </c>
      <c r="AE912" s="4">
        <f t="shared" si="74"/>
        <v>41516</v>
      </c>
      <c r="AF912" s="6" t="e">
        <f t="shared" si="75"/>
        <v>#DIV/0!</v>
      </c>
      <c r="AG912" s="4">
        <v>41516</v>
      </c>
      <c r="AH912" s="6">
        <v>-0.189836</v>
      </c>
      <c r="AI912" s="6">
        <v>-0.99795100000000003</v>
      </c>
      <c r="AJ912" s="6">
        <v>-1.8553120000000001</v>
      </c>
      <c r="AK912" s="6"/>
      <c r="AL912" s="6"/>
      <c r="AM912" s="6" t="e">
        <f t="shared" si="77"/>
        <v>#DIV/0!</v>
      </c>
    </row>
    <row r="913" spans="29:39" x14ac:dyDescent="0.3">
      <c r="AC913">
        <f t="shared" si="76"/>
        <v>0</v>
      </c>
      <c r="AD913">
        <v>910</v>
      </c>
      <c r="AE913" s="4">
        <f t="shared" si="74"/>
        <v>41519</v>
      </c>
      <c r="AF913" s="6" t="e">
        <f t="shared" si="75"/>
        <v>#DIV/0!</v>
      </c>
      <c r="AG913" s="4">
        <v>41519</v>
      </c>
      <c r="AH913" s="6">
        <v>0.278057</v>
      </c>
      <c r="AI913" s="6">
        <v>0.70442000000000005</v>
      </c>
      <c r="AJ913" s="6">
        <v>0.87650099999999997</v>
      </c>
      <c r="AK913" s="6"/>
      <c r="AL913" s="6"/>
      <c r="AM913" s="6" t="e">
        <f t="shared" si="77"/>
        <v>#DIV/0!</v>
      </c>
    </row>
    <row r="914" spans="29:39" x14ac:dyDescent="0.3">
      <c r="AC914">
        <f t="shared" si="76"/>
        <v>0</v>
      </c>
      <c r="AD914">
        <v>911</v>
      </c>
      <c r="AE914" s="4">
        <f t="shared" si="74"/>
        <v>41520</v>
      </c>
      <c r="AF914" s="6" t="e">
        <f t="shared" si="75"/>
        <v>#DIV/0!</v>
      </c>
      <c r="AG914" s="4">
        <v>41520</v>
      </c>
      <c r="AH914" s="6">
        <v>1.4721089999999999</v>
      </c>
      <c r="AI914" s="6">
        <v>1.4881470000000001</v>
      </c>
      <c r="AJ914" s="6">
        <v>1.718118</v>
      </c>
      <c r="AK914" s="6"/>
      <c r="AL914" s="6"/>
      <c r="AM914" s="6" t="e">
        <f t="shared" si="77"/>
        <v>#DIV/0!</v>
      </c>
    </row>
    <row r="915" spans="29:39" x14ac:dyDescent="0.3">
      <c r="AC915">
        <f t="shared" si="76"/>
        <v>0</v>
      </c>
      <c r="AD915">
        <v>912</v>
      </c>
      <c r="AE915" s="4">
        <f t="shared" si="74"/>
        <v>41521</v>
      </c>
      <c r="AF915" s="6" t="e">
        <f t="shared" si="75"/>
        <v>#DIV/0!</v>
      </c>
      <c r="AG915" s="4">
        <v>41521</v>
      </c>
      <c r="AH915" s="6">
        <v>-0.16152</v>
      </c>
      <c r="AI915" s="6">
        <v>0.27685900000000002</v>
      </c>
      <c r="AJ915" s="6">
        <v>0.186116</v>
      </c>
      <c r="AK915" s="6"/>
      <c r="AL915" s="6"/>
      <c r="AM915" s="6" t="e">
        <f t="shared" si="77"/>
        <v>#DIV/0!</v>
      </c>
    </row>
    <row r="916" spans="29:39" x14ac:dyDescent="0.3">
      <c r="AC916">
        <f t="shared" si="76"/>
        <v>0</v>
      </c>
      <c r="AD916">
        <v>913</v>
      </c>
      <c r="AE916" s="4">
        <f t="shared" si="74"/>
        <v>41522</v>
      </c>
      <c r="AF916" s="6" t="e">
        <f t="shared" si="75"/>
        <v>#DIV/0!</v>
      </c>
      <c r="AG916" s="4">
        <v>41522</v>
      </c>
      <c r="AH916" s="6">
        <v>-0.38133299999999998</v>
      </c>
      <c r="AI916" s="6">
        <v>0.19519400000000001</v>
      </c>
      <c r="AJ916" s="6">
        <v>0.60171799999999998</v>
      </c>
      <c r="AK916" s="6"/>
      <c r="AL916" s="6"/>
      <c r="AM916" s="6" t="e">
        <f t="shared" si="77"/>
        <v>#DIV/0!</v>
      </c>
    </row>
    <row r="917" spans="29:39" x14ac:dyDescent="0.3">
      <c r="AC917">
        <f t="shared" si="76"/>
        <v>0</v>
      </c>
      <c r="AD917">
        <v>914</v>
      </c>
      <c r="AE917" s="4">
        <f t="shared" si="74"/>
        <v>41523</v>
      </c>
      <c r="AF917" s="6" t="e">
        <f t="shared" si="75"/>
        <v>#DIV/0!</v>
      </c>
      <c r="AG917" s="4">
        <v>41523</v>
      </c>
      <c r="AH917" s="6">
        <v>0.68526100000000001</v>
      </c>
      <c r="AI917" s="6">
        <v>0.80431699999999995</v>
      </c>
      <c r="AJ917" s="6">
        <v>0.641289</v>
      </c>
      <c r="AK917" s="6"/>
      <c r="AL917" s="6"/>
      <c r="AM917" s="6" t="e">
        <f t="shared" si="77"/>
        <v>#DIV/0!</v>
      </c>
    </row>
    <row r="918" spans="29:39" x14ac:dyDescent="0.3">
      <c r="AC918">
        <f t="shared" si="76"/>
        <v>0</v>
      </c>
      <c r="AD918">
        <v>915</v>
      </c>
      <c r="AE918" s="4">
        <f t="shared" si="74"/>
        <v>41526</v>
      </c>
      <c r="AF918" s="6" t="e">
        <f t="shared" si="75"/>
        <v>#DIV/0!</v>
      </c>
      <c r="AG918" s="4">
        <v>41526</v>
      </c>
      <c r="AH918" s="6">
        <v>3.5129199999999998</v>
      </c>
      <c r="AI918" s="6">
        <v>1.0307599999999999</v>
      </c>
      <c r="AJ918" s="6">
        <v>0.40170400000000001</v>
      </c>
      <c r="AK918" s="6"/>
      <c r="AL918" s="6"/>
      <c r="AM918" s="6" t="e">
        <f t="shared" si="77"/>
        <v>#DIV/0!</v>
      </c>
    </row>
    <row r="919" spans="29:39" x14ac:dyDescent="0.3">
      <c r="AC919">
        <f t="shared" si="76"/>
        <v>0</v>
      </c>
      <c r="AD919">
        <v>916</v>
      </c>
      <c r="AE919" s="4">
        <f t="shared" si="74"/>
        <v>41527</v>
      </c>
      <c r="AF919" s="6" t="e">
        <f t="shared" si="75"/>
        <v>#DIV/0!</v>
      </c>
      <c r="AG919" s="4">
        <v>41527</v>
      </c>
      <c r="AH919" s="6">
        <v>1.4047719999999999</v>
      </c>
      <c r="AI919" s="6">
        <v>1.01766</v>
      </c>
      <c r="AJ919" s="6">
        <v>0.40762500000000002</v>
      </c>
      <c r="AK919" s="6"/>
      <c r="AL919" s="6"/>
      <c r="AM919" s="6" t="e">
        <f t="shared" si="77"/>
        <v>#DIV/0!</v>
      </c>
    </row>
    <row r="920" spans="29:39" x14ac:dyDescent="0.3">
      <c r="AC920">
        <f t="shared" si="76"/>
        <v>0</v>
      </c>
      <c r="AD920">
        <v>917</v>
      </c>
      <c r="AE920" s="4">
        <f t="shared" si="74"/>
        <v>41528</v>
      </c>
      <c r="AF920" s="6" t="e">
        <f t="shared" si="75"/>
        <v>#DIV/0!</v>
      </c>
      <c r="AG920" s="4">
        <v>41528</v>
      </c>
      <c r="AH920" s="6">
        <v>0.323044</v>
      </c>
      <c r="AI920" s="6">
        <v>-0.94718999999999998</v>
      </c>
      <c r="AJ920" s="6">
        <v>-1.573469</v>
      </c>
      <c r="AK920" s="6"/>
      <c r="AL920" s="6"/>
      <c r="AM920" s="6" t="e">
        <f t="shared" si="77"/>
        <v>#DIV/0!</v>
      </c>
    </row>
    <row r="921" spans="29:39" x14ac:dyDescent="0.3">
      <c r="AC921">
        <f t="shared" si="76"/>
        <v>0</v>
      </c>
      <c r="AD921">
        <v>918</v>
      </c>
      <c r="AE921" s="4">
        <f t="shared" si="74"/>
        <v>41529</v>
      </c>
      <c r="AF921" s="6" t="e">
        <f t="shared" si="75"/>
        <v>#DIV/0!</v>
      </c>
      <c r="AG921" s="4">
        <v>41529</v>
      </c>
      <c r="AH921" s="6">
        <v>0.98941199999999996</v>
      </c>
      <c r="AI921" s="6">
        <v>0.28193200000000002</v>
      </c>
      <c r="AJ921" s="6">
        <v>9.1690000000000001E-3</v>
      </c>
      <c r="AK921" s="6"/>
      <c r="AL921" s="6"/>
      <c r="AM921" s="6" t="e">
        <f t="shared" si="77"/>
        <v>#DIV/0!</v>
      </c>
    </row>
    <row r="922" spans="29:39" x14ac:dyDescent="0.3">
      <c r="AC922">
        <f t="shared" si="76"/>
        <v>0</v>
      </c>
      <c r="AD922">
        <v>919</v>
      </c>
      <c r="AE922" s="4">
        <f t="shared" si="74"/>
        <v>41530</v>
      </c>
      <c r="AF922" s="6" t="e">
        <f t="shared" si="75"/>
        <v>#DIV/0!</v>
      </c>
      <c r="AG922" s="4">
        <v>41530</v>
      </c>
      <c r="AH922" s="6">
        <v>-0.73991399999999996</v>
      </c>
      <c r="AI922" s="6">
        <v>0.123587</v>
      </c>
      <c r="AJ922" s="6">
        <v>0.78342500000000004</v>
      </c>
      <c r="AK922" s="6"/>
      <c r="AL922" s="6"/>
      <c r="AM922" s="6" t="e">
        <f t="shared" si="77"/>
        <v>#DIV/0!</v>
      </c>
    </row>
    <row r="923" spans="29:39" x14ac:dyDescent="0.3">
      <c r="AC923">
        <f t="shared" si="76"/>
        <v>0</v>
      </c>
      <c r="AD923">
        <v>920</v>
      </c>
      <c r="AE923" s="4">
        <f t="shared" si="74"/>
        <v>41533</v>
      </c>
      <c r="AF923" s="6" t="e">
        <f t="shared" si="75"/>
        <v>#DIV/0!</v>
      </c>
      <c r="AG923" s="4">
        <v>41533</v>
      </c>
      <c r="AH923" s="6">
        <v>-0.42235499999999998</v>
      </c>
      <c r="AI923" s="6">
        <v>0.113953</v>
      </c>
      <c r="AJ923" s="6">
        <v>0.73600699999999997</v>
      </c>
      <c r="AK923" s="6"/>
      <c r="AL923" s="6"/>
      <c r="AM923" s="6" t="e">
        <f t="shared" si="77"/>
        <v>#DIV/0!</v>
      </c>
    </row>
    <row r="924" spans="29:39" x14ac:dyDescent="0.3">
      <c r="AC924">
        <f t="shared" si="76"/>
        <v>0</v>
      </c>
      <c r="AD924">
        <v>921</v>
      </c>
      <c r="AE924" s="4">
        <f t="shared" si="74"/>
        <v>41534</v>
      </c>
      <c r="AF924" s="6" t="e">
        <f t="shared" si="75"/>
        <v>#DIV/0!</v>
      </c>
      <c r="AG924" s="4">
        <v>41534</v>
      </c>
      <c r="AH924" s="6">
        <v>-2.0605310000000001</v>
      </c>
      <c r="AI924" s="6">
        <v>-1.7621</v>
      </c>
      <c r="AJ924" s="6">
        <v>-1.3667320000000001</v>
      </c>
      <c r="AK924" s="6"/>
      <c r="AL924" s="6"/>
      <c r="AM924" s="6" t="e">
        <f t="shared" si="77"/>
        <v>#DIV/0!</v>
      </c>
    </row>
    <row r="925" spans="29:39" x14ac:dyDescent="0.3">
      <c r="AC925">
        <f t="shared" si="76"/>
        <v>0</v>
      </c>
      <c r="AD925">
        <v>922</v>
      </c>
      <c r="AE925" s="4">
        <f t="shared" si="74"/>
        <v>41535</v>
      </c>
      <c r="AF925" s="6" t="e">
        <f t="shared" si="75"/>
        <v>#DIV/0!</v>
      </c>
      <c r="AG925" s="4">
        <v>41535</v>
      </c>
      <c r="AH925" s="6">
        <v>0.21373300000000001</v>
      </c>
      <c r="AI925" s="6">
        <v>0.94633500000000004</v>
      </c>
      <c r="AJ925" s="6">
        <v>0.94990699999999995</v>
      </c>
      <c r="AK925" s="6"/>
      <c r="AL925" s="6"/>
      <c r="AM925" s="6" t="e">
        <f t="shared" si="77"/>
        <v>#DIV/0!</v>
      </c>
    </row>
    <row r="926" spans="29:39" x14ac:dyDescent="0.3">
      <c r="AC926">
        <f t="shared" si="76"/>
        <v>0</v>
      </c>
      <c r="AD926">
        <v>923</v>
      </c>
      <c r="AE926" s="4">
        <f t="shared" si="74"/>
        <v>41540</v>
      </c>
      <c r="AF926" s="6" t="e">
        <f t="shared" si="75"/>
        <v>#DIV/0!</v>
      </c>
      <c r="AG926" s="4">
        <v>41540</v>
      </c>
      <c r="AH926" s="6">
        <v>1.6352660000000001</v>
      </c>
      <c r="AI926" s="6">
        <v>2.0277210000000001</v>
      </c>
      <c r="AJ926" s="6">
        <v>2.05369</v>
      </c>
      <c r="AK926" s="6"/>
      <c r="AL926" s="6"/>
      <c r="AM926" s="6" t="e">
        <f t="shared" si="77"/>
        <v>#DIV/0!</v>
      </c>
    </row>
    <row r="927" spans="29:39" x14ac:dyDescent="0.3">
      <c r="AC927">
        <f t="shared" si="76"/>
        <v>0</v>
      </c>
      <c r="AD927">
        <v>924</v>
      </c>
      <c r="AE927" s="4">
        <f t="shared" si="74"/>
        <v>41541</v>
      </c>
      <c r="AF927" s="6" t="e">
        <f t="shared" si="75"/>
        <v>#DIV/0!</v>
      </c>
      <c r="AG927" s="4">
        <v>41541</v>
      </c>
      <c r="AH927" s="6">
        <v>-1.148855</v>
      </c>
      <c r="AI927" s="6">
        <v>9.9830000000000002E-2</v>
      </c>
      <c r="AJ927" s="6">
        <v>0.282194</v>
      </c>
      <c r="AK927" s="6"/>
      <c r="AL927" s="6"/>
      <c r="AM927" s="6" t="e">
        <f t="shared" si="77"/>
        <v>#DIV/0!</v>
      </c>
    </row>
    <row r="928" spans="29:39" x14ac:dyDescent="0.3">
      <c r="AC928">
        <f t="shared" si="76"/>
        <v>0</v>
      </c>
      <c r="AD928">
        <v>925</v>
      </c>
      <c r="AE928" s="4">
        <f t="shared" si="74"/>
        <v>41542</v>
      </c>
      <c r="AF928" s="6" t="e">
        <f t="shared" si="75"/>
        <v>#DIV/0!</v>
      </c>
      <c r="AG928" s="4">
        <v>41542</v>
      </c>
      <c r="AH928" s="6">
        <v>-0.60784400000000005</v>
      </c>
      <c r="AI928" s="6">
        <v>-0.366259</v>
      </c>
      <c r="AJ928" s="6">
        <v>-0.476101</v>
      </c>
      <c r="AK928" s="6"/>
      <c r="AL928" s="6"/>
      <c r="AM928" s="6" t="e">
        <f t="shared" si="77"/>
        <v>#DIV/0!</v>
      </c>
    </row>
    <row r="929" spans="29:39" x14ac:dyDescent="0.3">
      <c r="AC929">
        <f t="shared" si="76"/>
        <v>0</v>
      </c>
      <c r="AD929">
        <v>926</v>
      </c>
      <c r="AE929" s="4">
        <f t="shared" si="74"/>
        <v>41543</v>
      </c>
      <c r="AF929" s="6" t="e">
        <f t="shared" si="75"/>
        <v>#DIV/0!</v>
      </c>
      <c r="AG929" s="4">
        <v>41543</v>
      </c>
      <c r="AH929" s="6">
        <v>-1.8355889999999999</v>
      </c>
      <c r="AI929" s="6">
        <v>-2.082808</v>
      </c>
      <c r="AJ929" s="6">
        <v>-1.549704</v>
      </c>
      <c r="AK929" s="6"/>
      <c r="AL929" s="6"/>
      <c r="AM929" s="6" t="e">
        <f t="shared" si="77"/>
        <v>#DIV/0!</v>
      </c>
    </row>
    <row r="930" spans="29:39" x14ac:dyDescent="0.3">
      <c r="AC930">
        <f t="shared" si="76"/>
        <v>0</v>
      </c>
      <c r="AD930">
        <v>927</v>
      </c>
      <c r="AE930" s="4">
        <f t="shared" si="74"/>
        <v>41544</v>
      </c>
      <c r="AF930" s="6" t="e">
        <f t="shared" si="75"/>
        <v>#DIV/0!</v>
      </c>
      <c r="AG930" s="4">
        <v>41544</v>
      </c>
      <c r="AH930" s="6">
        <v>0.441529</v>
      </c>
      <c r="AI930" s="6">
        <v>0.381859</v>
      </c>
      <c r="AJ930" s="6">
        <v>0.355215</v>
      </c>
      <c r="AK930" s="6"/>
      <c r="AL930" s="6"/>
      <c r="AM930" s="6" t="e">
        <f t="shared" si="77"/>
        <v>#DIV/0!</v>
      </c>
    </row>
    <row r="931" spans="29:39" x14ac:dyDescent="0.3">
      <c r="AC931">
        <f t="shared" si="76"/>
        <v>0</v>
      </c>
      <c r="AD931">
        <v>928</v>
      </c>
      <c r="AE931" s="4">
        <f t="shared" si="74"/>
        <v>41547</v>
      </c>
      <c r="AF931" s="6" t="e">
        <f t="shared" si="75"/>
        <v>#DIV/0!</v>
      </c>
      <c r="AG931" s="4">
        <v>41547</v>
      </c>
      <c r="AH931" s="6">
        <v>0.587314</v>
      </c>
      <c r="AI931" s="6">
        <v>1.311488</v>
      </c>
      <c r="AJ931" s="6">
        <v>1.7457560000000001</v>
      </c>
      <c r="AK931" s="6"/>
      <c r="AL931" s="6"/>
      <c r="AM931" s="6" t="e">
        <f t="shared" si="77"/>
        <v>#DIV/0!</v>
      </c>
    </row>
    <row r="932" spans="29:39" x14ac:dyDescent="0.3">
      <c r="AC932">
        <f t="shared" si="76"/>
        <v>0</v>
      </c>
      <c r="AD932">
        <v>929</v>
      </c>
      <c r="AE932" s="4">
        <f t="shared" si="74"/>
        <v>41555</v>
      </c>
      <c r="AF932" s="6" t="e">
        <f t="shared" si="75"/>
        <v>#DIV/0!</v>
      </c>
      <c r="AG932" s="4">
        <v>41555</v>
      </c>
      <c r="AH932" s="6">
        <v>1.3604609999999999</v>
      </c>
      <c r="AI932" s="6">
        <v>1.6828510000000001</v>
      </c>
      <c r="AJ932" s="6">
        <v>1.607491</v>
      </c>
      <c r="AK932" s="6"/>
      <c r="AL932" s="6"/>
      <c r="AM932" s="6" t="e">
        <f t="shared" si="77"/>
        <v>#DIV/0!</v>
      </c>
    </row>
    <row r="933" spans="29:39" x14ac:dyDescent="0.3">
      <c r="AC933">
        <f t="shared" si="76"/>
        <v>0</v>
      </c>
      <c r="AD933">
        <v>930</v>
      </c>
      <c r="AE933" s="4">
        <f t="shared" si="74"/>
        <v>41556</v>
      </c>
      <c r="AF933" s="6" t="e">
        <f t="shared" si="75"/>
        <v>#DIV/0!</v>
      </c>
      <c r="AG933" s="4">
        <v>41556</v>
      </c>
      <c r="AH933" s="6">
        <v>0.482101</v>
      </c>
      <c r="AI933" s="6">
        <v>1.0916520000000001</v>
      </c>
      <c r="AJ933" s="6">
        <v>1.5370600000000001</v>
      </c>
      <c r="AK933" s="6"/>
      <c r="AL933" s="6"/>
      <c r="AM933" s="6" t="e">
        <f t="shared" si="77"/>
        <v>#DIV/0!</v>
      </c>
    </row>
    <row r="934" spans="29:39" x14ac:dyDescent="0.3">
      <c r="AC934">
        <f t="shared" si="76"/>
        <v>0</v>
      </c>
      <c r="AD934">
        <v>931</v>
      </c>
      <c r="AE934" s="4">
        <f t="shared" si="74"/>
        <v>41557</v>
      </c>
      <c r="AF934" s="6" t="e">
        <f t="shared" si="75"/>
        <v>#DIV/0!</v>
      </c>
      <c r="AG934" s="4">
        <v>41557</v>
      </c>
      <c r="AH934" s="6">
        <v>-0.98900299999999997</v>
      </c>
      <c r="AI934" s="6">
        <v>-0.53824899999999998</v>
      </c>
      <c r="AJ934" s="6">
        <v>-0.96599699999999999</v>
      </c>
      <c r="AK934" s="6"/>
      <c r="AL934" s="6"/>
      <c r="AM934" s="6" t="e">
        <f t="shared" si="77"/>
        <v>#DIV/0!</v>
      </c>
    </row>
    <row r="935" spans="29:39" x14ac:dyDescent="0.3">
      <c r="AC935">
        <f t="shared" si="76"/>
        <v>0</v>
      </c>
      <c r="AD935">
        <v>932</v>
      </c>
      <c r="AE935" s="4">
        <f t="shared" si="74"/>
        <v>41558</v>
      </c>
      <c r="AF935" s="6" t="e">
        <f t="shared" si="75"/>
        <v>#DIV/0!</v>
      </c>
      <c r="AG935" s="4">
        <v>41558</v>
      </c>
      <c r="AH935" s="6">
        <v>1.6132519999999999</v>
      </c>
      <c r="AI935" s="6">
        <v>1.6993</v>
      </c>
      <c r="AJ935" s="6">
        <v>1.0071870000000001</v>
      </c>
      <c r="AK935" s="6"/>
      <c r="AL935" s="6"/>
      <c r="AM935" s="6" t="e">
        <f t="shared" si="77"/>
        <v>#DIV/0!</v>
      </c>
    </row>
    <row r="936" spans="29:39" x14ac:dyDescent="0.3">
      <c r="AC936">
        <f t="shared" si="76"/>
        <v>0</v>
      </c>
      <c r="AD936">
        <v>933</v>
      </c>
      <c r="AE936" s="4">
        <f t="shared" si="74"/>
        <v>41561</v>
      </c>
      <c r="AF936" s="6" t="e">
        <f t="shared" si="75"/>
        <v>#DIV/0!</v>
      </c>
      <c r="AG936" s="4">
        <v>41561</v>
      </c>
      <c r="AH936" s="6">
        <v>0.16341900000000001</v>
      </c>
      <c r="AI936" s="6">
        <v>1.028181</v>
      </c>
      <c r="AJ936" s="6">
        <v>1.134304</v>
      </c>
      <c r="AK936" s="6"/>
      <c r="AL936" s="6"/>
      <c r="AM936" s="6" t="e">
        <f t="shared" si="77"/>
        <v>#DIV/0!</v>
      </c>
    </row>
    <row r="937" spans="29:39" x14ac:dyDescent="0.3">
      <c r="AC937">
        <f t="shared" si="76"/>
        <v>0</v>
      </c>
      <c r="AD937">
        <v>934</v>
      </c>
      <c r="AE937" s="4">
        <f t="shared" si="74"/>
        <v>41562</v>
      </c>
      <c r="AF937" s="6" t="e">
        <f t="shared" si="75"/>
        <v>#DIV/0!</v>
      </c>
      <c r="AG937" s="4">
        <v>41562</v>
      </c>
      <c r="AH937" s="6">
        <v>-0.203232</v>
      </c>
      <c r="AI937" s="6">
        <v>0.141656</v>
      </c>
      <c r="AJ937" s="6">
        <v>-6.7381999999999997E-2</v>
      </c>
      <c r="AK937" s="6"/>
      <c r="AL937" s="6"/>
      <c r="AM937" s="6" t="e">
        <f t="shared" si="77"/>
        <v>#DIV/0!</v>
      </c>
    </row>
    <row r="938" spans="29:39" x14ac:dyDescent="0.3">
      <c r="AC938">
        <f t="shared" si="76"/>
        <v>0</v>
      </c>
      <c r="AD938">
        <v>935</v>
      </c>
      <c r="AE938" s="4">
        <f t="shared" si="74"/>
        <v>41563</v>
      </c>
      <c r="AF938" s="6" t="e">
        <f t="shared" si="75"/>
        <v>#DIV/0!</v>
      </c>
      <c r="AG938" s="4">
        <v>41563</v>
      </c>
      <c r="AH938" s="6">
        <v>-1.870139</v>
      </c>
      <c r="AI938" s="6">
        <v>-2.7213729999999998</v>
      </c>
      <c r="AJ938" s="6">
        <v>-3.0892189999999999</v>
      </c>
      <c r="AK938" s="6"/>
      <c r="AL938" s="6"/>
      <c r="AM938" s="6" t="e">
        <f t="shared" si="77"/>
        <v>#DIV/0!</v>
      </c>
    </row>
    <row r="939" spans="29:39" x14ac:dyDescent="0.3">
      <c r="AC939">
        <f t="shared" si="76"/>
        <v>0</v>
      </c>
      <c r="AD939">
        <v>936</v>
      </c>
      <c r="AE939" s="4">
        <f t="shared" si="74"/>
        <v>41564</v>
      </c>
      <c r="AF939" s="6" t="e">
        <f t="shared" si="75"/>
        <v>#DIV/0!</v>
      </c>
      <c r="AG939" s="4">
        <v>41564</v>
      </c>
      <c r="AH939" s="6">
        <v>-0.33208500000000002</v>
      </c>
      <c r="AI939" s="6">
        <v>-0.15762499999999999</v>
      </c>
      <c r="AJ939" s="6">
        <v>-2.1045999999999999E-2</v>
      </c>
      <c r="AK939" s="6"/>
      <c r="AL939" s="6"/>
      <c r="AM939" s="6" t="e">
        <f t="shared" si="77"/>
        <v>#DIV/0!</v>
      </c>
    </row>
    <row r="940" spans="29:39" x14ac:dyDescent="0.3">
      <c r="AC940">
        <f t="shared" si="76"/>
        <v>0</v>
      </c>
      <c r="AD940">
        <v>937</v>
      </c>
      <c r="AE940" s="4">
        <f t="shared" si="74"/>
        <v>41565</v>
      </c>
      <c r="AF940" s="6" t="e">
        <f t="shared" si="75"/>
        <v>#DIV/0!</v>
      </c>
      <c r="AG940" s="4">
        <v>41565</v>
      </c>
      <c r="AH940" s="6">
        <v>0.52723799999999998</v>
      </c>
      <c r="AI940" s="6">
        <v>0.34561799999999998</v>
      </c>
      <c r="AJ940" s="6">
        <v>0.71309500000000003</v>
      </c>
      <c r="AK940" s="6"/>
      <c r="AL940" s="6"/>
      <c r="AM940" s="6" t="e">
        <f t="shared" si="77"/>
        <v>#DIV/0!</v>
      </c>
    </row>
    <row r="941" spans="29:39" x14ac:dyDescent="0.3">
      <c r="AC941">
        <f t="shared" si="76"/>
        <v>0</v>
      </c>
      <c r="AD941">
        <v>938</v>
      </c>
      <c r="AE941" s="4">
        <f t="shared" si="74"/>
        <v>41568</v>
      </c>
      <c r="AF941" s="6" t="e">
        <f t="shared" si="75"/>
        <v>#DIV/0!</v>
      </c>
      <c r="AG941" s="4">
        <v>41568</v>
      </c>
      <c r="AH941" s="6">
        <v>1.8659110000000001</v>
      </c>
      <c r="AI941" s="6">
        <v>2.4779879999999999</v>
      </c>
      <c r="AJ941" s="6">
        <v>2.7203369999999998</v>
      </c>
      <c r="AK941" s="6"/>
      <c r="AL941" s="6"/>
      <c r="AM941" s="6" t="e">
        <f t="shared" si="77"/>
        <v>#DIV/0!</v>
      </c>
    </row>
    <row r="942" spans="29:39" x14ac:dyDescent="0.3">
      <c r="AC942">
        <f t="shared" si="76"/>
        <v>0</v>
      </c>
      <c r="AD942">
        <v>939</v>
      </c>
      <c r="AE942" s="4">
        <f t="shared" si="74"/>
        <v>41569</v>
      </c>
      <c r="AF942" s="6" t="e">
        <f t="shared" si="75"/>
        <v>#DIV/0!</v>
      </c>
      <c r="AG942" s="4">
        <v>41569</v>
      </c>
      <c r="AH942" s="6">
        <v>-1.0290440000000001</v>
      </c>
      <c r="AI942" s="6">
        <v>-1.0448919999999999</v>
      </c>
      <c r="AJ942" s="6">
        <v>-1.1206179999999999</v>
      </c>
      <c r="AK942" s="6"/>
      <c r="AL942" s="6"/>
      <c r="AM942" s="6" t="e">
        <f t="shared" si="77"/>
        <v>#DIV/0!</v>
      </c>
    </row>
    <row r="943" spans="29:39" x14ac:dyDescent="0.3">
      <c r="AC943">
        <f t="shared" si="76"/>
        <v>0</v>
      </c>
      <c r="AD943">
        <v>940</v>
      </c>
      <c r="AE943" s="4">
        <f t="shared" si="74"/>
        <v>41570</v>
      </c>
      <c r="AF943" s="6" t="e">
        <f t="shared" si="75"/>
        <v>#DIV/0!</v>
      </c>
      <c r="AG943" s="4">
        <v>41570</v>
      </c>
      <c r="AH943" s="6">
        <v>-1.1202460000000001</v>
      </c>
      <c r="AI943" s="6">
        <v>-2.5405829999999998</v>
      </c>
      <c r="AJ943" s="6">
        <v>-2.5399949999999998</v>
      </c>
      <c r="AK943" s="6"/>
      <c r="AL943" s="6"/>
      <c r="AM943" s="6" t="e">
        <f t="shared" si="77"/>
        <v>#DIV/0!</v>
      </c>
    </row>
    <row r="944" spans="29:39" x14ac:dyDescent="0.3">
      <c r="AC944">
        <f t="shared" si="76"/>
        <v>0</v>
      </c>
      <c r="AD944">
        <v>941</v>
      </c>
      <c r="AE944" s="4">
        <f t="shared" si="74"/>
        <v>41571</v>
      </c>
      <c r="AF944" s="6" t="e">
        <f t="shared" si="75"/>
        <v>#DIV/0!</v>
      </c>
      <c r="AG944" s="4">
        <v>41571</v>
      </c>
      <c r="AH944" s="6">
        <v>-0.74343899999999996</v>
      </c>
      <c r="AI944" s="6">
        <v>-0.66415800000000003</v>
      </c>
      <c r="AJ944" s="6">
        <v>-0.76287700000000003</v>
      </c>
      <c r="AK944" s="6"/>
      <c r="AL944" s="6"/>
      <c r="AM944" s="6" t="e">
        <f t="shared" si="77"/>
        <v>#DIV/0!</v>
      </c>
    </row>
    <row r="945" spans="29:39" x14ac:dyDescent="0.3">
      <c r="AC945">
        <f t="shared" si="76"/>
        <v>0</v>
      </c>
      <c r="AD945">
        <v>942</v>
      </c>
      <c r="AE945" s="4">
        <f t="shared" si="74"/>
        <v>41572</v>
      </c>
      <c r="AF945" s="6" t="e">
        <f t="shared" si="75"/>
        <v>#DIV/0!</v>
      </c>
      <c r="AG945" s="4">
        <v>41572</v>
      </c>
      <c r="AH945" s="6">
        <v>-1.3310500000000001</v>
      </c>
      <c r="AI945" s="6">
        <v>-1.959311</v>
      </c>
      <c r="AJ945" s="6">
        <v>-1.8128960000000001</v>
      </c>
      <c r="AK945" s="6"/>
      <c r="AL945" s="6"/>
      <c r="AM945" s="6" t="e">
        <f t="shared" si="77"/>
        <v>#DIV/0!</v>
      </c>
    </row>
    <row r="946" spans="29:39" x14ac:dyDescent="0.3">
      <c r="AC946">
        <f t="shared" si="76"/>
        <v>0</v>
      </c>
      <c r="AD946">
        <v>943</v>
      </c>
      <c r="AE946" s="4">
        <f t="shared" si="74"/>
        <v>41575</v>
      </c>
      <c r="AF946" s="6" t="e">
        <f t="shared" si="75"/>
        <v>#DIV/0!</v>
      </c>
      <c r="AG946" s="4">
        <v>41575</v>
      </c>
      <c r="AH946" s="6">
        <v>-0.109982</v>
      </c>
      <c r="AI946" s="6">
        <v>-0.342144</v>
      </c>
      <c r="AJ946" s="6">
        <v>-9.6363000000000004E-2</v>
      </c>
      <c r="AK946" s="6"/>
      <c r="AL946" s="6"/>
      <c r="AM946" s="6" t="e">
        <f t="shared" si="77"/>
        <v>#DIV/0!</v>
      </c>
    </row>
    <row r="947" spans="29:39" x14ac:dyDescent="0.3">
      <c r="AC947">
        <f t="shared" si="76"/>
        <v>0</v>
      </c>
      <c r="AD947">
        <v>944</v>
      </c>
      <c r="AE947" s="4">
        <f t="shared" si="74"/>
        <v>41576</v>
      </c>
      <c r="AF947" s="6" t="e">
        <f t="shared" si="75"/>
        <v>#DIV/0!</v>
      </c>
      <c r="AG947" s="4">
        <v>41576</v>
      </c>
      <c r="AH947" s="6">
        <v>0.25778200000000001</v>
      </c>
      <c r="AI947" s="6">
        <v>-2.7527219999999999</v>
      </c>
      <c r="AJ947" s="6">
        <v>-2.6167639999999999</v>
      </c>
      <c r="AK947" s="6"/>
      <c r="AL947" s="6"/>
      <c r="AM947" s="6" t="e">
        <f t="shared" si="77"/>
        <v>#DIV/0!</v>
      </c>
    </row>
    <row r="948" spans="29:39" x14ac:dyDescent="0.3">
      <c r="AC948">
        <f t="shared" si="76"/>
        <v>0</v>
      </c>
      <c r="AD948">
        <v>945</v>
      </c>
      <c r="AE948" s="4">
        <f t="shared" si="74"/>
        <v>41577</v>
      </c>
      <c r="AF948" s="6" t="e">
        <f t="shared" si="75"/>
        <v>#DIV/0!</v>
      </c>
      <c r="AG948" s="4">
        <v>41577</v>
      </c>
      <c r="AH948" s="6">
        <v>1.4931369999999999</v>
      </c>
      <c r="AI948" s="6">
        <v>1.635942</v>
      </c>
      <c r="AJ948" s="6">
        <v>1.544176</v>
      </c>
      <c r="AK948" s="6"/>
      <c r="AL948" s="6"/>
      <c r="AM948" s="6" t="e">
        <f t="shared" si="77"/>
        <v>#DIV/0!</v>
      </c>
    </row>
    <row r="949" spans="29:39" x14ac:dyDescent="0.3">
      <c r="AC949">
        <f t="shared" si="76"/>
        <v>0</v>
      </c>
      <c r="AD949">
        <v>946</v>
      </c>
      <c r="AE949" s="4">
        <f t="shared" si="74"/>
        <v>41578</v>
      </c>
      <c r="AF949" s="6" t="e">
        <f t="shared" si="75"/>
        <v>#DIV/0!</v>
      </c>
      <c r="AG949" s="4">
        <v>41578</v>
      </c>
      <c r="AH949" s="6">
        <v>-1.4020109999999999</v>
      </c>
      <c r="AI949" s="6">
        <v>-1.3447899999999999</v>
      </c>
      <c r="AJ949" s="6">
        <v>-1.490386</v>
      </c>
      <c r="AK949" s="6"/>
      <c r="AL949" s="6"/>
      <c r="AM949" s="6" t="e">
        <f t="shared" si="77"/>
        <v>#DIV/0!</v>
      </c>
    </row>
    <row r="950" spans="29:39" x14ac:dyDescent="0.3">
      <c r="AC950">
        <f t="shared" si="76"/>
        <v>0</v>
      </c>
      <c r="AD950">
        <v>947</v>
      </c>
      <c r="AE950" s="4">
        <f t="shared" si="74"/>
        <v>41579</v>
      </c>
      <c r="AF950" s="6" t="e">
        <f t="shared" si="75"/>
        <v>#DIV/0!</v>
      </c>
      <c r="AG950" s="4">
        <v>41579</v>
      </c>
      <c r="AH950" s="6">
        <v>0.473603</v>
      </c>
      <c r="AI950" s="6">
        <v>-0.30653000000000002</v>
      </c>
      <c r="AJ950" s="6">
        <v>-0.72011700000000001</v>
      </c>
      <c r="AK950" s="6"/>
      <c r="AL950" s="6"/>
      <c r="AM950" s="6" t="e">
        <f t="shared" si="77"/>
        <v>#DIV/0!</v>
      </c>
    </row>
    <row r="951" spans="29:39" x14ac:dyDescent="0.3">
      <c r="AC951">
        <f t="shared" si="76"/>
        <v>0</v>
      </c>
      <c r="AD951">
        <v>948</v>
      </c>
      <c r="AE951" s="4">
        <f t="shared" si="74"/>
        <v>41582</v>
      </c>
      <c r="AF951" s="6" t="e">
        <f t="shared" si="75"/>
        <v>#DIV/0!</v>
      </c>
      <c r="AG951" s="4">
        <v>41582</v>
      </c>
      <c r="AH951" s="6">
        <v>-0.18893399999999999</v>
      </c>
      <c r="AI951" s="6">
        <v>0.69529700000000005</v>
      </c>
      <c r="AJ951" s="6">
        <v>0.64036899999999997</v>
      </c>
      <c r="AK951" s="6"/>
      <c r="AL951" s="6"/>
      <c r="AM951" s="6" t="e">
        <f t="shared" si="77"/>
        <v>#DIV/0!</v>
      </c>
    </row>
    <row r="952" spans="29:39" x14ac:dyDescent="0.3">
      <c r="AC952">
        <f t="shared" si="76"/>
        <v>0</v>
      </c>
      <c r="AD952">
        <v>949</v>
      </c>
      <c r="AE952" s="4">
        <f t="shared" si="74"/>
        <v>41583</v>
      </c>
      <c r="AF952" s="6" t="e">
        <f t="shared" si="75"/>
        <v>#DIV/0!</v>
      </c>
      <c r="AG952" s="4">
        <v>41583</v>
      </c>
      <c r="AH952" s="6">
        <v>0.13925899999999999</v>
      </c>
      <c r="AI952" s="6">
        <v>1.3201050000000001</v>
      </c>
      <c r="AJ952" s="6">
        <v>1.7111019999999999</v>
      </c>
      <c r="AK952" s="6"/>
      <c r="AL952" s="6"/>
      <c r="AM952" s="6" t="e">
        <f t="shared" si="77"/>
        <v>#DIV/0!</v>
      </c>
    </row>
    <row r="953" spans="29:39" x14ac:dyDescent="0.3">
      <c r="AC953">
        <f t="shared" si="76"/>
        <v>0</v>
      </c>
      <c r="AD953">
        <v>950</v>
      </c>
      <c r="AE953" s="4">
        <f t="shared" si="74"/>
        <v>41584</v>
      </c>
      <c r="AF953" s="6" t="e">
        <f t="shared" si="75"/>
        <v>#DIV/0!</v>
      </c>
      <c r="AG953" s="4">
        <v>41584</v>
      </c>
      <c r="AH953" s="6">
        <v>-1.2669429999999999</v>
      </c>
      <c r="AI953" s="6">
        <v>-1.0668169999999999</v>
      </c>
      <c r="AJ953" s="6">
        <v>-0.84057000000000004</v>
      </c>
      <c r="AK953" s="6"/>
      <c r="AL953" s="6"/>
      <c r="AM953" s="6" t="e">
        <f t="shared" si="77"/>
        <v>#DIV/0!</v>
      </c>
    </row>
    <row r="954" spans="29:39" x14ac:dyDescent="0.3">
      <c r="AC954">
        <f t="shared" si="76"/>
        <v>0</v>
      </c>
      <c r="AD954">
        <v>951</v>
      </c>
      <c r="AE954" s="4">
        <f t="shared" si="74"/>
        <v>41585</v>
      </c>
      <c r="AF954" s="6" t="e">
        <f t="shared" si="75"/>
        <v>#DIV/0!</v>
      </c>
      <c r="AG954" s="4">
        <v>41585</v>
      </c>
      <c r="AH954" s="6">
        <v>-0.553033</v>
      </c>
      <c r="AI954" s="6">
        <v>-1.3932169999999999</v>
      </c>
      <c r="AJ954" s="6">
        <v>-1.3404119999999999</v>
      </c>
      <c r="AK954" s="6"/>
      <c r="AL954" s="6"/>
      <c r="AM954" s="6" t="e">
        <f t="shared" si="77"/>
        <v>#DIV/0!</v>
      </c>
    </row>
    <row r="955" spans="29:39" x14ac:dyDescent="0.3">
      <c r="AC955">
        <f t="shared" si="76"/>
        <v>0</v>
      </c>
      <c r="AD955">
        <v>952</v>
      </c>
      <c r="AE955" s="4">
        <f t="shared" si="74"/>
        <v>41586</v>
      </c>
      <c r="AF955" s="6" t="e">
        <f t="shared" si="75"/>
        <v>#DIV/0!</v>
      </c>
      <c r="AG955" s="4">
        <v>41586</v>
      </c>
      <c r="AH955" s="6">
        <v>-1.393133</v>
      </c>
      <c r="AI955" s="6">
        <v>-1.4952350000000001</v>
      </c>
      <c r="AJ955" s="6">
        <v>-1.4138949999999999</v>
      </c>
      <c r="AK955" s="6"/>
      <c r="AL955" s="6"/>
      <c r="AM955" s="6" t="e">
        <f t="shared" si="77"/>
        <v>#DIV/0!</v>
      </c>
    </row>
    <row r="956" spans="29:39" x14ac:dyDescent="0.3">
      <c r="AC956">
        <f t="shared" si="76"/>
        <v>0</v>
      </c>
      <c r="AD956">
        <v>953</v>
      </c>
      <c r="AE956" s="4">
        <f t="shared" si="74"/>
        <v>41589</v>
      </c>
      <c r="AF956" s="6" t="e">
        <f t="shared" si="75"/>
        <v>#DIV/0!</v>
      </c>
      <c r="AG956" s="4">
        <v>41589</v>
      </c>
      <c r="AH956" s="6">
        <v>0.34420200000000001</v>
      </c>
      <c r="AI956" s="6">
        <v>0.43802400000000002</v>
      </c>
      <c r="AJ956" s="6">
        <v>0.64414400000000005</v>
      </c>
      <c r="AK956" s="6"/>
      <c r="AL956" s="6"/>
      <c r="AM956" s="6" t="e">
        <f t="shared" si="77"/>
        <v>#DIV/0!</v>
      </c>
    </row>
    <row r="957" spans="29:39" x14ac:dyDescent="0.3">
      <c r="AC957">
        <f t="shared" si="76"/>
        <v>0</v>
      </c>
      <c r="AD957">
        <v>954</v>
      </c>
      <c r="AE957" s="4">
        <f t="shared" si="74"/>
        <v>41590</v>
      </c>
      <c r="AF957" s="6" t="e">
        <f t="shared" si="75"/>
        <v>#DIV/0!</v>
      </c>
      <c r="AG957" s="4">
        <v>41590</v>
      </c>
      <c r="AH957" s="6">
        <v>1.041112</v>
      </c>
      <c r="AI957" s="6">
        <v>0.95165999999999995</v>
      </c>
      <c r="AJ957" s="6">
        <v>0.83626500000000004</v>
      </c>
      <c r="AK957" s="6"/>
      <c r="AL957" s="6"/>
      <c r="AM957" s="6" t="e">
        <f t="shared" si="77"/>
        <v>#DIV/0!</v>
      </c>
    </row>
    <row r="958" spans="29:39" x14ac:dyDescent="0.3">
      <c r="AC958">
        <f t="shared" si="76"/>
        <v>0</v>
      </c>
      <c r="AD958">
        <v>955</v>
      </c>
      <c r="AE958" s="4">
        <f t="shared" si="74"/>
        <v>41591</v>
      </c>
      <c r="AF958" s="6" t="e">
        <f t="shared" si="75"/>
        <v>#DIV/0!</v>
      </c>
      <c r="AG958" s="4">
        <v>41591</v>
      </c>
      <c r="AH958" s="6">
        <v>-2.2172649999999998</v>
      </c>
      <c r="AI958" s="6">
        <v>-1.868641</v>
      </c>
      <c r="AJ958" s="6">
        <v>-1.762486</v>
      </c>
      <c r="AK958" s="6"/>
      <c r="AL958" s="6"/>
      <c r="AM958" s="6" t="e">
        <f t="shared" si="77"/>
        <v>#DIV/0!</v>
      </c>
    </row>
    <row r="959" spans="29:39" x14ac:dyDescent="0.3">
      <c r="AC959">
        <f t="shared" si="76"/>
        <v>0</v>
      </c>
      <c r="AD959">
        <v>956</v>
      </c>
      <c r="AE959" s="4">
        <f t="shared" si="74"/>
        <v>41592</v>
      </c>
      <c r="AF959" s="6" t="e">
        <f t="shared" si="75"/>
        <v>#DIV/0!</v>
      </c>
      <c r="AG959" s="4">
        <v>41592</v>
      </c>
      <c r="AH959" s="6">
        <v>0.71609100000000003</v>
      </c>
      <c r="AI959" s="6">
        <v>1.3309299999999999</v>
      </c>
      <c r="AJ959" s="6">
        <v>1.663138</v>
      </c>
      <c r="AK959" s="6"/>
      <c r="AL959" s="6"/>
      <c r="AM959" s="6" t="e">
        <f t="shared" si="77"/>
        <v>#DIV/0!</v>
      </c>
    </row>
    <row r="960" spans="29:39" x14ac:dyDescent="0.3">
      <c r="AC960">
        <f t="shared" si="76"/>
        <v>0</v>
      </c>
      <c r="AD960">
        <v>957</v>
      </c>
      <c r="AE960" s="4">
        <f t="shared" si="74"/>
        <v>41593</v>
      </c>
      <c r="AF960" s="6" t="e">
        <f t="shared" si="75"/>
        <v>#DIV/0!</v>
      </c>
      <c r="AG960" s="4">
        <v>41593</v>
      </c>
      <c r="AH960" s="6">
        <v>2.0062039999999999</v>
      </c>
      <c r="AI960" s="6">
        <v>2.0935950000000001</v>
      </c>
      <c r="AJ960" s="6">
        <v>1.918048</v>
      </c>
      <c r="AK960" s="6"/>
      <c r="AL960" s="6"/>
      <c r="AM960" s="6" t="e">
        <f t="shared" si="77"/>
        <v>#DIV/0!</v>
      </c>
    </row>
    <row r="961" spans="29:39" x14ac:dyDescent="0.3">
      <c r="AC961">
        <f t="shared" si="76"/>
        <v>0</v>
      </c>
      <c r="AD961">
        <v>958</v>
      </c>
      <c r="AE961" s="4">
        <f t="shared" si="74"/>
        <v>41596</v>
      </c>
      <c r="AF961" s="6" t="e">
        <f t="shared" si="75"/>
        <v>#DIV/0!</v>
      </c>
      <c r="AG961" s="4">
        <v>41596</v>
      </c>
      <c r="AH961" s="6">
        <v>3.3253020000000002</v>
      </c>
      <c r="AI961" s="6">
        <v>2.446974</v>
      </c>
      <c r="AJ961" s="6">
        <v>2.2420339999999999</v>
      </c>
      <c r="AK961" s="6"/>
      <c r="AL961" s="6"/>
      <c r="AM961" s="6" t="e">
        <f t="shared" si="77"/>
        <v>#DIV/0!</v>
      </c>
    </row>
    <row r="962" spans="29:39" x14ac:dyDescent="0.3">
      <c r="AC962">
        <f t="shared" si="76"/>
        <v>0</v>
      </c>
      <c r="AD962">
        <v>959</v>
      </c>
      <c r="AE962" s="4">
        <f t="shared" si="74"/>
        <v>41597</v>
      </c>
      <c r="AF962" s="6" t="e">
        <f t="shared" si="75"/>
        <v>#DIV/0!</v>
      </c>
      <c r="AG962" s="4">
        <v>41597</v>
      </c>
      <c r="AH962" s="6">
        <v>-0.68920000000000003</v>
      </c>
      <c r="AI962" s="6">
        <v>0.32610699999999998</v>
      </c>
      <c r="AJ962" s="6">
        <v>0.570994</v>
      </c>
      <c r="AK962" s="6"/>
      <c r="AL962" s="6"/>
      <c r="AM962" s="6" t="e">
        <f t="shared" si="77"/>
        <v>#DIV/0!</v>
      </c>
    </row>
    <row r="963" spans="29:39" x14ac:dyDescent="0.3">
      <c r="AC963">
        <f t="shared" si="76"/>
        <v>0</v>
      </c>
      <c r="AD963">
        <v>960</v>
      </c>
      <c r="AE963" s="4">
        <f t="shared" si="74"/>
        <v>41598</v>
      </c>
      <c r="AF963" s="6" t="e">
        <f t="shared" si="75"/>
        <v>#DIV/0!</v>
      </c>
      <c r="AG963" s="4">
        <v>41598</v>
      </c>
      <c r="AH963" s="6">
        <v>0.52595899999999995</v>
      </c>
      <c r="AI963" s="6">
        <v>0.99519199999999997</v>
      </c>
      <c r="AJ963" s="6">
        <v>0.90237599999999996</v>
      </c>
      <c r="AK963" s="6"/>
      <c r="AL963" s="6"/>
      <c r="AM963" s="6" t="e">
        <f t="shared" si="77"/>
        <v>#DIV/0!</v>
      </c>
    </row>
    <row r="964" spans="29:39" x14ac:dyDescent="0.3">
      <c r="AC964">
        <f t="shared" si="76"/>
        <v>0</v>
      </c>
      <c r="AD964">
        <v>961</v>
      </c>
      <c r="AE964" s="4">
        <f t="shared" si="74"/>
        <v>41599</v>
      </c>
      <c r="AF964" s="6" t="e">
        <f t="shared" si="75"/>
        <v>#DIV/0!</v>
      </c>
      <c r="AG964" s="4">
        <v>41599</v>
      </c>
      <c r="AH964" s="6">
        <v>-0.61286300000000005</v>
      </c>
      <c r="AI964" s="6">
        <v>-0.33966000000000002</v>
      </c>
      <c r="AJ964" s="6">
        <v>-0.18323400000000001</v>
      </c>
      <c r="AK964" s="6"/>
      <c r="AL964" s="6"/>
      <c r="AM964" s="6" t="e">
        <f t="shared" si="77"/>
        <v>#DIV/0!</v>
      </c>
    </row>
    <row r="965" spans="29:39" x14ac:dyDescent="0.3">
      <c r="AC965">
        <f t="shared" si="76"/>
        <v>0</v>
      </c>
      <c r="AD965">
        <v>962</v>
      </c>
      <c r="AE965" s="4">
        <f t="shared" ref="AE965:AE1028" si="78">AG965</f>
        <v>41600</v>
      </c>
      <c r="AF965" s="6" t="e">
        <f t="shared" ref="AF965:AF1028" si="79">AM965</f>
        <v>#DIV/0!</v>
      </c>
      <c r="AG965" s="4">
        <v>41600</v>
      </c>
      <c r="AH965" s="6">
        <v>-0.49904799999999999</v>
      </c>
      <c r="AI965" s="6">
        <v>-0.58606999999999998</v>
      </c>
      <c r="AJ965" s="6">
        <v>-0.23575399999999999</v>
      </c>
      <c r="AK965" s="6"/>
      <c r="AL965" s="6"/>
      <c r="AM965" s="6" t="e">
        <f t="shared" si="77"/>
        <v>#DIV/0!</v>
      </c>
    </row>
    <row r="966" spans="29:39" x14ac:dyDescent="0.3">
      <c r="AC966">
        <f t="shared" ref="AC966:AC1029" si="80">IF(AE966&lt;=AE965,1,0)</f>
        <v>0</v>
      </c>
      <c r="AD966">
        <v>963</v>
      </c>
      <c r="AE966" s="4">
        <f t="shared" si="78"/>
        <v>41603</v>
      </c>
      <c r="AF966" s="6" t="e">
        <f t="shared" si="79"/>
        <v>#DIV/0!</v>
      </c>
      <c r="AG966" s="4">
        <v>41603</v>
      </c>
      <c r="AH966" s="6">
        <v>-0.389206</v>
      </c>
      <c r="AI966" s="6">
        <v>-8.2076999999999997E-2</v>
      </c>
      <c r="AJ966" s="6">
        <v>0.12784699999999999</v>
      </c>
      <c r="AK966" s="6"/>
      <c r="AL966" s="6"/>
      <c r="AM966" s="6" t="e">
        <f t="shared" ref="AM966:AM1029" si="81">(AL966/AL965-1)*100</f>
        <v>#DIV/0!</v>
      </c>
    </row>
    <row r="967" spans="29:39" x14ac:dyDescent="0.3">
      <c r="AC967">
        <f t="shared" si="80"/>
        <v>0</v>
      </c>
      <c r="AD967">
        <v>964</v>
      </c>
      <c r="AE967" s="4">
        <f t="shared" si="78"/>
        <v>41604</v>
      </c>
      <c r="AF967" s="6" t="e">
        <f t="shared" si="79"/>
        <v>#DIV/0!</v>
      </c>
      <c r="AG967" s="4">
        <v>41604</v>
      </c>
      <c r="AH967" s="6">
        <v>-5.0782000000000001E-2</v>
      </c>
      <c r="AI967" s="6">
        <v>0.158193</v>
      </c>
      <c r="AJ967" s="6">
        <v>0.37923000000000001</v>
      </c>
      <c r="AK967" s="6"/>
      <c r="AL967" s="6"/>
      <c r="AM967" s="6" t="e">
        <f t="shared" si="81"/>
        <v>#DIV/0!</v>
      </c>
    </row>
    <row r="968" spans="29:39" x14ac:dyDescent="0.3">
      <c r="AC968">
        <f t="shared" si="80"/>
        <v>0</v>
      </c>
      <c r="AD968">
        <v>965</v>
      </c>
      <c r="AE968" s="4">
        <f t="shared" si="78"/>
        <v>41605</v>
      </c>
      <c r="AF968" s="6" t="e">
        <f t="shared" si="79"/>
        <v>#DIV/0!</v>
      </c>
      <c r="AG968" s="4">
        <v>41605</v>
      </c>
      <c r="AH968" s="6">
        <v>1.1336520000000001</v>
      </c>
      <c r="AI968" s="6">
        <v>1.146196</v>
      </c>
      <c r="AJ968" s="6">
        <v>1.535283</v>
      </c>
      <c r="AK968" s="6"/>
      <c r="AL968" s="6"/>
      <c r="AM968" s="6" t="e">
        <f t="shared" si="81"/>
        <v>#DIV/0!</v>
      </c>
    </row>
    <row r="969" spans="29:39" x14ac:dyDescent="0.3">
      <c r="AC969">
        <f t="shared" si="80"/>
        <v>0</v>
      </c>
      <c r="AD969">
        <v>966</v>
      </c>
      <c r="AE969" s="4">
        <f t="shared" si="78"/>
        <v>41606</v>
      </c>
      <c r="AF969" s="6" t="e">
        <f t="shared" si="79"/>
        <v>#DIV/0!</v>
      </c>
      <c r="AG969" s="4">
        <v>41606</v>
      </c>
      <c r="AH969" s="6">
        <v>1.0374490000000001</v>
      </c>
      <c r="AI969" s="6">
        <v>0.84609400000000001</v>
      </c>
      <c r="AJ969" s="6">
        <v>0.61948300000000001</v>
      </c>
      <c r="AK969" s="6"/>
      <c r="AL969" s="6"/>
      <c r="AM969" s="6" t="e">
        <f t="shared" si="81"/>
        <v>#DIV/0!</v>
      </c>
    </row>
    <row r="970" spans="29:39" x14ac:dyDescent="0.3">
      <c r="AC970">
        <f t="shared" si="80"/>
        <v>0</v>
      </c>
      <c r="AD970">
        <v>967</v>
      </c>
      <c r="AE970" s="4">
        <f t="shared" si="78"/>
        <v>41607</v>
      </c>
      <c r="AF970" s="6" t="e">
        <f t="shared" si="79"/>
        <v>#DIV/0!</v>
      </c>
      <c r="AG970" s="4">
        <v>41607</v>
      </c>
      <c r="AH970" s="6">
        <v>-2.4021000000000001E-2</v>
      </c>
      <c r="AI970" s="6">
        <v>0.60461399999999998</v>
      </c>
      <c r="AJ970" s="6">
        <v>1.2120690000000001</v>
      </c>
      <c r="AK970" s="6"/>
      <c r="AL970" s="6"/>
      <c r="AM970" s="6" t="e">
        <f t="shared" si="81"/>
        <v>#DIV/0!</v>
      </c>
    </row>
    <row r="971" spans="29:39" x14ac:dyDescent="0.3">
      <c r="AC971">
        <f t="shared" si="80"/>
        <v>0</v>
      </c>
      <c r="AD971">
        <v>968</v>
      </c>
      <c r="AE971" s="4">
        <f t="shared" si="78"/>
        <v>41610</v>
      </c>
      <c r="AF971" s="6" t="e">
        <f t="shared" si="79"/>
        <v>#DIV/0!</v>
      </c>
      <c r="AG971" s="4">
        <v>41610</v>
      </c>
      <c r="AH971" s="6">
        <v>-0.82642300000000002</v>
      </c>
      <c r="AI971" s="6">
        <v>-4.4475660000000001</v>
      </c>
      <c r="AJ971" s="6">
        <v>-6.2182069999999996</v>
      </c>
      <c r="AK971" s="6"/>
      <c r="AL971" s="6"/>
      <c r="AM971" s="6" t="e">
        <f t="shared" si="81"/>
        <v>#DIV/0!</v>
      </c>
    </row>
    <row r="972" spans="29:39" x14ac:dyDescent="0.3">
      <c r="AC972">
        <f t="shared" si="80"/>
        <v>0</v>
      </c>
      <c r="AD972">
        <v>969</v>
      </c>
      <c r="AE972" s="4">
        <f t="shared" si="78"/>
        <v>41611</v>
      </c>
      <c r="AF972" s="6" t="e">
        <f t="shared" si="79"/>
        <v>#DIV/0!</v>
      </c>
      <c r="AG972" s="4">
        <v>41611</v>
      </c>
      <c r="AH972" s="6">
        <v>0.99206700000000003</v>
      </c>
      <c r="AI972" s="6">
        <v>2.3625880000000001</v>
      </c>
      <c r="AJ972" s="6">
        <v>1.6795230000000001</v>
      </c>
      <c r="AK972" s="6"/>
      <c r="AL972" s="6"/>
      <c r="AM972" s="6" t="e">
        <f t="shared" si="81"/>
        <v>#DIV/0!</v>
      </c>
    </row>
    <row r="973" spans="29:39" x14ac:dyDescent="0.3">
      <c r="AC973">
        <f t="shared" si="80"/>
        <v>0</v>
      </c>
      <c r="AD973">
        <v>970</v>
      </c>
      <c r="AE973" s="4">
        <f t="shared" si="78"/>
        <v>41612</v>
      </c>
      <c r="AF973" s="6" t="e">
        <f t="shared" si="79"/>
        <v>#DIV/0!</v>
      </c>
      <c r="AG973" s="4">
        <v>41612</v>
      </c>
      <c r="AH973" s="6">
        <v>1.3243499999999999</v>
      </c>
      <c r="AI973" s="6">
        <v>1.892328</v>
      </c>
      <c r="AJ973" s="6">
        <v>0.85823199999999999</v>
      </c>
      <c r="AK973" s="6"/>
      <c r="AL973" s="6"/>
      <c r="AM973" s="6" t="e">
        <f t="shared" si="81"/>
        <v>#DIV/0!</v>
      </c>
    </row>
    <row r="974" spans="29:39" x14ac:dyDescent="0.3">
      <c r="AC974">
        <f t="shared" si="80"/>
        <v>0</v>
      </c>
      <c r="AD974">
        <v>971</v>
      </c>
      <c r="AE974" s="4">
        <f t="shared" si="78"/>
        <v>41613</v>
      </c>
      <c r="AF974" s="6" t="e">
        <f t="shared" si="79"/>
        <v>#DIV/0!</v>
      </c>
      <c r="AG974" s="4">
        <v>41613</v>
      </c>
      <c r="AH974" s="6">
        <v>-0.280308</v>
      </c>
      <c r="AI974" s="6">
        <v>-0.10867</v>
      </c>
      <c r="AJ974" s="6">
        <v>-0.64352600000000004</v>
      </c>
      <c r="AK974" s="6"/>
      <c r="AL974" s="6"/>
      <c r="AM974" s="6" t="e">
        <f t="shared" si="81"/>
        <v>#DIV/0!</v>
      </c>
    </row>
    <row r="975" spans="29:39" x14ac:dyDescent="0.3">
      <c r="AC975">
        <f t="shared" si="80"/>
        <v>0</v>
      </c>
      <c r="AD975">
        <v>972</v>
      </c>
      <c r="AE975" s="4">
        <f t="shared" si="78"/>
        <v>41614</v>
      </c>
      <c r="AF975" s="6" t="e">
        <f t="shared" si="79"/>
        <v>#DIV/0!</v>
      </c>
      <c r="AG975" s="4">
        <v>41614</v>
      </c>
      <c r="AH975" s="6">
        <v>-0.64459999999999995</v>
      </c>
      <c r="AI975" s="6">
        <v>-0.25303399999999998</v>
      </c>
      <c r="AJ975" s="6">
        <v>-0.15560199999999999</v>
      </c>
      <c r="AK975" s="6"/>
      <c r="AL975" s="6"/>
      <c r="AM975" s="6" t="e">
        <f t="shared" si="81"/>
        <v>#DIV/0!</v>
      </c>
    </row>
    <row r="976" spans="29:39" x14ac:dyDescent="0.3">
      <c r="AC976">
        <f t="shared" si="80"/>
        <v>0</v>
      </c>
      <c r="AD976">
        <v>973</v>
      </c>
      <c r="AE976" s="4">
        <f t="shared" si="78"/>
        <v>41617</v>
      </c>
      <c r="AF976" s="6" t="e">
        <f t="shared" si="79"/>
        <v>#DIV/0!</v>
      </c>
      <c r="AG976" s="4">
        <v>41617</v>
      </c>
      <c r="AH976" s="6">
        <v>-5.7701000000000002E-2</v>
      </c>
      <c r="AI976" s="6">
        <v>0.73801000000000005</v>
      </c>
      <c r="AJ976" s="6">
        <v>1.454561</v>
      </c>
      <c r="AK976" s="6"/>
      <c r="AL976" s="6"/>
      <c r="AM976" s="6" t="e">
        <f t="shared" si="81"/>
        <v>#DIV/0!</v>
      </c>
    </row>
    <row r="977" spans="29:39" x14ac:dyDescent="0.3">
      <c r="AC977">
        <f t="shared" si="80"/>
        <v>0</v>
      </c>
      <c r="AD977">
        <v>974</v>
      </c>
      <c r="AE977" s="4">
        <f t="shared" si="78"/>
        <v>41618</v>
      </c>
      <c r="AF977" s="6" t="e">
        <f t="shared" si="79"/>
        <v>#DIV/0!</v>
      </c>
      <c r="AG977" s="4">
        <v>41618</v>
      </c>
      <c r="AH977" s="6">
        <v>9.9963999999999997E-2</v>
      </c>
      <c r="AI977" s="6">
        <v>7.0471000000000006E-2</v>
      </c>
      <c r="AJ977" s="6">
        <v>-5.6402000000000001E-2</v>
      </c>
      <c r="AK977" s="6"/>
      <c r="AL977" s="6"/>
      <c r="AM977" s="6" t="e">
        <f t="shared" si="81"/>
        <v>#DIV/0!</v>
      </c>
    </row>
    <row r="978" spans="29:39" x14ac:dyDescent="0.3">
      <c r="AC978">
        <f t="shared" si="80"/>
        <v>0</v>
      </c>
      <c r="AD978">
        <v>975</v>
      </c>
      <c r="AE978" s="4">
        <f t="shared" si="78"/>
        <v>41619</v>
      </c>
      <c r="AF978" s="6" t="e">
        <f t="shared" si="79"/>
        <v>#DIV/0!</v>
      </c>
      <c r="AG978" s="4">
        <v>41619</v>
      </c>
      <c r="AH978" s="6">
        <v>-1.6532279999999999</v>
      </c>
      <c r="AI978" s="6">
        <v>-1.1063449999999999</v>
      </c>
      <c r="AJ978" s="6">
        <v>-0.59918099999999996</v>
      </c>
      <c r="AK978" s="6"/>
      <c r="AL978" s="6"/>
      <c r="AM978" s="6" t="e">
        <f t="shared" si="81"/>
        <v>#DIV/0!</v>
      </c>
    </row>
    <row r="979" spans="29:39" x14ac:dyDescent="0.3">
      <c r="AC979">
        <f t="shared" si="80"/>
        <v>0</v>
      </c>
      <c r="AD979">
        <v>976</v>
      </c>
      <c r="AE979" s="4">
        <f t="shared" si="78"/>
        <v>41620</v>
      </c>
      <c r="AF979" s="6" t="e">
        <f t="shared" si="79"/>
        <v>#DIV/0!</v>
      </c>
      <c r="AG979" s="4">
        <v>41620</v>
      </c>
      <c r="AH979" s="6">
        <v>-0.113894</v>
      </c>
      <c r="AI979" s="6">
        <v>0.26062400000000002</v>
      </c>
      <c r="AJ979" s="6">
        <v>0.95167999999999997</v>
      </c>
      <c r="AK979" s="6"/>
      <c r="AL979" s="6"/>
      <c r="AM979" s="6" t="e">
        <f t="shared" si="81"/>
        <v>#DIV/0!</v>
      </c>
    </row>
    <row r="980" spans="29:39" x14ac:dyDescent="0.3">
      <c r="AC980">
        <f t="shared" si="80"/>
        <v>0</v>
      </c>
      <c r="AD980">
        <v>977</v>
      </c>
      <c r="AE980" s="4">
        <f t="shared" si="78"/>
        <v>41621</v>
      </c>
      <c r="AF980" s="6" t="e">
        <f t="shared" si="79"/>
        <v>#DIV/0!</v>
      </c>
      <c r="AG980" s="4">
        <v>41621</v>
      </c>
      <c r="AH980" s="6">
        <v>-0.14008200000000001</v>
      </c>
      <c r="AI980" s="6">
        <v>0.21629000000000001</v>
      </c>
      <c r="AJ980" s="6">
        <v>0.29390699999999997</v>
      </c>
      <c r="AK980" s="6"/>
      <c r="AL980" s="6"/>
      <c r="AM980" s="6" t="e">
        <f t="shared" si="81"/>
        <v>#DIV/0!</v>
      </c>
    </row>
    <row r="981" spans="29:39" x14ac:dyDescent="0.3">
      <c r="AC981">
        <f t="shared" si="80"/>
        <v>0</v>
      </c>
      <c r="AD981">
        <v>978</v>
      </c>
      <c r="AE981" s="4">
        <f t="shared" si="78"/>
        <v>41624</v>
      </c>
      <c r="AF981" s="6" t="e">
        <f t="shared" si="79"/>
        <v>#DIV/0!</v>
      </c>
      <c r="AG981" s="4">
        <v>41624</v>
      </c>
      <c r="AH981" s="6">
        <v>-1.608717</v>
      </c>
      <c r="AI981" s="6">
        <v>-1.7251339999999999</v>
      </c>
      <c r="AJ981" s="6">
        <v>-1.341844</v>
      </c>
      <c r="AK981" s="6"/>
      <c r="AL981" s="6"/>
      <c r="AM981" s="6" t="e">
        <f t="shared" si="81"/>
        <v>#DIV/0!</v>
      </c>
    </row>
    <row r="982" spans="29:39" x14ac:dyDescent="0.3">
      <c r="AC982">
        <f t="shared" si="80"/>
        <v>0</v>
      </c>
      <c r="AD982">
        <v>979</v>
      </c>
      <c r="AE982" s="4">
        <f t="shared" si="78"/>
        <v>41625</v>
      </c>
      <c r="AF982" s="6" t="e">
        <f t="shared" si="79"/>
        <v>#DIV/0!</v>
      </c>
      <c r="AG982" s="4">
        <v>41625</v>
      </c>
      <c r="AH982" s="6">
        <v>-0.48764299999999999</v>
      </c>
      <c r="AI982" s="6">
        <v>-0.61404199999999998</v>
      </c>
      <c r="AJ982" s="6">
        <v>-0.59258299999999997</v>
      </c>
      <c r="AK982" s="6"/>
      <c r="AL982" s="6"/>
      <c r="AM982" s="6" t="e">
        <f t="shared" si="81"/>
        <v>#DIV/0!</v>
      </c>
    </row>
    <row r="983" spans="29:39" x14ac:dyDescent="0.3">
      <c r="AC983">
        <f t="shared" si="80"/>
        <v>0</v>
      </c>
      <c r="AD983">
        <v>980</v>
      </c>
      <c r="AE983" s="4">
        <f t="shared" si="78"/>
        <v>41626</v>
      </c>
      <c r="AF983" s="6" t="e">
        <f t="shared" si="79"/>
        <v>#DIV/0!</v>
      </c>
      <c r="AG983" s="4">
        <v>41626</v>
      </c>
      <c r="AH983" s="6">
        <v>3.6072E-2</v>
      </c>
      <c r="AI983" s="6">
        <v>4.6900000000000002E-4</v>
      </c>
      <c r="AJ983" s="6">
        <v>-0.102894</v>
      </c>
      <c r="AK983" s="6"/>
      <c r="AL983" s="6"/>
      <c r="AM983" s="6" t="e">
        <f t="shared" si="81"/>
        <v>#DIV/0!</v>
      </c>
    </row>
    <row r="984" spans="29:39" x14ac:dyDescent="0.3">
      <c r="AC984">
        <f t="shared" si="80"/>
        <v>0</v>
      </c>
      <c r="AD984">
        <v>981</v>
      </c>
      <c r="AE984" s="4">
        <f t="shared" si="78"/>
        <v>41627</v>
      </c>
      <c r="AF984" s="6" t="e">
        <f t="shared" si="79"/>
        <v>#DIV/0!</v>
      </c>
      <c r="AG984" s="4">
        <v>41627</v>
      </c>
      <c r="AH984" s="6">
        <v>-1.0527629999999999</v>
      </c>
      <c r="AI984" s="6">
        <v>-1.017776</v>
      </c>
      <c r="AJ984" s="6">
        <v>-0.80426500000000001</v>
      </c>
      <c r="AK984" s="6"/>
      <c r="AL984" s="6"/>
      <c r="AM984" s="6" t="e">
        <f t="shared" si="81"/>
        <v>#DIV/0!</v>
      </c>
    </row>
    <row r="985" spans="29:39" x14ac:dyDescent="0.3">
      <c r="AC985">
        <f t="shared" si="80"/>
        <v>0</v>
      </c>
      <c r="AD985">
        <v>982</v>
      </c>
      <c r="AE985" s="4">
        <f t="shared" si="78"/>
        <v>41628</v>
      </c>
      <c r="AF985" s="6" t="e">
        <f t="shared" si="79"/>
        <v>#DIV/0!</v>
      </c>
      <c r="AG985" s="4">
        <v>41628</v>
      </c>
      <c r="AH985" s="6">
        <v>-2.3269489999999999</v>
      </c>
      <c r="AI985" s="6">
        <v>-1.265368</v>
      </c>
      <c r="AJ985" s="6">
        <v>-1.0178179999999999</v>
      </c>
      <c r="AK985" s="6"/>
      <c r="AL985" s="6"/>
      <c r="AM985" s="6" t="e">
        <f t="shared" si="81"/>
        <v>#DIV/0!</v>
      </c>
    </row>
    <row r="986" spans="29:39" x14ac:dyDescent="0.3">
      <c r="AC986">
        <f t="shared" si="80"/>
        <v>0</v>
      </c>
      <c r="AD986">
        <v>983</v>
      </c>
      <c r="AE986" s="4">
        <f t="shared" si="78"/>
        <v>41631</v>
      </c>
      <c r="AF986" s="6" t="e">
        <f t="shared" si="79"/>
        <v>#DIV/0!</v>
      </c>
      <c r="AG986" s="4">
        <v>41631</v>
      </c>
      <c r="AH986" s="6">
        <v>0.283829</v>
      </c>
      <c r="AI986" s="6">
        <v>-0.113798</v>
      </c>
      <c r="AJ986" s="6">
        <v>-0.33636899999999997</v>
      </c>
      <c r="AK986" s="6"/>
      <c r="AL986" s="6"/>
      <c r="AM986" s="6" t="e">
        <f t="shared" si="81"/>
        <v>#DIV/0!</v>
      </c>
    </row>
    <row r="987" spans="29:39" x14ac:dyDescent="0.3">
      <c r="AC987">
        <f t="shared" si="80"/>
        <v>0</v>
      </c>
      <c r="AD987">
        <v>984</v>
      </c>
      <c r="AE987" s="4">
        <f t="shared" si="78"/>
        <v>41632</v>
      </c>
      <c r="AF987" s="6" t="e">
        <f t="shared" si="79"/>
        <v>#DIV/0!</v>
      </c>
      <c r="AG987" s="4">
        <v>41632</v>
      </c>
      <c r="AH987" s="6">
        <v>0.15959000000000001</v>
      </c>
      <c r="AI987" s="6">
        <v>0.693743</v>
      </c>
      <c r="AJ987" s="6">
        <v>1.0406139999999999</v>
      </c>
      <c r="AK987" s="6"/>
      <c r="AL987" s="6"/>
      <c r="AM987" s="6" t="e">
        <f t="shared" si="81"/>
        <v>#DIV/0!</v>
      </c>
    </row>
    <row r="988" spans="29:39" x14ac:dyDescent="0.3">
      <c r="AC988">
        <f t="shared" si="80"/>
        <v>0</v>
      </c>
      <c r="AD988">
        <v>985</v>
      </c>
      <c r="AE988" s="4">
        <f t="shared" si="78"/>
        <v>41633</v>
      </c>
      <c r="AF988" s="6" t="e">
        <f t="shared" si="79"/>
        <v>#DIV/0!</v>
      </c>
      <c r="AG988" s="4">
        <v>41633</v>
      </c>
      <c r="AH988" s="6">
        <v>0.736896</v>
      </c>
      <c r="AI988" s="6">
        <v>1.05474</v>
      </c>
      <c r="AJ988" s="6">
        <v>1.7131149999999999</v>
      </c>
      <c r="AK988" s="6"/>
      <c r="AL988" s="6"/>
      <c r="AM988" s="6" t="e">
        <f t="shared" si="81"/>
        <v>#DIV/0!</v>
      </c>
    </row>
    <row r="989" spans="29:39" x14ac:dyDescent="0.3">
      <c r="AC989">
        <f t="shared" si="80"/>
        <v>0</v>
      </c>
      <c r="AD989">
        <v>986</v>
      </c>
      <c r="AE989" s="4">
        <f t="shared" si="78"/>
        <v>41634</v>
      </c>
      <c r="AF989" s="6" t="e">
        <f t="shared" si="79"/>
        <v>#DIV/0!</v>
      </c>
      <c r="AG989" s="4">
        <v>41634</v>
      </c>
      <c r="AH989" s="6">
        <v>-1.7255579999999999</v>
      </c>
      <c r="AI989" s="6">
        <v>-1.715158</v>
      </c>
      <c r="AJ989" s="6">
        <v>-1.7767120000000001</v>
      </c>
      <c r="AK989" s="6"/>
      <c r="AL989" s="6"/>
      <c r="AM989" s="6" t="e">
        <f t="shared" si="81"/>
        <v>#DIV/0!</v>
      </c>
    </row>
    <row r="990" spans="29:39" x14ac:dyDescent="0.3">
      <c r="AC990">
        <f t="shared" si="80"/>
        <v>0</v>
      </c>
      <c r="AD990">
        <v>987</v>
      </c>
      <c r="AE990" s="4">
        <f t="shared" si="78"/>
        <v>41635</v>
      </c>
      <c r="AF990" s="6" t="e">
        <f t="shared" si="79"/>
        <v>#DIV/0!</v>
      </c>
      <c r="AG990" s="4">
        <v>41635</v>
      </c>
      <c r="AH990" s="6">
        <v>1.6838139999999999</v>
      </c>
      <c r="AI990" s="6">
        <v>1.5399400000000001</v>
      </c>
      <c r="AJ990" s="6">
        <v>1.832986</v>
      </c>
      <c r="AK990" s="6"/>
      <c r="AL990" s="6"/>
      <c r="AM990" s="6" t="e">
        <f t="shared" si="81"/>
        <v>#DIV/0!</v>
      </c>
    </row>
    <row r="991" spans="29:39" x14ac:dyDescent="0.3">
      <c r="AC991">
        <f t="shared" si="80"/>
        <v>0</v>
      </c>
      <c r="AD991">
        <v>988</v>
      </c>
      <c r="AE991" s="4">
        <f t="shared" si="78"/>
        <v>41638</v>
      </c>
      <c r="AF991" s="6" t="e">
        <f t="shared" si="79"/>
        <v>#DIV/0!</v>
      </c>
      <c r="AG991" s="4">
        <v>41638</v>
      </c>
      <c r="AH991" s="6">
        <v>-0.17451900000000001</v>
      </c>
      <c r="AI991" s="6">
        <v>0.32174999999999998</v>
      </c>
      <c r="AJ991" s="6">
        <v>0.72133499999999995</v>
      </c>
      <c r="AK991" s="6"/>
      <c r="AL991" s="6"/>
      <c r="AM991" s="6" t="e">
        <f t="shared" si="81"/>
        <v>#DIV/0!</v>
      </c>
    </row>
    <row r="992" spans="29:39" x14ac:dyDescent="0.3">
      <c r="AC992">
        <f t="shared" si="80"/>
        <v>0</v>
      </c>
      <c r="AD992">
        <v>989</v>
      </c>
      <c r="AE992" s="4">
        <f t="shared" si="78"/>
        <v>41639</v>
      </c>
      <c r="AF992" s="6" t="e">
        <f t="shared" si="79"/>
        <v>#DIV/0!</v>
      </c>
      <c r="AG992" s="4">
        <v>41639</v>
      </c>
      <c r="AH992" s="6">
        <v>1.3293569999999999</v>
      </c>
      <c r="AI992" s="6">
        <v>0.42205599999999999</v>
      </c>
      <c r="AJ992" s="6">
        <v>-0.103131</v>
      </c>
      <c r="AK992" s="6"/>
      <c r="AL992" s="6"/>
      <c r="AM992" s="6" t="e">
        <f t="shared" si="81"/>
        <v>#DIV/0!</v>
      </c>
    </row>
    <row r="993" spans="29:39" x14ac:dyDescent="0.3">
      <c r="AC993">
        <f t="shared" si="80"/>
        <v>0</v>
      </c>
      <c r="AD993">
        <v>990</v>
      </c>
      <c r="AE993" s="4">
        <f t="shared" si="78"/>
        <v>41641</v>
      </c>
      <c r="AF993" s="6" t="e">
        <f t="shared" si="79"/>
        <v>#DIV/0!</v>
      </c>
      <c r="AG993" s="4">
        <v>41641</v>
      </c>
      <c r="AH993" s="6">
        <v>-0.34540399999999999</v>
      </c>
      <c r="AI993" s="6">
        <v>0.49053400000000003</v>
      </c>
      <c r="AJ993" s="6">
        <v>1.2634570000000001</v>
      </c>
      <c r="AK993" s="6"/>
      <c r="AL993" s="6"/>
      <c r="AM993" s="6" t="e">
        <f t="shared" si="81"/>
        <v>#DIV/0!</v>
      </c>
    </row>
    <row r="994" spans="29:39" x14ac:dyDescent="0.3">
      <c r="AC994">
        <f t="shared" si="80"/>
        <v>0</v>
      </c>
      <c r="AD994">
        <v>991</v>
      </c>
      <c r="AE994" s="4">
        <f t="shared" si="78"/>
        <v>41642</v>
      </c>
      <c r="AF994" s="6" t="e">
        <f t="shared" si="79"/>
        <v>#DIV/0!</v>
      </c>
      <c r="AG994" s="4">
        <v>41642</v>
      </c>
      <c r="AH994" s="6">
        <v>-1.343639</v>
      </c>
      <c r="AI994" s="6">
        <v>-0.82027000000000005</v>
      </c>
      <c r="AJ994" s="6">
        <v>-0.17079</v>
      </c>
      <c r="AK994" s="6"/>
      <c r="AL994" s="6"/>
      <c r="AM994" s="6" t="e">
        <f t="shared" si="81"/>
        <v>#DIV/0!</v>
      </c>
    </row>
    <row r="995" spans="29:39" x14ac:dyDescent="0.3">
      <c r="AC995">
        <f t="shared" si="80"/>
        <v>0</v>
      </c>
      <c r="AD995">
        <v>992</v>
      </c>
      <c r="AE995" s="4">
        <f t="shared" si="78"/>
        <v>41645</v>
      </c>
      <c r="AF995" s="6" t="e">
        <f t="shared" si="79"/>
        <v>#DIV/0!</v>
      </c>
      <c r="AG995" s="4">
        <v>41645</v>
      </c>
      <c r="AH995" s="6">
        <v>-2.2761689999999999</v>
      </c>
      <c r="AI995" s="6">
        <v>-2.7622969999999998</v>
      </c>
      <c r="AJ995" s="6">
        <v>-2.6585109999999998</v>
      </c>
      <c r="AK995" s="6"/>
      <c r="AL995" s="6"/>
      <c r="AM995" s="6" t="e">
        <f t="shared" si="81"/>
        <v>#DIV/0!</v>
      </c>
    </row>
    <row r="996" spans="29:39" x14ac:dyDescent="0.3">
      <c r="AC996">
        <f t="shared" si="80"/>
        <v>0</v>
      </c>
      <c r="AD996">
        <v>993</v>
      </c>
      <c r="AE996" s="4">
        <f t="shared" si="78"/>
        <v>41646</v>
      </c>
      <c r="AF996" s="6" t="e">
        <f t="shared" si="79"/>
        <v>#DIV/0!</v>
      </c>
      <c r="AG996" s="4">
        <v>41646</v>
      </c>
      <c r="AH996" s="6">
        <v>-2.8410000000000001E-2</v>
      </c>
      <c r="AI996" s="6">
        <v>0.61343599999999998</v>
      </c>
      <c r="AJ996" s="6">
        <v>1.0719590000000001</v>
      </c>
      <c r="AK996" s="6"/>
      <c r="AL996" s="6"/>
      <c r="AM996" s="6" t="e">
        <f t="shared" si="81"/>
        <v>#DIV/0!</v>
      </c>
    </row>
    <row r="997" spans="29:39" x14ac:dyDescent="0.3">
      <c r="AC997">
        <f t="shared" si="80"/>
        <v>0</v>
      </c>
      <c r="AD997">
        <v>994</v>
      </c>
      <c r="AE997" s="4">
        <f t="shared" si="78"/>
        <v>41647</v>
      </c>
      <c r="AF997" s="6" t="e">
        <f t="shared" si="79"/>
        <v>#DIV/0!</v>
      </c>
      <c r="AG997" s="4">
        <v>41647</v>
      </c>
      <c r="AH997" s="6">
        <v>0.174709</v>
      </c>
      <c r="AI997" s="6">
        <v>0.12167699999999999</v>
      </c>
      <c r="AJ997" s="6">
        <v>1.0343260000000001</v>
      </c>
      <c r="AK997" s="6"/>
      <c r="AL997" s="6"/>
      <c r="AM997" s="6" t="e">
        <f t="shared" si="81"/>
        <v>#DIV/0!</v>
      </c>
    </row>
    <row r="998" spans="29:39" x14ac:dyDescent="0.3">
      <c r="AC998">
        <f t="shared" si="80"/>
        <v>0</v>
      </c>
      <c r="AD998">
        <v>995</v>
      </c>
      <c r="AE998" s="4">
        <f t="shared" si="78"/>
        <v>41648</v>
      </c>
      <c r="AF998" s="6" t="e">
        <f t="shared" si="79"/>
        <v>#DIV/0!</v>
      </c>
      <c r="AG998" s="4">
        <v>41648</v>
      </c>
      <c r="AH998" s="6">
        <v>-0.87826899999999997</v>
      </c>
      <c r="AI998" s="6">
        <v>-1.128403</v>
      </c>
      <c r="AJ998" s="6">
        <v>-1.61772</v>
      </c>
      <c r="AK998" s="6"/>
      <c r="AL998" s="6"/>
      <c r="AM998" s="6" t="e">
        <f t="shared" si="81"/>
        <v>#DIV/0!</v>
      </c>
    </row>
    <row r="999" spans="29:39" x14ac:dyDescent="0.3">
      <c r="AC999">
        <f t="shared" si="80"/>
        <v>0</v>
      </c>
      <c r="AD999">
        <v>996</v>
      </c>
      <c r="AE999" s="4">
        <f t="shared" si="78"/>
        <v>41649</v>
      </c>
      <c r="AF999" s="6" t="e">
        <f t="shared" si="79"/>
        <v>#DIV/0!</v>
      </c>
      <c r="AG999" s="4">
        <v>41649</v>
      </c>
      <c r="AH999" s="6">
        <v>-0.78164999999999996</v>
      </c>
      <c r="AI999" s="6">
        <v>-1.8232839999999999</v>
      </c>
      <c r="AJ999" s="6">
        <v>-1.73645</v>
      </c>
      <c r="AK999" s="6"/>
      <c r="AL999" s="6"/>
      <c r="AM999" s="6" t="e">
        <f t="shared" si="81"/>
        <v>#DIV/0!</v>
      </c>
    </row>
    <row r="1000" spans="29:39" x14ac:dyDescent="0.3">
      <c r="AC1000">
        <f t="shared" si="80"/>
        <v>0</v>
      </c>
      <c r="AD1000">
        <v>997</v>
      </c>
      <c r="AE1000" s="4">
        <f t="shared" si="78"/>
        <v>41652</v>
      </c>
      <c r="AF1000" s="6" t="e">
        <f t="shared" si="79"/>
        <v>#DIV/0!</v>
      </c>
      <c r="AG1000" s="4">
        <v>41652</v>
      </c>
      <c r="AH1000" s="6">
        <v>-0.50670099999999996</v>
      </c>
      <c r="AI1000" s="6">
        <v>-0.45785799999999999</v>
      </c>
      <c r="AJ1000" s="6">
        <v>-0.18671199999999999</v>
      </c>
      <c r="AK1000" s="6"/>
      <c r="AL1000" s="6"/>
      <c r="AM1000" s="6" t="e">
        <f t="shared" si="81"/>
        <v>#DIV/0!</v>
      </c>
    </row>
    <row r="1001" spans="29:39" x14ac:dyDescent="0.3">
      <c r="AC1001">
        <f t="shared" si="80"/>
        <v>0</v>
      </c>
      <c r="AD1001">
        <v>998</v>
      </c>
      <c r="AE1001" s="4">
        <f t="shared" si="78"/>
        <v>41653</v>
      </c>
      <c r="AF1001" s="6" t="e">
        <f t="shared" si="79"/>
        <v>#DIV/0!</v>
      </c>
      <c r="AG1001" s="4">
        <v>41653</v>
      </c>
      <c r="AH1001" s="6">
        <v>0.87373800000000001</v>
      </c>
      <c r="AI1001" s="6">
        <v>1.979889</v>
      </c>
      <c r="AJ1001" s="6">
        <v>2.3232729999999999</v>
      </c>
      <c r="AK1001" s="6"/>
      <c r="AL1001" s="6"/>
      <c r="AM1001" s="6" t="e">
        <f t="shared" si="81"/>
        <v>#DIV/0!</v>
      </c>
    </row>
    <row r="1002" spans="29:39" x14ac:dyDescent="0.3">
      <c r="AC1002">
        <f t="shared" si="80"/>
        <v>0</v>
      </c>
      <c r="AD1002">
        <v>999</v>
      </c>
      <c r="AE1002" s="4">
        <f t="shared" si="78"/>
        <v>41654</v>
      </c>
      <c r="AF1002" s="6" t="e">
        <f t="shared" si="79"/>
        <v>#DIV/0!</v>
      </c>
      <c r="AG1002" s="4">
        <v>41654</v>
      </c>
      <c r="AH1002" s="6">
        <v>-0.17646999999999999</v>
      </c>
      <c r="AI1002" s="6">
        <v>0.66805400000000004</v>
      </c>
      <c r="AJ1002" s="6">
        <v>1.0431459999999999</v>
      </c>
      <c r="AK1002" s="6"/>
      <c r="AL1002" s="6"/>
      <c r="AM1002" s="6" t="e">
        <f t="shared" si="81"/>
        <v>#DIV/0!</v>
      </c>
    </row>
    <row r="1003" spans="29:39" x14ac:dyDescent="0.3">
      <c r="AC1003">
        <f t="shared" si="80"/>
        <v>0</v>
      </c>
      <c r="AD1003">
        <v>1000</v>
      </c>
      <c r="AE1003" s="4">
        <f t="shared" si="78"/>
        <v>41655</v>
      </c>
      <c r="AF1003" s="6" t="e">
        <f t="shared" si="79"/>
        <v>#DIV/0!</v>
      </c>
      <c r="AG1003" s="4">
        <v>41655</v>
      </c>
      <c r="AH1003" s="6">
        <v>0.13142000000000001</v>
      </c>
      <c r="AI1003" s="6">
        <v>0.16644500000000001</v>
      </c>
      <c r="AJ1003" s="6">
        <v>-0.19639100000000001</v>
      </c>
      <c r="AK1003" s="6"/>
      <c r="AL1003" s="6"/>
      <c r="AM1003" s="6" t="e">
        <f t="shared" si="81"/>
        <v>#DIV/0!</v>
      </c>
    </row>
    <row r="1004" spans="29:39" x14ac:dyDescent="0.3">
      <c r="AC1004">
        <f t="shared" si="80"/>
        <v>0</v>
      </c>
      <c r="AD1004">
        <v>1001</v>
      </c>
      <c r="AE1004" s="4">
        <f t="shared" si="78"/>
        <v>41656</v>
      </c>
      <c r="AF1004" s="6" t="e">
        <f t="shared" si="79"/>
        <v>#DIV/0!</v>
      </c>
      <c r="AG1004" s="4">
        <v>41656</v>
      </c>
      <c r="AH1004" s="6">
        <v>-1.5080629999999999</v>
      </c>
      <c r="AI1004" s="6">
        <v>-1.1415029999999999</v>
      </c>
      <c r="AJ1004" s="6">
        <v>-0.893347</v>
      </c>
      <c r="AK1004" s="6"/>
      <c r="AL1004" s="6"/>
      <c r="AM1004" s="6" t="e">
        <f t="shared" si="81"/>
        <v>#DIV/0!</v>
      </c>
    </row>
    <row r="1005" spans="29:39" x14ac:dyDescent="0.3">
      <c r="AC1005">
        <f t="shared" si="80"/>
        <v>0</v>
      </c>
      <c r="AD1005">
        <v>1002</v>
      </c>
      <c r="AE1005" s="4">
        <f t="shared" si="78"/>
        <v>41659</v>
      </c>
      <c r="AF1005" s="6" t="e">
        <f t="shared" si="79"/>
        <v>#DIV/0!</v>
      </c>
      <c r="AG1005" s="4">
        <v>41659</v>
      </c>
      <c r="AH1005" s="6">
        <v>-0.57356300000000005</v>
      </c>
      <c r="AI1005" s="6">
        <v>-0.756826</v>
      </c>
      <c r="AJ1005" s="6">
        <v>-0.67722499999999997</v>
      </c>
      <c r="AK1005" s="6"/>
      <c r="AL1005" s="6"/>
      <c r="AM1005" s="6" t="e">
        <f t="shared" si="81"/>
        <v>#DIV/0!</v>
      </c>
    </row>
    <row r="1006" spans="29:39" x14ac:dyDescent="0.3">
      <c r="AC1006">
        <f t="shared" si="80"/>
        <v>0</v>
      </c>
      <c r="AD1006">
        <v>1003</v>
      </c>
      <c r="AE1006" s="4">
        <f t="shared" si="78"/>
        <v>41660</v>
      </c>
      <c r="AF1006" s="6" t="e">
        <f t="shared" si="79"/>
        <v>#DIV/0!</v>
      </c>
      <c r="AG1006" s="4">
        <v>41660</v>
      </c>
      <c r="AH1006" s="6">
        <v>0.988784</v>
      </c>
      <c r="AI1006" s="6">
        <v>1.536254</v>
      </c>
      <c r="AJ1006" s="6">
        <v>1.6256269999999999</v>
      </c>
      <c r="AK1006" s="6"/>
      <c r="AL1006" s="6"/>
      <c r="AM1006" s="6" t="e">
        <f t="shared" si="81"/>
        <v>#DIV/0!</v>
      </c>
    </row>
    <row r="1007" spans="29:39" x14ac:dyDescent="0.3">
      <c r="AC1007">
        <f t="shared" si="80"/>
        <v>0</v>
      </c>
      <c r="AD1007">
        <v>1004</v>
      </c>
      <c r="AE1007" s="4">
        <f t="shared" si="78"/>
        <v>41661</v>
      </c>
      <c r="AF1007" s="6" t="e">
        <f t="shared" si="79"/>
        <v>#DIV/0!</v>
      </c>
      <c r="AG1007" s="4">
        <v>41661</v>
      </c>
      <c r="AH1007" s="6">
        <v>2.5777519999999998</v>
      </c>
      <c r="AI1007" s="6">
        <v>2.6738140000000001</v>
      </c>
      <c r="AJ1007" s="6">
        <v>2.166544</v>
      </c>
      <c r="AK1007" s="6"/>
      <c r="AL1007" s="6"/>
      <c r="AM1007" s="6" t="e">
        <f t="shared" si="81"/>
        <v>#DIV/0!</v>
      </c>
    </row>
    <row r="1008" spans="29:39" x14ac:dyDescent="0.3">
      <c r="AC1008">
        <f t="shared" si="80"/>
        <v>0</v>
      </c>
      <c r="AD1008">
        <v>1005</v>
      </c>
      <c r="AE1008" s="4">
        <f t="shared" si="78"/>
        <v>41662</v>
      </c>
      <c r="AF1008" s="6" t="e">
        <f t="shared" si="79"/>
        <v>#DIV/0!</v>
      </c>
      <c r="AG1008" s="4">
        <v>41662</v>
      </c>
      <c r="AH1008" s="6">
        <v>-0.530663</v>
      </c>
      <c r="AI1008" s="6">
        <v>0.69606999999999997</v>
      </c>
      <c r="AJ1008" s="6">
        <v>0.94374499999999995</v>
      </c>
      <c r="AK1008" s="6"/>
      <c r="AL1008" s="6"/>
      <c r="AM1008" s="6" t="e">
        <f t="shared" si="81"/>
        <v>#DIV/0!</v>
      </c>
    </row>
    <row r="1009" spans="29:39" x14ac:dyDescent="0.3">
      <c r="AC1009">
        <f t="shared" si="80"/>
        <v>0</v>
      </c>
      <c r="AD1009">
        <v>1006</v>
      </c>
      <c r="AE1009" s="4">
        <f t="shared" si="78"/>
        <v>41663</v>
      </c>
      <c r="AF1009" s="6" t="e">
        <f t="shared" si="79"/>
        <v>#DIV/0!</v>
      </c>
      <c r="AG1009" s="4">
        <v>41663</v>
      </c>
      <c r="AH1009" s="6">
        <v>0.61781699999999995</v>
      </c>
      <c r="AI1009" s="6">
        <v>1.494764</v>
      </c>
      <c r="AJ1009" s="6">
        <v>1.468359</v>
      </c>
      <c r="AK1009" s="6"/>
      <c r="AL1009" s="6"/>
      <c r="AM1009" s="6" t="e">
        <f t="shared" si="81"/>
        <v>#DIV/0!</v>
      </c>
    </row>
    <row r="1010" spans="29:39" x14ac:dyDescent="0.3">
      <c r="AC1010">
        <f t="shared" si="80"/>
        <v>0</v>
      </c>
      <c r="AD1010">
        <v>1007</v>
      </c>
      <c r="AE1010" s="4">
        <f t="shared" si="78"/>
        <v>41666</v>
      </c>
      <c r="AF1010" s="6" t="e">
        <f t="shared" si="79"/>
        <v>#DIV/0!</v>
      </c>
      <c r="AG1010" s="4">
        <v>41666</v>
      </c>
      <c r="AH1010" s="6">
        <v>-1.3251679999999999</v>
      </c>
      <c r="AI1010" s="6">
        <v>-1.857E-2</v>
      </c>
      <c r="AJ1010" s="6">
        <v>-0.28185700000000002</v>
      </c>
      <c r="AK1010" s="6"/>
      <c r="AL1010" s="6"/>
      <c r="AM1010" s="6" t="e">
        <f t="shared" si="81"/>
        <v>#DIV/0!</v>
      </c>
    </row>
    <row r="1011" spans="29:39" x14ac:dyDescent="0.3">
      <c r="AC1011">
        <f t="shared" si="80"/>
        <v>0</v>
      </c>
      <c r="AD1011">
        <v>1008</v>
      </c>
      <c r="AE1011" s="4">
        <f t="shared" si="78"/>
        <v>41667</v>
      </c>
      <c r="AF1011" s="6" t="e">
        <f t="shared" si="79"/>
        <v>#DIV/0!</v>
      </c>
      <c r="AG1011" s="4">
        <v>41667</v>
      </c>
      <c r="AH1011" s="6">
        <v>0.177624</v>
      </c>
      <c r="AI1011" s="6">
        <v>-0.20961099999999999</v>
      </c>
      <c r="AJ1011" s="6">
        <v>-0.30582700000000002</v>
      </c>
      <c r="AK1011" s="6"/>
      <c r="AL1011" s="6"/>
      <c r="AM1011" s="6" t="e">
        <f t="shared" si="81"/>
        <v>#DIV/0!</v>
      </c>
    </row>
    <row r="1012" spans="29:39" x14ac:dyDescent="0.3">
      <c r="AC1012">
        <f t="shared" si="80"/>
        <v>0</v>
      </c>
      <c r="AD1012">
        <v>1009</v>
      </c>
      <c r="AE1012" s="4">
        <f t="shared" si="78"/>
        <v>41668</v>
      </c>
      <c r="AF1012" s="6" t="e">
        <f t="shared" si="79"/>
        <v>#DIV/0!</v>
      </c>
      <c r="AG1012" s="4">
        <v>41668</v>
      </c>
      <c r="AH1012" s="6">
        <v>0.35704999999999998</v>
      </c>
      <c r="AI1012" s="6">
        <v>0.89420999999999995</v>
      </c>
      <c r="AJ1012" s="6">
        <v>1.3523909999999999</v>
      </c>
      <c r="AK1012" s="6"/>
      <c r="AL1012" s="6"/>
      <c r="AM1012" s="6" t="e">
        <f t="shared" si="81"/>
        <v>#DIV/0!</v>
      </c>
    </row>
    <row r="1013" spans="29:39" x14ac:dyDescent="0.3">
      <c r="AC1013">
        <f t="shared" si="80"/>
        <v>0</v>
      </c>
      <c r="AD1013">
        <v>1010</v>
      </c>
      <c r="AE1013" s="4">
        <f t="shared" si="78"/>
        <v>41669</v>
      </c>
      <c r="AF1013" s="6" t="e">
        <f t="shared" si="79"/>
        <v>#DIV/0!</v>
      </c>
      <c r="AG1013" s="4">
        <v>41669</v>
      </c>
      <c r="AH1013" s="6">
        <v>-1.137051</v>
      </c>
      <c r="AI1013" s="6">
        <v>-0.58933800000000003</v>
      </c>
      <c r="AJ1013" s="6">
        <v>-0.34203099999999997</v>
      </c>
      <c r="AK1013" s="6"/>
      <c r="AL1013" s="6"/>
      <c r="AM1013" s="6" t="e">
        <f t="shared" si="81"/>
        <v>#DIV/0!</v>
      </c>
    </row>
    <row r="1014" spans="29:39" x14ac:dyDescent="0.3">
      <c r="AC1014">
        <f t="shared" si="80"/>
        <v>0</v>
      </c>
      <c r="AD1014">
        <v>1011</v>
      </c>
      <c r="AE1014" s="4">
        <f t="shared" si="78"/>
        <v>41677</v>
      </c>
      <c r="AF1014" s="6" t="e">
        <f t="shared" si="79"/>
        <v>#DIV/0!</v>
      </c>
      <c r="AG1014" s="4">
        <v>41677</v>
      </c>
      <c r="AH1014" s="6">
        <v>0.455538</v>
      </c>
      <c r="AI1014" s="6">
        <v>1.8596459999999999</v>
      </c>
      <c r="AJ1014" s="6">
        <v>2.1966929999999998</v>
      </c>
      <c r="AK1014" s="6"/>
      <c r="AL1014" s="6"/>
      <c r="AM1014" s="6" t="e">
        <f t="shared" si="81"/>
        <v>#DIV/0!</v>
      </c>
    </row>
    <row r="1015" spans="29:39" x14ac:dyDescent="0.3">
      <c r="AC1015">
        <f t="shared" si="80"/>
        <v>0</v>
      </c>
      <c r="AD1015">
        <v>1012</v>
      </c>
      <c r="AE1015" s="4">
        <f t="shared" si="78"/>
        <v>41680</v>
      </c>
      <c r="AF1015" s="6" t="e">
        <f t="shared" si="79"/>
        <v>#DIV/0!</v>
      </c>
      <c r="AG1015" s="4">
        <v>41680</v>
      </c>
      <c r="AH1015" s="6">
        <v>2.4882</v>
      </c>
      <c r="AI1015" s="6">
        <v>2.9552480000000001</v>
      </c>
      <c r="AJ1015" s="6">
        <v>2.597045</v>
      </c>
      <c r="AK1015" s="6"/>
      <c r="AL1015" s="6"/>
      <c r="AM1015" s="6" t="e">
        <f t="shared" si="81"/>
        <v>#DIV/0!</v>
      </c>
    </row>
    <row r="1016" spans="29:39" x14ac:dyDescent="0.3">
      <c r="AC1016">
        <f t="shared" si="80"/>
        <v>0</v>
      </c>
      <c r="AD1016">
        <v>1013</v>
      </c>
      <c r="AE1016" s="4">
        <f t="shared" si="78"/>
        <v>41681</v>
      </c>
      <c r="AF1016" s="6" t="e">
        <f t="shared" si="79"/>
        <v>#DIV/0!</v>
      </c>
      <c r="AG1016" s="4">
        <v>41681</v>
      </c>
      <c r="AH1016" s="6">
        <v>0.79504900000000001</v>
      </c>
      <c r="AI1016" s="6">
        <v>0.141068</v>
      </c>
      <c r="AJ1016" s="6">
        <v>-3.1759999999999997E-2</v>
      </c>
      <c r="AK1016" s="6"/>
      <c r="AL1016" s="6"/>
      <c r="AM1016" s="6" t="e">
        <f t="shared" si="81"/>
        <v>#DIV/0!</v>
      </c>
    </row>
    <row r="1017" spans="29:39" x14ac:dyDescent="0.3">
      <c r="AC1017">
        <f t="shared" si="80"/>
        <v>0</v>
      </c>
      <c r="AD1017">
        <v>1014</v>
      </c>
      <c r="AE1017" s="4">
        <f t="shared" si="78"/>
        <v>41682</v>
      </c>
      <c r="AF1017" s="6" t="e">
        <f t="shared" si="79"/>
        <v>#DIV/0!</v>
      </c>
      <c r="AG1017" s="4">
        <v>41682</v>
      </c>
      <c r="AH1017" s="6">
        <v>0.248692</v>
      </c>
      <c r="AI1017" s="6">
        <v>1.103672</v>
      </c>
      <c r="AJ1017" s="6">
        <v>1.2792479999999999</v>
      </c>
      <c r="AK1017" s="6"/>
      <c r="AL1017" s="6"/>
      <c r="AM1017" s="6" t="e">
        <f t="shared" si="81"/>
        <v>#DIV/0!</v>
      </c>
    </row>
    <row r="1018" spans="29:39" x14ac:dyDescent="0.3">
      <c r="AC1018">
        <f t="shared" si="80"/>
        <v>0</v>
      </c>
      <c r="AD1018">
        <v>1015</v>
      </c>
      <c r="AE1018" s="4">
        <f t="shared" si="78"/>
        <v>41683</v>
      </c>
      <c r="AF1018" s="6" t="e">
        <f t="shared" si="79"/>
        <v>#DIV/0!</v>
      </c>
      <c r="AG1018" s="4">
        <v>41683</v>
      </c>
      <c r="AH1018" s="6">
        <v>-0.51029000000000002</v>
      </c>
      <c r="AI1018" s="6">
        <v>-1.4783740000000001</v>
      </c>
      <c r="AJ1018" s="6">
        <v>-2.064864</v>
      </c>
      <c r="AK1018" s="6"/>
      <c r="AL1018" s="6"/>
      <c r="AM1018" s="6" t="e">
        <f t="shared" si="81"/>
        <v>#DIV/0!</v>
      </c>
    </row>
    <row r="1019" spans="29:39" x14ac:dyDescent="0.3">
      <c r="AC1019">
        <f t="shared" si="80"/>
        <v>0</v>
      </c>
      <c r="AD1019">
        <v>1016</v>
      </c>
      <c r="AE1019" s="4">
        <f t="shared" si="78"/>
        <v>41684</v>
      </c>
      <c r="AF1019" s="6" t="e">
        <f t="shared" si="79"/>
        <v>#DIV/0!</v>
      </c>
      <c r="AG1019" s="4">
        <v>41684</v>
      </c>
      <c r="AH1019" s="6">
        <v>0.70281300000000002</v>
      </c>
      <c r="AI1019" s="6">
        <v>1.7157910000000001</v>
      </c>
      <c r="AJ1019" s="6">
        <v>2.0179</v>
      </c>
      <c r="AK1019" s="6"/>
      <c r="AL1019" s="6"/>
      <c r="AM1019" s="6" t="e">
        <f t="shared" si="81"/>
        <v>#DIV/0!</v>
      </c>
    </row>
    <row r="1020" spans="29:39" x14ac:dyDescent="0.3">
      <c r="AC1020">
        <f t="shared" si="80"/>
        <v>0</v>
      </c>
      <c r="AD1020">
        <v>1017</v>
      </c>
      <c r="AE1020" s="4">
        <f t="shared" si="78"/>
        <v>41687</v>
      </c>
      <c r="AF1020" s="6" t="e">
        <f t="shared" si="79"/>
        <v>#DIV/0!</v>
      </c>
      <c r="AG1020" s="4">
        <v>41687</v>
      </c>
      <c r="AH1020" s="6">
        <v>0.70013000000000003</v>
      </c>
      <c r="AI1020" s="6">
        <v>1.9008700000000001</v>
      </c>
      <c r="AJ1020" s="6">
        <v>2.335804</v>
      </c>
      <c r="AK1020" s="6"/>
      <c r="AL1020" s="6"/>
      <c r="AM1020" s="6" t="e">
        <f t="shared" si="81"/>
        <v>#DIV/0!</v>
      </c>
    </row>
    <row r="1021" spans="29:39" x14ac:dyDescent="0.3">
      <c r="AC1021">
        <f t="shared" si="80"/>
        <v>0</v>
      </c>
      <c r="AD1021">
        <v>1018</v>
      </c>
      <c r="AE1021" s="4">
        <f t="shared" si="78"/>
        <v>41688</v>
      </c>
      <c r="AF1021" s="6" t="e">
        <f t="shared" si="79"/>
        <v>#DIV/0!</v>
      </c>
      <c r="AG1021" s="4">
        <v>41688</v>
      </c>
      <c r="AH1021" s="6">
        <v>-1.263385</v>
      </c>
      <c r="AI1021" s="6">
        <v>-0.119779</v>
      </c>
      <c r="AJ1021" s="6">
        <v>5.5673E-2</v>
      </c>
      <c r="AK1021" s="6"/>
      <c r="AL1021" s="6"/>
      <c r="AM1021" s="6" t="e">
        <f t="shared" si="81"/>
        <v>#DIV/0!</v>
      </c>
    </row>
    <row r="1022" spans="29:39" x14ac:dyDescent="0.3">
      <c r="AC1022">
        <f t="shared" si="80"/>
        <v>0</v>
      </c>
      <c r="AD1022">
        <v>1019</v>
      </c>
      <c r="AE1022" s="4">
        <f t="shared" si="78"/>
        <v>41689</v>
      </c>
      <c r="AF1022" s="6" t="e">
        <f t="shared" si="79"/>
        <v>#DIV/0!</v>
      </c>
      <c r="AG1022" s="4">
        <v>41689</v>
      </c>
      <c r="AH1022" s="6">
        <v>1.1485069999999999</v>
      </c>
      <c r="AI1022" s="6">
        <v>7.0109999999999999E-3</v>
      </c>
      <c r="AJ1022" s="6">
        <v>-2.0899999999999998E-3</v>
      </c>
      <c r="AK1022" s="6"/>
      <c r="AL1022" s="6"/>
      <c r="AM1022" s="6" t="e">
        <f t="shared" si="81"/>
        <v>#DIV/0!</v>
      </c>
    </row>
    <row r="1023" spans="29:39" x14ac:dyDescent="0.3">
      <c r="AC1023">
        <f t="shared" si="80"/>
        <v>0</v>
      </c>
      <c r="AD1023">
        <v>1020</v>
      </c>
      <c r="AE1023" s="4">
        <f t="shared" si="78"/>
        <v>41690</v>
      </c>
      <c r="AF1023" s="6" t="e">
        <f t="shared" si="79"/>
        <v>#DIV/0!</v>
      </c>
      <c r="AG1023" s="4">
        <v>41690</v>
      </c>
      <c r="AH1023" s="6">
        <v>-0.91914899999999999</v>
      </c>
      <c r="AI1023" s="6">
        <v>-1.400263</v>
      </c>
      <c r="AJ1023" s="6">
        <v>-1.6594869999999999</v>
      </c>
      <c r="AK1023" s="6"/>
      <c r="AL1023" s="6"/>
      <c r="AM1023" s="6" t="e">
        <f t="shared" si="81"/>
        <v>#DIV/0!</v>
      </c>
    </row>
    <row r="1024" spans="29:39" x14ac:dyDescent="0.3">
      <c r="AC1024">
        <f t="shared" si="80"/>
        <v>0</v>
      </c>
      <c r="AD1024">
        <v>1021</v>
      </c>
      <c r="AE1024" s="4">
        <f t="shared" si="78"/>
        <v>41691</v>
      </c>
      <c r="AF1024" s="6" t="e">
        <f t="shared" si="79"/>
        <v>#DIV/0!</v>
      </c>
      <c r="AG1024" s="4">
        <v>41691</v>
      </c>
      <c r="AH1024" s="6">
        <v>-1.0117</v>
      </c>
      <c r="AI1024" s="6">
        <v>-0.65446000000000004</v>
      </c>
      <c r="AJ1024" s="6">
        <v>-8.7147000000000002E-2</v>
      </c>
      <c r="AK1024" s="6"/>
      <c r="AL1024" s="6"/>
      <c r="AM1024" s="6" t="e">
        <f t="shared" si="81"/>
        <v>#DIV/0!</v>
      </c>
    </row>
    <row r="1025" spans="29:39" x14ac:dyDescent="0.3">
      <c r="AC1025">
        <f t="shared" si="80"/>
        <v>0</v>
      </c>
      <c r="AD1025">
        <v>1022</v>
      </c>
      <c r="AE1025" s="4">
        <f t="shared" si="78"/>
        <v>41694</v>
      </c>
      <c r="AF1025" s="6" t="e">
        <f t="shared" si="79"/>
        <v>#DIV/0!</v>
      </c>
      <c r="AG1025" s="4">
        <v>41694</v>
      </c>
      <c r="AH1025" s="6">
        <v>-2.198699</v>
      </c>
      <c r="AI1025" s="6">
        <v>-0.39120100000000002</v>
      </c>
      <c r="AJ1025" s="6">
        <v>0.67003500000000005</v>
      </c>
      <c r="AK1025" s="6"/>
      <c r="AL1025" s="6"/>
      <c r="AM1025" s="6" t="e">
        <f t="shared" si="81"/>
        <v>#DIV/0!</v>
      </c>
    </row>
    <row r="1026" spans="29:39" x14ac:dyDescent="0.3">
      <c r="AC1026">
        <f t="shared" si="80"/>
        <v>0</v>
      </c>
      <c r="AD1026">
        <v>1023</v>
      </c>
      <c r="AE1026" s="4">
        <f t="shared" si="78"/>
        <v>41695</v>
      </c>
      <c r="AF1026" s="6" t="e">
        <f t="shared" si="79"/>
        <v>#DIV/0!</v>
      </c>
      <c r="AG1026" s="4">
        <v>41695</v>
      </c>
      <c r="AH1026" s="6">
        <v>-2.5558709999999998</v>
      </c>
      <c r="AI1026" s="6">
        <v>-3.515838</v>
      </c>
      <c r="AJ1026" s="6">
        <v>-4.2475370000000003</v>
      </c>
      <c r="AK1026" s="6"/>
      <c r="AL1026" s="6"/>
      <c r="AM1026" s="6" t="e">
        <f t="shared" si="81"/>
        <v>#DIV/0!</v>
      </c>
    </row>
    <row r="1027" spans="29:39" x14ac:dyDescent="0.3">
      <c r="AC1027">
        <f t="shared" si="80"/>
        <v>0</v>
      </c>
      <c r="AD1027">
        <v>1024</v>
      </c>
      <c r="AE1027" s="4">
        <f t="shared" si="78"/>
        <v>41696</v>
      </c>
      <c r="AF1027" s="6" t="e">
        <f t="shared" si="79"/>
        <v>#DIV/0!</v>
      </c>
      <c r="AG1027" s="4">
        <v>41696</v>
      </c>
      <c r="AH1027" s="6">
        <v>0.254691</v>
      </c>
      <c r="AI1027" s="6">
        <v>0.657362</v>
      </c>
      <c r="AJ1027" s="6">
        <v>0.66720000000000002</v>
      </c>
      <c r="AK1027" s="6"/>
      <c r="AL1027" s="6"/>
      <c r="AM1027" s="6" t="e">
        <f t="shared" si="81"/>
        <v>#DIV/0!</v>
      </c>
    </row>
    <row r="1028" spans="29:39" x14ac:dyDescent="0.3">
      <c r="AC1028">
        <f t="shared" si="80"/>
        <v>0</v>
      </c>
      <c r="AD1028">
        <v>1025</v>
      </c>
      <c r="AE1028" s="4">
        <f t="shared" si="78"/>
        <v>41697</v>
      </c>
      <c r="AF1028" s="6" t="e">
        <f t="shared" si="79"/>
        <v>#DIV/0!</v>
      </c>
      <c r="AG1028" s="4">
        <v>41697</v>
      </c>
      <c r="AH1028" s="6">
        <v>-0.42973899999999998</v>
      </c>
      <c r="AI1028" s="6">
        <v>-1.3229660000000001</v>
      </c>
      <c r="AJ1028" s="6">
        <v>-1.765277</v>
      </c>
      <c r="AK1028" s="6"/>
      <c r="AL1028" s="6"/>
      <c r="AM1028" s="6" t="e">
        <f t="shared" si="81"/>
        <v>#DIV/0!</v>
      </c>
    </row>
    <row r="1029" spans="29:39" x14ac:dyDescent="0.3">
      <c r="AC1029">
        <f t="shared" si="80"/>
        <v>0</v>
      </c>
      <c r="AD1029">
        <v>1026</v>
      </c>
      <c r="AE1029" s="4">
        <f t="shared" ref="AE1029:AE1092" si="82">AG1029</f>
        <v>41698</v>
      </c>
      <c r="AF1029" s="6" t="e">
        <f t="shared" ref="AF1029:AF1092" si="83">AM1029</f>
        <v>#DIV/0!</v>
      </c>
      <c r="AG1029" s="4">
        <v>41698</v>
      </c>
      <c r="AH1029" s="6">
        <v>1.1542129999999999</v>
      </c>
      <c r="AI1029" s="6">
        <v>1.047137</v>
      </c>
      <c r="AJ1029" s="6">
        <v>0.97951200000000005</v>
      </c>
      <c r="AK1029" s="6"/>
      <c r="AL1029" s="6"/>
      <c r="AM1029" s="6" t="e">
        <f t="shared" si="81"/>
        <v>#DIV/0!</v>
      </c>
    </row>
    <row r="1030" spans="29:39" x14ac:dyDescent="0.3">
      <c r="AC1030">
        <f t="shared" ref="AC1030:AC1093" si="84">IF(AE1030&lt;=AE1029,1,0)</f>
        <v>0</v>
      </c>
      <c r="AD1030">
        <v>1027</v>
      </c>
      <c r="AE1030" s="4">
        <f t="shared" si="82"/>
        <v>41701</v>
      </c>
      <c r="AF1030" s="6" t="e">
        <f t="shared" si="83"/>
        <v>#DIV/0!</v>
      </c>
      <c r="AG1030" s="4">
        <v>41701</v>
      </c>
      <c r="AH1030" s="6">
        <v>0.52313699999999996</v>
      </c>
      <c r="AI1030" s="6">
        <v>2.0842930000000002</v>
      </c>
      <c r="AJ1030" s="6">
        <v>2.3056160000000001</v>
      </c>
      <c r="AK1030" s="6"/>
      <c r="AL1030" s="6"/>
      <c r="AM1030" s="6" t="e">
        <f t="shared" ref="AM1030:AM1093" si="85">(AL1030/AL1029-1)*100</f>
        <v>#DIV/0!</v>
      </c>
    </row>
    <row r="1031" spans="29:39" x14ac:dyDescent="0.3">
      <c r="AC1031">
        <f t="shared" si="84"/>
        <v>0</v>
      </c>
      <c r="AD1031">
        <v>1028</v>
      </c>
      <c r="AE1031" s="4">
        <f t="shared" si="82"/>
        <v>41702</v>
      </c>
      <c r="AF1031" s="6" t="e">
        <f t="shared" si="83"/>
        <v>#DIV/0!</v>
      </c>
      <c r="AG1031" s="4">
        <v>41702</v>
      </c>
      <c r="AH1031" s="6">
        <v>-0.27835500000000002</v>
      </c>
      <c r="AI1031" s="6">
        <v>1.8922000000000001E-2</v>
      </c>
      <c r="AJ1031" s="6">
        <v>0.156837</v>
      </c>
      <c r="AK1031" s="6"/>
      <c r="AL1031" s="6"/>
      <c r="AM1031" s="6" t="e">
        <f t="shared" si="85"/>
        <v>#DIV/0!</v>
      </c>
    </row>
    <row r="1032" spans="29:39" x14ac:dyDescent="0.3">
      <c r="AC1032">
        <f t="shared" si="84"/>
        <v>0</v>
      </c>
      <c r="AD1032">
        <v>1029</v>
      </c>
      <c r="AE1032" s="4">
        <f t="shared" si="82"/>
        <v>41703</v>
      </c>
      <c r="AF1032" s="6" t="e">
        <f t="shared" si="83"/>
        <v>#DIV/0!</v>
      </c>
      <c r="AG1032" s="4">
        <v>41703</v>
      </c>
      <c r="AH1032" s="6">
        <v>-0.929234</v>
      </c>
      <c r="AI1032" s="6">
        <v>-0.53658399999999995</v>
      </c>
      <c r="AJ1032" s="6">
        <v>3.4624000000000002E-2</v>
      </c>
      <c r="AK1032" s="6"/>
      <c r="AL1032" s="6"/>
      <c r="AM1032" s="6" t="e">
        <f t="shared" si="85"/>
        <v>#DIV/0!</v>
      </c>
    </row>
    <row r="1033" spans="29:39" x14ac:dyDescent="0.3">
      <c r="AC1033">
        <f t="shared" si="84"/>
        <v>0</v>
      </c>
      <c r="AD1033">
        <v>1030</v>
      </c>
      <c r="AE1033" s="4">
        <f t="shared" si="82"/>
        <v>41704</v>
      </c>
      <c r="AF1033" s="6" t="e">
        <f t="shared" si="83"/>
        <v>#DIV/0!</v>
      </c>
      <c r="AG1033" s="4">
        <v>41704</v>
      </c>
      <c r="AH1033" s="6">
        <v>0.44630799999999998</v>
      </c>
      <c r="AI1033" s="6">
        <v>-0.124524</v>
      </c>
      <c r="AJ1033" s="6">
        <v>-2.5526E-2</v>
      </c>
      <c r="AK1033" s="6"/>
      <c r="AL1033" s="6"/>
      <c r="AM1033" s="6" t="e">
        <f t="shared" si="85"/>
        <v>#DIV/0!</v>
      </c>
    </row>
    <row r="1034" spans="29:39" x14ac:dyDescent="0.3">
      <c r="AC1034">
        <f t="shared" si="84"/>
        <v>0</v>
      </c>
      <c r="AD1034">
        <v>1031</v>
      </c>
      <c r="AE1034" s="4">
        <f t="shared" si="82"/>
        <v>41705</v>
      </c>
      <c r="AF1034" s="6" t="e">
        <f t="shared" si="83"/>
        <v>#DIV/0!</v>
      </c>
      <c r="AG1034" s="4">
        <v>41705</v>
      </c>
      <c r="AH1034" s="6">
        <v>-0.242727</v>
      </c>
      <c r="AI1034" s="6">
        <v>-0.50360099999999997</v>
      </c>
      <c r="AJ1034" s="6">
        <v>-0.253104</v>
      </c>
      <c r="AK1034" s="6"/>
      <c r="AL1034" s="6"/>
      <c r="AM1034" s="6" t="e">
        <f t="shared" si="85"/>
        <v>#DIV/0!</v>
      </c>
    </row>
    <row r="1035" spans="29:39" x14ac:dyDescent="0.3">
      <c r="AC1035">
        <f t="shared" si="84"/>
        <v>0</v>
      </c>
      <c r="AD1035">
        <v>1032</v>
      </c>
      <c r="AE1035" s="4">
        <f t="shared" si="82"/>
        <v>41708</v>
      </c>
      <c r="AF1035" s="6" t="e">
        <f t="shared" si="83"/>
        <v>#DIV/0!</v>
      </c>
      <c r="AG1035" s="4">
        <v>41708</v>
      </c>
      <c r="AH1035" s="6">
        <v>-3.2545820000000001</v>
      </c>
      <c r="AI1035" s="6">
        <v>-3.7932709999999998</v>
      </c>
      <c r="AJ1035" s="6">
        <v>-3.8216019999999999</v>
      </c>
      <c r="AK1035" s="6"/>
      <c r="AL1035" s="6"/>
      <c r="AM1035" s="6" t="e">
        <f t="shared" si="85"/>
        <v>#DIV/0!</v>
      </c>
    </row>
    <row r="1036" spans="29:39" x14ac:dyDescent="0.3">
      <c r="AC1036">
        <f t="shared" si="84"/>
        <v>0</v>
      </c>
      <c r="AD1036">
        <v>1033</v>
      </c>
      <c r="AE1036" s="4">
        <f t="shared" si="82"/>
        <v>41709</v>
      </c>
      <c r="AF1036" s="6" t="e">
        <f t="shared" si="83"/>
        <v>#DIV/0!</v>
      </c>
      <c r="AG1036" s="4">
        <v>41709</v>
      </c>
      <c r="AH1036" s="6">
        <v>0.51835600000000004</v>
      </c>
      <c r="AI1036" s="6">
        <v>0.104035</v>
      </c>
      <c r="AJ1036" s="6">
        <v>-0.29279500000000003</v>
      </c>
      <c r="AK1036" s="6"/>
      <c r="AL1036" s="6"/>
      <c r="AM1036" s="6" t="e">
        <f t="shared" si="85"/>
        <v>#DIV/0!</v>
      </c>
    </row>
    <row r="1037" spans="29:39" x14ac:dyDescent="0.3">
      <c r="AC1037">
        <f t="shared" si="84"/>
        <v>0</v>
      </c>
      <c r="AD1037">
        <v>1034</v>
      </c>
      <c r="AE1037" s="4">
        <f t="shared" si="82"/>
        <v>41710</v>
      </c>
      <c r="AF1037" s="6" t="e">
        <f t="shared" si="83"/>
        <v>#DIV/0!</v>
      </c>
      <c r="AG1037" s="4">
        <v>41710</v>
      </c>
      <c r="AH1037" s="6">
        <v>0.25954899999999997</v>
      </c>
      <c r="AI1037" s="6">
        <v>3.6281000000000001E-2</v>
      </c>
      <c r="AJ1037" s="6">
        <v>-0.41860399999999998</v>
      </c>
      <c r="AK1037" s="6"/>
      <c r="AL1037" s="6"/>
      <c r="AM1037" s="6" t="e">
        <f t="shared" si="85"/>
        <v>#DIV/0!</v>
      </c>
    </row>
    <row r="1038" spans="29:39" x14ac:dyDescent="0.3">
      <c r="AC1038">
        <f t="shared" si="84"/>
        <v>0</v>
      </c>
      <c r="AD1038">
        <v>1035</v>
      </c>
      <c r="AE1038" s="4">
        <f t="shared" si="82"/>
        <v>41711</v>
      </c>
      <c r="AF1038" s="6" t="e">
        <f t="shared" si="83"/>
        <v>#DIV/0!</v>
      </c>
      <c r="AG1038" s="4">
        <v>41711</v>
      </c>
      <c r="AH1038" s="6">
        <v>1.239231</v>
      </c>
      <c r="AI1038" s="6">
        <v>1.0731409999999999</v>
      </c>
      <c r="AJ1038" s="6">
        <v>1.4204129999999999</v>
      </c>
      <c r="AK1038" s="6"/>
      <c r="AL1038" s="6"/>
      <c r="AM1038" s="6" t="e">
        <f t="shared" si="85"/>
        <v>#DIV/0!</v>
      </c>
    </row>
    <row r="1039" spans="29:39" x14ac:dyDescent="0.3">
      <c r="AC1039">
        <f t="shared" si="84"/>
        <v>0</v>
      </c>
      <c r="AD1039">
        <v>1036</v>
      </c>
      <c r="AE1039" s="4">
        <f t="shared" si="82"/>
        <v>41712</v>
      </c>
      <c r="AF1039" s="6" t="e">
        <f t="shared" si="83"/>
        <v>#DIV/0!</v>
      </c>
      <c r="AG1039" s="4">
        <v>41712</v>
      </c>
      <c r="AH1039" s="6">
        <v>-0.81749000000000005</v>
      </c>
      <c r="AI1039" s="6">
        <v>-0.46507100000000001</v>
      </c>
      <c r="AJ1039" s="6">
        <v>-0.18690000000000001</v>
      </c>
      <c r="AK1039" s="6"/>
      <c r="AL1039" s="6"/>
      <c r="AM1039" s="6" t="e">
        <f t="shared" si="85"/>
        <v>#DIV/0!</v>
      </c>
    </row>
    <row r="1040" spans="29:39" x14ac:dyDescent="0.3">
      <c r="AC1040">
        <f t="shared" si="84"/>
        <v>0</v>
      </c>
      <c r="AD1040">
        <v>1037</v>
      </c>
      <c r="AE1040" s="4">
        <f t="shared" si="82"/>
        <v>41715</v>
      </c>
      <c r="AF1040" s="6" t="e">
        <f t="shared" si="83"/>
        <v>#DIV/0!</v>
      </c>
      <c r="AG1040" s="4">
        <v>41715</v>
      </c>
      <c r="AH1040" s="6">
        <v>0.95165100000000002</v>
      </c>
      <c r="AI1040" s="6">
        <v>2.01017</v>
      </c>
      <c r="AJ1040" s="6">
        <v>2.4678770000000001</v>
      </c>
      <c r="AK1040" s="6"/>
      <c r="AL1040" s="6"/>
      <c r="AM1040" s="6" t="e">
        <f t="shared" si="85"/>
        <v>#DIV/0!</v>
      </c>
    </row>
    <row r="1041" spans="29:39" x14ac:dyDescent="0.3">
      <c r="AC1041">
        <f t="shared" si="84"/>
        <v>0</v>
      </c>
      <c r="AD1041">
        <v>1038</v>
      </c>
      <c r="AE1041" s="4">
        <f t="shared" si="82"/>
        <v>41716</v>
      </c>
      <c r="AF1041" s="6" t="e">
        <f t="shared" si="83"/>
        <v>#DIV/0!</v>
      </c>
      <c r="AG1041" s="4">
        <v>41716</v>
      </c>
      <c r="AH1041" s="6">
        <v>-0.228881</v>
      </c>
      <c r="AI1041" s="6">
        <v>0.55584</v>
      </c>
      <c r="AJ1041" s="6">
        <v>0.63808200000000004</v>
      </c>
      <c r="AK1041" s="6"/>
      <c r="AL1041" s="6"/>
      <c r="AM1041" s="6" t="e">
        <f t="shared" si="85"/>
        <v>#DIV/0!</v>
      </c>
    </row>
    <row r="1042" spans="29:39" x14ac:dyDescent="0.3">
      <c r="AC1042">
        <f t="shared" si="84"/>
        <v>0</v>
      </c>
      <c r="AD1042">
        <v>1039</v>
      </c>
      <c r="AE1042" s="4">
        <f t="shared" si="82"/>
        <v>41717</v>
      </c>
      <c r="AF1042" s="6" t="e">
        <f t="shared" si="83"/>
        <v>#DIV/0!</v>
      </c>
      <c r="AG1042" s="4">
        <v>41717</v>
      </c>
      <c r="AH1042" s="6">
        <v>-0.80738699999999997</v>
      </c>
      <c r="AI1042" s="6">
        <v>-0.21377699999999999</v>
      </c>
      <c r="AJ1042" s="6">
        <v>6.7059999999999995E-2</v>
      </c>
      <c r="AK1042" s="6"/>
      <c r="AL1042" s="6"/>
      <c r="AM1042" s="6" t="e">
        <f t="shared" si="85"/>
        <v>#DIV/0!</v>
      </c>
    </row>
    <row r="1043" spans="29:39" x14ac:dyDescent="0.3">
      <c r="AC1043">
        <f t="shared" si="84"/>
        <v>0</v>
      </c>
      <c r="AD1043">
        <v>1040</v>
      </c>
      <c r="AE1043" s="4">
        <f t="shared" si="82"/>
        <v>41718</v>
      </c>
      <c r="AF1043" s="6" t="e">
        <f t="shared" si="83"/>
        <v>#DIV/0!</v>
      </c>
      <c r="AG1043" s="4">
        <v>41718</v>
      </c>
      <c r="AH1043" s="6">
        <v>-1.5985419999999999</v>
      </c>
      <c r="AI1043" s="6">
        <v>-2.6150099999999998</v>
      </c>
      <c r="AJ1043" s="6">
        <v>-2.8217430000000001</v>
      </c>
      <c r="AK1043" s="6"/>
      <c r="AL1043" s="6"/>
      <c r="AM1043" s="6" t="e">
        <f t="shared" si="85"/>
        <v>#DIV/0!</v>
      </c>
    </row>
    <row r="1044" spans="29:39" x14ac:dyDescent="0.3">
      <c r="AC1044">
        <f t="shared" si="84"/>
        <v>0</v>
      </c>
      <c r="AD1044">
        <v>1041</v>
      </c>
      <c r="AE1044" s="4">
        <f t="shared" si="82"/>
        <v>41719</v>
      </c>
      <c r="AF1044" s="6" t="e">
        <f t="shared" si="83"/>
        <v>#DIV/0!</v>
      </c>
      <c r="AG1044" s="4">
        <v>41719</v>
      </c>
      <c r="AH1044" s="6">
        <v>3.4418850000000001</v>
      </c>
      <c r="AI1044" s="6">
        <v>1.955694</v>
      </c>
      <c r="AJ1044" s="6">
        <v>1.4924770000000001</v>
      </c>
      <c r="AK1044" s="6"/>
      <c r="AL1044" s="6"/>
      <c r="AM1044" s="6" t="e">
        <f t="shared" si="85"/>
        <v>#DIV/0!</v>
      </c>
    </row>
    <row r="1045" spans="29:39" x14ac:dyDescent="0.3">
      <c r="AC1045">
        <f t="shared" si="84"/>
        <v>0</v>
      </c>
      <c r="AD1045">
        <v>1042</v>
      </c>
      <c r="AE1045" s="4">
        <f t="shared" si="82"/>
        <v>41722</v>
      </c>
      <c r="AF1045" s="6" t="e">
        <f t="shared" si="83"/>
        <v>#DIV/0!</v>
      </c>
      <c r="AG1045" s="4">
        <v>41722</v>
      </c>
      <c r="AH1045" s="6">
        <v>0.82249499999999998</v>
      </c>
      <c r="AI1045" s="6">
        <v>0.846804</v>
      </c>
      <c r="AJ1045" s="6">
        <v>0.132607</v>
      </c>
      <c r="AK1045" s="6"/>
      <c r="AL1045" s="6"/>
      <c r="AM1045" s="6" t="e">
        <f t="shared" si="85"/>
        <v>#DIV/0!</v>
      </c>
    </row>
    <row r="1046" spans="29:39" x14ac:dyDescent="0.3">
      <c r="AC1046">
        <f t="shared" si="84"/>
        <v>0</v>
      </c>
      <c r="AD1046">
        <v>1043</v>
      </c>
      <c r="AE1046" s="4">
        <f t="shared" si="82"/>
        <v>41723</v>
      </c>
      <c r="AF1046" s="6" t="e">
        <f t="shared" si="83"/>
        <v>#DIV/0!</v>
      </c>
      <c r="AG1046" s="4">
        <v>41723</v>
      </c>
      <c r="AH1046" s="6">
        <v>-9.7126000000000004E-2</v>
      </c>
      <c r="AI1046" s="6">
        <v>0.132544</v>
      </c>
      <c r="AJ1046" s="6">
        <v>-3.7320000000000001E-3</v>
      </c>
      <c r="AK1046" s="6"/>
      <c r="AL1046" s="6"/>
      <c r="AM1046" s="6" t="e">
        <f t="shared" si="85"/>
        <v>#DIV/0!</v>
      </c>
    </row>
    <row r="1047" spans="29:39" x14ac:dyDescent="0.3">
      <c r="AC1047">
        <f t="shared" si="84"/>
        <v>0</v>
      </c>
      <c r="AD1047">
        <v>1044</v>
      </c>
      <c r="AE1047" s="4">
        <f t="shared" si="82"/>
        <v>41724</v>
      </c>
      <c r="AF1047" s="6" t="e">
        <f t="shared" si="83"/>
        <v>#DIV/0!</v>
      </c>
      <c r="AG1047" s="4">
        <v>41724</v>
      </c>
      <c r="AH1047" s="6">
        <v>-0.15604000000000001</v>
      </c>
      <c r="AI1047" s="6">
        <v>0.25952500000000001</v>
      </c>
      <c r="AJ1047" s="6">
        <v>0.56655800000000001</v>
      </c>
      <c r="AK1047" s="6"/>
      <c r="AL1047" s="6"/>
      <c r="AM1047" s="6" t="e">
        <f t="shared" si="85"/>
        <v>#DIV/0!</v>
      </c>
    </row>
    <row r="1048" spans="29:39" x14ac:dyDescent="0.3">
      <c r="AC1048">
        <f t="shared" si="84"/>
        <v>0</v>
      </c>
      <c r="AD1048">
        <v>1045</v>
      </c>
      <c r="AE1048" s="4">
        <f t="shared" si="82"/>
        <v>41725</v>
      </c>
      <c r="AF1048" s="6" t="e">
        <f t="shared" si="83"/>
        <v>#DIV/0!</v>
      </c>
      <c r="AG1048" s="4">
        <v>41725</v>
      </c>
      <c r="AH1048" s="6">
        <v>-0.70657199999999998</v>
      </c>
      <c r="AI1048" s="6">
        <v>-1.4359109999999999</v>
      </c>
      <c r="AJ1048" s="6">
        <v>-2.0332530000000002</v>
      </c>
      <c r="AK1048" s="6"/>
      <c r="AL1048" s="6"/>
      <c r="AM1048" s="6" t="e">
        <f t="shared" si="85"/>
        <v>#DIV/0!</v>
      </c>
    </row>
    <row r="1049" spans="29:39" x14ac:dyDescent="0.3">
      <c r="AC1049">
        <f t="shared" si="84"/>
        <v>0</v>
      </c>
      <c r="AD1049">
        <v>1046</v>
      </c>
      <c r="AE1049" s="4">
        <f t="shared" si="82"/>
        <v>41726</v>
      </c>
      <c r="AF1049" s="6" t="e">
        <f t="shared" si="83"/>
        <v>#DIV/0!</v>
      </c>
      <c r="AG1049" s="4">
        <v>41726</v>
      </c>
      <c r="AH1049" s="6">
        <v>-0.17358599999999999</v>
      </c>
      <c r="AI1049" s="6">
        <v>-1.996656</v>
      </c>
      <c r="AJ1049" s="6">
        <v>-2.756313</v>
      </c>
      <c r="AK1049" s="6"/>
      <c r="AL1049" s="6"/>
      <c r="AM1049" s="6" t="e">
        <f t="shared" si="85"/>
        <v>#DIV/0!</v>
      </c>
    </row>
    <row r="1050" spans="29:39" x14ac:dyDescent="0.3">
      <c r="AC1050">
        <f t="shared" si="84"/>
        <v>0</v>
      </c>
      <c r="AD1050">
        <v>1047</v>
      </c>
      <c r="AE1050" s="4">
        <f t="shared" si="82"/>
        <v>41729</v>
      </c>
      <c r="AF1050" s="6" t="e">
        <f t="shared" si="83"/>
        <v>#DIV/0!</v>
      </c>
      <c r="AG1050" s="4">
        <v>41729</v>
      </c>
      <c r="AH1050" s="6">
        <v>-0.263015</v>
      </c>
      <c r="AI1050" s="6">
        <v>-0.64054599999999995</v>
      </c>
      <c r="AJ1050" s="6">
        <v>-0.82448100000000002</v>
      </c>
      <c r="AK1050" s="6"/>
      <c r="AL1050" s="6"/>
      <c r="AM1050" s="6" t="e">
        <f t="shared" si="85"/>
        <v>#DIV/0!</v>
      </c>
    </row>
    <row r="1051" spans="29:39" x14ac:dyDescent="0.3">
      <c r="AC1051">
        <f t="shared" si="84"/>
        <v>0</v>
      </c>
      <c r="AD1051">
        <v>1048</v>
      </c>
      <c r="AE1051" s="4">
        <f t="shared" si="82"/>
        <v>41730</v>
      </c>
      <c r="AF1051" s="6" t="e">
        <f t="shared" si="83"/>
        <v>#DIV/0!</v>
      </c>
      <c r="AG1051" s="4">
        <v>41730</v>
      </c>
      <c r="AH1051" s="6">
        <v>0.78320599999999996</v>
      </c>
      <c r="AI1051" s="6">
        <v>1.534994</v>
      </c>
      <c r="AJ1051" s="6">
        <v>1.762859</v>
      </c>
      <c r="AK1051" s="6"/>
      <c r="AL1051" s="6"/>
      <c r="AM1051" s="6" t="e">
        <f t="shared" si="85"/>
        <v>#DIV/0!</v>
      </c>
    </row>
    <row r="1052" spans="29:39" x14ac:dyDescent="0.3">
      <c r="AC1052">
        <f t="shared" si="84"/>
        <v>0</v>
      </c>
      <c r="AD1052">
        <v>1049</v>
      </c>
      <c r="AE1052" s="4">
        <f t="shared" si="82"/>
        <v>41731</v>
      </c>
      <c r="AF1052" s="6" t="e">
        <f t="shared" si="83"/>
        <v>#DIV/0!</v>
      </c>
      <c r="AG1052" s="4">
        <v>41731</v>
      </c>
      <c r="AH1052" s="6">
        <v>0.81419600000000003</v>
      </c>
      <c r="AI1052" s="6">
        <v>6.5520999999999996E-2</v>
      </c>
      <c r="AJ1052" s="6">
        <v>-0.66098299999999999</v>
      </c>
      <c r="AK1052" s="6"/>
      <c r="AL1052" s="6"/>
      <c r="AM1052" s="6" t="e">
        <f t="shared" si="85"/>
        <v>#DIV/0!</v>
      </c>
    </row>
    <row r="1053" spans="29:39" x14ac:dyDescent="0.3">
      <c r="AC1053">
        <f t="shared" si="84"/>
        <v>0</v>
      </c>
      <c r="AD1053">
        <v>1050</v>
      </c>
      <c r="AE1053" s="4">
        <f t="shared" si="82"/>
        <v>41732</v>
      </c>
      <c r="AF1053" s="6" t="e">
        <f t="shared" si="83"/>
        <v>#DIV/0!</v>
      </c>
      <c r="AG1053" s="4">
        <v>41732</v>
      </c>
      <c r="AH1053" s="6">
        <v>-0.72081499999999998</v>
      </c>
      <c r="AI1053" s="6">
        <v>-0.14769199999999999</v>
      </c>
      <c r="AJ1053" s="6">
        <v>6.7658999999999997E-2</v>
      </c>
      <c r="AK1053" s="6"/>
      <c r="AL1053" s="6"/>
      <c r="AM1053" s="6" t="e">
        <f t="shared" si="85"/>
        <v>#DIV/0!</v>
      </c>
    </row>
    <row r="1054" spans="29:39" x14ac:dyDescent="0.3">
      <c r="AC1054">
        <f t="shared" si="84"/>
        <v>0</v>
      </c>
      <c r="AD1054">
        <v>1051</v>
      </c>
      <c r="AE1054" s="4">
        <f t="shared" si="82"/>
        <v>41733</v>
      </c>
      <c r="AF1054" s="6" t="e">
        <f t="shared" si="83"/>
        <v>#DIV/0!</v>
      </c>
      <c r="AG1054" s="4">
        <v>41733</v>
      </c>
      <c r="AH1054" s="6">
        <v>0.94521599999999995</v>
      </c>
      <c r="AI1054" s="6">
        <v>1.1023080000000001</v>
      </c>
      <c r="AJ1054" s="6">
        <v>1.2103820000000001</v>
      </c>
      <c r="AK1054" s="6"/>
      <c r="AL1054" s="6"/>
      <c r="AM1054" s="6" t="e">
        <f t="shared" si="85"/>
        <v>#DIV/0!</v>
      </c>
    </row>
    <row r="1055" spans="29:39" x14ac:dyDescent="0.3">
      <c r="AC1055">
        <f t="shared" si="84"/>
        <v>0</v>
      </c>
      <c r="AD1055">
        <v>1052</v>
      </c>
      <c r="AE1055" s="4">
        <f t="shared" si="82"/>
        <v>41737</v>
      </c>
      <c r="AF1055" s="6" t="e">
        <f t="shared" si="83"/>
        <v>#DIV/0!</v>
      </c>
      <c r="AG1055" s="4">
        <v>41737</v>
      </c>
      <c r="AH1055" s="6">
        <v>2.3722110000000001</v>
      </c>
      <c r="AI1055" s="6">
        <v>1.0762510000000001</v>
      </c>
      <c r="AJ1055" s="6">
        <v>0.65031799999999995</v>
      </c>
      <c r="AK1055" s="6"/>
      <c r="AL1055" s="6"/>
      <c r="AM1055" s="6" t="e">
        <f t="shared" si="85"/>
        <v>#DIV/0!</v>
      </c>
    </row>
    <row r="1056" spans="29:39" x14ac:dyDescent="0.3">
      <c r="AC1056">
        <f t="shared" si="84"/>
        <v>0</v>
      </c>
      <c r="AD1056">
        <v>1053</v>
      </c>
      <c r="AE1056" s="4">
        <f t="shared" si="82"/>
        <v>41738</v>
      </c>
      <c r="AF1056" s="6" t="e">
        <f t="shared" si="83"/>
        <v>#DIV/0!</v>
      </c>
      <c r="AG1056" s="4">
        <v>41738</v>
      </c>
      <c r="AH1056" s="6">
        <v>5.8284000000000002E-2</v>
      </c>
      <c r="AI1056" s="6">
        <v>0.92730999999999997</v>
      </c>
      <c r="AJ1056" s="6">
        <v>1.172995</v>
      </c>
      <c r="AK1056" s="6"/>
      <c r="AL1056" s="6"/>
      <c r="AM1056" s="6" t="e">
        <f t="shared" si="85"/>
        <v>#DIV/0!</v>
      </c>
    </row>
    <row r="1057" spans="29:39" x14ac:dyDescent="0.3">
      <c r="AC1057">
        <f t="shared" si="84"/>
        <v>0</v>
      </c>
      <c r="AD1057">
        <v>1054</v>
      </c>
      <c r="AE1057" s="4">
        <f t="shared" si="82"/>
        <v>41739</v>
      </c>
      <c r="AF1057" s="6" t="e">
        <f t="shared" si="83"/>
        <v>#DIV/0!</v>
      </c>
      <c r="AG1057" s="4">
        <v>41739</v>
      </c>
      <c r="AH1057" s="6">
        <v>1.5697620000000001</v>
      </c>
      <c r="AI1057" s="6">
        <v>0.50498399999999999</v>
      </c>
      <c r="AJ1057" s="6">
        <v>0.39583600000000002</v>
      </c>
      <c r="AK1057" s="6"/>
      <c r="AL1057" s="6"/>
      <c r="AM1057" s="6" t="e">
        <f t="shared" si="85"/>
        <v>#DIV/0!</v>
      </c>
    </row>
    <row r="1058" spans="29:39" x14ac:dyDescent="0.3">
      <c r="AC1058">
        <f t="shared" si="84"/>
        <v>0</v>
      </c>
      <c r="AD1058">
        <v>1055</v>
      </c>
      <c r="AE1058" s="4">
        <f t="shared" si="82"/>
        <v>41740</v>
      </c>
      <c r="AF1058" s="6" t="e">
        <f t="shared" si="83"/>
        <v>#DIV/0!</v>
      </c>
      <c r="AG1058" s="4">
        <v>41740</v>
      </c>
      <c r="AH1058" s="6">
        <v>-0.13611799999999999</v>
      </c>
      <c r="AI1058" s="6">
        <v>-0.43690800000000002</v>
      </c>
      <c r="AJ1058" s="6">
        <v>-0.55560600000000004</v>
      </c>
      <c r="AK1058" s="6"/>
      <c r="AL1058" s="6"/>
      <c r="AM1058" s="6" t="e">
        <f t="shared" si="85"/>
        <v>#DIV/0!</v>
      </c>
    </row>
    <row r="1059" spans="29:39" x14ac:dyDescent="0.3">
      <c r="AC1059">
        <f t="shared" si="84"/>
        <v>0</v>
      </c>
      <c r="AD1059">
        <v>1056</v>
      </c>
      <c r="AE1059" s="4">
        <f t="shared" si="82"/>
        <v>41743</v>
      </c>
      <c r="AF1059" s="6" t="e">
        <f t="shared" si="83"/>
        <v>#DIV/0!</v>
      </c>
      <c r="AG1059" s="4">
        <v>41743</v>
      </c>
      <c r="AH1059" s="6">
        <v>-9.0413999999999994E-2</v>
      </c>
      <c r="AI1059" s="6">
        <v>0.74942900000000001</v>
      </c>
      <c r="AJ1059" s="6">
        <v>0.73495999999999995</v>
      </c>
      <c r="AK1059" s="6"/>
      <c r="AL1059" s="6"/>
      <c r="AM1059" s="6" t="e">
        <f t="shared" si="85"/>
        <v>#DIV/0!</v>
      </c>
    </row>
    <row r="1060" spans="29:39" x14ac:dyDescent="0.3">
      <c r="AC1060">
        <f t="shared" si="84"/>
        <v>0</v>
      </c>
      <c r="AD1060">
        <v>1057</v>
      </c>
      <c r="AE1060" s="4">
        <f t="shared" si="82"/>
        <v>41744</v>
      </c>
      <c r="AF1060" s="6" t="e">
        <f t="shared" si="83"/>
        <v>#DIV/0!</v>
      </c>
      <c r="AG1060" s="4">
        <v>41744</v>
      </c>
      <c r="AH1060" s="6">
        <v>-1.725724</v>
      </c>
      <c r="AI1060" s="6">
        <v>-0.72628000000000004</v>
      </c>
      <c r="AJ1060" s="6">
        <v>-0.40149000000000001</v>
      </c>
      <c r="AK1060" s="6"/>
      <c r="AL1060" s="6"/>
      <c r="AM1060" s="6" t="e">
        <f t="shared" si="85"/>
        <v>#DIV/0!</v>
      </c>
    </row>
    <row r="1061" spans="29:39" x14ac:dyDescent="0.3">
      <c r="AC1061">
        <f t="shared" si="84"/>
        <v>0</v>
      </c>
      <c r="AD1061">
        <v>1058</v>
      </c>
      <c r="AE1061" s="4">
        <f t="shared" si="82"/>
        <v>41745</v>
      </c>
      <c r="AF1061" s="6" t="e">
        <f t="shared" si="83"/>
        <v>#DIV/0!</v>
      </c>
      <c r="AG1061" s="4">
        <v>41745</v>
      </c>
      <c r="AH1061" s="6">
        <v>0.13738700000000001</v>
      </c>
      <c r="AI1061" s="6">
        <v>-5.0299999999999997E-2</v>
      </c>
      <c r="AJ1061" s="6">
        <v>0.185692</v>
      </c>
      <c r="AK1061" s="6"/>
      <c r="AL1061" s="6"/>
      <c r="AM1061" s="6" t="e">
        <f t="shared" si="85"/>
        <v>#DIV/0!</v>
      </c>
    </row>
    <row r="1062" spans="29:39" x14ac:dyDescent="0.3">
      <c r="AC1062">
        <f t="shared" si="84"/>
        <v>0</v>
      </c>
      <c r="AD1062">
        <v>1059</v>
      </c>
      <c r="AE1062" s="4">
        <f t="shared" si="82"/>
        <v>41746</v>
      </c>
      <c r="AF1062" s="6" t="e">
        <f t="shared" si="83"/>
        <v>#DIV/0!</v>
      </c>
      <c r="AG1062" s="4">
        <v>41746</v>
      </c>
      <c r="AH1062" s="6">
        <v>-0.34593099999999999</v>
      </c>
      <c r="AI1062" s="6">
        <v>-0.122964</v>
      </c>
      <c r="AJ1062" s="6">
        <v>9.2800000000000001E-4</v>
      </c>
      <c r="AK1062" s="6"/>
      <c r="AL1062" s="6"/>
      <c r="AM1062" s="6" t="e">
        <f t="shared" si="85"/>
        <v>#DIV/0!</v>
      </c>
    </row>
    <row r="1063" spans="29:39" x14ac:dyDescent="0.3">
      <c r="AC1063">
        <f t="shared" si="84"/>
        <v>0</v>
      </c>
      <c r="AD1063">
        <v>1060</v>
      </c>
      <c r="AE1063" s="4">
        <f t="shared" si="82"/>
        <v>41747</v>
      </c>
      <c r="AF1063" s="6" t="e">
        <f t="shared" si="83"/>
        <v>#DIV/0!</v>
      </c>
      <c r="AG1063" s="4">
        <v>41747</v>
      </c>
      <c r="AH1063" s="6">
        <v>-1.4563E-2</v>
      </c>
      <c r="AI1063" s="6">
        <v>0.35671799999999998</v>
      </c>
      <c r="AJ1063" s="6">
        <v>0.46675899999999998</v>
      </c>
      <c r="AK1063" s="6"/>
      <c r="AL1063" s="6"/>
      <c r="AM1063" s="6" t="e">
        <f t="shared" si="85"/>
        <v>#DIV/0!</v>
      </c>
    </row>
    <row r="1064" spans="29:39" x14ac:dyDescent="0.3">
      <c r="AC1064">
        <f t="shared" si="84"/>
        <v>0</v>
      </c>
      <c r="AD1064">
        <v>1061</v>
      </c>
      <c r="AE1064" s="4">
        <f t="shared" si="82"/>
        <v>41750</v>
      </c>
      <c r="AF1064" s="6" t="e">
        <f t="shared" si="83"/>
        <v>#DIV/0!</v>
      </c>
      <c r="AG1064" s="4">
        <v>41750</v>
      </c>
      <c r="AH1064" s="6">
        <v>-1.6736949999999999</v>
      </c>
      <c r="AI1064" s="6">
        <v>-1.586519</v>
      </c>
      <c r="AJ1064" s="6">
        <v>-1.548813</v>
      </c>
      <c r="AK1064" s="6"/>
      <c r="AL1064" s="6"/>
      <c r="AM1064" s="6" t="e">
        <f t="shared" si="85"/>
        <v>#DIV/0!</v>
      </c>
    </row>
    <row r="1065" spans="29:39" x14ac:dyDescent="0.3">
      <c r="AC1065">
        <f t="shared" si="84"/>
        <v>0</v>
      </c>
      <c r="AD1065">
        <v>1062</v>
      </c>
      <c r="AE1065" s="4">
        <f t="shared" si="82"/>
        <v>41751</v>
      </c>
      <c r="AF1065" s="6" t="e">
        <f t="shared" si="83"/>
        <v>#DIV/0!</v>
      </c>
      <c r="AG1065" s="4">
        <v>41751</v>
      </c>
      <c r="AH1065" s="6">
        <v>0.43648500000000001</v>
      </c>
      <c r="AI1065" s="6">
        <v>-0.45817000000000002</v>
      </c>
      <c r="AJ1065" s="6">
        <v>-0.97739699999999996</v>
      </c>
      <c r="AK1065" s="6"/>
      <c r="AL1065" s="6"/>
      <c r="AM1065" s="6" t="e">
        <f t="shared" si="85"/>
        <v>#DIV/0!</v>
      </c>
    </row>
    <row r="1066" spans="29:39" x14ac:dyDescent="0.3">
      <c r="AC1066">
        <f t="shared" si="84"/>
        <v>0</v>
      </c>
      <c r="AD1066">
        <v>1063</v>
      </c>
      <c r="AE1066" s="4">
        <f t="shared" si="82"/>
        <v>41752</v>
      </c>
      <c r="AF1066" s="6" t="e">
        <f t="shared" si="83"/>
        <v>#DIV/0!</v>
      </c>
      <c r="AG1066" s="4">
        <v>41752</v>
      </c>
      <c r="AH1066" s="6">
        <v>-9.6823000000000006E-2</v>
      </c>
      <c r="AI1066" s="6">
        <v>-0.45604800000000001</v>
      </c>
      <c r="AJ1066" s="6">
        <v>-0.36196200000000001</v>
      </c>
      <c r="AK1066" s="6"/>
      <c r="AL1066" s="6"/>
      <c r="AM1066" s="6" t="e">
        <f t="shared" si="85"/>
        <v>#DIV/0!</v>
      </c>
    </row>
    <row r="1067" spans="29:39" x14ac:dyDescent="0.3">
      <c r="AC1067">
        <f t="shared" si="84"/>
        <v>0</v>
      </c>
      <c r="AD1067">
        <v>1064</v>
      </c>
      <c r="AE1067" s="4">
        <f t="shared" si="82"/>
        <v>41753</v>
      </c>
      <c r="AF1067" s="6" t="e">
        <f t="shared" si="83"/>
        <v>#DIV/0!</v>
      </c>
      <c r="AG1067" s="4">
        <v>41753</v>
      </c>
      <c r="AH1067" s="6">
        <v>-0.19109999999999999</v>
      </c>
      <c r="AI1067" s="6">
        <v>-1.128916</v>
      </c>
      <c r="AJ1067" s="6">
        <v>-1.0146010000000001</v>
      </c>
      <c r="AK1067" s="6"/>
      <c r="AL1067" s="6"/>
      <c r="AM1067" s="6" t="e">
        <f t="shared" si="85"/>
        <v>#DIV/0!</v>
      </c>
    </row>
    <row r="1068" spans="29:39" x14ac:dyDescent="0.3">
      <c r="AC1068">
        <f t="shared" si="84"/>
        <v>0</v>
      </c>
      <c r="AD1068">
        <v>1065</v>
      </c>
      <c r="AE1068" s="4">
        <f t="shared" si="82"/>
        <v>41754</v>
      </c>
      <c r="AF1068" s="6" t="e">
        <f t="shared" si="83"/>
        <v>#DIV/0!</v>
      </c>
      <c r="AG1068" s="4">
        <v>41754</v>
      </c>
      <c r="AH1068" s="6">
        <v>-1.0339309999999999</v>
      </c>
      <c r="AI1068" s="6">
        <v>-2.1656140000000001</v>
      </c>
      <c r="AJ1068" s="6">
        <v>-2.1396259999999998</v>
      </c>
      <c r="AK1068" s="6"/>
      <c r="AL1068" s="6"/>
      <c r="AM1068" s="6" t="e">
        <f t="shared" si="85"/>
        <v>#DIV/0!</v>
      </c>
    </row>
    <row r="1069" spans="29:39" x14ac:dyDescent="0.3">
      <c r="AC1069">
        <f t="shared" si="84"/>
        <v>0</v>
      </c>
      <c r="AD1069">
        <v>1066</v>
      </c>
      <c r="AE1069" s="4">
        <f t="shared" si="82"/>
        <v>41757</v>
      </c>
      <c r="AF1069" s="6" t="e">
        <f t="shared" si="83"/>
        <v>#DIV/0!</v>
      </c>
      <c r="AG1069" s="4">
        <v>41757</v>
      </c>
      <c r="AH1069" s="6">
        <v>-1.515666</v>
      </c>
      <c r="AI1069" s="6">
        <v>-3.0543999999999998</v>
      </c>
      <c r="AJ1069" s="6">
        <v>-3.452623</v>
      </c>
      <c r="AK1069" s="6"/>
      <c r="AL1069" s="6"/>
      <c r="AM1069" s="6" t="e">
        <f t="shared" si="85"/>
        <v>#DIV/0!</v>
      </c>
    </row>
    <row r="1070" spans="29:39" x14ac:dyDescent="0.3">
      <c r="AC1070">
        <f t="shared" si="84"/>
        <v>0</v>
      </c>
      <c r="AD1070">
        <v>1067</v>
      </c>
      <c r="AE1070" s="4">
        <f t="shared" si="82"/>
        <v>41758</v>
      </c>
      <c r="AF1070" s="6" t="e">
        <f t="shared" si="83"/>
        <v>#DIV/0!</v>
      </c>
      <c r="AG1070" s="4">
        <v>41758</v>
      </c>
      <c r="AH1070" s="6">
        <v>1.100765</v>
      </c>
      <c r="AI1070" s="6">
        <v>1.4745999999999999</v>
      </c>
      <c r="AJ1070" s="6">
        <v>1.239668</v>
      </c>
      <c r="AK1070" s="6"/>
      <c r="AL1070" s="6"/>
      <c r="AM1070" s="6" t="e">
        <f t="shared" si="85"/>
        <v>#DIV/0!</v>
      </c>
    </row>
    <row r="1071" spans="29:39" x14ac:dyDescent="0.3">
      <c r="AC1071">
        <f t="shared" si="84"/>
        <v>0</v>
      </c>
      <c r="AD1071">
        <v>1068</v>
      </c>
      <c r="AE1071" s="4">
        <f t="shared" si="82"/>
        <v>41759</v>
      </c>
      <c r="AF1071" s="6" t="e">
        <f t="shared" si="83"/>
        <v>#DIV/0!</v>
      </c>
      <c r="AG1071" s="4">
        <v>41759</v>
      </c>
      <c r="AH1071" s="6">
        <v>8.7559999999999999E-3</v>
      </c>
      <c r="AI1071" s="6">
        <v>0.72865800000000003</v>
      </c>
      <c r="AJ1071" s="6">
        <v>1.0280050000000001</v>
      </c>
      <c r="AK1071" s="6"/>
      <c r="AL1071" s="6"/>
      <c r="AM1071" s="6" t="e">
        <f t="shared" si="85"/>
        <v>#DIV/0!</v>
      </c>
    </row>
    <row r="1072" spans="29:39" x14ac:dyDescent="0.3">
      <c r="AC1072">
        <f t="shared" si="84"/>
        <v>0</v>
      </c>
      <c r="AD1072">
        <v>1069</v>
      </c>
      <c r="AE1072" s="4">
        <f t="shared" si="82"/>
        <v>41764</v>
      </c>
      <c r="AF1072" s="6" t="e">
        <f t="shared" si="83"/>
        <v>#DIV/0!</v>
      </c>
      <c r="AG1072" s="4">
        <v>41764</v>
      </c>
      <c r="AH1072" s="6">
        <v>-0.101406</v>
      </c>
      <c r="AI1072" s="6">
        <v>0.85280299999999998</v>
      </c>
      <c r="AJ1072" s="6">
        <v>1.1513249999999999</v>
      </c>
      <c r="AK1072" s="6"/>
      <c r="AL1072" s="6"/>
      <c r="AM1072" s="6" t="e">
        <f t="shared" si="85"/>
        <v>#DIV/0!</v>
      </c>
    </row>
    <row r="1073" spans="29:39" x14ac:dyDescent="0.3">
      <c r="AC1073">
        <f t="shared" si="84"/>
        <v>0</v>
      </c>
      <c r="AD1073">
        <v>1070</v>
      </c>
      <c r="AE1073" s="4">
        <f t="shared" si="82"/>
        <v>41765</v>
      </c>
      <c r="AF1073" s="6" t="e">
        <f t="shared" si="83"/>
        <v>#DIV/0!</v>
      </c>
      <c r="AG1073" s="4">
        <v>41765</v>
      </c>
      <c r="AH1073" s="6">
        <v>3.9787000000000003E-2</v>
      </c>
      <c r="AI1073" s="6">
        <v>0.51844400000000002</v>
      </c>
      <c r="AJ1073" s="6">
        <v>0.75898900000000002</v>
      </c>
      <c r="AK1073" s="6"/>
      <c r="AL1073" s="6"/>
      <c r="AM1073" s="6" t="e">
        <f t="shared" si="85"/>
        <v>#DIV/0!</v>
      </c>
    </row>
    <row r="1074" spans="29:39" x14ac:dyDescent="0.3">
      <c r="AC1074">
        <f t="shared" si="84"/>
        <v>0</v>
      </c>
      <c r="AD1074">
        <v>1071</v>
      </c>
      <c r="AE1074" s="4">
        <f t="shared" si="82"/>
        <v>41766</v>
      </c>
      <c r="AF1074" s="6" t="e">
        <f t="shared" si="83"/>
        <v>#DIV/0!</v>
      </c>
      <c r="AG1074" s="4">
        <v>41766</v>
      </c>
      <c r="AH1074" s="6">
        <v>-0.92762900000000004</v>
      </c>
      <c r="AI1074" s="6">
        <v>-1.781439</v>
      </c>
      <c r="AJ1074" s="6">
        <v>-1.715795</v>
      </c>
      <c r="AK1074" s="6"/>
      <c r="AL1074" s="6"/>
      <c r="AM1074" s="6" t="e">
        <f t="shared" si="85"/>
        <v>#DIV/0!</v>
      </c>
    </row>
    <row r="1075" spans="29:39" x14ac:dyDescent="0.3">
      <c r="AC1075">
        <f t="shared" si="84"/>
        <v>0</v>
      </c>
      <c r="AD1075">
        <v>1072</v>
      </c>
      <c r="AE1075" s="4">
        <f t="shared" si="82"/>
        <v>41767</v>
      </c>
      <c r="AF1075" s="6" t="e">
        <f t="shared" si="83"/>
        <v>#DIV/0!</v>
      </c>
      <c r="AG1075" s="4">
        <v>41767</v>
      </c>
      <c r="AH1075" s="6">
        <v>-8.5153999999999994E-2</v>
      </c>
      <c r="AI1075" s="6">
        <v>0.107894</v>
      </c>
      <c r="AJ1075" s="6">
        <v>-1.6545000000000001E-2</v>
      </c>
      <c r="AK1075" s="6"/>
      <c r="AL1075" s="6"/>
      <c r="AM1075" s="6" t="e">
        <f t="shared" si="85"/>
        <v>#DIV/0!</v>
      </c>
    </row>
    <row r="1076" spans="29:39" x14ac:dyDescent="0.3">
      <c r="AC1076">
        <f t="shared" si="84"/>
        <v>0</v>
      </c>
      <c r="AD1076">
        <v>1073</v>
      </c>
      <c r="AE1076" s="4">
        <f t="shared" si="82"/>
        <v>41768</v>
      </c>
      <c r="AF1076" s="6" t="e">
        <f t="shared" si="83"/>
        <v>#DIV/0!</v>
      </c>
      <c r="AG1076" s="4">
        <v>41768</v>
      </c>
      <c r="AH1076" s="6">
        <v>-7.4221999999999996E-2</v>
      </c>
      <c r="AI1076" s="6">
        <v>-1.0119579999999999</v>
      </c>
      <c r="AJ1076" s="6">
        <v>-1.1126670000000001</v>
      </c>
      <c r="AK1076" s="6"/>
      <c r="AL1076" s="6"/>
      <c r="AM1076" s="6" t="e">
        <f t="shared" si="85"/>
        <v>#DIV/0!</v>
      </c>
    </row>
    <row r="1077" spans="29:39" x14ac:dyDescent="0.3">
      <c r="AC1077">
        <f t="shared" si="84"/>
        <v>0</v>
      </c>
      <c r="AD1077">
        <v>1074</v>
      </c>
      <c r="AE1077" s="4">
        <f t="shared" si="82"/>
        <v>41771</v>
      </c>
      <c r="AF1077" s="6" t="e">
        <f t="shared" si="83"/>
        <v>#DIV/0!</v>
      </c>
      <c r="AG1077" s="4">
        <v>41771</v>
      </c>
      <c r="AH1077" s="6">
        <v>2.1623679999999998</v>
      </c>
      <c r="AI1077" s="6">
        <v>2.6032139999999999</v>
      </c>
      <c r="AJ1077" s="6">
        <v>2.1104530000000001</v>
      </c>
      <c r="AK1077" s="6"/>
      <c r="AL1077" s="6"/>
      <c r="AM1077" s="6" t="e">
        <f t="shared" si="85"/>
        <v>#DIV/0!</v>
      </c>
    </row>
    <row r="1078" spans="29:39" x14ac:dyDescent="0.3">
      <c r="AC1078">
        <f t="shared" si="84"/>
        <v>0</v>
      </c>
      <c r="AD1078">
        <v>1075</v>
      </c>
      <c r="AE1078" s="4">
        <f t="shared" si="82"/>
        <v>41772</v>
      </c>
      <c r="AF1078" s="6" t="e">
        <f t="shared" si="83"/>
        <v>#DIV/0!</v>
      </c>
      <c r="AG1078" s="4">
        <v>41772</v>
      </c>
      <c r="AH1078" s="6">
        <v>-0.238618</v>
      </c>
      <c r="AI1078" s="6">
        <v>-0.15390400000000001</v>
      </c>
      <c r="AJ1078" s="6">
        <v>-3.5354999999999998E-2</v>
      </c>
      <c r="AK1078" s="6"/>
      <c r="AL1078" s="6"/>
      <c r="AM1078" s="6" t="e">
        <f t="shared" si="85"/>
        <v>#DIV/0!</v>
      </c>
    </row>
    <row r="1079" spans="29:39" x14ac:dyDescent="0.3">
      <c r="AC1079">
        <f t="shared" si="84"/>
        <v>0</v>
      </c>
      <c r="AD1079">
        <v>1076</v>
      </c>
      <c r="AE1079" s="4">
        <f t="shared" si="82"/>
        <v>41773</v>
      </c>
      <c r="AF1079" s="6" t="e">
        <f t="shared" si="83"/>
        <v>#DIV/0!</v>
      </c>
      <c r="AG1079" s="4">
        <v>41773</v>
      </c>
      <c r="AH1079" s="6">
        <v>-0.11403099999999999</v>
      </c>
      <c r="AI1079" s="6">
        <v>-8.1089999999999995E-2</v>
      </c>
      <c r="AJ1079" s="6">
        <v>6.2887999999999999E-2</v>
      </c>
      <c r="AK1079" s="6"/>
      <c r="AL1079" s="6"/>
      <c r="AM1079" s="6" t="e">
        <f t="shared" si="85"/>
        <v>#DIV/0!</v>
      </c>
    </row>
    <row r="1080" spans="29:39" x14ac:dyDescent="0.3">
      <c r="AC1080">
        <f t="shared" si="84"/>
        <v>0</v>
      </c>
      <c r="AD1080">
        <v>1077</v>
      </c>
      <c r="AE1080" s="4">
        <f t="shared" si="82"/>
        <v>41774</v>
      </c>
      <c r="AF1080" s="6" t="e">
        <f t="shared" si="83"/>
        <v>#DIV/0!</v>
      </c>
      <c r="AG1080" s="4">
        <v>41774</v>
      </c>
      <c r="AH1080" s="6">
        <v>-1.302171</v>
      </c>
      <c r="AI1080" s="6">
        <v>-1.8788039999999999</v>
      </c>
      <c r="AJ1080" s="6">
        <v>-1.877129</v>
      </c>
      <c r="AK1080" s="6"/>
      <c r="AL1080" s="6"/>
      <c r="AM1080" s="6" t="e">
        <f t="shared" si="85"/>
        <v>#DIV/0!</v>
      </c>
    </row>
    <row r="1081" spans="29:39" x14ac:dyDescent="0.3">
      <c r="AC1081">
        <f t="shared" si="84"/>
        <v>0</v>
      </c>
      <c r="AD1081">
        <v>1078</v>
      </c>
      <c r="AE1081" s="4">
        <f t="shared" si="82"/>
        <v>41775</v>
      </c>
      <c r="AF1081" s="6" t="e">
        <f t="shared" si="83"/>
        <v>#DIV/0!</v>
      </c>
      <c r="AG1081" s="4">
        <v>41775</v>
      </c>
      <c r="AH1081" s="6">
        <v>8.7123000000000006E-2</v>
      </c>
      <c r="AI1081" s="6">
        <v>-0.15221000000000001</v>
      </c>
      <c r="AJ1081" s="6">
        <v>-0.435977</v>
      </c>
      <c r="AK1081" s="6"/>
      <c r="AL1081" s="6"/>
      <c r="AM1081" s="6" t="e">
        <f t="shared" si="85"/>
        <v>#DIV/0!</v>
      </c>
    </row>
    <row r="1082" spans="29:39" x14ac:dyDescent="0.3">
      <c r="AC1082">
        <f t="shared" si="84"/>
        <v>0</v>
      </c>
      <c r="AD1082">
        <v>1079</v>
      </c>
      <c r="AE1082" s="4">
        <f t="shared" si="82"/>
        <v>41778</v>
      </c>
      <c r="AF1082" s="6" t="e">
        <f t="shared" si="83"/>
        <v>#DIV/0!</v>
      </c>
      <c r="AG1082" s="4">
        <v>41778</v>
      </c>
      <c r="AH1082" s="6">
        <v>-1.4356800000000001</v>
      </c>
      <c r="AI1082" s="6">
        <v>-0.57134300000000005</v>
      </c>
      <c r="AJ1082" s="6">
        <v>-0.30835099999999999</v>
      </c>
      <c r="AK1082" s="6"/>
      <c r="AL1082" s="6"/>
      <c r="AM1082" s="6" t="e">
        <f t="shared" si="85"/>
        <v>#DIV/0!</v>
      </c>
    </row>
    <row r="1083" spans="29:39" x14ac:dyDescent="0.3">
      <c r="AC1083">
        <f t="shared" si="84"/>
        <v>0</v>
      </c>
      <c r="AD1083">
        <v>1080</v>
      </c>
      <c r="AE1083" s="4">
        <f t="shared" si="82"/>
        <v>41779</v>
      </c>
      <c r="AF1083" s="6" t="e">
        <f t="shared" si="83"/>
        <v>#DIV/0!</v>
      </c>
      <c r="AG1083" s="4">
        <v>41779</v>
      </c>
      <c r="AH1083" s="6">
        <v>2.9690999999999999E-2</v>
      </c>
      <c r="AI1083" s="6">
        <v>0.27921699999999999</v>
      </c>
      <c r="AJ1083" s="6">
        <v>0.48558000000000001</v>
      </c>
      <c r="AK1083" s="6"/>
      <c r="AL1083" s="6"/>
      <c r="AM1083" s="6" t="e">
        <f t="shared" si="85"/>
        <v>#DIV/0!</v>
      </c>
    </row>
    <row r="1084" spans="29:39" x14ac:dyDescent="0.3">
      <c r="AC1084">
        <f t="shared" si="84"/>
        <v>0</v>
      </c>
      <c r="AD1084">
        <v>1081</v>
      </c>
      <c r="AE1084" s="4">
        <f t="shared" si="82"/>
        <v>41780</v>
      </c>
      <c r="AF1084" s="6" t="e">
        <f t="shared" si="83"/>
        <v>#DIV/0!</v>
      </c>
      <c r="AG1084" s="4">
        <v>41780</v>
      </c>
      <c r="AH1084" s="6">
        <v>0.95161499999999999</v>
      </c>
      <c r="AI1084" s="6">
        <v>0.85108899999999998</v>
      </c>
      <c r="AJ1084" s="6">
        <v>0.86224900000000004</v>
      </c>
      <c r="AK1084" s="6"/>
      <c r="AL1084" s="6"/>
      <c r="AM1084" s="6" t="e">
        <f t="shared" si="85"/>
        <v>#DIV/0!</v>
      </c>
    </row>
    <row r="1085" spans="29:39" x14ac:dyDescent="0.3">
      <c r="AC1085">
        <f t="shared" si="84"/>
        <v>0</v>
      </c>
      <c r="AD1085">
        <v>1082</v>
      </c>
      <c r="AE1085" s="4">
        <f t="shared" si="82"/>
        <v>41781</v>
      </c>
      <c r="AF1085" s="6" t="e">
        <f t="shared" si="83"/>
        <v>#DIV/0!</v>
      </c>
      <c r="AG1085" s="4">
        <v>41781</v>
      </c>
      <c r="AH1085" s="6">
        <v>-0.23582500000000001</v>
      </c>
      <c r="AI1085" s="6">
        <v>-3.1863000000000002E-2</v>
      </c>
      <c r="AJ1085" s="6">
        <v>0.19786899999999999</v>
      </c>
      <c r="AK1085" s="6"/>
      <c r="AL1085" s="6"/>
      <c r="AM1085" s="6" t="e">
        <f t="shared" si="85"/>
        <v>#DIV/0!</v>
      </c>
    </row>
    <row r="1086" spans="29:39" x14ac:dyDescent="0.3">
      <c r="AC1086">
        <f t="shared" si="84"/>
        <v>0</v>
      </c>
      <c r="AD1086">
        <v>1083</v>
      </c>
      <c r="AE1086" s="4">
        <f t="shared" si="82"/>
        <v>41782</v>
      </c>
      <c r="AF1086" s="6" t="e">
        <f t="shared" si="83"/>
        <v>#DIV/0!</v>
      </c>
      <c r="AG1086" s="4">
        <v>41782</v>
      </c>
      <c r="AH1086" s="6">
        <v>0.82342000000000004</v>
      </c>
      <c r="AI1086" s="6">
        <v>1.0790569999999999</v>
      </c>
      <c r="AJ1086" s="6">
        <v>1.2116800000000001</v>
      </c>
      <c r="AK1086" s="6"/>
      <c r="AL1086" s="6"/>
      <c r="AM1086" s="6" t="e">
        <f t="shared" si="85"/>
        <v>#DIV/0!</v>
      </c>
    </row>
    <row r="1087" spans="29:39" x14ac:dyDescent="0.3">
      <c r="AC1087">
        <f t="shared" si="84"/>
        <v>0</v>
      </c>
      <c r="AD1087">
        <v>1084</v>
      </c>
      <c r="AE1087" s="4">
        <f t="shared" si="82"/>
        <v>41785</v>
      </c>
      <c r="AF1087" s="6" t="e">
        <f t="shared" si="83"/>
        <v>#DIV/0!</v>
      </c>
      <c r="AG1087" s="4">
        <v>41785</v>
      </c>
      <c r="AH1087" s="6">
        <v>0.35198099999999999</v>
      </c>
      <c r="AI1087" s="6">
        <v>1.0807690000000001</v>
      </c>
      <c r="AJ1087" s="6">
        <v>1.3649009999999999</v>
      </c>
      <c r="AK1087" s="6"/>
      <c r="AL1087" s="6"/>
      <c r="AM1087" s="6" t="e">
        <f t="shared" si="85"/>
        <v>#DIV/0!</v>
      </c>
    </row>
    <row r="1088" spans="29:39" x14ac:dyDescent="0.3">
      <c r="AC1088">
        <f t="shared" si="84"/>
        <v>0</v>
      </c>
      <c r="AD1088">
        <v>1085</v>
      </c>
      <c r="AE1088" s="4">
        <f t="shared" si="82"/>
        <v>41786</v>
      </c>
      <c r="AF1088" s="6" t="e">
        <f t="shared" si="83"/>
        <v>#DIV/0!</v>
      </c>
      <c r="AG1088" s="4">
        <v>41786</v>
      </c>
      <c r="AH1088" s="6">
        <v>-0.40334399999999998</v>
      </c>
      <c r="AI1088" s="6">
        <v>-0.239452</v>
      </c>
      <c r="AJ1088" s="6">
        <v>-0.44486500000000001</v>
      </c>
      <c r="AK1088" s="6"/>
      <c r="AL1088" s="6"/>
      <c r="AM1088" s="6" t="e">
        <f t="shared" si="85"/>
        <v>#DIV/0!</v>
      </c>
    </row>
    <row r="1089" spans="29:39" x14ac:dyDescent="0.3">
      <c r="AC1089">
        <f t="shared" si="84"/>
        <v>0</v>
      </c>
      <c r="AD1089">
        <v>1086</v>
      </c>
      <c r="AE1089" s="4">
        <f t="shared" si="82"/>
        <v>41787</v>
      </c>
      <c r="AF1089" s="6" t="e">
        <f t="shared" si="83"/>
        <v>#DIV/0!</v>
      </c>
      <c r="AG1089" s="4">
        <v>41787</v>
      </c>
      <c r="AH1089" s="6">
        <v>1.0279050000000001</v>
      </c>
      <c r="AI1089" s="6">
        <v>1.133116</v>
      </c>
      <c r="AJ1089" s="6">
        <v>1.4332640000000001</v>
      </c>
      <c r="AK1089" s="6"/>
      <c r="AL1089" s="6"/>
      <c r="AM1089" s="6" t="e">
        <f t="shared" si="85"/>
        <v>#DIV/0!</v>
      </c>
    </row>
    <row r="1090" spans="29:39" x14ac:dyDescent="0.3">
      <c r="AC1090">
        <f t="shared" si="84"/>
        <v>0</v>
      </c>
      <c r="AD1090">
        <v>1087</v>
      </c>
      <c r="AE1090" s="4">
        <f t="shared" si="82"/>
        <v>41788</v>
      </c>
      <c r="AF1090" s="6" t="e">
        <f t="shared" si="83"/>
        <v>#DIV/0!</v>
      </c>
      <c r="AG1090" s="4">
        <v>41788</v>
      </c>
      <c r="AH1090" s="6">
        <v>-0.65402000000000005</v>
      </c>
      <c r="AI1090" s="6">
        <v>-1.028618</v>
      </c>
      <c r="AJ1090" s="6">
        <v>-1.1856</v>
      </c>
      <c r="AK1090" s="6"/>
      <c r="AL1090" s="6"/>
      <c r="AM1090" s="6" t="e">
        <f t="shared" si="85"/>
        <v>#DIV/0!</v>
      </c>
    </row>
    <row r="1091" spans="29:39" x14ac:dyDescent="0.3">
      <c r="AC1091">
        <f t="shared" si="84"/>
        <v>0</v>
      </c>
      <c r="AD1091">
        <v>1088</v>
      </c>
      <c r="AE1091" s="4">
        <f t="shared" si="82"/>
        <v>41789</v>
      </c>
      <c r="AF1091" s="6" t="e">
        <f t="shared" si="83"/>
        <v>#DIV/0!</v>
      </c>
      <c r="AG1091" s="4">
        <v>41789</v>
      </c>
      <c r="AH1091" s="6">
        <v>6.0319999999999999E-2</v>
      </c>
      <c r="AI1091" s="6">
        <v>0.19286400000000001</v>
      </c>
      <c r="AJ1091" s="6">
        <v>0.28534999999999999</v>
      </c>
      <c r="AK1091" s="6"/>
      <c r="AL1091" s="6"/>
      <c r="AM1091" s="6" t="e">
        <f t="shared" si="85"/>
        <v>#DIV/0!</v>
      </c>
    </row>
    <row r="1092" spans="29:39" x14ac:dyDescent="0.3">
      <c r="AC1092">
        <f t="shared" si="84"/>
        <v>0</v>
      </c>
      <c r="AD1092">
        <v>1089</v>
      </c>
      <c r="AE1092" s="4">
        <f t="shared" si="82"/>
        <v>41793</v>
      </c>
      <c r="AF1092" s="6" t="e">
        <f t="shared" si="83"/>
        <v>#DIV/0!</v>
      </c>
      <c r="AG1092" s="4">
        <v>41793</v>
      </c>
      <c r="AH1092" s="6">
        <v>-0.30355199999999999</v>
      </c>
      <c r="AI1092" s="6">
        <v>-0.170321</v>
      </c>
      <c r="AJ1092" s="6">
        <v>-0.17191500000000001</v>
      </c>
      <c r="AK1092" s="6"/>
      <c r="AL1092" s="6"/>
      <c r="AM1092" s="6" t="e">
        <f t="shared" si="85"/>
        <v>#DIV/0!</v>
      </c>
    </row>
    <row r="1093" spans="29:39" x14ac:dyDescent="0.3">
      <c r="AC1093">
        <f t="shared" si="84"/>
        <v>0</v>
      </c>
      <c r="AD1093">
        <v>1090</v>
      </c>
      <c r="AE1093" s="4">
        <f t="shared" ref="AE1093:AE1156" si="86">AG1093</f>
        <v>41794</v>
      </c>
      <c r="AF1093" s="6" t="e">
        <f t="shared" ref="AF1093:AF1156" si="87">AM1093</f>
        <v>#DIV/0!</v>
      </c>
      <c r="AG1093" s="4">
        <v>41794</v>
      </c>
      <c r="AH1093" s="6">
        <v>-1.0067360000000001</v>
      </c>
      <c r="AI1093" s="6">
        <v>-0.87429999999999997</v>
      </c>
      <c r="AJ1093" s="6">
        <v>-0.636131</v>
      </c>
      <c r="AK1093" s="6"/>
      <c r="AL1093" s="6"/>
      <c r="AM1093" s="6" t="e">
        <f t="shared" si="85"/>
        <v>#DIV/0!</v>
      </c>
    </row>
    <row r="1094" spans="29:39" x14ac:dyDescent="0.3">
      <c r="AC1094">
        <f t="shared" ref="AC1094:AC1157" si="88">IF(AE1094&lt;=AE1093,1,0)</f>
        <v>0</v>
      </c>
      <c r="AD1094">
        <v>1091</v>
      </c>
      <c r="AE1094" s="4">
        <f t="shared" si="86"/>
        <v>41795</v>
      </c>
      <c r="AF1094" s="6" t="e">
        <f t="shared" si="87"/>
        <v>#DIV/0!</v>
      </c>
      <c r="AG1094" s="4">
        <v>41795</v>
      </c>
      <c r="AH1094" s="6">
        <v>1.049113</v>
      </c>
      <c r="AI1094" s="6">
        <v>1.1284689999999999</v>
      </c>
      <c r="AJ1094" s="6">
        <v>1.314522</v>
      </c>
      <c r="AK1094" s="6"/>
      <c r="AL1094" s="6"/>
      <c r="AM1094" s="6" t="e">
        <f t="shared" ref="AM1094:AM1157" si="89">(AL1094/AL1093-1)*100</f>
        <v>#DIV/0!</v>
      </c>
    </row>
    <row r="1095" spans="29:39" x14ac:dyDescent="0.3">
      <c r="AC1095">
        <f t="shared" si="88"/>
        <v>0</v>
      </c>
      <c r="AD1095">
        <v>1092</v>
      </c>
      <c r="AE1095" s="4">
        <f t="shared" si="86"/>
        <v>41796</v>
      </c>
      <c r="AF1095" s="6" t="e">
        <f t="shared" si="87"/>
        <v>#DIV/0!</v>
      </c>
      <c r="AG1095" s="4">
        <v>41796</v>
      </c>
      <c r="AH1095" s="6">
        <v>-0.73867700000000003</v>
      </c>
      <c r="AI1095" s="6">
        <v>-0.35808499999999999</v>
      </c>
      <c r="AJ1095" s="6">
        <v>-0.193135</v>
      </c>
      <c r="AK1095" s="6"/>
      <c r="AL1095" s="6"/>
      <c r="AM1095" s="6" t="e">
        <f t="shared" si="89"/>
        <v>#DIV/0!</v>
      </c>
    </row>
    <row r="1096" spans="29:39" x14ac:dyDescent="0.3">
      <c r="AC1096">
        <f t="shared" si="88"/>
        <v>0</v>
      </c>
      <c r="AD1096">
        <v>1093</v>
      </c>
      <c r="AE1096" s="4">
        <f t="shared" si="86"/>
        <v>41799</v>
      </c>
      <c r="AF1096" s="6" t="e">
        <f t="shared" si="87"/>
        <v>#DIV/0!</v>
      </c>
      <c r="AG1096" s="4">
        <v>41799</v>
      </c>
      <c r="AH1096" s="6">
        <v>-2.0376999999999999E-2</v>
      </c>
      <c r="AI1096" s="6">
        <v>-0.54746399999999995</v>
      </c>
      <c r="AJ1096" s="6">
        <v>-0.74821300000000002</v>
      </c>
      <c r="AK1096" s="6"/>
      <c r="AL1096" s="6"/>
      <c r="AM1096" s="6" t="e">
        <f t="shared" si="89"/>
        <v>#DIV/0!</v>
      </c>
    </row>
    <row r="1097" spans="29:39" x14ac:dyDescent="0.3">
      <c r="AC1097">
        <f t="shared" si="88"/>
        <v>0</v>
      </c>
      <c r="AD1097">
        <v>1094</v>
      </c>
      <c r="AE1097" s="4">
        <f t="shared" si="86"/>
        <v>41800</v>
      </c>
      <c r="AF1097" s="6" t="e">
        <f t="shared" si="87"/>
        <v>#DIV/0!</v>
      </c>
      <c r="AG1097" s="4">
        <v>41800</v>
      </c>
      <c r="AH1097" s="6">
        <v>1.264454</v>
      </c>
      <c r="AI1097" s="6">
        <v>1.121548</v>
      </c>
      <c r="AJ1097" s="6">
        <v>1.2676590000000001</v>
      </c>
      <c r="AK1097" s="6"/>
      <c r="AL1097" s="6"/>
      <c r="AM1097" s="6" t="e">
        <f t="shared" si="89"/>
        <v>#DIV/0!</v>
      </c>
    </row>
    <row r="1098" spans="29:39" x14ac:dyDescent="0.3">
      <c r="AC1098">
        <f t="shared" si="88"/>
        <v>0</v>
      </c>
      <c r="AD1098">
        <v>1095</v>
      </c>
      <c r="AE1098" s="4">
        <f t="shared" si="86"/>
        <v>41801</v>
      </c>
      <c r="AF1098" s="6" t="e">
        <f t="shared" si="87"/>
        <v>#DIV/0!</v>
      </c>
      <c r="AG1098" s="4">
        <v>41801</v>
      </c>
      <c r="AH1098" s="6">
        <v>-2.3227000000000001E-2</v>
      </c>
      <c r="AI1098" s="6">
        <v>0.46958100000000003</v>
      </c>
      <c r="AJ1098" s="6">
        <v>0.67977799999999999</v>
      </c>
      <c r="AK1098" s="6"/>
      <c r="AL1098" s="6"/>
      <c r="AM1098" s="6" t="e">
        <f t="shared" si="89"/>
        <v>#DIV/0!</v>
      </c>
    </row>
    <row r="1099" spans="29:39" x14ac:dyDescent="0.3">
      <c r="AC1099">
        <f t="shared" si="88"/>
        <v>0</v>
      </c>
      <c r="AD1099">
        <v>1096</v>
      </c>
      <c r="AE1099" s="4">
        <f t="shared" si="86"/>
        <v>41802</v>
      </c>
      <c r="AF1099" s="6" t="e">
        <f t="shared" si="87"/>
        <v>#DIV/0!</v>
      </c>
      <c r="AG1099" s="4">
        <v>41802</v>
      </c>
      <c r="AH1099" s="6">
        <v>-0.34043499999999999</v>
      </c>
      <c r="AI1099" s="6">
        <v>-0.20575199999999999</v>
      </c>
      <c r="AJ1099" s="6">
        <v>-0.12503300000000001</v>
      </c>
      <c r="AK1099" s="6"/>
      <c r="AL1099" s="6"/>
      <c r="AM1099" s="6" t="e">
        <f t="shared" si="89"/>
        <v>#DIV/0!</v>
      </c>
    </row>
    <row r="1100" spans="29:39" x14ac:dyDescent="0.3">
      <c r="AC1100">
        <f t="shared" si="88"/>
        <v>0</v>
      </c>
      <c r="AD1100">
        <v>1097</v>
      </c>
      <c r="AE1100" s="4">
        <f t="shared" si="86"/>
        <v>41803</v>
      </c>
      <c r="AF1100" s="6" t="e">
        <f t="shared" si="87"/>
        <v>#DIV/0!</v>
      </c>
      <c r="AG1100" s="4">
        <v>41803</v>
      </c>
      <c r="AH1100" s="6">
        <v>1.0602720000000001</v>
      </c>
      <c r="AI1100" s="6">
        <v>1.0764359999999999</v>
      </c>
      <c r="AJ1100" s="6">
        <v>1.15608</v>
      </c>
      <c r="AK1100" s="6"/>
      <c r="AL1100" s="6"/>
      <c r="AM1100" s="6" t="e">
        <f t="shared" si="89"/>
        <v>#DIV/0!</v>
      </c>
    </row>
    <row r="1101" spans="29:39" x14ac:dyDescent="0.3">
      <c r="AC1101">
        <f t="shared" si="88"/>
        <v>0</v>
      </c>
      <c r="AD1101">
        <v>1098</v>
      </c>
      <c r="AE1101" s="4">
        <f t="shared" si="86"/>
        <v>41806</v>
      </c>
      <c r="AF1101" s="6" t="e">
        <f t="shared" si="87"/>
        <v>#DIV/0!</v>
      </c>
      <c r="AG1101" s="4">
        <v>41806</v>
      </c>
      <c r="AH1101" s="6">
        <v>0.71742899999999998</v>
      </c>
      <c r="AI1101" s="6">
        <v>0.60191799999999995</v>
      </c>
      <c r="AJ1101" s="6">
        <v>0.71500799999999998</v>
      </c>
      <c r="AK1101" s="6"/>
      <c r="AL1101" s="6"/>
      <c r="AM1101" s="6" t="e">
        <f t="shared" si="89"/>
        <v>#DIV/0!</v>
      </c>
    </row>
    <row r="1102" spans="29:39" x14ac:dyDescent="0.3">
      <c r="AC1102">
        <f t="shared" si="88"/>
        <v>0</v>
      </c>
      <c r="AD1102">
        <v>1099</v>
      </c>
      <c r="AE1102" s="4">
        <f t="shared" si="86"/>
        <v>41807</v>
      </c>
      <c r="AF1102" s="6" t="e">
        <f t="shared" si="87"/>
        <v>#DIV/0!</v>
      </c>
      <c r="AG1102" s="4">
        <v>41807</v>
      </c>
      <c r="AH1102" s="6">
        <v>-1.0119739999999999</v>
      </c>
      <c r="AI1102" s="6">
        <v>-0.910273</v>
      </c>
      <c r="AJ1102" s="6">
        <v>-0.89811700000000005</v>
      </c>
      <c r="AK1102" s="6"/>
      <c r="AL1102" s="6"/>
      <c r="AM1102" s="6" t="e">
        <f t="shared" si="89"/>
        <v>#DIV/0!</v>
      </c>
    </row>
    <row r="1103" spans="29:39" x14ac:dyDescent="0.3">
      <c r="AC1103">
        <f t="shared" si="88"/>
        <v>0</v>
      </c>
      <c r="AD1103">
        <v>1100</v>
      </c>
      <c r="AE1103" s="4">
        <f t="shared" si="86"/>
        <v>41808</v>
      </c>
      <c r="AF1103" s="6" t="e">
        <f t="shared" si="87"/>
        <v>#DIV/0!</v>
      </c>
      <c r="AG1103" s="4">
        <v>41808</v>
      </c>
      <c r="AH1103" s="6">
        <v>-0.43485800000000002</v>
      </c>
      <c r="AI1103" s="6">
        <v>-0.54764400000000002</v>
      </c>
      <c r="AJ1103" s="6">
        <v>-0.75209899999999996</v>
      </c>
      <c r="AK1103" s="6"/>
      <c r="AL1103" s="6"/>
      <c r="AM1103" s="6" t="e">
        <f t="shared" si="89"/>
        <v>#DIV/0!</v>
      </c>
    </row>
    <row r="1104" spans="29:39" x14ac:dyDescent="0.3">
      <c r="AC1104">
        <f t="shared" si="88"/>
        <v>0</v>
      </c>
      <c r="AD1104">
        <v>1101</v>
      </c>
      <c r="AE1104" s="4">
        <f t="shared" si="86"/>
        <v>41809</v>
      </c>
      <c r="AF1104" s="6" t="e">
        <f t="shared" si="87"/>
        <v>#DIV/0!</v>
      </c>
      <c r="AG1104" s="4">
        <v>41809</v>
      </c>
      <c r="AH1104" s="6">
        <v>-1.542977</v>
      </c>
      <c r="AI1104" s="6">
        <v>-2.6542859999999999</v>
      </c>
      <c r="AJ1104" s="6">
        <v>-2.9607109999999999</v>
      </c>
      <c r="AK1104" s="6"/>
      <c r="AL1104" s="6"/>
      <c r="AM1104" s="6" t="e">
        <f t="shared" si="89"/>
        <v>#DIV/0!</v>
      </c>
    </row>
    <row r="1105" spans="29:39" x14ac:dyDescent="0.3">
      <c r="AC1105">
        <f t="shared" si="88"/>
        <v>0</v>
      </c>
      <c r="AD1105">
        <v>1102</v>
      </c>
      <c r="AE1105" s="4">
        <f t="shared" si="86"/>
        <v>41810</v>
      </c>
      <c r="AF1105" s="6" t="e">
        <f t="shared" si="87"/>
        <v>#DIV/0!</v>
      </c>
      <c r="AG1105" s="4">
        <v>41810</v>
      </c>
      <c r="AH1105" s="6">
        <v>0.46179700000000001</v>
      </c>
      <c r="AI1105" s="6">
        <v>0.89592000000000005</v>
      </c>
      <c r="AJ1105" s="6">
        <v>1.16015</v>
      </c>
      <c r="AK1105" s="6"/>
      <c r="AL1105" s="6"/>
      <c r="AM1105" s="6" t="e">
        <f t="shared" si="89"/>
        <v>#DIV/0!</v>
      </c>
    </row>
    <row r="1106" spans="29:39" x14ac:dyDescent="0.3">
      <c r="AC1106">
        <f t="shared" si="88"/>
        <v>0</v>
      </c>
      <c r="AD1106">
        <v>1103</v>
      </c>
      <c r="AE1106" s="4">
        <f t="shared" si="86"/>
        <v>41813</v>
      </c>
      <c r="AF1106" s="6" t="e">
        <f t="shared" si="87"/>
        <v>#DIV/0!</v>
      </c>
      <c r="AG1106" s="4">
        <v>41813</v>
      </c>
      <c r="AH1106" s="6">
        <v>-0.122571</v>
      </c>
      <c r="AI1106" s="6">
        <v>0.70030599999999998</v>
      </c>
      <c r="AJ1106" s="6">
        <v>1.3452459999999999</v>
      </c>
      <c r="AK1106" s="6"/>
      <c r="AL1106" s="6"/>
      <c r="AM1106" s="6" t="e">
        <f t="shared" si="89"/>
        <v>#DIV/0!</v>
      </c>
    </row>
    <row r="1107" spans="29:39" x14ac:dyDescent="0.3">
      <c r="AC1107">
        <f t="shared" si="88"/>
        <v>0</v>
      </c>
      <c r="AD1107">
        <v>1104</v>
      </c>
      <c r="AE1107" s="4">
        <f t="shared" si="86"/>
        <v>41814</v>
      </c>
      <c r="AF1107" s="6" t="e">
        <f t="shared" si="87"/>
        <v>#DIV/0!</v>
      </c>
      <c r="AG1107" s="4">
        <v>41814</v>
      </c>
      <c r="AH1107" s="6">
        <v>0.50189499999999998</v>
      </c>
      <c r="AI1107" s="6">
        <v>0.61123499999999997</v>
      </c>
      <c r="AJ1107" s="6">
        <v>0.77359500000000003</v>
      </c>
      <c r="AK1107" s="6"/>
      <c r="AL1107" s="6"/>
      <c r="AM1107" s="6" t="e">
        <f t="shared" si="89"/>
        <v>#DIV/0!</v>
      </c>
    </row>
    <row r="1108" spans="29:39" x14ac:dyDescent="0.3">
      <c r="AC1108">
        <f t="shared" si="88"/>
        <v>0</v>
      </c>
      <c r="AD1108">
        <v>1105</v>
      </c>
      <c r="AE1108" s="4">
        <f t="shared" si="86"/>
        <v>41815</v>
      </c>
      <c r="AF1108" s="6" t="e">
        <f t="shared" si="87"/>
        <v>#DIV/0!</v>
      </c>
      <c r="AG1108" s="4">
        <v>41815</v>
      </c>
      <c r="AH1108" s="6">
        <v>-0.53384399999999999</v>
      </c>
      <c r="AI1108" s="6">
        <v>-0.65568300000000002</v>
      </c>
      <c r="AJ1108" s="6">
        <v>-0.37830399999999997</v>
      </c>
      <c r="AK1108" s="6"/>
      <c r="AL1108" s="6"/>
      <c r="AM1108" s="6" t="e">
        <f t="shared" si="89"/>
        <v>#DIV/0!</v>
      </c>
    </row>
    <row r="1109" spans="29:39" x14ac:dyDescent="0.3">
      <c r="AC1109">
        <f t="shared" si="88"/>
        <v>0</v>
      </c>
      <c r="AD1109">
        <v>1106</v>
      </c>
      <c r="AE1109" s="4">
        <f t="shared" si="86"/>
        <v>41816</v>
      </c>
      <c r="AF1109" s="6" t="e">
        <f t="shared" si="87"/>
        <v>#DIV/0!</v>
      </c>
      <c r="AG1109" s="4">
        <v>41816</v>
      </c>
      <c r="AH1109" s="6">
        <v>0.73615900000000001</v>
      </c>
      <c r="AI1109" s="6">
        <v>1.2564139999999999</v>
      </c>
      <c r="AJ1109" s="6">
        <v>1.64367</v>
      </c>
      <c r="AK1109" s="6"/>
      <c r="AL1109" s="6"/>
      <c r="AM1109" s="6" t="e">
        <f t="shared" si="89"/>
        <v>#DIV/0!</v>
      </c>
    </row>
    <row r="1110" spans="29:39" x14ac:dyDescent="0.3">
      <c r="AC1110">
        <f t="shared" si="88"/>
        <v>0</v>
      </c>
      <c r="AD1110">
        <v>1107</v>
      </c>
      <c r="AE1110" s="4">
        <f t="shared" si="86"/>
        <v>41817</v>
      </c>
      <c r="AF1110" s="6" t="e">
        <f t="shared" si="87"/>
        <v>#DIV/0!</v>
      </c>
      <c r="AG1110" s="4">
        <v>41817</v>
      </c>
      <c r="AH1110" s="6">
        <v>5.5E-2</v>
      </c>
      <c r="AI1110" s="6">
        <v>0.70878699999999994</v>
      </c>
      <c r="AJ1110" s="6">
        <v>0.75350099999999998</v>
      </c>
      <c r="AK1110" s="6"/>
      <c r="AL1110" s="6"/>
      <c r="AM1110" s="6" t="e">
        <f t="shared" si="89"/>
        <v>#DIV/0!</v>
      </c>
    </row>
    <row r="1111" spans="29:39" x14ac:dyDescent="0.3">
      <c r="AC1111">
        <f t="shared" si="88"/>
        <v>0</v>
      </c>
      <c r="AD1111">
        <v>1108</v>
      </c>
      <c r="AE1111" s="4">
        <f t="shared" si="86"/>
        <v>41820</v>
      </c>
      <c r="AF1111" s="6" t="e">
        <f t="shared" si="87"/>
        <v>#DIV/0!</v>
      </c>
      <c r="AG1111" s="4">
        <v>41820</v>
      </c>
      <c r="AH1111" s="6">
        <v>0.69108000000000003</v>
      </c>
      <c r="AI1111" s="6">
        <v>0.91481199999999996</v>
      </c>
      <c r="AJ1111" s="6">
        <v>1.137141</v>
      </c>
      <c r="AK1111" s="6"/>
      <c r="AL1111" s="6"/>
      <c r="AM1111" s="6" t="e">
        <f t="shared" si="89"/>
        <v>#DIV/0!</v>
      </c>
    </row>
    <row r="1112" spans="29:39" x14ac:dyDescent="0.3">
      <c r="AC1112">
        <f t="shared" si="88"/>
        <v>0</v>
      </c>
      <c r="AD1112">
        <v>1109</v>
      </c>
      <c r="AE1112" s="4">
        <f t="shared" si="86"/>
        <v>41821</v>
      </c>
      <c r="AF1112" s="6" t="e">
        <f t="shared" si="87"/>
        <v>#DIV/0!</v>
      </c>
      <c r="AG1112" s="4">
        <v>41821</v>
      </c>
      <c r="AH1112" s="6">
        <v>-2.5818000000000001E-2</v>
      </c>
      <c r="AI1112" s="6">
        <v>0.68340500000000004</v>
      </c>
      <c r="AJ1112" s="6">
        <v>0.64169600000000004</v>
      </c>
      <c r="AK1112" s="6"/>
      <c r="AL1112" s="6"/>
      <c r="AM1112" s="6" t="e">
        <f t="shared" si="89"/>
        <v>#DIV/0!</v>
      </c>
    </row>
    <row r="1113" spans="29:39" x14ac:dyDescent="0.3">
      <c r="AC1113">
        <f t="shared" si="88"/>
        <v>0</v>
      </c>
      <c r="AD1113">
        <v>1110</v>
      </c>
      <c r="AE1113" s="4">
        <f t="shared" si="86"/>
        <v>41822</v>
      </c>
      <c r="AF1113" s="6" t="e">
        <f t="shared" si="87"/>
        <v>#DIV/0!</v>
      </c>
      <c r="AG1113" s="4">
        <v>41822</v>
      </c>
      <c r="AH1113" s="6">
        <v>0.29142200000000001</v>
      </c>
      <c r="AI1113" s="6">
        <v>0.69802399999999998</v>
      </c>
      <c r="AJ1113" s="6">
        <v>0.60603300000000004</v>
      </c>
      <c r="AK1113" s="6"/>
      <c r="AL1113" s="6"/>
      <c r="AM1113" s="6" t="e">
        <f t="shared" si="89"/>
        <v>#DIV/0!</v>
      </c>
    </row>
    <row r="1114" spans="29:39" x14ac:dyDescent="0.3">
      <c r="AC1114">
        <f t="shared" si="88"/>
        <v>0</v>
      </c>
      <c r="AD1114">
        <v>1111</v>
      </c>
      <c r="AE1114" s="4">
        <f t="shared" si="86"/>
        <v>41823</v>
      </c>
      <c r="AF1114" s="6" t="e">
        <f t="shared" si="87"/>
        <v>#DIV/0!</v>
      </c>
      <c r="AG1114" s="4">
        <v>41823</v>
      </c>
      <c r="AH1114" s="6">
        <v>0.42955199999999999</v>
      </c>
      <c r="AI1114" s="6">
        <v>1.013668</v>
      </c>
      <c r="AJ1114" s="6">
        <v>0.71143000000000001</v>
      </c>
      <c r="AK1114" s="6"/>
      <c r="AL1114" s="6"/>
      <c r="AM1114" s="6" t="e">
        <f t="shared" si="89"/>
        <v>#DIV/0!</v>
      </c>
    </row>
    <row r="1115" spans="29:39" x14ac:dyDescent="0.3">
      <c r="AC1115">
        <f t="shared" si="88"/>
        <v>0</v>
      </c>
      <c r="AD1115">
        <v>1112</v>
      </c>
      <c r="AE1115" s="4">
        <f t="shared" si="86"/>
        <v>41824</v>
      </c>
      <c r="AF1115" s="6" t="e">
        <f t="shared" si="87"/>
        <v>#DIV/0!</v>
      </c>
      <c r="AG1115" s="4">
        <v>41824</v>
      </c>
      <c r="AH1115" s="6">
        <v>-6.8664000000000003E-2</v>
      </c>
      <c r="AI1115" s="6">
        <v>-0.375307</v>
      </c>
      <c r="AJ1115" s="6">
        <v>-6.2841999999999995E-2</v>
      </c>
      <c r="AK1115" s="6"/>
      <c r="AL1115" s="6"/>
      <c r="AM1115" s="6" t="e">
        <f t="shared" si="89"/>
        <v>#DIV/0!</v>
      </c>
    </row>
    <row r="1116" spans="29:39" x14ac:dyDescent="0.3">
      <c r="AC1116">
        <f t="shared" si="88"/>
        <v>0</v>
      </c>
      <c r="AD1116">
        <v>1113</v>
      </c>
      <c r="AE1116" s="4">
        <f t="shared" si="86"/>
        <v>41827</v>
      </c>
      <c r="AF1116" s="6" t="e">
        <f t="shared" si="87"/>
        <v>#DIV/0!</v>
      </c>
      <c r="AG1116" s="4">
        <v>41827</v>
      </c>
      <c r="AH1116" s="6">
        <v>-0.110433</v>
      </c>
      <c r="AI1116" s="6">
        <v>0.247892</v>
      </c>
      <c r="AJ1116" s="6">
        <v>-0.13494500000000001</v>
      </c>
      <c r="AK1116" s="6"/>
      <c r="AL1116" s="6"/>
      <c r="AM1116" s="6" t="e">
        <f t="shared" si="89"/>
        <v>#DIV/0!</v>
      </c>
    </row>
    <row r="1117" spans="29:39" x14ac:dyDescent="0.3">
      <c r="AC1117">
        <f t="shared" si="88"/>
        <v>0</v>
      </c>
      <c r="AD1117">
        <v>1114</v>
      </c>
      <c r="AE1117" s="4">
        <f t="shared" si="86"/>
        <v>41828</v>
      </c>
      <c r="AF1117" s="6" t="e">
        <f t="shared" si="87"/>
        <v>#DIV/0!</v>
      </c>
      <c r="AG1117" s="4">
        <v>41828</v>
      </c>
      <c r="AH1117" s="6">
        <v>0.19225400000000001</v>
      </c>
      <c r="AI1117" s="6">
        <v>0.62819999999999998</v>
      </c>
      <c r="AJ1117" s="6">
        <v>0.88493599999999994</v>
      </c>
      <c r="AK1117" s="6"/>
      <c r="AL1117" s="6"/>
      <c r="AM1117" s="6" t="e">
        <f t="shared" si="89"/>
        <v>#DIV/0!</v>
      </c>
    </row>
    <row r="1118" spans="29:39" x14ac:dyDescent="0.3">
      <c r="AC1118">
        <f t="shared" si="88"/>
        <v>0</v>
      </c>
      <c r="AD1118">
        <v>1115</v>
      </c>
      <c r="AE1118" s="4">
        <f t="shared" si="86"/>
        <v>41829</v>
      </c>
      <c r="AF1118" s="6" t="e">
        <f t="shared" si="87"/>
        <v>#DIV/0!</v>
      </c>
      <c r="AG1118" s="4">
        <v>41829</v>
      </c>
      <c r="AH1118" s="6">
        <v>-1.4567019999999999</v>
      </c>
      <c r="AI1118" s="6">
        <v>-1.4184939999999999</v>
      </c>
      <c r="AJ1118" s="6">
        <v>-1.5461259999999999</v>
      </c>
      <c r="AK1118" s="6"/>
      <c r="AL1118" s="6"/>
      <c r="AM1118" s="6" t="e">
        <f t="shared" si="89"/>
        <v>#DIV/0!</v>
      </c>
    </row>
    <row r="1119" spans="29:39" x14ac:dyDescent="0.3">
      <c r="AC1119">
        <f t="shared" si="88"/>
        <v>0</v>
      </c>
      <c r="AD1119">
        <v>1116</v>
      </c>
      <c r="AE1119" s="4">
        <f t="shared" si="86"/>
        <v>41830</v>
      </c>
      <c r="AF1119" s="6" t="e">
        <f t="shared" si="87"/>
        <v>#DIV/0!</v>
      </c>
      <c r="AG1119" s="4">
        <v>41830</v>
      </c>
      <c r="AH1119" s="6">
        <v>-0.27286100000000002</v>
      </c>
      <c r="AI1119" s="6">
        <v>-5.1729999999999996E-3</v>
      </c>
      <c r="AJ1119" s="6">
        <v>-3.3014000000000002E-2</v>
      </c>
      <c r="AK1119" s="6"/>
      <c r="AL1119" s="6"/>
      <c r="AM1119" s="6" t="e">
        <f t="shared" si="89"/>
        <v>#DIV/0!</v>
      </c>
    </row>
    <row r="1120" spans="29:39" x14ac:dyDescent="0.3">
      <c r="AC1120">
        <f t="shared" si="88"/>
        <v>0</v>
      </c>
      <c r="AD1120">
        <v>1117</v>
      </c>
      <c r="AE1120" s="4">
        <f t="shared" si="86"/>
        <v>41831</v>
      </c>
      <c r="AF1120" s="6" t="e">
        <f t="shared" si="87"/>
        <v>#DIV/0!</v>
      </c>
      <c r="AG1120" s="4">
        <v>41831</v>
      </c>
      <c r="AH1120" s="6">
        <v>0.240894</v>
      </c>
      <c r="AI1120" s="6">
        <v>1.19414</v>
      </c>
      <c r="AJ1120" s="6">
        <v>0.61764399999999997</v>
      </c>
      <c r="AK1120" s="6"/>
      <c r="AL1120" s="6"/>
      <c r="AM1120" s="6" t="e">
        <f t="shared" si="89"/>
        <v>#DIV/0!</v>
      </c>
    </row>
    <row r="1121" spans="29:39" x14ac:dyDescent="0.3">
      <c r="AC1121">
        <f t="shared" si="88"/>
        <v>0</v>
      </c>
      <c r="AD1121">
        <v>1118</v>
      </c>
      <c r="AE1121" s="4">
        <f t="shared" si="86"/>
        <v>41834</v>
      </c>
      <c r="AF1121" s="6" t="e">
        <f t="shared" si="87"/>
        <v>#DIV/0!</v>
      </c>
      <c r="AG1121" s="4">
        <v>41834</v>
      </c>
      <c r="AH1121" s="6">
        <v>1.105629</v>
      </c>
      <c r="AI1121" s="6">
        <v>1.515007</v>
      </c>
      <c r="AJ1121" s="6">
        <v>1.1893260000000001</v>
      </c>
      <c r="AK1121" s="6"/>
      <c r="AL1121" s="6"/>
      <c r="AM1121" s="6" t="e">
        <f t="shared" si="89"/>
        <v>#DIV/0!</v>
      </c>
    </row>
    <row r="1122" spans="29:39" x14ac:dyDescent="0.3">
      <c r="AC1122">
        <f t="shared" si="88"/>
        <v>0</v>
      </c>
      <c r="AD1122">
        <v>1119</v>
      </c>
      <c r="AE1122" s="4">
        <f t="shared" si="86"/>
        <v>41835</v>
      </c>
      <c r="AF1122" s="6" t="e">
        <f t="shared" si="87"/>
        <v>#DIV/0!</v>
      </c>
      <c r="AG1122" s="4">
        <v>41835</v>
      </c>
      <c r="AH1122" s="6">
        <v>0.148175</v>
      </c>
      <c r="AI1122" s="6">
        <v>5.6493000000000002E-2</v>
      </c>
      <c r="AJ1122" s="6">
        <v>-0.64492400000000005</v>
      </c>
      <c r="AK1122" s="6"/>
      <c r="AL1122" s="6"/>
      <c r="AM1122" s="6" t="e">
        <f t="shared" si="89"/>
        <v>#DIV/0!</v>
      </c>
    </row>
    <row r="1123" spans="29:39" x14ac:dyDescent="0.3">
      <c r="AC1123">
        <f t="shared" si="88"/>
        <v>0</v>
      </c>
      <c r="AD1123">
        <v>1120</v>
      </c>
      <c r="AE1123" s="4">
        <f t="shared" si="86"/>
        <v>41836</v>
      </c>
      <c r="AF1123" s="6" t="e">
        <f t="shared" si="87"/>
        <v>#DIV/0!</v>
      </c>
      <c r="AG1123" s="4">
        <v>41836</v>
      </c>
      <c r="AH1123" s="6">
        <v>-0.18887599999999999</v>
      </c>
      <c r="AI1123" s="6">
        <v>-0.75722299999999998</v>
      </c>
      <c r="AJ1123" s="6">
        <v>-1.349335</v>
      </c>
      <c r="AK1123" s="6"/>
      <c r="AL1123" s="6"/>
      <c r="AM1123" s="6" t="e">
        <f t="shared" si="89"/>
        <v>#DIV/0!</v>
      </c>
    </row>
    <row r="1124" spans="29:39" x14ac:dyDescent="0.3">
      <c r="AC1124">
        <f t="shared" si="88"/>
        <v>0</v>
      </c>
      <c r="AD1124">
        <v>1121</v>
      </c>
      <c r="AE1124" s="4">
        <f t="shared" si="86"/>
        <v>41837</v>
      </c>
      <c r="AF1124" s="6" t="e">
        <f t="shared" si="87"/>
        <v>#DIV/0!</v>
      </c>
      <c r="AG1124" s="4">
        <v>41837</v>
      </c>
      <c r="AH1124" s="6">
        <v>-0.63568999999999998</v>
      </c>
      <c r="AI1124" s="6">
        <v>-0.75524599999999997</v>
      </c>
      <c r="AJ1124" s="6">
        <v>-0.356657</v>
      </c>
      <c r="AK1124" s="6"/>
      <c r="AL1124" s="6"/>
      <c r="AM1124" s="6" t="e">
        <f t="shared" si="89"/>
        <v>#DIV/0!</v>
      </c>
    </row>
    <row r="1125" spans="29:39" x14ac:dyDescent="0.3">
      <c r="AC1125">
        <f t="shared" si="88"/>
        <v>0</v>
      </c>
      <c r="AD1125">
        <v>1122</v>
      </c>
      <c r="AE1125" s="4">
        <f t="shared" si="86"/>
        <v>41838</v>
      </c>
      <c r="AF1125" s="6" t="e">
        <f t="shared" si="87"/>
        <v>#DIV/0!</v>
      </c>
      <c r="AG1125" s="4">
        <v>41838</v>
      </c>
      <c r="AH1125" s="6">
        <v>0.328038</v>
      </c>
      <c r="AI1125" s="6">
        <v>0.27486500000000003</v>
      </c>
      <c r="AJ1125" s="6">
        <v>5.8518000000000001E-2</v>
      </c>
      <c r="AK1125" s="6"/>
      <c r="AL1125" s="6"/>
      <c r="AM1125" s="6" t="e">
        <f t="shared" si="89"/>
        <v>#DIV/0!</v>
      </c>
    </row>
    <row r="1126" spans="29:39" x14ac:dyDescent="0.3">
      <c r="AC1126">
        <f t="shared" si="88"/>
        <v>0</v>
      </c>
      <c r="AD1126">
        <v>1123</v>
      </c>
      <c r="AE1126" s="4">
        <f t="shared" si="86"/>
        <v>41841</v>
      </c>
      <c r="AF1126" s="6" t="e">
        <f t="shared" si="87"/>
        <v>#DIV/0!</v>
      </c>
      <c r="AG1126" s="4">
        <v>41841</v>
      </c>
      <c r="AH1126" s="6">
        <v>9.9392999999999995E-2</v>
      </c>
      <c r="AI1126" s="6">
        <v>-0.30374600000000002</v>
      </c>
      <c r="AJ1126" s="6">
        <v>-0.25486900000000001</v>
      </c>
      <c r="AK1126" s="6"/>
      <c r="AL1126" s="6"/>
      <c r="AM1126" s="6" t="e">
        <f t="shared" si="89"/>
        <v>#DIV/0!</v>
      </c>
    </row>
    <row r="1127" spans="29:39" x14ac:dyDescent="0.3">
      <c r="AC1127">
        <f t="shared" si="88"/>
        <v>0</v>
      </c>
      <c r="AD1127">
        <v>1124</v>
      </c>
      <c r="AE1127" s="4">
        <f t="shared" si="86"/>
        <v>41842</v>
      </c>
      <c r="AF1127" s="6" t="e">
        <f t="shared" si="87"/>
        <v>#DIV/0!</v>
      </c>
      <c r="AG1127" s="4">
        <v>41842</v>
      </c>
      <c r="AH1127" s="6">
        <v>1.218809</v>
      </c>
      <c r="AI1127" s="6">
        <v>1.3161989999999999</v>
      </c>
      <c r="AJ1127" s="6">
        <v>1.3992340000000001</v>
      </c>
      <c r="AK1127" s="6"/>
      <c r="AL1127" s="6"/>
      <c r="AM1127" s="6" t="e">
        <f t="shared" si="89"/>
        <v>#DIV/0!</v>
      </c>
    </row>
    <row r="1128" spans="29:39" x14ac:dyDescent="0.3">
      <c r="AC1128">
        <f t="shared" si="88"/>
        <v>0</v>
      </c>
      <c r="AD1128">
        <v>1125</v>
      </c>
      <c r="AE1128" s="4">
        <f t="shared" si="86"/>
        <v>41843</v>
      </c>
      <c r="AF1128" s="6" t="e">
        <f t="shared" si="87"/>
        <v>#DIV/0!</v>
      </c>
      <c r="AG1128" s="4">
        <v>41843</v>
      </c>
      <c r="AH1128" s="6">
        <v>0.23418600000000001</v>
      </c>
      <c r="AI1128" s="6">
        <v>-0.64102800000000004</v>
      </c>
      <c r="AJ1128" s="6">
        <v>-1.393778</v>
      </c>
      <c r="AK1128" s="6"/>
      <c r="AL1128" s="6"/>
      <c r="AM1128" s="6" t="e">
        <f t="shared" si="89"/>
        <v>#DIV/0!</v>
      </c>
    </row>
    <row r="1129" spans="29:39" x14ac:dyDescent="0.3">
      <c r="AC1129">
        <f t="shared" si="88"/>
        <v>0</v>
      </c>
      <c r="AD1129">
        <v>1126</v>
      </c>
      <c r="AE1129" s="4">
        <f t="shared" si="86"/>
        <v>41844</v>
      </c>
      <c r="AF1129" s="6" t="e">
        <f t="shared" si="87"/>
        <v>#DIV/0!</v>
      </c>
      <c r="AG1129" s="4">
        <v>41844</v>
      </c>
      <c r="AH1129" s="6">
        <v>1.782756</v>
      </c>
      <c r="AI1129" s="6">
        <v>-7.1233000000000005E-2</v>
      </c>
      <c r="AJ1129" s="6">
        <v>-0.77475300000000002</v>
      </c>
      <c r="AK1129" s="6"/>
      <c r="AL1129" s="6"/>
      <c r="AM1129" s="6" t="e">
        <f t="shared" si="89"/>
        <v>#DIV/0!</v>
      </c>
    </row>
    <row r="1130" spans="29:39" x14ac:dyDescent="0.3">
      <c r="AC1130">
        <f t="shared" si="88"/>
        <v>0</v>
      </c>
      <c r="AD1130">
        <v>1127</v>
      </c>
      <c r="AE1130" s="4">
        <f t="shared" si="86"/>
        <v>41845</v>
      </c>
      <c r="AF1130" s="6" t="e">
        <f t="shared" si="87"/>
        <v>#DIV/0!</v>
      </c>
      <c r="AG1130" s="4">
        <v>41845</v>
      </c>
      <c r="AH1130" s="6">
        <v>1.0477799999999999</v>
      </c>
      <c r="AI1130" s="6">
        <v>0.87755399999999995</v>
      </c>
      <c r="AJ1130" s="6">
        <v>0.825353</v>
      </c>
      <c r="AK1130" s="6"/>
      <c r="AL1130" s="6"/>
      <c r="AM1130" s="6" t="e">
        <f t="shared" si="89"/>
        <v>#DIV/0!</v>
      </c>
    </row>
    <row r="1131" spans="29:39" x14ac:dyDescent="0.3">
      <c r="AC1131">
        <f t="shared" si="88"/>
        <v>0</v>
      </c>
      <c r="AD1131">
        <v>1128</v>
      </c>
      <c r="AE1131" s="4">
        <f t="shared" si="86"/>
        <v>41848</v>
      </c>
      <c r="AF1131" s="6" t="e">
        <f t="shared" si="87"/>
        <v>#DIV/0!</v>
      </c>
      <c r="AG1131" s="4">
        <v>41848</v>
      </c>
      <c r="AH1131" s="6">
        <v>2.8066490000000002</v>
      </c>
      <c r="AI1131" s="6">
        <v>1.9211689999999999</v>
      </c>
      <c r="AJ1131" s="6">
        <v>1.725606</v>
      </c>
      <c r="AK1131" s="6"/>
      <c r="AL1131" s="6"/>
      <c r="AM1131" s="6" t="e">
        <f t="shared" si="89"/>
        <v>#DIV/0!</v>
      </c>
    </row>
    <row r="1132" spans="29:39" x14ac:dyDescent="0.3">
      <c r="AC1132">
        <f t="shared" si="88"/>
        <v>0</v>
      </c>
      <c r="AD1132">
        <v>1129</v>
      </c>
      <c r="AE1132" s="4">
        <f t="shared" si="86"/>
        <v>41849</v>
      </c>
      <c r="AF1132" s="6" t="e">
        <f t="shared" si="87"/>
        <v>#DIV/0!</v>
      </c>
      <c r="AG1132" s="4">
        <v>41849</v>
      </c>
      <c r="AH1132" s="6">
        <v>0.32152900000000001</v>
      </c>
      <c r="AI1132" s="6">
        <v>0.94734799999999997</v>
      </c>
      <c r="AJ1132" s="6">
        <v>1.2465200000000001</v>
      </c>
      <c r="AK1132" s="6"/>
      <c r="AL1132" s="6"/>
      <c r="AM1132" s="6" t="e">
        <f t="shared" si="89"/>
        <v>#DIV/0!</v>
      </c>
    </row>
    <row r="1133" spans="29:39" x14ac:dyDescent="0.3">
      <c r="AC1133">
        <f t="shared" si="88"/>
        <v>0</v>
      </c>
      <c r="AD1133">
        <v>1130</v>
      </c>
      <c r="AE1133" s="4">
        <f t="shared" si="86"/>
        <v>41850</v>
      </c>
      <c r="AF1133" s="6" t="e">
        <f t="shared" si="87"/>
        <v>#DIV/0!</v>
      </c>
      <c r="AG1133" s="4">
        <v>41850</v>
      </c>
      <c r="AH1133" s="6">
        <v>-0.401395</v>
      </c>
      <c r="AI1133" s="6">
        <v>0.165737</v>
      </c>
      <c r="AJ1133" s="6">
        <v>0.83703099999999997</v>
      </c>
      <c r="AK1133" s="6"/>
      <c r="AL1133" s="6"/>
      <c r="AM1133" s="6" t="e">
        <f t="shared" si="89"/>
        <v>#DIV/0!</v>
      </c>
    </row>
    <row r="1134" spans="29:39" x14ac:dyDescent="0.3">
      <c r="AC1134">
        <f t="shared" si="88"/>
        <v>0</v>
      </c>
      <c r="AD1134">
        <v>1131</v>
      </c>
      <c r="AE1134" s="4">
        <f t="shared" si="86"/>
        <v>41851</v>
      </c>
      <c r="AF1134" s="6" t="e">
        <f t="shared" si="87"/>
        <v>#DIV/0!</v>
      </c>
      <c r="AG1134" s="4">
        <v>41851</v>
      </c>
      <c r="AH1134" s="6">
        <v>1.2161869999999999</v>
      </c>
      <c r="AI1134" s="6">
        <v>1.001439</v>
      </c>
      <c r="AJ1134" s="6">
        <v>0.52923699999999996</v>
      </c>
      <c r="AK1134" s="6"/>
      <c r="AL1134" s="6"/>
      <c r="AM1134" s="6" t="e">
        <f t="shared" si="89"/>
        <v>#DIV/0!</v>
      </c>
    </row>
    <row r="1135" spans="29:39" x14ac:dyDescent="0.3">
      <c r="AC1135">
        <f t="shared" si="88"/>
        <v>0</v>
      </c>
      <c r="AD1135">
        <v>1132</v>
      </c>
      <c r="AE1135" s="4">
        <f t="shared" si="86"/>
        <v>41852</v>
      </c>
      <c r="AF1135" s="6" t="e">
        <f t="shared" si="87"/>
        <v>#DIV/0!</v>
      </c>
      <c r="AG1135" s="4">
        <v>41852</v>
      </c>
      <c r="AH1135" s="6">
        <v>-0.88709700000000002</v>
      </c>
      <c r="AI1135" s="6">
        <v>-1.0999650000000001</v>
      </c>
      <c r="AJ1135" s="6">
        <v>-1.163818</v>
      </c>
      <c r="AK1135" s="6"/>
      <c r="AL1135" s="6"/>
      <c r="AM1135" s="6" t="e">
        <f t="shared" si="89"/>
        <v>#DIV/0!</v>
      </c>
    </row>
    <row r="1136" spans="29:39" x14ac:dyDescent="0.3">
      <c r="AC1136">
        <f t="shared" si="88"/>
        <v>0</v>
      </c>
      <c r="AD1136">
        <v>1133</v>
      </c>
      <c r="AE1136" s="4">
        <f t="shared" si="86"/>
        <v>41855</v>
      </c>
      <c r="AF1136" s="6" t="e">
        <f t="shared" si="87"/>
        <v>#DIV/0!</v>
      </c>
      <c r="AG1136" s="4">
        <v>41855</v>
      </c>
      <c r="AH1136" s="6">
        <v>1.9841139999999999</v>
      </c>
      <c r="AI1136" s="6">
        <v>1.630034</v>
      </c>
      <c r="AJ1136" s="6">
        <v>1.299099</v>
      </c>
      <c r="AK1136" s="6"/>
      <c r="AL1136" s="6"/>
      <c r="AM1136" s="6" t="e">
        <f t="shared" si="89"/>
        <v>#DIV/0!</v>
      </c>
    </row>
    <row r="1137" spans="29:39" x14ac:dyDescent="0.3">
      <c r="AC1137">
        <f t="shared" si="88"/>
        <v>0</v>
      </c>
      <c r="AD1137">
        <v>1134</v>
      </c>
      <c r="AE1137" s="4">
        <f t="shared" si="86"/>
        <v>41856</v>
      </c>
      <c r="AF1137" s="6" t="e">
        <f t="shared" si="87"/>
        <v>#DIV/0!</v>
      </c>
      <c r="AG1137" s="4">
        <v>41856</v>
      </c>
      <c r="AH1137" s="6">
        <v>-0.26380500000000001</v>
      </c>
      <c r="AI1137" s="6">
        <v>0.49716700000000003</v>
      </c>
      <c r="AJ1137" s="6">
        <v>0.94561899999999999</v>
      </c>
      <c r="AK1137" s="6"/>
      <c r="AL1137" s="6"/>
      <c r="AM1137" s="6" t="e">
        <f t="shared" si="89"/>
        <v>#DIV/0!</v>
      </c>
    </row>
    <row r="1138" spans="29:39" x14ac:dyDescent="0.3">
      <c r="AC1138">
        <f t="shared" si="88"/>
        <v>0</v>
      </c>
      <c r="AD1138">
        <v>1135</v>
      </c>
      <c r="AE1138" s="4">
        <f t="shared" si="86"/>
        <v>41857</v>
      </c>
      <c r="AF1138" s="6" t="e">
        <f t="shared" si="87"/>
        <v>#DIV/0!</v>
      </c>
      <c r="AG1138" s="4">
        <v>41857</v>
      </c>
      <c r="AH1138" s="6">
        <v>-0.25880500000000001</v>
      </c>
      <c r="AI1138" s="6">
        <v>0.66232999999999997</v>
      </c>
      <c r="AJ1138" s="6">
        <v>0.42847800000000003</v>
      </c>
      <c r="AK1138" s="6"/>
      <c r="AL1138" s="6"/>
      <c r="AM1138" s="6" t="e">
        <f t="shared" si="89"/>
        <v>#DIV/0!</v>
      </c>
    </row>
    <row r="1139" spans="29:39" x14ac:dyDescent="0.3">
      <c r="AC1139">
        <f t="shared" si="88"/>
        <v>0</v>
      </c>
      <c r="AD1139">
        <v>1136</v>
      </c>
      <c r="AE1139" s="4">
        <f t="shared" si="86"/>
        <v>41858</v>
      </c>
      <c r="AF1139" s="6" t="e">
        <f t="shared" si="87"/>
        <v>#DIV/0!</v>
      </c>
      <c r="AG1139" s="4">
        <v>41858</v>
      </c>
      <c r="AH1139" s="6">
        <v>-1.513358</v>
      </c>
      <c r="AI1139" s="6">
        <v>-0.98209599999999997</v>
      </c>
      <c r="AJ1139" s="6">
        <v>-0.65109700000000004</v>
      </c>
      <c r="AK1139" s="6"/>
      <c r="AL1139" s="6"/>
      <c r="AM1139" s="6" t="e">
        <f t="shared" si="89"/>
        <v>#DIV/0!</v>
      </c>
    </row>
    <row r="1140" spans="29:39" x14ac:dyDescent="0.3">
      <c r="AC1140">
        <f t="shared" si="88"/>
        <v>0</v>
      </c>
      <c r="AD1140">
        <v>1137</v>
      </c>
      <c r="AE1140" s="4">
        <f t="shared" si="86"/>
        <v>41859</v>
      </c>
      <c r="AF1140" s="6" t="e">
        <f t="shared" si="87"/>
        <v>#DIV/0!</v>
      </c>
      <c r="AG1140" s="4">
        <v>41859</v>
      </c>
      <c r="AH1140" s="6">
        <v>0.15798400000000001</v>
      </c>
      <c r="AI1140" s="6">
        <v>0.59744399999999998</v>
      </c>
      <c r="AJ1140" s="6">
        <v>0.92468700000000004</v>
      </c>
      <c r="AK1140" s="6"/>
      <c r="AL1140" s="6"/>
      <c r="AM1140" s="6" t="e">
        <f t="shared" si="89"/>
        <v>#DIV/0!</v>
      </c>
    </row>
    <row r="1141" spans="29:39" x14ac:dyDescent="0.3">
      <c r="AC1141">
        <f t="shared" si="88"/>
        <v>0</v>
      </c>
      <c r="AD1141">
        <v>1138</v>
      </c>
      <c r="AE1141" s="4">
        <f t="shared" si="86"/>
        <v>41862</v>
      </c>
      <c r="AF1141" s="6" t="e">
        <f t="shared" si="87"/>
        <v>#DIV/0!</v>
      </c>
      <c r="AG1141" s="4">
        <v>41862</v>
      </c>
      <c r="AH1141" s="6">
        <v>1.467741</v>
      </c>
      <c r="AI1141" s="6">
        <v>1.514972</v>
      </c>
      <c r="AJ1141" s="6">
        <v>1.5264869999999999</v>
      </c>
      <c r="AK1141" s="6"/>
      <c r="AL1141" s="6"/>
      <c r="AM1141" s="6" t="e">
        <f t="shared" si="89"/>
        <v>#DIV/0!</v>
      </c>
    </row>
    <row r="1142" spans="29:39" x14ac:dyDescent="0.3">
      <c r="AC1142">
        <f t="shared" si="88"/>
        <v>0</v>
      </c>
      <c r="AD1142">
        <v>1139</v>
      </c>
      <c r="AE1142" s="4">
        <f t="shared" si="86"/>
        <v>41863</v>
      </c>
      <c r="AF1142" s="6" t="e">
        <f t="shared" si="87"/>
        <v>#DIV/0!</v>
      </c>
      <c r="AG1142" s="4">
        <v>41863</v>
      </c>
      <c r="AH1142" s="6">
        <v>-0.350773</v>
      </c>
      <c r="AI1142" s="6">
        <v>0.52062799999999998</v>
      </c>
      <c r="AJ1142" s="6">
        <v>0.69298599999999999</v>
      </c>
      <c r="AK1142" s="6"/>
      <c r="AL1142" s="6"/>
      <c r="AM1142" s="6" t="e">
        <f t="shared" si="89"/>
        <v>#DIV/0!</v>
      </c>
    </row>
    <row r="1143" spans="29:39" x14ac:dyDescent="0.3">
      <c r="AC1143">
        <f t="shared" si="88"/>
        <v>0</v>
      </c>
      <c r="AD1143">
        <v>1140</v>
      </c>
      <c r="AE1143" s="4">
        <f t="shared" si="86"/>
        <v>41864</v>
      </c>
      <c r="AF1143" s="6" t="e">
        <f t="shared" si="87"/>
        <v>#DIV/0!</v>
      </c>
      <c r="AG1143" s="4">
        <v>41864</v>
      </c>
      <c r="AH1143" s="6">
        <v>7.8445000000000001E-2</v>
      </c>
      <c r="AI1143" s="6">
        <v>4.5525000000000003E-2</v>
      </c>
      <c r="AJ1143" s="6">
        <v>-2.7394000000000002E-2</v>
      </c>
      <c r="AK1143" s="6"/>
      <c r="AL1143" s="6"/>
      <c r="AM1143" s="6" t="e">
        <f t="shared" si="89"/>
        <v>#DIV/0!</v>
      </c>
    </row>
    <row r="1144" spans="29:39" x14ac:dyDescent="0.3">
      <c r="AC1144">
        <f t="shared" si="88"/>
        <v>0</v>
      </c>
      <c r="AD1144">
        <v>1141</v>
      </c>
      <c r="AE1144" s="4">
        <f t="shared" si="86"/>
        <v>41865</v>
      </c>
      <c r="AF1144" s="6" t="e">
        <f t="shared" si="87"/>
        <v>#DIV/0!</v>
      </c>
      <c r="AG1144" s="4">
        <v>41865</v>
      </c>
      <c r="AH1144" s="6">
        <v>-0.97316499999999995</v>
      </c>
      <c r="AI1144" s="6">
        <v>-0.64303100000000002</v>
      </c>
      <c r="AJ1144" s="6">
        <v>-0.33577400000000002</v>
      </c>
      <c r="AK1144" s="6"/>
      <c r="AL1144" s="6"/>
      <c r="AM1144" s="6" t="e">
        <f t="shared" si="89"/>
        <v>#DIV/0!</v>
      </c>
    </row>
    <row r="1145" spans="29:39" x14ac:dyDescent="0.3">
      <c r="AC1145">
        <f t="shared" si="88"/>
        <v>0</v>
      </c>
      <c r="AD1145">
        <v>1142</v>
      </c>
      <c r="AE1145" s="4">
        <f t="shared" si="86"/>
        <v>41866</v>
      </c>
      <c r="AF1145" s="6" t="e">
        <f t="shared" si="87"/>
        <v>#DIV/0!</v>
      </c>
      <c r="AG1145" s="4">
        <v>41866</v>
      </c>
      <c r="AH1145" s="6">
        <v>1.0569599999999999</v>
      </c>
      <c r="AI1145" s="6">
        <v>1.146266</v>
      </c>
      <c r="AJ1145" s="6">
        <v>1.0701339999999999</v>
      </c>
      <c r="AK1145" s="6"/>
      <c r="AL1145" s="6"/>
      <c r="AM1145" s="6" t="e">
        <f t="shared" si="89"/>
        <v>#DIV/0!</v>
      </c>
    </row>
    <row r="1146" spans="29:39" x14ac:dyDescent="0.3">
      <c r="AC1146">
        <f t="shared" si="88"/>
        <v>0</v>
      </c>
      <c r="AD1146">
        <v>1143</v>
      </c>
      <c r="AE1146" s="4">
        <f t="shared" si="86"/>
        <v>41869</v>
      </c>
      <c r="AF1146" s="6" t="e">
        <f t="shared" si="87"/>
        <v>#DIV/0!</v>
      </c>
      <c r="AG1146" s="4">
        <v>41869</v>
      </c>
      <c r="AH1146" s="6">
        <v>0.58996800000000005</v>
      </c>
      <c r="AI1146" s="6">
        <v>1.354271</v>
      </c>
      <c r="AJ1146" s="6">
        <v>1.6707000000000001</v>
      </c>
      <c r="AK1146" s="6"/>
      <c r="AL1146" s="6"/>
      <c r="AM1146" s="6" t="e">
        <f t="shared" si="89"/>
        <v>#DIV/0!</v>
      </c>
    </row>
    <row r="1147" spans="29:39" x14ac:dyDescent="0.3">
      <c r="AC1147">
        <f t="shared" si="88"/>
        <v>0</v>
      </c>
      <c r="AD1147">
        <v>1144</v>
      </c>
      <c r="AE1147" s="4">
        <f t="shared" si="86"/>
        <v>41870</v>
      </c>
      <c r="AF1147" s="6" t="e">
        <f t="shared" si="87"/>
        <v>#DIV/0!</v>
      </c>
      <c r="AG1147" s="4">
        <v>41870</v>
      </c>
      <c r="AH1147" s="6">
        <v>8.6750000000000004E-3</v>
      </c>
      <c r="AI1147" s="6">
        <v>0.29873699999999997</v>
      </c>
      <c r="AJ1147" s="6">
        <v>0.44272</v>
      </c>
      <c r="AK1147" s="6"/>
      <c r="AL1147" s="6"/>
      <c r="AM1147" s="6" t="e">
        <f t="shared" si="89"/>
        <v>#DIV/0!</v>
      </c>
    </row>
    <row r="1148" spans="29:39" x14ac:dyDescent="0.3">
      <c r="AC1148">
        <f t="shared" si="88"/>
        <v>0</v>
      </c>
      <c r="AD1148">
        <v>1145</v>
      </c>
      <c r="AE1148" s="4">
        <f t="shared" si="86"/>
        <v>41871</v>
      </c>
      <c r="AF1148" s="6" t="e">
        <f t="shared" si="87"/>
        <v>#DIV/0!</v>
      </c>
      <c r="AG1148" s="4">
        <v>41871</v>
      </c>
      <c r="AH1148" s="6">
        <v>-0.36331999999999998</v>
      </c>
      <c r="AI1148" s="6">
        <v>1.0251E-2</v>
      </c>
      <c r="AJ1148" s="6">
        <v>-0.215753</v>
      </c>
      <c r="AK1148" s="6"/>
      <c r="AL1148" s="6"/>
      <c r="AM1148" s="6" t="e">
        <f t="shared" si="89"/>
        <v>#DIV/0!</v>
      </c>
    </row>
    <row r="1149" spans="29:39" x14ac:dyDescent="0.3">
      <c r="AC1149">
        <f t="shared" si="88"/>
        <v>0</v>
      </c>
      <c r="AD1149">
        <v>1146</v>
      </c>
      <c r="AE1149" s="4">
        <f t="shared" si="86"/>
        <v>41872</v>
      </c>
      <c r="AF1149" s="6" t="e">
        <f t="shared" si="87"/>
        <v>#DIV/0!</v>
      </c>
      <c r="AG1149" s="4">
        <v>41872</v>
      </c>
      <c r="AH1149" s="6">
        <v>-0.50275999999999998</v>
      </c>
      <c r="AI1149" s="6">
        <v>-4.3559E-2</v>
      </c>
      <c r="AJ1149" s="6">
        <v>0.28843200000000002</v>
      </c>
      <c r="AK1149" s="6"/>
      <c r="AL1149" s="6"/>
      <c r="AM1149" s="6" t="e">
        <f t="shared" si="89"/>
        <v>#DIV/0!</v>
      </c>
    </row>
    <row r="1150" spans="29:39" x14ac:dyDescent="0.3">
      <c r="AC1150">
        <f t="shared" si="88"/>
        <v>0</v>
      </c>
      <c r="AD1150">
        <v>1147</v>
      </c>
      <c r="AE1150" s="4">
        <f t="shared" si="86"/>
        <v>41873</v>
      </c>
      <c r="AF1150" s="6" t="e">
        <f t="shared" si="87"/>
        <v>#DIV/0!</v>
      </c>
      <c r="AG1150" s="4">
        <v>41873</v>
      </c>
      <c r="AH1150" s="6">
        <v>0.47233799999999998</v>
      </c>
      <c r="AI1150" s="6">
        <v>0.58530400000000005</v>
      </c>
      <c r="AJ1150" s="6">
        <v>0.85859099999999999</v>
      </c>
      <c r="AK1150" s="6"/>
      <c r="AL1150" s="6"/>
      <c r="AM1150" s="6" t="e">
        <f t="shared" si="89"/>
        <v>#DIV/0!</v>
      </c>
    </row>
    <row r="1151" spans="29:39" x14ac:dyDescent="0.3">
      <c r="AC1151">
        <f t="shared" si="88"/>
        <v>0</v>
      </c>
      <c r="AD1151">
        <v>1148</v>
      </c>
      <c r="AE1151" s="4">
        <f t="shared" si="86"/>
        <v>41876</v>
      </c>
      <c r="AF1151" s="6" t="e">
        <f t="shared" si="87"/>
        <v>#DIV/0!</v>
      </c>
      <c r="AG1151" s="4">
        <v>41876</v>
      </c>
      <c r="AH1151" s="6">
        <v>-0.95126999999999995</v>
      </c>
      <c r="AI1151" s="6">
        <v>-0.76541099999999995</v>
      </c>
      <c r="AJ1151" s="6">
        <v>-0.71126599999999995</v>
      </c>
      <c r="AK1151" s="6"/>
      <c r="AL1151" s="6"/>
      <c r="AM1151" s="6" t="e">
        <f t="shared" si="89"/>
        <v>#DIV/0!</v>
      </c>
    </row>
    <row r="1152" spans="29:39" x14ac:dyDescent="0.3">
      <c r="AC1152">
        <f t="shared" si="88"/>
        <v>0</v>
      </c>
      <c r="AD1152">
        <v>1149</v>
      </c>
      <c r="AE1152" s="4">
        <f t="shared" si="86"/>
        <v>41877</v>
      </c>
      <c r="AF1152" s="6" t="e">
        <f t="shared" si="87"/>
        <v>#DIV/0!</v>
      </c>
      <c r="AG1152" s="4">
        <v>41877</v>
      </c>
      <c r="AH1152" s="6">
        <v>-0.80119899999999999</v>
      </c>
      <c r="AI1152" s="6">
        <v>-1.7729330000000001</v>
      </c>
      <c r="AJ1152" s="6">
        <v>-1.9730989999999999</v>
      </c>
      <c r="AK1152" s="6"/>
      <c r="AL1152" s="6"/>
      <c r="AM1152" s="6" t="e">
        <f t="shared" si="89"/>
        <v>#DIV/0!</v>
      </c>
    </row>
    <row r="1153" spans="29:39" x14ac:dyDescent="0.3">
      <c r="AC1153">
        <f t="shared" si="88"/>
        <v>0</v>
      </c>
      <c r="AD1153">
        <v>1150</v>
      </c>
      <c r="AE1153" s="4">
        <f t="shared" si="86"/>
        <v>41878</v>
      </c>
      <c r="AF1153" s="6" t="e">
        <f t="shared" si="87"/>
        <v>#DIV/0!</v>
      </c>
      <c r="AG1153" s="4">
        <v>41878</v>
      </c>
      <c r="AH1153" s="6">
        <v>0.150726</v>
      </c>
      <c r="AI1153" s="6">
        <v>0.30910300000000002</v>
      </c>
      <c r="AJ1153" s="6">
        <v>0.552535</v>
      </c>
      <c r="AK1153" s="6"/>
      <c r="AL1153" s="6"/>
      <c r="AM1153" s="6" t="e">
        <f t="shared" si="89"/>
        <v>#DIV/0!</v>
      </c>
    </row>
    <row r="1154" spans="29:39" x14ac:dyDescent="0.3">
      <c r="AC1154">
        <f t="shared" si="88"/>
        <v>0</v>
      </c>
      <c r="AD1154">
        <v>1151</v>
      </c>
      <c r="AE1154" s="4">
        <f t="shared" si="86"/>
        <v>41879</v>
      </c>
      <c r="AF1154" s="6" t="e">
        <f t="shared" si="87"/>
        <v>#DIV/0!</v>
      </c>
      <c r="AG1154" s="4">
        <v>41879</v>
      </c>
      <c r="AH1154" s="6">
        <v>-0.70102399999999998</v>
      </c>
      <c r="AI1154" s="6">
        <v>-0.89835100000000001</v>
      </c>
      <c r="AJ1154" s="6">
        <v>-0.86935099999999998</v>
      </c>
      <c r="AK1154" s="6"/>
      <c r="AL1154" s="6"/>
      <c r="AM1154" s="6" t="e">
        <f t="shared" si="89"/>
        <v>#DIV/0!</v>
      </c>
    </row>
    <row r="1155" spans="29:39" x14ac:dyDescent="0.3">
      <c r="AC1155">
        <f t="shared" si="88"/>
        <v>0</v>
      </c>
      <c r="AD1155">
        <v>1152</v>
      </c>
      <c r="AE1155" s="4">
        <f t="shared" si="86"/>
        <v>41880</v>
      </c>
      <c r="AF1155" s="6" t="e">
        <f t="shared" si="87"/>
        <v>#DIV/0!</v>
      </c>
      <c r="AG1155" s="4">
        <v>41880</v>
      </c>
      <c r="AH1155" s="6">
        <v>1.168574</v>
      </c>
      <c r="AI1155" s="6">
        <v>1.058657</v>
      </c>
      <c r="AJ1155" s="6">
        <v>1.151718</v>
      </c>
      <c r="AK1155" s="6"/>
      <c r="AL1155" s="6"/>
      <c r="AM1155" s="6" t="e">
        <f t="shared" si="89"/>
        <v>#DIV/0!</v>
      </c>
    </row>
    <row r="1156" spans="29:39" x14ac:dyDescent="0.3">
      <c r="AC1156">
        <f t="shared" si="88"/>
        <v>0</v>
      </c>
      <c r="AD1156">
        <v>1153</v>
      </c>
      <c r="AE1156" s="4">
        <f t="shared" si="86"/>
        <v>41883</v>
      </c>
      <c r="AF1156" s="6" t="e">
        <f t="shared" si="87"/>
        <v>#DIV/0!</v>
      </c>
      <c r="AG1156" s="4">
        <v>41883</v>
      </c>
      <c r="AH1156" s="6">
        <v>0.72831100000000004</v>
      </c>
      <c r="AI1156" s="6">
        <v>1.7968649999999999</v>
      </c>
      <c r="AJ1156" s="6">
        <v>1.8720650000000001</v>
      </c>
      <c r="AK1156" s="6"/>
      <c r="AL1156" s="6"/>
      <c r="AM1156" s="6" t="e">
        <f t="shared" si="89"/>
        <v>#DIV/0!</v>
      </c>
    </row>
    <row r="1157" spans="29:39" x14ac:dyDescent="0.3">
      <c r="AC1157">
        <f t="shared" si="88"/>
        <v>0</v>
      </c>
      <c r="AD1157">
        <v>1154</v>
      </c>
      <c r="AE1157" s="4">
        <f t="shared" ref="AE1157:AE1220" si="90">AG1157</f>
        <v>41884</v>
      </c>
      <c r="AF1157" s="6" t="e">
        <f t="shared" ref="AF1157:AF1220" si="91">AM1157</f>
        <v>#DIV/0!</v>
      </c>
      <c r="AG1157" s="4">
        <v>41884</v>
      </c>
      <c r="AH1157" s="6">
        <v>1.3222419999999999</v>
      </c>
      <c r="AI1157" s="6">
        <v>1.523658</v>
      </c>
      <c r="AJ1157" s="6">
        <v>1.4826600000000001</v>
      </c>
      <c r="AK1157" s="6"/>
      <c r="AL1157" s="6"/>
      <c r="AM1157" s="6" t="e">
        <f t="shared" si="89"/>
        <v>#DIV/0!</v>
      </c>
    </row>
    <row r="1158" spans="29:39" x14ac:dyDescent="0.3">
      <c r="AC1158">
        <f t="shared" ref="AC1158:AC1221" si="92">IF(AE1158&lt;=AE1157,1,0)</f>
        <v>0</v>
      </c>
      <c r="AD1158">
        <v>1155</v>
      </c>
      <c r="AE1158" s="4">
        <f t="shared" si="90"/>
        <v>41885</v>
      </c>
      <c r="AF1158" s="6" t="e">
        <f t="shared" si="91"/>
        <v>#DIV/0!</v>
      </c>
      <c r="AG1158" s="4">
        <v>41885</v>
      </c>
      <c r="AH1158" s="6">
        <v>0.93770699999999996</v>
      </c>
      <c r="AI1158" s="6">
        <v>0.70883200000000002</v>
      </c>
      <c r="AJ1158" s="6">
        <v>0.78620299999999999</v>
      </c>
      <c r="AK1158" s="6"/>
      <c r="AL1158" s="6"/>
      <c r="AM1158" s="6" t="e">
        <f t="shared" ref="AM1158:AM1221" si="93">(AL1158/AL1157-1)*100</f>
        <v>#DIV/0!</v>
      </c>
    </row>
    <row r="1159" spans="29:39" x14ac:dyDescent="0.3">
      <c r="AC1159">
        <f t="shared" si="92"/>
        <v>0</v>
      </c>
      <c r="AD1159">
        <v>1156</v>
      </c>
      <c r="AE1159" s="4">
        <f t="shared" si="90"/>
        <v>41886</v>
      </c>
      <c r="AF1159" s="6" t="e">
        <f t="shared" si="91"/>
        <v>#DIV/0!</v>
      </c>
      <c r="AG1159" s="4">
        <v>41886</v>
      </c>
      <c r="AH1159" s="6">
        <v>0.72175900000000004</v>
      </c>
      <c r="AI1159" s="6">
        <v>0.85339100000000001</v>
      </c>
      <c r="AJ1159" s="6">
        <v>0.98346100000000003</v>
      </c>
      <c r="AK1159" s="6"/>
      <c r="AL1159" s="6"/>
      <c r="AM1159" s="6" t="e">
        <f t="shared" si="93"/>
        <v>#DIV/0!</v>
      </c>
    </row>
    <row r="1160" spans="29:39" x14ac:dyDescent="0.3">
      <c r="AC1160">
        <f t="shared" si="92"/>
        <v>0</v>
      </c>
      <c r="AD1160">
        <v>1157</v>
      </c>
      <c r="AE1160" s="4">
        <f t="shared" si="90"/>
        <v>41887</v>
      </c>
      <c r="AF1160" s="6" t="e">
        <f t="shared" si="91"/>
        <v>#DIV/0!</v>
      </c>
      <c r="AG1160" s="4">
        <v>41887</v>
      </c>
      <c r="AH1160" s="6">
        <v>0.94941799999999998</v>
      </c>
      <c r="AI1160" s="6">
        <v>0.399924</v>
      </c>
      <c r="AJ1160" s="6">
        <v>0.32512400000000002</v>
      </c>
      <c r="AK1160" s="6"/>
      <c r="AL1160" s="6"/>
      <c r="AM1160" s="6" t="e">
        <f t="shared" si="93"/>
        <v>#DIV/0!</v>
      </c>
    </row>
    <row r="1161" spans="29:39" x14ac:dyDescent="0.3">
      <c r="AC1161">
        <f t="shared" si="92"/>
        <v>0</v>
      </c>
      <c r="AD1161">
        <v>1158</v>
      </c>
      <c r="AE1161" s="4">
        <f t="shared" si="90"/>
        <v>41891</v>
      </c>
      <c r="AF1161" s="6" t="e">
        <f t="shared" si="91"/>
        <v>#DIV/0!</v>
      </c>
      <c r="AG1161" s="4">
        <v>41891</v>
      </c>
      <c r="AH1161" s="6">
        <v>-0.164744</v>
      </c>
      <c r="AI1161" s="6">
        <v>0.754853</v>
      </c>
      <c r="AJ1161" s="6">
        <v>0.612425</v>
      </c>
      <c r="AK1161" s="6"/>
      <c r="AL1161" s="6"/>
      <c r="AM1161" s="6" t="e">
        <f t="shared" si="93"/>
        <v>#DIV/0!</v>
      </c>
    </row>
    <row r="1162" spans="29:39" x14ac:dyDescent="0.3">
      <c r="AC1162">
        <f t="shared" si="92"/>
        <v>0</v>
      </c>
      <c r="AD1162">
        <v>1159</v>
      </c>
      <c r="AE1162" s="4">
        <f t="shared" si="90"/>
        <v>41892</v>
      </c>
      <c r="AF1162" s="6" t="e">
        <f t="shared" si="91"/>
        <v>#DIV/0!</v>
      </c>
      <c r="AG1162" s="4">
        <v>41892</v>
      </c>
      <c r="AH1162" s="6">
        <v>-0.52310100000000004</v>
      </c>
      <c r="AI1162" s="6">
        <v>0.174618</v>
      </c>
      <c r="AJ1162" s="6">
        <v>0.68737199999999998</v>
      </c>
      <c r="AK1162" s="6"/>
      <c r="AL1162" s="6"/>
      <c r="AM1162" s="6" t="e">
        <f t="shared" si="93"/>
        <v>#DIV/0!</v>
      </c>
    </row>
    <row r="1163" spans="29:39" x14ac:dyDescent="0.3">
      <c r="AC1163">
        <f t="shared" si="92"/>
        <v>0</v>
      </c>
      <c r="AD1163">
        <v>1160</v>
      </c>
      <c r="AE1163" s="4">
        <f t="shared" si="90"/>
        <v>41893</v>
      </c>
      <c r="AF1163" s="6" t="e">
        <f t="shared" si="91"/>
        <v>#DIV/0!</v>
      </c>
      <c r="AG1163" s="4">
        <v>41893</v>
      </c>
      <c r="AH1163" s="6">
        <v>-0.36913699999999999</v>
      </c>
      <c r="AI1163" s="6">
        <v>-0.105459</v>
      </c>
      <c r="AJ1163" s="6">
        <v>-0.126745</v>
      </c>
      <c r="AK1163" s="6"/>
      <c r="AL1163" s="6"/>
      <c r="AM1163" s="6" t="e">
        <f t="shared" si="93"/>
        <v>#DIV/0!</v>
      </c>
    </row>
    <row r="1164" spans="29:39" x14ac:dyDescent="0.3">
      <c r="AC1164">
        <f t="shared" si="92"/>
        <v>0</v>
      </c>
      <c r="AD1164">
        <v>1161</v>
      </c>
      <c r="AE1164" s="4">
        <f t="shared" si="90"/>
        <v>41894</v>
      </c>
      <c r="AF1164" s="6" t="e">
        <f t="shared" si="91"/>
        <v>#DIV/0!</v>
      </c>
      <c r="AG1164" s="4">
        <v>41894</v>
      </c>
      <c r="AH1164" s="6">
        <v>0.61499000000000004</v>
      </c>
      <c r="AI1164" s="6">
        <v>1.10537</v>
      </c>
      <c r="AJ1164" s="6">
        <v>1.2447109999999999</v>
      </c>
      <c r="AK1164" s="6"/>
      <c r="AL1164" s="6"/>
      <c r="AM1164" s="6" t="e">
        <f t="shared" si="93"/>
        <v>#DIV/0!</v>
      </c>
    </row>
    <row r="1165" spans="29:39" x14ac:dyDescent="0.3">
      <c r="AC1165">
        <f t="shared" si="92"/>
        <v>0</v>
      </c>
      <c r="AD1165">
        <v>1162</v>
      </c>
      <c r="AE1165" s="4">
        <f t="shared" si="90"/>
        <v>41897</v>
      </c>
      <c r="AF1165" s="6" t="e">
        <f t="shared" si="91"/>
        <v>#DIV/0!</v>
      </c>
      <c r="AG1165" s="4">
        <v>41897</v>
      </c>
      <c r="AH1165" s="6">
        <v>-4.7941999999999999E-2</v>
      </c>
      <c r="AI1165" s="6">
        <v>1.063833</v>
      </c>
      <c r="AJ1165" s="6">
        <v>1.0252520000000001</v>
      </c>
      <c r="AK1165" s="6"/>
      <c r="AL1165" s="6"/>
      <c r="AM1165" s="6" t="e">
        <f t="shared" si="93"/>
        <v>#DIV/0!</v>
      </c>
    </row>
    <row r="1166" spans="29:39" x14ac:dyDescent="0.3">
      <c r="AC1166">
        <f t="shared" si="92"/>
        <v>0</v>
      </c>
      <c r="AD1166">
        <v>1163</v>
      </c>
      <c r="AE1166" s="4">
        <f t="shared" si="90"/>
        <v>41898</v>
      </c>
      <c r="AF1166" s="6" t="e">
        <f t="shared" si="91"/>
        <v>#DIV/0!</v>
      </c>
      <c r="AG1166" s="4">
        <v>41898</v>
      </c>
      <c r="AH1166" s="6">
        <v>-1.9868790000000001</v>
      </c>
      <c r="AI1166" s="6">
        <v>-3.3698830000000002</v>
      </c>
      <c r="AJ1166" s="6">
        <v>-3.4519009999999999</v>
      </c>
      <c r="AK1166" s="6"/>
      <c r="AL1166" s="6"/>
      <c r="AM1166" s="6" t="e">
        <f t="shared" si="93"/>
        <v>#DIV/0!</v>
      </c>
    </row>
    <row r="1167" spans="29:39" x14ac:dyDescent="0.3">
      <c r="AC1167">
        <f t="shared" si="92"/>
        <v>0</v>
      </c>
      <c r="AD1167">
        <v>1164</v>
      </c>
      <c r="AE1167" s="4">
        <f t="shared" si="90"/>
        <v>41899</v>
      </c>
      <c r="AF1167" s="6" t="e">
        <f t="shared" si="91"/>
        <v>#DIV/0!</v>
      </c>
      <c r="AG1167" s="4">
        <v>41899</v>
      </c>
      <c r="AH1167" s="6">
        <v>0.525837</v>
      </c>
      <c r="AI1167" s="6">
        <v>0.87182400000000004</v>
      </c>
      <c r="AJ1167" s="6">
        <v>0.70220499999999997</v>
      </c>
      <c r="AK1167" s="6"/>
      <c r="AL1167" s="6"/>
      <c r="AM1167" s="6" t="e">
        <f t="shared" si="93"/>
        <v>#DIV/0!</v>
      </c>
    </row>
    <row r="1168" spans="29:39" x14ac:dyDescent="0.3">
      <c r="AC1168">
        <f t="shared" si="92"/>
        <v>0</v>
      </c>
      <c r="AD1168">
        <v>1165</v>
      </c>
      <c r="AE1168" s="4">
        <f t="shared" si="90"/>
        <v>41900</v>
      </c>
      <c r="AF1168" s="6" t="e">
        <f t="shared" si="91"/>
        <v>#DIV/0!</v>
      </c>
      <c r="AG1168" s="4">
        <v>41900</v>
      </c>
      <c r="AH1168" s="6">
        <v>0.30558099999999999</v>
      </c>
      <c r="AI1168" s="6">
        <v>0.703407</v>
      </c>
      <c r="AJ1168" s="6">
        <v>0.79418299999999997</v>
      </c>
      <c r="AK1168" s="6"/>
      <c r="AL1168" s="6"/>
      <c r="AM1168" s="6" t="e">
        <f t="shared" si="93"/>
        <v>#DIV/0!</v>
      </c>
    </row>
    <row r="1169" spans="29:39" x14ac:dyDescent="0.3">
      <c r="AC1169">
        <f t="shared" si="92"/>
        <v>0</v>
      </c>
      <c r="AD1169">
        <v>1166</v>
      </c>
      <c r="AE1169" s="4">
        <f t="shared" si="90"/>
        <v>41901</v>
      </c>
      <c r="AF1169" s="6" t="e">
        <f t="shared" si="91"/>
        <v>#DIV/0!</v>
      </c>
      <c r="AG1169" s="4">
        <v>41901</v>
      </c>
      <c r="AH1169" s="6">
        <v>0.68697799999999998</v>
      </c>
      <c r="AI1169" s="6">
        <v>0.84165999999999996</v>
      </c>
      <c r="AJ1169" s="6">
        <v>1.1436109999999999</v>
      </c>
      <c r="AK1169" s="6"/>
      <c r="AL1169" s="6"/>
      <c r="AM1169" s="6" t="e">
        <f t="shared" si="93"/>
        <v>#DIV/0!</v>
      </c>
    </row>
    <row r="1170" spans="29:39" x14ac:dyDescent="0.3">
      <c r="AC1170">
        <f t="shared" si="92"/>
        <v>0</v>
      </c>
      <c r="AD1170">
        <v>1167</v>
      </c>
      <c r="AE1170" s="4">
        <f t="shared" si="90"/>
        <v>41904</v>
      </c>
      <c r="AF1170" s="6" t="e">
        <f t="shared" si="91"/>
        <v>#DIV/0!</v>
      </c>
      <c r="AG1170" s="4">
        <v>41904</v>
      </c>
      <c r="AH1170" s="6">
        <v>-1.908741</v>
      </c>
      <c r="AI1170" s="6">
        <v>-1.355362</v>
      </c>
      <c r="AJ1170" s="6">
        <v>-0.84174099999999996</v>
      </c>
      <c r="AK1170" s="6"/>
      <c r="AL1170" s="6"/>
      <c r="AM1170" s="6" t="e">
        <f t="shared" si="93"/>
        <v>#DIV/0!</v>
      </c>
    </row>
    <row r="1171" spans="29:39" x14ac:dyDescent="0.3">
      <c r="AC1171">
        <f t="shared" si="92"/>
        <v>0</v>
      </c>
      <c r="AD1171">
        <v>1168</v>
      </c>
      <c r="AE1171" s="4">
        <f t="shared" si="90"/>
        <v>41905</v>
      </c>
      <c r="AF1171" s="6" t="e">
        <f t="shared" si="91"/>
        <v>#DIV/0!</v>
      </c>
      <c r="AG1171" s="4">
        <v>41905</v>
      </c>
      <c r="AH1171" s="6">
        <v>0.86350099999999996</v>
      </c>
      <c r="AI1171" s="6">
        <v>1.283342</v>
      </c>
      <c r="AJ1171" s="6">
        <v>1.4514100000000001</v>
      </c>
      <c r="AK1171" s="6"/>
      <c r="AL1171" s="6"/>
      <c r="AM1171" s="6" t="e">
        <f t="shared" si="93"/>
        <v>#DIV/0!</v>
      </c>
    </row>
    <row r="1172" spans="29:39" x14ac:dyDescent="0.3">
      <c r="AC1172">
        <f t="shared" si="92"/>
        <v>0</v>
      </c>
      <c r="AD1172">
        <v>1169</v>
      </c>
      <c r="AE1172" s="4">
        <f t="shared" si="90"/>
        <v>41906</v>
      </c>
      <c r="AF1172" s="6" t="e">
        <f t="shared" si="91"/>
        <v>#DIV/0!</v>
      </c>
      <c r="AG1172" s="4">
        <v>41906</v>
      </c>
      <c r="AH1172" s="6">
        <v>1.7671460000000001</v>
      </c>
      <c r="AI1172" s="6">
        <v>1.288008</v>
      </c>
      <c r="AJ1172" s="6">
        <v>1.3374729999999999</v>
      </c>
      <c r="AK1172" s="6"/>
      <c r="AL1172" s="6"/>
      <c r="AM1172" s="6" t="e">
        <f t="shared" si="93"/>
        <v>#DIV/0!</v>
      </c>
    </row>
    <row r="1173" spans="29:39" x14ac:dyDescent="0.3">
      <c r="AC1173">
        <f t="shared" si="92"/>
        <v>0</v>
      </c>
      <c r="AD1173">
        <v>1170</v>
      </c>
      <c r="AE1173" s="4">
        <f t="shared" si="90"/>
        <v>41907</v>
      </c>
      <c r="AF1173" s="6" t="e">
        <f t="shared" si="91"/>
        <v>#DIV/0!</v>
      </c>
      <c r="AG1173" s="4">
        <v>41907</v>
      </c>
      <c r="AH1173" s="6">
        <v>-0.200625</v>
      </c>
      <c r="AI1173" s="6">
        <v>-2.0246E-2</v>
      </c>
      <c r="AJ1173" s="6">
        <v>9.5785999999999996E-2</v>
      </c>
      <c r="AK1173" s="6"/>
      <c r="AL1173" s="6"/>
      <c r="AM1173" s="6" t="e">
        <f t="shared" si="93"/>
        <v>#DIV/0!</v>
      </c>
    </row>
    <row r="1174" spans="29:39" x14ac:dyDescent="0.3">
      <c r="AC1174">
        <f t="shared" si="92"/>
        <v>0</v>
      </c>
      <c r="AD1174">
        <v>1171</v>
      </c>
      <c r="AE1174" s="4">
        <f t="shared" si="90"/>
        <v>41908</v>
      </c>
      <c r="AF1174" s="6" t="e">
        <f t="shared" si="91"/>
        <v>#DIV/0!</v>
      </c>
      <c r="AG1174" s="4">
        <v>41908</v>
      </c>
      <c r="AH1174" s="6">
        <v>9.6839999999999999E-3</v>
      </c>
      <c r="AI1174" s="6">
        <v>0.31569799999999998</v>
      </c>
      <c r="AJ1174" s="6">
        <v>0.42693700000000001</v>
      </c>
      <c r="AK1174" s="6"/>
      <c r="AL1174" s="6"/>
      <c r="AM1174" s="6" t="e">
        <f t="shared" si="93"/>
        <v>#DIV/0!</v>
      </c>
    </row>
    <row r="1175" spans="29:39" x14ac:dyDescent="0.3">
      <c r="AC1175">
        <f t="shared" si="92"/>
        <v>0</v>
      </c>
      <c r="AD1175">
        <v>1172</v>
      </c>
      <c r="AE1175" s="4">
        <f t="shared" si="90"/>
        <v>41911</v>
      </c>
      <c r="AF1175" s="6" t="e">
        <f t="shared" si="91"/>
        <v>#DIV/0!</v>
      </c>
      <c r="AG1175" s="4">
        <v>41911</v>
      </c>
      <c r="AH1175" s="6">
        <v>0.43484299999999998</v>
      </c>
      <c r="AI1175" s="6">
        <v>0.98345000000000005</v>
      </c>
      <c r="AJ1175" s="6">
        <v>1.0746830000000001</v>
      </c>
      <c r="AK1175" s="6"/>
      <c r="AL1175" s="6"/>
      <c r="AM1175" s="6" t="e">
        <f t="shared" si="93"/>
        <v>#DIV/0!</v>
      </c>
    </row>
    <row r="1176" spans="29:39" x14ac:dyDescent="0.3">
      <c r="AC1176">
        <f t="shared" si="92"/>
        <v>0</v>
      </c>
      <c r="AD1176">
        <v>1173</v>
      </c>
      <c r="AE1176" s="4">
        <f t="shared" si="90"/>
        <v>41912</v>
      </c>
      <c r="AF1176" s="6" t="e">
        <f t="shared" si="91"/>
        <v>#DIV/0!</v>
      </c>
      <c r="AG1176" s="4">
        <v>41912</v>
      </c>
      <c r="AH1176" s="6">
        <v>0.13028000000000001</v>
      </c>
      <c r="AI1176" s="6">
        <v>0.79312199999999999</v>
      </c>
      <c r="AJ1176" s="6">
        <v>0.77362299999999995</v>
      </c>
      <c r="AK1176" s="6"/>
      <c r="AL1176" s="6"/>
      <c r="AM1176" s="6" t="e">
        <f t="shared" si="93"/>
        <v>#DIV/0!</v>
      </c>
    </row>
    <row r="1177" spans="29:39" x14ac:dyDescent="0.3">
      <c r="AC1177">
        <f t="shared" si="92"/>
        <v>0</v>
      </c>
      <c r="AD1177">
        <v>1174</v>
      </c>
      <c r="AE1177" s="4">
        <f t="shared" si="90"/>
        <v>41920</v>
      </c>
      <c r="AF1177" s="6" t="e">
        <f t="shared" si="91"/>
        <v>#DIV/0!</v>
      </c>
      <c r="AG1177" s="4">
        <v>41920</v>
      </c>
      <c r="AH1177" s="6">
        <v>1.117713</v>
      </c>
      <c r="AI1177" s="6">
        <v>1.574657</v>
      </c>
      <c r="AJ1177" s="6">
        <v>1.4335580000000001</v>
      </c>
      <c r="AK1177" s="6"/>
      <c r="AL1177" s="6"/>
      <c r="AM1177" s="6" t="e">
        <f t="shared" si="93"/>
        <v>#DIV/0!</v>
      </c>
    </row>
    <row r="1178" spans="29:39" x14ac:dyDescent="0.3">
      <c r="AC1178">
        <f t="shared" si="92"/>
        <v>0</v>
      </c>
      <c r="AD1178">
        <v>1175</v>
      </c>
      <c r="AE1178" s="4">
        <f t="shared" si="90"/>
        <v>41921</v>
      </c>
      <c r="AF1178" s="6" t="e">
        <f t="shared" si="91"/>
        <v>#DIV/0!</v>
      </c>
      <c r="AG1178" s="4">
        <v>41921</v>
      </c>
      <c r="AH1178" s="6">
        <v>0.144126</v>
      </c>
      <c r="AI1178" s="6">
        <v>0.209671</v>
      </c>
      <c r="AJ1178" s="6">
        <v>0.37477300000000002</v>
      </c>
      <c r="AK1178" s="6"/>
      <c r="AL1178" s="6"/>
      <c r="AM1178" s="6" t="e">
        <f t="shared" si="93"/>
        <v>#DIV/0!</v>
      </c>
    </row>
    <row r="1179" spans="29:39" x14ac:dyDescent="0.3">
      <c r="AC1179">
        <f t="shared" si="92"/>
        <v>0</v>
      </c>
      <c r="AD1179">
        <v>1176</v>
      </c>
      <c r="AE1179" s="4">
        <f t="shared" si="90"/>
        <v>41922</v>
      </c>
      <c r="AF1179" s="6" t="e">
        <f t="shared" si="91"/>
        <v>#DIV/0!</v>
      </c>
      <c r="AG1179" s="4">
        <v>41922</v>
      </c>
      <c r="AH1179" s="6">
        <v>-0.61105100000000001</v>
      </c>
      <c r="AI1179" s="6">
        <v>-0.442606</v>
      </c>
      <c r="AJ1179" s="6">
        <v>-0.34118500000000002</v>
      </c>
      <c r="AK1179" s="6"/>
      <c r="AL1179" s="6"/>
      <c r="AM1179" s="6" t="e">
        <f t="shared" si="93"/>
        <v>#DIV/0!</v>
      </c>
    </row>
    <row r="1180" spans="29:39" x14ac:dyDescent="0.3">
      <c r="AC1180">
        <f t="shared" si="92"/>
        <v>0</v>
      </c>
      <c r="AD1180">
        <v>1177</v>
      </c>
      <c r="AE1180" s="4">
        <f t="shared" si="90"/>
        <v>41925</v>
      </c>
      <c r="AF1180" s="6" t="e">
        <f t="shared" si="91"/>
        <v>#DIV/0!</v>
      </c>
      <c r="AG1180" s="4">
        <v>41925</v>
      </c>
      <c r="AH1180" s="6">
        <v>-0.48009800000000002</v>
      </c>
      <c r="AI1180" s="6">
        <v>1.6619999999999999E-2</v>
      </c>
      <c r="AJ1180" s="6">
        <v>-4.9699999999999996E-3</v>
      </c>
      <c r="AK1180" s="6"/>
      <c r="AL1180" s="6"/>
      <c r="AM1180" s="6" t="e">
        <f t="shared" si="93"/>
        <v>#DIV/0!</v>
      </c>
    </row>
    <row r="1181" spans="29:39" x14ac:dyDescent="0.3">
      <c r="AC1181">
        <f t="shared" si="92"/>
        <v>0</v>
      </c>
      <c r="AD1181">
        <v>1178</v>
      </c>
      <c r="AE1181" s="4">
        <f t="shared" si="90"/>
        <v>41926</v>
      </c>
      <c r="AF1181" s="6" t="e">
        <f t="shared" si="91"/>
        <v>#DIV/0!</v>
      </c>
      <c r="AG1181" s="4">
        <v>41926</v>
      </c>
      <c r="AH1181" s="6">
        <v>-0.34151500000000001</v>
      </c>
      <c r="AI1181" s="6">
        <v>-0.33311400000000002</v>
      </c>
      <c r="AJ1181" s="6">
        <v>-0.20383899999999999</v>
      </c>
      <c r="AK1181" s="6"/>
      <c r="AL1181" s="6"/>
      <c r="AM1181" s="6" t="e">
        <f t="shared" si="93"/>
        <v>#DIV/0!</v>
      </c>
    </row>
    <row r="1182" spans="29:39" x14ac:dyDescent="0.3">
      <c r="AC1182">
        <f t="shared" si="92"/>
        <v>0</v>
      </c>
      <c r="AD1182">
        <v>1179</v>
      </c>
      <c r="AE1182" s="4">
        <f t="shared" si="90"/>
        <v>41927</v>
      </c>
      <c r="AF1182" s="6" t="e">
        <f t="shared" si="91"/>
        <v>#DIV/0!</v>
      </c>
      <c r="AG1182" s="4">
        <v>41927</v>
      </c>
      <c r="AH1182" s="6">
        <v>0.70760500000000004</v>
      </c>
      <c r="AI1182" s="6">
        <v>0.43543399999999999</v>
      </c>
      <c r="AJ1182" s="6">
        <v>0.30299799999999999</v>
      </c>
      <c r="AK1182" s="6"/>
      <c r="AL1182" s="6"/>
      <c r="AM1182" s="6" t="e">
        <f t="shared" si="93"/>
        <v>#DIV/0!</v>
      </c>
    </row>
    <row r="1183" spans="29:39" x14ac:dyDescent="0.3">
      <c r="AC1183">
        <f t="shared" si="92"/>
        <v>0</v>
      </c>
      <c r="AD1183">
        <v>1180</v>
      </c>
      <c r="AE1183" s="4">
        <f t="shared" si="90"/>
        <v>41928</v>
      </c>
      <c r="AF1183" s="6" t="e">
        <f t="shared" si="91"/>
        <v>#DIV/0!</v>
      </c>
      <c r="AG1183" s="4">
        <v>41928</v>
      </c>
      <c r="AH1183" s="6">
        <v>-0.79058399999999995</v>
      </c>
      <c r="AI1183" s="6">
        <v>-1.633276</v>
      </c>
      <c r="AJ1183" s="6">
        <v>-1.4150389999999999</v>
      </c>
      <c r="AK1183" s="6"/>
      <c r="AL1183" s="6"/>
      <c r="AM1183" s="6" t="e">
        <f t="shared" si="93"/>
        <v>#DIV/0!</v>
      </c>
    </row>
    <row r="1184" spans="29:39" x14ac:dyDescent="0.3">
      <c r="AC1184">
        <f t="shared" si="92"/>
        <v>0</v>
      </c>
      <c r="AD1184">
        <v>1181</v>
      </c>
      <c r="AE1184" s="4">
        <f t="shared" si="90"/>
        <v>41929</v>
      </c>
      <c r="AF1184" s="6" t="e">
        <f t="shared" si="91"/>
        <v>#DIV/0!</v>
      </c>
      <c r="AG1184" s="4">
        <v>41929</v>
      </c>
      <c r="AH1184" s="6">
        <v>-0.108943</v>
      </c>
      <c r="AI1184" s="6">
        <v>-0.92763399999999996</v>
      </c>
      <c r="AJ1184" s="6">
        <v>-1.2400199999999999</v>
      </c>
      <c r="AK1184" s="6"/>
      <c r="AL1184" s="6"/>
      <c r="AM1184" s="6" t="e">
        <f t="shared" si="93"/>
        <v>#DIV/0!</v>
      </c>
    </row>
    <row r="1185" spans="29:39" x14ac:dyDescent="0.3">
      <c r="AC1185">
        <f t="shared" si="92"/>
        <v>0</v>
      </c>
      <c r="AD1185">
        <v>1182</v>
      </c>
      <c r="AE1185" s="4">
        <f t="shared" si="90"/>
        <v>41932</v>
      </c>
      <c r="AF1185" s="6" t="e">
        <f t="shared" si="91"/>
        <v>#DIV/0!</v>
      </c>
      <c r="AG1185" s="4">
        <v>41932</v>
      </c>
      <c r="AH1185" s="6">
        <v>0.53154900000000005</v>
      </c>
      <c r="AI1185" s="6">
        <v>1.407772</v>
      </c>
      <c r="AJ1185" s="6">
        <v>1.5820639999999999</v>
      </c>
      <c r="AK1185" s="6"/>
      <c r="AL1185" s="6"/>
      <c r="AM1185" s="6" t="e">
        <f t="shared" si="93"/>
        <v>#DIV/0!</v>
      </c>
    </row>
    <row r="1186" spans="29:39" x14ac:dyDescent="0.3">
      <c r="AC1186">
        <f t="shared" si="92"/>
        <v>0</v>
      </c>
      <c r="AD1186">
        <v>1183</v>
      </c>
      <c r="AE1186" s="4">
        <f t="shared" si="90"/>
        <v>41933</v>
      </c>
      <c r="AF1186" s="6" t="e">
        <f t="shared" si="91"/>
        <v>#DIV/0!</v>
      </c>
      <c r="AG1186" s="4">
        <v>41933</v>
      </c>
      <c r="AH1186" s="6">
        <v>-0.86853400000000003</v>
      </c>
      <c r="AI1186" s="6">
        <v>-0.91569400000000001</v>
      </c>
      <c r="AJ1186" s="6">
        <v>-0.836978</v>
      </c>
      <c r="AK1186" s="6"/>
      <c r="AL1186" s="6"/>
      <c r="AM1186" s="6" t="e">
        <f t="shared" si="93"/>
        <v>#DIV/0!</v>
      </c>
    </row>
    <row r="1187" spans="29:39" x14ac:dyDescent="0.3">
      <c r="AC1187">
        <f t="shared" si="92"/>
        <v>0</v>
      </c>
      <c r="AD1187">
        <v>1184</v>
      </c>
      <c r="AE1187" s="4">
        <f t="shared" si="90"/>
        <v>41934</v>
      </c>
      <c r="AF1187" s="6" t="e">
        <f t="shared" si="91"/>
        <v>#DIV/0!</v>
      </c>
      <c r="AG1187" s="4">
        <v>41934</v>
      </c>
      <c r="AH1187" s="6">
        <v>-0.60614999999999997</v>
      </c>
      <c r="AI1187" s="6">
        <v>-1.196042</v>
      </c>
      <c r="AJ1187" s="6">
        <v>-1.2370620000000001</v>
      </c>
      <c r="AK1187" s="6"/>
      <c r="AL1187" s="6"/>
      <c r="AM1187" s="6" t="e">
        <f t="shared" si="93"/>
        <v>#DIV/0!</v>
      </c>
    </row>
    <row r="1188" spans="29:39" x14ac:dyDescent="0.3">
      <c r="AC1188">
        <f t="shared" si="92"/>
        <v>0</v>
      </c>
      <c r="AD1188">
        <v>1185</v>
      </c>
      <c r="AE1188" s="4">
        <f t="shared" si="90"/>
        <v>41935</v>
      </c>
      <c r="AF1188" s="6" t="e">
        <f t="shared" si="91"/>
        <v>#DIV/0!</v>
      </c>
      <c r="AG1188" s="4">
        <v>41935</v>
      </c>
      <c r="AH1188" s="6">
        <v>-0.93874999999999997</v>
      </c>
      <c r="AI1188" s="6">
        <v>-1.4584269999999999</v>
      </c>
      <c r="AJ1188" s="6">
        <v>-1.6097360000000001</v>
      </c>
      <c r="AK1188" s="6"/>
      <c r="AL1188" s="6"/>
      <c r="AM1188" s="6" t="e">
        <f t="shared" si="93"/>
        <v>#DIV/0!</v>
      </c>
    </row>
    <row r="1189" spans="29:39" x14ac:dyDescent="0.3">
      <c r="AC1189">
        <f t="shared" si="92"/>
        <v>0</v>
      </c>
      <c r="AD1189">
        <v>1186</v>
      </c>
      <c r="AE1189" s="4">
        <f t="shared" si="90"/>
        <v>41936</v>
      </c>
      <c r="AF1189" s="6" t="e">
        <f t="shared" si="91"/>
        <v>#DIV/0!</v>
      </c>
      <c r="AG1189" s="4">
        <v>41936</v>
      </c>
      <c r="AH1189" s="6">
        <v>-0.21828600000000001</v>
      </c>
      <c r="AI1189" s="6">
        <v>0.40870800000000002</v>
      </c>
      <c r="AJ1189" s="6">
        <v>0.19295200000000001</v>
      </c>
      <c r="AK1189" s="6"/>
      <c r="AL1189" s="6"/>
      <c r="AM1189" s="6" t="e">
        <f t="shared" si="93"/>
        <v>#DIV/0!</v>
      </c>
    </row>
    <row r="1190" spans="29:39" x14ac:dyDescent="0.3">
      <c r="AC1190">
        <f t="shared" si="92"/>
        <v>0</v>
      </c>
      <c r="AD1190">
        <v>1187</v>
      </c>
      <c r="AE1190" s="4">
        <f t="shared" si="90"/>
        <v>41939</v>
      </c>
      <c r="AF1190" s="6" t="e">
        <f t="shared" si="91"/>
        <v>#DIV/0!</v>
      </c>
      <c r="AG1190" s="4">
        <v>41939</v>
      </c>
      <c r="AH1190" s="6">
        <v>-0.91496</v>
      </c>
      <c r="AI1190" s="6">
        <v>0.72993600000000003</v>
      </c>
      <c r="AJ1190" s="6">
        <v>1.0924400000000001</v>
      </c>
      <c r="AK1190" s="6"/>
      <c r="AL1190" s="6"/>
      <c r="AM1190" s="6" t="e">
        <f t="shared" si="93"/>
        <v>#DIV/0!</v>
      </c>
    </row>
    <row r="1191" spans="29:39" x14ac:dyDescent="0.3">
      <c r="AC1191">
        <f t="shared" si="92"/>
        <v>0</v>
      </c>
      <c r="AD1191">
        <v>1188</v>
      </c>
      <c r="AE1191" s="4">
        <f t="shared" si="90"/>
        <v>41940</v>
      </c>
      <c r="AF1191" s="6" t="e">
        <f t="shared" si="91"/>
        <v>#DIV/0!</v>
      </c>
      <c r="AG1191" s="4">
        <v>41940</v>
      </c>
      <c r="AH1191" s="6">
        <v>2.0187590000000002</v>
      </c>
      <c r="AI1191" s="6">
        <v>2.4001779999999999</v>
      </c>
      <c r="AJ1191" s="6">
        <v>2.6109239999999998</v>
      </c>
      <c r="AK1191" s="6"/>
      <c r="AL1191" s="6"/>
      <c r="AM1191" s="6" t="e">
        <f t="shared" si="93"/>
        <v>#DIV/0!</v>
      </c>
    </row>
    <row r="1192" spans="29:39" x14ac:dyDescent="0.3">
      <c r="AC1192">
        <f t="shared" si="92"/>
        <v>0</v>
      </c>
      <c r="AD1192">
        <v>1189</v>
      </c>
      <c r="AE1192" s="4">
        <f t="shared" si="90"/>
        <v>41941</v>
      </c>
      <c r="AF1192" s="6" t="e">
        <f t="shared" si="91"/>
        <v>#DIV/0!</v>
      </c>
      <c r="AG1192" s="4">
        <v>41941</v>
      </c>
      <c r="AH1192" s="6">
        <v>1.4371529999999999</v>
      </c>
      <c r="AI1192" s="6">
        <v>1.356358</v>
      </c>
      <c r="AJ1192" s="6">
        <v>1.347038</v>
      </c>
      <c r="AK1192" s="6"/>
      <c r="AL1192" s="6"/>
      <c r="AM1192" s="6" t="e">
        <f t="shared" si="93"/>
        <v>#DIV/0!</v>
      </c>
    </row>
    <row r="1193" spans="29:39" x14ac:dyDescent="0.3">
      <c r="AC1193">
        <f t="shared" si="92"/>
        <v>0</v>
      </c>
      <c r="AD1193">
        <v>1190</v>
      </c>
      <c r="AE1193" s="4">
        <f t="shared" si="90"/>
        <v>41942</v>
      </c>
      <c r="AF1193" s="6" t="e">
        <f t="shared" si="91"/>
        <v>#DIV/0!</v>
      </c>
      <c r="AG1193" s="4">
        <v>41942</v>
      </c>
      <c r="AH1193" s="6">
        <v>0.71555500000000005</v>
      </c>
      <c r="AI1193" s="6">
        <v>1.7528999999999999E-2</v>
      </c>
      <c r="AJ1193" s="6">
        <v>-8.1819000000000003E-2</v>
      </c>
      <c r="AK1193" s="6"/>
      <c r="AL1193" s="6"/>
      <c r="AM1193" s="6" t="e">
        <f t="shared" si="93"/>
        <v>#DIV/0!</v>
      </c>
    </row>
    <row r="1194" spans="29:39" x14ac:dyDescent="0.3">
      <c r="AC1194">
        <f t="shared" si="92"/>
        <v>0</v>
      </c>
      <c r="AD1194">
        <v>1191</v>
      </c>
      <c r="AE1194" s="4">
        <f t="shared" si="90"/>
        <v>41943</v>
      </c>
      <c r="AF1194" s="6" t="e">
        <f t="shared" si="91"/>
        <v>#DIV/0!</v>
      </c>
      <c r="AG1194" s="4">
        <v>41943</v>
      </c>
      <c r="AH1194" s="6">
        <v>1.595836</v>
      </c>
      <c r="AI1194" s="6">
        <v>-0.124463</v>
      </c>
      <c r="AJ1194" s="6">
        <v>-0.52835900000000002</v>
      </c>
      <c r="AK1194" s="6"/>
      <c r="AL1194" s="6"/>
      <c r="AM1194" s="6" t="e">
        <f t="shared" si="93"/>
        <v>#DIV/0!</v>
      </c>
    </row>
    <row r="1195" spans="29:39" x14ac:dyDescent="0.3">
      <c r="AC1195">
        <f t="shared" si="92"/>
        <v>0</v>
      </c>
      <c r="AD1195">
        <v>1192</v>
      </c>
      <c r="AE1195" s="4">
        <f t="shared" si="90"/>
        <v>41946</v>
      </c>
      <c r="AF1195" s="6" t="e">
        <f t="shared" si="91"/>
        <v>#DIV/0!</v>
      </c>
      <c r="AG1195" s="4">
        <v>41946</v>
      </c>
      <c r="AH1195" s="6">
        <v>0.16835900000000001</v>
      </c>
      <c r="AI1195" s="6">
        <v>0.84794400000000003</v>
      </c>
      <c r="AJ1195" s="6">
        <v>1.085315</v>
      </c>
      <c r="AK1195" s="6"/>
      <c r="AL1195" s="6"/>
      <c r="AM1195" s="6" t="e">
        <f t="shared" si="93"/>
        <v>#DIV/0!</v>
      </c>
    </row>
    <row r="1196" spans="29:39" x14ac:dyDescent="0.3">
      <c r="AC1196">
        <f t="shared" si="92"/>
        <v>0</v>
      </c>
      <c r="AD1196">
        <v>1193</v>
      </c>
      <c r="AE1196" s="4">
        <f t="shared" si="90"/>
        <v>41947</v>
      </c>
      <c r="AF1196" s="6" t="e">
        <f t="shared" si="91"/>
        <v>#DIV/0!</v>
      </c>
      <c r="AG1196" s="4">
        <v>41947</v>
      </c>
      <c r="AH1196" s="6">
        <v>2.4834999999999999E-2</v>
      </c>
      <c r="AI1196" s="6">
        <v>-0.50168100000000004</v>
      </c>
      <c r="AJ1196" s="6">
        <v>-0.703905</v>
      </c>
      <c r="AK1196" s="6"/>
      <c r="AL1196" s="6"/>
      <c r="AM1196" s="6" t="e">
        <f t="shared" si="93"/>
        <v>#DIV/0!</v>
      </c>
    </row>
    <row r="1197" spans="29:39" x14ac:dyDescent="0.3">
      <c r="AC1197">
        <f t="shared" si="92"/>
        <v>0</v>
      </c>
      <c r="AD1197">
        <v>1194</v>
      </c>
      <c r="AE1197" s="4">
        <f t="shared" si="90"/>
        <v>41948</v>
      </c>
      <c r="AF1197" s="6" t="e">
        <f t="shared" si="91"/>
        <v>#DIV/0!</v>
      </c>
      <c r="AG1197" s="4">
        <v>41948</v>
      </c>
      <c r="AH1197" s="6">
        <v>-0.38692100000000001</v>
      </c>
      <c r="AI1197" s="6">
        <v>-0.16042899999999999</v>
      </c>
      <c r="AJ1197" s="6">
        <v>-7.3348999999999998E-2</v>
      </c>
      <c r="AK1197" s="6"/>
      <c r="AL1197" s="6"/>
      <c r="AM1197" s="6" t="e">
        <f t="shared" si="93"/>
        <v>#DIV/0!</v>
      </c>
    </row>
    <row r="1198" spans="29:39" x14ac:dyDescent="0.3">
      <c r="AC1198">
        <f t="shared" si="92"/>
        <v>0</v>
      </c>
      <c r="AD1198">
        <v>1195</v>
      </c>
      <c r="AE1198" s="4">
        <f t="shared" si="90"/>
        <v>41949</v>
      </c>
      <c r="AF1198" s="6" t="e">
        <f t="shared" si="91"/>
        <v>#DIV/0!</v>
      </c>
      <c r="AG1198" s="4">
        <v>41949</v>
      </c>
      <c r="AH1198" s="6">
        <v>0.104616</v>
      </c>
      <c r="AI1198" s="6">
        <v>0.58863600000000005</v>
      </c>
      <c r="AJ1198" s="6">
        <v>0.99477400000000005</v>
      </c>
      <c r="AK1198" s="6"/>
      <c r="AL1198" s="6"/>
      <c r="AM1198" s="6" t="e">
        <f t="shared" si="93"/>
        <v>#DIV/0!</v>
      </c>
    </row>
    <row r="1199" spans="29:39" x14ac:dyDescent="0.3">
      <c r="AC1199">
        <f t="shared" si="92"/>
        <v>0</v>
      </c>
      <c r="AD1199">
        <v>1196</v>
      </c>
      <c r="AE1199" s="4">
        <f t="shared" si="90"/>
        <v>41950</v>
      </c>
      <c r="AF1199" s="6" t="e">
        <f t="shared" si="91"/>
        <v>#DIV/0!</v>
      </c>
      <c r="AG1199" s="4">
        <v>41950</v>
      </c>
      <c r="AH1199" s="6">
        <v>-0.15618099999999999</v>
      </c>
      <c r="AI1199" s="6">
        <v>-0.94715300000000002</v>
      </c>
      <c r="AJ1199" s="6">
        <v>-0.97031500000000004</v>
      </c>
      <c r="AK1199" s="6"/>
      <c r="AL1199" s="6"/>
      <c r="AM1199" s="6" t="e">
        <f t="shared" si="93"/>
        <v>#DIV/0!</v>
      </c>
    </row>
    <row r="1200" spans="29:39" x14ac:dyDescent="0.3">
      <c r="AC1200">
        <f t="shared" si="92"/>
        <v>0</v>
      </c>
      <c r="AD1200">
        <v>1197</v>
      </c>
      <c r="AE1200" s="4">
        <f t="shared" si="90"/>
        <v>41953</v>
      </c>
      <c r="AF1200" s="6" t="e">
        <f t="shared" si="91"/>
        <v>#DIV/0!</v>
      </c>
      <c r="AG1200" s="4">
        <v>41953</v>
      </c>
      <c r="AH1200" s="6">
        <v>2.5408919999999999</v>
      </c>
      <c r="AI1200" s="6">
        <v>1.0798319999999999</v>
      </c>
      <c r="AJ1200" s="6">
        <v>0.296155</v>
      </c>
      <c r="AK1200" s="6"/>
      <c r="AL1200" s="6"/>
      <c r="AM1200" s="6" t="e">
        <f t="shared" si="93"/>
        <v>#DIV/0!</v>
      </c>
    </row>
    <row r="1201" spans="29:39" x14ac:dyDescent="0.3">
      <c r="AC1201">
        <f t="shared" si="92"/>
        <v>0</v>
      </c>
      <c r="AD1201">
        <v>1198</v>
      </c>
      <c r="AE1201" s="4">
        <f t="shared" si="90"/>
        <v>41954</v>
      </c>
      <c r="AF1201" s="6" t="e">
        <f t="shared" si="91"/>
        <v>#DIV/0!</v>
      </c>
      <c r="AG1201" s="4">
        <v>41954</v>
      </c>
      <c r="AH1201" s="6">
        <v>-0.27742600000000001</v>
      </c>
      <c r="AI1201" s="6">
        <v>-2.9719929999999999</v>
      </c>
      <c r="AJ1201" s="6">
        <v>-3.5796679999999999</v>
      </c>
      <c r="AK1201" s="6"/>
      <c r="AL1201" s="6"/>
      <c r="AM1201" s="6" t="e">
        <f t="shared" si="93"/>
        <v>#DIV/0!</v>
      </c>
    </row>
    <row r="1202" spans="29:39" x14ac:dyDescent="0.3">
      <c r="AC1202">
        <f t="shared" si="92"/>
        <v>0</v>
      </c>
      <c r="AD1202">
        <v>1199</v>
      </c>
      <c r="AE1202" s="4">
        <f t="shared" si="90"/>
        <v>41955</v>
      </c>
      <c r="AF1202" s="6" t="e">
        <f t="shared" si="91"/>
        <v>#DIV/0!</v>
      </c>
      <c r="AG1202" s="4">
        <v>41955</v>
      </c>
      <c r="AH1202" s="6">
        <v>1.3955219999999999</v>
      </c>
      <c r="AI1202" s="6">
        <v>1.718823</v>
      </c>
      <c r="AJ1202" s="6">
        <v>1.611389</v>
      </c>
      <c r="AK1202" s="6"/>
      <c r="AL1202" s="6"/>
      <c r="AM1202" s="6" t="e">
        <f t="shared" si="93"/>
        <v>#DIV/0!</v>
      </c>
    </row>
    <row r="1203" spans="29:39" x14ac:dyDescent="0.3">
      <c r="AC1203">
        <f t="shared" si="92"/>
        <v>0</v>
      </c>
      <c r="AD1203">
        <v>1200</v>
      </c>
      <c r="AE1203" s="4">
        <f t="shared" si="90"/>
        <v>41956</v>
      </c>
      <c r="AF1203" s="6" t="e">
        <f t="shared" si="91"/>
        <v>#DIV/0!</v>
      </c>
      <c r="AG1203" s="4">
        <v>41956</v>
      </c>
      <c r="AH1203" s="6">
        <v>-0.56153500000000001</v>
      </c>
      <c r="AI1203" s="6">
        <v>-0.880355</v>
      </c>
      <c r="AJ1203" s="6">
        <v>-1.5731219999999999</v>
      </c>
      <c r="AK1203" s="6"/>
      <c r="AL1203" s="6"/>
      <c r="AM1203" s="6" t="e">
        <f t="shared" si="93"/>
        <v>#DIV/0!</v>
      </c>
    </row>
    <row r="1204" spans="29:39" x14ac:dyDescent="0.3">
      <c r="AC1204">
        <f t="shared" si="92"/>
        <v>0</v>
      </c>
      <c r="AD1204">
        <v>1201</v>
      </c>
      <c r="AE1204" s="4">
        <f t="shared" si="90"/>
        <v>41957</v>
      </c>
      <c r="AF1204" s="6" t="e">
        <f t="shared" si="91"/>
        <v>#DIV/0!</v>
      </c>
      <c r="AG1204" s="4">
        <v>41957</v>
      </c>
      <c r="AH1204" s="6">
        <v>5.2059000000000001E-2</v>
      </c>
      <c r="AI1204" s="6">
        <v>-0.24507899999999999</v>
      </c>
      <c r="AJ1204" s="6">
        <v>-0.23799000000000001</v>
      </c>
      <c r="AK1204" s="6"/>
      <c r="AL1204" s="6"/>
      <c r="AM1204" s="6" t="e">
        <f t="shared" si="93"/>
        <v>#DIV/0!</v>
      </c>
    </row>
    <row r="1205" spans="29:39" x14ac:dyDescent="0.3">
      <c r="AC1205">
        <f t="shared" si="92"/>
        <v>0</v>
      </c>
      <c r="AD1205">
        <v>1202</v>
      </c>
      <c r="AE1205" s="4">
        <f t="shared" si="90"/>
        <v>41960</v>
      </c>
      <c r="AF1205" s="6" t="e">
        <f t="shared" si="91"/>
        <v>#DIV/0!</v>
      </c>
      <c r="AG1205" s="4">
        <v>41960</v>
      </c>
      <c r="AH1205" s="6">
        <v>-0.54209600000000002</v>
      </c>
      <c r="AI1205" s="6">
        <v>0.99512999999999996</v>
      </c>
      <c r="AJ1205" s="6">
        <v>1.520723</v>
      </c>
      <c r="AK1205" s="6"/>
      <c r="AL1205" s="6"/>
      <c r="AM1205" s="6" t="e">
        <f t="shared" si="93"/>
        <v>#DIV/0!</v>
      </c>
    </row>
    <row r="1206" spans="29:39" x14ac:dyDescent="0.3">
      <c r="AC1206">
        <f t="shared" si="92"/>
        <v>0</v>
      </c>
      <c r="AD1206">
        <v>1203</v>
      </c>
      <c r="AE1206" s="4">
        <f t="shared" si="90"/>
        <v>41961</v>
      </c>
      <c r="AF1206" s="6" t="e">
        <f t="shared" si="91"/>
        <v>#DIV/0!</v>
      </c>
      <c r="AG1206" s="4">
        <v>41961</v>
      </c>
      <c r="AH1206" s="6">
        <v>-1.000545</v>
      </c>
      <c r="AI1206" s="6">
        <v>0.18523899999999999</v>
      </c>
      <c r="AJ1206" s="6">
        <v>0.63415900000000003</v>
      </c>
      <c r="AK1206" s="6"/>
      <c r="AL1206" s="6"/>
      <c r="AM1206" s="6" t="e">
        <f t="shared" si="93"/>
        <v>#DIV/0!</v>
      </c>
    </row>
    <row r="1207" spans="29:39" x14ac:dyDescent="0.3">
      <c r="AC1207">
        <f t="shared" si="92"/>
        <v>0</v>
      </c>
      <c r="AD1207">
        <v>1204</v>
      </c>
      <c r="AE1207" s="4">
        <f t="shared" si="90"/>
        <v>41962</v>
      </c>
      <c r="AF1207" s="6" t="e">
        <f t="shared" si="91"/>
        <v>#DIV/0!</v>
      </c>
      <c r="AG1207" s="4">
        <v>41962</v>
      </c>
      <c r="AH1207" s="6">
        <v>-0.16498699999999999</v>
      </c>
      <c r="AI1207" s="6">
        <v>0.351273</v>
      </c>
      <c r="AJ1207" s="6">
        <v>0.88019899999999995</v>
      </c>
      <c r="AK1207" s="6"/>
      <c r="AL1207" s="6"/>
      <c r="AM1207" s="6" t="e">
        <f t="shared" si="93"/>
        <v>#DIV/0!</v>
      </c>
    </row>
    <row r="1208" spans="29:39" x14ac:dyDescent="0.3">
      <c r="AC1208">
        <f t="shared" si="92"/>
        <v>0</v>
      </c>
      <c r="AD1208">
        <v>1205</v>
      </c>
      <c r="AE1208" s="4">
        <f t="shared" si="90"/>
        <v>41963</v>
      </c>
      <c r="AF1208" s="6" t="e">
        <f t="shared" si="91"/>
        <v>#DIV/0!</v>
      </c>
      <c r="AG1208" s="4">
        <v>41963</v>
      </c>
      <c r="AH1208" s="6">
        <v>-4.8869999999999999E-3</v>
      </c>
      <c r="AI1208" s="6">
        <v>-0.21012600000000001</v>
      </c>
      <c r="AJ1208" s="6">
        <v>-0.123402</v>
      </c>
      <c r="AK1208" s="6"/>
      <c r="AL1208" s="6"/>
      <c r="AM1208" s="6" t="e">
        <f t="shared" si="93"/>
        <v>#DIV/0!</v>
      </c>
    </row>
    <row r="1209" spans="29:39" x14ac:dyDescent="0.3">
      <c r="AC1209">
        <f t="shared" si="92"/>
        <v>0</v>
      </c>
      <c r="AD1209">
        <v>1206</v>
      </c>
      <c r="AE1209" s="4">
        <f t="shared" si="90"/>
        <v>41964</v>
      </c>
      <c r="AF1209" s="6" t="e">
        <f t="shared" si="91"/>
        <v>#DIV/0!</v>
      </c>
      <c r="AG1209" s="4">
        <v>41964</v>
      </c>
      <c r="AH1209" s="6">
        <v>1.827126</v>
      </c>
      <c r="AI1209" s="6">
        <v>1.1085659999999999</v>
      </c>
      <c r="AJ1209" s="6">
        <v>0.886772</v>
      </c>
      <c r="AK1209" s="6"/>
      <c r="AL1209" s="6"/>
      <c r="AM1209" s="6" t="e">
        <f t="shared" si="93"/>
        <v>#DIV/0!</v>
      </c>
    </row>
    <row r="1210" spans="29:39" x14ac:dyDescent="0.3">
      <c r="AC1210">
        <f t="shared" si="92"/>
        <v>0</v>
      </c>
      <c r="AD1210">
        <v>1207</v>
      </c>
      <c r="AE1210" s="4">
        <f t="shared" si="90"/>
        <v>41967</v>
      </c>
      <c r="AF1210" s="6" t="e">
        <f t="shared" si="91"/>
        <v>#DIV/0!</v>
      </c>
      <c r="AG1210" s="4">
        <v>41967</v>
      </c>
      <c r="AH1210" s="6">
        <v>2.5470929999999998</v>
      </c>
      <c r="AI1210" s="6">
        <v>1.6371709999999999</v>
      </c>
      <c r="AJ1210" s="6">
        <v>0.83721999999999996</v>
      </c>
      <c r="AK1210" s="6"/>
      <c r="AL1210" s="6"/>
      <c r="AM1210" s="6" t="e">
        <f t="shared" si="93"/>
        <v>#DIV/0!</v>
      </c>
    </row>
    <row r="1211" spans="29:39" x14ac:dyDescent="0.3">
      <c r="AC1211">
        <f t="shared" si="92"/>
        <v>0</v>
      </c>
      <c r="AD1211">
        <v>1208</v>
      </c>
      <c r="AE1211" s="4">
        <f t="shared" si="90"/>
        <v>41968</v>
      </c>
      <c r="AF1211" s="6" t="e">
        <f t="shared" si="91"/>
        <v>#DIV/0!</v>
      </c>
      <c r="AG1211" s="4">
        <v>41968</v>
      </c>
      <c r="AH1211" s="6">
        <v>1.3703080000000001</v>
      </c>
      <c r="AI1211" s="6">
        <v>1.503916</v>
      </c>
      <c r="AJ1211" s="6">
        <v>1.5798289999999999</v>
      </c>
      <c r="AK1211" s="6"/>
      <c r="AL1211" s="6"/>
      <c r="AM1211" s="6" t="e">
        <f t="shared" si="93"/>
        <v>#DIV/0!</v>
      </c>
    </row>
    <row r="1212" spans="29:39" x14ac:dyDescent="0.3">
      <c r="AC1212">
        <f t="shared" si="92"/>
        <v>0</v>
      </c>
      <c r="AD1212">
        <v>1209</v>
      </c>
      <c r="AE1212" s="4">
        <f t="shared" si="90"/>
        <v>41969</v>
      </c>
      <c r="AF1212" s="6" t="e">
        <f t="shared" si="91"/>
        <v>#DIV/0!</v>
      </c>
      <c r="AG1212" s="4">
        <v>41969</v>
      </c>
      <c r="AH1212" s="6">
        <v>1.394755</v>
      </c>
      <c r="AI1212" s="6">
        <v>0.48581600000000003</v>
      </c>
      <c r="AJ1212" s="6">
        <v>0.66794500000000001</v>
      </c>
      <c r="AK1212" s="6"/>
      <c r="AL1212" s="6"/>
      <c r="AM1212" s="6" t="e">
        <f t="shared" si="93"/>
        <v>#DIV/0!</v>
      </c>
    </row>
    <row r="1213" spans="29:39" x14ac:dyDescent="0.3">
      <c r="AC1213">
        <f t="shared" si="92"/>
        <v>0</v>
      </c>
      <c r="AD1213">
        <v>1210</v>
      </c>
      <c r="AE1213" s="4">
        <f t="shared" si="90"/>
        <v>41970</v>
      </c>
      <c r="AF1213" s="6" t="e">
        <f t="shared" si="91"/>
        <v>#DIV/0!</v>
      </c>
      <c r="AG1213" s="4">
        <v>41970</v>
      </c>
      <c r="AH1213" s="6">
        <v>1.1557759999999999</v>
      </c>
      <c r="AI1213" s="6">
        <v>0.713032</v>
      </c>
      <c r="AJ1213" s="6">
        <v>0.58191400000000004</v>
      </c>
      <c r="AK1213" s="6"/>
      <c r="AL1213" s="6"/>
      <c r="AM1213" s="6" t="e">
        <f t="shared" si="93"/>
        <v>#DIV/0!</v>
      </c>
    </row>
    <row r="1214" spans="29:39" x14ac:dyDescent="0.3">
      <c r="AC1214">
        <f t="shared" si="92"/>
        <v>0</v>
      </c>
      <c r="AD1214">
        <v>1211</v>
      </c>
      <c r="AE1214" s="4">
        <f t="shared" si="90"/>
        <v>41971</v>
      </c>
      <c r="AF1214" s="6" t="e">
        <f t="shared" si="91"/>
        <v>#DIV/0!</v>
      </c>
      <c r="AG1214" s="4">
        <v>41971</v>
      </c>
      <c r="AH1214" s="6">
        <v>1.97238</v>
      </c>
      <c r="AI1214" s="6">
        <v>-0.116579</v>
      </c>
      <c r="AJ1214" s="6">
        <v>8.5297999999999999E-2</v>
      </c>
      <c r="AK1214" s="6"/>
      <c r="AL1214" s="6"/>
      <c r="AM1214" s="6" t="e">
        <f t="shared" si="93"/>
        <v>#DIV/0!</v>
      </c>
    </row>
    <row r="1215" spans="29:39" x14ac:dyDescent="0.3">
      <c r="AC1215">
        <f t="shared" si="92"/>
        <v>0</v>
      </c>
      <c r="AD1215">
        <v>1212</v>
      </c>
      <c r="AE1215" s="4">
        <f t="shared" si="90"/>
        <v>41974</v>
      </c>
      <c r="AF1215" s="6" t="e">
        <f t="shared" si="91"/>
        <v>#DIV/0!</v>
      </c>
      <c r="AG1215" s="4">
        <v>41974</v>
      </c>
      <c r="AH1215" s="6">
        <v>0.391374</v>
      </c>
      <c r="AI1215" s="6">
        <v>-0.70783799999999997</v>
      </c>
      <c r="AJ1215" s="6">
        <v>-1.3220529999999999</v>
      </c>
      <c r="AK1215" s="6"/>
      <c r="AL1215" s="6"/>
      <c r="AM1215" s="6" t="e">
        <f t="shared" si="93"/>
        <v>#DIV/0!</v>
      </c>
    </row>
    <row r="1216" spans="29:39" x14ac:dyDescent="0.3">
      <c r="AC1216">
        <f t="shared" si="92"/>
        <v>0</v>
      </c>
      <c r="AD1216">
        <v>1213</v>
      </c>
      <c r="AE1216" s="4">
        <f t="shared" si="90"/>
        <v>41975</v>
      </c>
      <c r="AF1216" s="6" t="e">
        <f t="shared" si="91"/>
        <v>#DIV/0!</v>
      </c>
      <c r="AG1216" s="4">
        <v>41975</v>
      </c>
      <c r="AH1216" s="6">
        <v>3.6927279999999998</v>
      </c>
      <c r="AI1216" s="6">
        <v>1.334795</v>
      </c>
      <c r="AJ1216" s="6">
        <v>1.018262</v>
      </c>
      <c r="AK1216" s="6"/>
      <c r="AL1216" s="6"/>
      <c r="AM1216" s="6" t="e">
        <f t="shared" si="93"/>
        <v>#DIV/0!</v>
      </c>
    </row>
    <row r="1217" spans="29:39" x14ac:dyDescent="0.3">
      <c r="AC1217">
        <f t="shared" si="92"/>
        <v>0</v>
      </c>
      <c r="AD1217">
        <v>1214</v>
      </c>
      <c r="AE1217" s="4">
        <f t="shared" si="90"/>
        <v>41976</v>
      </c>
      <c r="AF1217" s="6" t="e">
        <f t="shared" si="91"/>
        <v>#DIV/0!</v>
      </c>
      <c r="AG1217" s="4">
        <v>41976</v>
      </c>
      <c r="AH1217" s="6">
        <v>1.491446</v>
      </c>
      <c r="AI1217" s="6">
        <v>1.1624099999999999</v>
      </c>
      <c r="AJ1217" s="6">
        <v>0.87341100000000005</v>
      </c>
      <c r="AK1217" s="6"/>
      <c r="AL1217" s="6"/>
      <c r="AM1217" s="6" t="e">
        <f t="shared" si="93"/>
        <v>#DIV/0!</v>
      </c>
    </row>
    <row r="1218" spans="29:39" x14ac:dyDescent="0.3">
      <c r="AC1218">
        <f t="shared" si="92"/>
        <v>0</v>
      </c>
      <c r="AD1218">
        <v>1215</v>
      </c>
      <c r="AE1218" s="4">
        <f t="shared" si="90"/>
        <v>41977</v>
      </c>
      <c r="AF1218" s="6" t="e">
        <f t="shared" si="91"/>
        <v>#DIV/0!</v>
      </c>
      <c r="AG1218" s="4">
        <v>41977</v>
      </c>
      <c r="AH1218" s="6">
        <v>4.6099319999999997</v>
      </c>
      <c r="AI1218" s="6">
        <v>2.115694</v>
      </c>
      <c r="AJ1218" s="6">
        <v>1.402604</v>
      </c>
      <c r="AK1218" s="6"/>
      <c r="AL1218" s="6"/>
      <c r="AM1218" s="6" t="e">
        <f t="shared" si="93"/>
        <v>#DIV/0!</v>
      </c>
    </row>
    <row r="1219" spans="29:39" x14ac:dyDescent="0.3">
      <c r="AC1219">
        <f t="shared" si="92"/>
        <v>0</v>
      </c>
      <c r="AD1219">
        <v>1216</v>
      </c>
      <c r="AE1219" s="4">
        <f t="shared" si="90"/>
        <v>41978</v>
      </c>
      <c r="AF1219" s="6" t="e">
        <f t="shared" si="91"/>
        <v>#DIV/0!</v>
      </c>
      <c r="AG1219" s="4">
        <v>41978</v>
      </c>
      <c r="AH1219" s="6">
        <v>0.66145900000000002</v>
      </c>
      <c r="AI1219" s="6">
        <v>-2.1656420000000001</v>
      </c>
      <c r="AJ1219" s="6">
        <v>-2.1684480000000002</v>
      </c>
      <c r="AK1219" s="6"/>
      <c r="AL1219" s="6"/>
      <c r="AM1219" s="6" t="e">
        <f t="shared" si="93"/>
        <v>#DIV/0!</v>
      </c>
    </row>
    <row r="1220" spans="29:39" x14ac:dyDescent="0.3">
      <c r="AC1220">
        <f t="shared" si="92"/>
        <v>0</v>
      </c>
      <c r="AD1220">
        <v>1217</v>
      </c>
      <c r="AE1220" s="4">
        <f t="shared" si="90"/>
        <v>41981</v>
      </c>
      <c r="AF1220" s="6" t="e">
        <f t="shared" si="91"/>
        <v>#DIV/0!</v>
      </c>
      <c r="AG1220" s="4">
        <v>41981</v>
      </c>
      <c r="AH1220" s="6">
        <v>4.0960229999999997</v>
      </c>
      <c r="AI1220" s="6">
        <v>1.4770080000000001</v>
      </c>
      <c r="AJ1220" s="6">
        <v>-7.0844000000000004E-2</v>
      </c>
      <c r="AK1220" s="6"/>
      <c r="AL1220" s="6"/>
      <c r="AM1220" s="6" t="e">
        <f t="shared" si="93"/>
        <v>#DIV/0!</v>
      </c>
    </row>
    <row r="1221" spans="29:39" x14ac:dyDescent="0.3">
      <c r="AC1221">
        <f t="shared" si="92"/>
        <v>0</v>
      </c>
      <c r="AD1221">
        <v>1218</v>
      </c>
      <c r="AE1221" s="4">
        <f t="shared" ref="AE1221:AE1284" si="94">AG1221</f>
        <v>41982</v>
      </c>
      <c r="AF1221" s="6" t="e">
        <f t="shared" ref="AF1221:AF1284" si="95">AM1221</f>
        <v>#DIV/0!</v>
      </c>
      <c r="AG1221" s="4">
        <v>41982</v>
      </c>
      <c r="AH1221" s="6">
        <v>-4.4873450000000004</v>
      </c>
      <c r="AI1221" s="6">
        <v>-4.0140599999999997</v>
      </c>
      <c r="AJ1221" s="6">
        <v>-4.5860390000000004</v>
      </c>
      <c r="AK1221" s="6"/>
      <c r="AL1221" s="6"/>
      <c r="AM1221" s="6" t="e">
        <f t="shared" si="93"/>
        <v>#DIV/0!</v>
      </c>
    </row>
    <row r="1222" spans="29:39" x14ac:dyDescent="0.3">
      <c r="AC1222">
        <f t="shared" ref="AC1222:AC1285" si="96">IF(AE1222&lt;=AE1221,1,0)</f>
        <v>0</v>
      </c>
      <c r="AD1222">
        <v>1219</v>
      </c>
      <c r="AE1222" s="4">
        <f t="shared" si="94"/>
        <v>41983</v>
      </c>
      <c r="AF1222" s="6" t="e">
        <f t="shared" si="95"/>
        <v>#DIV/0!</v>
      </c>
      <c r="AG1222" s="4">
        <v>41983</v>
      </c>
      <c r="AH1222" s="6">
        <v>3.6896110000000002</v>
      </c>
      <c r="AI1222" s="6">
        <v>3.4394040000000001</v>
      </c>
      <c r="AJ1222" s="6">
        <v>3.3343739999999999</v>
      </c>
      <c r="AK1222" s="6"/>
      <c r="AL1222" s="6"/>
      <c r="AM1222" s="6" t="e">
        <f t="shared" ref="AM1222:AM1285" si="97">(AL1222/AL1221-1)*100</f>
        <v>#DIV/0!</v>
      </c>
    </row>
    <row r="1223" spans="29:39" x14ac:dyDescent="0.3">
      <c r="AC1223">
        <f t="shared" si="96"/>
        <v>0</v>
      </c>
      <c r="AD1223">
        <v>1220</v>
      </c>
      <c r="AE1223" s="4">
        <f t="shared" si="94"/>
        <v>41984</v>
      </c>
      <c r="AF1223" s="6" t="e">
        <f t="shared" si="95"/>
        <v>#DIV/0!</v>
      </c>
      <c r="AG1223" s="4">
        <v>41984</v>
      </c>
      <c r="AH1223" s="6">
        <v>-1.196134</v>
      </c>
      <c r="AI1223" s="6">
        <v>1.4950600000000001</v>
      </c>
      <c r="AJ1223" s="6">
        <v>1.5157670000000001</v>
      </c>
      <c r="AK1223" s="6"/>
      <c r="AL1223" s="6"/>
      <c r="AM1223" s="6" t="e">
        <f t="shared" si="97"/>
        <v>#DIV/0!</v>
      </c>
    </row>
    <row r="1224" spans="29:39" x14ac:dyDescent="0.3">
      <c r="AC1224">
        <f t="shared" si="96"/>
        <v>0</v>
      </c>
      <c r="AD1224">
        <v>1221</v>
      </c>
      <c r="AE1224" s="4">
        <f t="shared" si="94"/>
        <v>41985</v>
      </c>
      <c r="AF1224" s="6" t="e">
        <f t="shared" si="95"/>
        <v>#DIV/0!</v>
      </c>
      <c r="AG1224" s="4">
        <v>41985</v>
      </c>
      <c r="AH1224" s="6">
        <v>0.32092199999999999</v>
      </c>
      <c r="AI1224" s="6">
        <v>0.71055800000000002</v>
      </c>
      <c r="AJ1224" s="6">
        <v>1.2667489999999999</v>
      </c>
      <c r="AK1224" s="6"/>
      <c r="AL1224" s="6"/>
      <c r="AM1224" s="6" t="e">
        <f t="shared" si="97"/>
        <v>#DIV/0!</v>
      </c>
    </row>
    <row r="1225" spans="29:39" x14ac:dyDescent="0.3">
      <c r="AC1225">
        <f t="shared" si="96"/>
        <v>0</v>
      </c>
      <c r="AD1225">
        <v>1222</v>
      </c>
      <c r="AE1225" s="4">
        <f t="shared" si="94"/>
        <v>41988</v>
      </c>
      <c r="AF1225" s="6" t="e">
        <f t="shared" si="95"/>
        <v>#DIV/0!</v>
      </c>
      <c r="AG1225" s="4">
        <v>41988</v>
      </c>
      <c r="AH1225" s="6">
        <v>0.75162200000000001</v>
      </c>
      <c r="AI1225" s="6">
        <v>1.645616</v>
      </c>
      <c r="AJ1225" s="6">
        <v>1.7257709999999999</v>
      </c>
      <c r="AK1225" s="6"/>
      <c r="AL1225" s="6"/>
      <c r="AM1225" s="6" t="e">
        <f t="shared" si="97"/>
        <v>#DIV/0!</v>
      </c>
    </row>
    <row r="1226" spans="29:39" x14ac:dyDescent="0.3">
      <c r="AC1226">
        <f t="shared" si="96"/>
        <v>0</v>
      </c>
      <c r="AD1226">
        <v>1223</v>
      </c>
      <c r="AE1226" s="4">
        <f t="shared" si="94"/>
        <v>41989</v>
      </c>
      <c r="AF1226" s="6" t="e">
        <f t="shared" si="95"/>
        <v>#DIV/0!</v>
      </c>
      <c r="AG1226" s="4">
        <v>41989</v>
      </c>
      <c r="AH1226" s="6">
        <v>2.6785169999999998</v>
      </c>
      <c r="AI1226" s="6">
        <v>0.41364000000000001</v>
      </c>
      <c r="AJ1226" s="6">
        <v>-0.34378900000000001</v>
      </c>
      <c r="AK1226" s="6"/>
      <c r="AL1226" s="6"/>
      <c r="AM1226" s="6" t="e">
        <f t="shared" si="97"/>
        <v>#DIV/0!</v>
      </c>
    </row>
    <row r="1227" spans="29:39" x14ac:dyDescent="0.3">
      <c r="AC1227">
        <f t="shared" si="96"/>
        <v>0</v>
      </c>
      <c r="AD1227">
        <v>1224</v>
      </c>
      <c r="AE1227" s="4">
        <f t="shared" si="94"/>
        <v>41990</v>
      </c>
      <c r="AF1227" s="6" t="e">
        <f t="shared" si="95"/>
        <v>#DIV/0!</v>
      </c>
      <c r="AG1227" s="4">
        <v>41990</v>
      </c>
      <c r="AH1227" s="6">
        <v>1.731427</v>
      </c>
      <c r="AI1227" s="6">
        <v>-0.88121499999999997</v>
      </c>
      <c r="AJ1227" s="6">
        <v>-1.2680149999999999</v>
      </c>
      <c r="AK1227" s="6"/>
      <c r="AL1227" s="6"/>
      <c r="AM1227" s="6" t="e">
        <f t="shared" si="97"/>
        <v>#DIV/0!</v>
      </c>
    </row>
    <row r="1228" spans="29:39" x14ac:dyDescent="0.3">
      <c r="AC1228">
        <f t="shared" si="96"/>
        <v>0</v>
      </c>
      <c r="AD1228">
        <v>1225</v>
      </c>
      <c r="AE1228" s="4">
        <f t="shared" si="94"/>
        <v>41991</v>
      </c>
      <c r="AF1228" s="6" t="e">
        <f t="shared" si="95"/>
        <v>#DIV/0!</v>
      </c>
      <c r="AG1228" s="4">
        <v>41991</v>
      </c>
      <c r="AH1228" s="6">
        <v>-0.43655899999999997</v>
      </c>
      <c r="AI1228" s="6">
        <v>1.3658E-2</v>
      </c>
      <c r="AJ1228" s="6">
        <v>-0.156279</v>
      </c>
      <c r="AK1228" s="6"/>
      <c r="AL1228" s="6"/>
      <c r="AM1228" s="6" t="e">
        <f t="shared" si="97"/>
        <v>#DIV/0!</v>
      </c>
    </row>
    <row r="1229" spans="29:39" x14ac:dyDescent="0.3">
      <c r="AC1229">
        <f t="shared" si="96"/>
        <v>0</v>
      </c>
      <c r="AD1229">
        <v>1226</v>
      </c>
      <c r="AE1229" s="4">
        <f t="shared" si="94"/>
        <v>41992</v>
      </c>
      <c r="AF1229" s="6" t="e">
        <f t="shared" si="95"/>
        <v>#DIV/0!</v>
      </c>
      <c r="AG1229" s="4">
        <v>41992</v>
      </c>
      <c r="AH1229" s="6">
        <v>1.112995</v>
      </c>
      <c r="AI1229" s="6">
        <v>-0.61034100000000002</v>
      </c>
      <c r="AJ1229" s="6">
        <v>-1.5722499999999999</v>
      </c>
      <c r="AK1229" s="6"/>
      <c r="AL1229" s="6"/>
      <c r="AM1229" s="6" t="e">
        <f t="shared" si="97"/>
        <v>#DIV/0!</v>
      </c>
    </row>
    <row r="1230" spans="29:39" x14ac:dyDescent="0.3">
      <c r="AC1230">
        <f t="shared" si="96"/>
        <v>0</v>
      </c>
      <c r="AD1230">
        <v>1227</v>
      </c>
      <c r="AE1230" s="4">
        <f t="shared" si="94"/>
        <v>41995</v>
      </c>
      <c r="AF1230" s="6" t="e">
        <f t="shared" si="95"/>
        <v>#DIV/0!</v>
      </c>
      <c r="AG1230" s="4">
        <v>41995</v>
      </c>
      <c r="AH1230" s="6">
        <v>0.33442</v>
      </c>
      <c r="AI1230" s="6">
        <v>-3.9628559999999999</v>
      </c>
      <c r="AJ1230" s="6">
        <v>-4.9310020000000003</v>
      </c>
      <c r="AK1230" s="6"/>
      <c r="AL1230" s="6"/>
      <c r="AM1230" s="6" t="e">
        <f t="shared" si="97"/>
        <v>#DIV/0!</v>
      </c>
    </row>
    <row r="1231" spans="29:39" x14ac:dyDescent="0.3">
      <c r="AC1231">
        <f t="shared" si="96"/>
        <v>0</v>
      </c>
      <c r="AD1231">
        <v>1228</v>
      </c>
      <c r="AE1231" s="4">
        <f t="shared" si="94"/>
        <v>41996</v>
      </c>
      <c r="AF1231" s="6" t="e">
        <f t="shared" si="95"/>
        <v>#DIV/0!</v>
      </c>
      <c r="AG1231" s="4">
        <v>41996</v>
      </c>
      <c r="AH1231" s="6">
        <v>-2.0491199999999998</v>
      </c>
      <c r="AI1231" s="6">
        <v>-2.1014629999999999</v>
      </c>
      <c r="AJ1231" s="6">
        <v>-1.588346</v>
      </c>
      <c r="AK1231" s="6"/>
      <c r="AL1231" s="6"/>
      <c r="AM1231" s="6" t="e">
        <f t="shared" si="97"/>
        <v>#DIV/0!</v>
      </c>
    </row>
    <row r="1232" spans="29:39" x14ac:dyDescent="0.3">
      <c r="AC1232">
        <f t="shared" si="96"/>
        <v>0</v>
      </c>
      <c r="AD1232">
        <v>1229</v>
      </c>
      <c r="AE1232" s="4">
        <f t="shared" si="94"/>
        <v>41997</v>
      </c>
      <c r="AF1232" s="6" t="e">
        <f t="shared" si="95"/>
        <v>#DIV/0!</v>
      </c>
      <c r="AG1232" s="4">
        <v>41997</v>
      </c>
      <c r="AH1232" s="6">
        <v>-2.843343</v>
      </c>
      <c r="AI1232" s="6">
        <v>1.321653</v>
      </c>
      <c r="AJ1232" s="6">
        <v>2.1833640000000001</v>
      </c>
      <c r="AK1232" s="6"/>
      <c r="AL1232" s="6"/>
      <c r="AM1232" s="6" t="e">
        <f t="shared" si="97"/>
        <v>#DIV/0!</v>
      </c>
    </row>
    <row r="1233" spans="29:39" x14ac:dyDescent="0.3">
      <c r="AC1233">
        <f t="shared" si="96"/>
        <v>0</v>
      </c>
      <c r="AD1233">
        <v>1230</v>
      </c>
      <c r="AE1233" s="4">
        <f t="shared" si="94"/>
        <v>41998</v>
      </c>
      <c r="AF1233" s="6" t="e">
        <f t="shared" si="95"/>
        <v>#DIV/0!</v>
      </c>
      <c r="AG1233" s="4">
        <v>41998</v>
      </c>
      <c r="AH1233" s="6">
        <v>3.251439</v>
      </c>
      <c r="AI1233" s="6">
        <v>1.9420550000000001</v>
      </c>
      <c r="AJ1233" s="6">
        <v>1.0987709999999999</v>
      </c>
      <c r="AK1233" s="6"/>
      <c r="AL1233" s="6"/>
      <c r="AM1233" s="6" t="e">
        <f t="shared" si="97"/>
        <v>#DIV/0!</v>
      </c>
    </row>
    <row r="1234" spans="29:39" x14ac:dyDescent="0.3">
      <c r="AC1234">
        <f t="shared" si="96"/>
        <v>0</v>
      </c>
      <c r="AD1234">
        <v>1231</v>
      </c>
      <c r="AE1234" s="4">
        <f t="shared" si="94"/>
        <v>41999</v>
      </c>
      <c r="AF1234" s="6" t="e">
        <f t="shared" si="95"/>
        <v>#DIV/0!</v>
      </c>
      <c r="AG1234" s="4">
        <v>41999</v>
      </c>
      <c r="AH1234" s="6">
        <v>3.3105289999999998</v>
      </c>
      <c r="AI1234" s="6">
        <v>1.0846739999999999</v>
      </c>
      <c r="AJ1234" s="6">
        <v>0.18368799999999999</v>
      </c>
      <c r="AK1234" s="6"/>
      <c r="AL1234" s="6"/>
      <c r="AM1234" s="6" t="e">
        <f t="shared" si="97"/>
        <v>#DIV/0!</v>
      </c>
    </row>
    <row r="1235" spans="29:39" x14ac:dyDescent="0.3">
      <c r="AC1235">
        <f t="shared" si="96"/>
        <v>0</v>
      </c>
      <c r="AD1235">
        <v>1232</v>
      </c>
      <c r="AE1235" s="4">
        <f t="shared" si="94"/>
        <v>42002</v>
      </c>
      <c r="AF1235" s="6" t="e">
        <f t="shared" si="95"/>
        <v>#DIV/0!</v>
      </c>
      <c r="AG1235" s="4">
        <v>42002</v>
      </c>
      <c r="AH1235" s="6">
        <v>0.279061</v>
      </c>
      <c r="AI1235" s="6">
        <v>-1.016348</v>
      </c>
      <c r="AJ1235" s="6">
        <v>-2.164876</v>
      </c>
      <c r="AK1235" s="6"/>
      <c r="AL1235" s="6"/>
      <c r="AM1235" s="6" t="e">
        <f t="shared" si="97"/>
        <v>#DIV/0!</v>
      </c>
    </row>
    <row r="1236" spans="29:39" x14ac:dyDescent="0.3">
      <c r="AC1236">
        <f t="shared" si="96"/>
        <v>0</v>
      </c>
      <c r="AD1236">
        <v>1233</v>
      </c>
      <c r="AE1236" s="4">
        <f t="shared" si="94"/>
        <v>42003</v>
      </c>
      <c r="AF1236" s="6" t="e">
        <f t="shared" si="95"/>
        <v>#DIV/0!</v>
      </c>
      <c r="AG1236" s="4">
        <v>42003</v>
      </c>
      <c r="AH1236" s="6">
        <v>6.0745E-2</v>
      </c>
      <c r="AI1236" s="6">
        <v>-1.7242599999999999</v>
      </c>
      <c r="AJ1236" s="6">
        <v>-1.9075820000000001</v>
      </c>
      <c r="AK1236" s="6"/>
      <c r="AL1236" s="6"/>
      <c r="AM1236" s="6" t="e">
        <f t="shared" si="97"/>
        <v>#DIV/0!</v>
      </c>
    </row>
    <row r="1237" spans="29:39" x14ac:dyDescent="0.3">
      <c r="AC1237">
        <f t="shared" si="96"/>
        <v>0</v>
      </c>
      <c r="AD1237">
        <v>1234</v>
      </c>
      <c r="AE1237" s="4">
        <f t="shared" si="94"/>
        <v>42004</v>
      </c>
      <c r="AF1237" s="6" t="e">
        <f t="shared" si="95"/>
        <v>#DIV/0!</v>
      </c>
      <c r="AG1237" s="4">
        <v>42004</v>
      </c>
      <c r="AH1237" s="6">
        <v>2.2024530000000002</v>
      </c>
      <c r="AI1237" s="6">
        <v>0.90290499999999996</v>
      </c>
      <c r="AJ1237" s="6">
        <v>0.75023799999999996</v>
      </c>
      <c r="AK1237" s="6"/>
      <c r="AL1237" s="6"/>
      <c r="AM1237" s="6" t="e">
        <f t="shared" si="97"/>
        <v>#DIV/0!</v>
      </c>
    </row>
    <row r="1238" spans="29:39" x14ac:dyDescent="0.3">
      <c r="AC1238">
        <f t="shared" si="96"/>
        <v>0</v>
      </c>
      <c r="AD1238">
        <v>1235</v>
      </c>
      <c r="AE1238" s="4">
        <f t="shared" si="94"/>
        <v>42009</v>
      </c>
      <c r="AF1238" s="6" t="e">
        <f t="shared" si="95"/>
        <v>#DIV/0!</v>
      </c>
      <c r="AG1238" s="4">
        <v>42009</v>
      </c>
      <c r="AH1238" s="6">
        <v>3.051641</v>
      </c>
      <c r="AI1238" s="6">
        <v>1.771709</v>
      </c>
      <c r="AJ1238" s="6">
        <v>0.36942199999999997</v>
      </c>
      <c r="AK1238" s="6"/>
      <c r="AL1238" s="6"/>
      <c r="AM1238" s="6" t="e">
        <f t="shared" si="97"/>
        <v>#DIV/0!</v>
      </c>
    </row>
    <row r="1239" spans="29:39" x14ac:dyDescent="0.3">
      <c r="AC1239">
        <f t="shared" si="96"/>
        <v>0</v>
      </c>
      <c r="AD1239">
        <v>1236</v>
      </c>
      <c r="AE1239" s="4">
        <f t="shared" si="94"/>
        <v>42010</v>
      </c>
      <c r="AF1239" s="6" t="e">
        <f t="shared" si="95"/>
        <v>#DIV/0!</v>
      </c>
      <c r="AG1239" s="4">
        <v>42010</v>
      </c>
      <c r="AH1239" s="6">
        <v>-1.3236E-2</v>
      </c>
      <c r="AI1239" s="6">
        <v>1.160177</v>
      </c>
      <c r="AJ1239" s="6">
        <v>2.0266000000000002</v>
      </c>
      <c r="AK1239" s="6"/>
      <c r="AL1239" s="6"/>
      <c r="AM1239" s="6" t="e">
        <f t="shared" si="97"/>
        <v>#DIV/0!</v>
      </c>
    </row>
    <row r="1240" spans="29:39" x14ac:dyDescent="0.3">
      <c r="AC1240">
        <f t="shared" si="96"/>
        <v>0</v>
      </c>
      <c r="AD1240">
        <v>1237</v>
      </c>
      <c r="AE1240" s="4">
        <f t="shared" si="94"/>
        <v>42011</v>
      </c>
      <c r="AF1240" s="6" t="e">
        <f t="shared" si="95"/>
        <v>#DIV/0!</v>
      </c>
      <c r="AG1240" s="4">
        <v>42011</v>
      </c>
      <c r="AH1240" s="6">
        <v>7.5006000000000003E-2</v>
      </c>
      <c r="AI1240" s="6">
        <v>0.152887</v>
      </c>
      <c r="AJ1240" s="6">
        <v>-9.1098999999999999E-2</v>
      </c>
      <c r="AK1240" s="6"/>
      <c r="AL1240" s="6"/>
      <c r="AM1240" s="6" t="e">
        <f t="shared" si="97"/>
        <v>#DIV/0!</v>
      </c>
    </row>
    <row r="1241" spans="29:39" x14ac:dyDescent="0.3">
      <c r="AC1241">
        <f t="shared" si="96"/>
        <v>0</v>
      </c>
      <c r="AD1241">
        <v>1238</v>
      </c>
      <c r="AE1241" s="4">
        <f t="shared" si="94"/>
        <v>42012</v>
      </c>
      <c r="AF1241" s="6" t="e">
        <f t="shared" si="95"/>
        <v>#DIV/0!</v>
      </c>
      <c r="AG1241" s="4">
        <v>42012</v>
      </c>
      <c r="AH1241" s="6">
        <v>-2.3198650000000001</v>
      </c>
      <c r="AI1241" s="6">
        <v>-0.80544899999999997</v>
      </c>
      <c r="AJ1241" s="6">
        <v>-4.3102000000000001E-2</v>
      </c>
      <c r="AK1241" s="6"/>
      <c r="AL1241" s="6"/>
      <c r="AM1241" s="6" t="e">
        <f t="shared" si="97"/>
        <v>#DIV/0!</v>
      </c>
    </row>
    <row r="1242" spans="29:39" x14ac:dyDescent="0.3">
      <c r="AC1242">
        <f t="shared" si="96"/>
        <v>0</v>
      </c>
      <c r="AD1242">
        <v>1239</v>
      </c>
      <c r="AE1242" s="4">
        <f t="shared" si="94"/>
        <v>42013</v>
      </c>
      <c r="AF1242" s="6" t="e">
        <f t="shared" si="95"/>
        <v>#DIV/0!</v>
      </c>
      <c r="AG1242" s="4">
        <v>42013</v>
      </c>
      <c r="AH1242" s="6">
        <v>-0.35220800000000002</v>
      </c>
      <c r="AI1242" s="6">
        <v>-0.64251999999999998</v>
      </c>
      <c r="AJ1242" s="6">
        <v>-0.58563200000000004</v>
      </c>
      <c r="AK1242" s="6"/>
      <c r="AL1242" s="6"/>
      <c r="AM1242" s="6" t="e">
        <f t="shared" si="97"/>
        <v>#DIV/0!</v>
      </c>
    </row>
    <row r="1243" spans="29:39" x14ac:dyDescent="0.3">
      <c r="AC1243">
        <f t="shared" si="96"/>
        <v>0</v>
      </c>
      <c r="AD1243">
        <v>1240</v>
      </c>
      <c r="AE1243" s="4">
        <f t="shared" si="94"/>
        <v>42016</v>
      </c>
      <c r="AF1243" s="6" t="e">
        <f t="shared" si="95"/>
        <v>#DIV/0!</v>
      </c>
      <c r="AG1243" s="4">
        <v>42016</v>
      </c>
      <c r="AH1243" s="6">
        <v>-0.934581</v>
      </c>
      <c r="AI1243" s="6">
        <v>-1.420525</v>
      </c>
      <c r="AJ1243" s="6">
        <v>-1.0725990000000001</v>
      </c>
      <c r="AK1243" s="6"/>
      <c r="AL1243" s="6"/>
      <c r="AM1243" s="6" t="e">
        <f t="shared" si="97"/>
        <v>#DIV/0!</v>
      </c>
    </row>
    <row r="1244" spans="29:39" x14ac:dyDescent="0.3">
      <c r="AC1244">
        <f t="shared" si="96"/>
        <v>0</v>
      </c>
      <c r="AD1244">
        <v>1241</v>
      </c>
      <c r="AE1244" s="4">
        <f t="shared" si="94"/>
        <v>42017</v>
      </c>
      <c r="AF1244" s="6" t="e">
        <f t="shared" si="95"/>
        <v>#DIV/0!</v>
      </c>
      <c r="AG1244" s="4">
        <v>42017</v>
      </c>
      <c r="AH1244" s="6">
        <v>1.3206000000000001E-2</v>
      </c>
      <c r="AI1244" s="6">
        <v>1.366598</v>
      </c>
      <c r="AJ1244" s="6">
        <v>1.7292829999999999</v>
      </c>
      <c r="AK1244" s="6"/>
      <c r="AL1244" s="6"/>
      <c r="AM1244" s="6" t="e">
        <f t="shared" si="97"/>
        <v>#DIV/0!</v>
      </c>
    </row>
    <row r="1245" spans="29:39" x14ac:dyDescent="0.3">
      <c r="AC1245">
        <f t="shared" si="96"/>
        <v>0</v>
      </c>
      <c r="AD1245">
        <v>1242</v>
      </c>
      <c r="AE1245" s="4">
        <f t="shared" si="94"/>
        <v>42018</v>
      </c>
      <c r="AF1245" s="6" t="e">
        <f t="shared" si="95"/>
        <v>#DIV/0!</v>
      </c>
      <c r="AG1245" s="4">
        <v>42018</v>
      </c>
      <c r="AH1245" s="6">
        <v>-0.33058799999999999</v>
      </c>
      <c r="AI1245" s="6">
        <v>-0.46905799999999997</v>
      </c>
      <c r="AJ1245" s="6">
        <v>-0.45121600000000001</v>
      </c>
      <c r="AK1245" s="6"/>
      <c r="AL1245" s="6"/>
      <c r="AM1245" s="6" t="e">
        <f t="shared" si="97"/>
        <v>#DIV/0!</v>
      </c>
    </row>
    <row r="1246" spans="29:39" x14ac:dyDescent="0.3">
      <c r="AC1246">
        <f t="shared" si="96"/>
        <v>0</v>
      </c>
      <c r="AD1246">
        <v>1243</v>
      </c>
      <c r="AE1246" s="4">
        <f t="shared" si="94"/>
        <v>42019</v>
      </c>
      <c r="AF1246" s="6" t="e">
        <f t="shared" si="95"/>
        <v>#DIV/0!</v>
      </c>
      <c r="AG1246" s="4">
        <v>42019</v>
      </c>
      <c r="AH1246" s="6">
        <v>2.9036469999999999</v>
      </c>
      <c r="AI1246" s="6">
        <v>1.2881670000000001</v>
      </c>
      <c r="AJ1246" s="6">
        <v>0.47836200000000001</v>
      </c>
      <c r="AK1246" s="6"/>
      <c r="AL1246" s="6"/>
      <c r="AM1246" s="6" t="e">
        <f t="shared" si="97"/>
        <v>#DIV/0!</v>
      </c>
    </row>
    <row r="1247" spans="29:39" x14ac:dyDescent="0.3">
      <c r="AC1247">
        <f t="shared" si="96"/>
        <v>0</v>
      </c>
      <c r="AD1247">
        <v>1244</v>
      </c>
      <c r="AE1247" s="4">
        <f t="shared" si="94"/>
        <v>42020</v>
      </c>
      <c r="AF1247" s="6" t="e">
        <f t="shared" si="95"/>
        <v>#DIV/0!</v>
      </c>
      <c r="AG1247" s="4">
        <v>42020</v>
      </c>
      <c r="AH1247" s="6">
        <v>0.86082000000000003</v>
      </c>
      <c r="AI1247" s="6">
        <v>1.3045420000000001</v>
      </c>
      <c r="AJ1247" s="6">
        <v>1.352271</v>
      </c>
      <c r="AK1247" s="6"/>
      <c r="AL1247" s="6"/>
      <c r="AM1247" s="6" t="e">
        <f t="shared" si="97"/>
        <v>#DIV/0!</v>
      </c>
    </row>
    <row r="1248" spans="29:39" x14ac:dyDescent="0.3">
      <c r="AC1248">
        <f t="shared" si="96"/>
        <v>0</v>
      </c>
      <c r="AD1248">
        <v>1245</v>
      </c>
      <c r="AE1248" s="4">
        <f t="shared" si="94"/>
        <v>42023</v>
      </c>
      <c r="AF1248" s="6" t="e">
        <f t="shared" si="95"/>
        <v>#DIV/0!</v>
      </c>
      <c r="AG1248" s="4">
        <v>42023</v>
      </c>
      <c r="AH1248" s="6">
        <v>-7.7023320000000002</v>
      </c>
      <c r="AI1248" s="6">
        <v>-4.3156280000000002</v>
      </c>
      <c r="AJ1248" s="6">
        <v>-2.2838820000000002</v>
      </c>
      <c r="AK1248" s="6"/>
      <c r="AL1248" s="6"/>
      <c r="AM1248" s="6" t="e">
        <f t="shared" si="97"/>
        <v>#DIV/0!</v>
      </c>
    </row>
    <row r="1249" spans="29:39" x14ac:dyDescent="0.3">
      <c r="AC1249">
        <f t="shared" si="96"/>
        <v>0</v>
      </c>
      <c r="AD1249">
        <v>1246</v>
      </c>
      <c r="AE1249" s="4">
        <f t="shared" si="94"/>
        <v>42024</v>
      </c>
      <c r="AF1249" s="6" t="e">
        <f t="shared" si="95"/>
        <v>#DIV/0!</v>
      </c>
      <c r="AG1249" s="4">
        <v>42024</v>
      </c>
      <c r="AH1249" s="6">
        <v>1.223997</v>
      </c>
      <c r="AI1249" s="6">
        <v>3.6089129999999998</v>
      </c>
      <c r="AJ1249" s="6">
        <v>3.7213189999999998</v>
      </c>
      <c r="AK1249" s="6"/>
      <c r="AL1249" s="6"/>
      <c r="AM1249" s="6" t="e">
        <f t="shared" si="97"/>
        <v>#DIV/0!</v>
      </c>
    </row>
    <row r="1250" spans="29:39" x14ac:dyDescent="0.3">
      <c r="AC1250">
        <f t="shared" si="96"/>
        <v>0</v>
      </c>
      <c r="AD1250">
        <v>1247</v>
      </c>
      <c r="AE1250" s="4">
        <f t="shared" si="94"/>
        <v>42025</v>
      </c>
      <c r="AF1250" s="6" t="e">
        <f t="shared" si="95"/>
        <v>#DIV/0!</v>
      </c>
      <c r="AG1250" s="4">
        <v>42025</v>
      </c>
      <c r="AH1250" s="6">
        <v>4.4950830000000002</v>
      </c>
      <c r="AI1250" s="6">
        <v>2.5432549999999998</v>
      </c>
      <c r="AJ1250" s="6">
        <v>2.0373920000000001</v>
      </c>
      <c r="AK1250" s="6"/>
      <c r="AL1250" s="6"/>
      <c r="AM1250" s="6" t="e">
        <f t="shared" si="97"/>
        <v>#DIV/0!</v>
      </c>
    </row>
    <row r="1251" spans="29:39" x14ac:dyDescent="0.3">
      <c r="AC1251">
        <f t="shared" si="96"/>
        <v>0</v>
      </c>
      <c r="AD1251">
        <v>1248</v>
      </c>
      <c r="AE1251" s="4">
        <f t="shared" si="94"/>
        <v>42026</v>
      </c>
      <c r="AF1251" s="6" t="e">
        <f t="shared" si="95"/>
        <v>#DIV/0!</v>
      </c>
      <c r="AG1251" s="4">
        <v>42026</v>
      </c>
      <c r="AH1251" s="6">
        <v>0.52771500000000005</v>
      </c>
      <c r="AI1251" s="6">
        <v>1.3981870000000001</v>
      </c>
      <c r="AJ1251" s="6">
        <v>1.591513</v>
      </c>
      <c r="AK1251" s="6"/>
      <c r="AL1251" s="6"/>
      <c r="AM1251" s="6" t="e">
        <f t="shared" si="97"/>
        <v>#DIV/0!</v>
      </c>
    </row>
    <row r="1252" spans="29:39" x14ac:dyDescent="0.3">
      <c r="AC1252">
        <f t="shared" si="96"/>
        <v>0</v>
      </c>
      <c r="AD1252">
        <v>1249</v>
      </c>
      <c r="AE1252" s="4">
        <f t="shared" si="94"/>
        <v>42027</v>
      </c>
      <c r="AF1252" s="6" t="e">
        <f t="shared" si="95"/>
        <v>#DIV/0!</v>
      </c>
      <c r="AG1252" s="4">
        <v>42027</v>
      </c>
      <c r="AH1252" s="6">
        <v>0.115455</v>
      </c>
      <c r="AI1252" s="6">
        <v>-0.99939299999999998</v>
      </c>
      <c r="AJ1252" s="6">
        <v>-1.0134369999999999</v>
      </c>
      <c r="AK1252" s="6"/>
      <c r="AL1252" s="6"/>
      <c r="AM1252" s="6" t="e">
        <f t="shared" si="97"/>
        <v>#DIV/0!</v>
      </c>
    </row>
    <row r="1253" spans="29:39" x14ac:dyDescent="0.3">
      <c r="AC1253">
        <f t="shared" si="96"/>
        <v>0</v>
      </c>
      <c r="AD1253">
        <v>1250</v>
      </c>
      <c r="AE1253" s="4">
        <f t="shared" si="94"/>
        <v>42030</v>
      </c>
      <c r="AF1253" s="6" t="e">
        <f t="shared" si="95"/>
        <v>#DIV/0!</v>
      </c>
      <c r="AG1253" s="4">
        <v>42030</v>
      </c>
      <c r="AH1253" s="6">
        <v>1.0149980000000001</v>
      </c>
      <c r="AI1253" s="6">
        <v>2.231201</v>
      </c>
      <c r="AJ1253" s="6">
        <v>2.161543</v>
      </c>
      <c r="AK1253" s="6"/>
      <c r="AL1253" s="6"/>
      <c r="AM1253" s="6" t="e">
        <f t="shared" si="97"/>
        <v>#DIV/0!</v>
      </c>
    </row>
    <row r="1254" spans="29:39" x14ac:dyDescent="0.3">
      <c r="AC1254">
        <f t="shared" si="96"/>
        <v>0</v>
      </c>
      <c r="AD1254">
        <v>1251</v>
      </c>
      <c r="AE1254" s="4">
        <f t="shared" si="94"/>
        <v>42031</v>
      </c>
      <c r="AF1254" s="6" t="e">
        <f t="shared" si="95"/>
        <v>#DIV/0!</v>
      </c>
      <c r="AG1254" s="4">
        <v>42031</v>
      </c>
      <c r="AH1254" s="6">
        <v>-0.91613500000000003</v>
      </c>
      <c r="AI1254" s="6">
        <v>0.25763200000000003</v>
      </c>
      <c r="AJ1254" s="6">
        <v>0.77069100000000001</v>
      </c>
      <c r="AK1254" s="6"/>
      <c r="AL1254" s="6"/>
      <c r="AM1254" s="6" t="e">
        <f t="shared" si="97"/>
        <v>#DIV/0!</v>
      </c>
    </row>
    <row r="1255" spans="29:39" x14ac:dyDescent="0.3">
      <c r="AC1255">
        <f t="shared" si="96"/>
        <v>0</v>
      </c>
      <c r="AD1255">
        <v>1252</v>
      </c>
      <c r="AE1255" s="4">
        <f t="shared" si="94"/>
        <v>42032</v>
      </c>
      <c r="AF1255" s="6" t="e">
        <f t="shared" si="95"/>
        <v>#DIV/0!</v>
      </c>
      <c r="AG1255" s="4">
        <v>42032</v>
      </c>
      <c r="AH1255" s="6">
        <v>-1.3876630000000001</v>
      </c>
      <c r="AI1255" s="6">
        <v>-0.58708099999999996</v>
      </c>
      <c r="AJ1255" s="6">
        <v>-0.41145500000000002</v>
      </c>
      <c r="AK1255" s="6"/>
      <c r="AL1255" s="6"/>
      <c r="AM1255" s="6" t="e">
        <f t="shared" si="97"/>
        <v>#DIV/0!</v>
      </c>
    </row>
    <row r="1256" spans="29:39" x14ac:dyDescent="0.3">
      <c r="AC1256">
        <f t="shared" si="96"/>
        <v>0</v>
      </c>
      <c r="AD1256">
        <v>1253</v>
      </c>
      <c r="AE1256" s="4">
        <f t="shared" si="94"/>
        <v>42033</v>
      </c>
      <c r="AF1256" s="6" t="e">
        <f t="shared" si="95"/>
        <v>#DIV/0!</v>
      </c>
      <c r="AG1256" s="4">
        <v>42033</v>
      </c>
      <c r="AH1256" s="6">
        <v>-1.234639</v>
      </c>
      <c r="AI1256" s="6">
        <v>-0.67446899999999999</v>
      </c>
      <c r="AJ1256" s="6">
        <v>-0.61892199999999997</v>
      </c>
      <c r="AK1256" s="6"/>
      <c r="AL1256" s="6"/>
      <c r="AM1256" s="6" t="e">
        <f t="shared" si="97"/>
        <v>#DIV/0!</v>
      </c>
    </row>
    <row r="1257" spans="29:39" x14ac:dyDescent="0.3">
      <c r="AC1257">
        <f t="shared" si="96"/>
        <v>0</v>
      </c>
      <c r="AD1257">
        <v>1254</v>
      </c>
      <c r="AE1257" s="4">
        <f t="shared" si="94"/>
        <v>42034</v>
      </c>
      <c r="AF1257" s="6" t="e">
        <f t="shared" si="95"/>
        <v>#DIV/0!</v>
      </c>
      <c r="AG1257" s="4">
        <v>42034</v>
      </c>
      <c r="AH1257" s="6">
        <v>-1.3615950000000001</v>
      </c>
      <c r="AI1257" s="6">
        <v>-1.2010970000000001</v>
      </c>
      <c r="AJ1257" s="6">
        <v>-1.183516</v>
      </c>
      <c r="AK1257" s="6"/>
      <c r="AL1257" s="6"/>
      <c r="AM1257" s="6" t="e">
        <f t="shared" si="97"/>
        <v>#DIV/0!</v>
      </c>
    </row>
    <row r="1258" spans="29:39" x14ac:dyDescent="0.3">
      <c r="AC1258">
        <f t="shared" si="96"/>
        <v>0</v>
      </c>
      <c r="AD1258">
        <v>1255</v>
      </c>
      <c r="AE1258" s="4">
        <f t="shared" si="94"/>
        <v>42037</v>
      </c>
      <c r="AF1258" s="6" t="e">
        <f t="shared" si="95"/>
        <v>#DIV/0!</v>
      </c>
      <c r="AG1258" s="4">
        <v>42037</v>
      </c>
      <c r="AH1258" s="6">
        <v>-2.341901</v>
      </c>
      <c r="AI1258" s="6">
        <v>-0.41434599999999999</v>
      </c>
      <c r="AJ1258" s="6">
        <v>-0.163352</v>
      </c>
      <c r="AK1258" s="6"/>
      <c r="AL1258" s="6"/>
      <c r="AM1258" s="6" t="e">
        <f t="shared" si="97"/>
        <v>#DIV/0!</v>
      </c>
    </row>
    <row r="1259" spans="29:39" x14ac:dyDescent="0.3">
      <c r="AC1259">
        <f t="shared" si="96"/>
        <v>0</v>
      </c>
      <c r="AD1259">
        <v>1256</v>
      </c>
      <c r="AE1259" s="4">
        <f t="shared" si="94"/>
        <v>42038</v>
      </c>
      <c r="AF1259" s="6" t="e">
        <f t="shared" si="95"/>
        <v>#DIV/0!</v>
      </c>
      <c r="AG1259" s="4">
        <v>42038</v>
      </c>
      <c r="AH1259" s="6">
        <v>2.489147</v>
      </c>
      <c r="AI1259" s="6">
        <v>1.7486219999999999</v>
      </c>
      <c r="AJ1259" s="6">
        <v>1.815296</v>
      </c>
      <c r="AK1259" s="6"/>
      <c r="AL1259" s="6"/>
      <c r="AM1259" s="6" t="e">
        <f t="shared" si="97"/>
        <v>#DIV/0!</v>
      </c>
    </row>
    <row r="1260" spans="29:39" x14ac:dyDescent="0.3">
      <c r="AC1260">
        <f t="shared" si="96"/>
        <v>0</v>
      </c>
      <c r="AD1260">
        <v>1257</v>
      </c>
      <c r="AE1260" s="4">
        <f t="shared" si="94"/>
        <v>42039</v>
      </c>
      <c r="AF1260" s="6" t="e">
        <f t="shared" si="95"/>
        <v>#DIV/0!</v>
      </c>
      <c r="AG1260" s="4">
        <v>42039</v>
      </c>
      <c r="AH1260" s="6">
        <v>-1.037893</v>
      </c>
      <c r="AI1260" s="6">
        <v>-0.41974800000000001</v>
      </c>
      <c r="AJ1260" s="6">
        <v>-1.8197999999999999E-2</v>
      </c>
      <c r="AK1260" s="6"/>
      <c r="AL1260" s="6"/>
      <c r="AM1260" s="6" t="e">
        <f t="shared" si="97"/>
        <v>#DIV/0!</v>
      </c>
    </row>
    <row r="1261" spans="29:39" x14ac:dyDescent="0.3">
      <c r="AC1261">
        <f t="shared" si="96"/>
        <v>0</v>
      </c>
      <c r="AD1261">
        <v>1258</v>
      </c>
      <c r="AE1261" s="4">
        <f t="shared" si="94"/>
        <v>42040</v>
      </c>
      <c r="AF1261" s="6" t="e">
        <f t="shared" si="95"/>
        <v>#DIV/0!</v>
      </c>
      <c r="AG1261" s="4">
        <v>42040</v>
      </c>
      <c r="AH1261" s="6">
        <v>-1.023644</v>
      </c>
      <c r="AI1261" s="6">
        <v>-0.51556100000000005</v>
      </c>
      <c r="AJ1261" s="6">
        <v>1.1181999999999999E-2</v>
      </c>
      <c r="AK1261" s="6"/>
      <c r="AL1261" s="6"/>
      <c r="AM1261" s="6" t="e">
        <f t="shared" si="97"/>
        <v>#DIV/0!</v>
      </c>
    </row>
    <row r="1262" spans="29:39" x14ac:dyDescent="0.3">
      <c r="AC1262">
        <f t="shared" si="96"/>
        <v>0</v>
      </c>
      <c r="AD1262">
        <v>1259</v>
      </c>
      <c r="AE1262" s="4">
        <f t="shared" si="94"/>
        <v>42041</v>
      </c>
      <c r="AF1262" s="6" t="e">
        <f t="shared" si="95"/>
        <v>#DIV/0!</v>
      </c>
      <c r="AG1262" s="4">
        <v>42041</v>
      </c>
      <c r="AH1262" s="6">
        <v>-1.6194500000000001</v>
      </c>
      <c r="AI1262" s="6">
        <v>-2.1122640000000001</v>
      </c>
      <c r="AJ1262" s="6">
        <v>-1.9106019999999999</v>
      </c>
      <c r="AK1262" s="6"/>
      <c r="AL1262" s="6"/>
      <c r="AM1262" s="6" t="e">
        <f t="shared" si="97"/>
        <v>#DIV/0!</v>
      </c>
    </row>
    <row r="1263" spans="29:39" x14ac:dyDescent="0.3">
      <c r="AC1263">
        <f t="shared" si="96"/>
        <v>0</v>
      </c>
      <c r="AD1263">
        <v>1260</v>
      </c>
      <c r="AE1263" s="4">
        <f t="shared" si="94"/>
        <v>42044</v>
      </c>
      <c r="AF1263" s="6" t="e">
        <f t="shared" si="95"/>
        <v>#DIV/0!</v>
      </c>
      <c r="AG1263" s="4">
        <v>42044</v>
      </c>
      <c r="AH1263" s="6">
        <v>1.0113749999999999</v>
      </c>
      <c r="AI1263" s="6">
        <v>-0.53861199999999998</v>
      </c>
      <c r="AJ1263" s="6">
        <v>-0.79871899999999996</v>
      </c>
      <c r="AK1263" s="6"/>
      <c r="AL1263" s="6"/>
      <c r="AM1263" s="6" t="e">
        <f t="shared" si="97"/>
        <v>#DIV/0!</v>
      </c>
    </row>
    <row r="1264" spans="29:39" x14ac:dyDescent="0.3">
      <c r="AC1264">
        <f t="shared" si="96"/>
        <v>0</v>
      </c>
      <c r="AD1264">
        <v>1261</v>
      </c>
      <c r="AE1264" s="4">
        <f t="shared" si="94"/>
        <v>42045</v>
      </c>
      <c r="AF1264" s="6" t="e">
        <f t="shared" si="95"/>
        <v>#DIV/0!</v>
      </c>
      <c r="AG1264" s="4">
        <v>42045</v>
      </c>
      <c r="AH1264" s="6">
        <v>1.8237730000000001</v>
      </c>
      <c r="AI1264" s="6">
        <v>1.3756649999999999</v>
      </c>
      <c r="AJ1264" s="6">
        <v>1.2510159999999999</v>
      </c>
      <c r="AK1264" s="6"/>
      <c r="AL1264" s="6"/>
      <c r="AM1264" s="6" t="e">
        <f t="shared" si="97"/>
        <v>#DIV/0!</v>
      </c>
    </row>
    <row r="1265" spans="29:39" x14ac:dyDescent="0.3">
      <c r="AC1265">
        <f t="shared" si="96"/>
        <v>0</v>
      </c>
      <c r="AD1265">
        <v>1262</v>
      </c>
      <c r="AE1265" s="4">
        <f t="shared" si="94"/>
        <v>42046</v>
      </c>
      <c r="AF1265" s="6" t="e">
        <f t="shared" si="95"/>
        <v>#DIV/0!</v>
      </c>
      <c r="AG1265" s="4">
        <v>42046</v>
      </c>
      <c r="AH1265" s="6">
        <v>0.79781199999999997</v>
      </c>
      <c r="AI1265" s="6">
        <v>1.0945210000000001</v>
      </c>
      <c r="AJ1265" s="6">
        <v>1.368128</v>
      </c>
      <c r="AK1265" s="6"/>
      <c r="AL1265" s="6"/>
      <c r="AM1265" s="6" t="e">
        <f t="shared" si="97"/>
        <v>#DIV/0!</v>
      </c>
    </row>
    <row r="1266" spans="29:39" x14ac:dyDescent="0.3">
      <c r="AC1266">
        <f t="shared" si="96"/>
        <v>0</v>
      </c>
      <c r="AD1266">
        <v>1263</v>
      </c>
      <c r="AE1266" s="4">
        <f t="shared" si="94"/>
        <v>42047</v>
      </c>
      <c r="AF1266" s="6" t="e">
        <f t="shared" si="95"/>
        <v>#DIV/0!</v>
      </c>
      <c r="AG1266" s="4">
        <v>42047</v>
      </c>
      <c r="AH1266" s="6">
        <v>0.25479600000000002</v>
      </c>
      <c r="AI1266" s="6">
        <v>0.70110799999999995</v>
      </c>
      <c r="AJ1266" s="6">
        <v>0.877359</v>
      </c>
      <c r="AK1266" s="6"/>
      <c r="AL1266" s="6"/>
      <c r="AM1266" s="6" t="e">
        <f t="shared" si="97"/>
        <v>#DIV/0!</v>
      </c>
    </row>
    <row r="1267" spans="29:39" x14ac:dyDescent="0.3">
      <c r="AC1267">
        <f t="shared" si="96"/>
        <v>0</v>
      </c>
      <c r="AD1267">
        <v>1264</v>
      </c>
      <c r="AE1267" s="4">
        <f t="shared" si="94"/>
        <v>42048</v>
      </c>
      <c r="AF1267" s="6" t="e">
        <f t="shared" si="95"/>
        <v>#DIV/0!</v>
      </c>
      <c r="AG1267" s="4">
        <v>42048</v>
      </c>
      <c r="AH1267" s="6">
        <v>0.78289200000000003</v>
      </c>
      <c r="AI1267" s="6">
        <v>1.5477160000000001</v>
      </c>
      <c r="AJ1267" s="6">
        <v>1.6711830000000001</v>
      </c>
      <c r="AK1267" s="6"/>
      <c r="AL1267" s="6"/>
      <c r="AM1267" s="6" t="e">
        <f t="shared" si="97"/>
        <v>#DIV/0!</v>
      </c>
    </row>
    <row r="1268" spans="29:39" x14ac:dyDescent="0.3">
      <c r="AC1268">
        <f t="shared" si="96"/>
        <v>0</v>
      </c>
      <c r="AD1268">
        <v>1265</v>
      </c>
      <c r="AE1268" s="4">
        <f t="shared" si="94"/>
        <v>42051</v>
      </c>
      <c r="AF1268" s="6" t="e">
        <f t="shared" si="95"/>
        <v>#DIV/0!</v>
      </c>
      <c r="AG1268" s="4">
        <v>42051</v>
      </c>
      <c r="AH1268" s="6">
        <v>0.854653</v>
      </c>
      <c r="AI1268" s="6">
        <v>1.7409650000000001</v>
      </c>
      <c r="AJ1268" s="6">
        <v>2.1927279999999998</v>
      </c>
      <c r="AK1268" s="6"/>
      <c r="AL1268" s="6"/>
      <c r="AM1268" s="6" t="e">
        <f t="shared" si="97"/>
        <v>#DIV/0!</v>
      </c>
    </row>
    <row r="1269" spans="29:39" x14ac:dyDescent="0.3">
      <c r="AC1269">
        <f t="shared" si="96"/>
        <v>0</v>
      </c>
      <c r="AD1269">
        <v>1266</v>
      </c>
      <c r="AE1269" s="4">
        <f t="shared" si="94"/>
        <v>42052</v>
      </c>
      <c r="AF1269" s="6" t="e">
        <f t="shared" si="95"/>
        <v>#DIV/0!</v>
      </c>
      <c r="AG1269" s="4">
        <v>42052</v>
      </c>
      <c r="AH1269" s="6">
        <v>0.65263899999999997</v>
      </c>
      <c r="AI1269" s="6">
        <v>0.70506000000000002</v>
      </c>
      <c r="AJ1269" s="6">
        <v>0.78606799999999999</v>
      </c>
      <c r="AK1269" s="6"/>
      <c r="AL1269" s="6"/>
      <c r="AM1269" s="6" t="e">
        <f t="shared" si="97"/>
        <v>#DIV/0!</v>
      </c>
    </row>
    <row r="1270" spans="29:39" x14ac:dyDescent="0.3">
      <c r="AC1270">
        <f t="shared" si="96"/>
        <v>0</v>
      </c>
      <c r="AD1270">
        <v>1267</v>
      </c>
      <c r="AE1270" s="4">
        <f t="shared" si="94"/>
        <v>42060</v>
      </c>
      <c r="AF1270" s="6" t="e">
        <f t="shared" si="95"/>
        <v>#DIV/0!</v>
      </c>
      <c r="AG1270" s="4">
        <v>42060</v>
      </c>
      <c r="AH1270" s="6">
        <v>-1.2376210000000001</v>
      </c>
      <c r="AI1270" s="6">
        <v>-7.7143000000000003E-2</v>
      </c>
      <c r="AJ1270" s="6">
        <v>-0.21920100000000001</v>
      </c>
      <c r="AK1270" s="6"/>
      <c r="AL1270" s="6"/>
      <c r="AM1270" s="6" t="e">
        <f t="shared" si="97"/>
        <v>#DIV/0!</v>
      </c>
    </row>
    <row r="1271" spans="29:39" x14ac:dyDescent="0.3">
      <c r="AC1271">
        <f t="shared" si="96"/>
        <v>0</v>
      </c>
      <c r="AD1271">
        <v>1268</v>
      </c>
      <c r="AE1271" s="4">
        <f t="shared" si="94"/>
        <v>42061</v>
      </c>
      <c r="AF1271" s="6" t="e">
        <f t="shared" si="95"/>
        <v>#DIV/0!</v>
      </c>
      <c r="AG1271" s="4">
        <v>42061</v>
      </c>
      <c r="AH1271" s="6">
        <v>2.5171839999999999</v>
      </c>
      <c r="AI1271" s="6">
        <v>1.0669360000000001</v>
      </c>
      <c r="AJ1271" s="6">
        <v>0.57965699999999998</v>
      </c>
      <c r="AK1271" s="6"/>
      <c r="AL1271" s="6"/>
      <c r="AM1271" s="6" t="e">
        <f t="shared" si="97"/>
        <v>#DIV/0!</v>
      </c>
    </row>
    <row r="1272" spans="29:39" x14ac:dyDescent="0.3">
      <c r="AC1272">
        <f t="shared" si="96"/>
        <v>0</v>
      </c>
      <c r="AD1272">
        <v>1269</v>
      </c>
      <c r="AE1272" s="4">
        <f t="shared" si="94"/>
        <v>42062</v>
      </c>
      <c r="AF1272" s="6" t="e">
        <f t="shared" si="95"/>
        <v>#DIV/0!</v>
      </c>
      <c r="AG1272" s="4">
        <v>42062</v>
      </c>
      <c r="AH1272" s="6">
        <v>0.18360799999999999</v>
      </c>
      <c r="AI1272" s="6">
        <v>0.81925700000000001</v>
      </c>
      <c r="AJ1272" s="6">
        <v>1.3714170000000001</v>
      </c>
      <c r="AK1272" s="6"/>
      <c r="AL1272" s="6"/>
      <c r="AM1272" s="6" t="e">
        <f t="shared" si="97"/>
        <v>#DIV/0!</v>
      </c>
    </row>
    <row r="1273" spans="29:39" x14ac:dyDescent="0.3">
      <c r="AC1273">
        <f t="shared" si="96"/>
        <v>0</v>
      </c>
      <c r="AD1273">
        <v>1270</v>
      </c>
      <c r="AE1273" s="4">
        <f t="shared" si="94"/>
        <v>42065</v>
      </c>
      <c r="AF1273" s="6" t="e">
        <f t="shared" si="95"/>
        <v>#DIV/0!</v>
      </c>
      <c r="AG1273" s="4">
        <v>42065</v>
      </c>
      <c r="AH1273" s="6">
        <v>0.79550100000000001</v>
      </c>
      <c r="AI1273" s="6">
        <v>2.0159470000000002</v>
      </c>
      <c r="AJ1273" s="6">
        <v>2.4613800000000001</v>
      </c>
      <c r="AK1273" s="6"/>
      <c r="AL1273" s="6"/>
      <c r="AM1273" s="6" t="e">
        <f t="shared" si="97"/>
        <v>#DIV/0!</v>
      </c>
    </row>
    <row r="1274" spans="29:39" x14ac:dyDescent="0.3">
      <c r="AC1274">
        <f t="shared" si="96"/>
        <v>0</v>
      </c>
      <c r="AD1274">
        <v>1271</v>
      </c>
      <c r="AE1274" s="4">
        <f t="shared" si="94"/>
        <v>42066</v>
      </c>
      <c r="AF1274" s="6" t="e">
        <f t="shared" si="95"/>
        <v>#DIV/0!</v>
      </c>
      <c r="AG1274" s="4">
        <v>42066</v>
      </c>
      <c r="AH1274" s="6">
        <v>-2.5925609999999999</v>
      </c>
      <c r="AI1274" s="6">
        <v>-0.344246</v>
      </c>
      <c r="AJ1274" s="6">
        <v>-0.48607</v>
      </c>
      <c r="AK1274" s="6"/>
      <c r="AL1274" s="6"/>
      <c r="AM1274" s="6" t="e">
        <f t="shared" si="97"/>
        <v>#DIV/0!</v>
      </c>
    </row>
    <row r="1275" spans="29:39" x14ac:dyDescent="0.3">
      <c r="AC1275">
        <f t="shared" si="96"/>
        <v>0</v>
      </c>
      <c r="AD1275">
        <v>1272</v>
      </c>
      <c r="AE1275" s="4">
        <f t="shared" si="94"/>
        <v>42067</v>
      </c>
      <c r="AF1275" s="6" t="e">
        <f t="shared" si="95"/>
        <v>#DIV/0!</v>
      </c>
      <c r="AG1275" s="4">
        <v>42067</v>
      </c>
      <c r="AH1275" s="6">
        <v>0.65343899999999999</v>
      </c>
      <c r="AI1275" s="6">
        <v>1.499757</v>
      </c>
      <c r="AJ1275" s="6">
        <v>1.7704489999999999</v>
      </c>
      <c r="AK1275" s="6"/>
      <c r="AL1275" s="6"/>
      <c r="AM1275" s="6" t="e">
        <f t="shared" si="97"/>
        <v>#DIV/0!</v>
      </c>
    </row>
    <row r="1276" spans="29:39" x14ac:dyDescent="0.3">
      <c r="AC1276">
        <f t="shared" si="96"/>
        <v>0</v>
      </c>
      <c r="AD1276">
        <v>1273</v>
      </c>
      <c r="AE1276" s="4">
        <f t="shared" si="94"/>
        <v>42068</v>
      </c>
      <c r="AF1276" s="6" t="e">
        <f t="shared" si="95"/>
        <v>#DIV/0!</v>
      </c>
      <c r="AG1276" s="4">
        <v>42068</v>
      </c>
      <c r="AH1276" s="6">
        <v>-0.97648599999999997</v>
      </c>
      <c r="AI1276" s="6">
        <v>-2.3074000000000001E-2</v>
      </c>
      <c r="AJ1276" s="6">
        <v>0.53800899999999996</v>
      </c>
      <c r="AK1276" s="6"/>
      <c r="AL1276" s="6"/>
      <c r="AM1276" s="6" t="e">
        <f t="shared" si="97"/>
        <v>#DIV/0!</v>
      </c>
    </row>
    <row r="1277" spans="29:39" x14ac:dyDescent="0.3">
      <c r="AC1277">
        <f t="shared" si="96"/>
        <v>0</v>
      </c>
      <c r="AD1277">
        <v>1274</v>
      </c>
      <c r="AE1277" s="4">
        <f t="shared" si="94"/>
        <v>42069</v>
      </c>
      <c r="AF1277" s="6" t="e">
        <f t="shared" si="95"/>
        <v>#DIV/0!</v>
      </c>
      <c r="AG1277" s="4">
        <v>42069</v>
      </c>
      <c r="AH1277" s="6">
        <v>-0.50978999999999997</v>
      </c>
      <c r="AI1277" s="6">
        <v>-1.22342</v>
      </c>
      <c r="AJ1277" s="6">
        <v>-1.5099100000000001</v>
      </c>
      <c r="AK1277" s="6"/>
      <c r="AL1277" s="6"/>
      <c r="AM1277" s="6" t="e">
        <f t="shared" si="97"/>
        <v>#DIV/0!</v>
      </c>
    </row>
    <row r="1278" spans="29:39" x14ac:dyDescent="0.3">
      <c r="AC1278">
        <f t="shared" si="96"/>
        <v>0</v>
      </c>
      <c r="AD1278">
        <v>1275</v>
      </c>
      <c r="AE1278" s="4">
        <f t="shared" si="94"/>
        <v>42072</v>
      </c>
      <c r="AF1278" s="6" t="e">
        <f t="shared" si="95"/>
        <v>#DIV/0!</v>
      </c>
      <c r="AG1278" s="4">
        <v>42072</v>
      </c>
      <c r="AH1278" s="6">
        <v>1.702736</v>
      </c>
      <c r="AI1278" s="6">
        <v>1.2915319999999999</v>
      </c>
      <c r="AJ1278" s="6">
        <v>1.5318320000000001</v>
      </c>
      <c r="AK1278" s="6"/>
      <c r="AL1278" s="6"/>
      <c r="AM1278" s="6" t="e">
        <f t="shared" si="97"/>
        <v>#DIV/0!</v>
      </c>
    </row>
    <row r="1279" spans="29:39" x14ac:dyDescent="0.3">
      <c r="AC1279">
        <f t="shared" si="96"/>
        <v>0</v>
      </c>
      <c r="AD1279">
        <v>1276</v>
      </c>
      <c r="AE1279" s="4">
        <f t="shared" si="94"/>
        <v>42073</v>
      </c>
      <c r="AF1279" s="6" t="e">
        <f t="shared" si="95"/>
        <v>#DIV/0!</v>
      </c>
      <c r="AG1279" s="4">
        <v>42073</v>
      </c>
      <c r="AH1279" s="6">
        <v>-0.48446</v>
      </c>
      <c r="AI1279" s="6">
        <v>1.034233</v>
      </c>
      <c r="AJ1279" s="6">
        <v>1.5523800000000001</v>
      </c>
      <c r="AK1279" s="6"/>
      <c r="AL1279" s="6"/>
      <c r="AM1279" s="6" t="e">
        <f t="shared" si="97"/>
        <v>#DIV/0!</v>
      </c>
    </row>
    <row r="1280" spans="29:39" x14ac:dyDescent="0.3">
      <c r="AC1280">
        <f t="shared" si="96"/>
        <v>0</v>
      </c>
      <c r="AD1280">
        <v>1277</v>
      </c>
      <c r="AE1280" s="4">
        <f t="shared" si="94"/>
        <v>42074</v>
      </c>
      <c r="AF1280" s="6" t="e">
        <f t="shared" si="95"/>
        <v>#DIV/0!</v>
      </c>
      <c r="AG1280" s="4">
        <v>42074</v>
      </c>
      <c r="AH1280" s="6">
        <v>0.11481</v>
      </c>
      <c r="AI1280" s="6">
        <v>-0.21657000000000001</v>
      </c>
      <c r="AJ1280" s="6">
        <v>-2.2339999999999999E-3</v>
      </c>
      <c r="AK1280" s="6"/>
      <c r="AL1280" s="6"/>
      <c r="AM1280" s="6" t="e">
        <f t="shared" si="97"/>
        <v>#DIV/0!</v>
      </c>
    </row>
    <row r="1281" spans="29:39" x14ac:dyDescent="0.3">
      <c r="AC1281">
        <f t="shared" si="96"/>
        <v>0</v>
      </c>
      <c r="AD1281">
        <v>1278</v>
      </c>
      <c r="AE1281" s="4">
        <f t="shared" si="94"/>
        <v>42075</v>
      </c>
      <c r="AF1281" s="6" t="e">
        <f t="shared" si="95"/>
        <v>#DIV/0!</v>
      </c>
      <c r="AG1281" s="4">
        <v>42075</v>
      </c>
      <c r="AH1281" s="6">
        <v>1.934687</v>
      </c>
      <c r="AI1281" s="6">
        <v>-4.3989E-2</v>
      </c>
      <c r="AJ1281" s="6">
        <v>-0.68549899999999997</v>
      </c>
      <c r="AK1281" s="6"/>
      <c r="AL1281" s="6"/>
      <c r="AM1281" s="6" t="e">
        <f t="shared" si="97"/>
        <v>#DIV/0!</v>
      </c>
    </row>
    <row r="1282" spans="29:39" x14ac:dyDescent="0.3">
      <c r="AC1282">
        <f t="shared" si="96"/>
        <v>0</v>
      </c>
      <c r="AD1282">
        <v>1279</v>
      </c>
      <c r="AE1282" s="4">
        <f t="shared" si="94"/>
        <v>42076</v>
      </c>
      <c r="AF1282" s="6" t="e">
        <f t="shared" si="95"/>
        <v>#DIV/0!</v>
      </c>
      <c r="AG1282" s="4">
        <v>42076</v>
      </c>
      <c r="AH1282" s="6">
        <v>0.69062299999999999</v>
      </c>
      <c r="AI1282" s="6">
        <v>1.1092249999999999</v>
      </c>
      <c r="AJ1282" s="6">
        <v>1.7952090000000001</v>
      </c>
      <c r="AK1282" s="6"/>
      <c r="AL1282" s="6"/>
      <c r="AM1282" s="6" t="e">
        <f t="shared" si="97"/>
        <v>#DIV/0!</v>
      </c>
    </row>
    <row r="1283" spans="29:39" x14ac:dyDescent="0.3">
      <c r="AC1283">
        <f t="shared" si="96"/>
        <v>0</v>
      </c>
      <c r="AD1283">
        <v>1280</v>
      </c>
      <c r="AE1283" s="4">
        <f t="shared" si="94"/>
        <v>42079</v>
      </c>
      <c r="AF1283" s="6" t="e">
        <f t="shared" si="95"/>
        <v>#DIV/0!</v>
      </c>
      <c r="AG1283" s="4">
        <v>42079</v>
      </c>
      <c r="AH1283" s="6">
        <v>2.4329010000000002</v>
      </c>
      <c r="AI1283" s="6">
        <v>2.9573700000000001</v>
      </c>
      <c r="AJ1283" s="6">
        <v>3.3207810000000002</v>
      </c>
      <c r="AK1283" s="6"/>
      <c r="AL1283" s="6"/>
      <c r="AM1283" s="6" t="e">
        <f t="shared" si="97"/>
        <v>#DIV/0!</v>
      </c>
    </row>
    <row r="1284" spans="29:39" x14ac:dyDescent="0.3">
      <c r="AC1284">
        <f t="shared" si="96"/>
        <v>0</v>
      </c>
      <c r="AD1284">
        <v>1281</v>
      </c>
      <c r="AE1284" s="4">
        <f t="shared" si="94"/>
        <v>42080</v>
      </c>
      <c r="AF1284" s="6" t="e">
        <f t="shared" si="95"/>
        <v>#DIV/0!</v>
      </c>
      <c r="AG1284" s="4">
        <v>42080</v>
      </c>
      <c r="AH1284" s="6">
        <v>1.3884399999999999</v>
      </c>
      <c r="AI1284" s="6">
        <v>1.5542830000000001</v>
      </c>
      <c r="AJ1284" s="6">
        <v>1.1372370000000001</v>
      </c>
      <c r="AK1284" s="6"/>
      <c r="AL1284" s="6"/>
      <c r="AM1284" s="6" t="e">
        <f t="shared" si="97"/>
        <v>#DIV/0!</v>
      </c>
    </row>
    <row r="1285" spans="29:39" x14ac:dyDescent="0.3">
      <c r="AC1285">
        <f t="shared" si="96"/>
        <v>0</v>
      </c>
      <c r="AD1285">
        <v>1282</v>
      </c>
      <c r="AE1285" s="4">
        <f t="shared" ref="AE1285:AE1348" si="98">AG1285</f>
        <v>42081</v>
      </c>
      <c r="AF1285" s="6" t="e">
        <f t="shared" ref="AF1285:AF1348" si="99">AM1285</f>
        <v>#DIV/0!</v>
      </c>
      <c r="AG1285" s="4">
        <v>42081</v>
      </c>
      <c r="AH1285" s="6">
        <v>2.367051</v>
      </c>
      <c r="AI1285" s="6">
        <v>1.6623319999999999</v>
      </c>
      <c r="AJ1285" s="6">
        <v>1.9730160000000001</v>
      </c>
      <c r="AK1285" s="6"/>
      <c r="AL1285" s="6"/>
      <c r="AM1285" s="6" t="e">
        <f t="shared" si="97"/>
        <v>#DIV/0!</v>
      </c>
    </row>
    <row r="1286" spans="29:39" x14ac:dyDescent="0.3">
      <c r="AC1286">
        <f t="shared" ref="AC1286:AC1349" si="100">IF(AE1286&lt;=AE1285,1,0)</f>
        <v>0</v>
      </c>
      <c r="AD1286">
        <v>1283</v>
      </c>
      <c r="AE1286" s="4">
        <f t="shared" si="98"/>
        <v>42082</v>
      </c>
      <c r="AF1286" s="6" t="e">
        <f t="shared" si="99"/>
        <v>#DIV/0!</v>
      </c>
      <c r="AG1286" s="4">
        <v>42082</v>
      </c>
      <c r="AH1286" s="6">
        <v>-0.16422</v>
      </c>
      <c r="AI1286" s="6">
        <v>0.80847899999999995</v>
      </c>
      <c r="AJ1286" s="6">
        <v>0.80571000000000004</v>
      </c>
      <c r="AK1286" s="6"/>
      <c r="AL1286" s="6"/>
      <c r="AM1286" s="6" t="e">
        <f t="shared" ref="AM1286:AM1349" si="101">(AL1286/AL1285-1)*100</f>
        <v>#DIV/0!</v>
      </c>
    </row>
    <row r="1287" spans="29:39" x14ac:dyDescent="0.3">
      <c r="AC1287">
        <f t="shared" si="100"/>
        <v>0</v>
      </c>
      <c r="AD1287">
        <v>1284</v>
      </c>
      <c r="AE1287" s="4">
        <f t="shared" si="98"/>
        <v>42083</v>
      </c>
      <c r="AF1287" s="6" t="e">
        <f t="shared" si="99"/>
        <v>#DIV/0!</v>
      </c>
      <c r="AG1287" s="4">
        <v>42083</v>
      </c>
      <c r="AH1287" s="6">
        <v>1.3760049999999999</v>
      </c>
      <c r="AI1287" s="6">
        <v>1.0089840000000001</v>
      </c>
      <c r="AJ1287" s="6">
        <v>1.243881</v>
      </c>
      <c r="AK1287" s="6"/>
      <c r="AL1287" s="6"/>
      <c r="AM1287" s="6" t="e">
        <f t="shared" si="101"/>
        <v>#DIV/0!</v>
      </c>
    </row>
    <row r="1288" spans="29:39" x14ac:dyDescent="0.3">
      <c r="AC1288">
        <f t="shared" si="100"/>
        <v>0</v>
      </c>
      <c r="AD1288">
        <v>1285</v>
      </c>
      <c r="AE1288" s="4">
        <f t="shared" si="98"/>
        <v>42086</v>
      </c>
      <c r="AF1288" s="6" t="e">
        <f t="shared" si="99"/>
        <v>#DIV/0!</v>
      </c>
      <c r="AG1288" s="4">
        <v>42086</v>
      </c>
      <c r="AH1288" s="6">
        <v>2.0420159999999998</v>
      </c>
      <c r="AI1288" s="6">
        <v>2.4267919999999998</v>
      </c>
      <c r="AJ1288" s="6">
        <v>2.9043990000000002</v>
      </c>
      <c r="AK1288" s="6"/>
      <c r="AL1288" s="6"/>
      <c r="AM1288" s="6" t="e">
        <f t="shared" si="101"/>
        <v>#DIV/0!</v>
      </c>
    </row>
    <row r="1289" spans="29:39" x14ac:dyDescent="0.3">
      <c r="AC1289">
        <f t="shared" si="100"/>
        <v>0</v>
      </c>
      <c r="AD1289">
        <v>1286</v>
      </c>
      <c r="AE1289" s="4">
        <f t="shared" si="98"/>
        <v>42087</v>
      </c>
      <c r="AF1289" s="6" t="e">
        <f t="shared" si="99"/>
        <v>#DIV/0!</v>
      </c>
      <c r="AG1289" s="4">
        <v>42087</v>
      </c>
      <c r="AH1289" s="6">
        <v>2.4798000000000001E-2</v>
      </c>
      <c r="AI1289" s="6">
        <v>0.412831</v>
      </c>
      <c r="AJ1289" s="6">
        <v>1.109043</v>
      </c>
      <c r="AK1289" s="6"/>
      <c r="AL1289" s="6"/>
      <c r="AM1289" s="6" t="e">
        <f t="shared" si="101"/>
        <v>#DIV/0!</v>
      </c>
    </row>
    <row r="1290" spans="29:39" x14ac:dyDescent="0.3">
      <c r="AC1290">
        <f t="shared" si="100"/>
        <v>0</v>
      </c>
      <c r="AD1290">
        <v>1287</v>
      </c>
      <c r="AE1290" s="4">
        <f t="shared" si="98"/>
        <v>42088</v>
      </c>
      <c r="AF1290" s="6" t="e">
        <f t="shared" si="99"/>
        <v>#DIV/0!</v>
      </c>
      <c r="AG1290" s="4">
        <v>42088</v>
      </c>
      <c r="AH1290" s="6">
        <v>-0.82138500000000003</v>
      </c>
      <c r="AI1290" s="6">
        <v>1.1176219999999999</v>
      </c>
      <c r="AJ1290" s="6">
        <v>1.4965139999999999</v>
      </c>
      <c r="AK1290" s="6"/>
      <c r="AL1290" s="6"/>
      <c r="AM1290" s="6" t="e">
        <f t="shared" si="101"/>
        <v>#DIV/0!</v>
      </c>
    </row>
    <row r="1291" spans="29:39" x14ac:dyDescent="0.3">
      <c r="AC1291">
        <f t="shared" si="100"/>
        <v>0</v>
      </c>
      <c r="AD1291">
        <v>1288</v>
      </c>
      <c r="AE1291" s="4">
        <f t="shared" si="98"/>
        <v>42089</v>
      </c>
      <c r="AF1291" s="6" t="e">
        <f t="shared" si="99"/>
        <v>#DIV/0!</v>
      </c>
      <c r="AG1291" s="4">
        <v>42089</v>
      </c>
      <c r="AH1291" s="6">
        <v>0.24329899999999999</v>
      </c>
      <c r="AI1291" s="6">
        <v>-0.70787199999999995</v>
      </c>
      <c r="AJ1291" s="6">
        <v>-1.9697979999999999</v>
      </c>
      <c r="AK1291" s="6"/>
      <c r="AL1291" s="6"/>
      <c r="AM1291" s="6" t="e">
        <f t="shared" si="101"/>
        <v>#DIV/0!</v>
      </c>
    </row>
    <row r="1292" spans="29:39" x14ac:dyDescent="0.3">
      <c r="AC1292">
        <f t="shared" si="100"/>
        <v>0</v>
      </c>
      <c r="AD1292">
        <v>1289</v>
      </c>
      <c r="AE1292" s="4">
        <f t="shared" si="98"/>
        <v>42090</v>
      </c>
      <c r="AF1292" s="6" t="e">
        <f t="shared" si="99"/>
        <v>#DIV/0!</v>
      </c>
      <c r="AG1292" s="4">
        <v>42090</v>
      </c>
      <c r="AH1292" s="6">
        <v>0.54931700000000006</v>
      </c>
      <c r="AI1292" s="6">
        <v>1.1521479999999999</v>
      </c>
      <c r="AJ1292" s="6">
        <v>1.1429229999999999</v>
      </c>
      <c r="AK1292" s="6"/>
      <c r="AL1292" s="6"/>
      <c r="AM1292" s="6" t="e">
        <f t="shared" si="101"/>
        <v>#DIV/0!</v>
      </c>
    </row>
    <row r="1293" spans="29:39" x14ac:dyDescent="0.3">
      <c r="AC1293">
        <f t="shared" si="100"/>
        <v>0</v>
      </c>
      <c r="AD1293">
        <v>1290</v>
      </c>
      <c r="AE1293" s="4">
        <f t="shared" si="98"/>
        <v>42093</v>
      </c>
      <c r="AF1293" s="6" t="e">
        <f t="shared" si="99"/>
        <v>#DIV/0!</v>
      </c>
      <c r="AG1293" s="4">
        <v>42093</v>
      </c>
      <c r="AH1293" s="6">
        <v>2.9327770000000002</v>
      </c>
      <c r="AI1293" s="6">
        <v>1.2514350000000001</v>
      </c>
      <c r="AJ1293" s="6">
        <v>0.102511</v>
      </c>
      <c r="AK1293" s="6"/>
      <c r="AL1293" s="6"/>
      <c r="AM1293" s="6" t="e">
        <f t="shared" si="101"/>
        <v>#DIV/0!</v>
      </c>
    </row>
    <row r="1294" spans="29:39" x14ac:dyDescent="0.3">
      <c r="AC1294">
        <f t="shared" si="100"/>
        <v>0</v>
      </c>
      <c r="AD1294">
        <v>1291</v>
      </c>
      <c r="AE1294" s="4">
        <f t="shared" si="98"/>
        <v>42094</v>
      </c>
      <c r="AF1294" s="6" t="e">
        <f t="shared" si="99"/>
        <v>#DIV/0!</v>
      </c>
      <c r="AG1294" s="4">
        <v>42094</v>
      </c>
      <c r="AH1294" s="6">
        <v>-0.90441300000000002</v>
      </c>
      <c r="AI1294" s="6">
        <v>0.104989</v>
      </c>
      <c r="AJ1294" s="6">
        <v>0.70555599999999996</v>
      </c>
      <c r="AK1294" s="6"/>
      <c r="AL1294" s="6"/>
      <c r="AM1294" s="6" t="e">
        <f t="shared" si="101"/>
        <v>#DIV/0!</v>
      </c>
    </row>
    <row r="1295" spans="29:39" x14ac:dyDescent="0.3">
      <c r="AC1295">
        <f t="shared" si="100"/>
        <v>0</v>
      </c>
      <c r="AD1295">
        <v>1292</v>
      </c>
      <c r="AE1295" s="4">
        <f t="shared" si="98"/>
        <v>42095</v>
      </c>
      <c r="AF1295" s="6" t="e">
        <f t="shared" si="99"/>
        <v>#DIV/0!</v>
      </c>
      <c r="AG1295" s="4">
        <v>42095</v>
      </c>
      <c r="AH1295" s="6">
        <v>1.794306</v>
      </c>
      <c r="AI1295" s="6">
        <v>2.380071</v>
      </c>
      <c r="AJ1295" s="6">
        <v>2.590465</v>
      </c>
      <c r="AK1295" s="6"/>
      <c r="AL1295" s="6"/>
      <c r="AM1295" s="6" t="e">
        <f t="shared" si="101"/>
        <v>#DIV/0!</v>
      </c>
    </row>
    <row r="1296" spans="29:39" x14ac:dyDescent="0.3">
      <c r="AC1296">
        <f t="shared" si="100"/>
        <v>0</v>
      </c>
      <c r="AD1296">
        <v>1293</v>
      </c>
      <c r="AE1296" s="4">
        <f t="shared" si="98"/>
        <v>42096</v>
      </c>
      <c r="AF1296" s="6" t="e">
        <f t="shared" si="99"/>
        <v>#DIV/0!</v>
      </c>
      <c r="AG1296" s="4">
        <v>42096</v>
      </c>
      <c r="AH1296" s="6">
        <v>2.1363E-2</v>
      </c>
      <c r="AI1296" s="6">
        <v>1.8168580000000001</v>
      </c>
      <c r="AJ1296" s="6">
        <v>2.5515859999999999</v>
      </c>
      <c r="AK1296" s="6"/>
      <c r="AL1296" s="6"/>
      <c r="AM1296" s="6" t="e">
        <f t="shared" si="101"/>
        <v>#DIV/0!</v>
      </c>
    </row>
    <row r="1297" spans="29:39" x14ac:dyDescent="0.3">
      <c r="AC1297">
        <f t="shared" si="100"/>
        <v>0</v>
      </c>
      <c r="AD1297">
        <v>1294</v>
      </c>
      <c r="AE1297" s="4">
        <f t="shared" si="98"/>
        <v>42097</v>
      </c>
      <c r="AF1297" s="6" t="e">
        <f t="shared" si="99"/>
        <v>#DIV/0!</v>
      </c>
      <c r="AG1297" s="4">
        <v>42097</v>
      </c>
      <c r="AH1297" s="6">
        <v>1.109442</v>
      </c>
      <c r="AI1297" s="6">
        <v>1.565501</v>
      </c>
      <c r="AJ1297" s="6">
        <v>1.9608890000000001</v>
      </c>
      <c r="AK1297" s="6"/>
      <c r="AL1297" s="6"/>
      <c r="AM1297" s="6" t="e">
        <f t="shared" si="101"/>
        <v>#DIV/0!</v>
      </c>
    </row>
    <row r="1298" spans="29:39" x14ac:dyDescent="0.3">
      <c r="AC1298">
        <f t="shared" si="100"/>
        <v>0</v>
      </c>
      <c r="AD1298">
        <v>1295</v>
      </c>
      <c r="AE1298" s="4">
        <f t="shared" si="98"/>
        <v>42101</v>
      </c>
      <c r="AF1298" s="6" t="e">
        <f t="shared" si="99"/>
        <v>#DIV/0!</v>
      </c>
      <c r="AG1298" s="4">
        <v>42101</v>
      </c>
      <c r="AH1298" s="6">
        <v>2.14615</v>
      </c>
      <c r="AI1298" s="6">
        <v>2.3997099999999998</v>
      </c>
      <c r="AJ1298" s="6">
        <v>1.927138</v>
      </c>
      <c r="AK1298" s="6"/>
      <c r="AL1298" s="6"/>
      <c r="AM1298" s="6" t="e">
        <f t="shared" si="101"/>
        <v>#DIV/0!</v>
      </c>
    </row>
    <row r="1299" spans="29:39" x14ac:dyDescent="0.3">
      <c r="AC1299">
        <f t="shared" si="100"/>
        <v>0</v>
      </c>
      <c r="AD1299">
        <v>1296</v>
      </c>
      <c r="AE1299" s="4">
        <f t="shared" si="98"/>
        <v>42102</v>
      </c>
      <c r="AF1299" s="6" t="e">
        <f t="shared" si="99"/>
        <v>#DIV/0!</v>
      </c>
      <c r="AG1299" s="4">
        <v>42102</v>
      </c>
      <c r="AH1299" s="6">
        <v>0.83940400000000004</v>
      </c>
      <c r="AI1299" s="6">
        <v>-0.70310300000000003</v>
      </c>
      <c r="AJ1299" s="6">
        <v>-1.5116780000000001</v>
      </c>
      <c r="AK1299" s="6"/>
      <c r="AL1299" s="6"/>
      <c r="AM1299" s="6" t="e">
        <f t="shared" si="101"/>
        <v>#DIV/0!</v>
      </c>
    </row>
    <row r="1300" spans="29:39" x14ac:dyDescent="0.3">
      <c r="AC1300">
        <f t="shared" si="100"/>
        <v>0</v>
      </c>
      <c r="AD1300">
        <v>1297</v>
      </c>
      <c r="AE1300" s="4">
        <f t="shared" si="98"/>
        <v>42103</v>
      </c>
      <c r="AF1300" s="6" t="e">
        <f t="shared" si="99"/>
        <v>#DIV/0!</v>
      </c>
      <c r="AG1300" s="4">
        <v>42103</v>
      </c>
      <c r="AH1300" s="6">
        <v>-0.78367200000000004</v>
      </c>
      <c r="AI1300" s="6">
        <v>-0.79208500000000004</v>
      </c>
      <c r="AJ1300" s="6">
        <v>-0.908806</v>
      </c>
      <c r="AK1300" s="6"/>
      <c r="AL1300" s="6"/>
      <c r="AM1300" s="6" t="e">
        <f t="shared" si="101"/>
        <v>#DIV/0!</v>
      </c>
    </row>
    <row r="1301" spans="29:39" x14ac:dyDescent="0.3">
      <c r="AC1301">
        <f t="shared" si="100"/>
        <v>0</v>
      </c>
      <c r="AD1301">
        <v>1298</v>
      </c>
      <c r="AE1301" s="4">
        <f t="shared" si="98"/>
        <v>42104</v>
      </c>
      <c r="AF1301" s="6" t="e">
        <f t="shared" si="99"/>
        <v>#DIV/0!</v>
      </c>
      <c r="AG1301" s="4">
        <v>42104</v>
      </c>
      <c r="AH1301" s="6">
        <v>1.9304399999999999</v>
      </c>
      <c r="AI1301" s="6">
        <v>2.6598760000000001</v>
      </c>
      <c r="AJ1301" s="6">
        <v>2.4626730000000001</v>
      </c>
      <c r="AK1301" s="6"/>
      <c r="AL1301" s="6"/>
      <c r="AM1301" s="6" t="e">
        <f t="shared" si="101"/>
        <v>#DIV/0!</v>
      </c>
    </row>
    <row r="1302" spans="29:39" x14ac:dyDescent="0.3">
      <c r="AC1302">
        <f t="shared" si="100"/>
        <v>0</v>
      </c>
      <c r="AD1302">
        <v>1299</v>
      </c>
      <c r="AE1302" s="4">
        <f t="shared" si="98"/>
        <v>42107</v>
      </c>
      <c r="AF1302" s="6" t="e">
        <f t="shared" si="99"/>
        <v>#DIV/0!</v>
      </c>
      <c r="AG1302" s="4">
        <v>42107</v>
      </c>
      <c r="AH1302" s="6">
        <v>1.7644949999999999</v>
      </c>
      <c r="AI1302" s="6">
        <v>2.1466289999999999</v>
      </c>
      <c r="AJ1302" s="6">
        <v>2.220688</v>
      </c>
      <c r="AK1302" s="6"/>
      <c r="AL1302" s="6"/>
      <c r="AM1302" s="6" t="e">
        <f t="shared" si="101"/>
        <v>#DIV/0!</v>
      </c>
    </row>
    <row r="1303" spans="29:39" x14ac:dyDescent="0.3">
      <c r="AC1303">
        <f t="shared" si="100"/>
        <v>0</v>
      </c>
      <c r="AD1303">
        <v>1300</v>
      </c>
      <c r="AE1303" s="4">
        <f t="shared" si="98"/>
        <v>42108</v>
      </c>
      <c r="AF1303" s="6" t="e">
        <f t="shared" si="99"/>
        <v>#DIV/0!</v>
      </c>
      <c r="AG1303" s="4">
        <v>42108</v>
      </c>
      <c r="AH1303" s="6">
        <v>0.38703300000000002</v>
      </c>
      <c r="AI1303" s="6">
        <v>-3.6119999999999999E-2</v>
      </c>
      <c r="AJ1303" s="6">
        <v>0.16778799999999999</v>
      </c>
      <c r="AK1303" s="6"/>
      <c r="AL1303" s="6"/>
      <c r="AM1303" s="6" t="e">
        <f t="shared" si="101"/>
        <v>#DIV/0!</v>
      </c>
    </row>
    <row r="1304" spans="29:39" x14ac:dyDescent="0.3">
      <c r="AC1304">
        <f t="shared" si="100"/>
        <v>0</v>
      </c>
      <c r="AD1304">
        <v>1301</v>
      </c>
      <c r="AE1304" s="4">
        <f t="shared" si="98"/>
        <v>42109</v>
      </c>
      <c r="AF1304" s="6" t="e">
        <f t="shared" si="99"/>
        <v>#DIV/0!</v>
      </c>
      <c r="AG1304" s="4">
        <v>42109</v>
      </c>
      <c r="AH1304" s="6">
        <v>-1.299428</v>
      </c>
      <c r="AI1304" s="6">
        <v>-3.906571</v>
      </c>
      <c r="AJ1304" s="6">
        <v>-3.9559259999999998</v>
      </c>
      <c r="AK1304" s="6"/>
      <c r="AL1304" s="6"/>
      <c r="AM1304" s="6" t="e">
        <f t="shared" si="101"/>
        <v>#DIV/0!</v>
      </c>
    </row>
    <row r="1305" spans="29:39" x14ac:dyDescent="0.3">
      <c r="AC1305">
        <f t="shared" si="100"/>
        <v>0</v>
      </c>
      <c r="AD1305">
        <v>1302</v>
      </c>
      <c r="AE1305" s="4">
        <f t="shared" si="98"/>
        <v>42110</v>
      </c>
      <c r="AF1305" s="6" t="e">
        <f t="shared" si="99"/>
        <v>#DIV/0!</v>
      </c>
      <c r="AG1305" s="4">
        <v>42110</v>
      </c>
      <c r="AH1305" s="6">
        <v>3.0369269999999999</v>
      </c>
      <c r="AI1305" s="6">
        <v>1.4013139999999999</v>
      </c>
      <c r="AJ1305" s="6">
        <v>1.0652680000000001</v>
      </c>
      <c r="AK1305" s="6"/>
      <c r="AL1305" s="6"/>
      <c r="AM1305" s="6" t="e">
        <f t="shared" si="101"/>
        <v>#DIV/0!</v>
      </c>
    </row>
    <row r="1306" spans="29:39" x14ac:dyDescent="0.3">
      <c r="AC1306">
        <f t="shared" si="100"/>
        <v>0</v>
      </c>
      <c r="AD1306">
        <v>1303</v>
      </c>
      <c r="AE1306" s="4">
        <f t="shared" si="98"/>
        <v>42111</v>
      </c>
      <c r="AF1306" s="6" t="e">
        <f t="shared" si="99"/>
        <v>#DIV/0!</v>
      </c>
      <c r="AG1306" s="4">
        <v>42111</v>
      </c>
      <c r="AH1306" s="6">
        <v>1.829825</v>
      </c>
      <c r="AI1306" s="6">
        <v>0.86793799999999999</v>
      </c>
      <c r="AJ1306" s="6">
        <v>0.27174199999999998</v>
      </c>
      <c r="AK1306" s="6"/>
      <c r="AL1306" s="6"/>
      <c r="AM1306" s="6" t="e">
        <f t="shared" si="101"/>
        <v>#DIV/0!</v>
      </c>
    </row>
    <row r="1307" spans="29:39" x14ac:dyDescent="0.3">
      <c r="AC1307">
        <f t="shared" si="100"/>
        <v>0</v>
      </c>
      <c r="AD1307">
        <v>1304</v>
      </c>
      <c r="AE1307" s="4">
        <f t="shared" si="98"/>
        <v>42114</v>
      </c>
      <c r="AF1307" s="6" t="e">
        <f t="shared" si="99"/>
        <v>#DIV/0!</v>
      </c>
      <c r="AG1307" s="4">
        <v>42114</v>
      </c>
      <c r="AH1307" s="6">
        <v>-1.6147689999999999</v>
      </c>
      <c r="AI1307" s="6">
        <v>-1.7649820000000001</v>
      </c>
      <c r="AJ1307" s="6">
        <v>-2.2375609999999999</v>
      </c>
      <c r="AK1307" s="6"/>
      <c r="AL1307" s="6"/>
      <c r="AM1307" s="6" t="e">
        <f t="shared" si="101"/>
        <v>#DIV/0!</v>
      </c>
    </row>
    <row r="1308" spans="29:39" x14ac:dyDescent="0.3">
      <c r="AC1308">
        <f t="shared" si="100"/>
        <v>0</v>
      </c>
      <c r="AD1308">
        <v>1305</v>
      </c>
      <c r="AE1308" s="4">
        <f t="shared" si="98"/>
        <v>42115</v>
      </c>
      <c r="AF1308" s="6" t="e">
        <f t="shared" si="99"/>
        <v>#DIV/0!</v>
      </c>
      <c r="AG1308" s="4">
        <v>42115</v>
      </c>
      <c r="AH1308" s="6">
        <v>2.150525</v>
      </c>
      <c r="AI1308" s="6">
        <v>3.479457</v>
      </c>
      <c r="AJ1308" s="6">
        <v>3.8780420000000002</v>
      </c>
      <c r="AK1308" s="6"/>
      <c r="AL1308" s="6"/>
      <c r="AM1308" s="6" t="e">
        <f t="shared" si="101"/>
        <v>#DIV/0!</v>
      </c>
    </row>
    <row r="1309" spans="29:39" x14ac:dyDescent="0.3">
      <c r="AC1309">
        <f t="shared" si="100"/>
        <v>0</v>
      </c>
      <c r="AD1309">
        <v>1306</v>
      </c>
      <c r="AE1309" s="4">
        <f t="shared" si="98"/>
        <v>42116</v>
      </c>
      <c r="AF1309" s="6" t="e">
        <f t="shared" si="99"/>
        <v>#DIV/0!</v>
      </c>
      <c r="AG1309" s="4">
        <v>42116</v>
      </c>
      <c r="AH1309" s="6">
        <v>2.6119439999999998</v>
      </c>
      <c r="AI1309" s="6">
        <v>2.5976599999999999</v>
      </c>
      <c r="AJ1309" s="6">
        <v>2.8705539999999998</v>
      </c>
      <c r="AK1309" s="6"/>
      <c r="AL1309" s="6"/>
      <c r="AM1309" s="6" t="e">
        <f t="shared" si="101"/>
        <v>#DIV/0!</v>
      </c>
    </row>
    <row r="1310" spans="29:39" x14ac:dyDescent="0.3">
      <c r="AC1310">
        <f t="shared" si="100"/>
        <v>0</v>
      </c>
      <c r="AD1310">
        <v>1307</v>
      </c>
      <c r="AE1310" s="4">
        <f t="shared" si="98"/>
        <v>42117</v>
      </c>
      <c r="AF1310" s="6" t="e">
        <f t="shared" si="99"/>
        <v>#DIV/0!</v>
      </c>
      <c r="AG1310" s="4">
        <v>42117</v>
      </c>
      <c r="AH1310" s="6">
        <v>2.2744E-2</v>
      </c>
      <c r="AI1310" s="6">
        <v>1.0485580000000001</v>
      </c>
      <c r="AJ1310" s="6">
        <v>1.1006009999999999</v>
      </c>
      <c r="AK1310" s="6"/>
      <c r="AL1310" s="6"/>
      <c r="AM1310" s="6" t="e">
        <f t="shared" si="101"/>
        <v>#DIV/0!</v>
      </c>
    </row>
    <row r="1311" spans="29:39" x14ac:dyDescent="0.3">
      <c r="AC1311">
        <f t="shared" si="100"/>
        <v>0</v>
      </c>
      <c r="AD1311">
        <v>1308</v>
      </c>
      <c r="AE1311" s="4">
        <f t="shared" si="98"/>
        <v>42118</v>
      </c>
      <c r="AF1311" s="6" t="e">
        <f t="shared" si="99"/>
        <v>#DIV/0!</v>
      </c>
      <c r="AG1311" s="4">
        <v>42118</v>
      </c>
      <c r="AH1311" s="6">
        <v>-0.80683099999999996</v>
      </c>
      <c r="AI1311" s="6">
        <v>9.9778000000000006E-2</v>
      </c>
      <c r="AJ1311" s="6">
        <v>0.18445800000000001</v>
      </c>
      <c r="AK1311" s="6"/>
      <c r="AL1311" s="6"/>
      <c r="AM1311" s="6" t="e">
        <f t="shared" si="101"/>
        <v>#DIV/0!</v>
      </c>
    </row>
    <row r="1312" spans="29:39" x14ac:dyDescent="0.3">
      <c r="AC1312">
        <f t="shared" si="100"/>
        <v>0</v>
      </c>
      <c r="AD1312">
        <v>1309</v>
      </c>
      <c r="AE1312" s="4">
        <f t="shared" si="98"/>
        <v>42121</v>
      </c>
      <c r="AF1312" s="6" t="e">
        <f t="shared" si="99"/>
        <v>#DIV/0!</v>
      </c>
      <c r="AG1312" s="4">
        <v>42121</v>
      </c>
      <c r="AH1312" s="6">
        <v>2.2317459999999998</v>
      </c>
      <c r="AI1312" s="6">
        <v>1.1155710000000001</v>
      </c>
      <c r="AJ1312" s="6">
        <v>0.50365899999999997</v>
      </c>
      <c r="AK1312" s="6"/>
      <c r="AL1312" s="6"/>
      <c r="AM1312" s="6" t="e">
        <f t="shared" si="101"/>
        <v>#DIV/0!</v>
      </c>
    </row>
    <row r="1313" spans="29:39" x14ac:dyDescent="0.3">
      <c r="AC1313">
        <f t="shared" si="100"/>
        <v>0</v>
      </c>
      <c r="AD1313">
        <v>1310</v>
      </c>
      <c r="AE1313" s="4">
        <f t="shared" si="98"/>
        <v>42122</v>
      </c>
      <c r="AF1313" s="6" t="e">
        <f t="shared" si="99"/>
        <v>#DIV/0!</v>
      </c>
      <c r="AG1313" s="4">
        <v>42122</v>
      </c>
      <c r="AH1313" s="6">
        <v>-1.3672329999999999</v>
      </c>
      <c r="AI1313" s="6">
        <v>-2.8959540000000001</v>
      </c>
      <c r="AJ1313" s="6">
        <v>-3.2138599999999999</v>
      </c>
      <c r="AK1313" s="6"/>
      <c r="AL1313" s="6"/>
      <c r="AM1313" s="6" t="e">
        <f t="shared" si="101"/>
        <v>#DIV/0!</v>
      </c>
    </row>
    <row r="1314" spans="29:39" x14ac:dyDescent="0.3">
      <c r="AC1314">
        <f t="shared" si="100"/>
        <v>0</v>
      </c>
      <c r="AD1314">
        <v>1311</v>
      </c>
      <c r="AE1314" s="4">
        <f t="shared" si="98"/>
        <v>42123</v>
      </c>
      <c r="AF1314" s="6" t="e">
        <f t="shared" si="99"/>
        <v>#DIV/0!</v>
      </c>
      <c r="AG1314" s="4">
        <v>42123</v>
      </c>
      <c r="AH1314" s="6">
        <v>0.68464700000000001</v>
      </c>
      <c r="AI1314" s="6">
        <v>1.9569510000000001</v>
      </c>
      <c r="AJ1314" s="6">
        <v>2.6351529999999999</v>
      </c>
      <c r="AK1314" s="6"/>
      <c r="AL1314" s="6"/>
      <c r="AM1314" s="6" t="e">
        <f t="shared" si="101"/>
        <v>#DIV/0!</v>
      </c>
    </row>
    <row r="1315" spans="29:39" x14ac:dyDescent="0.3">
      <c r="AC1315">
        <f t="shared" si="100"/>
        <v>0</v>
      </c>
      <c r="AD1315">
        <v>1312</v>
      </c>
      <c r="AE1315" s="4">
        <f t="shared" si="98"/>
        <v>42124</v>
      </c>
      <c r="AF1315" s="6" t="e">
        <f t="shared" si="99"/>
        <v>#DIV/0!</v>
      </c>
      <c r="AG1315" s="4">
        <v>42124</v>
      </c>
      <c r="AH1315" s="6">
        <v>-0.51190500000000005</v>
      </c>
      <c r="AI1315" s="6">
        <v>0.49142999999999998</v>
      </c>
      <c r="AJ1315" s="6">
        <v>0.72313400000000005</v>
      </c>
      <c r="AK1315" s="6"/>
      <c r="AL1315" s="6"/>
      <c r="AM1315" s="6" t="e">
        <f t="shared" si="101"/>
        <v>#DIV/0!</v>
      </c>
    </row>
    <row r="1316" spans="29:39" x14ac:dyDescent="0.3">
      <c r="AC1316">
        <f t="shared" si="100"/>
        <v>0</v>
      </c>
      <c r="AD1316">
        <v>1313</v>
      </c>
      <c r="AE1316" s="4">
        <f t="shared" si="98"/>
        <v>42128</v>
      </c>
      <c r="AF1316" s="6" t="e">
        <f t="shared" si="99"/>
        <v>#DIV/0!</v>
      </c>
      <c r="AG1316" s="4">
        <v>42128</v>
      </c>
      <c r="AH1316" s="6">
        <v>0.79696599999999995</v>
      </c>
      <c r="AI1316" s="6">
        <v>0.48181299999999999</v>
      </c>
      <c r="AJ1316" s="6">
        <v>0.88050799999999996</v>
      </c>
      <c r="AK1316" s="6"/>
      <c r="AL1316" s="6"/>
      <c r="AM1316" s="6" t="e">
        <f t="shared" si="101"/>
        <v>#DIV/0!</v>
      </c>
    </row>
    <row r="1317" spans="29:39" x14ac:dyDescent="0.3">
      <c r="AC1317">
        <f t="shared" si="100"/>
        <v>0</v>
      </c>
      <c r="AD1317">
        <v>1314</v>
      </c>
      <c r="AE1317" s="4">
        <f t="shared" si="98"/>
        <v>42129</v>
      </c>
      <c r="AF1317" s="6" t="e">
        <f t="shared" si="99"/>
        <v>#DIV/0!</v>
      </c>
      <c r="AG1317" s="4">
        <v>42129</v>
      </c>
      <c r="AH1317" s="6">
        <v>-3.9873500000000002</v>
      </c>
      <c r="AI1317" s="6">
        <v>-3.6559270000000001</v>
      </c>
      <c r="AJ1317" s="6">
        <v>-2.5594610000000002</v>
      </c>
      <c r="AK1317" s="6"/>
      <c r="AL1317" s="6"/>
      <c r="AM1317" s="6" t="e">
        <f t="shared" si="101"/>
        <v>#DIV/0!</v>
      </c>
    </row>
    <row r="1318" spans="29:39" x14ac:dyDescent="0.3">
      <c r="AC1318">
        <f t="shared" si="100"/>
        <v>0</v>
      </c>
      <c r="AD1318">
        <v>1315</v>
      </c>
      <c r="AE1318" s="4">
        <f t="shared" si="98"/>
        <v>42130</v>
      </c>
      <c r="AF1318" s="6" t="e">
        <f t="shared" si="99"/>
        <v>#DIV/0!</v>
      </c>
      <c r="AG1318" s="4">
        <v>42130</v>
      </c>
      <c r="AH1318" s="6">
        <v>-0.94652000000000003</v>
      </c>
      <c r="AI1318" s="6">
        <v>-1.418955</v>
      </c>
      <c r="AJ1318" s="6">
        <v>-0.33254800000000001</v>
      </c>
      <c r="AK1318" s="6"/>
      <c r="AL1318" s="6"/>
      <c r="AM1318" s="6" t="e">
        <f t="shared" si="101"/>
        <v>#DIV/0!</v>
      </c>
    </row>
    <row r="1319" spans="29:39" x14ac:dyDescent="0.3">
      <c r="AC1319">
        <f t="shared" si="100"/>
        <v>0</v>
      </c>
      <c r="AD1319">
        <v>1316</v>
      </c>
      <c r="AE1319" s="4">
        <f t="shared" si="98"/>
        <v>42131</v>
      </c>
      <c r="AF1319" s="6" t="e">
        <f t="shared" si="99"/>
        <v>#DIV/0!</v>
      </c>
      <c r="AG1319" s="4">
        <v>42131</v>
      </c>
      <c r="AH1319" s="6">
        <v>-1.8280700000000001</v>
      </c>
      <c r="AI1319" s="6">
        <v>-2.2209699999999999</v>
      </c>
      <c r="AJ1319" s="6">
        <v>-1.6791970000000001</v>
      </c>
      <c r="AK1319" s="6"/>
      <c r="AL1319" s="6"/>
      <c r="AM1319" s="6" t="e">
        <f t="shared" si="101"/>
        <v>#DIV/0!</v>
      </c>
    </row>
    <row r="1320" spans="29:39" x14ac:dyDescent="0.3">
      <c r="AC1320">
        <f t="shared" si="100"/>
        <v>0</v>
      </c>
      <c r="AD1320">
        <v>1317</v>
      </c>
      <c r="AE1320" s="4">
        <f t="shared" si="98"/>
        <v>42132</v>
      </c>
      <c r="AF1320" s="6" t="e">
        <f t="shared" si="99"/>
        <v>#DIV/0!</v>
      </c>
      <c r="AG1320" s="4">
        <v>42132</v>
      </c>
      <c r="AH1320" s="6">
        <v>1.9756880000000001</v>
      </c>
      <c r="AI1320" s="6">
        <v>3.768151</v>
      </c>
      <c r="AJ1320" s="6">
        <v>4.7710359999999996</v>
      </c>
      <c r="AK1320" s="6"/>
      <c r="AL1320" s="6"/>
      <c r="AM1320" s="6" t="e">
        <f t="shared" si="101"/>
        <v>#DIV/0!</v>
      </c>
    </row>
    <row r="1321" spans="29:39" x14ac:dyDescent="0.3">
      <c r="AC1321">
        <f t="shared" si="100"/>
        <v>0</v>
      </c>
      <c r="AD1321">
        <v>1318</v>
      </c>
      <c r="AE1321" s="4">
        <f t="shared" si="98"/>
        <v>42135</v>
      </c>
      <c r="AF1321" s="6" t="e">
        <f t="shared" si="99"/>
        <v>#DIV/0!</v>
      </c>
      <c r="AG1321" s="4">
        <v>42135</v>
      </c>
      <c r="AH1321" s="6">
        <v>2.898558</v>
      </c>
      <c r="AI1321" s="6">
        <v>4.3520580000000004</v>
      </c>
      <c r="AJ1321" s="6">
        <v>4.8396109999999997</v>
      </c>
      <c r="AK1321" s="6"/>
      <c r="AL1321" s="6"/>
      <c r="AM1321" s="6" t="e">
        <f t="shared" si="101"/>
        <v>#DIV/0!</v>
      </c>
    </row>
    <row r="1322" spans="29:39" x14ac:dyDescent="0.3">
      <c r="AC1322">
        <f t="shared" si="100"/>
        <v>0</v>
      </c>
      <c r="AD1322">
        <v>1319</v>
      </c>
      <c r="AE1322" s="4">
        <f t="shared" si="98"/>
        <v>42136</v>
      </c>
      <c r="AF1322" s="6" t="e">
        <f t="shared" si="99"/>
        <v>#DIV/0!</v>
      </c>
      <c r="AG1322" s="4">
        <v>42136</v>
      </c>
      <c r="AH1322" s="6">
        <v>1.212847</v>
      </c>
      <c r="AI1322" s="6">
        <v>2.1904089999999998</v>
      </c>
      <c r="AJ1322" s="6">
        <v>2.5976590000000002</v>
      </c>
      <c r="AK1322" s="6"/>
      <c r="AL1322" s="6"/>
      <c r="AM1322" s="6" t="e">
        <f t="shared" si="101"/>
        <v>#DIV/0!</v>
      </c>
    </row>
    <row r="1323" spans="29:39" x14ac:dyDescent="0.3">
      <c r="AC1323">
        <f t="shared" si="100"/>
        <v>0</v>
      </c>
      <c r="AD1323">
        <v>1320</v>
      </c>
      <c r="AE1323" s="4">
        <f t="shared" si="98"/>
        <v>42137</v>
      </c>
      <c r="AF1323" s="6" t="e">
        <f t="shared" si="99"/>
        <v>#DIV/0!</v>
      </c>
      <c r="AG1323" s="4">
        <v>42137</v>
      </c>
      <c r="AH1323" s="6">
        <v>-0.61054200000000003</v>
      </c>
      <c r="AI1323" s="6">
        <v>0.90617300000000001</v>
      </c>
      <c r="AJ1323" s="6">
        <v>0.77700400000000003</v>
      </c>
      <c r="AK1323" s="6"/>
      <c r="AL1323" s="6"/>
      <c r="AM1323" s="6" t="e">
        <f t="shared" si="101"/>
        <v>#DIV/0!</v>
      </c>
    </row>
    <row r="1324" spans="29:39" x14ac:dyDescent="0.3">
      <c r="AC1324">
        <f t="shared" si="100"/>
        <v>0</v>
      </c>
      <c r="AD1324">
        <v>1321</v>
      </c>
      <c r="AE1324" s="4">
        <f t="shared" si="98"/>
        <v>42138</v>
      </c>
      <c r="AF1324" s="6" t="e">
        <f t="shared" si="99"/>
        <v>#DIV/0!</v>
      </c>
      <c r="AG1324" s="4">
        <v>42138</v>
      </c>
      <c r="AH1324" s="6">
        <v>-0.37423400000000001</v>
      </c>
      <c r="AI1324" s="6">
        <v>-0.130721</v>
      </c>
      <c r="AJ1324" s="6">
        <v>0.66263799999999995</v>
      </c>
      <c r="AK1324" s="6"/>
      <c r="AL1324" s="6"/>
      <c r="AM1324" s="6" t="e">
        <f t="shared" si="101"/>
        <v>#DIV/0!</v>
      </c>
    </row>
    <row r="1325" spans="29:39" x14ac:dyDescent="0.3">
      <c r="AC1325">
        <f t="shared" si="100"/>
        <v>0</v>
      </c>
      <c r="AD1325">
        <v>1322</v>
      </c>
      <c r="AE1325" s="4">
        <f t="shared" si="98"/>
        <v>42139</v>
      </c>
      <c r="AF1325" s="6" t="e">
        <f t="shared" si="99"/>
        <v>#DIV/0!</v>
      </c>
      <c r="AG1325" s="4">
        <v>42139</v>
      </c>
      <c r="AH1325" s="6">
        <v>-1.7722169999999999</v>
      </c>
      <c r="AI1325" s="6">
        <v>-0.80001</v>
      </c>
      <c r="AJ1325" s="6">
        <v>6.0921999999999997E-2</v>
      </c>
      <c r="AK1325" s="6"/>
      <c r="AL1325" s="6"/>
      <c r="AM1325" s="6" t="e">
        <f t="shared" si="101"/>
        <v>#DIV/0!</v>
      </c>
    </row>
    <row r="1326" spans="29:39" x14ac:dyDescent="0.3">
      <c r="AC1326">
        <f t="shared" si="100"/>
        <v>0</v>
      </c>
      <c r="AD1326">
        <v>1323</v>
      </c>
      <c r="AE1326" s="4">
        <f t="shared" si="98"/>
        <v>42142</v>
      </c>
      <c r="AF1326" s="6" t="e">
        <f t="shared" si="99"/>
        <v>#DIV/0!</v>
      </c>
      <c r="AG1326" s="4">
        <v>42142</v>
      </c>
      <c r="AH1326" s="6">
        <v>-0.916736</v>
      </c>
      <c r="AI1326" s="6">
        <v>1.8381799999999999</v>
      </c>
      <c r="AJ1326" s="6">
        <v>2.8913530000000001</v>
      </c>
      <c r="AK1326" s="6"/>
      <c r="AL1326" s="6"/>
      <c r="AM1326" s="6" t="e">
        <f t="shared" si="101"/>
        <v>#DIV/0!</v>
      </c>
    </row>
    <row r="1327" spans="29:39" x14ac:dyDescent="0.3">
      <c r="AC1327">
        <f t="shared" si="100"/>
        <v>0</v>
      </c>
      <c r="AD1327">
        <v>1324</v>
      </c>
      <c r="AE1327" s="4">
        <f t="shared" si="98"/>
        <v>42143</v>
      </c>
      <c r="AF1327" s="6" t="e">
        <f t="shared" si="99"/>
        <v>#DIV/0!</v>
      </c>
      <c r="AG1327" s="4">
        <v>42143</v>
      </c>
      <c r="AH1327" s="6">
        <v>3.411524</v>
      </c>
      <c r="AI1327" s="6">
        <v>2.4848170000000001</v>
      </c>
      <c r="AJ1327" s="6">
        <v>2.5045310000000001</v>
      </c>
      <c r="AK1327" s="6"/>
      <c r="AL1327" s="6"/>
      <c r="AM1327" s="6" t="e">
        <f t="shared" si="101"/>
        <v>#DIV/0!</v>
      </c>
    </row>
    <row r="1328" spans="29:39" x14ac:dyDescent="0.3">
      <c r="AC1328">
        <f t="shared" si="100"/>
        <v>0</v>
      </c>
      <c r="AD1328">
        <v>1325</v>
      </c>
      <c r="AE1328" s="4">
        <f t="shared" si="98"/>
        <v>42144</v>
      </c>
      <c r="AF1328" s="6" t="e">
        <f t="shared" si="99"/>
        <v>#DIV/0!</v>
      </c>
      <c r="AG1328" s="4">
        <v>42144</v>
      </c>
      <c r="AH1328" s="6">
        <v>0.50086399999999998</v>
      </c>
      <c r="AI1328" s="6">
        <v>1.6712419999999999</v>
      </c>
      <c r="AJ1328" s="6">
        <v>2.544171</v>
      </c>
      <c r="AK1328" s="6"/>
      <c r="AL1328" s="6"/>
      <c r="AM1328" s="6" t="e">
        <f t="shared" si="101"/>
        <v>#DIV/0!</v>
      </c>
    </row>
    <row r="1329" spans="29:39" x14ac:dyDescent="0.3">
      <c r="AC1329">
        <f t="shared" si="100"/>
        <v>0</v>
      </c>
      <c r="AD1329">
        <v>1326</v>
      </c>
      <c r="AE1329" s="4">
        <f t="shared" si="98"/>
        <v>42145</v>
      </c>
      <c r="AF1329" s="6" t="e">
        <f t="shared" si="99"/>
        <v>#DIV/0!</v>
      </c>
      <c r="AG1329" s="4">
        <v>42145</v>
      </c>
      <c r="AH1329" s="6">
        <v>1.809852</v>
      </c>
      <c r="AI1329" s="6">
        <v>3.685241</v>
      </c>
      <c r="AJ1329" s="6">
        <v>3.7394180000000001</v>
      </c>
      <c r="AK1329" s="6"/>
      <c r="AL1329" s="6"/>
      <c r="AM1329" s="6" t="e">
        <f t="shared" si="101"/>
        <v>#DIV/0!</v>
      </c>
    </row>
    <row r="1330" spans="29:39" x14ac:dyDescent="0.3">
      <c r="AC1330">
        <f t="shared" si="100"/>
        <v>0</v>
      </c>
      <c r="AD1330">
        <v>1327</v>
      </c>
      <c r="AE1330" s="4">
        <f t="shared" si="98"/>
        <v>42146</v>
      </c>
      <c r="AF1330" s="6" t="e">
        <f t="shared" si="99"/>
        <v>#DIV/0!</v>
      </c>
      <c r="AG1330" s="4">
        <v>42146</v>
      </c>
      <c r="AH1330" s="6">
        <v>2.2796850000000002</v>
      </c>
      <c r="AI1330" s="6">
        <v>1.6524000000000001</v>
      </c>
      <c r="AJ1330" s="6">
        <v>0.80438299999999996</v>
      </c>
      <c r="AK1330" s="6"/>
      <c r="AL1330" s="6"/>
      <c r="AM1330" s="6" t="e">
        <f t="shared" si="101"/>
        <v>#DIV/0!</v>
      </c>
    </row>
    <row r="1331" spans="29:39" x14ac:dyDescent="0.3">
      <c r="AC1331">
        <f t="shared" si="100"/>
        <v>0</v>
      </c>
      <c r="AD1331">
        <v>1328</v>
      </c>
      <c r="AE1331" s="4">
        <f t="shared" si="98"/>
        <v>42149</v>
      </c>
      <c r="AF1331" s="6" t="e">
        <f t="shared" si="99"/>
        <v>#DIV/0!</v>
      </c>
      <c r="AG1331" s="4">
        <v>42149</v>
      </c>
      <c r="AH1331" s="6">
        <v>2.992324</v>
      </c>
      <c r="AI1331" s="6">
        <v>2.6786089999999998</v>
      </c>
      <c r="AJ1331" s="6">
        <v>1.5021329999999999</v>
      </c>
      <c r="AK1331" s="6"/>
      <c r="AL1331" s="6"/>
      <c r="AM1331" s="6" t="e">
        <f t="shared" si="101"/>
        <v>#DIV/0!</v>
      </c>
    </row>
    <row r="1332" spans="29:39" x14ac:dyDescent="0.3">
      <c r="AC1332">
        <f t="shared" si="100"/>
        <v>0</v>
      </c>
      <c r="AD1332">
        <v>1329</v>
      </c>
      <c r="AE1332" s="4">
        <f t="shared" si="98"/>
        <v>42150</v>
      </c>
      <c r="AF1332" s="6" t="e">
        <f t="shared" si="99"/>
        <v>#DIV/0!</v>
      </c>
      <c r="AG1332" s="4">
        <v>42150</v>
      </c>
      <c r="AH1332" s="6">
        <v>1.9496640000000001</v>
      </c>
      <c r="AI1332" s="6">
        <v>3.3215840000000001</v>
      </c>
      <c r="AJ1332" s="6">
        <v>4.0646469999999999</v>
      </c>
      <c r="AK1332" s="6"/>
      <c r="AL1332" s="6"/>
      <c r="AM1332" s="6" t="e">
        <f t="shared" si="101"/>
        <v>#DIV/0!</v>
      </c>
    </row>
    <row r="1333" spans="29:39" x14ac:dyDescent="0.3">
      <c r="AC1333">
        <f t="shared" si="100"/>
        <v>0</v>
      </c>
      <c r="AD1333">
        <v>1330</v>
      </c>
      <c r="AE1333" s="4">
        <f t="shared" si="98"/>
        <v>42151</v>
      </c>
      <c r="AF1333" s="6" t="e">
        <f t="shared" si="99"/>
        <v>#DIV/0!</v>
      </c>
      <c r="AG1333" s="4">
        <v>42151</v>
      </c>
      <c r="AH1333" s="6">
        <v>-0.33630100000000002</v>
      </c>
      <c r="AI1333" s="6">
        <v>1.193031</v>
      </c>
      <c r="AJ1333" s="6">
        <v>1.3524050000000001</v>
      </c>
      <c r="AK1333" s="6"/>
      <c r="AL1333" s="6"/>
      <c r="AM1333" s="6" t="e">
        <f t="shared" si="101"/>
        <v>#DIV/0!</v>
      </c>
    </row>
    <row r="1334" spans="29:39" x14ac:dyDescent="0.3">
      <c r="AC1334">
        <f t="shared" si="100"/>
        <v>0</v>
      </c>
      <c r="AD1334">
        <v>1331</v>
      </c>
      <c r="AE1334" s="4">
        <f t="shared" si="98"/>
        <v>42152</v>
      </c>
      <c r="AF1334" s="6" t="e">
        <f t="shared" si="99"/>
        <v>#DIV/0!</v>
      </c>
      <c r="AG1334" s="4">
        <v>42152</v>
      </c>
      <c r="AH1334" s="6">
        <v>-6.7052290000000001</v>
      </c>
      <c r="AI1334" s="6">
        <v>-5.9911940000000001</v>
      </c>
      <c r="AJ1334" s="6">
        <v>-5.6216249999999999</v>
      </c>
      <c r="AK1334" s="6"/>
      <c r="AL1334" s="6"/>
      <c r="AM1334" s="6" t="e">
        <f t="shared" si="101"/>
        <v>#DIV/0!</v>
      </c>
    </row>
    <row r="1335" spans="29:39" x14ac:dyDescent="0.3">
      <c r="AC1335">
        <f t="shared" si="100"/>
        <v>0</v>
      </c>
      <c r="AD1335">
        <v>1332</v>
      </c>
      <c r="AE1335" s="4">
        <f t="shared" si="98"/>
        <v>42153</v>
      </c>
      <c r="AF1335" s="6" t="e">
        <f t="shared" si="99"/>
        <v>#DIV/0!</v>
      </c>
      <c r="AG1335" s="4">
        <v>42153</v>
      </c>
      <c r="AH1335" s="6">
        <v>0.141125</v>
      </c>
      <c r="AI1335" s="6">
        <v>0.99733300000000003</v>
      </c>
      <c r="AJ1335" s="6">
        <v>1.624309</v>
      </c>
      <c r="AK1335" s="6"/>
      <c r="AL1335" s="6"/>
      <c r="AM1335" s="6" t="e">
        <f t="shared" si="101"/>
        <v>#DIV/0!</v>
      </c>
    </row>
    <row r="1336" spans="29:39" x14ac:dyDescent="0.3">
      <c r="AC1336">
        <f t="shared" si="100"/>
        <v>0</v>
      </c>
      <c r="AD1336">
        <v>1333</v>
      </c>
      <c r="AE1336" s="4">
        <f t="shared" si="98"/>
        <v>42156</v>
      </c>
      <c r="AF1336" s="6" t="e">
        <f t="shared" si="99"/>
        <v>#DIV/0!</v>
      </c>
      <c r="AG1336" s="4">
        <v>42156</v>
      </c>
      <c r="AH1336" s="6">
        <v>4.8617710000000001</v>
      </c>
      <c r="AI1336" s="6">
        <v>5.2319969999999998</v>
      </c>
      <c r="AJ1336" s="6">
        <v>5.0967169999999999</v>
      </c>
      <c r="AK1336" s="6"/>
      <c r="AL1336" s="6"/>
      <c r="AM1336" s="6" t="e">
        <f t="shared" si="101"/>
        <v>#DIV/0!</v>
      </c>
    </row>
    <row r="1337" spans="29:39" x14ac:dyDescent="0.3">
      <c r="AC1337">
        <f t="shared" si="100"/>
        <v>0</v>
      </c>
      <c r="AD1337">
        <v>1334</v>
      </c>
      <c r="AE1337" s="4">
        <f t="shared" si="98"/>
        <v>42157</v>
      </c>
      <c r="AF1337" s="6" t="e">
        <f t="shared" si="99"/>
        <v>#DIV/0!</v>
      </c>
      <c r="AG1337" s="4">
        <v>42157</v>
      </c>
      <c r="AH1337" s="6">
        <v>1.6880999999999999</v>
      </c>
      <c r="AI1337" s="6">
        <v>3.7955589999999999</v>
      </c>
      <c r="AJ1337" s="6">
        <v>4.2739229999999999</v>
      </c>
      <c r="AK1337" s="6"/>
      <c r="AL1337" s="6"/>
      <c r="AM1337" s="6" t="e">
        <f t="shared" si="101"/>
        <v>#DIV/0!</v>
      </c>
    </row>
    <row r="1338" spans="29:39" x14ac:dyDescent="0.3">
      <c r="AC1338">
        <f t="shared" si="100"/>
        <v>0</v>
      </c>
      <c r="AD1338">
        <v>1335</v>
      </c>
      <c r="AE1338" s="4">
        <f t="shared" si="98"/>
        <v>42158</v>
      </c>
      <c r="AF1338" s="6" t="e">
        <f t="shared" si="99"/>
        <v>#DIV/0!</v>
      </c>
      <c r="AG1338" s="4">
        <v>42158</v>
      </c>
      <c r="AH1338" s="6">
        <v>-0.35413499999999998</v>
      </c>
      <c r="AI1338" s="6">
        <v>0.85969700000000004</v>
      </c>
      <c r="AJ1338" s="6">
        <v>0.56233</v>
      </c>
      <c r="AK1338" s="6"/>
      <c r="AL1338" s="6"/>
      <c r="AM1338" s="6" t="e">
        <f t="shared" si="101"/>
        <v>#DIV/0!</v>
      </c>
    </row>
    <row r="1339" spans="29:39" x14ac:dyDescent="0.3">
      <c r="AC1339">
        <f t="shared" si="100"/>
        <v>0</v>
      </c>
      <c r="AD1339">
        <v>1336</v>
      </c>
      <c r="AE1339" s="4">
        <f t="shared" si="98"/>
        <v>42159</v>
      </c>
      <c r="AF1339" s="6" t="e">
        <f t="shared" si="99"/>
        <v>#DIV/0!</v>
      </c>
      <c r="AG1339" s="4">
        <v>42159</v>
      </c>
      <c r="AH1339" s="6">
        <v>0.73540099999999997</v>
      </c>
      <c r="AI1339" s="6">
        <v>-0.13278699999999999</v>
      </c>
      <c r="AJ1339" s="6">
        <v>-0.33399299999999998</v>
      </c>
      <c r="AK1339" s="6"/>
      <c r="AL1339" s="6"/>
      <c r="AM1339" s="6" t="e">
        <f t="shared" si="101"/>
        <v>#DIV/0!</v>
      </c>
    </row>
    <row r="1340" spans="29:39" x14ac:dyDescent="0.3">
      <c r="AC1340">
        <f t="shared" si="100"/>
        <v>0</v>
      </c>
      <c r="AD1340">
        <v>1337</v>
      </c>
      <c r="AE1340" s="4">
        <f t="shared" si="98"/>
        <v>42160</v>
      </c>
      <c r="AF1340" s="6" t="e">
        <f t="shared" si="99"/>
        <v>#DIV/0!</v>
      </c>
      <c r="AG1340" s="4">
        <v>42160</v>
      </c>
      <c r="AH1340" s="6">
        <v>0.94831200000000004</v>
      </c>
      <c r="AI1340" s="6">
        <v>1.6334090000000001</v>
      </c>
      <c r="AJ1340" s="6">
        <v>1.0979369999999999</v>
      </c>
      <c r="AK1340" s="6"/>
      <c r="AL1340" s="6"/>
      <c r="AM1340" s="6" t="e">
        <f t="shared" si="101"/>
        <v>#DIV/0!</v>
      </c>
    </row>
    <row r="1341" spans="29:39" x14ac:dyDescent="0.3">
      <c r="AC1341">
        <f t="shared" si="100"/>
        <v>0</v>
      </c>
      <c r="AD1341">
        <v>1338</v>
      </c>
      <c r="AE1341" s="4">
        <f t="shared" si="98"/>
        <v>42163</v>
      </c>
      <c r="AF1341" s="6" t="e">
        <f t="shared" si="99"/>
        <v>#DIV/0!</v>
      </c>
      <c r="AG1341" s="4">
        <v>42163</v>
      </c>
      <c r="AH1341" s="6">
        <v>2.3553730000000002</v>
      </c>
      <c r="AI1341" s="6">
        <v>-1.0193350000000001</v>
      </c>
      <c r="AJ1341" s="6">
        <v>-2.5302519999999999</v>
      </c>
      <c r="AK1341" s="6"/>
      <c r="AL1341" s="6"/>
      <c r="AM1341" s="6" t="e">
        <f t="shared" si="101"/>
        <v>#DIV/0!</v>
      </c>
    </row>
    <row r="1342" spans="29:39" x14ac:dyDescent="0.3">
      <c r="AC1342">
        <f t="shared" si="100"/>
        <v>0</v>
      </c>
      <c r="AD1342">
        <v>1339</v>
      </c>
      <c r="AE1342" s="4">
        <f t="shared" si="98"/>
        <v>42164</v>
      </c>
      <c r="AF1342" s="6" t="e">
        <f t="shared" si="99"/>
        <v>#DIV/0!</v>
      </c>
      <c r="AG1342" s="4">
        <v>42164</v>
      </c>
      <c r="AH1342" s="6">
        <v>-0.67784299999999997</v>
      </c>
      <c r="AI1342" s="6">
        <v>-0.15574399999999999</v>
      </c>
      <c r="AJ1342" s="6">
        <v>4.6100000000000002E-2</v>
      </c>
      <c r="AK1342" s="6"/>
      <c r="AL1342" s="6"/>
      <c r="AM1342" s="6" t="e">
        <f t="shared" si="101"/>
        <v>#DIV/0!</v>
      </c>
    </row>
    <row r="1343" spans="29:39" x14ac:dyDescent="0.3">
      <c r="AC1343">
        <f t="shared" si="100"/>
        <v>0</v>
      </c>
      <c r="AD1343">
        <v>1340</v>
      </c>
      <c r="AE1343" s="4">
        <f t="shared" si="98"/>
        <v>42165</v>
      </c>
      <c r="AF1343" s="6" t="e">
        <f t="shared" si="99"/>
        <v>#DIV/0!</v>
      </c>
      <c r="AG1343" s="4">
        <v>42165</v>
      </c>
      <c r="AH1343" s="6">
        <v>-0.15701100000000001</v>
      </c>
      <c r="AI1343" s="6">
        <v>1.764321</v>
      </c>
      <c r="AJ1343" s="6">
        <v>2.5207380000000001</v>
      </c>
      <c r="AK1343" s="6"/>
      <c r="AL1343" s="6"/>
      <c r="AM1343" s="6" t="e">
        <f t="shared" si="101"/>
        <v>#DIV/0!</v>
      </c>
    </row>
    <row r="1344" spans="29:39" x14ac:dyDescent="0.3">
      <c r="AC1344">
        <f t="shared" si="100"/>
        <v>0</v>
      </c>
      <c r="AD1344">
        <v>1341</v>
      </c>
      <c r="AE1344" s="4">
        <f t="shared" si="98"/>
        <v>42166</v>
      </c>
      <c r="AF1344" s="6" t="e">
        <f t="shared" si="99"/>
        <v>#DIV/0!</v>
      </c>
      <c r="AG1344" s="4">
        <v>42166</v>
      </c>
      <c r="AH1344" s="6">
        <v>-4.7502999999999997E-2</v>
      </c>
      <c r="AI1344" s="6">
        <v>1.4117999999999999</v>
      </c>
      <c r="AJ1344" s="6">
        <v>2.1233179999999998</v>
      </c>
      <c r="AK1344" s="6"/>
      <c r="AL1344" s="6"/>
      <c r="AM1344" s="6" t="e">
        <f t="shared" si="101"/>
        <v>#DIV/0!</v>
      </c>
    </row>
    <row r="1345" spans="29:39" x14ac:dyDescent="0.3">
      <c r="AC1345">
        <f t="shared" si="100"/>
        <v>0</v>
      </c>
      <c r="AD1345">
        <v>1342</v>
      </c>
      <c r="AE1345" s="4">
        <f t="shared" si="98"/>
        <v>42167</v>
      </c>
      <c r="AF1345" s="6" t="e">
        <f t="shared" si="99"/>
        <v>#DIV/0!</v>
      </c>
      <c r="AG1345" s="4">
        <v>42167</v>
      </c>
      <c r="AH1345" s="6">
        <v>0.53754100000000005</v>
      </c>
      <c r="AI1345" s="6">
        <v>1.5800890000000001</v>
      </c>
      <c r="AJ1345" s="6">
        <v>1.607823</v>
      </c>
      <c r="AK1345" s="6"/>
      <c r="AL1345" s="6"/>
      <c r="AM1345" s="6" t="e">
        <f t="shared" si="101"/>
        <v>#DIV/0!</v>
      </c>
    </row>
    <row r="1346" spans="29:39" x14ac:dyDescent="0.3">
      <c r="AC1346">
        <f t="shared" si="100"/>
        <v>0</v>
      </c>
      <c r="AD1346">
        <v>1343</v>
      </c>
      <c r="AE1346" s="4">
        <f t="shared" si="98"/>
        <v>42170</v>
      </c>
      <c r="AF1346" s="6" t="e">
        <f t="shared" si="99"/>
        <v>#DIV/0!</v>
      </c>
      <c r="AG1346" s="4">
        <v>42170</v>
      </c>
      <c r="AH1346" s="6">
        <v>-2.1358229999999998</v>
      </c>
      <c r="AI1346" s="6">
        <v>-1.8448</v>
      </c>
      <c r="AJ1346" s="6">
        <v>-1.9895620000000001</v>
      </c>
      <c r="AK1346" s="6"/>
      <c r="AL1346" s="6"/>
      <c r="AM1346" s="6" t="e">
        <f t="shared" si="101"/>
        <v>#DIV/0!</v>
      </c>
    </row>
    <row r="1347" spans="29:39" x14ac:dyDescent="0.3">
      <c r="AC1347">
        <f t="shared" si="100"/>
        <v>0</v>
      </c>
      <c r="AD1347">
        <v>1344</v>
      </c>
      <c r="AE1347" s="4">
        <f t="shared" si="98"/>
        <v>42171</v>
      </c>
      <c r="AF1347" s="6" t="e">
        <f t="shared" si="99"/>
        <v>#DIV/0!</v>
      </c>
      <c r="AG1347" s="4">
        <v>42171</v>
      </c>
      <c r="AH1347" s="6">
        <v>-2.9944519999999999</v>
      </c>
      <c r="AI1347" s="6">
        <v>-3.9977100000000001</v>
      </c>
      <c r="AJ1347" s="6">
        <v>-4.117254</v>
      </c>
      <c r="AK1347" s="6"/>
      <c r="AL1347" s="6"/>
      <c r="AM1347" s="6" t="e">
        <f t="shared" si="101"/>
        <v>#DIV/0!</v>
      </c>
    </row>
    <row r="1348" spans="29:39" x14ac:dyDescent="0.3">
      <c r="AC1348">
        <f t="shared" si="100"/>
        <v>0</v>
      </c>
      <c r="AD1348">
        <v>1345</v>
      </c>
      <c r="AE1348" s="4">
        <f t="shared" si="98"/>
        <v>42172</v>
      </c>
      <c r="AF1348" s="6" t="e">
        <f t="shared" si="99"/>
        <v>#DIV/0!</v>
      </c>
      <c r="AG1348" s="4">
        <v>42172</v>
      </c>
      <c r="AH1348" s="6">
        <v>1.461246</v>
      </c>
      <c r="AI1348" s="6">
        <v>2.028613</v>
      </c>
      <c r="AJ1348" s="6">
        <v>2.163427</v>
      </c>
      <c r="AK1348" s="6"/>
      <c r="AL1348" s="6"/>
      <c r="AM1348" s="6" t="e">
        <f t="shared" si="101"/>
        <v>#DIV/0!</v>
      </c>
    </row>
    <row r="1349" spans="29:39" x14ac:dyDescent="0.3">
      <c r="AC1349">
        <f t="shared" si="100"/>
        <v>0</v>
      </c>
      <c r="AD1349">
        <v>1346</v>
      </c>
      <c r="AE1349" s="4">
        <f t="shared" ref="AE1349:AE1412" si="102">AG1349</f>
        <v>42173</v>
      </c>
      <c r="AF1349" s="6" t="e">
        <f t="shared" ref="AF1349:AF1412" si="103">AM1349</f>
        <v>#DIV/0!</v>
      </c>
      <c r="AG1349" s="4">
        <v>42173</v>
      </c>
      <c r="AH1349" s="6">
        <v>-4.0530929999999996</v>
      </c>
      <c r="AI1349" s="6">
        <v>-3.3256640000000002</v>
      </c>
      <c r="AJ1349" s="6">
        <v>-3.2837369999999999</v>
      </c>
      <c r="AK1349" s="6"/>
      <c r="AL1349" s="6"/>
      <c r="AM1349" s="6" t="e">
        <f t="shared" si="101"/>
        <v>#DIV/0!</v>
      </c>
    </row>
    <row r="1350" spans="29:39" x14ac:dyDescent="0.3">
      <c r="AC1350">
        <f t="shared" ref="AC1350:AC1413" si="104">IF(AE1350&lt;=AE1349,1,0)</f>
        <v>0</v>
      </c>
      <c r="AD1350">
        <v>1347</v>
      </c>
      <c r="AE1350" s="4">
        <f t="shared" si="102"/>
        <v>42174</v>
      </c>
      <c r="AF1350" s="6" t="e">
        <f t="shared" si="103"/>
        <v>#DIV/0!</v>
      </c>
      <c r="AG1350" s="4">
        <v>42174</v>
      </c>
      <c r="AH1350" s="6">
        <v>-5.9526310000000002</v>
      </c>
      <c r="AI1350" s="6">
        <v>-6.9326720000000002</v>
      </c>
      <c r="AJ1350" s="6">
        <v>-6.5270929999999998</v>
      </c>
      <c r="AK1350" s="6"/>
      <c r="AL1350" s="6"/>
      <c r="AM1350" s="6" t="e">
        <f t="shared" ref="AM1350:AM1413" si="105">(AL1350/AL1349-1)*100</f>
        <v>#DIV/0!</v>
      </c>
    </row>
    <row r="1351" spans="29:39" x14ac:dyDescent="0.3">
      <c r="AC1351">
        <f t="shared" si="104"/>
        <v>0</v>
      </c>
      <c r="AD1351">
        <v>1348</v>
      </c>
      <c r="AE1351" s="4">
        <f t="shared" si="102"/>
        <v>42178</v>
      </c>
      <c r="AF1351" s="6" t="e">
        <f t="shared" si="103"/>
        <v>#DIV/0!</v>
      </c>
      <c r="AG1351" s="4">
        <v>42178</v>
      </c>
      <c r="AH1351" s="6">
        <v>3.2140879999999998</v>
      </c>
      <c r="AI1351" s="6">
        <v>0.59552499999999997</v>
      </c>
      <c r="AJ1351" s="6">
        <v>0.171239</v>
      </c>
      <c r="AK1351" s="6"/>
      <c r="AL1351" s="6"/>
      <c r="AM1351" s="6" t="e">
        <f t="shared" si="105"/>
        <v>#DIV/0!</v>
      </c>
    </row>
    <row r="1352" spans="29:39" x14ac:dyDescent="0.3">
      <c r="AC1352">
        <f t="shared" si="104"/>
        <v>0</v>
      </c>
      <c r="AD1352">
        <v>1349</v>
      </c>
      <c r="AE1352" s="4">
        <f t="shared" si="102"/>
        <v>42179</v>
      </c>
      <c r="AF1352" s="6" t="e">
        <f t="shared" si="103"/>
        <v>#DIV/0!</v>
      </c>
      <c r="AG1352" s="4">
        <v>42179</v>
      </c>
      <c r="AH1352" s="6">
        <v>1.964766</v>
      </c>
      <c r="AI1352" s="6">
        <v>2.1971159999999998</v>
      </c>
      <c r="AJ1352" s="6">
        <v>2.044727</v>
      </c>
      <c r="AK1352" s="6"/>
      <c r="AL1352" s="6"/>
      <c r="AM1352" s="6" t="e">
        <f t="shared" si="105"/>
        <v>#DIV/0!</v>
      </c>
    </row>
    <row r="1353" spans="29:39" x14ac:dyDescent="0.3">
      <c r="AC1353">
        <f t="shared" si="104"/>
        <v>0</v>
      </c>
      <c r="AD1353">
        <v>1350</v>
      </c>
      <c r="AE1353" s="4">
        <f t="shared" si="102"/>
        <v>42180</v>
      </c>
      <c r="AF1353" s="6" t="e">
        <f t="shared" si="103"/>
        <v>#DIV/0!</v>
      </c>
      <c r="AG1353" s="4">
        <v>42180</v>
      </c>
      <c r="AH1353" s="6">
        <v>-3.5574940000000002</v>
      </c>
      <c r="AI1353" s="6">
        <v>-3.5209980000000001</v>
      </c>
      <c r="AJ1353" s="6">
        <v>-4.1559660000000003</v>
      </c>
      <c r="AK1353" s="6"/>
      <c r="AL1353" s="6"/>
      <c r="AM1353" s="6" t="e">
        <f t="shared" si="105"/>
        <v>#DIV/0!</v>
      </c>
    </row>
    <row r="1354" spans="29:39" x14ac:dyDescent="0.3">
      <c r="AC1354">
        <f t="shared" si="104"/>
        <v>0</v>
      </c>
      <c r="AD1354">
        <v>1351</v>
      </c>
      <c r="AE1354" s="4">
        <f t="shared" si="102"/>
        <v>42181</v>
      </c>
      <c r="AF1354" s="6" t="e">
        <f t="shared" si="103"/>
        <v>#DIV/0!</v>
      </c>
      <c r="AG1354" s="4">
        <v>42181</v>
      </c>
      <c r="AH1354" s="6">
        <v>-7.8682660000000002</v>
      </c>
      <c r="AI1354" s="6">
        <v>-8.3588760000000004</v>
      </c>
      <c r="AJ1354" s="6">
        <v>-8.0696820000000002</v>
      </c>
      <c r="AK1354" s="6"/>
      <c r="AL1354" s="6"/>
      <c r="AM1354" s="6" t="e">
        <f t="shared" si="105"/>
        <v>#DIV/0!</v>
      </c>
    </row>
    <row r="1355" spans="29:39" x14ac:dyDescent="0.3">
      <c r="AC1355">
        <f t="shared" si="104"/>
        <v>0</v>
      </c>
      <c r="AD1355">
        <v>1352</v>
      </c>
      <c r="AE1355" s="4">
        <f t="shared" si="102"/>
        <v>42184</v>
      </c>
      <c r="AF1355" s="6" t="e">
        <f t="shared" si="103"/>
        <v>#DIV/0!</v>
      </c>
      <c r="AG1355" s="4">
        <v>42184</v>
      </c>
      <c r="AH1355" s="6">
        <v>-3.3357839999999999</v>
      </c>
      <c r="AI1355" s="6">
        <v>-6.5368709999999997</v>
      </c>
      <c r="AJ1355" s="6">
        <v>-7.0302749999999996</v>
      </c>
      <c r="AK1355" s="6"/>
      <c r="AL1355" s="6"/>
      <c r="AM1355" s="6" t="e">
        <f t="shared" si="105"/>
        <v>#DIV/0!</v>
      </c>
    </row>
    <row r="1356" spans="29:39" x14ac:dyDescent="0.3">
      <c r="AC1356">
        <f t="shared" si="104"/>
        <v>0</v>
      </c>
      <c r="AD1356">
        <v>1353</v>
      </c>
      <c r="AE1356" s="4">
        <f t="shared" si="102"/>
        <v>42185</v>
      </c>
      <c r="AF1356" s="6" t="e">
        <f t="shared" si="103"/>
        <v>#DIV/0!</v>
      </c>
      <c r="AG1356" s="4">
        <v>42185</v>
      </c>
      <c r="AH1356" s="6">
        <v>6.7146780000000001</v>
      </c>
      <c r="AI1356" s="6">
        <v>4.9663469999999998</v>
      </c>
      <c r="AJ1356" s="6">
        <v>4.3593130000000002</v>
      </c>
      <c r="AK1356" s="6"/>
      <c r="AL1356" s="6"/>
      <c r="AM1356" s="6" t="e">
        <f t="shared" si="105"/>
        <v>#DIV/0!</v>
      </c>
    </row>
    <row r="1357" spans="29:39" x14ac:dyDescent="0.3">
      <c r="AC1357">
        <f t="shared" si="104"/>
        <v>0</v>
      </c>
      <c r="AD1357">
        <v>1354</v>
      </c>
      <c r="AE1357" s="4">
        <f t="shared" si="102"/>
        <v>42186</v>
      </c>
      <c r="AF1357" s="6" t="e">
        <f t="shared" si="103"/>
        <v>#DIV/0!</v>
      </c>
      <c r="AG1357" s="4">
        <v>42186</v>
      </c>
      <c r="AH1357" s="6">
        <v>-4.9178790000000001</v>
      </c>
      <c r="AI1357" s="6">
        <v>-5.5480510000000001</v>
      </c>
      <c r="AJ1357" s="6">
        <v>-5.6887340000000002</v>
      </c>
      <c r="AK1357" s="6"/>
      <c r="AL1357" s="6"/>
      <c r="AM1357" s="6" t="e">
        <f t="shared" si="105"/>
        <v>#DIV/0!</v>
      </c>
    </row>
    <row r="1358" spans="29:39" x14ac:dyDescent="0.3">
      <c r="AC1358">
        <f t="shared" si="104"/>
        <v>0</v>
      </c>
      <c r="AD1358">
        <v>1355</v>
      </c>
      <c r="AE1358" s="4">
        <f t="shared" si="102"/>
        <v>42187</v>
      </c>
      <c r="AF1358" s="6" t="e">
        <f t="shared" si="103"/>
        <v>#DIV/0!</v>
      </c>
      <c r="AG1358" s="4">
        <v>42187</v>
      </c>
      <c r="AH1358" s="6">
        <v>-3.4099270000000002</v>
      </c>
      <c r="AI1358" s="6">
        <v>-6.8570180000000001</v>
      </c>
      <c r="AJ1358" s="6">
        <v>-6.8162070000000003</v>
      </c>
      <c r="AK1358" s="6"/>
      <c r="AL1358" s="6"/>
      <c r="AM1358" s="6" t="e">
        <f t="shared" si="105"/>
        <v>#DIV/0!</v>
      </c>
    </row>
    <row r="1359" spans="29:39" x14ac:dyDescent="0.3">
      <c r="AC1359">
        <f t="shared" si="104"/>
        <v>0</v>
      </c>
      <c r="AD1359">
        <v>1356</v>
      </c>
      <c r="AE1359" s="4">
        <f t="shared" si="102"/>
        <v>42188</v>
      </c>
      <c r="AF1359" s="6" t="e">
        <f t="shared" si="103"/>
        <v>#DIV/0!</v>
      </c>
      <c r="AG1359" s="4">
        <v>42188</v>
      </c>
      <c r="AH1359" s="6">
        <v>-5.4060230000000002</v>
      </c>
      <c r="AI1359" s="6">
        <v>-6.1213290000000002</v>
      </c>
      <c r="AJ1359" s="6">
        <v>-6.4347479999999999</v>
      </c>
      <c r="AK1359" s="6"/>
      <c r="AL1359" s="6"/>
      <c r="AM1359" s="6" t="e">
        <f t="shared" si="105"/>
        <v>#DIV/0!</v>
      </c>
    </row>
    <row r="1360" spans="29:39" x14ac:dyDescent="0.3">
      <c r="AC1360">
        <f t="shared" si="104"/>
        <v>0</v>
      </c>
      <c r="AD1360">
        <v>1357</v>
      </c>
      <c r="AE1360" s="4">
        <f t="shared" si="102"/>
        <v>42191</v>
      </c>
      <c r="AF1360" s="6" t="e">
        <f t="shared" si="103"/>
        <v>#DIV/0!</v>
      </c>
      <c r="AG1360" s="4">
        <v>42191</v>
      </c>
      <c r="AH1360" s="6">
        <v>2.8981599999999998</v>
      </c>
      <c r="AI1360" s="6">
        <v>-1.624528</v>
      </c>
      <c r="AJ1360" s="6">
        <v>-5.3406849999999997</v>
      </c>
      <c r="AK1360" s="6"/>
      <c r="AL1360" s="6"/>
      <c r="AM1360" s="6" t="e">
        <f t="shared" si="105"/>
        <v>#DIV/0!</v>
      </c>
    </row>
    <row r="1361" spans="29:39" x14ac:dyDescent="0.3">
      <c r="AC1361">
        <f t="shared" si="104"/>
        <v>0</v>
      </c>
      <c r="AD1361">
        <v>1358</v>
      </c>
      <c r="AE1361" s="4">
        <f t="shared" si="102"/>
        <v>42192</v>
      </c>
      <c r="AF1361" s="6" t="e">
        <f t="shared" si="103"/>
        <v>#DIV/0!</v>
      </c>
      <c r="AG1361" s="4">
        <v>42192</v>
      </c>
      <c r="AH1361" s="6">
        <v>-1.764008</v>
      </c>
      <c r="AI1361" s="6">
        <v>-6.5294740000000004</v>
      </c>
      <c r="AJ1361" s="6">
        <v>-5.6754860000000003</v>
      </c>
      <c r="AK1361" s="6"/>
      <c r="AL1361" s="6"/>
      <c r="AM1361" s="6" t="e">
        <f t="shared" si="105"/>
        <v>#DIV/0!</v>
      </c>
    </row>
    <row r="1362" spans="29:39" x14ac:dyDescent="0.3">
      <c r="AC1362">
        <f t="shared" si="104"/>
        <v>0</v>
      </c>
      <c r="AD1362">
        <v>1359</v>
      </c>
      <c r="AE1362" s="4">
        <f t="shared" si="102"/>
        <v>42193</v>
      </c>
      <c r="AF1362" s="6" t="e">
        <f t="shared" si="103"/>
        <v>#DIV/0!</v>
      </c>
      <c r="AG1362" s="4">
        <v>42193</v>
      </c>
      <c r="AH1362" s="6">
        <v>-6.7455410000000002</v>
      </c>
      <c r="AI1362" s="6">
        <v>-2.3826740000000002</v>
      </c>
      <c r="AJ1362" s="6">
        <v>-2.8903479999999999</v>
      </c>
      <c r="AK1362" s="6"/>
      <c r="AL1362" s="6"/>
      <c r="AM1362" s="6" t="e">
        <f t="shared" si="105"/>
        <v>#DIV/0!</v>
      </c>
    </row>
    <row r="1363" spans="29:39" x14ac:dyDescent="0.3">
      <c r="AC1363">
        <f t="shared" si="104"/>
        <v>0</v>
      </c>
      <c r="AD1363">
        <v>1360</v>
      </c>
      <c r="AE1363" s="4">
        <f t="shared" si="102"/>
        <v>42194</v>
      </c>
      <c r="AF1363" s="6" t="e">
        <f t="shared" si="103"/>
        <v>#DIV/0!</v>
      </c>
      <c r="AG1363" s="4">
        <v>42194</v>
      </c>
      <c r="AH1363" s="6">
        <v>6.4042149999999998</v>
      </c>
      <c r="AI1363" s="6">
        <v>4.4526120000000002</v>
      </c>
      <c r="AJ1363" s="6">
        <v>2.8870230000000001</v>
      </c>
      <c r="AK1363" s="6"/>
      <c r="AL1363" s="6"/>
      <c r="AM1363" s="6" t="e">
        <f t="shared" si="105"/>
        <v>#DIV/0!</v>
      </c>
    </row>
    <row r="1364" spans="29:39" x14ac:dyDescent="0.3">
      <c r="AC1364">
        <f t="shared" si="104"/>
        <v>0</v>
      </c>
      <c r="AD1364">
        <v>1361</v>
      </c>
      <c r="AE1364" s="4">
        <f t="shared" si="102"/>
        <v>42195</v>
      </c>
      <c r="AF1364" s="6" t="e">
        <f t="shared" si="103"/>
        <v>#DIV/0!</v>
      </c>
      <c r="AG1364" s="4">
        <v>42195</v>
      </c>
      <c r="AH1364" s="6">
        <v>5.3604370000000001</v>
      </c>
      <c r="AI1364" s="6">
        <v>5.0524190000000004</v>
      </c>
      <c r="AJ1364" s="6">
        <v>3.2506979999999999</v>
      </c>
      <c r="AK1364" s="6"/>
      <c r="AL1364" s="6"/>
      <c r="AM1364" s="6" t="e">
        <f t="shared" si="105"/>
        <v>#DIV/0!</v>
      </c>
    </row>
    <row r="1365" spans="29:39" x14ac:dyDescent="0.3">
      <c r="AC1365">
        <f t="shared" si="104"/>
        <v>0</v>
      </c>
      <c r="AD1365">
        <v>1362</v>
      </c>
      <c r="AE1365" s="4">
        <f t="shared" si="102"/>
        <v>42198</v>
      </c>
      <c r="AF1365" s="6" t="e">
        <f t="shared" si="103"/>
        <v>#DIV/0!</v>
      </c>
      <c r="AG1365" s="4">
        <v>42198</v>
      </c>
      <c r="AH1365" s="6">
        <v>2.5631089999999999</v>
      </c>
      <c r="AI1365" s="6">
        <v>6.2231100000000001</v>
      </c>
      <c r="AJ1365" s="6">
        <v>4.7827339999999996</v>
      </c>
      <c r="AK1365" s="6"/>
      <c r="AL1365" s="6"/>
      <c r="AM1365" s="6" t="e">
        <f t="shared" si="105"/>
        <v>#DIV/0!</v>
      </c>
    </row>
    <row r="1366" spans="29:39" x14ac:dyDescent="0.3">
      <c r="AC1366">
        <f t="shared" si="104"/>
        <v>0</v>
      </c>
      <c r="AD1366">
        <v>1363</v>
      </c>
      <c r="AE1366" s="4">
        <f t="shared" si="102"/>
        <v>42199</v>
      </c>
      <c r="AF1366" s="6" t="e">
        <f t="shared" si="103"/>
        <v>#DIV/0!</v>
      </c>
      <c r="AG1366" s="4">
        <v>42199</v>
      </c>
      <c r="AH1366" s="6">
        <v>-2.366269</v>
      </c>
      <c r="AI1366" s="6">
        <v>2.1235710000000001</v>
      </c>
      <c r="AJ1366" s="6">
        <v>3.3834569999999999</v>
      </c>
      <c r="AK1366" s="6"/>
      <c r="AL1366" s="6"/>
      <c r="AM1366" s="6" t="e">
        <f t="shared" si="105"/>
        <v>#DIV/0!</v>
      </c>
    </row>
    <row r="1367" spans="29:39" x14ac:dyDescent="0.3">
      <c r="AC1367">
        <f t="shared" si="104"/>
        <v>0</v>
      </c>
      <c r="AD1367">
        <v>1364</v>
      </c>
      <c r="AE1367" s="4">
        <f t="shared" si="102"/>
        <v>42200</v>
      </c>
      <c r="AF1367" s="6" t="e">
        <f t="shared" si="103"/>
        <v>#DIV/0!</v>
      </c>
      <c r="AG1367" s="4">
        <v>42200</v>
      </c>
      <c r="AH1367" s="6">
        <v>-3.535628</v>
      </c>
      <c r="AI1367" s="6">
        <v>-5.7737569999999998</v>
      </c>
      <c r="AJ1367" s="6">
        <v>-4.2327769999999996</v>
      </c>
      <c r="AK1367" s="6"/>
      <c r="AL1367" s="6"/>
      <c r="AM1367" s="6" t="e">
        <f t="shared" si="105"/>
        <v>#DIV/0!</v>
      </c>
    </row>
    <row r="1368" spans="29:39" x14ac:dyDescent="0.3">
      <c r="AC1368">
        <f t="shared" si="104"/>
        <v>0</v>
      </c>
      <c r="AD1368">
        <v>1365</v>
      </c>
      <c r="AE1368" s="4">
        <f t="shared" si="102"/>
        <v>42201</v>
      </c>
      <c r="AF1368" s="6" t="e">
        <f t="shared" si="103"/>
        <v>#DIV/0!</v>
      </c>
      <c r="AG1368" s="4">
        <v>42201</v>
      </c>
      <c r="AH1368" s="6">
        <v>0.77133499999999999</v>
      </c>
      <c r="AI1368" s="6">
        <v>2.3424320000000001</v>
      </c>
      <c r="AJ1368" s="6">
        <v>1.099459</v>
      </c>
      <c r="AK1368" s="6"/>
      <c r="AL1368" s="6"/>
      <c r="AM1368" s="6" t="e">
        <f t="shared" si="105"/>
        <v>#DIV/0!</v>
      </c>
    </row>
    <row r="1369" spans="29:39" x14ac:dyDescent="0.3">
      <c r="AC1369">
        <f t="shared" si="104"/>
        <v>0</v>
      </c>
      <c r="AD1369">
        <v>1366</v>
      </c>
      <c r="AE1369" s="4">
        <f t="shared" si="102"/>
        <v>42202</v>
      </c>
      <c r="AF1369" s="6" t="e">
        <f t="shared" si="103"/>
        <v>#DIV/0!</v>
      </c>
      <c r="AG1369" s="4">
        <v>42202</v>
      </c>
      <c r="AH1369" s="6">
        <v>3.856052</v>
      </c>
      <c r="AI1369" s="6">
        <v>5.4882160000000004</v>
      </c>
      <c r="AJ1369" s="6">
        <v>5.5305559999999998</v>
      </c>
      <c r="AK1369" s="6"/>
      <c r="AL1369" s="6"/>
      <c r="AM1369" s="6" t="e">
        <f t="shared" si="105"/>
        <v>#DIV/0!</v>
      </c>
    </row>
    <row r="1370" spans="29:39" x14ac:dyDescent="0.3">
      <c r="AC1370">
        <f t="shared" si="104"/>
        <v>0</v>
      </c>
      <c r="AD1370">
        <v>1367</v>
      </c>
      <c r="AE1370" s="4">
        <f t="shared" si="102"/>
        <v>42205</v>
      </c>
      <c r="AF1370" s="6" t="e">
        <f t="shared" si="103"/>
        <v>#DIV/0!</v>
      </c>
      <c r="AG1370" s="4">
        <v>42205</v>
      </c>
      <c r="AH1370" s="6">
        <v>0.21959300000000001</v>
      </c>
      <c r="AI1370" s="6">
        <v>1.5234909999999999</v>
      </c>
      <c r="AJ1370" s="6">
        <v>3.1301730000000001</v>
      </c>
      <c r="AK1370" s="6"/>
      <c r="AL1370" s="6"/>
      <c r="AM1370" s="6" t="e">
        <f t="shared" si="105"/>
        <v>#DIV/0!</v>
      </c>
    </row>
    <row r="1371" spans="29:39" x14ac:dyDescent="0.3">
      <c r="AC1371">
        <f t="shared" si="104"/>
        <v>0</v>
      </c>
      <c r="AD1371">
        <v>1368</v>
      </c>
      <c r="AE1371" s="4">
        <f t="shared" si="102"/>
        <v>42206</v>
      </c>
      <c r="AF1371" s="6" t="e">
        <f t="shared" si="103"/>
        <v>#DIV/0!</v>
      </c>
      <c r="AG1371" s="4">
        <v>42206</v>
      </c>
      <c r="AH1371" s="6">
        <v>0.129637</v>
      </c>
      <c r="AI1371" s="6">
        <v>1.2809360000000001</v>
      </c>
      <c r="AJ1371" s="6">
        <v>2.266038</v>
      </c>
      <c r="AK1371" s="6"/>
      <c r="AL1371" s="6"/>
      <c r="AM1371" s="6" t="e">
        <f t="shared" si="105"/>
        <v>#DIV/0!</v>
      </c>
    </row>
    <row r="1372" spans="29:39" x14ac:dyDescent="0.3">
      <c r="AC1372">
        <f t="shared" si="104"/>
        <v>0</v>
      </c>
      <c r="AD1372">
        <v>1369</v>
      </c>
      <c r="AE1372" s="4">
        <f t="shared" si="102"/>
        <v>42207</v>
      </c>
      <c r="AF1372" s="6" t="e">
        <f t="shared" si="103"/>
        <v>#DIV/0!</v>
      </c>
      <c r="AG1372" s="4">
        <v>42207</v>
      </c>
      <c r="AH1372" s="6">
        <v>-0.21232100000000001</v>
      </c>
      <c r="AI1372" s="6">
        <v>1.213724</v>
      </c>
      <c r="AJ1372" s="6">
        <v>1.6493279999999999</v>
      </c>
      <c r="AK1372" s="6"/>
      <c r="AL1372" s="6"/>
      <c r="AM1372" s="6" t="e">
        <f t="shared" si="105"/>
        <v>#DIV/0!</v>
      </c>
    </row>
    <row r="1373" spans="29:39" x14ac:dyDescent="0.3">
      <c r="AC1373">
        <f t="shared" si="104"/>
        <v>0</v>
      </c>
      <c r="AD1373">
        <v>1370</v>
      </c>
      <c r="AE1373" s="4">
        <f t="shared" si="102"/>
        <v>42208</v>
      </c>
      <c r="AF1373" s="6" t="e">
        <f t="shared" si="103"/>
        <v>#DIV/0!</v>
      </c>
      <c r="AG1373" s="4">
        <v>42208</v>
      </c>
      <c r="AH1373" s="6">
        <v>2.2526099999999998</v>
      </c>
      <c r="AI1373" s="6">
        <v>2.7854320000000001</v>
      </c>
      <c r="AJ1373" s="6">
        <v>3.1710159999999998</v>
      </c>
      <c r="AK1373" s="6"/>
      <c r="AL1373" s="6"/>
      <c r="AM1373" s="6" t="e">
        <f t="shared" si="105"/>
        <v>#DIV/0!</v>
      </c>
    </row>
    <row r="1374" spans="29:39" x14ac:dyDescent="0.3">
      <c r="AC1374">
        <f t="shared" si="104"/>
        <v>0</v>
      </c>
      <c r="AD1374">
        <v>1371</v>
      </c>
      <c r="AE1374" s="4">
        <f t="shared" si="102"/>
        <v>42209</v>
      </c>
      <c r="AF1374" s="6" t="e">
        <f t="shared" si="103"/>
        <v>#DIV/0!</v>
      </c>
      <c r="AG1374" s="4">
        <v>42209</v>
      </c>
      <c r="AH1374" s="6">
        <v>-1.753228</v>
      </c>
      <c r="AI1374" s="6">
        <v>-1.484064</v>
      </c>
      <c r="AJ1374" s="6">
        <v>-0.98048199999999996</v>
      </c>
      <c r="AK1374" s="6"/>
      <c r="AL1374" s="6"/>
      <c r="AM1374" s="6" t="e">
        <f t="shared" si="105"/>
        <v>#DIV/0!</v>
      </c>
    </row>
    <row r="1375" spans="29:39" x14ac:dyDescent="0.3">
      <c r="AC1375">
        <f t="shared" si="104"/>
        <v>0</v>
      </c>
      <c r="AD1375">
        <v>1372</v>
      </c>
      <c r="AE1375" s="4">
        <f t="shared" si="102"/>
        <v>42212</v>
      </c>
      <c r="AF1375" s="6" t="e">
        <f t="shared" si="103"/>
        <v>#DIV/0!</v>
      </c>
      <c r="AG1375" s="4">
        <v>42212</v>
      </c>
      <c r="AH1375" s="6">
        <v>-8.5613849999999996</v>
      </c>
      <c r="AI1375" s="6">
        <v>-7.4882790000000004</v>
      </c>
      <c r="AJ1375" s="6">
        <v>-6.9877200000000004</v>
      </c>
      <c r="AK1375" s="6"/>
      <c r="AL1375" s="6"/>
      <c r="AM1375" s="6" t="e">
        <f t="shared" si="105"/>
        <v>#DIV/0!</v>
      </c>
    </row>
    <row r="1376" spans="29:39" x14ac:dyDescent="0.3">
      <c r="AC1376">
        <f t="shared" si="104"/>
        <v>0</v>
      </c>
      <c r="AD1376">
        <v>1373</v>
      </c>
      <c r="AE1376" s="4">
        <f t="shared" si="102"/>
        <v>42213</v>
      </c>
      <c r="AF1376" s="6" t="e">
        <f t="shared" si="103"/>
        <v>#DIV/0!</v>
      </c>
      <c r="AG1376" s="4">
        <v>42213</v>
      </c>
      <c r="AH1376" s="6">
        <v>-0.20003499999999999</v>
      </c>
      <c r="AI1376" s="6">
        <v>-1.8521639999999999</v>
      </c>
      <c r="AJ1376" s="6">
        <v>-4.4756119999999999</v>
      </c>
      <c r="AK1376" s="6"/>
      <c r="AL1376" s="6"/>
      <c r="AM1376" s="6" t="e">
        <f t="shared" si="105"/>
        <v>#DIV/0!</v>
      </c>
    </row>
    <row r="1377" spans="29:39" x14ac:dyDescent="0.3">
      <c r="AC1377">
        <f t="shared" si="104"/>
        <v>0</v>
      </c>
      <c r="AD1377">
        <v>1374</v>
      </c>
      <c r="AE1377" s="4">
        <f t="shared" si="102"/>
        <v>42214</v>
      </c>
      <c r="AF1377" s="6" t="e">
        <f t="shared" si="103"/>
        <v>#DIV/0!</v>
      </c>
      <c r="AG1377" s="4">
        <v>42214</v>
      </c>
      <c r="AH1377" s="6">
        <v>3.129982</v>
      </c>
      <c r="AI1377" s="6">
        <v>4.8756139999999997</v>
      </c>
      <c r="AJ1377" s="6">
        <v>4.7680400000000001</v>
      </c>
      <c r="AK1377" s="6"/>
      <c r="AL1377" s="6"/>
      <c r="AM1377" s="6" t="e">
        <f t="shared" si="105"/>
        <v>#DIV/0!</v>
      </c>
    </row>
    <row r="1378" spans="29:39" x14ac:dyDescent="0.3">
      <c r="AC1378">
        <f t="shared" si="104"/>
        <v>0</v>
      </c>
      <c r="AD1378">
        <v>1375</v>
      </c>
      <c r="AE1378" s="4">
        <f t="shared" si="102"/>
        <v>42215</v>
      </c>
      <c r="AF1378" s="6" t="e">
        <f t="shared" si="103"/>
        <v>#DIV/0!</v>
      </c>
      <c r="AG1378" s="4">
        <v>42215</v>
      </c>
      <c r="AH1378" s="6">
        <v>-2.9250940000000001</v>
      </c>
      <c r="AI1378" s="6">
        <v>-2.7698040000000002</v>
      </c>
      <c r="AJ1378" s="6">
        <v>-2.7397610000000001</v>
      </c>
      <c r="AK1378" s="6"/>
      <c r="AL1378" s="6"/>
      <c r="AM1378" s="6" t="e">
        <f t="shared" si="105"/>
        <v>#DIV/0!</v>
      </c>
    </row>
    <row r="1379" spans="29:39" x14ac:dyDescent="0.3">
      <c r="AC1379">
        <f t="shared" si="104"/>
        <v>0</v>
      </c>
      <c r="AD1379">
        <v>1376</v>
      </c>
      <c r="AE1379" s="4">
        <f t="shared" si="102"/>
        <v>42216</v>
      </c>
      <c r="AF1379" s="6" t="e">
        <f t="shared" si="103"/>
        <v>#DIV/0!</v>
      </c>
      <c r="AG1379" s="4">
        <v>42216</v>
      </c>
      <c r="AH1379" s="6">
        <v>3.3744999999999997E-2</v>
      </c>
      <c r="AI1379" s="6">
        <v>-0.94248200000000004</v>
      </c>
      <c r="AJ1379" s="6">
        <v>-2.5060720000000001</v>
      </c>
      <c r="AK1379" s="6"/>
      <c r="AL1379" s="6"/>
      <c r="AM1379" s="6" t="e">
        <f t="shared" si="105"/>
        <v>#DIV/0!</v>
      </c>
    </row>
    <row r="1380" spans="29:39" x14ac:dyDescent="0.3">
      <c r="AC1380">
        <f t="shared" si="104"/>
        <v>0</v>
      </c>
      <c r="AD1380">
        <v>1377</v>
      </c>
      <c r="AE1380" s="4">
        <f t="shared" si="102"/>
        <v>42219</v>
      </c>
      <c r="AF1380" s="6" t="e">
        <f t="shared" si="103"/>
        <v>#DIV/0!</v>
      </c>
      <c r="AG1380" s="4">
        <v>42219</v>
      </c>
      <c r="AH1380" s="6">
        <v>0.32845400000000002</v>
      </c>
      <c r="AI1380" s="6">
        <v>-2.418196</v>
      </c>
      <c r="AJ1380" s="6">
        <v>-5.4213149999999999</v>
      </c>
      <c r="AK1380" s="6"/>
      <c r="AL1380" s="6"/>
      <c r="AM1380" s="6" t="e">
        <f t="shared" si="105"/>
        <v>#DIV/0!</v>
      </c>
    </row>
    <row r="1381" spans="29:39" x14ac:dyDescent="0.3">
      <c r="AC1381">
        <f t="shared" si="104"/>
        <v>0</v>
      </c>
      <c r="AD1381">
        <v>1378</v>
      </c>
      <c r="AE1381" s="4">
        <f t="shared" si="102"/>
        <v>42220</v>
      </c>
      <c r="AF1381" s="6" t="e">
        <f t="shared" si="103"/>
        <v>#DIV/0!</v>
      </c>
      <c r="AG1381" s="4">
        <v>42220</v>
      </c>
      <c r="AH1381" s="6">
        <v>3.1055809999999999</v>
      </c>
      <c r="AI1381" s="6">
        <v>5.3299599999999998</v>
      </c>
      <c r="AJ1381" s="6">
        <v>6.2087630000000003</v>
      </c>
      <c r="AK1381" s="6"/>
      <c r="AL1381" s="6"/>
      <c r="AM1381" s="6" t="e">
        <f t="shared" si="105"/>
        <v>#DIV/0!</v>
      </c>
    </row>
    <row r="1382" spans="29:39" x14ac:dyDescent="0.3">
      <c r="AC1382">
        <f t="shared" si="104"/>
        <v>0</v>
      </c>
      <c r="AD1382">
        <v>1379</v>
      </c>
      <c r="AE1382" s="4">
        <f t="shared" si="102"/>
        <v>42221</v>
      </c>
      <c r="AF1382" s="6" t="e">
        <f t="shared" si="103"/>
        <v>#DIV/0!</v>
      </c>
      <c r="AG1382" s="4">
        <v>42221</v>
      </c>
      <c r="AH1382" s="6">
        <v>-2.058065</v>
      </c>
      <c r="AI1382" s="6">
        <v>-1.293836</v>
      </c>
      <c r="AJ1382" s="6">
        <v>-0.26266400000000001</v>
      </c>
      <c r="AK1382" s="6"/>
      <c r="AL1382" s="6"/>
      <c r="AM1382" s="6" t="e">
        <f t="shared" si="105"/>
        <v>#DIV/0!</v>
      </c>
    </row>
    <row r="1383" spans="29:39" x14ac:dyDescent="0.3">
      <c r="AC1383">
        <f t="shared" si="104"/>
        <v>0</v>
      </c>
      <c r="AD1383">
        <v>1380</v>
      </c>
      <c r="AE1383" s="4">
        <f t="shared" si="102"/>
        <v>42222</v>
      </c>
      <c r="AF1383" s="6" t="e">
        <f t="shared" si="103"/>
        <v>#DIV/0!</v>
      </c>
      <c r="AG1383" s="4">
        <v>42222</v>
      </c>
      <c r="AH1383" s="6">
        <v>-0.90636399999999995</v>
      </c>
      <c r="AI1383" s="6">
        <v>-0.603491</v>
      </c>
      <c r="AJ1383" s="6">
        <v>-0.124838</v>
      </c>
      <c r="AK1383" s="6"/>
      <c r="AL1383" s="6"/>
      <c r="AM1383" s="6" t="e">
        <f t="shared" si="105"/>
        <v>#DIV/0!</v>
      </c>
    </row>
    <row r="1384" spans="29:39" x14ac:dyDescent="0.3">
      <c r="AC1384">
        <f t="shared" si="104"/>
        <v>0</v>
      </c>
      <c r="AD1384">
        <v>1381</v>
      </c>
      <c r="AE1384" s="4">
        <f t="shared" si="102"/>
        <v>42223</v>
      </c>
      <c r="AF1384" s="6" t="e">
        <f t="shared" si="103"/>
        <v>#DIV/0!</v>
      </c>
      <c r="AG1384" s="4">
        <v>42223</v>
      </c>
      <c r="AH1384" s="6">
        <v>1.959711</v>
      </c>
      <c r="AI1384" s="6">
        <v>2.8399649999999999</v>
      </c>
      <c r="AJ1384" s="6">
        <v>3.854962</v>
      </c>
      <c r="AK1384" s="6"/>
      <c r="AL1384" s="6"/>
      <c r="AM1384" s="6" t="e">
        <f t="shared" si="105"/>
        <v>#DIV/0!</v>
      </c>
    </row>
    <row r="1385" spans="29:39" x14ac:dyDescent="0.3">
      <c r="AC1385">
        <f t="shared" si="104"/>
        <v>0</v>
      </c>
      <c r="AD1385">
        <v>1382</v>
      </c>
      <c r="AE1385" s="4">
        <f t="shared" si="102"/>
        <v>42226</v>
      </c>
      <c r="AF1385" s="6" t="e">
        <f t="shared" si="103"/>
        <v>#DIV/0!</v>
      </c>
      <c r="AG1385" s="4">
        <v>42226</v>
      </c>
      <c r="AH1385" s="6">
        <v>4.5411390000000003</v>
      </c>
      <c r="AI1385" s="6">
        <v>4.7516829999999999</v>
      </c>
      <c r="AJ1385" s="6">
        <v>5.1413529999999996</v>
      </c>
      <c r="AK1385" s="6"/>
      <c r="AL1385" s="6"/>
      <c r="AM1385" s="6" t="e">
        <f t="shared" si="105"/>
        <v>#DIV/0!</v>
      </c>
    </row>
    <row r="1386" spans="29:39" x14ac:dyDescent="0.3">
      <c r="AC1386">
        <f t="shared" si="104"/>
        <v>0</v>
      </c>
      <c r="AD1386">
        <v>1383</v>
      </c>
      <c r="AE1386" s="4">
        <f t="shared" si="102"/>
        <v>42227</v>
      </c>
      <c r="AF1386" s="6" t="e">
        <f t="shared" si="103"/>
        <v>#DIV/0!</v>
      </c>
      <c r="AG1386" s="4">
        <v>42227</v>
      </c>
      <c r="AH1386" s="6">
        <v>-0.43324699999999999</v>
      </c>
      <c r="AI1386" s="6">
        <v>0.491309</v>
      </c>
      <c r="AJ1386" s="6">
        <v>0.751857</v>
      </c>
      <c r="AK1386" s="6"/>
      <c r="AL1386" s="6"/>
      <c r="AM1386" s="6" t="e">
        <f t="shared" si="105"/>
        <v>#DIV/0!</v>
      </c>
    </row>
    <row r="1387" spans="29:39" x14ac:dyDescent="0.3">
      <c r="AC1387">
        <f t="shared" si="104"/>
        <v>0</v>
      </c>
      <c r="AD1387">
        <v>1384</v>
      </c>
      <c r="AE1387" s="4">
        <f t="shared" si="102"/>
        <v>42228</v>
      </c>
      <c r="AF1387" s="6" t="e">
        <f t="shared" si="103"/>
        <v>#DIV/0!</v>
      </c>
      <c r="AG1387" s="4">
        <v>42228</v>
      </c>
      <c r="AH1387" s="6">
        <v>-1.2428600000000001</v>
      </c>
      <c r="AI1387" s="6">
        <v>-1.173524</v>
      </c>
      <c r="AJ1387" s="6">
        <v>-1.455471</v>
      </c>
      <c r="AK1387" s="6"/>
      <c r="AL1387" s="6"/>
      <c r="AM1387" s="6" t="e">
        <f t="shared" si="105"/>
        <v>#DIV/0!</v>
      </c>
    </row>
    <row r="1388" spans="29:39" x14ac:dyDescent="0.3">
      <c r="AC1388">
        <f t="shared" si="104"/>
        <v>0</v>
      </c>
      <c r="AD1388">
        <v>1385</v>
      </c>
      <c r="AE1388" s="4">
        <f t="shared" si="102"/>
        <v>42229</v>
      </c>
      <c r="AF1388" s="6" t="e">
        <f t="shared" si="103"/>
        <v>#DIV/0!</v>
      </c>
      <c r="AG1388" s="4">
        <v>42229</v>
      </c>
      <c r="AH1388" s="6">
        <v>1.4774640000000001</v>
      </c>
      <c r="AI1388" s="6">
        <v>2.3762509999999999</v>
      </c>
      <c r="AJ1388" s="6">
        <v>3.026805</v>
      </c>
      <c r="AK1388" s="6"/>
      <c r="AL1388" s="6"/>
      <c r="AM1388" s="6" t="e">
        <f t="shared" si="105"/>
        <v>#DIV/0!</v>
      </c>
    </row>
    <row r="1389" spans="29:39" x14ac:dyDescent="0.3">
      <c r="AC1389">
        <f t="shared" si="104"/>
        <v>0</v>
      </c>
      <c r="AD1389">
        <v>1386</v>
      </c>
      <c r="AE1389" s="4">
        <f t="shared" si="102"/>
        <v>42230</v>
      </c>
      <c r="AF1389" s="6" t="e">
        <f t="shared" si="103"/>
        <v>#DIV/0!</v>
      </c>
      <c r="AG1389" s="4">
        <v>42230</v>
      </c>
      <c r="AH1389" s="6">
        <v>-4.7184999999999998E-2</v>
      </c>
      <c r="AI1389" s="6">
        <v>1.064084</v>
      </c>
      <c r="AJ1389" s="6">
        <v>0.67116600000000004</v>
      </c>
      <c r="AK1389" s="6"/>
      <c r="AL1389" s="6"/>
      <c r="AM1389" s="6" t="e">
        <f t="shared" si="105"/>
        <v>#DIV/0!</v>
      </c>
    </row>
    <row r="1390" spans="29:39" x14ac:dyDescent="0.3">
      <c r="AC1390">
        <f t="shared" si="104"/>
        <v>0</v>
      </c>
      <c r="AD1390">
        <v>1387</v>
      </c>
      <c r="AE1390" s="4">
        <f t="shared" si="102"/>
        <v>42233</v>
      </c>
      <c r="AF1390" s="6" t="e">
        <f t="shared" si="103"/>
        <v>#DIV/0!</v>
      </c>
      <c r="AG1390" s="4">
        <v>42233</v>
      </c>
      <c r="AH1390" s="6">
        <v>0.106347</v>
      </c>
      <c r="AI1390" s="6">
        <v>2.2632919999999999</v>
      </c>
      <c r="AJ1390" s="6">
        <v>1.784106</v>
      </c>
      <c r="AK1390" s="6"/>
      <c r="AL1390" s="6"/>
      <c r="AM1390" s="6" t="e">
        <f t="shared" si="105"/>
        <v>#DIV/0!</v>
      </c>
    </row>
    <row r="1391" spans="29:39" x14ac:dyDescent="0.3">
      <c r="AC1391">
        <f t="shared" si="104"/>
        <v>0</v>
      </c>
      <c r="AD1391">
        <v>1388</v>
      </c>
      <c r="AE1391" s="4">
        <f t="shared" si="102"/>
        <v>42234</v>
      </c>
      <c r="AF1391" s="6" t="e">
        <f t="shared" si="103"/>
        <v>#DIV/0!</v>
      </c>
      <c r="AG1391" s="4">
        <v>42234</v>
      </c>
      <c r="AH1391" s="6">
        <v>-6.1909720000000004</v>
      </c>
      <c r="AI1391" s="6">
        <v>-7.4733999999999998</v>
      </c>
      <c r="AJ1391" s="6">
        <v>-7.161054</v>
      </c>
      <c r="AK1391" s="6"/>
      <c r="AL1391" s="6"/>
      <c r="AM1391" s="6" t="e">
        <f t="shared" si="105"/>
        <v>#DIV/0!</v>
      </c>
    </row>
    <row r="1392" spans="29:39" x14ac:dyDescent="0.3">
      <c r="AC1392">
        <f t="shared" si="104"/>
        <v>0</v>
      </c>
      <c r="AD1392">
        <v>1389</v>
      </c>
      <c r="AE1392" s="4">
        <f t="shared" si="102"/>
        <v>42235</v>
      </c>
      <c r="AF1392" s="6" t="e">
        <f t="shared" si="103"/>
        <v>#DIV/0!</v>
      </c>
      <c r="AG1392" s="4">
        <v>42235</v>
      </c>
      <c r="AH1392" s="6">
        <v>1.5873710000000001</v>
      </c>
      <c r="AI1392" s="6">
        <v>2.2020360000000001</v>
      </c>
      <c r="AJ1392" s="6">
        <v>2.5608930000000001</v>
      </c>
      <c r="AK1392" s="6"/>
      <c r="AL1392" s="6"/>
      <c r="AM1392" s="6" t="e">
        <f t="shared" si="105"/>
        <v>#DIV/0!</v>
      </c>
    </row>
    <row r="1393" spans="29:39" x14ac:dyDescent="0.3">
      <c r="AC1393">
        <f t="shared" si="104"/>
        <v>0</v>
      </c>
      <c r="AD1393">
        <v>1390</v>
      </c>
      <c r="AE1393" s="4">
        <f t="shared" si="102"/>
        <v>42236</v>
      </c>
      <c r="AF1393" s="6" t="e">
        <f t="shared" si="103"/>
        <v>#DIV/0!</v>
      </c>
      <c r="AG1393" s="4">
        <v>42236</v>
      </c>
      <c r="AH1393" s="6">
        <v>-3.2083699999999999</v>
      </c>
      <c r="AI1393" s="6">
        <v>-3.4944470000000001</v>
      </c>
      <c r="AJ1393" s="6">
        <v>-3.160955</v>
      </c>
      <c r="AK1393" s="6"/>
      <c r="AL1393" s="6"/>
      <c r="AM1393" s="6" t="e">
        <f t="shared" si="105"/>
        <v>#DIV/0!</v>
      </c>
    </row>
    <row r="1394" spans="29:39" x14ac:dyDescent="0.3">
      <c r="AC1394">
        <f t="shared" si="104"/>
        <v>0</v>
      </c>
      <c r="AD1394">
        <v>1391</v>
      </c>
      <c r="AE1394" s="4">
        <f t="shared" si="102"/>
        <v>42237</v>
      </c>
      <c r="AF1394" s="6" t="e">
        <f t="shared" si="103"/>
        <v>#DIV/0!</v>
      </c>
      <c r="AG1394" s="4">
        <v>42237</v>
      </c>
      <c r="AH1394" s="6">
        <v>-4.5705280000000004</v>
      </c>
      <c r="AI1394" s="6">
        <v>-5.4240459999999997</v>
      </c>
      <c r="AJ1394" s="6">
        <v>-5.4596179999999999</v>
      </c>
      <c r="AK1394" s="6"/>
      <c r="AL1394" s="6"/>
      <c r="AM1394" s="6" t="e">
        <f t="shared" si="105"/>
        <v>#DIV/0!</v>
      </c>
    </row>
    <row r="1395" spans="29:39" x14ac:dyDescent="0.3">
      <c r="AC1395">
        <f t="shared" si="104"/>
        <v>0</v>
      </c>
      <c r="AD1395">
        <v>1392</v>
      </c>
      <c r="AE1395" s="4">
        <f t="shared" si="102"/>
        <v>42240</v>
      </c>
      <c r="AF1395" s="6" t="e">
        <f t="shared" si="103"/>
        <v>#DIV/0!</v>
      </c>
      <c r="AG1395" s="4">
        <v>42240</v>
      </c>
      <c r="AH1395" s="6">
        <v>-8.7476939999999992</v>
      </c>
      <c r="AI1395" s="6">
        <v>-7.9695479999999996</v>
      </c>
      <c r="AJ1395" s="6">
        <v>-7.6174939999999998</v>
      </c>
      <c r="AK1395" s="6"/>
      <c r="AL1395" s="6"/>
      <c r="AM1395" s="6" t="e">
        <f t="shared" si="105"/>
        <v>#DIV/0!</v>
      </c>
    </row>
    <row r="1396" spans="29:39" x14ac:dyDescent="0.3">
      <c r="AC1396">
        <f t="shared" si="104"/>
        <v>0</v>
      </c>
      <c r="AD1396">
        <v>1393</v>
      </c>
      <c r="AE1396" s="4">
        <f t="shared" si="102"/>
        <v>42241</v>
      </c>
      <c r="AF1396" s="6" t="e">
        <f t="shared" si="103"/>
        <v>#DIV/0!</v>
      </c>
      <c r="AG1396" s="4">
        <v>42241</v>
      </c>
      <c r="AH1396" s="6">
        <v>-7.1013640000000002</v>
      </c>
      <c r="AI1396" s="6">
        <v>-7.4901900000000001</v>
      </c>
      <c r="AJ1396" s="6">
        <v>-7.3425599999999998</v>
      </c>
      <c r="AK1396" s="6"/>
      <c r="AL1396" s="6"/>
      <c r="AM1396" s="6" t="e">
        <f t="shared" si="105"/>
        <v>#DIV/0!</v>
      </c>
    </row>
    <row r="1397" spans="29:39" x14ac:dyDescent="0.3">
      <c r="AC1397">
        <f t="shared" si="104"/>
        <v>0</v>
      </c>
      <c r="AD1397">
        <v>1394</v>
      </c>
      <c r="AE1397" s="4">
        <f t="shared" si="102"/>
        <v>42242</v>
      </c>
      <c r="AF1397" s="6" t="e">
        <f t="shared" si="103"/>
        <v>#DIV/0!</v>
      </c>
      <c r="AG1397" s="4">
        <v>42242</v>
      </c>
      <c r="AH1397" s="6">
        <v>-0.56638200000000005</v>
      </c>
      <c r="AI1397" s="6">
        <v>-3.7474259999999999</v>
      </c>
      <c r="AJ1397" s="6">
        <v>-4.292351</v>
      </c>
      <c r="AK1397" s="6"/>
      <c r="AL1397" s="6"/>
      <c r="AM1397" s="6" t="e">
        <f t="shared" si="105"/>
        <v>#DIV/0!</v>
      </c>
    </row>
    <row r="1398" spans="29:39" x14ac:dyDescent="0.3">
      <c r="AC1398">
        <f t="shared" si="104"/>
        <v>0</v>
      </c>
      <c r="AD1398">
        <v>1395</v>
      </c>
      <c r="AE1398" s="4">
        <f t="shared" si="102"/>
        <v>42243</v>
      </c>
      <c r="AF1398" s="6" t="e">
        <f t="shared" si="103"/>
        <v>#DIV/0!</v>
      </c>
      <c r="AG1398" s="4">
        <v>42243</v>
      </c>
      <c r="AH1398" s="6">
        <v>5.9472509999999996</v>
      </c>
      <c r="AI1398" s="6">
        <v>3.486869</v>
      </c>
      <c r="AJ1398" s="6">
        <v>3.3107319999999998</v>
      </c>
      <c r="AK1398" s="6"/>
      <c r="AL1398" s="6"/>
      <c r="AM1398" s="6" t="e">
        <f t="shared" si="105"/>
        <v>#DIV/0!</v>
      </c>
    </row>
    <row r="1399" spans="29:39" x14ac:dyDescent="0.3">
      <c r="AC1399">
        <f t="shared" si="104"/>
        <v>0</v>
      </c>
      <c r="AD1399">
        <v>1396</v>
      </c>
      <c r="AE1399" s="4">
        <f t="shared" si="102"/>
        <v>42244</v>
      </c>
      <c r="AF1399" s="6" t="e">
        <f t="shared" si="103"/>
        <v>#DIV/0!</v>
      </c>
      <c r="AG1399" s="4">
        <v>42244</v>
      </c>
      <c r="AH1399" s="6">
        <v>4.2627649999999999</v>
      </c>
      <c r="AI1399" s="6">
        <v>5.991879</v>
      </c>
      <c r="AJ1399" s="6">
        <v>6.1258509999999999</v>
      </c>
      <c r="AK1399" s="6"/>
      <c r="AL1399" s="6"/>
      <c r="AM1399" s="6" t="e">
        <f t="shared" si="105"/>
        <v>#DIV/0!</v>
      </c>
    </row>
    <row r="1400" spans="29:39" x14ac:dyDescent="0.3">
      <c r="AC1400">
        <f t="shared" si="104"/>
        <v>0</v>
      </c>
      <c r="AD1400">
        <v>1397</v>
      </c>
      <c r="AE1400" s="4">
        <f t="shared" si="102"/>
        <v>42247</v>
      </c>
      <c r="AF1400" s="6" t="e">
        <f t="shared" si="103"/>
        <v>#DIV/0!</v>
      </c>
      <c r="AG1400" s="4">
        <v>42247</v>
      </c>
      <c r="AH1400" s="6">
        <v>0.72553900000000004</v>
      </c>
      <c r="AI1400" s="6">
        <v>-3.8226680000000002</v>
      </c>
      <c r="AJ1400" s="6">
        <v>-3.8750079999999998</v>
      </c>
      <c r="AK1400" s="6"/>
      <c r="AL1400" s="6"/>
      <c r="AM1400" s="6" t="e">
        <f t="shared" si="105"/>
        <v>#DIV/0!</v>
      </c>
    </row>
    <row r="1401" spans="29:39" x14ac:dyDescent="0.3">
      <c r="AC1401">
        <f t="shared" si="104"/>
        <v>0</v>
      </c>
      <c r="AD1401">
        <v>1398</v>
      </c>
      <c r="AE1401" s="4">
        <f t="shared" si="102"/>
        <v>42248</v>
      </c>
      <c r="AF1401" s="6" t="e">
        <f t="shared" si="103"/>
        <v>#DIV/0!</v>
      </c>
      <c r="AG1401" s="4">
        <v>42248</v>
      </c>
      <c r="AH1401" s="6">
        <v>-0.13227800000000001</v>
      </c>
      <c r="AI1401" s="6">
        <v>-6.2617520000000004</v>
      </c>
      <c r="AJ1401" s="6">
        <v>-6.4036679999999997</v>
      </c>
      <c r="AK1401" s="6"/>
      <c r="AL1401" s="6"/>
      <c r="AM1401" s="6" t="e">
        <f t="shared" si="105"/>
        <v>#DIV/0!</v>
      </c>
    </row>
    <row r="1402" spans="29:39" x14ac:dyDescent="0.3">
      <c r="AC1402">
        <f t="shared" si="104"/>
        <v>0</v>
      </c>
      <c r="AD1402">
        <v>1399</v>
      </c>
      <c r="AE1402" s="4">
        <f t="shared" si="102"/>
        <v>42249</v>
      </c>
      <c r="AF1402" s="6" t="e">
        <f t="shared" si="103"/>
        <v>#DIV/0!</v>
      </c>
      <c r="AG1402" s="4">
        <v>42249</v>
      </c>
      <c r="AH1402" s="6">
        <v>0.111511</v>
      </c>
      <c r="AI1402" s="6">
        <v>-0.75623799999999997</v>
      </c>
      <c r="AJ1402" s="6">
        <v>-4.1843050000000002</v>
      </c>
      <c r="AK1402" s="6"/>
      <c r="AL1402" s="6"/>
      <c r="AM1402" s="6" t="e">
        <f t="shared" si="105"/>
        <v>#DIV/0!</v>
      </c>
    </row>
    <row r="1403" spans="29:39" x14ac:dyDescent="0.3">
      <c r="AC1403">
        <f t="shared" si="104"/>
        <v>0</v>
      </c>
      <c r="AD1403">
        <v>1400</v>
      </c>
      <c r="AE1403" s="4">
        <f t="shared" si="102"/>
        <v>42254</v>
      </c>
      <c r="AF1403" s="6" t="e">
        <f t="shared" si="103"/>
        <v>#DIV/0!</v>
      </c>
      <c r="AG1403" s="4">
        <v>42254</v>
      </c>
      <c r="AH1403" s="6">
        <v>-3.4269919999999998</v>
      </c>
      <c r="AI1403" s="6">
        <v>0.34304800000000002</v>
      </c>
      <c r="AJ1403" s="6">
        <v>2.2650640000000002</v>
      </c>
      <c r="AK1403" s="6"/>
      <c r="AL1403" s="6"/>
      <c r="AM1403" s="6" t="e">
        <f t="shared" si="105"/>
        <v>#DIV/0!</v>
      </c>
    </row>
    <row r="1404" spans="29:39" x14ac:dyDescent="0.3">
      <c r="AC1404">
        <f t="shared" si="104"/>
        <v>0</v>
      </c>
      <c r="AD1404">
        <v>1401</v>
      </c>
      <c r="AE1404" s="4">
        <f t="shared" si="102"/>
        <v>42255</v>
      </c>
      <c r="AF1404" s="6" t="e">
        <f t="shared" si="103"/>
        <v>#DIV/0!</v>
      </c>
      <c r="AG1404" s="4">
        <v>42255</v>
      </c>
      <c r="AH1404" s="6">
        <v>2.5700259999999999</v>
      </c>
      <c r="AI1404" s="6">
        <v>3.7648959999999998</v>
      </c>
      <c r="AJ1404" s="6">
        <v>4.9377190000000004</v>
      </c>
      <c r="AK1404" s="6"/>
      <c r="AL1404" s="6"/>
      <c r="AM1404" s="6" t="e">
        <f t="shared" si="105"/>
        <v>#DIV/0!</v>
      </c>
    </row>
    <row r="1405" spans="29:39" x14ac:dyDescent="0.3">
      <c r="AC1405">
        <f t="shared" si="104"/>
        <v>0</v>
      </c>
      <c r="AD1405">
        <v>1402</v>
      </c>
      <c r="AE1405" s="4">
        <f t="shared" si="102"/>
        <v>42256</v>
      </c>
      <c r="AF1405" s="6" t="e">
        <f t="shared" si="103"/>
        <v>#DIV/0!</v>
      </c>
      <c r="AG1405" s="4">
        <v>42256</v>
      </c>
      <c r="AH1405" s="6">
        <v>1.9580580000000001</v>
      </c>
      <c r="AI1405" s="6">
        <v>2.7632330000000001</v>
      </c>
      <c r="AJ1405" s="6">
        <v>3.9891269999999999</v>
      </c>
      <c r="AK1405" s="6"/>
      <c r="AL1405" s="6"/>
      <c r="AM1405" s="6" t="e">
        <f t="shared" si="105"/>
        <v>#DIV/0!</v>
      </c>
    </row>
    <row r="1406" spans="29:39" x14ac:dyDescent="0.3">
      <c r="AC1406">
        <f t="shared" si="104"/>
        <v>0</v>
      </c>
      <c r="AD1406">
        <v>1403</v>
      </c>
      <c r="AE1406" s="4">
        <f t="shared" si="102"/>
        <v>42257</v>
      </c>
      <c r="AF1406" s="6" t="e">
        <f t="shared" si="103"/>
        <v>#DIV/0!</v>
      </c>
      <c r="AG1406" s="4">
        <v>42257</v>
      </c>
      <c r="AH1406" s="6">
        <v>-1.228027</v>
      </c>
      <c r="AI1406" s="6">
        <v>-1.689784</v>
      </c>
      <c r="AJ1406" s="6">
        <v>-1.4293499999999999</v>
      </c>
      <c r="AK1406" s="6"/>
      <c r="AL1406" s="6"/>
      <c r="AM1406" s="6" t="e">
        <f t="shared" si="105"/>
        <v>#DIV/0!</v>
      </c>
    </row>
    <row r="1407" spans="29:39" x14ac:dyDescent="0.3">
      <c r="AC1407">
        <f t="shared" si="104"/>
        <v>0</v>
      </c>
      <c r="AD1407">
        <v>1404</v>
      </c>
      <c r="AE1407" s="4">
        <f t="shared" si="102"/>
        <v>42258</v>
      </c>
      <c r="AF1407" s="6" t="e">
        <f t="shared" si="103"/>
        <v>#DIV/0!</v>
      </c>
      <c r="AG1407" s="4">
        <v>42258</v>
      </c>
      <c r="AH1407" s="6">
        <v>-0.30895</v>
      </c>
      <c r="AI1407" s="6">
        <v>0.82309399999999999</v>
      </c>
      <c r="AJ1407" s="6">
        <v>1.391516</v>
      </c>
      <c r="AK1407" s="6"/>
      <c r="AL1407" s="6"/>
      <c r="AM1407" s="6" t="e">
        <f t="shared" si="105"/>
        <v>#DIV/0!</v>
      </c>
    </row>
    <row r="1408" spans="29:39" x14ac:dyDescent="0.3">
      <c r="AC1408">
        <f t="shared" si="104"/>
        <v>0</v>
      </c>
      <c r="AD1408">
        <v>1405</v>
      </c>
      <c r="AE1408" s="4">
        <f t="shared" si="102"/>
        <v>42261</v>
      </c>
      <c r="AF1408" s="6" t="e">
        <f t="shared" si="103"/>
        <v>#DIV/0!</v>
      </c>
      <c r="AG1408" s="4">
        <v>42261</v>
      </c>
      <c r="AH1408" s="6">
        <v>-1.973481</v>
      </c>
      <c r="AI1408" s="6">
        <v>-6.8305389999999999</v>
      </c>
      <c r="AJ1408" s="6">
        <v>-6.7885419999999996</v>
      </c>
      <c r="AK1408" s="6"/>
      <c r="AL1408" s="6"/>
      <c r="AM1408" s="6" t="e">
        <f t="shared" si="105"/>
        <v>#DIV/0!</v>
      </c>
    </row>
    <row r="1409" spans="29:39" x14ac:dyDescent="0.3">
      <c r="AC1409">
        <f t="shared" si="104"/>
        <v>0</v>
      </c>
      <c r="AD1409">
        <v>1406</v>
      </c>
      <c r="AE1409" s="4">
        <f t="shared" si="102"/>
        <v>42262</v>
      </c>
      <c r="AF1409" s="6" t="e">
        <f t="shared" si="103"/>
        <v>#DIV/0!</v>
      </c>
      <c r="AG1409" s="4">
        <v>42262</v>
      </c>
      <c r="AH1409" s="6">
        <v>-3.9285160000000001</v>
      </c>
      <c r="AI1409" s="6">
        <v>-5.6491300000000004</v>
      </c>
      <c r="AJ1409" s="6">
        <v>-5.0915590000000002</v>
      </c>
      <c r="AK1409" s="6"/>
      <c r="AL1409" s="6"/>
      <c r="AM1409" s="6" t="e">
        <f t="shared" si="105"/>
        <v>#DIV/0!</v>
      </c>
    </row>
    <row r="1410" spans="29:39" x14ac:dyDescent="0.3">
      <c r="AC1410">
        <f t="shared" si="104"/>
        <v>0</v>
      </c>
      <c r="AD1410">
        <v>1407</v>
      </c>
      <c r="AE1410" s="4">
        <f t="shared" si="102"/>
        <v>42263</v>
      </c>
      <c r="AF1410" s="6" t="e">
        <f t="shared" si="103"/>
        <v>#DIV/0!</v>
      </c>
      <c r="AG1410" s="4">
        <v>42263</v>
      </c>
      <c r="AH1410" s="6">
        <v>4.9811209999999999</v>
      </c>
      <c r="AI1410" s="6">
        <v>6.6013460000000004</v>
      </c>
      <c r="AJ1410" s="6">
        <v>6.619993</v>
      </c>
      <c r="AK1410" s="6"/>
      <c r="AL1410" s="6"/>
      <c r="AM1410" s="6" t="e">
        <f t="shared" si="105"/>
        <v>#DIV/0!</v>
      </c>
    </row>
    <row r="1411" spans="29:39" x14ac:dyDescent="0.3">
      <c r="AC1411">
        <f t="shared" si="104"/>
        <v>0</v>
      </c>
      <c r="AD1411">
        <v>1408</v>
      </c>
      <c r="AE1411" s="4">
        <f t="shared" si="102"/>
        <v>42264</v>
      </c>
      <c r="AF1411" s="6" t="e">
        <f t="shared" si="103"/>
        <v>#DIV/0!</v>
      </c>
      <c r="AG1411" s="4">
        <v>42264</v>
      </c>
      <c r="AH1411" s="6">
        <v>-2.1832690000000001</v>
      </c>
      <c r="AI1411" s="6">
        <v>-1.96271</v>
      </c>
      <c r="AJ1411" s="6">
        <v>-0.95955400000000002</v>
      </c>
      <c r="AK1411" s="6"/>
      <c r="AL1411" s="6"/>
      <c r="AM1411" s="6" t="e">
        <f t="shared" si="105"/>
        <v>#DIV/0!</v>
      </c>
    </row>
    <row r="1412" spans="29:39" x14ac:dyDescent="0.3">
      <c r="AC1412">
        <f t="shared" si="104"/>
        <v>0</v>
      </c>
      <c r="AD1412">
        <v>1409</v>
      </c>
      <c r="AE1412" s="4">
        <f t="shared" si="102"/>
        <v>42265</v>
      </c>
      <c r="AF1412" s="6" t="e">
        <f t="shared" si="103"/>
        <v>#DIV/0!</v>
      </c>
      <c r="AG1412" s="4">
        <v>42265</v>
      </c>
      <c r="AH1412" s="6">
        <v>0.44098300000000001</v>
      </c>
      <c r="AI1412" s="6">
        <v>1.1981139999999999</v>
      </c>
      <c r="AJ1412" s="6">
        <v>1.7172210000000001</v>
      </c>
      <c r="AK1412" s="6"/>
      <c r="AL1412" s="6"/>
      <c r="AM1412" s="6" t="e">
        <f t="shared" si="105"/>
        <v>#DIV/0!</v>
      </c>
    </row>
    <row r="1413" spans="29:39" x14ac:dyDescent="0.3">
      <c r="AC1413">
        <f t="shared" si="104"/>
        <v>0</v>
      </c>
      <c r="AD1413">
        <v>1410</v>
      </c>
      <c r="AE1413" s="4">
        <f t="shared" ref="AE1413:AE1476" si="106">AG1413</f>
        <v>42268</v>
      </c>
      <c r="AF1413" s="6" t="e">
        <f t="shared" ref="AF1413:AF1476" si="107">AM1413</f>
        <v>#DIV/0!</v>
      </c>
      <c r="AG1413" s="4">
        <v>42268</v>
      </c>
      <c r="AH1413" s="6">
        <v>1.7523439999999999</v>
      </c>
      <c r="AI1413" s="6">
        <v>3.5375529999999999</v>
      </c>
      <c r="AJ1413" s="6">
        <v>3.8601580000000002</v>
      </c>
      <c r="AK1413" s="6"/>
      <c r="AL1413" s="6"/>
      <c r="AM1413" s="6" t="e">
        <f t="shared" si="105"/>
        <v>#DIV/0!</v>
      </c>
    </row>
    <row r="1414" spans="29:39" x14ac:dyDescent="0.3">
      <c r="AC1414">
        <f t="shared" ref="AC1414:AC1477" si="108">IF(AE1414&lt;=AE1413,1,0)</f>
        <v>0</v>
      </c>
      <c r="AD1414">
        <v>1411</v>
      </c>
      <c r="AE1414" s="4">
        <f t="shared" si="106"/>
        <v>42269</v>
      </c>
      <c r="AF1414" s="6" t="e">
        <f t="shared" si="107"/>
        <v>#DIV/0!</v>
      </c>
      <c r="AG1414" s="4">
        <v>42269</v>
      </c>
      <c r="AH1414" s="6">
        <v>0.93050200000000005</v>
      </c>
      <c r="AI1414" s="6">
        <v>0.72773299999999996</v>
      </c>
      <c r="AJ1414" s="6">
        <v>0.41986699999999999</v>
      </c>
      <c r="AK1414" s="6"/>
      <c r="AL1414" s="6"/>
      <c r="AM1414" s="6" t="e">
        <f t="shared" ref="AM1414:AM1477" si="109">(AL1414/AL1413-1)*100</f>
        <v>#DIV/0!</v>
      </c>
    </row>
    <row r="1415" spans="29:39" x14ac:dyDescent="0.3">
      <c r="AC1415">
        <f t="shared" si="108"/>
        <v>0</v>
      </c>
      <c r="AD1415">
        <v>1412</v>
      </c>
      <c r="AE1415" s="4">
        <f t="shared" si="106"/>
        <v>42270</v>
      </c>
      <c r="AF1415" s="6" t="e">
        <f t="shared" si="107"/>
        <v>#DIV/0!</v>
      </c>
      <c r="AG1415" s="4">
        <v>42270</v>
      </c>
      <c r="AH1415" s="6">
        <v>-2.2761849999999999</v>
      </c>
      <c r="AI1415" s="6">
        <v>-1.132879</v>
      </c>
      <c r="AJ1415" s="6">
        <v>-0.72034900000000002</v>
      </c>
      <c r="AK1415" s="6"/>
      <c r="AL1415" s="6"/>
      <c r="AM1415" s="6" t="e">
        <f t="shared" si="109"/>
        <v>#DIV/0!</v>
      </c>
    </row>
    <row r="1416" spans="29:39" x14ac:dyDescent="0.3">
      <c r="AC1416">
        <f t="shared" si="108"/>
        <v>0</v>
      </c>
      <c r="AD1416">
        <v>1413</v>
      </c>
      <c r="AE1416" s="4">
        <f t="shared" si="106"/>
        <v>42271</v>
      </c>
      <c r="AF1416" s="6" t="e">
        <f t="shared" si="107"/>
        <v>#DIV/0!</v>
      </c>
      <c r="AG1416" s="4">
        <v>42271</v>
      </c>
      <c r="AH1416" s="6">
        <v>0.67335</v>
      </c>
      <c r="AI1416" s="6">
        <v>1.454061</v>
      </c>
      <c r="AJ1416" s="6">
        <v>1.338929</v>
      </c>
      <c r="AK1416" s="6"/>
      <c r="AL1416" s="6"/>
      <c r="AM1416" s="6" t="e">
        <f t="shared" si="109"/>
        <v>#DIV/0!</v>
      </c>
    </row>
    <row r="1417" spans="29:39" x14ac:dyDescent="0.3">
      <c r="AC1417">
        <f t="shared" si="108"/>
        <v>0</v>
      </c>
      <c r="AD1417">
        <v>1414</v>
      </c>
      <c r="AE1417" s="4">
        <f t="shared" si="106"/>
        <v>42272</v>
      </c>
      <c r="AF1417" s="6" t="e">
        <f t="shared" si="107"/>
        <v>#DIV/0!</v>
      </c>
      <c r="AG1417" s="4">
        <v>42272</v>
      </c>
      <c r="AH1417" s="6">
        <v>-1.6148469999999999</v>
      </c>
      <c r="AI1417" s="6">
        <v>-3.2736360000000002</v>
      </c>
      <c r="AJ1417" s="6">
        <v>-3.640536</v>
      </c>
      <c r="AK1417" s="6"/>
      <c r="AL1417" s="6"/>
      <c r="AM1417" s="6" t="e">
        <f t="shared" si="109"/>
        <v>#DIV/0!</v>
      </c>
    </row>
    <row r="1418" spans="29:39" x14ac:dyDescent="0.3">
      <c r="AC1418">
        <f t="shared" si="108"/>
        <v>0</v>
      </c>
      <c r="AD1418">
        <v>1415</v>
      </c>
      <c r="AE1418" s="4">
        <f t="shared" si="106"/>
        <v>42275</v>
      </c>
      <c r="AF1418" s="6" t="e">
        <f t="shared" si="107"/>
        <v>#DIV/0!</v>
      </c>
      <c r="AG1418" s="4">
        <v>42275</v>
      </c>
      <c r="AH1418" s="6">
        <v>0.33419399999999999</v>
      </c>
      <c r="AI1418" s="6">
        <v>1.8223389999999999</v>
      </c>
      <c r="AJ1418" s="6">
        <v>2.6104720000000001</v>
      </c>
      <c r="AK1418" s="6"/>
      <c r="AL1418" s="6"/>
      <c r="AM1418" s="6" t="e">
        <f t="shared" si="109"/>
        <v>#DIV/0!</v>
      </c>
    </row>
    <row r="1419" spans="29:39" x14ac:dyDescent="0.3">
      <c r="AC1419">
        <f t="shared" si="108"/>
        <v>0</v>
      </c>
      <c r="AD1419">
        <v>1416</v>
      </c>
      <c r="AE1419" s="4">
        <f t="shared" si="106"/>
        <v>42276</v>
      </c>
      <c r="AF1419" s="6" t="e">
        <f t="shared" si="107"/>
        <v>#DIV/0!</v>
      </c>
      <c r="AG1419" s="4">
        <v>42276</v>
      </c>
      <c r="AH1419" s="6">
        <v>-1.9704870000000001</v>
      </c>
      <c r="AI1419" s="6">
        <v>-1.866425</v>
      </c>
      <c r="AJ1419" s="6">
        <v>-1.517171</v>
      </c>
      <c r="AK1419" s="6"/>
      <c r="AL1419" s="6"/>
      <c r="AM1419" s="6" t="e">
        <f t="shared" si="109"/>
        <v>#DIV/0!</v>
      </c>
    </row>
    <row r="1420" spans="29:39" x14ac:dyDescent="0.3">
      <c r="AC1420">
        <f t="shared" si="108"/>
        <v>0</v>
      </c>
      <c r="AD1420">
        <v>1417</v>
      </c>
      <c r="AE1420" s="4">
        <f t="shared" si="106"/>
        <v>42277</v>
      </c>
      <c r="AF1420" s="6" t="e">
        <f t="shared" si="107"/>
        <v>#DIV/0!</v>
      </c>
      <c r="AG1420" s="4">
        <v>42277</v>
      </c>
      <c r="AH1420" s="6">
        <v>0.75791799999999998</v>
      </c>
      <c r="AI1420" s="6">
        <v>0.32966699999999999</v>
      </c>
      <c r="AJ1420" s="6">
        <v>8.8489999999999999E-2</v>
      </c>
      <c r="AK1420" s="6"/>
      <c r="AL1420" s="6"/>
      <c r="AM1420" s="6" t="e">
        <f t="shared" si="109"/>
        <v>#DIV/0!</v>
      </c>
    </row>
    <row r="1421" spans="29:39" x14ac:dyDescent="0.3">
      <c r="AC1421">
        <f t="shared" si="108"/>
        <v>0</v>
      </c>
      <c r="AD1421">
        <v>1418</v>
      </c>
      <c r="AE1421" s="4">
        <f t="shared" si="106"/>
        <v>42285</v>
      </c>
      <c r="AF1421" s="6" t="e">
        <f t="shared" si="107"/>
        <v>#DIV/0!</v>
      </c>
      <c r="AG1421" s="4">
        <v>42285</v>
      </c>
      <c r="AH1421" s="6">
        <v>2.9202629999999998</v>
      </c>
      <c r="AI1421" s="6">
        <v>4.0623129999999996</v>
      </c>
      <c r="AJ1421" s="6">
        <v>4.254537</v>
      </c>
      <c r="AK1421" s="6"/>
      <c r="AL1421" s="6"/>
      <c r="AM1421" s="6" t="e">
        <f t="shared" si="109"/>
        <v>#DIV/0!</v>
      </c>
    </row>
    <row r="1422" spans="29:39" x14ac:dyDescent="0.3">
      <c r="AC1422">
        <f t="shared" si="108"/>
        <v>0</v>
      </c>
      <c r="AD1422">
        <v>1419</v>
      </c>
      <c r="AE1422" s="4">
        <f t="shared" si="106"/>
        <v>42286</v>
      </c>
      <c r="AF1422" s="6" t="e">
        <f t="shared" si="107"/>
        <v>#DIV/0!</v>
      </c>
      <c r="AG1422" s="4">
        <v>42286</v>
      </c>
      <c r="AH1422" s="6">
        <v>1.32365</v>
      </c>
      <c r="AI1422" s="6">
        <v>1.530939</v>
      </c>
      <c r="AJ1422" s="6">
        <v>1.5406329999999999</v>
      </c>
      <c r="AK1422" s="6"/>
      <c r="AL1422" s="6"/>
      <c r="AM1422" s="6" t="e">
        <f t="shared" si="109"/>
        <v>#DIV/0!</v>
      </c>
    </row>
    <row r="1423" spans="29:39" x14ac:dyDescent="0.3">
      <c r="AC1423">
        <f t="shared" si="108"/>
        <v>0</v>
      </c>
      <c r="AD1423">
        <v>1420</v>
      </c>
      <c r="AE1423" s="4">
        <f t="shared" si="106"/>
        <v>42289</v>
      </c>
      <c r="AF1423" s="6" t="e">
        <f t="shared" si="107"/>
        <v>#DIV/0!</v>
      </c>
      <c r="AG1423" s="4">
        <v>42289</v>
      </c>
      <c r="AH1423" s="6">
        <v>3.2207710000000001</v>
      </c>
      <c r="AI1423" s="6">
        <v>3.8434119999999998</v>
      </c>
      <c r="AJ1423" s="6">
        <v>4.1835709999999997</v>
      </c>
      <c r="AK1423" s="6"/>
      <c r="AL1423" s="6"/>
      <c r="AM1423" s="6" t="e">
        <f t="shared" si="109"/>
        <v>#DIV/0!</v>
      </c>
    </row>
    <row r="1424" spans="29:39" x14ac:dyDescent="0.3">
      <c r="AC1424">
        <f t="shared" si="108"/>
        <v>0</v>
      </c>
      <c r="AD1424">
        <v>1421</v>
      </c>
      <c r="AE1424" s="4">
        <f t="shared" si="106"/>
        <v>42290</v>
      </c>
      <c r="AF1424" s="6" t="e">
        <f t="shared" si="107"/>
        <v>#DIV/0!</v>
      </c>
      <c r="AG1424" s="4">
        <v>42290</v>
      </c>
      <c r="AH1424" s="6">
        <v>-7.6871999999999996E-2</v>
      </c>
      <c r="AI1424" s="6">
        <v>1.2406349999999999</v>
      </c>
      <c r="AJ1424" s="6">
        <v>1.506845</v>
      </c>
      <c r="AK1424" s="6"/>
      <c r="AL1424" s="6"/>
      <c r="AM1424" s="6" t="e">
        <f t="shared" si="109"/>
        <v>#DIV/0!</v>
      </c>
    </row>
    <row r="1425" spans="29:39" x14ac:dyDescent="0.3">
      <c r="AC1425">
        <f t="shared" si="108"/>
        <v>0</v>
      </c>
      <c r="AD1425">
        <v>1422</v>
      </c>
      <c r="AE1425" s="4">
        <f t="shared" si="106"/>
        <v>42291</v>
      </c>
      <c r="AF1425" s="6" t="e">
        <f t="shared" si="107"/>
        <v>#DIV/0!</v>
      </c>
      <c r="AG1425" s="4">
        <v>42291</v>
      </c>
      <c r="AH1425" s="6">
        <v>-1.1300730000000001</v>
      </c>
      <c r="AI1425" s="6">
        <v>-1.140552</v>
      </c>
      <c r="AJ1425" s="6">
        <v>-1.3446499999999999</v>
      </c>
      <c r="AK1425" s="6"/>
      <c r="AL1425" s="6"/>
      <c r="AM1425" s="6" t="e">
        <f t="shared" si="109"/>
        <v>#DIV/0!</v>
      </c>
    </row>
    <row r="1426" spans="29:39" x14ac:dyDescent="0.3">
      <c r="AC1426">
        <f t="shared" si="108"/>
        <v>0</v>
      </c>
      <c r="AD1426">
        <v>1423</v>
      </c>
      <c r="AE1426" s="4">
        <f t="shared" si="106"/>
        <v>42292</v>
      </c>
      <c r="AF1426" s="6" t="e">
        <f t="shared" si="107"/>
        <v>#DIV/0!</v>
      </c>
      <c r="AG1426" s="4">
        <v>42292</v>
      </c>
      <c r="AH1426" s="6">
        <v>2.36937</v>
      </c>
      <c r="AI1426" s="6">
        <v>3.0447150000000001</v>
      </c>
      <c r="AJ1426" s="6">
        <v>3.2073580000000002</v>
      </c>
      <c r="AK1426" s="6"/>
      <c r="AL1426" s="6"/>
      <c r="AM1426" s="6" t="e">
        <f t="shared" si="109"/>
        <v>#DIV/0!</v>
      </c>
    </row>
    <row r="1427" spans="29:39" x14ac:dyDescent="0.3">
      <c r="AC1427">
        <f t="shared" si="108"/>
        <v>0</v>
      </c>
      <c r="AD1427">
        <v>1424</v>
      </c>
      <c r="AE1427" s="4">
        <f t="shared" si="106"/>
        <v>42293</v>
      </c>
      <c r="AF1427" s="6" t="e">
        <f t="shared" si="107"/>
        <v>#DIV/0!</v>
      </c>
      <c r="AG1427" s="4">
        <v>42293</v>
      </c>
      <c r="AH1427" s="6">
        <v>1.355113</v>
      </c>
      <c r="AI1427" s="6">
        <v>1.7075830000000001</v>
      </c>
      <c r="AJ1427" s="6">
        <v>1.527539</v>
      </c>
      <c r="AK1427" s="6"/>
      <c r="AL1427" s="6"/>
      <c r="AM1427" s="6" t="e">
        <f t="shared" si="109"/>
        <v>#DIV/0!</v>
      </c>
    </row>
    <row r="1428" spans="29:39" x14ac:dyDescent="0.3">
      <c r="AC1428">
        <f t="shared" si="108"/>
        <v>0</v>
      </c>
      <c r="AD1428">
        <v>1425</v>
      </c>
      <c r="AE1428" s="4">
        <f t="shared" si="106"/>
        <v>42296</v>
      </c>
      <c r="AF1428" s="6" t="e">
        <f t="shared" si="107"/>
        <v>#DIV/0!</v>
      </c>
      <c r="AG1428" s="4">
        <v>42296</v>
      </c>
      <c r="AH1428" s="6">
        <v>3.3050000000000002E-3</v>
      </c>
      <c r="AI1428" s="6">
        <v>-2.6689999999999999E-3</v>
      </c>
      <c r="AJ1428" s="6">
        <v>-8.5281999999999997E-2</v>
      </c>
      <c r="AK1428" s="6"/>
      <c r="AL1428" s="6"/>
      <c r="AM1428" s="6" t="e">
        <f t="shared" si="109"/>
        <v>#DIV/0!</v>
      </c>
    </row>
    <row r="1429" spans="29:39" x14ac:dyDescent="0.3">
      <c r="AC1429">
        <f t="shared" si="108"/>
        <v>0</v>
      </c>
      <c r="AD1429">
        <v>1426</v>
      </c>
      <c r="AE1429" s="4">
        <f t="shared" si="106"/>
        <v>42297</v>
      </c>
      <c r="AF1429" s="6" t="e">
        <f t="shared" si="107"/>
        <v>#DIV/0!</v>
      </c>
      <c r="AG1429" s="4">
        <v>42297</v>
      </c>
      <c r="AH1429" s="6">
        <v>1.231419</v>
      </c>
      <c r="AI1429" s="6">
        <v>1.6276079999999999</v>
      </c>
      <c r="AJ1429" s="6">
        <v>2.0273059999999998</v>
      </c>
      <c r="AK1429" s="6"/>
      <c r="AL1429" s="6"/>
      <c r="AM1429" s="6" t="e">
        <f t="shared" si="109"/>
        <v>#DIV/0!</v>
      </c>
    </row>
    <row r="1430" spans="29:39" x14ac:dyDescent="0.3">
      <c r="AC1430">
        <f t="shared" si="108"/>
        <v>0</v>
      </c>
      <c r="AD1430">
        <v>1427</v>
      </c>
      <c r="AE1430" s="4">
        <f t="shared" si="106"/>
        <v>42298</v>
      </c>
      <c r="AF1430" s="6" t="e">
        <f t="shared" si="107"/>
        <v>#DIV/0!</v>
      </c>
      <c r="AG1430" s="4">
        <v>42298</v>
      </c>
      <c r="AH1430" s="6">
        <v>-2.9194239999999998</v>
      </c>
      <c r="AI1430" s="6">
        <v>-6.2738350000000001</v>
      </c>
      <c r="AJ1430" s="6">
        <v>-6.3064669999999996</v>
      </c>
      <c r="AK1430" s="6"/>
      <c r="AL1430" s="6"/>
      <c r="AM1430" s="6" t="e">
        <f t="shared" si="109"/>
        <v>#DIV/0!</v>
      </c>
    </row>
    <row r="1431" spans="29:39" x14ac:dyDescent="0.3">
      <c r="AC1431">
        <f t="shared" si="108"/>
        <v>0</v>
      </c>
      <c r="AD1431">
        <v>1428</v>
      </c>
      <c r="AE1431" s="4">
        <f t="shared" si="106"/>
        <v>42299</v>
      </c>
      <c r="AF1431" s="6" t="e">
        <f t="shared" si="107"/>
        <v>#DIV/0!</v>
      </c>
      <c r="AG1431" s="4">
        <v>42299</v>
      </c>
      <c r="AH1431" s="6">
        <v>1.4764109999999999</v>
      </c>
      <c r="AI1431" s="6">
        <v>3.747487</v>
      </c>
      <c r="AJ1431" s="6">
        <v>4.1344659999999998</v>
      </c>
      <c r="AK1431" s="6"/>
      <c r="AL1431" s="6"/>
      <c r="AM1431" s="6" t="e">
        <f t="shared" si="109"/>
        <v>#DIV/0!</v>
      </c>
    </row>
    <row r="1432" spans="29:39" x14ac:dyDescent="0.3">
      <c r="AC1432">
        <f t="shared" si="108"/>
        <v>0</v>
      </c>
      <c r="AD1432">
        <v>1429</v>
      </c>
      <c r="AE1432" s="4">
        <f t="shared" si="106"/>
        <v>42300</v>
      </c>
      <c r="AF1432" s="6" t="e">
        <f t="shared" si="107"/>
        <v>#DIV/0!</v>
      </c>
      <c r="AG1432" s="4">
        <v>42300</v>
      </c>
      <c r="AH1432" s="6">
        <v>1.325202</v>
      </c>
      <c r="AI1432" s="6">
        <v>2.4975499999999999</v>
      </c>
      <c r="AJ1432" s="6">
        <v>3.2355700000000001</v>
      </c>
      <c r="AK1432" s="6"/>
      <c r="AL1432" s="6"/>
      <c r="AM1432" s="6" t="e">
        <f t="shared" si="109"/>
        <v>#DIV/0!</v>
      </c>
    </row>
    <row r="1433" spans="29:39" x14ac:dyDescent="0.3">
      <c r="AC1433">
        <f t="shared" si="108"/>
        <v>0</v>
      </c>
      <c r="AD1433">
        <v>1430</v>
      </c>
      <c r="AE1433" s="4">
        <f t="shared" si="106"/>
        <v>42303</v>
      </c>
      <c r="AF1433" s="6" t="e">
        <f t="shared" si="107"/>
        <v>#DIV/0!</v>
      </c>
      <c r="AG1433" s="4">
        <v>42303</v>
      </c>
      <c r="AH1433" s="6">
        <v>0.50458599999999998</v>
      </c>
      <c r="AI1433" s="6">
        <v>0.67972600000000005</v>
      </c>
      <c r="AJ1433" s="6">
        <v>0.87488500000000002</v>
      </c>
      <c r="AK1433" s="6"/>
      <c r="AL1433" s="6"/>
      <c r="AM1433" s="6" t="e">
        <f t="shared" si="109"/>
        <v>#DIV/0!</v>
      </c>
    </row>
    <row r="1434" spans="29:39" x14ac:dyDescent="0.3">
      <c r="AC1434">
        <f t="shared" si="108"/>
        <v>0</v>
      </c>
      <c r="AD1434">
        <v>1431</v>
      </c>
      <c r="AE1434" s="4">
        <f t="shared" si="106"/>
        <v>42304</v>
      </c>
      <c r="AF1434" s="6" t="e">
        <f t="shared" si="107"/>
        <v>#DIV/0!</v>
      </c>
      <c r="AG1434" s="4">
        <v>42304</v>
      </c>
      <c r="AH1434" s="6">
        <v>0.100809</v>
      </c>
      <c r="AI1434" s="6">
        <v>0.62171900000000002</v>
      </c>
      <c r="AJ1434" s="6">
        <v>0.89687600000000001</v>
      </c>
      <c r="AK1434" s="6"/>
      <c r="AL1434" s="6"/>
      <c r="AM1434" s="6" t="e">
        <f t="shared" si="109"/>
        <v>#DIV/0!</v>
      </c>
    </row>
    <row r="1435" spans="29:39" x14ac:dyDescent="0.3">
      <c r="AC1435">
        <f t="shared" si="108"/>
        <v>0</v>
      </c>
      <c r="AD1435">
        <v>1432</v>
      </c>
      <c r="AE1435" s="4">
        <f t="shared" si="106"/>
        <v>42305</v>
      </c>
      <c r="AF1435" s="6" t="e">
        <f t="shared" si="107"/>
        <v>#DIV/0!</v>
      </c>
      <c r="AG1435" s="4">
        <v>42305</v>
      </c>
      <c r="AH1435" s="6">
        <v>-1.891505</v>
      </c>
      <c r="AI1435" s="6">
        <v>-2.52427</v>
      </c>
      <c r="AJ1435" s="6">
        <v>-2.2907850000000001</v>
      </c>
      <c r="AK1435" s="6"/>
      <c r="AL1435" s="6"/>
      <c r="AM1435" s="6" t="e">
        <f t="shared" si="109"/>
        <v>#DIV/0!</v>
      </c>
    </row>
    <row r="1436" spans="29:39" x14ac:dyDescent="0.3">
      <c r="AC1436">
        <f t="shared" si="108"/>
        <v>0</v>
      </c>
      <c r="AD1436">
        <v>1433</v>
      </c>
      <c r="AE1436" s="4">
        <f t="shared" si="106"/>
        <v>42306</v>
      </c>
      <c r="AF1436" s="6" t="e">
        <f t="shared" si="107"/>
        <v>#DIV/0!</v>
      </c>
      <c r="AG1436" s="4">
        <v>42306</v>
      </c>
      <c r="AH1436" s="6">
        <v>0.237923</v>
      </c>
      <c r="AI1436" s="6">
        <v>0.85232600000000003</v>
      </c>
      <c r="AJ1436" s="6">
        <v>0.90580899999999998</v>
      </c>
      <c r="AK1436" s="6"/>
      <c r="AL1436" s="6"/>
      <c r="AM1436" s="6" t="e">
        <f t="shared" si="109"/>
        <v>#DIV/0!</v>
      </c>
    </row>
    <row r="1437" spans="29:39" x14ac:dyDescent="0.3">
      <c r="AC1437">
        <f t="shared" si="108"/>
        <v>0</v>
      </c>
      <c r="AD1437">
        <v>1434</v>
      </c>
      <c r="AE1437" s="4">
        <f t="shared" si="106"/>
        <v>42307</v>
      </c>
      <c r="AF1437" s="6" t="e">
        <f t="shared" si="107"/>
        <v>#DIV/0!</v>
      </c>
      <c r="AG1437" s="4">
        <v>42307</v>
      </c>
      <c r="AH1437" s="6">
        <v>2.1857999999999999E-2</v>
      </c>
      <c r="AI1437" s="6">
        <v>-0.33766099999999999</v>
      </c>
      <c r="AJ1437" s="6">
        <v>-0.28565499999999999</v>
      </c>
      <c r="AK1437" s="6"/>
      <c r="AL1437" s="6"/>
      <c r="AM1437" s="6" t="e">
        <f t="shared" si="109"/>
        <v>#DIV/0!</v>
      </c>
    </row>
    <row r="1438" spans="29:39" x14ac:dyDescent="0.3">
      <c r="AC1438">
        <f t="shared" si="108"/>
        <v>0</v>
      </c>
      <c r="AD1438">
        <v>1435</v>
      </c>
      <c r="AE1438" s="4">
        <f t="shared" si="106"/>
        <v>42310</v>
      </c>
      <c r="AF1438" s="6" t="e">
        <f t="shared" si="107"/>
        <v>#DIV/0!</v>
      </c>
      <c r="AG1438" s="4">
        <v>42310</v>
      </c>
      <c r="AH1438" s="6">
        <v>-1.64446</v>
      </c>
      <c r="AI1438" s="6">
        <v>-2.0965379999999998</v>
      </c>
      <c r="AJ1438" s="6">
        <v>-2.6510150000000001</v>
      </c>
      <c r="AK1438" s="6"/>
      <c r="AL1438" s="6"/>
      <c r="AM1438" s="6" t="e">
        <f t="shared" si="109"/>
        <v>#DIV/0!</v>
      </c>
    </row>
    <row r="1439" spans="29:39" x14ac:dyDescent="0.3">
      <c r="AC1439">
        <f t="shared" si="108"/>
        <v>0</v>
      </c>
      <c r="AD1439">
        <v>1436</v>
      </c>
      <c r="AE1439" s="4">
        <f t="shared" si="106"/>
        <v>42311</v>
      </c>
      <c r="AF1439" s="6" t="e">
        <f t="shared" si="107"/>
        <v>#DIV/0!</v>
      </c>
      <c r="AG1439" s="4">
        <v>42311</v>
      </c>
      <c r="AH1439" s="6">
        <v>-0.30120000000000002</v>
      </c>
      <c r="AI1439" s="6">
        <v>-0.235403</v>
      </c>
      <c r="AJ1439" s="6">
        <v>-0.22659699999999999</v>
      </c>
      <c r="AK1439" s="6"/>
      <c r="AL1439" s="6"/>
      <c r="AM1439" s="6" t="e">
        <f t="shared" si="109"/>
        <v>#DIV/0!</v>
      </c>
    </row>
    <row r="1440" spans="29:39" x14ac:dyDescent="0.3">
      <c r="AC1440">
        <f t="shared" si="108"/>
        <v>0</v>
      </c>
      <c r="AD1440">
        <v>1437</v>
      </c>
      <c r="AE1440" s="4">
        <f t="shared" si="106"/>
        <v>42312</v>
      </c>
      <c r="AF1440" s="6" t="e">
        <f t="shared" si="107"/>
        <v>#DIV/0!</v>
      </c>
      <c r="AG1440" s="4">
        <v>42312</v>
      </c>
      <c r="AH1440" s="6">
        <v>4.7048139999999998</v>
      </c>
      <c r="AI1440" s="6">
        <v>5.0271720000000002</v>
      </c>
      <c r="AJ1440" s="6">
        <v>5.2936480000000001</v>
      </c>
      <c r="AK1440" s="6"/>
      <c r="AL1440" s="6"/>
      <c r="AM1440" s="6" t="e">
        <f t="shared" si="109"/>
        <v>#DIV/0!</v>
      </c>
    </row>
    <row r="1441" spans="29:39" x14ac:dyDescent="0.3">
      <c r="AC1441">
        <f t="shared" si="108"/>
        <v>0</v>
      </c>
      <c r="AD1441">
        <v>1438</v>
      </c>
      <c r="AE1441" s="4">
        <f t="shared" si="106"/>
        <v>42313</v>
      </c>
      <c r="AF1441" s="6" t="e">
        <f t="shared" si="107"/>
        <v>#DIV/0!</v>
      </c>
      <c r="AG1441" s="4">
        <v>42313</v>
      </c>
      <c r="AH1441" s="6">
        <v>2.1339730000000001</v>
      </c>
      <c r="AI1441" s="6">
        <v>0.11643000000000001</v>
      </c>
      <c r="AJ1441" s="6">
        <v>-5.7422000000000001E-2</v>
      </c>
      <c r="AK1441" s="6"/>
      <c r="AL1441" s="6"/>
      <c r="AM1441" s="6" t="e">
        <f t="shared" si="109"/>
        <v>#DIV/0!</v>
      </c>
    </row>
    <row r="1442" spans="29:39" x14ac:dyDescent="0.3">
      <c r="AC1442">
        <f t="shared" si="108"/>
        <v>0</v>
      </c>
      <c r="AD1442">
        <v>1439</v>
      </c>
      <c r="AE1442" s="4">
        <f t="shared" si="106"/>
        <v>42314</v>
      </c>
      <c r="AF1442" s="6" t="e">
        <f t="shared" si="107"/>
        <v>#DIV/0!</v>
      </c>
      <c r="AG1442" s="4">
        <v>42314</v>
      </c>
      <c r="AH1442" s="6">
        <v>2.3584700000000001</v>
      </c>
      <c r="AI1442" s="6">
        <v>2.3417539999999999</v>
      </c>
      <c r="AJ1442" s="6">
        <v>2.532454</v>
      </c>
      <c r="AK1442" s="6"/>
      <c r="AL1442" s="6"/>
      <c r="AM1442" s="6" t="e">
        <f t="shared" si="109"/>
        <v>#DIV/0!</v>
      </c>
    </row>
    <row r="1443" spans="29:39" x14ac:dyDescent="0.3">
      <c r="AC1443">
        <f t="shared" si="108"/>
        <v>0</v>
      </c>
      <c r="AD1443">
        <v>1440</v>
      </c>
      <c r="AE1443" s="4">
        <f t="shared" si="106"/>
        <v>42317</v>
      </c>
      <c r="AF1443" s="6" t="e">
        <f t="shared" si="107"/>
        <v>#DIV/0!</v>
      </c>
      <c r="AG1443" s="4">
        <v>42317</v>
      </c>
      <c r="AH1443" s="6">
        <v>1.238496</v>
      </c>
      <c r="AI1443" s="6">
        <v>1.3019510000000001</v>
      </c>
      <c r="AJ1443" s="6">
        <v>1.9394370000000001</v>
      </c>
      <c r="AK1443" s="6"/>
      <c r="AL1443" s="6"/>
      <c r="AM1443" s="6" t="e">
        <f t="shared" si="109"/>
        <v>#DIV/0!</v>
      </c>
    </row>
    <row r="1444" spans="29:39" x14ac:dyDescent="0.3">
      <c r="AC1444">
        <f t="shared" si="108"/>
        <v>0</v>
      </c>
      <c r="AD1444">
        <v>1441</v>
      </c>
      <c r="AE1444" s="4">
        <f t="shared" si="106"/>
        <v>42318</v>
      </c>
      <c r="AF1444" s="6" t="e">
        <f t="shared" si="107"/>
        <v>#DIV/0!</v>
      </c>
      <c r="AG1444" s="4">
        <v>42318</v>
      </c>
      <c r="AH1444" s="6">
        <v>-0.18531600000000001</v>
      </c>
      <c r="AI1444" s="6">
        <v>0.41367700000000002</v>
      </c>
      <c r="AJ1444" s="6">
        <v>0.96990200000000004</v>
      </c>
      <c r="AK1444" s="6"/>
      <c r="AL1444" s="6"/>
      <c r="AM1444" s="6" t="e">
        <f t="shared" si="109"/>
        <v>#DIV/0!</v>
      </c>
    </row>
    <row r="1445" spans="29:39" x14ac:dyDescent="0.3">
      <c r="AC1445">
        <f t="shared" si="108"/>
        <v>0</v>
      </c>
      <c r="AD1445">
        <v>1442</v>
      </c>
      <c r="AE1445" s="4">
        <f t="shared" si="106"/>
        <v>42319</v>
      </c>
      <c r="AF1445" s="6" t="e">
        <f t="shared" si="107"/>
        <v>#DIV/0!</v>
      </c>
      <c r="AG1445" s="4">
        <v>42319</v>
      </c>
      <c r="AH1445" s="6">
        <v>1.0638999999999999E-2</v>
      </c>
      <c r="AI1445" s="6">
        <v>1.4476230000000001</v>
      </c>
      <c r="AJ1445" s="6">
        <v>1.909656</v>
      </c>
      <c r="AK1445" s="6"/>
      <c r="AL1445" s="6"/>
      <c r="AM1445" s="6" t="e">
        <f t="shared" si="109"/>
        <v>#DIV/0!</v>
      </c>
    </row>
    <row r="1446" spans="29:39" x14ac:dyDescent="0.3">
      <c r="AC1446">
        <f t="shared" si="108"/>
        <v>0</v>
      </c>
      <c r="AD1446">
        <v>1443</v>
      </c>
      <c r="AE1446" s="4">
        <f t="shared" si="106"/>
        <v>42320</v>
      </c>
      <c r="AF1446" s="6" t="e">
        <f t="shared" si="107"/>
        <v>#DIV/0!</v>
      </c>
      <c r="AG1446" s="4">
        <v>42320</v>
      </c>
      <c r="AH1446" s="6">
        <v>-0.99961199999999995</v>
      </c>
      <c r="AI1446" s="6">
        <v>-2.8815E-2</v>
      </c>
      <c r="AJ1446" s="6">
        <v>0.342277</v>
      </c>
      <c r="AK1446" s="6"/>
      <c r="AL1446" s="6"/>
      <c r="AM1446" s="6" t="e">
        <f t="shared" si="109"/>
        <v>#DIV/0!</v>
      </c>
    </row>
    <row r="1447" spans="29:39" x14ac:dyDescent="0.3">
      <c r="AC1447">
        <f t="shared" si="108"/>
        <v>0</v>
      </c>
      <c r="AD1447">
        <v>1444</v>
      </c>
      <c r="AE1447" s="4">
        <f t="shared" si="106"/>
        <v>42321</v>
      </c>
      <c r="AF1447" s="6" t="e">
        <f t="shared" si="107"/>
        <v>#DIV/0!</v>
      </c>
      <c r="AG1447" s="4">
        <v>42321</v>
      </c>
      <c r="AH1447" s="6">
        <v>-1.29322</v>
      </c>
      <c r="AI1447" s="6">
        <v>-1.5013920000000001</v>
      </c>
      <c r="AJ1447" s="6">
        <v>-1.9764390000000001</v>
      </c>
      <c r="AK1447" s="6"/>
      <c r="AL1447" s="6"/>
      <c r="AM1447" s="6" t="e">
        <f t="shared" si="109"/>
        <v>#DIV/0!</v>
      </c>
    </row>
    <row r="1448" spans="29:39" x14ac:dyDescent="0.3">
      <c r="AC1448">
        <f t="shared" si="108"/>
        <v>0</v>
      </c>
      <c r="AD1448">
        <v>1445</v>
      </c>
      <c r="AE1448" s="4">
        <f t="shared" si="106"/>
        <v>42324</v>
      </c>
      <c r="AF1448" s="6" t="e">
        <f t="shared" si="107"/>
        <v>#DIV/0!</v>
      </c>
      <c r="AG1448" s="4">
        <v>42324</v>
      </c>
      <c r="AH1448" s="6">
        <v>0.477385</v>
      </c>
      <c r="AI1448" s="6">
        <v>2.005347</v>
      </c>
      <c r="AJ1448" s="6">
        <v>2.617162</v>
      </c>
      <c r="AK1448" s="6"/>
      <c r="AL1448" s="6"/>
      <c r="AM1448" s="6" t="e">
        <f t="shared" si="109"/>
        <v>#DIV/0!</v>
      </c>
    </row>
    <row r="1449" spans="29:39" x14ac:dyDescent="0.3">
      <c r="AC1449">
        <f t="shared" si="108"/>
        <v>0</v>
      </c>
      <c r="AD1449">
        <v>1446</v>
      </c>
      <c r="AE1449" s="4">
        <f t="shared" si="106"/>
        <v>42325</v>
      </c>
      <c r="AF1449" s="6" t="e">
        <f t="shared" si="107"/>
        <v>#DIV/0!</v>
      </c>
      <c r="AG1449" s="4">
        <v>42325</v>
      </c>
      <c r="AH1449" s="6">
        <v>-0.152474</v>
      </c>
      <c r="AI1449" s="6">
        <v>-0.88710100000000003</v>
      </c>
      <c r="AJ1449" s="6">
        <v>-0.83747899999999997</v>
      </c>
      <c r="AK1449" s="6"/>
      <c r="AL1449" s="6"/>
      <c r="AM1449" s="6" t="e">
        <f t="shared" si="109"/>
        <v>#DIV/0!</v>
      </c>
    </row>
    <row r="1450" spans="29:39" x14ac:dyDescent="0.3">
      <c r="AC1450">
        <f t="shared" si="108"/>
        <v>0</v>
      </c>
      <c r="AD1450">
        <v>1447</v>
      </c>
      <c r="AE1450" s="4">
        <f t="shared" si="106"/>
        <v>42326</v>
      </c>
      <c r="AF1450" s="6" t="e">
        <f t="shared" si="107"/>
        <v>#DIV/0!</v>
      </c>
      <c r="AG1450" s="4">
        <v>42326</v>
      </c>
      <c r="AH1450" s="6">
        <v>-1.138981</v>
      </c>
      <c r="AI1450" s="6">
        <v>-1.6135029999999999</v>
      </c>
      <c r="AJ1450" s="6">
        <v>-1.7877940000000001</v>
      </c>
      <c r="AK1450" s="6"/>
      <c r="AL1450" s="6"/>
      <c r="AM1450" s="6" t="e">
        <f t="shared" si="109"/>
        <v>#DIV/0!</v>
      </c>
    </row>
    <row r="1451" spans="29:39" x14ac:dyDescent="0.3">
      <c r="AC1451">
        <f t="shared" si="108"/>
        <v>0</v>
      </c>
      <c r="AD1451">
        <v>1448</v>
      </c>
      <c r="AE1451" s="4">
        <f t="shared" si="106"/>
        <v>42327</v>
      </c>
      <c r="AF1451" s="6" t="e">
        <f t="shared" si="107"/>
        <v>#DIV/0!</v>
      </c>
      <c r="AG1451" s="4">
        <v>42327</v>
      </c>
      <c r="AH1451" s="6">
        <v>1.5983890000000001</v>
      </c>
      <c r="AI1451" s="6">
        <v>2.546589</v>
      </c>
      <c r="AJ1451" s="6">
        <v>3.088902</v>
      </c>
      <c r="AK1451" s="6"/>
      <c r="AL1451" s="6"/>
      <c r="AM1451" s="6" t="e">
        <f t="shared" si="109"/>
        <v>#DIV/0!</v>
      </c>
    </row>
    <row r="1452" spans="29:39" x14ac:dyDescent="0.3">
      <c r="AC1452">
        <f t="shared" si="108"/>
        <v>0</v>
      </c>
      <c r="AD1452">
        <v>1449</v>
      </c>
      <c r="AE1452" s="4">
        <f t="shared" si="106"/>
        <v>42328</v>
      </c>
      <c r="AF1452" s="6" t="e">
        <f t="shared" si="107"/>
        <v>#DIV/0!</v>
      </c>
      <c r="AG1452" s="4">
        <v>42328</v>
      </c>
      <c r="AH1452" s="6">
        <v>-1.5514999999999999E-2</v>
      </c>
      <c r="AI1452" s="6">
        <v>1.135481</v>
      </c>
      <c r="AJ1452" s="6">
        <v>2.0028800000000002</v>
      </c>
      <c r="AK1452" s="6"/>
      <c r="AL1452" s="6"/>
      <c r="AM1452" s="6" t="e">
        <f t="shared" si="109"/>
        <v>#DIV/0!</v>
      </c>
    </row>
    <row r="1453" spans="29:39" x14ac:dyDescent="0.3">
      <c r="AC1453">
        <f t="shared" si="108"/>
        <v>0</v>
      </c>
      <c r="AD1453">
        <v>1450</v>
      </c>
      <c r="AE1453" s="4">
        <f t="shared" si="106"/>
        <v>42331</v>
      </c>
      <c r="AF1453" s="6" t="e">
        <f t="shared" si="107"/>
        <v>#DIV/0!</v>
      </c>
      <c r="AG1453" s="4">
        <v>42331</v>
      </c>
      <c r="AH1453" s="6">
        <v>-0.55765900000000002</v>
      </c>
      <c r="AI1453" s="6">
        <v>-0.79530100000000004</v>
      </c>
      <c r="AJ1453" s="6">
        <v>-0.94731299999999996</v>
      </c>
      <c r="AK1453" s="6"/>
      <c r="AL1453" s="6"/>
      <c r="AM1453" s="6" t="e">
        <f t="shared" si="109"/>
        <v>#DIV/0!</v>
      </c>
    </row>
    <row r="1454" spans="29:39" x14ac:dyDescent="0.3">
      <c r="AC1454">
        <f t="shared" si="108"/>
        <v>0</v>
      </c>
      <c r="AD1454">
        <v>1451</v>
      </c>
      <c r="AE1454" s="4">
        <f t="shared" si="106"/>
        <v>42332</v>
      </c>
      <c r="AF1454" s="6" t="e">
        <f t="shared" si="107"/>
        <v>#DIV/0!</v>
      </c>
      <c r="AG1454" s="4">
        <v>42332</v>
      </c>
      <c r="AH1454" s="6">
        <v>1.4749999999999999E-2</v>
      </c>
      <c r="AI1454" s="6">
        <v>0.70136900000000002</v>
      </c>
      <c r="AJ1454" s="6">
        <v>1.142477</v>
      </c>
      <c r="AK1454" s="6"/>
      <c r="AL1454" s="6"/>
      <c r="AM1454" s="6" t="e">
        <f t="shared" si="109"/>
        <v>#DIV/0!</v>
      </c>
    </row>
    <row r="1455" spans="29:39" x14ac:dyDescent="0.3">
      <c r="AC1455">
        <f t="shared" si="108"/>
        <v>0</v>
      </c>
      <c r="AD1455">
        <v>1452</v>
      </c>
      <c r="AE1455" s="4">
        <f t="shared" si="106"/>
        <v>42333</v>
      </c>
      <c r="AF1455" s="6" t="e">
        <f t="shared" si="107"/>
        <v>#DIV/0!</v>
      </c>
      <c r="AG1455" s="4">
        <v>42333</v>
      </c>
      <c r="AH1455" s="6">
        <v>0.73838599999999999</v>
      </c>
      <c r="AI1455" s="6">
        <v>1.5885959999999999</v>
      </c>
      <c r="AJ1455" s="6">
        <v>2.2630949999999999</v>
      </c>
      <c r="AK1455" s="6"/>
      <c r="AL1455" s="6"/>
      <c r="AM1455" s="6" t="e">
        <f t="shared" si="109"/>
        <v>#DIV/0!</v>
      </c>
    </row>
    <row r="1456" spans="29:39" x14ac:dyDescent="0.3">
      <c r="AC1456">
        <f t="shared" si="108"/>
        <v>0</v>
      </c>
      <c r="AD1456">
        <v>1453</v>
      </c>
      <c r="AE1456" s="4">
        <f t="shared" si="106"/>
        <v>42334</v>
      </c>
      <c r="AF1456" s="6" t="e">
        <f t="shared" si="107"/>
        <v>#DIV/0!</v>
      </c>
      <c r="AG1456" s="4">
        <v>42334</v>
      </c>
      <c r="AH1456" s="6">
        <v>-0.58647800000000005</v>
      </c>
      <c r="AI1456" s="6">
        <v>-0.60972099999999996</v>
      </c>
      <c r="AJ1456" s="6">
        <v>-0.70563100000000001</v>
      </c>
      <c r="AK1456" s="6"/>
      <c r="AL1456" s="6"/>
      <c r="AM1456" s="6" t="e">
        <f t="shared" si="109"/>
        <v>#DIV/0!</v>
      </c>
    </row>
    <row r="1457" spans="29:39" x14ac:dyDescent="0.3">
      <c r="AC1457">
        <f t="shared" si="108"/>
        <v>0</v>
      </c>
      <c r="AD1457">
        <v>1454</v>
      </c>
      <c r="AE1457" s="4">
        <f t="shared" si="106"/>
        <v>42335</v>
      </c>
      <c r="AF1457" s="6" t="e">
        <f t="shared" si="107"/>
        <v>#DIV/0!</v>
      </c>
      <c r="AG1457" s="4">
        <v>42335</v>
      </c>
      <c r="AH1457" s="6">
        <v>-5.38476</v>
      </c>
      <c r="AI1457" s="6">
        <v>-6.323982</v>
      </c>
      <c r="AJ1457" s="6">
        <v>-6.4715860000000003</v>
      </c>
      <c r="AK1457" s="6"/>
      <c r="AL1457" s="6"/>
      <c r="AM1457" s="6" t="e">
        <f t="shared" si="109"/>
        <v>#DIV/0!</v>
      </c>
    </row>
    <row r="1458" spans="29:39" x14ac:dyDescent="0.3">
      <c r="AC1458">
        <f t="shared" si="108"/>
        <v>0</v>
      </c>
      <c r="AD1458">
        <v>1455</v>
      </c>
      <c r="AE1458" s="4">
        <f t="shared" si="106"/>
        <v>42338</v>
      </c>
      <c r="AF1458" s="6" t="e">
        <f t="shared" si="107"/>
        <v>#DIV/0!</v>
      </c>
      <c r="AG1458" s="4">
        <v>42338</v>
      </c>
      <c r="AH1458" s="6">
        <v>0.26482499999999998</v>
      </c>
      <c r="AI1458" s="6">
        <v>0.437554</v>
      </c>
      <c r="AJ1458" s="6">
        <v>0.68145500000000003</v>
      </c>
      <c r="AK1458" s="6"/>
      <c r="AL1458" s="6"/>
      <c r="AM1458" s="6" t="e">
        <f t="shared" si="109"/>
        <v>#DIV/0!</v>
      </c>
    </row>
    <row r="1459" spans="29:39" x14ac:dyDescent="0.3">
      <c r="AC1459">
        <f t="shared" si="108"/>
        <v>0</v>
      </c>
      <c r="AD1459">
        <v>1456</v>
      </c>
      <c r="AE1459" s="4">
        <f t="shared" si="106"/>
        <v>42339</v>
      </c>
      <c r="AF1459" s="6" t="e">
        <f t="shared" si="107"/>
        <v>#DIV/0!</v>
      </c>
      <c r="AG1459" s="4">
        <v>42339</v>
      </c>
      <c r="AH1459" s="6">
        <v>0.70894199999999996</v>
      </c>
      <c r="AI1459" s="6">
        <v>0.47981200000000002</v>
      </c>
      <c r="AJ1459" s="6">
        <v>-0.45977600000000002</v>
      </c>
      <c r="AK1459" s="6"/>
      <c r="AL1459" s="6"/>
      <c r="AM1459" s="6" t="e">
        <f t="shared" si="109"/>
        <v>#DIV/0!</v>
      </c>
    </row>
    <row r="1460" spans="29:39" x14ac:dyDescent="0.3">
      <c r="AC1460">
        <f t="shared" si="108"/>
        <v>0</v>
      </c>
      <c r="AD1460">
        <v>1457</v>
      </c>
      <c r="AE1460" s="4">
        <f t="shared" si="106"/>
        <v>42340</v>
      </c>
      <c r="AF1460" s="6" t="e">
        <f t="shared" si="107"/>
        <v>#DIV/0!</v>
      </c>
      <c r="AG1460" s="4">
        <v>42340</v>
      </c>
      <c r="AH1460" s="6">
        <v>3.6266569999999998</v>
      </c>
      <c r="AI1460" s="6">
        <v>-0.51163199999999998</v>
      </c>
      <c r="AJ1460" s="6">
        <v>-1.3374900000000001</v>
      </c>
      <c r="AK1460" s="6"/>
      <c r="AL1460" s="6"/>
      <c r="AM1460" s="6" t="e">
        <f t="shared" si="109"/>
        <v>#DIV/0!</v>
      </c>
    </row>
    <row r="1461" spans="29:39" x14ac:dyDescent="0.3">
      <c r="AC1461">
        <f t="shared" si="108"/>
        <v>0</v>
      </c>
      <c r="AD1461">
        <v>1458</v>
      </c>
      <c r="AE1461" s="4">
        <f t="shared" si="106"/>
        <v>42341</v>
      </c>
      <c r="AF1461" s="6" t="e">
        <f t="shared" si="107"/>
        <v>#DIV/0!</v>
      </c>
      <c r="AG1461" s="4">
        <v>42341</v>
      </c>
      <c r="AH1461" s="6">
        <v>0.73466799999999999</v>
      </c>
      <c r="AI1461" s="6">
        <v>2.223214</v>
      </c>
      <c r="AJ1461" s="6">
        <v>2.8592559999999998</v>
      </c>
      <c r="AK1461" s="6"/>
      <c r="AL1461" s="6"/>
      <c r="AM1461" s="6" t="e">
        <f t="shared" si="109"/>
        <v>#DIV/0!</v>
      </c>
    </row>
    <row r="1462" spans="29:39" x14ac:dyDescent="0.3">
      <c r="AC1462">
        <f t="shared" si="108"/>
        <v>0</v>
      </c>
      <c r="AD1462">
        <v>1459</v>
      </c>
      <c r="AE1462" s="4">
        <f t="shared" si="106"/>
        <v>42342</v>
      </c>
      <c r="AF1462" s="6" t="e">
        <f t="shared" si="107"/>
        <v>#DIV/0!</v>
      </c>
      <c r="AG1462" s="4">
        <v>42342</v>
      </c>
      <c r="AH1462" s="6">
        <v>-1.9125259999999999</v>
      </c>
      <c r="AI1462" s="6">
        <v>-0.77713100000000002</v>
      </c>
      <c r="AJ1462" s="6">
        <v>-0.21102399999999999</v>
      </c>
      <c r="AK1462" s="6"/>
      <c r="AL1462" s="6"/>
      <c r="AM1462" s="6" t="e">
        <f t="shared" si="109"/>
        <v>#DIV/0!</v>
      </c>
    </row>
    <row r="1463" spans="29:39" x14ac:dyDescent="0.3">
      <c r="AC1463">
        <f t="shared" si="108"/>
        <v>0</v>
      </c>
      <c r="AD1463">
        <v>1460</v>
      </c>
      <c r="AE1463" s="4">
        <f t="shared" si="106"/>
        <v>42345</v>
      </c>
      <c r="AF1463" s="6" t="e">
        <f t="shared" si="107"/>
        <v>#DIV/0!</v>
      </c>
      <c r="AG1463" s="4">
        <v>42345</v>
      </c>
      <c r="AH1463" s="6">
        <v>0.27232800000000001</v>
      </c>
      <c r="AI1463" s="6">
        <v>1.2054929999999999</v>
      </c>
      <c r="AJ1463" s="6">
        <v>1.5518019999999999</v>
      </c>
      <c r="AK1463" s="6"/>
      <c r="AL1463" s="6"/>
      <c r="AM1463" s="6" t="e">
        <f t="shared" si="109"/>
        <v>#DIV/0!</v>
      </c>
    </row>
    <row r="1464" spans="29:39" x14ac:dyDescent="0.3">
      <c r="AC1464">
        <f t="shared" si="108"/>
        <v>0</v>
      </c>
      <c r="AD1464">
        <v>1461</v>
      </c>
      <c r="AE1464" s="4">
        <f t="shared" si="106"/>
        <v>42346</v>
      </c>
      <c r="AF1464" s="6" t="e">
        <f t="shared" si="107"/>
        <v>#DIV/0!</v>
      </c>
      <c r="AG1464" s="4">
        <v>42346</v>
      </c>
      <c r="AH1464" s="6">
        <v>-1.7514639999999999</v>
      </c>
      <c r="AI1464" s="6">
        <v>-2.605626</v>
      </c>
      <c r="AJ1464" s="6">
        <v>-1.760902</v>
      </c>
      <c r="AK1464" s="6"/>
      <c r="AL1464" s="6"/>
      <c r="AM1464" s="6" t="e">
        <f t="shared" si="109"/>
        <v>#DIV/0!</v>
      </c>
    </row>
    <row r="1465" spans="29:39" x14ac:dyDescent="0.3">
      <c r="AC1465">
        <f t="shared" si="108"/>
        <v>0</v>
      </c>
      <c r="AD1465">
        <v>1462</v>
      </c>
      <c r="AE1465" s="4">
        <f t="shared" si="106"/>
        <v>42347</v>
      </c>
      <c r="AF1465" s="6" t="e">
        <f t="shared" si="107"/>
        <v>#DIV/0!</v>
      </c>
      <c r="AG1465" s="4">
        <v>42347</v>
      </c>
      <c r="AH1465" s="6">
        <v>0.35655300000000001</v>
      </c>
      <c r="AI1465" s="6">
        <v>-0.403393</v>
      </c>
      <c r="AJ1465" s="6">
        <v>-0.23408499999999999</v>
      </c>
      <c r="AK1465" s="6"/>
      <c r="AL1465" s="6"/>
      <c r="AM1465" s="6" t="e">
        <f t="shared" si="109"/>
        <v>#DIV/0!</v>
      </c>
    </row>
    <row r="1466" spans="29:39" x14ac:dyDescent="0.3">
      <c r="AC1466">
        <f t="shared" si="108"/>
        <v>0</v>
      </c>
      <c r="AD1466">
        <v>1463</v>
      </c>
      <c r="AE1466" s="4">
        <f t="shared" si="106"/>
        <v>42348</v>
      </c>
      <c r="AF1466" s="6" t="e">
        <f t="shared" si="107"/>
        <v>#DIV/0!</v>
      </c>
      <c r="AG1466" s="4">
        <v>42348</v>
      </c>
      <c r="AH1466" s="6">
        <v>-0.35352600000000001</v>
      </c>
      <c r="AI1466" s="6">
        <v>-0.32632899999999998</v>
      </c>
      <c r="AJ1466" s="6">
        <v>1.2508999999999999E-2</v>
      </c>
      <c r="AK1466" s="6"/>
      <c r="AL1466" s="6"/>
      <c r="AM1466" s="6" t="e">
        <f t="shared" si="109"/>
        <v>#DIV/0!</v>
      </c>
    </row>
    <row r="1467" spans="29:39" x14ac:dyDescent="0.3">
      <c r="AC1467">
        <f t="shared" si="108"/>
        <v>0</v>
      </c>
      <c r="AD1467">
        <v>1464</v>
      </c>
      <c r="AE1467" s="4">
        <f t="shared" si="106"/>
        <v>42349</v>
      </c>
      <c r="AF1467" s="6" t="e">
        <f t="shared" si="107"/>
        <v>#DIV/0!</v>
      </c>
      <c r="AG1467" s="4">
        <v>42349</v>
      </c>
      <c r="AH1467" s="6">
        <v>-0.41471599999999997</v>
      </c>
      <c r="AI1467" s="6">
        <v>-0.80961099999999997</v>
      </c>
      <c r="AJ1467" s="6">
        <v>-0.89012400000000003</v>
      </c>
      <c r="AK1467" s="6"/>
      <c r="AL1467" s="6"/>
      <c r="AM1467" s="6" t="e">
        <f t="shared" si="109"/>
        <v>#DIV/0!</v>
      </c>
    </row>
    <row r="1468" spans="29:39" x14ac:dyDescent="0.3">
      <c r="AC1468">
        <f t="shared" si="108"/>
        <v>0</v>
      </c>
      <c r="AD1468">
        <v>1465</v>
      </c>
      <c r="AE1468" s="4">
        <f t="shared" si="106"/>
        <v>42352</v>
      </c>
      <c r="AF1468" s="6" t="e">
        <f t="shared" si="107"/>
        <v>#DIV/0!</v>
      </c>
      <c r="AG1468" s="4">
        <v>42352</v>
      </c>
      <c r="AH1468" s="6">
        <v>2.862018</v>
      </c>
      <c r="AI1468" s="6">
        <v>2.0619190000000001</v>
      </c>
      <c r="AJ1468" s="6">
        <v>1.737171</v>
      </c>
      <c r="AK1468" s="6"/>
      <c r="AL1468" s="6"/>
      <c r="AM1468" s="6" t="e">
        <f t="shared" si="109"/>
        <v>#DIV/0!</v>
      </c>
    </row>
    <row r="1469" spans="29:39" x14ac:dyDescent="0.3">
      <c r="AC1469">
        <f t="shared" si="108"/>
        <v>0</v>
      </c>
      <c r="AD1469">
        <v>1466</v>
      </c>
      <c r="AE1469" s="4">
        <f t="shared" si="106"/>
        <v>42353</v>
      </c>
      <c r="AF1469" s="6" t="e">
        <f t="shared" si="107"/>
        <v>#DIV/0!</v>
      </c>
      <c r="AG1469" s="4">
        <v>42353</v>
      </c>
      <c r="AH1469" s="6">
        <v>-0.456266</v>
      </c>
      <c r="AI1469" s="6">
        <v>0.76805500000000004</v>
      </c>
      <c r="AJ1469" s="6">
        <v>1.576919</v>
      </c>
      <c r="AK1469" s="6"/>
      <c r="AL1469" s="6"/>
      <c r="AM1469" s="6" t="e">
        <f t="shared" si="109"/>
        <v>#DIV/0!</v>
      </c>
    </row>
    <row r="1470" spans="29:39" x14ac:dyDescent="0.3">
      <c r="AC1470">
        <f t="shared" si="108"/>
        <v>0</v>
      </c>
      <c r="AD1470">
        <v>1467</v>
      </c>
      <c r="AE1470" s="4">
        <f t="shared" si="106"/>
        <v>42354</v>
      </c>
      <c r="AF1470" s="6" t="e">
        <f t="shared" si="107"/>
        <v>#DIV/0!</v>
      </c>
      <c r="AG1470" s="4">
        <v>42354</v>
      </c>
      <c r="AH1470" s="6">
        <v>-0.24222399999999999</v>
      </c>
      <c r="AI1470" s="6">
        <v>0.41638799999999998</v>
      </c>
      <c r="AJ1470" s="6">
        <v>0.93165500000000001</v>
      </c>
      <c r="AK1470" s="6"/>
      <c r="AL1470" s="6"/>
      <c r="AM1470" s="6" t="e">
        <f t="shared" si="109"/>
        <v>#DIV/0!</v>
      </c>
    </row>
    <row r="1471" spans="29:39" x14ac:dyDescent="0.3">
      <c r="AC1471">
        <f t="shared" si="108"/>
        <v>0</v>
      </c>
      <c r="AD1471">
        <v>1468</v>
      </c>
      <c r="AE1471" s="4">
        <f t="shared" si="106"/>
        <v>42355</v>
      </c>
      <c r="AF1471" s="6" t="e">
        <f t="shared" si="107"/>
        <v>#DIV/0!</v>
      </c>
      <c r="AG1471" s="4">
        <v>42355</v>
      </c>
      <c r="AH1471" s="6">
        <v>1.91153</v>
      </c>
      <c r="AI1471" s="6">
        <v>2.4815140000000002</v>
      </c>
      <c r="AJ1471" s="6">
        <v>2.947044</v>
      </c>
      <c r="AK1471" s="6"/>
      <c r="AL1471" s="6"/>
      <c r="AM1471" s="6" t="e">
        <f t="shared" si="109"/>
        <v>#DIV/0!</v>
      </c>
    </row>
    <row r="1472" spans="29:39" x14ac:dyDescent="0.3">
      <c r="AC1472">
        <f t="shared" si="108"/>
        <v>0</v>
      </c>
      <c r="AD1472">
        <v>1469</v>
      </c>
      <c r="AE1472" s="4">
        <f t="shared" si="106"/>
        <v>42356</v>
      </c>
      <c r="AF1472" s="6" t="e">
        <f t="shared" si="107"/>
        <v>#DIV/0!</v>
      </c>
      <c r="AG1472" s="4">
        <v>42356</v>
      </c>
      <c r="AH1472" s="6">
        <v>0.320156</v>
      </c>
      <c r="AI1472" s="6">
        <v>-0.21870700000000001</v>
      </c>
      <c r="AJ1472" s="6">
        <v>-0.46809200000000001</v>
      </c>
      <c r="AK1472" s="6"/>
      <c r="AL1472" s="6"/>
      <c r="AM1472" s="6" t="e">
        <f t="shared" si="109"/>
        <v>#DIV/0!</v>
      </c>
    </row>
    <row r="1473" spans="29:39" x14ac:dyDescent="0.3">
      <c r="AC1473">
        <f t="shared" si="108"/>
        <v>0</v>
      </c>
      <c r="AD1473">
        <v>1470</v>
      </c>
      <c r="AE1473" s="4">
        <f t="shared" si="106"/>
        <v>42359</v>
      </c>
      <c r="AF1473" s="6" t="e">
        <f t="shared" si="107"/>
        <v>#DIV/0!</v>
      </c>
      <c r="AG1473" s="4">
        <v>42359</v>
      </c>
      <c r="AH1473" s="6">
        <v>2.6022949999999998</v>
      </c>
      <c r="AI1473" s="6">
        <v>1.158458</v>
      </c>
      <c r="AJ1473" s="6">
        <v>0.65512800000000004</v>
      </c>
      <c r="AK1473" s="6"/>
      <c r="AL1473" s="6"/>
      <c r="AM1473" s="6" t="e">
        <f t="shared" si="109"/>
        <v>#DIV/0!</v>
      </c>
    </row>
    <row r="1474" spans="29:39" x14ac:dyDescent="0.3">
      <c r="AC1474">
        <f t="shared" si="108"/>
        <v>0</v>
      </c>
      <c r="AD1474">
        <v>1471</v>
      </c>
      <c r="AE1474" s="4">
        <f t="shared" si="106"/>
        <v>42360</v>
      </c>
      <c r="AF1474" s="6" t="e">
        <f t="shared" si="107"/>
        <v>#DIV/0!</v>
      </c>
      <c r="AG1474" s="4">
        <v>42360</v>
      </c>
      <c r="AH1474" s="6">
        <v>0.27851999999999999</v>
      </c>
      <c r="AI1474" s="6">
        <v>0.873641</v>
      </c>
      <c r="AJ1474" s="6">
        <v>1.0246379999999999</v>
      </c>
      <c r="AK1474" s="6"/>
      <c r="AL1474" s="6"/>
      <c r="AM1474" s="6" t="e">
        <f t="shared" si="109"/>
        <v>#DIV/0!</v>
      </c>
    </row>
    <row r="1475" spans="29:39" x14ac:dyDescent="0.3">
      <c r="AC1475">
        <f t="shared" si="108"/>
        <v>0</v>
      </c>
      <c r="AD1475">
        <v>1472</v>
      </c>
      <c r="AE1475" s="4">
        <f t="shared" si="106"/>
        <v>42361</v>
      </c>
      <c r="AF1475" s="6" t="e">
        <f t="shared" si="107"/>
        <v>#DIV/0!</v>
      </c>
      <c r="AG1475" s="4">
        <v>42361</v>
      </c>
      <c r="AH1475" s="6">
        <v>-0.26700600000000002</v>
      </c>
      <c r="AI1475" s="6">
        <v>-1.0605800000000001</v>
      </c>
      <c r="AJ1475" s="6">
        <v>-1.582746</v>
      </c>
      <c r="AK1475" s="6"/>
      <c r="AL1475" s="6"/>
      <c r="AM1475" s="6" t="e">
        <f t="shared" si="109"/>
        <v>#DIV/0!</v>
      </c>
    </row>
    <row r="1476" spans="29:39" x14ac:dyDescent="0.3">
      <c r="AC1476">
        <f t="shared" si="108"/>
        <v>0</v>
      </c>
      <c r="AD1476">
        <v>1473</v>
      </c>
      <c r="AE1476" s="4">
        <f t="shared" si="106"/>
        <v>42362</v>
      </c>
      <c r="AF1476" s="6" t="e">
        <f t="shared" si="107"/>
        <v>#DIV/0!</v>
      </c>
      <c r="AG1476" s="4">
        <v>42362</v>
      </c>
      <c r="AH1476" s="6">
        <v>-0.95642899999999997</v>
      </c>
      <c r="AI1476" s="6">
        <v>-0.26045400000000002</v>
      </c>
      <c r="AJ1476" s="6">
        <v>-4.6718000000000003E-2</v>
      </c>
      <c r="AK1476" s="6"/>
      <c r="AL1476" s="6"/>
      <c r="AM1476" s="6" t="e">
        <f t="shared" si="109"/>
        <v>#DIV/0!</v>
      </c>
    </row>
    <row r="1477" spans="29:39" x14ac:dyDescent="0.3">
      <c r="AC1477">
        <f t="shared" si="108"/>
        <v>0</v>
      </c>
      <c r="AD1477">
        <v>1474</v>
      </c>
      <c r="AE1477" s="4">
        <f t="shared" ref="AE1477:AE1540" si="110">AG1477</f>
        <v>42363</v>
      </c>
      <c r="AF1477" s="6" t="e">
        <f t="shared" ref="AF1477:AF1540" si="111">AM1477</f>
        <v>#DIV/0!</v>
      </c>
      <c r="AG1477" s="4">
        <v>42363</v>
      </c>
      <c r="AH1477" s="6">
        <v>0.22977</v>
      </c>
      <c r="AI1477" s="6">
        <v>0.50416000000000005</v>
      </c>
      <c r="AJ1477" s="6">
        <v>0.88215699999999997</v>
      </c>
      <c r="AK1477" s="6"/>
      <c r="AL1477" s="6"/>
      <c r="AM1477" s="6" t="e">
        <f t="shared" si="109"/>
        <v>#DIV/0!</v>
      </c>
    </row>
    <row r="1478" spans="29:39" x14ac:dyDescent="0.3">
      <c r="AC1478">
        <f t="shared" ref="AC1478:AC1541" si="112">IF(AE1478&lt;=AE1477,1,0)</f>
        <v>0</v>
      </c>
      <c r="AD1478">
        <v>1475</v>
      </c>
      <c r="AE1478" s="4">
        <f t="shared" si="110"/>
        <v>42366</v>
      </c>
      <c r="AF1478" s="6" t="e">
        <f t="shared" si="111"/>
        <v>#DIV/0!</v>
      </c>
      <c r="AG1478" s="4">
        <v>42366</v>
      </c>
      <c r="AH1478" s="6">
        <v>-2.8807610000000001</v>
      </c>
      <c r="AI1478" s="6">
        <v>-2.4224909999999999</v>
      </c>
      <c r="AJ1478" s="6">
        <v>-1.9728749999999999</v>
      </c>
      <c r="AK1478" s="6"/>
      <c r="AL1478" s="6"/>
      <c r="AM1478" s="6" t="e">
        <f t="shared" ref="AM1478:AM1541" si="113">(AL1478/AL1477-1)*100</f>
        <v>#DIV/0!</v>
      </c>
    </row>
    <row r="1479" spans="29:39" x14ac:dyDescent="0.3">
      <c r="AC1479">
        <f t="shared" si="112"/>
        <v>0</v>
      </c>
      <c r="AD1479">
        <v>1476</v>
      </c>
      <c r="AE1479" s="4">
        <f t="shared" si="110"/>
        <v>42367</v>
      </c>
      <c r="AF1479" s="6" t="e">
        <f t="shared" si="111"/>
        <v>#DIV/0!</v>
      </c>
      <c r="AG1479" s="4">
        <v>42367</v>
      </c>
      <c r="AH1479" s="6">
        <v>0.918624</v>
      </c>
      <c r="AI1479" s="6">
        <v>0.93415499999999996</v>
      </c>
      <c r="AJ1479" s="6">
        <v>1.315671</v>
      </c>
      <c r="AK1479" s="6"/>
      <c r="AL1479" s="6"/>
      <c r="AM1479" s="6" t="e">
        <f t="shared" si="113"/>
        <v>#DIV/0!</v>
      </c>
    </row>
    <row r="1480" spans="29:39" x14ac:dyDescent="0.3">
      <c r="AC1480">
        <f t="shared" si="112"/>
        <v>0</v>
      </c>
      <c r="AD1480">
        <v>1477</v>
      </c>
      <c r="AE1480" s="4">
        <f t="shared" si="110"/>
        <v>42368</v>
      </c>
      <c r="AF1480" s="6" t="e">
        <f t="shared" si="111"/>
        <v>#DIV/0!</v>
      </c>
      <c r="AG1480" s="4">
        <v>42368</v>
      </c>
      <c r="AH1480" s="6">
        <v>8.7741E-2</v>
      </c>
      <c r="AI1480" s="6">
        <v>0.86859200000000003</v>
      </c>
      <c r="AJ1480" s="6">
        <v>1.436077</v>
      </c>
      <c r="AK1480" s="6"/>
      <c r="AL1480" s="6"/>
      <c r="AM1480" s="6" t="e">
        <f t="shared" si="113"/>
        <v>#DIV/0!</v>
      </c>
    </row>
    <row r="1481" spans="29:39" x14ac:dyDescent="0.3">
      <c r="AC1481">
        <f t="shared" si="112"/>
        <v>0</v>
      </c>
      <c r="AD1481">
        <v>1478</v>
      </c>
      <c r="AE1481" s="4">
        <f t="shared" si="110"/>
        <v>42369</v>
      </c>
      <c r="AF1481" s="6" t="e">
        <f t="shared" si="111"/>
        <v>#DIV/0!</v>
      </c>
      <c r="AG1481" s="4">
        <v>42369</v>
      </c>
      <c r="AH1481" s="6">
        <v>-0.90754100000000004</v>
      </c>
      <c r="AI1481" s="6">
        <v>-1.5935600000000001</v>
      </c>
      <c r="AJ1481" s="6">
        <v>-1.779687</v>
      </c>
      <c r="AK1481" s="6"/>
      <c r="AL1481" s="6"/>
      <c r="AM1481" s="6" t="e">
        <f t="shared" si="113"/>
        <v>#DIV/0!</v>
      </c>
    </row>
    <row r="1482" spans="29:39" x14ac:dyDescent="0.3">
      <c r="AC1482">
        <f t="shared" si="112"/>
        <v>0</v>
      </c>
      <c r="AD1482">
        <v>1479</v>
      </c>
      <c r="AE1482" s="4">
        <f t="shared" si="110"/>
        <v>42373</v>
      </c>
      <c r="AF1482" s="6" t="e">
        <f t="shared" si="111"/>
        <v>#DIV/0!</v>
      </c>
      <c r="AG1482" s="4">
        <v>42373</v>
      </c>
      <c r="AH1482" s="6">
        <v>-7.0205890000000002</v>
      </c>
      <c r="AI1482" s="6">
        <v>-8.3264700000000005</v>
      </c>
      <c r="AJ1482" s="6">
        <v>-8.6631750000000007</v>
      </c>
      <c r="AK1482" s="6"/>
      <c r="AL1482" s="6"/>
      <c r="AM1482" s="6" t="e">
        <f t="shared" si="113"/>
        <v>#DIV/0!</v>
      </c>
    </row>
    <row r="1483" spans="29:39" x14ac:dyDescent="0.3">
      <c r="AC1483">
        <f t="shared" si="112"/>
        <v>0</v>
      </c>
      <c r="AD1483">
        <v>1480</v>
      </c>
      <c r="AE1483" s="4">
        <f t="shared" si="110"/>
        <v>42374</v>
      </c>
      <c r="AF1483" s="6" t="e">
        <f t="shared" si="111"/>
        <v>#DIV/0!</v>
      </c>
      <c r="AG1483" s="4">
        <v>42374</v>
      </c>
      <c r="AH1483" s="6">
        <v>0.280003</v>
      </c>
      <c r="AI1483" s="6">
        <v>-1.3412230000000001</v>
      </c>
      <c r="AJ1483" s="6">
        <v>-2.5043820000000001</v>
      </c>
      <c r="AK1483" s="6"/>
      <c r="AL1483" s="6"/>
      <c r="AM1483" s="6" t="e">
        <f t="shared" si="113"/>
        <v>#DIV/0!</v>
      </c>
    </row>
    <row r="1484" spans="29:39" x14ac:dyDescent="0.3">
      <c r="AC1484">
        <f t="shared" si="112"/>
        <v>0</v>
      </c>
      <c r="AD1484">
        <v>1481</v>
      </c>
      <c r="AE1484" s="4">
        <f t="shared" si="110"/>
        <v>42375</v>
      </c>
      <c r="AF1484" s="6" t="e">
        <f t="shared" si="111"/>
        <v>#DIV/0!</v>
      </c>
      <c r="AG1484" s="4">
        <v>42375</v>
      </c>
      <c r="AH1484" s="6">
        <v>1.754308</v>
      </c>
      <c r="AI1484" s="6">
        <v>2.5525690000000001</v>
      </c>
      <c r="AJ1484" s="6">
        <v>2.7245819999999998</v>
      </c>
      <c r="AK1484" s="6"/>
      <c r="AL1484" s="6"/>
      <c r="AM1484" s="6" t="e">
        <f t="shared" si="113"/>
        <v>#DIV/0!</v>
      </c>
    </row>
    <row r="1485" spans="29:39" x14ac:dyDescent="0.3">
      <c r="AC1485">
        <f t="shared" si="112"/>
        <v>0</v>
      </c>
      <c r="AD1485">
        <v>1482</v>
      </c>
      <c r="AE1485" s="4">
        <f t="shared" si="110"/>
        <v>42376</v>
      </c>
      <c r="AF1485" s="6" t="e">
        <f t="shared" si="111"/>
        <v>#DIV/0!</v>
      </c>
      <c r="AG1485" s="4">
        <v>42376</v>
      </c>
      <c r="AH1485" s="6">
        <v>-6.9332649999999996</v>
      </c>
      <c r="AI1485" s="6">
        <v>-8.5394509999999997</v>
      </c>
      <c r="AJ1485" s="6">
        <v>-8.7859490000000005</v>
      </c>
      <c r="AK1485" s="6"/>
      <c r="AL1485" s="6"/>
      <c r="AM1485" s="6" t="e">
        <f t="shared" si="113"/>
        <v>#DIV/0!</v>
      </c>
    </row>
    <row r="1486" spans="29:39" x14ac:dyDescent="0.3">
      <c r="AC1486">
        <f t="shared" si="112"/>
        <v>0</v>
      </c>
      <c r="AD1486">
        <v>1483</v>
      </c>
      <c r="AE1486" s="4">
        <f t="shared" si="110"/>
        <v>42377</v>
      </c>
      <c r="AF1486" s="6" t="e">
        <f t="shared" si="111"/>
        <v>#DIV/0!</v>
      </c>
      <c r="AG1486" s="4">
        <v>42377</v>
      </c>
      <c r="AH1486" s="6">
        <v>2.0392070000000002</v>
      </c>
      <c r="AI1486" s="6">
        <v>1.6741680000000001</v>
      </c>
      <c r="AJ1486" s="6">
        <v>0.22312699999999999</v>
      </c>
      <c r="AK1486" s="6"/>
      <c r="AL1486" s="6"/>
      <c r="AM1486" s="6" t="e">
        <f t="shared" si="113"/>
        <v>#DIV/0!</v>
      </c>
    </row>
    <row r="1487" spans="29:39" x14ac:dyDescent="0.3">
      <c r="AC1487">
        <f t="shared" si="112"/>
        <v>0</v>
      </c>
      <c r="AD1487">
        <v>1484</v>
      </c>
      <c r="AE1487" s="4">
        <f t="shared" si="110"/>
        <v>42380</v>
      </c>
      <c r="AF1487" s="6" t="e">
        <f t="shared" si="111"/>
        <v>#DIV/0!</v>
      </c>
      <c r="AG1487" s="4">
        <v>42380</v>
      </c>
      <c r="AH1487" s="6">
        <v>-5.0307930000000001</v>
      </c>
      <c r="AI1487" s="6">
        <v>-6.7236950000000002</v>
      </c>
      <c r="AJ1487" s="6">
        <v>-7.5609679999999999</v>
      </c>
      <c r="AK1487" s="6"/>
      <c r="AL1487" s="6"/>
      <c r="AM1487" s="6" t="e">
        <f t="shared" si="113"/>
        <v>#DIV/0!</v>
      </c>
    </row>
    <row r="1488" spans="29:39" x14ac:dyDescent="0.3">
      <c r="AC1488">
        <f t="shared" si="112"/>
        <v>0</v>
      </c>
      <c r="AD1488">
        <v>1485</v>
      </c>
      <c r="AE1488" s="4">
        <f t="shared" si="110"/>
        <v>42381</v>
      </c>
      <c r="AF1488" s="6" t="e">
        <f t="shared" si="111"/>
        <v>#DIV/0!</v>
      </c>
      <c r="AG1488" s="4">
        <v>42381</v>
      </c>
      <c r="AH1488" s="6">
        <v>0.72859399999999996</v>
      </c>
      <c r="AI1488" s="6">
        <v>0.13065499999999999</v>
      </c>
      <c r="AJ1488" s="6">
        <v>-0.20916399999999999</v>
      </c>
      <c r="AK1488" s="6"/>
      <c r="AL1488" s="6"/>
      <c r="AM1488" s="6" t="e">
        <f t="shared" si="113"/>
        <v>#DIV/0!</v>
      </c>
    </row>
    <row r="1489" spans="29:39" x14ac:dyDescent="0.3">
      <c r="AC1489">
        <f t="shared" si="112"/>
        <v>0</v>
      </c>
      <c r="AD1489">
        <v>1486</v>
      </c>
      <c r="AE1489" s="4">
        <f t="shared" si="110"/>
        <v>42382</v>
      </c>
      <c r="AF1489" s="6" t="e">
        <f t="shared" si="111"/>
        <v>#DIV/0!</v>
      </c>
      <c r="AG1489" s="4">
        <v>42382</v>
      </c>
      <c r="AH1489" s="6">
        <v>-1.8605910000000001</v>
      </c>
      <c r="AI1489" s="6">
        <v>-3.4647359999999998</v>
      </c>
      <c r="AJ1489" s="6">
        <v>-4.2970030000000001</v>
      </c>
      <c r="AK1489" s="6"/>
      <c r="AL1489" s="6"/>
      <c r="AM1489" s="6" t="e">
        <f t="shared" si="113"/>
        <v>#DIV/0!</v>
      </c>
    </row>
    <row r="1490" spans="29:39" x14ac:dyDescent="0.3">
      <c r="AC1490">
        <f t="shared" si="112"/>
        <v>0</v>
      </c>
      <c r="AD1490">
        <v>1487</v>
      </c>
      <c r="AE1490" s="4">
        <f t="shared" si="110"/>
        <v>42383</v>
      </c>
      <c r="AF1490" s="6" t="e">
        <f t="shared" si="111"/>
        <v>#DIV/0!</v>
      </c>
      <c r="AG1490" s="4">
        <v>42383</v>
      </c>
      <c r="AH1490" s="6">
        <v>2.0815980000000001</v>
      </c>
      <c r="AI1490" s="6">
        <v>3.3891749999999998</v>
      </c>
      <c r="AJ1490" s="6">
        <v>4.1042529999999999</v>
      </c>
      <c r="AK1490" s="6"/>
      <c r="AL1490" s="6"/>
      <c r="AM1490" s="6" t="e">
        <f t="shared" si="113"/>
        <v>#DIV/0!</v>
      </c>
    </row>
    <row r="1491" spans="29:39" x14ac:dyDescent="0.3">
      <c r="AC1491">
        <f t="shared" si="112"/>
        <v>0</v>
      </c>
      <c r="AD1491">
        <v>1488</v>
      </c>
      <c r="AE1491" s="4">
        <f t="shared" si="110"/>
        <v>42384</v>
      </c>
      <c r="AF1491" s="6" t="e">
        <f t="shared" si="111"/>
        <v>#DIV/0!</v>
      </c>
      <c r="AG1491" s="4">
        <v>42384</v>
      </c>
      <c r="AH1491" s="6">
        <v>-3.1922709999999999</v>
      </c>
      <c r="AI1491" s="6">
        <v>-3.7738040000000002</v>
      </c>
      <c r="AJ1491" s="6">
        <v>-3.5496310000000002</v>
      </c>
      <c r="AK1491" s="6"/>
      <c r="AL1491" s="6"/>
      <c r="AM1491" s="6" t="e">
        <f t="shared" si="113"/>
        <v>#DIV/0!</v>
      </c>
    </row>
    <row r="1492" spans="29:39" x14ac:dyDescent="0.3">
      <c r="AC1492">
        <f t="shared" si="112"/>
        <v>0</v>
      </c>
      <c r="AD1492">
        <v>1489</v>
      </c>
      <c r="AE1492" s="4">
        <f t="shared" si="110"/>
        <v>42387</v>
      </c>
      <c r="AF1492" s="6" t="e">
        <f t="shared" si="111"/>
        <v>#DIV/0!</v>
      </c>
      <c r="AG1492" s="4">
        <v>42387</v>
      </c>
      <c r="AH1492" s="6">
        <v>0.38473400000000002</v>
      </c>
      <c r="AI1492" s="6">
        <v>1.446059</v>
      </c>
      <c r="AJ1492" s="6">
        <v>2.4492560000000001</v>
      </c>
      <c r="AK1492" s="6"/>
      <c r="AL1492" s="6"/>
      <c r="AM1492" s="6" t="e">
        <f t="shared" si="113"/>
        <v>#DIV/0!</v>
      </c>
    </row>
    <row r="1493" spans="29:39" x14ac:dyDescent="0.3">
      <c r="AC1493">
        <f t="shared" si="112"/>
        <v>0</v>
      </c>
      <c r="AD1493">
        <v>1490</v>
      </c>
      <c r="AE1493" s="4">
        <f t="shared" si="110"/>
        <v>42388</v>
      </c>
      <c r="AF1493" s="6" t="e">
        <f t="shared" si="111"/>
        <v>#DIV/0!</v>
      </c>
      <c r="AG1493" s="4">
        <v>42388</v>
      </c>
      <c r="AH1493" s="6">
        <v>2.9512679999999998</v>
      </c>
      <c r="AI1493" s="6">
        <v>3.6492800000000001</v>
      </c>
      <c r="AJ1493" s="6">
        <v>4.0628859999999998</v>
      </c>
      <c r="AK1493" s="6"/>
      <c r="AL1493" s="6"/>
      <c r="AM1493" s="6" t="e">
        <f t="shared" si="113"/>
        <v>#DIV/0!</v>
      </c>
    </row>
    <row r="1494" spans="29:39" x14ac:dyDescent="0.3">
      <c r="AC1494">
        <f t="shared" si="112"/>
        <v>0</v>
      </c>
      <c r="AD1494">
        <v>1491</v>
      </c>
      <c r="AE1494" s="4">
        <f t="shared" si="110"/>
        <v>42389</v>
      </c>
      <c r="AF1494" s="6" t="e">
        <f t="shared" si="111"/>
        <v>#DIV/0!</v>
      </c>
      <c r="AG1494" s="4">
        <v>42389</v>
      </c>
      <c r="AH1494" s="6">
        <v>-1.5124139999999999</v>
      </c>
      <c r="AI1494" s="6">
        <v>-0.945469</v>
      </c>
      <c r="AJ1494" s="6">
        <v>-0.79862100000000003</v>
      </c>
      <c r="AK1494" s="6"/>
      <c r="AL1494" s="6"/>
      <c r="AM1494" s="6" t="e">
        <f t="shared" si="113"/>
        <v>#DIV/0!</v>
      </c>
    </row>
    <row r="1495" spans="29:39" x14ac:dyDescent="0.3">
      <c r="AC1495">
        <f t="shared" si="112"/>
        <v>0</v>
      </c>
      <c r="AD1495">
        <v>1492</v>
      </c>
      <c r="AE1495" s="4">
        <f t="shared" si="110"/>
        <v>42390</v>
      </c>
      <c r="AF1495" s="6" t="e">
        <f t="shared" si="111"/>
        <v>#DIV/0!</v>
      </c>
      <c r="AG1495" s="4">
        <v>42390</v>
      </c>
      <c r="AH1495" s="6">
        <v>-2.9307379999999998</v>
      </c>
      <c r="AI1495" s="6">
        <v>-4.0990380000000002</v>
      </c>
      <c r="AJ1495" s="6">
        <v>-4.5283910000000001</v>
      </c>
      <c r="AK1495" s="6"/>
      <c r="AL1495" s="6"/>
      <c r="AM1495" s="6" t="e">
        <f t="shared" si="113"/>
        <v>#DIV/0!</v>
      </c>
    </row>
    <row r="1496" spans="29:39" x14ac:dyDescent="0.3">
      <c r="AC1496">
        <f t="shared" si="112"/>
        <v>0</v>
      </c>
      <c r="AD1496">
        <v>1493</v>
      </c>
      <c r="AE1496" s="4">
        <f t="shared" si="110"/>
        <v>42391</v>
      </c>
      <c r="AF1496" s="6" t="e">
        <f t="shared" si="111"/>
        <v>#DIV/0!</v>
      </c>
      <c r="AG1496" s="4">
        <v>42391</v>
      </c>
      <c r="AH1496" s="6">
        <v>1.042311</v>
      </c>
      <c r="AI1496" s="6">
        <v>1.5921430000000001</v>
      </c>
      <c r="AJ1496" s="6">
        <v>1.632795</v>
      </c>
      <c r="AK1496" s="6"/>
      <c r="AL1496" s="6"/>
      <c r="AM1496" s="6" t="e">
        <f t="shared" si="113"/>
        <v>#DIV/0!</v>
      </c>
    </row>
    <row r="1497" spans="29:39" x14ac:dyDescent="0.3">
      <c r="AC1497">
        <f t="shared" si="112"/>
        <v>0</v>
      </c>
      <c r="AD1497">
        <v>1494</v>
      </c>
      <c r="AE1497" s="4">
        <f t="shared" si="110"/>
        <v>42394</v>
      </c>
      <c r="AF1497" s="6" t="e">
        <f t="shared" si="111"/>
        <v>#DIV/0!</v>
      </c>
      <c r="AG1497" s="4">
        <v>42394</v>
      </c>
      <c r="AH1497" s="6">
        <v>0.49537799999999999</v>
      </c>
      <c r="AI1497" s="6">
        <v>1.0151969999999999</v>
      </c>
      <c r="AJ1497" s="6">
        <v>1.3155129999999999</v>
      </c>
      <c r="AK1497" s="6"/>
      <c r="AL1497" s="6"/>
      <c r="AM1497" s="6" t="e">
        <f t="shared" si="113"/>
        <v>#DIV/0!</v>
      </c>
    </row>
    <row r="1498" spans="29:39" x14ac:dyDescent="0.3">
      <c r="AC1498">
        <f t="shared" si="112"/>
        <v>0</v>
      </c>
      <c r="AD1498">
        <v>1495</v>
      </c>
      <c r="AE1498" s="4">
        <f t="shared" si="110"/>
        <v>42395</v>
      </c>
      <c r="AF1498" s="6" t="e">
        <f t="shared" si="111"/>
        <v>#DIV/0!</v>
      </c>
      <c r="AG1498" s="4">
        <v>42395</v>
      </c>
      <c r="AH1498" s="6">
        <v>-6.0205929999999999</v>
      </c>
      <c r="AI1498" s="6">
        <v>-7.482119</v>
      </c>
      <c r="AJ1498" s="6">
        <v>-7.761863</v>
      </c>
      <c r="AK1498" s="6"/>
      <c r="AL1498" s="6"/>
      <c r="AM1498" s="6" t="e">
        <f t="shared" si="113"/>
        <v>#DIV/0!</v>
      </c>
    </row>
    <row r="1499" spans="29:39" x14ac:dyDescent="0.3">
      <c r="AC1499">
        <f t="shared" si="112"/>
        <v>0</v>
      </c>
      <c r="AD1499">
        <v>1496</v>
      </c>
      <c r="AE1499" s="4">
        <f t="shared" si="110"/>
        <v>42396</v>
      </c>
      <c r="AF1499" s="6" t="e">
        <f t="shared" si="111"/>
        <v>#DIV/0!</v>
      </c>
      <c r="AG1499" s="4">
        <v>42396</v>
      </c>
      <c r="AH1499" s="6">
        <v>-0.34540300000000002</v>
      </c>
      <c r="AI1499" s="6">
        <v>-1.3439639999999999</v>
      </c>
      <c r="AJ1499" s="6">
        <v>-1.0443039999999999</v>
      </c>
      <c r="AK1499" s="6"/>
      <c r="AL1499" s="6"/>
      <c r="AM1499" s="6" t="e">
        <f t="shared" si="113"/>
        <v>#DIV/0!</v>
      </c>
    </row>
    <row r="1500" spans="29:39" x14ac:dyDescent="0.3">
      <c r="AC1500">
        <f t="shared" si="112"/>
        <v>0</v>
      </c>
      <c r="AD1500">
        <v>1497</v>
      </c>
      <c r="AE1500" s="4">
        <f t="shared" si="110"/>
        <v>42397</v>
      </c>
      <c r="AF1500" s="6" t="e">
        <f t="shared" si="111"/>
        <v>#DIV/0!</v>
      </c>
      <c r="AG1500" s="4">
        <v>42397</v>
      </c>
      <c r="AH1500" s="6">
        <v>-2.613874</v>
      </c>
      <c r="AI1500" s="6">
        <v>-4.4060170000000003</v>
      </c>
      <c r="AJ1500" s="6">
        <v>-4.8996500000000003</v>
      </c>
      <c r="AK1500" s="6"/>
      <c r="AL1500" s="6"/>
      <c r="AM1500" s="6" t="e">
        <f t="shared" si="113"/>
        <v>#DIV/0!</v>
      </c>
    </row>
    <row r="1501" spans="29:39" x14ac:dyDescent="0.3">
      <c r="AC1501">
        <f t="shared" si="112"/>
        <v>0</v>
      </c>
      <c r="AD1501">
        <v>1498</v>
      </c>
      <c r="AE1501" s="4">
        <f t="shared" si="110"/>
        <v>42398</v>
      </c>
      <c r="AF1501" s="6" t="e">
        <f t="shared" si="111"/>
        <v>#DIV/0!</v>
      </c>
      <c r="AG1501" s="4">
        <v>42398</v>
      </c>
      <c r="AH1501" s="6">
        <v>3.235525</v>
      </c>
      <c r="AI1501" s="6">
        <v>3.7542049999999998</v>
      </c>
      <c r="AJ1501" s="6">
        <v>4.011565</v>
      </c>
      <c r="AK1501" s="6"/>
      <c r="AL1501" s="6"/>
      <c r="AM1501" s="6" t="e">
        <f t="shared" si="113"/>
        <v>#DIV/0!</v>
      </c>
    </row>
    <row r="1502" spans="29:39" x14ac:dyDescent="0.3">
      <c r="AC1502">
        <f t="shared" si="112"/>
        <v>0</v>
      </c>
      <c r="AD1502">
        <v>1499</v>
      </c>
      <c r="AE1502" s="4">
        <f t="shared" si="110"/>
        <v>42401</v>
      </c>
      <c r="AF1502" s="6" t="e">
        <f t="shared" si="111"/>
        <v>#DIV/0!</v>
      </c>
      <c r="AG1502" s="4">
        <v>42401</v>
      </c>
      <c r="AH1502" s="6">
        <v>-1.528891</v>
      </c>
      <c r="AI1502" s="6">
        <v>-1.2734810000000001</v>
      </c>
      <c r="AJ1502" s="6">
        <v>-1.2611490000000001</v>
      </c>
      <c r="AK1502" s="6"/>
      <c r="AL1502" s="6"/>
      <c r="AM1502" s="6" t="e">
        <f t="shared" si="113"/>
        <v>#DIV/0!</v>
      </c>
    </row>
    <row r="1503" spans="29:39" x14ac:dyDescent="0.3">
      <c r="AC1503">
        <f t="shared" si="112"/>
        <v>0</v>
      </c>
      <c r="AD1503">
        <v>1500</v>
      </c>
      <c r="AE1503" s="4">
        <f t="shared" si="110"/>
        <v>42402</v>
      </c>
      <c r="AF1503" s="6" t="e">
        <f t="shared" si="111"/>
        <v>#DIV/0!</v>
      </c>
      <c r="AG1503" s="4">
        <v>42402</v>
      </c>
      <c r="AH1503" s="6">
        <v>2.078077</v>
      </c>
      <c r="AI1503" s="6">
        <v>3.4660669999999998</v>
      </c>
      <c r="AJ1503" s="6">
        <v>3.886838</v>
      </c>
      <c r="AK1503" s="6"/>
      <c r="AL1503" s="6"/>
      <c r="AM1503" s="6" t="e">
        <f t="shared" si="113"/>
        <v>#DIV/0!</v>
      </c>
    </row>
    <row r="1504" spans="29:39" x14ac:dyDescent="0.3">
      <c r="AC1504">
        <f t="shared" si="112"/>
        <v>0</v>
      </c>
      <c r="AD1504">
        <v>1501</v>
      </c>
      <c r="AE1504" s="4">
        <f t="shared" si="110"/>
        <v>42403</v>
      </c>
      <c r="AF1504" s="6" t="e">
        <f t="shared" si="111"/>
        <v>#DIV/0!</v>
      </c>
      <c r="AG1504" s="4">
        <v>42403</v>
      </c>
      <c r="AH1504" s="6">
        <v>-0.42869499999999999</v>
      </c>
      <c r="AI1504" s="6">
        <v>0.421485</v>
      </c>
      <c r="AJ1504" s="6">
        <v>0.71796400000000005</v>
      </c>
      <c r="AK1504" s="6"/>
      <c r="AL1504" s="6"/>
      <c r="AM1504" s="6" t="e">
        <f t="shared" si="113"/>
        <v>#DIV/0!</v>
      </c>
    </row>
    <row r="1505" spans="29:39" x14ac:dyDescent="0.3">
      <c r="AC1505">
        <f t="shared" si="112"/>
        <v>0</v>
      </c>
      <c r="AD1505">
        <v>1502</v>
      </c>
      <c r="AE1505" s="4">
        <f t="shared" si="110"/>
        <v>42404</v>
      </c>
      <c r="AF1505" s="6" t="e">
        <f t="shared" si="111"/>
        <v>#DIV/0!</v>
      </c>
      <c r="AG1505" s="4">
        <v>42404</v>
      </c>
      <c r="AH1505" s="6">
        <v>1.2250129999999999</v>
      </c>
      <c r="AI1505" s="6">
        <v>1.984108</v>
      </c>
      <c r="AJ1505" s="6">
        <v>2.3188909999999998</v>
      </c>
      <c r="AK1505" s="6"/>
      <c r="AL1505" s="6"/>
      <c r="AM1505" s="6" t="e">
        <f t="shared" si="113"/>
        <v>#DIV/0!</v>
      </c>
    </row>
    <row r="1506" spans="29:39" x14ac:dyDescent="0.3">
      <c r="AC1506">
        <f t="shared" si="112"/>
        <v>0</v>
      </c>
      <c r="AD1506">
        <v>1503</v>
      </c>
      <c r="AE1506" s="4">
        <f t="shared" si="110"/>
        <v>42405</v>
      </c>
      <c r="AF1506" s="6" t="e">
        <f t="shared" si="111"/>
        <v>#DIV/0!</v>
      </c>
      <c r="AG1506" s="4">
        <v>42405</v>
      </c>
      <c r="AH1506" s="6">
        <v>-0.70258200000000004</v>
      </c>
      <c r="AI1506" s="6">
        <v>-1.001282</v>
      </c>
      <c r="AJ1506" s="6">
        <v>-1.1360049999999999</v>
      </c>
      <c r="AK1506" s="6"/>
      <c r="AL1506" s="6"/>
      <c r="AM1506" s="6" t="e">
        <f t="shared" si="113"/>
        <v>#DIV/0!</v>
      </c>
    </row>
    <row r="1507" spans="29:39" x14ac:dyDescent="0.3">
      <c r="AC1507">
        <f t="shared" si="112"/>
        <v>0</v>
      </c>
      <c r="AD1507">
        <v>1504</v>
      </c>
      <c r="AE1507" s="4">
        <f t="shared" si="110"/>
        <v>42415</v>
      </c>
      <c r="AF1507" s="6" t="e">
        <f t="shared" si="111"/>
        <v>#DIV/0!</v>
      </c>
      <c r="AG1507" s="4">
        <v>42415</v>
      </c>
      <c r="AH1507" s="6">
        <v>-0.57638400000000001</v>
      </c>
      <c r="AI1507" s="6">
        <v>6.7842E-2</v>
      </c>
      <c r="AJ1507" s="6">
        <v>9.9261000000000002E-2</v>
      </c>
      <c r="AK1507" s="6"/>
      <c r="AL1507" s="6"/>
      <c r="AM1507" s="6" t="e">
        <f t="shared" si="113"/>
        <v>#DIV/0!</v>
      </c>
    </row>
    <row r="1508" spans="29:39" x14ac:dyDescent="0.3">
      <c r="AC1508">
        <f t="shared" si="112"/>
        <v>0</v>
      </c>
      <c r="AD1508">
        <v>1505</v>
      </c>
      <c r="AE1508" s="4">
        <f t="shared" si="110"/>
        <v>42416</v>
      </c>
      <c r="AF1508" s="6" t="e">
        <f t="shared" si="111"/>
        <v>#DIV/0!</v>
      </c>
      <c r="AG1508" s="4">
        <v>42416</v>
      </c>
      <c r="AH1508" s="6">
        <v>3.0654119999999998</v>
      </c>
      <c r="AI1508" s="6">
        <v>4.1371320000000003</v>
      </c>
      <c r="AJ1508" s="6">
        <v>4.4422430000000004</v>
      </c>
      <c r="AK1508" s="6"/>
      <c r="AL1508" s="6"/>
      <c r="AM1508" s="6" t="e">
        <f t="shared" si="113"/>
        <v>#DIV/0!</v>
      </c>
    </row>
    <row r="1509" spans="29:39" x14ac:dyDescent="0.3">
      <c r="AC1509">
        <f t="shared" si="112"/>
        <v>0</v>
      </c>
      <c r="AD1509">
        <v>1506</v>
      </c>
      <c r="AE1509" s="4">
        <f t="shared" si="110"/>
        <v>42417</v>
      </c>
      <c r="AF1509" s="6" t="e">
        <f t="shared" si="111"/>
        <v>#DIV/0!</v>
      </c>
      <c r="AG1509" s="4">
        <v>42417</v>
      </c>
      <c r="AH1509" s="6">
        <v>0.86546900000000004</v>
      </c>
      <c r="AI1509" s="6">
        <v>1.1669259999999999</v>
      </c>
      <c r="AJ1509" s="6">
        <v>1.6426149999999999</v>
      </c>
      <c r="AK1509" s="6"/>
      <c r="AL1509" s="6"/>
      <c r="AM1509" s="6" t="e">
        <f t="shared" si="113"/>
        <v>#DIV/0!</v>
      </c>
    </row>
    <row r="1510" spans="29:39" x14ac:dyDescent="0.3">
      <c r="AC1510">
        <f t="shared" si="112"/>
        <v>0</v>
      </c>
      <c r="AD1510">
        <v>1507</v>
      </c>
      <c r="AE1510" s="4">
        <f t="shared" si="110"/>
        <v>42418</v>
      </c>
      <c r="AF1510" s="6" t="e">
        <f t="shared" si="111"/>
        <v>#DIV/0!</v>
      </c>
      <c r="AG1510" s="4">
        <v>42418</v>
      </c>
      <c r="AH1510" s="6">
        <v>-0.31408399999999997</v>
      </c>
      <c r="AI1510" s="6">
        <v>-0.23916999999999999</v>
      </c>
      <c r="AJ1510" s="6">
        <v>-0.31707400000000002</v>
      </c>
      <c r="AK1510" s="6"/>
      <c r="AL1510" s="6"/>
      <c r="AM1510" s="6" t="e">
        <f t="shared" si="113"/>
        <v>#DIV/0!</v>
      </c>
    </row>
    <row r="1511" spans="29:39" x14ac:dyDescent="0.3">
      <c r="AC1511">
        <f t="shared" si="112"/>
        <v>0</v>
      </c>
      <c r="AD1511">
        <v>1508</v>
      </c>
      <c r="AE1511" s="4">
        <f t="shared" si="110"/>
        <v>42419</v>
      </c>
      <c r="AF1511" s="6" t="e">
        <f t="shared" si="111"/>
        <v>#DIV/0!</v>
      </c>
      <c r="AG1511" s="4">
        <v>42419</v>
      </c>
      <c r="AH1511" s="6">
        <v>-6.9210999999999995E-2</v>
      </c>
      <c r="AI1511" s="6">
        <v>0.37578299999999998</v>
      </c>
      <c r="AJ1511" s="6">
        <v>0.771957</v>
      </c>
      <c r="AK1511" s="6"/>
      <c r="AL1511" s="6"/>
      <c r="AM1511" s="6" t="e">
        <f t="shared" si="113"/>
        <v>#DIV/0!</v>
      </c>
    </row>
    <row r="1512" spans="29:39" x14ac:dyDescent="0.3">
      <c r="AC1512">
        <f t="shared" si="112"/>
        <v>0</v>
      </c>
      <c r="AD1512">
        <v>1509</v>
      </c>
      <c r="AE1512" s="4">
        <f t="shared" si="110"/>
        <v>42422</v>
      </c>
      <c r="AF1512" s="6" t="e">
        <f t="shared" si="111"/>
        <v>#DIV/0!</v>
      </c>
      <c r="AG1512" s="4">
        <v>42422</v>
      </c>
      <c r="AH1512" s="6">
        <v>2.2048380000000001</v>
      </c>
      <c r="AI1512" s="6">
        <v>2.0771929999999998</v>
      </c>
      <c r="AJ1512" s="6">
        <v>2.0462590000000001</v>
      </c>
      <c r="AK1512" s="6"/>
      <c r="AL1512" s="6"/>
      <c r="AM1512" s="6" t="e">
        <f t="shared" si="113"/>
        <v>#DIV/0!</v>
      </c>
    </row>
    <row r="1513" spans="29:39" x14ac:dyDescent="0.3">
      <c r="AC1513">
        <f t="shared" si="112"/>
        <v>0</v>
      </c>
      <c r="AD1513">
        <v>1510</v>
      </c>
      <c r="AE1513" s="4">
        <f t="shared" si="110"/>
        <v>42423</v>
      </c>
      <c r="AF1513" s="6" t="e">
        <f t="shared" si="111"/>
        <v>#DIV/0!</v>
      </c>
      <c r="AG1513" s="4">
        <v>42423</v>
      </c>
      <c r="AH1513" s="6">
        <v>-0.945994</v>
      </c>
      <c r="AI1513" s="6">
        <v>-0.54430199999999995</v>
      </c>
      <c r="AJ1513" s="6">
        <v>-0.60059499999999999</v>
      </c>
      <c r="AK1513" s="6"/>
      <c r="AL1513" s="6"/>
      <c r="AM1513" s="6" t="e">
        <f t="shared" si="113"/>
        <v>#DIV/0!</v>
      </c>
    </row>
    <row r="1514" spans="29:39" x14ac:dyDescent="0.3">
      <c r="AC1514">
        <f t="shared" si="112"/>
        <v>0</v>
      </c>
      <c r="AD1514">
        <v>1511</v>
      </c>
      <c r="AE1514" s="4">
        <f t="shared" si="110"/>
        <v>42424</v>
      </c>
      <c r="AF1514" s="6" t="e">
        <f t="shared" si="111"/>
        <v>#DIV/0!</v>
      </c>
      <c r="AG1514" s="4">
        <v>42424</v>
      </c>
      <c r="AH1514" s="6">
        <v>0.65327999999999997</v>
      </c>
      <c r="AI1514" s="6">
        <v>0.66786800000000002</v>
      </c>
      <c r="AJ1514" s="6">
        <v>8.7436E-2</v>
      </c>
      <c r="AK1514" s="6"/>
      <c r="AL1514" s="6"/>
      <c r="AM1514" s="6" t="e">
        <f t="shared" si="113"/>
        <v>#DIV/0!</v>
      </c>
    </row>
    <row r="1515" spans="29:39" x14ac:dyDescent="0.3">
      <c r="AC1515">
        <f t="shared" si="112"/>
        <v>0</v>
      </c>
      <c r="AD1515">
        <v>1512</v>
      </c>
      <c r="AE1515" s="4">
        <f t="shared" si="110"/>
        <v>42425</v>
      </c>
      <c r="AF1515" s="6" t="e">
        <f t="shared" si="111"/>
        <v>#DIV/0!</v>
      </c>
      <c r="AG1515" s="4">
        <v>42425</v>
      </c>
      <c r="AH1515" s="6">
        <v>-6.1357939999999997</v>
      </c>
      <c r="AI1515" s="6">
        <v>-7.9362969999999997</v>
      </c>
      <c r="AJ1515" s="6">
        <v>-7.9150999999999998</v>
      </c>
      <c r="AK1515" s="6"/>
      <c r="AL1515" s="6"/>
      <c r="AM1515" s="6" t="e">
        <f t="shared" si="113"/>
        <v>#DIV/0!</v>
      </c>
    </row>
    <row r="1516" spans="29:39" x14ac:dyDescent="0.3">
      <c r="AC1516">
        <f t="shared" si="112"/>
        <v>0</v>
      </c>
      <c r="AD1516">
        <v>1513</v>
      </c>
      <c r="AE1516" s="4">
        <f t="shared" si="110"/>
        <v>42426</v>
      </c>
      <c r="AF1516" s="6" t="e">
        <f t="shared" si="111"/>
        <v>#DIV/0!</v>
      </c>
      <c r="AG1516" s="4">
        <v>42426</v>
      </c>
      <c r="AH1516" s="6">
        <v>1.0031859999999999</v>
      </c>
      <c r="AI1516" s="6">
        <v>0.406775</v>
      </c>
      <c r="AJ1516" s="6">
        <v>-0.46437099999999998</v>
      </c>
      <c r="AK1516" s="6"/>
      <c r="AL1516" s="6"/>
      <c r="AM1516" s="6" t="e">
        <f t="shared" si="113"/>
        <v>#DIV/0!</v>
      </c>
    </row>
    <row r="1517" spans="29:39" x14ac:dyDescent="0.3">
      <c r="AC1517">
        <f t="shared" si="112"/>
        <v>0</v>
      </c>
      <c r="AD1517">
        <v>1514</v>
      </c>
      <c r="AE1517" s="4">
        <f t="shared" si="110"/>
        <v>42429</v>
      </c>
      <c r="AF1517" s="6" t="e">
        <f t="shared" si="111"/>
        <v>#DIV/0!</v>
      </c>
      <c r="AG1517" s="4">
        <v>42429</v>
      </c>
      <c r="AH1517" s="6">
        <v>-2.3935979999999999</v>
      </c>
      <c r="AI1517" s="6">
        <v>-5.2842479999999998</v>
      </c>
      <c r="AJ1517" s="6">
        <v>-6.3017799999999999</v>
      </c>
      <c r="AK1517" s="6"/>
      <c r="AL1517" s="6"/>
      <c r="AM1517" s="6" t="e">
        <f t="shared" si="113"/>
        <v>#DIV/0!</v>
      </c>
    </row>
    <row r="1518" spans="29:39" x14ac:dyDescent="0.3">
      <c r="AC1518">
        <f t="shared" si="112"/>
        <v>0</v>
      </c>
      <c r="AD1518">
        <v>1515</v>
      </c>
      <c r="AE1518" s="4">
        <f t="shared" si="110"/>
        <v>42430</v>
      </c>
      <c r="AF1518" s="6" t="e">
        <f t="shared" si="111"/>
        <v>#DIV/0!</v>
      </c>
      <c r="AG1518" s="4">
        <v>42430</v>
      </c>
      <c r="AH1518" s="6">
        <v>1.84979</v>
      </c>
      <c r="AI1518" s="6">
        <v>2.3026399999999998</v>
      </c>
      <c r="AJ1518" s="6">
        <v>2.2468940000000002</v>
      </c>
      <c r="AK1518" s="6"/>
      <c r="AL1518" s="6"/>
      <c r="AM1518" s="6" t="e">
        <f t="shared" si="113"/>
        <v>#DIV/0!</v>
      </c>
    </row>
    <row r="1519" spans="29:39" x14ac:dyDescent="0.3">
      <c r="AC1519">
        <f t="shared" si="112"/>
        <v>0</v>
      </c>
      <c r="AD1519">
        <v>1516</v>
      </c>
      <c r="AE1519" s="4">
        <f t="shared" si="110"/>
        <v>42431</v>
      </c>
      <c r="AF1519" s="6" t="e">
        <f t="shared" si="111"/>
        <v>#DIV/0!</v>
      </c>
      <c r="AG1519" s="4">
        <v>42431</v>
      </c>
      <c r="AH1519" s="6">
        <v>4.1163970000000001</v>
      </c>
      <c r="AI1519" s="6">
        <v>5.1065389999999997</v>
      </c>
      <c r="AJ1519" s="6">
        <v>4.9938159999999998</v>
      </c>
      <c r="AK1519" s="6"/>
      <c r="AL1519" s="6"/>
      <c r="AM1519" s="6" t="e">
        <f t="shared" si="113"/>
        <v>#DIV/0!</v>
      </c>
    </row>
    <row r="1520" spans="29:39" x14ac:dyDescent="0.3">
      <c r="AC1520">
        <f t="shared" si="112"/>
        <v>0</v>
      </c>
      <c r="AD1520">
        <v>1517</v>
      </c>
      <c r="AE1520" s="4">
        <f t="shared" si="110"/>
        <v>42432</v>
      </c>
      <c r="AF1520" s="6" t="e">
        <f t="shared" si="111"/>
        <v>#DIV/0!</v>
      </c>
      <c r="AG1520" s="4">
        <v>42432</v>
      </c>
      <c r="AH1520" s="6">
        <v>0.23233100000000001</v>
      </c>
      <c r="AI1520" s="6">
        <v>0.41418700000000003</v>
      </c>
      <c r="AJ1520" s="6">
        <v>0.19805700000000001</v>
      </c>
      <c r="AK1520" s="6"/>
      <c r="AL1520" s="6"/>
      <c r="AM1520" s="6" t="e">
        <f t="shared" si="113"/>
        <v>#DIV/0!</v>
      </c>
    </row>
    <row r="1521" spans="29:39" x14ac:dyDescent="0.3">
      <c r="AC1521">
        <f t="shared" si="112"/>
        <v>0</v>
      </c>
      <c r="AD1521">
        <v>1518</v>
      </c>
      <c r="AE1521" s="4">
        <f t="shared" si="110"/>
        <v>42433</v>
      </c>
      <c r="AF1521" s="6" t="e">
        <f t="shared" si="111"/>
        <v>#DIV/0!</v>
      </c>
      <c r="AG1521" s="4">
        <v>42433</v>
      </c>
      <c r="AH1521" s="6">
        <v>1.15967</v>
      </c>
      <c r="AI1521" s="6">
        <v>-2.690258</v>
      </c>
      <c r="AJ1521" s="6">
        <v>-3.9905900000000001</v>
      </c>
      <c r="AK1521" s="6"/>
      <c r="AL1521" s="6"/>
      <c r="AM1521" s="6" t="e">
        <f t="shared" si="113"/>
        <v>#DIV/0!</v>
      </c>
    </row>
    <row r="1522" spans="29:39" x14ac:dyDescent="0.3">
      <c r="AC1522">
        <f t="shared" si="112"/>
        <v>0</v>
      </c>
      <c r="AD1522">
        <v>1519</v>
      </c>
      <c r="AE1522" s="4">
        <f t="shared" si="110"/>
        <v>42436</v>
      </c>
      <c r="AF1522" s="6" t="e">
        <f t="shared" si="111"/>
        <v>#DIV/0!</v>
      </c>
      <c r="AG1522" s="4">
        <v>42436</v>
      </c>
      <c r="AH1522" s="6">
        <v>0.35393000000000002</v>
      </c>
      <c r="AI1522" s="6">
        <v>2.330079</v>
      </c>
      <c r="AJ1522" s="6">
        <v>2.4483280000000001</v>
      </c>
      <c r="AK1522" s="6"/>
      <c r="AL1522" s="6"/>
      <c r="AM1522" s="6" t="e">
        <f t="shared" si="113"/>
        <v>#DIV/0!</v>
      </c>
    </row>
    <row r="1523" spans="29:39" x14ac:dyDescent="0.3">
      <c r="AC1523">
        <f t="shared" si="112"/>
        <v>0</v>
      </c>
      <c r="AD1523">
        <v>1520</v>
      </c>
      <c r="AE1523" s="4">
        <f t="shared" si="110"/>
        <v>42437</v>
      </c>
      <c r="AF1523" s="6" t="e">
        <f t="shared" si="111"/>
        <v>#DIV/0!</v>
      </c>
      <c r="AG1523" s="4">
        <v>42437</v>
      </c>
      <c r="AH1523" s="6">
        <v>9.1245000000000007E-2</v>
      </c>
      <c r="AI1523" s="6">
        <v>0.20472799999999999</v>
      </c>
      <c r="AJ1523" s="6">
        <v>0.92432300000000001</v>
      </c>
      <c r="AK1523" s="6"/>
      <c r="AL1523" s="6"/>
      <c r="AM1523" s="6" t="e">
        <f t="shared" si="113"/>
        <v>#DIV/0!</v>
      </c>
    </row>
    <row r="1524" spans="29:39" x14ac:dyDescent="0.3">
      <c r="AC1524">
        <f t="shared" si="112"/>
        <v>0</v>
      </c>
      <c r="AD1524">
        <v>1521</v>
      </c>
      <c r="AE1524" s="4">
        <f t="shared" si="110"/>
        <v>42438</v>
      </c>
      <c r="AF1524" s="6" t="e">
        <f t="shared" si="111"/>
        <v>#DIV/0!</v>
      </c>
      <c r="AG1524" s="4">
        <v>42438</v>
      </c>
      <c r="AH1524" s="6">
        <v>-1.150884</v>
      </c>
      <c r="AI1524" s="6">
        <v>-2.5551590000000002</v>
      </c>
      <c r="AJ1524" s="6">
        <v>-2.2230050000000001</v>
      </c>
      <c r="AK1524" s="6"/>
      <c r="AL1524" s="6"/>
      <c r="AM1524" s="6" t="e">
        <f t="shared" si="113"/>
        <v>#DIV/0!</v>
      </c>
    </row>
    <row r="1525" spans="29:39" x14ac:dyDescent="0.3">
      <c r="AC1525">
        <f t="shared" si="112"/>
        <v>0</v>
      </c>
      <c r="AD1525">
        <v>1522</v>
      </c>
      <c r="AE1525" s="4">
        <f t="shared" si="110"/>
        <v>42439</v>
      </c>
      <c r="AF1525" s="6" t="e">
        <f t="shared" si="111"/>
        <v>#DIV/0!</v>
      </c>
      <c r="AG1525" s="4">
        <v>42439</v>
      </c>
      <c r="AH1525" s="6">
        <v>-1.9128609999999999</v>
      </c>
      <c r="AI1525" s="6">
        <v>-1.6928780000000001</v>
      </c>
      <c r="AJ1525" s="6">
        <v>-1.6462639999999999</v>
      </c>
      <c r="AK1525" s="6"/>
      <c r="AL1525" s="6"/>
      <c r="AM1525" s="6" t="e">
        <f t="shared" si="113"/>
        <v>#DIV/0!</v>
      </c>
    </row>
    <row r="1526" spans="29:39" x14ac:dyDescent="0.3">
      <c r="AC1526">
        <f t="shared" si="112"/>
        <v>0</v>
      </c>
      <c r="AD1526">
        <v>1523</v>
      </c>
      <c r="AE1526" s="4">
        <f t="shared" si="110"/>
        <v>42440</v>
      </c>
      <c r="AF1526" s="6" t="e">
        <f t="shared" si="111"/>
        <v>#DIV/0!</v>
      </c>
      <c r="AG1526" s="4">
        <v>42440</v>
      </c>
      <c r="AH1526" s="6">
        <v>0.170543</v>
      </c>
      <c r="AI1526" s="6">
        <v>-0.23481199999999999</v>
      </c>
      <c r="AJ1526" s="6">
        <v>-0.36778499999999997</v>
      </c>
      <c r="AK1526" s="6"/>
      <c r="AL1526" s="6"/>
      <c r="AM1526" s="6" t="e">
        <f t="shared" si="113"/>
        <v>#DIV/0!</v>
      </c>
    </row>
    <row r="1527" spans="29:39" x14ac:dyDescent="0.3">
      <c r="AC1527">
        <f t="shared" si="112"/>
        <v>0</v>
      </c>
      <c r="AD1527">
        <v>1524</v>
      </c>
      <c r="AE1527" s="4">
        <f t="shared" si="110"/>
        <v>42443</v>
      </c>
      <c r="AF1527" s="6" t="e">
        <f t="shared" si="111"/>
        <v>#DIV/0!</v>
      </c>
      <c r="AG1527" s="4">
        <v>42443</v>
      </c>
      <c r="AH1527" s="6">
        <v>1.570627</v>
      </c>
      <c r="AI1527" s="6">
        <v>3.2965909999999998</v>
      </c>
      <c r="AJ1527" s="6">
        <v>3.953481</v>
      </c>
      <c r="AK1527" s="6"/>
      <c r="AL1527" s="6"/>
      <c r="AM1527" s="6" t="e">
        <f t="shared" si="113"/>
        <v>#DIV/0!</v>
      </c>
    </row>
    <row r="1528" spans="29:39" x14ac:dyDescent="0.3">
      <c r="AC1528">
        <f t="shared" si="112"/>
        <v>0</v>
      </c>
      <c r="AD1528">
        <v>1525</v>
      </c>
      <c r="AE1528" s="4">
        <f t="shared" si="110"/>
        <v>42444</v>
      </c>
      <c r="AF1528" s="6" t="e">
        <f t="shared" si="111"/>
        <v>#DIV/0!</v>
      </c>
      <c r="AG1528" s="4">
        <v>42444</v>
      </c>
      <c r="AH1528" s="6">
        <v>0.29648099999999999</v>
      </c>
      <c r="AI1528" s="6">
        <v>-0.89251199999999997</v>
      </c>
      <c r="AJ1528" s="6">
        <v>-0.89410800000000001</v>
      </c>
      <c r="AK1528" s="6"/>
      <c r="AL1528" s="6"/>
      <c r="AM1528" s="6" t="e">
        <f t="shared" si="113"/>
        <v>#DIV/0!</v>
      </c>
    </row>
    <row r="1529" spans="29:39" x14ac:dyDescent="0.3">
      <c r="AC1529">
        <f t="shared" si="112"/>
        <v>0</v>
      </c>
      <c r="AD1529">
        <v>1526</v>
      </c>
      <c r="AE1529" s="4">
        <f t="shared" si="110"/>
        <v>42445</v>
      </c>
      <c r="AF1529" s="6" t="e">
        <f t="shared" si="111"/>
        <v>#DIV/0!</v>
      </c>
      <c r="AG1529" s="4">
        <v>42445</v>
      </c>
      <c r="AH1529" s="6">
        <v>0.49607499999999999</v>
      </c>
      <c r="AI1529" s="6">
        <v>-1.3652519999999999</v>
      </c>
      <c r="AJ1529" s="6">
        <v>-1.1568430000000001</v>
      </c>
      <c r="AK1529" s="6"/>
      <c r="AL1529" s="6"/>
      <c r="AM1529" s="6" t="e">
        <f t="shared" si="113"/>
        <v>#DIV/0!</v>
      </c>
    </row>
    <row r="1530" spans="29:39" x14ac:dyDescent="0.3">
      <c r="AC1530">
        <f t="shared" si="112"/>
        <v>0</v>
      </c>
      <c r="AD1530">
        <v>1527</v>
      </c>
      <c r="AE1530" s="4">
        <f t="shared" si="110"/>
        <v>42446</v>
      </c>
      <c r="AF1530" s="6" t="e">
        <f t="shared" si="111"/>
        <v>#DIV/0!</v>
      </c>
      <c r="AG1530" s="4">
        <v>42446</v>
      </c>
      <c r="AH1530" s="6">
        <v>1.1058490000000001</v>
      </c>
      <c r="AI1530" s="6">
        <v>3.2927870000000001</v>
      </c>
      <c r="AJ1530" s="6">
        <v>3.950304</v>
      </c>
      <c r="AK1530" s="6"/>
      <c r="AL1530" s="6"/>
      <c r="AM1530" s="6" t="e">
        <f t="shared" si="113"/>
        <v>#DIV/0!</v>
      </c>
    </row>
    <row r="1531" spans="29:39" x14ac:dyDescent="0.3">
      <c r="AC1531">
        <f t="shared" si="112"/>
        <v>0</v>
      </c>
      <c r="AD1531">
        <v>1528</v>
      </c>
      <c r="AE1531" s="4">
        <f t="shared" si="110"/>
        <v>42447</v>
      </c>
      <c r="AF1531" s="6" t="e">
        <f t="shared" si="111"/>
        <v>#DIV/0!</v>
      </c>
      <c r="AG1531" s="4">
        <v>42447</v>
      </c>
      <c r="AH1531" s="6">
        <v>1.528681</v>
      </c>
      <c r="AI1531" s="6">
        <v>3.5379200000000002</v>
      </c>
      <c r="AJ1531" s="6">
        <v>4.0788399999999996</v>
      </c>
      <c r="AK1531" s="6"/>
      <c r="AL1531" s="6"/>
      <c r="AM1531" s="6" t="e">
        <f t="shared" si="113"/>
        <v>#DIV/0!</v>
      </c>
    </row>
    <row r="1532" spans="29:39" x14ac:dyDescent="0.3">
      <c r="AC1532">
        <f t="shared" si="112"/>
        <v>0</v>
      </c>
      <c r="AD1532">
        <v>1529</v>
      </c>
      <c r="AE1532" s="4">
        <f t="shared" si="110"/>
        <v>42450</v>
      </c>
      <c r="AF1532" s="6" t="e">
        <f t="shared" si="111"/>
        <v>#DIV/0!</v>
      </c>
      <c r="AG1532" s="4">
        <v>42450</v>
      </c>
      <c r="AH1532" s="6">
        <v>2.442469</v>
      </c>
      <c r="AI1532" s="6">
        <v>2.5249769999999998</v>
      </c>
      <c r="AJ1532" s="6">
        <v>2.8253330000000001</v>
      </c>
      <c r="AK1532" s="6"/>
      <c r="AL1532" s="6"/>
      <c r="AM1532" s="6" t="e">
        <f t="shared" si="113"/>
        <v>#DIV/0!</v>
      </c>
    </row>
    <row r="1533" spans="29:39" x14ac:dyDescent="0.3">
      <c r="AC1533">
        <f t="shared" si="112"/>
        <v>0</v>
      </c>
      <c r="AD1533">
        <v>1530</v>
      </c>
      <c r="AE1533" s="4">
        <f t="shared" si="110"/>
        <v>42451</v>
      </c>
      <c r="AF1533" s="6" t="e">
        <f t="shared" si="111"/>
        <v>#DIV/0!</v>
      </c>
      <c r="AG1533" s="4">
        <v>42451</v>
      </c>
      <c r="AH1533" s="6">
        <v>-0.72772300000000001</v>
      </c>
      <c r="AI1533" s="6">
        <v>-0.39328400000000002</v>
      </c>
      <c r="AJ1533" s="6">
        <v>-0.177346</v>
      </c>
      <c r="AK1533" s="6"/>
      <c r="AL1533" s="6"/>
      <c r="AM1533" s="6" t="e">
        <f t="shared" si="113"/>
        <v>#DIV/0!</v>
      </c>
    </row>
    <row r="1534" spans="29:39" x14ac:dyDescent="0.3">
      <c r="AC1534">
        <f t="shared" si="112"/>
        <v>0</v>
      </c>
      <c r="AD1534">
        <v>1531</v>
      </c>
      <c r="AE1534" s="4">
        <f t="shared" si="110"/>
        <v>42452</v>
      </c>
      <c r="AF1534" s="6" t="e">
        <f t="shared" si="111"/>
        <v>#DIV/0!</v>
      </c>
      <c r="AG1534" s="4">
        <v>42452</v>
      </c>
      <c r="AH1534" s="6">
        <v>0.31936700000000001</v>
      </c>
      <c r="AI1534" s="6">
        <v>0.71556699999999995</v>
      </c>
      <c r="AJ1534" s="6">
        <v>1.172239</v>
      </c>
      <c r="AK1534" s="6"/>
      <c r="AL1534" s="6"/>
      <c r="AM1534" s="6" t="e">
        <f t="shared" si="113"/>
        <v>#DIV/0!</v>
      </c>
    </row>
    <row r="1535" spans="29:39" x14ac:dyDescent="0.3">
      <c r="AC1535">
        <f t="shared" si="112"/>
        <v>0</v>
      </c>
      <c r="AD1535">
        <v>1532</v>
      </c>
      <c r="AE1535" s="4">
        <f t="shared" si="110"/>
        <v>42453</v>
      </c>
      <c r="AF1535" s="6" t="e">
        <f t="shared" si="111"/>
        <v>#DIV/0!</v>
      </c>
      <c r="AG1535" s="4">
        <v>42453</v>
      </c>
      <c r="AH1535" s="6">
        <v>-1.676148</v>
      </c>
      <c r="AI1535" s="6">
        <v>-1.643124</v>
      </c>
      <c r="AJ1535" s="6">
        <v>-1.5340069999999999</v>
      </c>
      <c r="AK1535" s="6"/>
      <c r="AL1535" s="6"/>
      <c r="AM1535" s="6" t="e">
        <f t="shared" si="113"/>
        <v>#DIV/0!</v>
      </c>
    </row>
    <row r="1536" spans="29:39" x14ac:dyDescent="0.3">
      <c r="AC1536">
        <f t="shared" si="112"/>
        <v>0</v>
      </c>
      <c r="AD1536">
        <v>1533</v>
      </c>
      <c r="AE1536" s="4">
        <f t="shared" si="110"/>
        <v>42454</v>
      </c>
      <c r="AF1536" s="6" t="e">
        <f t="shared" si="111"/>
        <v>#DIV/0!</v>
      </c>
      <c r="AG1536" s="4">
        <v>42454</v>
      </c>
      <c r="AH1536" s="6">
        <v>0.50178999999999996</v>
      </c>
      <c r="AI1536" s="6">
        <v>0.98043899999999995</v>
      </c>
      <c r="AJ1536" s="6">
        <v>0.76806200000000002</v>
      </c>
      <c r="AK1536" s="6"/>
      <c r="AL1536" s="6"/>
      <c r="AM1536" s="6" t="e">
        <f t="shared" si="113"/>
        <v>#DIV/0!</v>
      </c>
    </row>
    <row r="1537" spans="29:39" x14ac:dyDescent="0.3">
      <c r="AC1537">
        <f t="shared" si="112"/>
        <v>0</v>
      </c>
      <c r="AD1537">
        <v>1534</v>
      </c>
      <c r="AE1537" s="4">
        <f t="shared" si="110"/>
        <v>42457</v>
      </c>
      <c r="AF1537" s="6" t="e">
        <f t="shared" si="111"/>
        <v>#DIV/0!</v>
      </c>
      <c r="AG1537" s="4">
        <v>42457</v>
      </c>
      <c r="AH1537" s="6">
        <v>-0.87836800000000004</v>
      </c>
      <c r="AI1537" s="6">
        <v>-0.65246300000000002</v>
      </c>
      <c r="AJ1537" s="6">
        <v>-0.53293599999999997</v>
      </c>
      <c r="AK1537" s="6"/>
      <c r="AL1537" s="6"/>
      <c r="AM1537" s="6" t="e">
        <f t="shared" si="113"/>
        <v>#DIV/0!</v>
      </c>
    </row>
    <row r="1538" spans="29:39" x14ac:dyDescent="0.3">
      <c r="AC1538">
        <f t="shared" si="112"/>
        <v>0</v>
      </c>
      <c r="AD1538">
        <v>1535</v>
      </c>
      <c r="AE1538" s="4">
        <f t="shared" si="110"/>
        <v>42458</v>
      </c>
      <c r="AF1538" s="6" t="e">
        <f t="shared" si="111"/>
        <v>#DIV/0!</v>
      </c>
      <c r="AG1538" s="4">
        <v>42458</v>
      </c>
      <c r="AH1538" s="6">
        <v>-1.082695</v>
      </c>
      <c r="AI1538" s="6">
        <v>-1.919762</v>
      </c>
      <c r="AJ1538" s="6">
        <v>-2.1663649999999999</v>
      </c>
      <c r="AK1538" s="6"/>
      <c r="AL1538" s="6"/>
      <c r="AM1538" s="6" t="e">
        <f t="shared" si="113"/>
        <v>#DIV/0!</v>
      </c>
    </row>
    <row r="1539" spans="29:39" x14ac:dyDescent="0.3">
      <c r="AC1539">
        <f t="shared" si="112"/>
        <v>0</v>
      </c>
      <c r="AD1539">
        <v>1536</v>
      </c>
      <c r="AE1539" s="4">
        <f t="shared" si="110"/>
        <v>42459</v>
      </c>
      <c r="AF1539" s="6" t="e">
        <f t="shared" si="111"/>
        <v>#DIV/0!</v>
      </c>
      <c r="AG1539" s="4">
        <v>42459</v>
      </c>
      <c r="AH1539" s="6">
        <v>2.5791050000000002</v>
      </c>
      <c r="AI1539" s="6">
        <v>3.6413549999999999</v>
      </c>
      <c r="AJ1539" s="6">
        <v>3.9375209999999998</v>
      </c>
      <c r="AK1539" s="6"/>
      <c r="AL1539" s="6"/>
      <c r="AM1539" s="6" t="e">
        <f t="shared" si="113"/>
        <v>#DIV/0!</v>
      </c>
    </row>
    <row r="1540" spans="29:39" x14ac:dyDescent="0.3">
      <c r="AC1540">
        <f t="shared" si="112"/>
        <v>0</v>
      </c>
      <c r="AD1540">
        <v>1537</v>
      </c>
      <c r="AE1540" s="4">
        <f t="shared" si="110"/>
        <v>42460</v>
      </c>
      <c r="AF1540" s="6" t="e">
        <f t="shared" si="111"/>
        <v>#DIV/0!</v>
      </c>
      <c r="AG1540" s="4">
        <v>42460</v>
      </c>
      <c r="AH1540" s="6">
        <v>5.6356999999999997E-2</v>
      </c>
      <c r="AI1540" s="6">
        <v>0.29833599999999999</v>
      </c>
      <c r="AJ1540" s="6">
        <v>0.100677</v>
      </c>
      <c r="AK1540" s="6"/>
      <c r="AL1540" s="6"/>
      <c r="AM1540" s="6" t="e">
        <f t="shared" si="113"/>
        <v>#DIV/0!</v>
      </c>
    </row>
    <row r="1541" spans="29:39" x14ac:dyDescent="0.3">
      <c r="AC1541">
        <f t="shared" si="112"/>
        <v>0</v>
      </c>
      <c r="AD1541">
        <v>1538</v>
      </c>
      <c r="AE1541" s="4">
        <f t="shared" ref="AE1541:AE1604" si="114">AG1541</f>
        <v>42461</v>
      </c>
      <c r="AF1541" s="6" t="e">
        <f t="shared" ref="AF1541:AF1604" si="115">AM1541</f>
        <v>#DIV/0!</v>
      </c>
      <c r="AG1541" s="4">
        <v>42461</v>
      </c>
      <c r="AH1541" s="6">
        <v>0.118297</v>
      </c>
      <c r="AI1541" s="6">
        <v>-0.50823499999999999</v>
      </c>
      <c r="AJ1541" s="6">
        <v>-0.68534899999999999</v>
      </c>
      <c r="AK1541" s="6"/>
      <c r="AL1541" s="6"/>
      <c r="AM1541" s="6" t="e">
        <f t="shared" si="113"/>
        <v>#DIV/0!</v>
      </c>
    </row>
    <row r="1542" spans="29:39" x14ac:dyDescent="0.3">
      <c r="AC1542">
        <f t="shared" ref="AC1542:AC1605" si="116">IF(AE1542&lt;=AE1541,1,0)</f>
        <v>0</v>
      </c>
      <c r="AD1542">
        <v>1539</v>
      </c>
      <c r="AE1542" s="4">
        <f t="shared" si="114"/>
        <v>42465</v>
      </c>
      <c r="AF1542" s="6" t="e">
        <f t="shared" si="115"/>
        <v>#DIV/0!</v>
      </c>
      <c r="AG1542" s="4">
        <v>42465</v>
      </c>
      <c r="AH1542" s="6">
        <v>1.3219240000000001</v>
      </c>
      <c r="AI1542" s="6">
        <v>2.6459969999999999</v>
      </c>
      <c r="AJ1542" s="6">
        <v>2.936842</v>
      </c>
      <c r="AK1542" s="6"/>
      <c r="AL1542" s="6"/>
      <c r="AM1542" s="6" t="e">
        <f t="shared" ref="AM1542:AM1605" si="117">(AL1542/AL1541-1)*100</f>
        <v>#DIV/0!</v>
      </c>
    </row>
    <row r="1543" spans="29:39" x14ac:dyDescent="0.3">
      <c r="AC1543">
        <f t="shared" si="116"/>
        <v>0</v>
      </c>
      <c r="AD1543">
        <v>1540</v>
      </c>
      <c r="AE1543" s="4">
        <f t="shared" si="114"/>
        <v>42466</v>
      </c>
      <c r="AF1543" s="6" t="e">
        <f t="shared" si="115"/>
        <v>#DIV/0!</v>
      </c>
      <c r="AG1543" s="4">
        <v>42466</v>
      </c>
      <c r="AH1543" s="6">
        <v>-0.213148</v>
      </c>
      <c r="AI1543" s="6">
        <v>0.58619399999999999</v>
      </c>
      <c r="AJ1543" s="6">
        <v>0.64341499999999996</v>
      </c>
      <c r="AK1543" s="6"/>
      <c r="AL1543" s="6"/>
      <c r="AM1543" s="6" t="e">
        <f t="shared" si="117"/>
        <v>#DIV/0!</v>
      </c>
    </row>
    <row r="1544" spans="29:39" x14ac:dyDescent="0.3">
      <c r="AC1544">
        <f t="shared" si="116"/>
        <v>0</v>
      </c>
      <c r="AD1544">
        <v>1541</v>
      </c>
      <c r="AE1544" s="4">
        <f t="shared" si="114"/>
        <v>42467</v>
      </c>
      <c r="AF1544" s="6" t="e">
        <f t="shared" si="115"/>
        <v>#DIV/0!</v>
      </c>
      <c r="AG1544" s="4">
        <v>42467</v>
      </c>
      <c r="AH1544" s="6">
        <v>-1.4807980000000001</v>
      </c>
      <c r="AI1544" s="6">
        <v>-1.493816</v>
      </c>
      <c r="AJ1544" s="6">
        <v>-1.6305750000000001</v>
      </c>
      <c r="AK1544" s="6"/>
      <c r="AL1544" s="6"/>
      <c r="AM1544" s="6" t="e">
        <f t="shared" si="117"/>
        <v>#DIV/0!</v>
      </c>
    </row>
    <row r="1545" spans="29:39" x14ac:dyDescent="0.3">
      <c r="AC1545">
        <f t="shared" si="116"/>
        <v>0</v>
      </c>
      <c r="AD1545">
        <v>1542</v>
      </c>
      <c r="AE1545" s="4">
        <f t="shared" si="114"/>
        <v>42468</v>
      </c>
      <c r="AF1545" s="6" t="e">
        <f t="shared" si="115"/>
        <v>#DIV/0!</v>
      </c>
      <c r="AG1545" s="4">
        <v>42468</v>
      </c>
      <c r="AH1545" s="6">
        <v>-0.73425600000000002</v>
      </c>
      <c r="AI1545" s="6">
        <v>-0.96696199999999999</v>
      </c>
      <c r="AJ1545" s="6">
        <v>-0.76423799999999997</v>
      </c>
      <c r="AK1545" s="6"/>
      <c r="AL1545" s="6"/>
      <c r="AM1545" s="6" t="e">
        <f t="shared" si="117"/>
        <v>#DIV/0!</v>
      </c>
    </row>
    <row r="1546" spans="29:39" x14ac:dyDescent="0.3">
      <c r="AC1546">
        <f t="shared" si="116"/>
        <v>0</v>
      </c>
      <c r="AD1546">
        <v>1543</v>
      </c>
      <c r="AE1546" s="4">
        <f t="shared" si="114"/>
        <v>42471</v>
      </c>
      <c r="AF1546" s="6" t="e">
        <f t="shared" si="115"/>
        <v>#DIV/0!</v>
      </c>
      <c r="AG1546" s="4">
        <v>42471</v>
      </c>
      <c r="AH1546" s="6">
        <v>1.3927719999999999</v>
      </c>
      <c r="AI1546" s="6">
        <v>2.1975060000000002</v>
      </c>
      <c r="AJ1546" s="6">
        <v>2.2775910000000001</v>
      </c>
      <c r="AK1546" s="6"/>
      <c r="AL1546" s="6"/>
      <c r="AM1546" s="6" t="e">
        <f t="shared" si="117"/>
        <v>#DIV/0!</v>
      </c>
    </row>
    <row r="1547" spans="29:39" x14ac:dyDescent="0.3">
      <c r="AC1547">
        <f t="shared" si="116"/>
        <v>0</v>
      </c>
      <c r="AD1547">
        <v>1544</v>
      </c>
      <c r="AE1547" s="4">
        <f t="shared" si="114"/>
        <v>42472</v>
      </c>
      <c r="AF1547" s="6" t="e">
        <f t="shared" si="115"/>
        <v>#DIV/0!</v>
      </c>
      <c r="AG1547" s="4">
        <v>42472</v>
      </c>
      <c r="AH1547" s="6">
        <v>-0.36054700000000001</v>
      </c>
      <c r="AI1547" s="6">
        <v>-0.81733900000000004</v>
      </c>
      <c r="AJ1547" s="6">
        <v>-0.79557500000000003</v>
      </c>
      <c r="AK1547" s="6"/>
      <c r="AL1547" s="6"/>
      <c r="AM1547" s="6" t="e">
        <f t="shared" si="117"/>
        <v>#DIV/0!</v>
      </c>
    </row>
    <row r="1548" spans="29:39" x14ac:dyDescent="0.3">
      <c r="AC1548">
        <f t="shared" si="116"/>
        <v>0</v>
      </c>
      <c r="AD1548">
        <v>1545</v>
      </c>
      <c r="AE1548" s="4">
        <f t="shared" si="114"/>
        <v>42473</v>
      </c>
      <c r="AF1548" s="6" t="e">
        <f t="shared" si="115"/>
        <v>#DIV/0!</v>
      </c>
      <c r="AG1548" s="4">
        <v>42473</v>
      </c>
      <c r="AH1548" s="6">
        <v>1.3339780000000001</v>
      </c>
      <c r="AI1548" s="6">
        <v>1.462593</v>
      </c>
      <c r="AJ1548" s="6">
        <v>1.4110309999999999</v>
      </c>
      <c r="AK1548" s="6"/>
      <c r="AL1548" s="6"/>
      <c r="AM1548" s="6" t="e">
        <f t="shared" si="117"/>
        <v>#DIV/0!</v>
      </c>
    </row>
    <row r="1549" spans="29:39" x14ac:dyDescent="0.3">
      <c r="AC1549">
        <f t="shared" si="116"/>
        <v>0</v>
      </c>
      <c r="AD1549">
        <v>1546</v>
      </c>
      <c r="AE1549" s="4">
        <f t="shared" si="114"/>
        <v>42474</v>
      </c>
      <c r="AF1549" s="6" t="e">
        <f t="shared" si="115"/>
        <v>#DIV/0!</v>
      </c>
      <c r="AG1549" s="4">
        <v>42474</v>
      </c>
      <c r="AH1549" s="6">
        <v>0.44303300000000001</v>
      </c>
      <c r="AI1549" s="6">
        <v>0.90836899999999998</v>
      </c>
      <c r="AJ1549" s="6">
        <v>1.227714</v>
      </c>
      <c r="AK1549" s="6"/>
      <c r="AL1549" s="6"/>
      <c r="AM1549" s="6" t="e">
        <f t="shared" si="117"/>
        <v>#DIV/0!</v>
      </c>
    </row>
    <row r="1550" spans="29:39" x14ac:dyDescent="0.3">
      <c r="AC1550">
        <f t="shared" si="116"/>
        <v>0</v>
      </c>
      <c r="AD1550">
        <v>1547</v>
      </c>
      <c r="AE1550" s="4">
        <f t="shared" si="114"/>
        <v>42475</v>
      </c>
      <c r="AF1550" s="6" t="e">
        <f t="shared" si="115"/>
        <v>#DIV/0!</v>
      </c>
      <c r="AG1550" s="4">
        <v>42475</v>
      </c>
      <c r="AH1550" s="6">
        <v>-0.11071400000000001</v>
      </c>
      <c r="AI1550" s="6">
        <v>-0.27343499999999998</v>
      </c>
      <c r="AJ1550" s="6">
        <v>4.6129000000000003E-2</v>
      </c>
      <c r="AK1550" s="6"/>
      <c r="AL1550" s="6"/>
      <c r="AM1550" s="6" t="e">
        <f t="shared" si="117"/>
        <v>#DIV/0!</v>
      </c>
    </row>
    <row r="1551" spans="29:39" x14ac:dyDescent="0.3">
      <c r="AC1551">
        <f t="shared" si="116"/>
        <v>0</v>
      </c>
      <c r="AD1551">
        <v>1548</v>
      </c>
      <c r="AE1551" s="4">
        <f t="shared" si="114"/>
        <v>42478</v>
      </c>
      <c r="AF1551" s="6" t="e">
        <f t="shared" si="115"/>
        <v>#DIV/0!</v>
      </c>
      <c r="AG1551" s="4">
        <v>42478</v>
      </c>
      <c r="AH1551" s="6">
        <v>-1.337086</v>
      </c>
      <c r="AI1551" s="6">
        <v>-1.615626</v>
      </c>
      <c r="AJ1551" s="6">
        <v>-1.4166160000000001</v>
      </c>
      <c r="AK1551" s="6"/>
      <c r="AL1551" s="6"/>
      <c r="AM1551" s="6" t="e">
        <f t="shared" si="117"/>
        <v>#DIV/0!</v>
      </c>
    </row>
    <row r="1552" spans="29:39" x14ac:dyDescent="0.3">
      <c r="AC1552">
        <f t="shared" si="116"/>
        <v>0</v>
      </c>
      <c r="AD1552">
        <v>1549</v>
      </c>
      <c r="AE1552" s="4">
        <f t="shared" si="114"/>
        <v>42479</v>
      </c>
      <c r="AF1552" s="6" t="e">
        <f t="shared" si="115"/>
        <v>#DIV/0!</v>
      </c>
      <c r="AG1552" s="4">
        <v>42479</v>
      </c>
      <c r="AH1552" s="6">
        <v>0.305093</v>
      </c>
      <c r="AI1552" s="6">
        <v>0.43027700000000002</v>
      </c>
      <c r="AJ1552" s="6">
        <v>0.443494</v>
      </c>
      <c r="AK1552" s="6"/>
      <c r="AL1552" s="6"/>
      <c r="AM1552" s="6" t="e">
        <f t="shared" si="117"/>
        <v>#DIV/0!</v>
      </c>
    </row>
    <row r="1553" spans="29:39" x14ac:dyDescent="0.3">
      <c r="AC1553">
        <f t="shared" si="116"/>
        <v>0</v>
      </c>
      <c r="AD1553">
        <v>1550</v>
      </c>
      <c r="AE1553" s="4">
        <f t="shared" si="114"/>
        <v>42480</v>
      </c>
      <c r="AF1553" s="6" t="e">
        <f t="shared" si="115"/>
        <v>#DIV/0!</v>
      </c>
      <c r="AG1553" s="4">
        <v>42480</v>
      </c>
      <c r="AH1553" s="6">
        <v>-1.7687200000000001</v>
      </c>
      <c r="AI1553" s="6">
        <v>-4.5340210000000001</v>
      </c>
      <c r="AJ1553" s="6">
        <v>-5.0522929999999997</v>
      </c>
      <c r="AK1553" s="6"/>
      <c r="AL1553" s="6"/>
      <c r="AM1553" s="6" t="e">
        <f t="shared" si="117"/>
        <v>#DIV/0!</v>
      </c>
    </row>
    <row r="1554" spans="29:39" x14ac:dyDescent="0.3">
      <c r="AC1554">
        <f t="shared" si="116"/>
        <v>0</v>
      </c>
      <c r="AD1554">
        <v>1551</v>
      </c>
      <c r="AE1554" s="4">
        <f t="shared" si="114"/>
        <v>42481</v>
      </c>
      <c r="AF1554" s="6" t="e">
        <f t="shared" si="115"/>
        <v>#DIV/0!</v>
      </c>
      <c r="AG1554" s="4">
        <v>42481</v>
      </c>
      <c r="AH1554" s="6">
        <v>-0.64202899999999996</v>
      </c>
      <c r="AI1554" s="6">
        <v>-0.85567599999999999</v>
      </c>
      <c r="AJ1554" s="6">
        <v>-1.3677520000000001</v>
      </c>
      <c r="AK1554" s="6"/>
      <c r="AL1554" s="6"/>
      <c r="AM1554" s="6" t="e">
        <f t="shared" si="117"/>
        <v>#DIV/0!</v>
      </c>
    </row>
    <row r="1555" spans="29:39" x14ac:dyDescent="0.3">
      <c r="AC1555">
        <f t="shared" si="116"/>
        <v>0</v>
      </c>
      <c r="AD1555">
        <v>1552</v>
      </c>
      <c r="AE1555" s="4">
        <f t="shared" si="114"/>
        <v>42482</v>
      </c>
      <c r="AF1555" s="6" t="e">
        <f t="shared" si="115"/>
        <v>#DIV/0!</v>
      </c>
      <c r="AG1555" s="4">
        <v>42482</v>
      </c>
      <c r="AH1555" s="6">
        <v>0.45237899999999998</v>
      </c>
      <c r="AI1555" s="6">
        <v>0.68062699999999998</v>
      </c>
      <c r="AJ1555" s="6">
        <v>1.0235160000000001</v>
      </c>
      <c r="AK1555" s="6"/>
      <c r="AL1555" s="6"/>
      <c r="AM1555" s="6" t="e">
        <f t="shared" si="117"/>
        <v>#DIV/0!</v>
      </c>
    </row>
    <row r="1556" spans="29:39" x14ac:dyDescent="0.3">
      <c r="AC1556">
        <f t="shared" si="116"/>
        <v>0</v>
      </c>
      <c r="AD1556">
        <v>1553</v>
      </c>
      <c r="AE1556" s="4">
        <f t="shared" si="114"/>
        <v>42485</v>
      </c>
      <c r="AF1556" s="6" t="e">
        <f t="shared" si="115"/>
        <v>#DIV/0!</v>
      </c>
      <c r="AG1556" s="4">
        <v>42485</v>
      </c>
      <c r="AH1556" s="6">
        <v>-0.40530699999999997</v>
      </c>
      <c r="AI1556" s="6">
        <v>-0.55300499999999997</v>
      </c>
      <c r="AJ1556" s="6">
        <v>-0.60303799999999996</v>
      </c>
      <c r="AK1556" s="6"/>
      <c r="AL1556" s="6"/>
      <c r="AM1556" s="6" t="e">
        <f t="shared" si="117"/>
        <v>#DIV/0!</v>
      </c>
    </row>
    <row r="1557" spans="29:39" x14ac:dyDescent="0.3">
      <c r="AC1557">
        <f t="shared" si="116"/>
        <v>0</v>
      </c>
      <c r="AD1557">
        <v>1554</v>
      </c>
      <c r="AE1557" s="4">
        <f t="shared" si="114"/>
        <v>42486</v>
      </c>
      <c r="AF1557" s="6" t="e">
        <f t="shared" si="115"/>
        <v>#DIV/0!</v>
      </c>
      <c r="AG1557" s="4">
        <v>42486</v>
      </c>
      <c r="AH1557" s="6">
        <v>0.54165799999999997</v>
      </c>
      <c r="AI1557" s="6">
        <v>1.149135</v>
      </c>
      <c r="AJ1557" s="6">
        <v>1.347634</v>
      </c>
      <c r="AK1557" s="6"/>
      <c r="AL1557" s="6"/>
      <c r="AM1557" s="6" t="e">
        <f t="shared" si="117"/>
        <v>#DIV/0!</v>
      </c>
    </row>
    <row r="1558" spans="29:39" x14ac:dyDescent="0.3">
      <c r="AC1558">
        <f t="shared" si="116"/>
        <v>0</v>
      </c>
      <c r="AD1558">
        <v>1555</v>
      </c>
      <c r="AE1558" s="4">
        <f t="shared" si="114"/>
        <v>42487</v>
      </c>
      <c r="AF1558" s="6" t="e">
        <f t="shared" si="115"/>
        <v>#DIV/0!</v>
      </c>
      <c r="AG1558" s="4">
        <v>42487</v>
      </c>
      <c r="AH1558" s="6">
        <v>-0.41661599999999999</v>
      </c>
      <c r="AI1558" s="6">
        <v>-0.497363</v>
      </c>
      <c r="AJ1558" s="6">
        <v>-0.23927399999999999</v>
      </c>
      <c r="AK1558" s="6"/>
      <c r="AL1558" s="6"/>
      <c r="AM1558" s="6" t="e">
        <f t="shared" si="117"/>
        <v>#DIV/0!</v>
      </c>
    </row>
    <row r="1559" spans="29:39" x14ac:dyDescent="0.3">
      <c r="AC1559">
        <f t="shared" si="116"/>
        <v>0</v>
      </c>
      <c r="AD1559">
        <v>1556</v>
      </c>
      <c r="AE1559" s="4">
        <f t="shared" si="114"/>
        <v>42488</v>
      </c>
      <c r="AF1559" s="6" t="e">
        <f t="shared" si="115"/>
        <v>#DIV/0!</v>
      </c>
      <c r="AG1559" s="4">
        <v>42488</v>
      </c>
      <c r="AH1559" s="6">
        <v>-0.16850399999999999</v>
      </c>
      <c r="AI1559" s="6">
        <v>-0.43828899999999998</v>
      </c>
      <c r="AJ1559" s="6">
        <v>-0.239095</v>
      </c>
      <c r="AK1559" s="6"/>
      <c r="AL1559" s="6"/>
      <c r="AM1559" s="6" t="e">
        <f t="shared" si="117"/>
        <v>#DIV/0!</v>
      </c>
    </row>
    <row r="1560" spans="29:39" x14ac:dyDescent="0.3">
      <c r="AC1560">
        <f t="shared" si="116"/>
        <v>0</v>
      </c>
      <c r="AD1560">
        <v>1557</v>
      </c>
      <c r="AE1560" s="4">
        <f t="shared" si="114"/>
        <v>42489</v>
      </c>
      <c r="AF1560" s="6" t="e">
        <f t="shared" si="115"/>
        <v>#DIV/0!</v>
      </c>
      <c r="AG1560" s="4">
        <v>42489</v>
      </c>
      <c r="AH1560" s="6">
        <v>-0.121364</v>
      </c>
      <c r="AI1560" s="6">
        <v>-7.9035999999999995E-2</v>
      </c>
      <c r="AJ1560" s="6">
        <v>-0.14281099999999999</v>
      </c>
      <c r="AK1560" s="6"/>
      <c r="AL1560" s="6"/>
      <c r="AM1560" s="6" t="e">
        <f t="shared" si="117"/>
        <v>#DIV/0!</v>
      </c>
    </row>
    <row r="1561" spans="29:39" x14ac:dyDescent="0.3">
      <c r="AC1561">
        <f t="shared" si="116"/>
        <v>0</v>
      </c>
      <c r="AD1561">
        <v>1558</v>
      </c>
      <c r="AE1561" s="4">
        <f t="shared" si="114"/>
        <v>42493</v>
      </c>
      <c r="AF1561" s="6" t="e">
        <f t="shared" si="115"/>
        <v>#DIV/0!</v>
      </c>
      <c r="AG1561" s="4">
        <v>42493</v>
      </c>
      <c r="AH1561" s="6">
        <v>1.7991509999999999</v>
      </c>
      <c r="AI1561" s="6">
        <v>3.0382899999999999</v>
      </c>
      <c r="AJ1561" s="6">
        <v>3.2186400000000002</v>
      </c>
      <c r="AK1561" s="6"/>
      <c r="AL1561" s="6"/>
      <c r="AM1561" s="6" t="e">
        <f t="shared" si="117"/>
        <v>#DIV/0!</v>
      </c>
    </row>
    <row r="1562" spans="29:39" x14ac:dyDescent="0.3">
      <c r="AC1562">
        <f t="shared" si="116"/>
        <v>0</v>
      </c>
      <c r="AD1562">
        <v>1559</v>
      </c>
      <c r="AE1562" s="4">
        <f t="shared" si="114"/>
        <v>42494</v>
      </c>
      <c r="AF1562" s="6" t="e">
        <f t="shared" si="115"/>
        <v>#DIV/0!</v>
      </c>
      <c r="AG1562" s="4">
        <v>42494</v>
      </c>
      <c r="AH1562" s="6">
        <v>-0.12691</v>
      </c>
      <c r="AI1562" s="6">
        <v>3.7761000000000003E-2</v>
      </c>
      <c r="AJ1562" s="6">
        <v>7.6367000000000004E-2</v>
      </c>
      <c r="AK1562" s="6"/>
      <c r="AL1562" s="6"/>
      <c r="AM1562" s="6" t="e">
        <f t="shared" si="117"/>
        <v>#DIV/0!</v>
      </c>
    </row>
    <row r="1563" spans="29:39" x14ac:dyDescent="0.3">
      <c r="AC1563">
        <f t="shared" si="116"/>
        <v>0</v>
      </c>
      <c r="AD1563">
        <v>1560</v>
      </c>
      <c r="AE1563" s="4">
        <f t="shared" si="114"/>
        <v>42495</v>
      </c>
      <c r="AF1563" s="6" t="e">
        <f t="shared" si="115"/>
        <v>#DIV/0!</v>
      </c>
      <c r="AG1563" s="4">
        <v>42495</v>
      </c>
      <c r="AH1563" s="6">
        <v>0.13891700000000001</v>
      </c>
      <c r="AI1563" s="6">
        <v>0.551624</v>
      </c>
      <c r="AJ1563" s="6">
        <v>0.74285299999999999</v>
      </c>
      <c r="AK1563" s="6"/>
      <c r="AL1563" s="6"/>
      <c r="AM1563" s="6" t="e">
        <f t="shared" si="117"/>
        <v>#DIV/0!</v>
      </c>
    </row>
    <row r="1564" spans="29:39" x14ac:dyDescent="0.3">
      <c r="AC1564">
        <f t="shared" si="116"/>
        <v>0</v>
      </c>
      <c r="AD1564">
        <v>1561</v>
      </c>
      <c r="AE1564" s="4">
        <f t="shared" si="114"/>
        <v>42496</v>
      </c>
      <c r="AF1564" s="6" t="e">
        <f t="shared" si="115"/>
        <v>#DIV/0!</v>
      </c>
      <c r="AG1564" s="4">
        <v>42496</v>
      </c>
      <c r="AH1564" s="6">
        <v>-2.6001110000000001</v>
      </c>
      <c r="AI1564" s="6">
        <v>-3.9061050000000002</v>
      </c>
      <c r="AJ1564" s="6">
        <v>-4.0875880000000002</v>
      </c>
      <c r="AK1564" s="6"/>
      <c r="AL1564" s="6"/>
      <c r="AM1564" s="6" t="e">
        <f t="shared" si="117"/>
        <v>#DIV/0!</v>
      </c>
    </row>
    <row r="1565" spans="29:39" x14ac:dyDescent="0.3">
      <c r="AC1565">
        <f t="shared" si="116"/>
        <v>0</v>
      </c>
      <c r="AD1565">
        <v>1562</v>
      </c>
      <c r="AE1565" s="4">
        <f t="shared" si="114"/>
        <v>42499</v>
      </c>
      <c r="AF1565" s="6" t="e">
        <f t="shared" si="115"/>
        <v>#DIV/0!</v>
      </c>
      <c r="AG1565" s="4">
        <v>42499</v>
      </c>
      <c r="AH1565" s="6">
        <v>-2.0681039999999999</v>
      </c>
      <c r="AI1565" s="6">
        <v>-3.6541489999999999</v>
      </c>
      <c r="AJ1565" s="6">
        <v>-4.3243520000000002</v>
      </c>
      <c r="AK1565" s="6"/>
      <c r="AL1565" s="6"/>
      <c r="AM1565" s="6" t="e">
        <f t="shared" si="117"/>
        <v>#DIV/0!</v>
      </c>
    </row>
    <row r="1566" spans="29:39" x14ac:dyDescent="0.3">
      <c r="AC1566">
        <f t="shared" si="116"/>
        <v>0</v>
      </c>
      <c r="AD1566">
        <v>1563</v>
      </c>
      <c r="AE1566" s="4">
        <f t="shared" si="114"/>
        <v>42500</v>
      </c>
      <c r="AF1566" s="6" t="e">
        <f t="shared" si="115"/>
        <v>#DIV/0!</v>
      </c>
      <c r="AG1566" s="4">
        <v>42500</v>
      </c>
      <c r="AH1566" s="6">
        <v>0.11407200000000001</v>
      </c>
      <c r="AI1566" s="6">
        <v>-8.2721000000000003E-2</v>
      </c>
      <c r="AJ1566" s="6">
        <v>-0.24609200000000001</v>
      </c>
      <c r="AK1566" s="6"/>
      <c r="AL1566" s="6"/>
      <c r="AM1566" s="6" t="e">
        <f t="shared" si="117"/>
        <v>#DIV/0!</v>
      </c>
    </row>
    <row r="1567" spans="29:39" x14ac:dyDescent="0.3">
      <c r="AC1567">
        <f t="shared" si="116"/>
        <v>0</v>
      </c>
      <c r="AD1567">
        <v>1564</v>
      </c>
      <c r="AE1567" s="4">
        <f t="shared" si="114"/>
        <v>42501</v>
      </c>
      <c r="AF1567" s="6" t="e">
        <f t="shared" si="115"/>
        <v>#DIV/0!</v>
      </c>
      <c r="AG1567" s="4">
        <v>42501</v>
      </c>
      <c r="AH1567" s="6">
        <v>0.44625900000000002</v>
      </c>
      <c r="AI1567" s="6">
        <v>-0.26983800000000002</v>
      </c>
      <c r="AJ1567" s="6">
        <v>-0.94551099999999999</v>
      </c>
      <c r="AK1567" s="6"/>
      <c r="AL1567" s="6"/>
      <c r="AM1567" s="6" t="e">
        <f t="shared" si="117"/>
        <v>#DIV/0!</v>
      </c>
    </row>
    <row r="1568" spans="29:39" x14ac:dyDescent="0.3">
      <c r="AC1568">
        <f t="shared" si="116"/>
        <v>0</v>
      </c>
      <c r="AD1568">
        <v>1565</v>
      </c>
      <c r="AE1568" s="4">
        <f t="shared" si="114"/>
        <v>42502</v>
      </c>
      <c r="AF1568" s="6" t="e">
        <f t="shared" si="115"/>
        <v>#DIV/0!</v>
      </c>
      <c r="AG1568" s="4">
        <v>42502</v>
      </c>
      <c r="AH1568" s="6">
        <v>0.23772499999999999</v>
      </c>
      <c r="AI1568" s="6">
        <v>5.3204000000000001E-2</v>
      </c>
      <c r="AJ1568" s="6">
        <v>-2.6426000000000002E-2</v>
      </c>
      <c r="AK1568" s="6"/>
      <c r="AL1568" s="6"/>
      <c r="AM1568" s="6" t="e">
        <f t="shared" si="117"/>
        <v>#DIV/0!</v>
      </c>
    </row>
    <row r="1569" spans="29:39" x14ac:dyDescent="0.3">
      <c r="AC1569">
        <f t="shared" si="116"/>
        <v>0</v>
      </c>
      <c r="AD1569">
        <v>1566</v>
      </c>
      <c r="AE1569" s="4">
        <f t="shared" si="114"/>
        <v>42503</v>
      </c>
      <c r="AF1569" s="6" t="e">
        <f t="shared" si="115"/>
        <v>#DIV/0!</v>
      </c>
      <c r="AG1569" s="4">
        <v>42503</v>
      </c>
      <c r="AH1569" s="6">
        <v>-0.491956</v>
      </c>
      <c r="AI1569" s="6">
        <v>-0.21208199999999999</v>
      </c>
      <c r="AJ1569" s="6">
        <v>-0.19119700000000001</v>
      </c>
      <c r="AK1569" s="6"/>
      <c r="AL1569" s="6"/>
      <c r="AM1569" s="6" t="e">
        <f t="shared" si="117"/>
        <v>#DIV/0!</v>
      </c>
    </row>
    <row r="1570" spans="29:39" x14ac:dyDescent="0.3">
      <c r="AC1570">
        <f t="shared" si="116"/>
        <v>0</v>
      </c>
      <c r="AD1570">
        <v>1567</v>
      </c>
      <c r="AE1570" s="4">
        <f t="shared" si="114"/>
        <v>42506</v>
      </c>
      <c r="AF1570" s="6" t="e">
        <f t="shared" si="115"/>
        <v>#DIV/0!</v>
      </c>
      <c r="AG1570" s="4">
        <v>42506</v>
      </c>
      <c r="AH1570" s="6">
        <v>0.66256400000000004</v>
      </c>
      <c r="AI1570" s="6">
        <v>1.7190449999999999</v>
      </c>
      <c r="AJ1570" s="6">
        <v>1.975028</v>
      </c>
      <c r="AK1570" s="6"/>
      <c r="AL1570" s="6"/>
      <c r="AM1570" s="6" t="e">
        <f t="shared" si="117"/>
        <v>#DIV/0!</v>
      </c>
    </row>
    <row r="1571" spans="29:39" x14ac:dyDescent="0.3">
      <c r="AC1571">
        <f t="shared" si="116"/>
        <v>0</v>
      </c>
      <c r="AD1571">
        <v>1568</v>
      </c>
      <c r="AE1571" s="4">
        <f t="shared" si="114"/>
        <v>42507</v>
      </c>
      <c r="AF1571" s="6" t="e">
        <f t="shared" si="115"/>
        <v>#DIV/0!</v>
      </c>
      <c r="AG1571" s="4">
        <v>42507</v>
      </c>
      <c r="AH1571" s="6">
        <v>-0.299925</v>
      </c>
      <c r="AI1571" s="6">
        <v>-0.38194499999999998</v>
      </c>
      <c r="AJ1571" s="6">
        <v>4.4669999999999996E-3</v>
      </c>
      <c r="AK1571" s="6"/>
      <c r="AL1571" s="6"/>
      <c r="AM1571" s="6" t="e">
        <f t="shared" si="117"/>
        <v>#DIV/0!</v>
      </c>
    </row>
    <row r="1572" spans="29:39" x14ac:dyDescent="0.3">
      <c r="AC1572">
        <f t="shared" si="116"/>
        <v>0</v>
      </c>
      <c r="AD1572">
        <v>1569</v>
      </c>
      <c r="AE1572" s="4">
        <f t="shared" si="114"/>
        <v>42508</v>
      </c>
      <c r="AF1572" s="6" t="e">
        <f t="shared" si="115"/>
        <v>#DIV/0!</v>
      </c>
      <c r="AG1572" s="4">
        <v>42508</v>
      </c>
      <c r="AH1572" s="6">
        <v>-0.58292100000000002</v>
      </c>
      <c r="AI1572" s="6">
        <v>-2.7485240000000002</v>
      </c>
      <c r="AJ1572" s="6">
        <v>-3.1344259999999999</v>
      </c>
      <c r="AK1572" s="6"/>
      <c r="AL1572" s="6"/>
      <c r="AM1572" s="6" t="e">
        <f t="shared" si="117"/>
        <v>#DIV/0!</v>
      </c>
    </row>
    <row r="1573" spans="29:39" x14ac:dyDescent="0.3">
      <c r="AC1573">
        <f t="shared" si="116"/>
        <v>0</v>
      </c>
      <c r="AD1573">
        <v>1570</v>
      </c>
      <c r="AE1573" s="4">
        <f t="shared" si="114"/>
        <v>42509</v>
      </c>
      <c r="AF1573" s="6" t="e">
        <f t="shared" si="115"/>
        <v>#DIV/0!</v>
      </c>
      <c r="AG1573" s="4">
        <v>42509</v>
      </c>
      <c r="AH1573" s="6">
        <v>-0.18042800000000001</v>
      </c>
      <c r="AI1573" s="6">
        <v>0.631135</v>
      </c>
      <c r="AJ1573" s="6">
        <v>0.71785699999999997</v>
      </c>
      <c r="AK1573" s="6"/>
      <c r="AL1573" s="6"/>
      <c r="AM1573" s="6" t="e">
        <f t="shared" si="117"/>
        <v>#DIV/0!</v>
      </c>
    </row>
    <row r="1574" spans="29:39" x14ac:dyDescent="0.3">
      <c r="AC1574">
        <f t="shared" si="116"/>
        <v>0</v>
      </c>
      <c r="AD1574">
        <v>1571</v>
      </c>
      <c r="AE1574" s="4">
        <f t="shared" si="114"/>
        <v>42510</v>
      </c>
      <c r="AF1574" s="6" t="e">
        <f t="shared" si="115"/>
        <v>#DIV/0!</v>
      </c>
      <c r="AG1574" s="4">
        <v>42510</v>
      </c>
      <c r="AH1574" s="6">
        <v>0.51324400000000003</v>
      </c>
      <c r="AI1574" s="6">
        <v>1.1676690000000001</v>
      </c>
      <c r="AJ1574" s="6">
        <v>1.1949110000000001</v>
      </c>
      <c r="AK1574" s="6"/>
      <c r="AL1574" s="6"/>
      <c r="AM1574" s="6" t="e">
        <f t="shared" si="117"/>
        <v>#DIV/0!</v>
      </c>
    </row>
    <row r="1575" spans="29:39" x14ac:dyDescent="0.3">
      <c r="AC1575">
        <f t="shared" si="116"/>
        <v>0</v>
      </c>
      <c r="AD1575">
        <v>1572</v>
      </c>
      <c r="AE1575" s="4">
        <f t="shared" si="114"/>
        <v>42513</v>
      </c>
      <c r="AF1575" s="6" t="e">
        <f t="shared" si="115"/>
        <v>#DIV/0!</v>
      </c>
      <c r="AG1575" s="4">
        <v>42513</v>
      </c>
      <c r="AH1575" s="6">
        <v>0.29251300000000002</v>
      </c>
      <c r="AI1575" s="6">
        <v>1.335699</v>
      </c>
      <c r="AJ1575" s="6">
        <v>1.723298</v>
      </c>
      <c r="AK1575" s="6"/>
      <c r="AL1575" s="6"/>
      <c r="AM1575" s="6" t="e">
        <f t="shared" si="117"/>
        <v>#DIV/0!</v>
      </c>
    </row>
    <row r="1576" spans="29:39" x14ac:dyDescent="0.3">
      <c r="AC1576">
        <f t="shared" si="116"/>
        <v>0</v>
      </c>
      <c r="AD1576">
        <v>1573</v>
      </c>
      <c r="AE1576" s="4">
        <f t="shared" si="114"/>
        <v>42514</v>
      </c>
      <c r="AF1576" s="6" t="e">
        <f t="shared" si="115"/>
        <v>#DIV/0!</v>
      </c>
      <c r="AG1576" s="4">
        <v>42514</v>
      </c>
      <c r="AH1576" s="6">
        <v>-0.76660799999999996</v>
      </c>
      <c r="AI1576" s="6">
        <v>-1.141203</v>
      </c>
      <c r="AJ1576" s="6">
        <v>-1.0243899999999999</v>
      </c>
      <c r="AK1576" s="6"/>
      <c r="AL1576" s="6"/>
      <c r="AM1576" s="6" t="e">
        <f t="shared" si="117"/>
        <v>#DIV/0!</v>
      </c>
    </row>
    <row r="1577" spans="29:39" x14ac:dyDescent="0.3">
      <c r="AC1577">
        <f t="shared" si="116"/>
        <v>0</v>
      </c>
      <c r="AD1577">
        <v>1574</v>
      </c>
      <c r="AE1577" s="4">
        <f t="shared" si="114"/>
        <v>42515</v>
      </c>
      <c r="AF1577" s="6" t="e">
        <f t="shared" si="115"/>
        <v>#DIV/0!</v>
      </c>
      <c r="AG1577" s="4">
        <v>42515</v>
      </c>
      <c r="AH1577" s="6">
        <v>-0.14132900000000001</v>
      </c>
      <c r="AI1577" s="6">
        <v>-0.48744399999999999</v>
      </c>
      <c r="AJ1577" s="6">
        <v>-0.30258400000000002</v>
      </c>
      <c r="AK1577" s="6"/>
      <c r="AL1577" s="6"/>
      <c r="AM1577" s="6" t="e">
        <f t="shared" si="117"/>
        <v>#DIV/0!</v>
      </c>
    </row>
    <row r="1578" spans="29:39" x14ac:dyDescent="0.3">
      <c r="AC1578">
        <f t="shared" si="116"/>
        <v>0</v>
      </c>
      <c r="AD1578">
        <v>1575</v>
      </c>
      <c r="AE1578" s="4">
        <f t="shared" si="114"/>
        <v>42516</v>
      </c>
      <c r="AF1578" s="6" t="e">
        <f t="shared" si="115"/>
        <v>#DIV/0!</v>
      </c>
      <c r="AG1578" s="4">
        <v>42516</v>
      </c>
      <c r="AH1578" s="6">
        <v>0.16295599999999999</v>
      </c>
      <c r="AI1578" s="6">
        <v>0.51099300000000003</v>
      </c>
      <c r="AJ1578" s="6">
        <v>0.503664</v>
      </c>
      <c r="AK1578" s="6"/>
      <c r="AL1578" s="6"/>
      <c r="AM1578" s="6" t="e">
        <f t="shared" si="117"/>
        <v>#DIV/0!</v>
      </c>
    </row>
    <row r="1579" spans="29:39" x14ac:dyDescent="0.3">
      <c r="AC1579">
        <f t="shared" si="116"/>
        <v>0</v>
      </c>
      <c r="AD1579">
        <v>1576</v>
      </c>
      <c r="AE1579" s="4">
        <f t="shared" si="114"/>
        <v>42517</v>
      </c>
      <c r="AF1579" s="6" t="e">
        <f t="shared" si="115"/>
        <v>#DIV/0!</v>
      </c>
      <c r="AG1579" s="4">
        <v>42517</v>
      </c>
      <c r="AH1579" s="6">
        <v>-5.5863999999999997E-2</v>
      </c>
      <c r="AI1579" s="6">
        <v>-8.3523E-2</v>
      </c>
      <c r="AJ1579" s="6">
        <v>-0.209395</v>
      </c>
      <c r="AK1579" s="6"/>
      <c r="AL1579" s="6"/>
      <c r="AM1579" s="6" t="e">
        <f t="shared" si="117"/>
        <v>#DIV/0!</v>
      </c>
    </row>
    <row r="1580" spans="29:39" x14ac:dyDescent="0.3">
      <c r="AC1580">
        <f t="shared" si="116"/>
        <v>0</v>
      </c>
      <c r="AD1580">
        <v>1577</v>
      </c>
      <c r="AE1580" s="4">
        <f t="shared" si="114"/>
        <v>42520</v>
      </c>
      <c r="AF1580" s="6" t="e">
        <f t="shared" si="115"/>
        <v>#DIV/0!</v>
      </c>
      <c r="AG1580" s="4">
        <v>42520</v>
      </c>
      <c r="AH1580" s="6">
        <v>0.13747599999999999</v>
      </c>
      <c r="AI1580" s="6">
        <v>-0.492622</v>
      </c>
      <c r="AJ1580" s="6">
        <v>-0.57206699999999999</v>
      </c>
      <c r="AK1580" s="6"/>
      <c r="AL1580" s="6"/>
      <c r="AM1580" s="6" t="e">
        <f t="shared" si="117"/>
        <v>#DIV/0!</v>
      </c>
    </row>
    <row r="1581" spans="29:39" x14ac:dyDescent="0.3">
      <c r="AC1581">
        <f t="shared" si="116"/>
        <v>0</v>
      </c>
      <c r="AD1581">
        <v>1578</v>
      </c>
      <c r="AE1581" s="4">
        <f t="shared" si="114"/>
        <v>42521</v>
      </c>
      <c r="AF1581" s="6" t="e">
        <f t="shared" si="115"/>
        <v>#DIV/0!</v>
      </c>
      <c r="AG1581" s="4">
        <v>42521</v>
      </c>
      <c r="AH1581" s="6">
        <v>3.3537669999999999</v>
      </c>
      <c r="AI1581" s="6">
        <v>4.1322739999999998</v>
      </c>
      <c r="AJ1581" s="6">
        <v>4.1939099999999998</v>
      </c>
      <c r="AK1581" s="6"/>
      <c r="AL1581" s="6"/>
      <c r="AM1581" s="6" t="e">
        <f t="shared" si="117"/>
        <v>#DIV/0!</v>
      </c>
    </row>
    <row r="1582" spans="29:39" x14ac:dyDescent="0.3">
      <c r="AC1582">
        <f t="shared" si="116"/>
        <v>0</v>
      </c>
      <c r="AD1582">
        <v>1579</v>
      </c>
      <c r="AE1582" s="4">
        <f t="shared" si="114"/>
        <v>42522</v>
      </c>
      <c r="AF1582" s="6" t="e">
        <f t="shared" si="115"/>
        <v>#DIV/0!</v>
      </c>
      <c r="AG1582" s="4">
        <v>42522</v>
      </c>
      <c r="AH1582" s="6">
        <v>-0.28435500000000002</v>
      </c>
      <c r="AI1582" s="6">
        <v>0.44486399999999998</v>
      </c>
      <c r="AJ1582" s="6">
        <v>0.89002000000000003</v>
      </c>
      <c r="AK1582" s="6"/>
      <c r="AL1582" s="6"/>
      <c r="AM1582" s="6" t="e">
        <f t="shared" si="117"/>
        <v>#DIV/0!</v>
      </c>
    </row>
    <row r="1583" spans="29:39" x14ac:dyDescent="0.3">
      <c r="AC1583">
        <f t="shared" si="116"/>
        <v>0</v>
      </c>
      <c r="AD1583">
        <v>1580</v>
      </c>
      <c r="AE1583" s="4">
        <f t="shared" si="114"/>
        <v>42523</v>
      </c>
      <c r="AF1583" s="6" t="e">
        <f t="shared" si="115"/>
        <v>#DIV/0!</v>
      </c>
      <c r="AG1583" s="4">
        <v>42523</v>
      </c>
      <c r="AH1583" s="6">
        <v>0.20732800000000001</v>
      </c>
      <c r="AI1583" s="6">
        <v>0.67150600000000005</v>
      </c>
      <c r="AJ1583" s="6">
        <v>1.196</v>
      </c>
      <c r="AK1583" s="6"/>
      <c r="AL1583" s="6"/>
      <c r="AM1583" s="6" t="e">
        <f t="shared" si="117"/>
        <v>#DIV/0!</v>
      </c>
    </row>
    <row r="1584" spans="29:39" x14ac:dyDescent="0.3">
      <c r="AC1584">
        <f t="shared" si="116"/>
        <v>0</v>
      </c>
      <c r="AD1584">
        <v>1581</v>
      </c>
      <c r="AE1584" s="4">
        <f t="shared" si="114"/>
        <v>42524</v>
      </c>
      <c r="AF1584" s="6" t="e">
        <f t="shared" si="115"/>
        <v>#DIV/0!</v>
      </c>
      <c r="AG1584" s="4">
        <v>42524</v>
      </c>
      <c r="AH1584" s="6">
        <v>0.70177100000000003</v>
      </c>
      <c r="AI1584" s="6">
        <v>0.31109300000000001</v>
      </c>
      <c r="AJ1584" s="6">
        <v>0.26681899999999997</v>
      </c>
      <c r="AK1584" s="6"/>
      <c r="AL1584" s="6"/>
      <c r="AM1584" s="6" t="e">
        <f t="shared" si="117"/>
        <v>#DIV/0!</v>
      </c>
    </row>
    <row r="1585" spans="29:39" x14ac:dyDescent="0.3">
      <c r="AC1585">
        <f t="shared" si="116"/>
        <v>0</v>
      </c>
      <c r="AD1585">
        <v>1582</v>
      </c>
      <c r="AE1585" s="4">
        <f t="shared" si="114"/>
        <v>42527</v>
      </c>
      <c r="AF1585" s="6" t="e">
        <f t="shared" si="115"/>
        <v>#DIV/0!</v>
      </c>
      <c r="AG1585" s="4">
        <v>42527</v>
      </c>
      <c r="AH1585" s="6">
        <v>-0.33039000000000002</v>
      </c>
      <c r="AI1585" s="6">
        <v>0.31920700000000002</v>
      </c>
      <c r="AJ1585" s="6">
        <v>0.36593700000000001</v>
      </c>
      <c r="AK1585" s="6"/>
      <c r="AL1585" s="6"/>
      <c r="AM1585" s="6" t="e">
        <f t="shared" si="117"/>
        <v>#DIV/0!</v>
      </c>
    </row>
    <row r="1586" spans="29:39" x14ac:dyDescent="0.3">
      <c r="AC1586">
        <f t="shared" si="116"/>
        <v>0</v>
      </c>
      <c r="AD1586">
        <v>1583</v>
      </c>
      <c r="AE1586" s="4">
        <f t="shared" si="114"/>
        <v>42528</v>
      </c>
      <c r="AF1586" s="6" t="e">
        <f t="shared" si="115"/>
        <v>#DIV/0!</v>
      </c>
      <c r="AG1586" s="4">
        <v>42528</v>
      </c>
      <c r="AH1586" s="6">
        <v>-5.4571000000000001E-2</v>
      </c>
      <c r="AI1586" s="6">
        <v>-0.107445</v>
      </c>
      <c r="AJ1586" s="6">
        <v>0.144816</v>
      </c>
      <c r="AK1586" s="6"/>
      <c r="AL1586" s="6"/>
      <c r="AM1586" s="6" t="e">
        <f t="shared" si="117"/>
        <v>#DIV/0!</v>
      </c>
    </row>
    <row r="1587" spans="29:39" x14ac:dyDescent="0.3">
      <c r="AC1587">
        <f t="shared" si="116"/>
        <v>0</v>
      </c>
      <c r="AD1587">
        <v>1584</v>
      </c>
      <c r="AE1587" s="4">
        <f t="shared" si="114"/>
        <v>42529</v>
      </c>
      <c r="AF1587" s="6" t="e">
        <f t="shared" si="115"/>
        <v>#DIV/0!</v>
      </c>
      <c r="AG1587" s="4">
        <v>42529</v>
      </c>
      <c r="AH1587" s="6">
        <v>-0.41129900000000003</v>
      </c>
      <c r="AI1587" s="6">
        <v>-0.35530600000000001</v>
      </c>
      <c r="AJ1587" s="6">
        <v>-3.2927999999999999E-2</v>
      </c>
      <c r="AK1587" s="6"/>
      <c r="AL1587" s="6"/>
      <c r="AM1587" s="6" t="e">
        <f t="shared" si="117"/>
        <v>#DIV/0!</v>
      </c>
    </row>
    <row r="1588" spans="29:39" x14ac:dyDescent="0.3">
      <c r="AC1588">
        <f t="shared" si="116"/>
        <v>0</v>
      </c>
      <c r="AD1588">
        <v>1585</v>
      </c>
      <c r="AE1588" s="4">
        <f t="shared" si="114"/>
        <v>42534</v>
      </c>
      <c r="AF1588" s="6" t="e">
        <f t="shared" si="115"/>
        <v>#DIV/0!</v>
      </c>
      <c r="AG1588" s="4">
        <v>42534</v>
      </c>
      <c r="AH1588" s="6">
        <v>-3.0861420000000002</v>
      </c>
      <c r="AI1588" s="6">
        <v>-4.6055679999999999</v>
      </c>
      <c r="AJ1588" s="6">
        <v>-5.112412</v>
      </c>
      <c r="AK1588" s="6"/>
      <c r="AL1588" s="6"/>
      <c r="AM1588" s="6" t="e">
        <f t="shared" si="117"/>
        <v>#DIV/0!</v>
      </c>
    </row>
    <row r="1589" spans="29:39" x14ac:dyDescent="0.3">
      <c r="AC1589">
        <f t="shared" si="116"/>
        <v>0</v>
      </c>
      <c r="AD1589">
        <v>1586</v>
      </c>
      <c r="AE1589" s="4">
        <f t="shared" si="114"/>
        <v>42535</v>
      </c>
      <c r="AF1589" s="6" t="e">
        <f t="shared" si="115"/>
        <v>#DIV/0!</v>
      </c>
      <c r="AG1589" s="4">
        <v>42535</v>
      </c>
      <c r="AH1589" s="6">
        <v>0.31445000000000001</v>
      </c>
      <c r="AI1589" s="6">
        <v>0.28395599999999999</v>
      </c>
      <c r="AJ1589" s="6">
        <v>0.47208299999999997</v>
      </c>
      <c r="AK1589" s="6"/>
      <c r="AL1589" s="6"/>
      <c r="AM1589" s="6" t="e">
        <f t="shared" si="117"/>
        <v>#DIV/0!</v>
      </c>
    </row>
    <row r="1590" spans="29:39" x14ac:dyDescent="0.3">
      <c r="AC1590">
        <f t="shared" si="116"/>
        <v>0</v>
      </c>
      <c r="AD1590">
        <v>1587</v>
      </c>
      <c r="AE1590" s="4">
        <f t="shared" si="114"/>
        <v>42536</v>
      </c>
      <c r="AF1590" s="6" t="e">
        <f t="shared" si="115"/>
        <v>#DIV/0!</v>
      </c>
      <c r="AG1590" s="4">
        <v>42536</v>
      </c>
      <c r="AH1590" s="6">
        <v>1.312907</v>
      </c>
      <c r="AI1590" s="6">
        <v>3.298502</v>
      </c>
      <c r="AJ1590" s="6">
        <v>3.7562609999999999</v>
      </c>
      <c r="AK1590" s="6"/>
      <c r="AL1590" s="6"/>
      <c r="AM1590" s="6" t="e">
        <f t="shared" si="117"/>
        <v>#DIV/0!</v>
      </c>
    </row>
    <row r="1591" spans="29:39" x14ac:dyDescent="0.3">
      <c r="AC1591">
        <f t="shared" si="116"/>
        <v>0</v>
      </c>
      <c r="AD1591">
        <v>1588</v>
      </c>
      <c r="AE1591" s="4">
        <f t="shared" si="114"/>
        <v>42537</v>
      </c>
      <c r="AF1591" s="6" t="e">
        <f t="shared" si="115"/>
        <v>#DIV/0!</v>
      </c>
      <c r="AG1591" s="4">
        <v>42537</v>
      </c>
      <c r="AH1591" s="6">
        <v>-0.69611199999999995</v>
      </c>
      <c r="AI1591" s="6">
        <v>-0.37462099999999998</v>
      </c>
      <c r="AJ1591" s="6">
        <v>0.209756</v>
      </c>
      <c r="AK1591" s="6"/>
      <c r="AL1591" s="6"/>
      <c r="AM1591" s="6" t="e">
        <f t="shared" si="117"/>
        <v>#DIV/0!</v>
      </c>
    </row>
    <row r="1592" spans="29:39" x14ac:dyDescent="0.3">
      <c r="AC1592">
        <f t="shared" si="116"/>
        <v>0</v>
      </c>
      <c r="AD1592">
        <v>1589</v>
      </c>
      <c r="AE1592" s="4">
        <f t="shared" si="114"/>
        <v>42538</v>
      </c>
      <c r="AF1592" s="6" t="e">
        <f t="shared" si="115"/>
        <v>#DIV/0!</v>
      </c>
      <c r="AG1592" s="4">
        <v>42538</v>
      </c>
      <c r="AH1592" s="6">
        <v>0.50675400000000004</v>
      </c>
      <c r="AI1592" s="6">
        <v>0.56869999999999998</v>
      </c>
      <c r="AJ1592" s="6">
        <v>0.67567699999999997</v>
      </c>
      <c r="AK1592" s="6"/>
      <c r="AL1592" s="6"/>
      <c r="AM1592" s="6" t="e">
        <f t="shared" si="117"/>
        <v>#DIV/0!</v>
      </c>
    </row>
    <row r="1593" spans="29:39" x14ac:dyDescent="0.3">
      <c r="AC1593">
        <f t="shared" si="116"/>
        <v>0</v>
      </c>
      <c r="AD1593">
        <v>1590</v>
      </c>
      <c r="AE1593" s="4">
        <f t="shared" si="114"/>
        <v>42541</v>
      </c>
      <c r="AF1593" s="6" t="e">
        <f t="shared" si="115"/>
        <v>#DIV/0!</v>
      </c>
      <c r="AG1593" s="4">
        <v>42541</v>
      </c>
      <c r="AH1593" s="6">
        <v>7.4498999999999996E-2</v>
      </c>
      <c r="AI1593" s="6">
        <v>0.35707100000000003</v>
      </c>
      <c r="AJ1593" s="6">
        <v>0.51606099999999999</v>
      </c>
      <c r="AK1593" s="6"/>
      <c r="AL1593" s="6"/>
      <c r="AM1593" s="6" t="e">
        <f t="shared" si="117"/>
        <v>#DIV/0!</v>
      </c>
    </row>
    <row r="1594" spans="29:39" x14ac:dyDescent="0.3">
      <c r="AC1594">
        <f t="shared" si="116"/>
        <v>0</v>
      </c>
      <c r="AD1594">
        <v>1591</v>
      </c>
      <c r="AE1594" s="4">
        <f t="shared" si="114"/>
        <v>42542</v>
      </c>
      <c r="AF1594" s="6" t="e">
        <f t="shared" si="115"/>
        <v>#DIV/0!</v>
      </c>
      <c r="AG1594" s="4">
        <v>42542</v>
      </c>
      <c r="AH1594" s="6">
        <v>-0.20422599999999999</v>
      </c>
      <c r="AI1594" s="6">
        <v>-1.148862</v>
      </c>
      <c r="AJ1594" s="6">
        <v>-1.267091</v>
      </c>
      <c r="AK1594" s="6"/>
      <c r="AL1594" s="6"/>
      <c r="AM1594" s="6" t="e">
        <f t="shared" si="117"/>
        <v>#DIV/0!</v>
      </c>
    </row>
    <row r="1595" spans="29:39" x14ac:dyDescent="0.3">
      <c r="AC1595">
        <f t="shared" si="116"/>
        <v>0</v>
      </c>
      <c r="AD1595">
        <v>1592</v>
      </c>
      <c r="AE1595" s="4">
        <f t="shared" si="114"/>
        <v>42543</v>
      </c>
      <c r="AF1595" s="6" t="e">
        <f t="shared" si="115"/>
        <v>#DIV/0!</v>
      </c>
      <c r="AG1595" s="4">
        <v>42543</v>
      </c>
      <c r="AH1595" s="6">
        <v>0.88991500000000001</v>
      </c>
      <c r="AI1595" s="6">
        <v>1.5562879999999999</v>
      </c>
      <c r="AJ1595" s="6">
        <v>1.9492989999999999</v>
      </c>
      <c r="AK1595" s="6"/>
      <c r="AL1595" s="6"/>
      <c r="AM1595" s="6" t="e">
        <f t="shared" si="117"/>
        <v>#DIV/0!</v>
      </c>
    </row>
    <row r="1596" spans="29:39" x14ac:dyDescent="0.3">
      <c r="AC1596">
        <f t="shared" si="116"/>
        <v>0</v>
      </c>
      <c r="AD1596">
        <v>1593</v>
      </c>
      <c r="AE1596" s="4">
        <f t="shared" si="114"/>
        <v>42544</v>
      </c>
      <c r="AF1596" s="6" t="e">
        <f t="shared" si="115"/>
        <v>#DIV/0!</v>
      </c>
      <c r="AG1596" s="4">
        <v>42544</v>
      </c>
      <c r="AH1596" s="6">
        <v>-0.53109499999999998</v>
      </c>
      <c r="AI1596" s="6">
        <v>-0.51110999999999995</v>
      </c>
      <c r="AJ1596" s="6">
        <v>-0.208645</v>
      </c>
      <c r="AK1596" s="6"/>
      <c r="AL1596" s="6"/>
      <c r="AM1596" s="6" t="e">
        <f t="shared" si="117"/>
        <v>#DIV/0!</v>
      </c>
    </row>
    <row r="1597" spans="29:39" x14ac:dyDescent="0.3">
      <c r="AC1597">
        <f t="shared" si="116"/>
        <v>0</v>
      </c>
      <c r="AD1597">
        <v>1594</v>
      </c>
      <c r="AE1597" s="4">
        <f t="shared" si="114"/>
        <v>42545</v>
      </c>
      <c r="AF1597" s="6" t="e">
        <f t="shared" si="115"/>
        <v>#DIV/0!</v>
      </c>
      <c r="AG1597" s="4">
        <v>42545</v>
      </c>
      <c r="AH1597" s="6">
        <v>-1.288332</v>
      </c>
      <c r="AI1597" s="6">
        <v>-1.2470950000000001</v>
      </c>
      <c r="AJ1597" s="6">
        <v>-0.78812400000000005</v>
      </c>
      <c r="AK1597" s="6"/>
      <c r="AL1597" s="6"/>
      <c r="AM1597" s="6" t="e">
        <f t="shared" si="117"/>
        <v>#DIV/0!</v>
      </c>
    </row>
    <row r="1598" spans="29:39" x14ac:dyDescent="0.3">
      <c r="AC1598">
        <f t="shared" si="116"/>
        <v>0</v>
      </c>
      <c r="AD1598">
        <v>1595</v>
      </c>
      <c r="AE1598" s="4">
        <f t="shared" si="114"/>
        <v>42548</v>
      </c>
      <c r="AF1598" s="6" t="e">
        <f t="shared" si="115"/>
        <v>#DIV/0!</v>
      </c>
      <c r="AG1598" s="4">
        <v>42548</v>
      </c>
      <c r="AH1598" s="6">
        <v>1.4100330000000001</v>
      </c>
      <c r="AI1598" s="6">
        <v>2.3815710000000001</v>
      </c>
      <c r="AJ1598" s="6">
        <v>2.5785130000000001</v>
      </c>
      <c r="AK1598" s="6"/>
      <c r="AL1598" s="6"/>
      <c r="AM1598" s="6" t="e">
        <f t="shared" si="117"/>
        <v>#DIV/0!</v>
      </c>
    </row>
    <row r="1599" spans="29:39" x14ac:dyDescent="0.3">
      <c r="AC1599">
        <f t="shared" si="116"/>
        <v>0</v>
      </c>
      <c r="AD1599">
        <v>1596</v>
      </c>
      <c r="AE1599" s="4">
        <f t="shared" si="114"/>
        <v>42549</v>
      </c>
      <c r="AF1599" s="6" t="e">
        <f t="shared" si="115"/>
        <v>#DIV/0!</v>
      </c>
      <c r="AG1599" s="4">
        <v>42549</v>
      </c>
      <c r="AH1599" s="6">
        <v>0.50814899999999996</v>
      </c>
      <c r="AI1599" s="6">
        <v>1.047139</v>
      </c>
      <c r="AJ1599" s="6">
        <v>0.97194599999999998</v>
      </c>
      <c r="AK1599" s="6"/>
      <c r="AL1599" s="6"/>
      <c r="AM1599" s="6" t="e">
        <f t="shared" si="117"/>
        <v>#DIV/0!</v>
      </c>
    </row>
    <row r="1600" spans="29:39" x14ac:dyDescent="0.3">
      <c r="AC1600">
        <f t="shared" si="116"/>
        <v>0</v>
      </c>
      <c r="AD1600">
        <v>1597</v>
      </c>
      <c r="AE1600" s="4">
        <f t="shared" si="114"/>
        <v>42550</v>
      </c>
      <c r="AF1600" s="6" t="e">
        <f t="shared" si="115"/>
        <v>#DIV/0!</v>
      </c>
      <c r="AG1600" s="4">
        <v>42550</v>
      </c>
      <c r="AH1600" s="6">
        <v>0.47788799999999998</v>
      </c>
      <c r="AI1600" s="6">
        <v>0.20780299999999999</v>
      </c>
      <c r="AJ1600" s="6">
        <v>0.178896</v>
      </c>
      <c r="AK1600" s="6"/>
      <c r="AL1600" s="6"/>
      <c r="AM1600" s="6" t="e">
        <f t="shared" si="117"/>
        <v>#DIV/0!</v>
      </c>
    </row>
    <row r="1601" spans="29:39" x14ac:dyDescent="0.3">
      <c r="AC1601">
        <f t="shared" si="116"/>
        <v>0</v>
      </c>
      <c r="AD1601">
        <v>1598</v>
      </c>
      <c r="AE1601" s="4">
        <f t="shared" si="114"/>
        <v>42551</v>
      </c>
      <c r="AF1601" s="6" t="e">
        <f t="shared" si="115"/>
        <v>#DIV/0!</v>
      </c>
      <c r="AG1601" s="4">
        <v>42551</v>
      </c>
      <c r="AH1601" s="6">
        <v>8.0320000000000003E-2</v>
      </c>
      <c r="AI1601" s="6">
        <v>5.3786E-2</v>
      </c>
      <c r="AJ1601" s="6">
        <v>-5.3920999999999997E-2</v>
      </c>
      <c r="AK1601" s="6"/>
      <c r="AL1601" s="6"/>
      <c r="AM1601" s="6" t="e">
        <f t="shared" si="117"/>
        <v>#DIV/0!</v>
      </c>
    </row>
    <row r="1602" spans="29:39" x14ac:dyDescent="0.3">
      <c r="AC1602">
        <f t="shared" si="116"/>
        <v>0</v>
      </c>
      <c r="AD1602">
        <v>1599</v>
      </c>
      <c r="AE1602" s="4">
        <f t="shared" si="114"/>
        <v>42552</v>
      </c>
      <c r="AF1602" s="6" t="e">
        <f t="shared" si="115"/>
        <v>#DIV/0!</v>
      </c>
      <c r="AG1602" s="4">
        <v>42552</v>
      </c>
      <c r="AH1602" s="6">
        <v>8.8559999999999993E-3</v>
      </c>
      <c r="AI1602" s="6">
        <v>-0.19523799999999999</v>
      </c>
      <c r="AJ1602" s="6">
        <v>-0.34986200000000001</v>
      </c>
      <c r="AK1602" s="6"/>
      <c r="AL1602" s="6"/>
      <c r="AM1602" s="6" t="e">
        <f t="shared" si="117"/>
        <v>#DIV/0!</v>
      </c>
    </row>
    <row r="1603" spans="29:39" x14ac:dyDescent="0.3">
      <c r="AC1603">
        <f t="shared" si="116"/>
        <v>0</v>
      </c>
      <c r="AD1603">
        <v>1600</v>
      </c>
      <c r="AE1603" s="4">
        <f t="shared" si="114"/>
        <v>42555</v>
      </c>
      <c r="AF1603" s="6" t="e">
        <f t="shared" si="115"/>
        <v>#DIV/0!</v>
      </c>
      <c r="AG1603" s="4">
        <v>42555</v>
      </c>
      <c r="AH1603" s="6">
        <v>1.6009100000000001</v>
      </c>
      <c r="AI1603" s="6">
        <v>1.9691050000000001</v>
      </c>
      <c r="AJ1603" s="6">
        <v>1.8776539999999999</v>
      </c>
      <c r="AK1603" s="6"/>
      <c r="AL1603" s="6"/>
      <c r="AM1603" s="6" t="e">
        <f t="shared" si="117"/>
        <v>#DIV/0!</v>
      </c>
    </row>
    <row r="1604" spans="29:39" x14ac:dyDescent="0.3">
      <c r="AC1604">
        <f t="shared" si="116"/>
        <v>0</v>
      </c>
      <c r="AD1604">
        <v>1601</v>
      </c>
      <c r="AE1604" s="4">
        <f t="shared" si="114"/>
        <v>42556</v>
      </c>
      <c r="AF1604" s="6" t="e">
        <f t="shared" si="115"/>
        <v>#DIV/0!</v>
      </c>
      <c r="AG1604" s="4">
        <v>42556</v>
      </c>
      <c r="AH1604" s="6">
        <v>8.3830000000000002E-2</v>
      </c>
      <c r="AI1604" s="6">
        <v>0.60372599999999998</v>
      </c>
      <c r="AJ1604" s="6">
        <v>0.45942300000000003</v>
      </c>
      <c r="AK1604" s="6"/>
      <c r="AL1604" s="6"/>
      <c r="AM1604" s="6" t="e">
        <f t="shared" si="117"/>
        <v>#DIV/0!</v>
      </c>
    </row>
    <row r="1605" spans="29:39" x14ac:dyDescent="0.3">
      <c r="AC1605">
        <f t="shared" si="116"/>
        <v>0</v>
      </c>
      <c r="AD1605">
        <v>1602</v>
      </c>
      <c r="AE1605" s="4">
        <f t="shared" ref="AE1605:AE1668" si="118">AG1605</f>
        <v>42557</v>
      </c>
      <c r="AF1605" s="6" t="e">
        <f t="shared" ref="AF1605:AF1668" si="119">AM1605</f>
        <v>#DIV/0!</v>
      </c>
      <c r="AG1605" s="4">
        <v>42557</v>
      </c>
      <c r="AH1605" s="6">
        <v>0.29372199999999998</v>
      </c>
      <c r="AI1605" s="6">
        <v>0.44488800000000001</v>
      </c>
      <c r="AJ1605" s="6">
        <v>0.36228199999999999</v>
      </c>
      <c r="AK1605" s="6"/>
      <c r="AL1605" s="6"/>
      <c r="AM1605" s="6" t="e">
        <f t="shared" si="117"/>
        <v>#DIV/0!</v>
      </c>
    </row>
    <row r="1606" spans="29:39" x14ac:dyDescent="0.3">
      <c r="AC1606">
        <f t="shared" ref="AC1606:AC1669" si="120">IF(AE1606&lt;=AE1605,1,0)</f>
        <v>0</v>
      </c>
      <c r="AD1606">
        <v>1603</v>
      </c>
      <c r="AE1606" s="4">
        <f t="shared" si="118"/>
        <v>42558</v>
      </c>
      <c r="AF1606" s="6" t="e">
        <f t="shared" si="119"/>
        <v>#DIV/0!</v>
      </c>
      <c r="AG1606" s="4">
        <v>42558</v>
      </c>
      <c r="AH1606" s="6">
        <v>-0.212923</v>
      </c>
      <c r="AI1606" s="6">
        <v>0.35563400000000001</v>
      </c>
      <c r="AJ1606" s="6">
        <v>7.9783999999999994E-2</v>
      </c>
      <c r="AK1606" s="6"/>
      <c r="AL1606" s="6"/>
      <c r="AM1606" s="6" t="e">
        <f t="shared" ref="AM1606:AM1669" si="121">(AL1606/AL1605-1)*100</f>
        <v>#DIV/0!</v>
      </c>
    </row>
    <row r="1607" spans="29:39" x14ac:dyDescent="0.3">
      <c r="AC1607">
        <f t="shared" si="120"/>
        <v>0</v>
      </c>
      <c r="AD1607">
        <v>1604</v>
      </c>
      <c r="AE1607" s="4">
        <f t="shared" si="118"/>
        <v>42559</v>
      </c>
      <c r="AF1607" s="6" t="e">
        <f t="shared" si="119"/>
        <v>#DIV/0!</v>
      </c>
      <c r="AG1607" s="4">
        <v>42559</v>
      </c>
      <c r="AH1607" s="6">
        <v>-0.55059400000000003</v>
      </c>
      <c r="AI1607" s="6">
        <v>-0.31550600000000001</v>
      </c>
      <c r="AJ1607" s="6">
        <v>-0.167709</v>
      </c>
      <c r="AK1607" s="6"/>
      <c r="AL1607" s="6"/>
      <c r="AM1607" s="6" t="e">
        <f t="shared" si="121"/>
        <v>#DIV/0!</v>
      </c>
    </row>
    <row r="1608" spans="29:39" x14ac:dyDescent="0.3">
      <c r="AC1608">
        <f t="shared" si="120"/>
        <v>0</v>
      </c>
      <c r="AD1608">
        <v>1605</v>
      </c>
      <c r="AE1608" s="4">
        <f t="shared" si="118"/>
        <v>42562</v>
      </c>
      <c r="AF1608" s="6" t="e">
        <f t="shared" si="119"/>
        <v>#DIV/0!</v>
      </c>
      <c r="AG1608" s="4">
        <v>42562</v>
      </c>
      <c r="AH1608" s="6">
        <v>0.34612900000000002</v>
      </c>
      <c r="AI1608" s="6">
        <v>0.20072699999999999</v>
      </c>
      <c r="AJ1608" s="6">
        <v>-0.71887500000000004</v>
      </c>
      <c r="AK1608" s="6"/>
      <c r="AL1608" s="6"/>
      <c r="AM1608" s="6" t="e">
        <f t="shared" si="121"/>
        <v>#DIV/0!</v>
      </c>
    </row>
    <row r="1609" spans="29:39" x14ac:dyDescent="0.3">
      <c r="AC1609">
        <f t="shared" si="120"/>
        <v>0</v>
      </c>
      <c r="AD1609">
        <v>1606</v>
      </c>
      <c r="AE1609" s="4">
        <f t="shared" si="118"/>
        <v>42563</v>
      </c>
      <c r="AF1609" s="6" t="e">
        <f t="shared" si="119"/>
        <v>#DIV/0!</v>
      </c>
      <c r="AG1609" s="4">
        <v>42563</v>
      </c>
      <c r="AH1609" s="6">
        <v>2.1806220000000001</v>
      </c>
      <c r="AI1609" s="6">
        <v>1.3092440000000001</v>
      </c>
      <c r="AJ1609" s="6">
        <v>0.76696500000000001</v>
      </c>
      <c r="AK1609" s="6"/>
      <c r="AL1609" s="6"/>
      <c r="AM1609" s="6" t="e">
        <f t="shared" si="121"/>
        <v>#DIV/0!</v>
      </c>
    </row>
    <row r="1610" spans="29:39" x14ac:dyDescent="0.3">
      <c r="AC1610">
        <f t="shared" si="120"/>
        <v>0</v>
      </c>
      <c r="AD1610">
        <v>1607</v>
      </c>
      <c r="AE1610" s="4">
        <f t="shared" si="118"/>
        <v>42564</v>
      </c>
      <c r="AF1610" s="6" t="e">
        <f t="shared" si="119"/>
        <v>#DIV/0!</v>
      </c>
      <c r="AG1610" s="4">
        <v>42564</v>
      </c>
      <c r="AH1610" s="6">
        <v>0.29591400000000001</v>
      </c>
      <c r="AI1610" s="6">
        <v>0.80402600000000002</v>
      </c>
      <c r="AJ1610" s="6">
        <v>0.89647200000000005</v>
      </c>
      <c r="AK1610" s="6"/>
      <c r="AL1610" s="6"/>
      <c r="AM1610" s="6" t="e">
        <f t="shared" si="121"/>
        <v>#DIV/0!</v>
      </c>
    </row>
    <row r="1611" spans="29:39" x14ac:dyDescent="0.3">
      <c r="AC1611">
        <f t="shared" si="120"/>
        <v>0</v>
      </c>
      <c r="AD1611">
        <v>1608</v>
      </c>
      <c r="AE1611" s="4">
        <f t="shared" si="118"/>
        <v>42565</v>
      </c>
      <c r="AF1611" s="6" t="e">
        <f t="shared" si="119"/>
        <v>#DIV/0!</v>
      </c>
      <c r="AG1611" s="4">
        <v>42565</v>
      </c>
      <c r="AH1611" s="6">
        <v>-0.185947</v>
      </c>
      <c r="AI1611" s="6">
        <v>0.13990900000000001</v>
      </c>
      <c r="AJ1611" s="6">
        <v>0.21640100000000001</v>
      </c>
      <c r="AK1611" s="6"/>
      <c r="AL1611" s="6"/>
      <c r="AM1611" s="6" t="e">
        <f t="shared" si="121"/>
        <v>#DIV/0!</v>
      </c>
    </row>
    <row r="1612" spans="29:39" x14ac:dyDescent="0.3">
      <c r="AC1612">
        <f t="shared" si="120"/>
        <v>0</v>
      </c>
      <c r="AD1612">
        <v>1609</v>
      </c>
      <c r="AE1612" s="4">
        <f t="shared" si="118"/>
        <v>42566</v>
      </c>
      <c r="AF1612" s="6" t="e">
        <f t="shared" si="119"/>
        <v>#DIV/0!</v>
      </c>
      <c r="AG1612" s="4">
        <v>42566</v>
      </c>
      <c r="AH1612" s="6">
        <v>-1.4838E-2</v>
      </c>
      <c r="AI1612" s="6">
        <v>-0.22564699999999999</v>
      </c>
      <c r="AJ1612" s="6">
        <v>-0.662157</v>
      </c>
      <c r="AK1612" s="6"/>
      <c r="AL1612" s="6"/>
      <c r="AM1612" s="6" t="e">
        <f t="shared" si="121"/>
        <v>#DIV/0!</v>
      </c>
    </row>
    <row r="1613" spans="29:39" x14ac:dyDescent="0.3">
      <c r="AC1613">
        <f t="shared" si="120"/>
        <v>0</v>
      </c>
      <c r="AD1613">
        <v>1610</v>
      </c>
      <c r="AE1613" s="4">
        <f t="shared" si="118"/>
        <v>42569</v>
      </c>
      <c r="AF1613" s="6" t="e">
        <f t="shared" si="119"/>
        <v>#DIV/0!</v>
      </c>
      <c r="AG1613" s="4">
        <v>42569</v>
      </c>
      <c r="AH1613" s="6">
        <v>-0.43510700000000002</v>
      </c>
      <c r="AI1613" s="6">
        <v>-0.449351</v>
      </c>
      <c r="AJ1613" s="6">
        <v>-0.50129299999999999</v>
      </c>
      <c r="AK1613" s="6"/>
      <c r="AL1613" s="6"/>
      <c r="AM1613" s="6" t="e">
        <f t="shared" si="121"/>
        <v>#DIV/0!</v>
      </c>
    </row>
    <row r="1614" spans="29:39" x14ac:dyDescent="0.3">
      <c r="AC1614">
        <f t="shared" si="120"/>
        <v>0</v>
      </c>
      <c r="AD1614">
        <v>1611</v>
      </c>
      <c r="AE1614" s="4">
        <f t="shared" si="118"/>
        <v>42570</v>
      </c>
      <c r="AF1614" s="6" t="e">
        <f t="shared" si="119"/>
        <v>#DIV/0!</v>
      </c>
      <c r="AG1614" s="4">
        <v>42570</v>
      </c>
      <c r="AH1614" s="6">
        <v>-0.42268600000000001</v>
      </c>
      <c r="AI1614" s="6">
        <v>0.309809</v>
      </c>
      <c r="AJ1614" s="6">
        <v>0.65986400000000001</v>
      </c>
      <c r="AK1614" s="6"/>
      <c r="AL1614" s="6"/>
      <c r="AM1614" s="6" t="e">
        <f t="shared" si="121"/>
        <v>#DIV/0!</v>
      </c>
    </row>
    <row r="1615" spans="29:39" x14ac:dyDescent="0.3">
      <c r="AC1615">
        <f t="shared" si="120"/>
        <v>0</v>
      </c>
      <c r="AD1615">
        <v>1612</v>
      </c>
      <c r="AE1615" s="4">
        <f t="shared" si="118"/>
        <v>42571</v>
      </c>
      <c r="AF1615" s="6" t="e">
        <f t="shared" si="119"/>
        <v>#DIV/0!</v>
      </c>
      <c r="AG1615" s="4">
        <v>42571</v>
      </c>
      <c r="AH1615" s="6">
        <v>-0.32722400000000001</v>
      </c>
      <c r="AI1615" s="6">
        <v>-0.217913</v>
      </c>
      <c r="AJ1615" s="6">
        <v>1.1755E-2</v>
      </c>
      <c r="AK1615" s="6"/>
      <c r="AL1615" s="6"/>
      <c r="AM1615" s="6" t="e">
        <f t="shared" si="121"/>
        <v>#DIV/0!</v>
      </c>
    </row>
    <row r="1616" spans="29:39" x14ac:dyDescent="0.3">
      <c r="AC1616">
        <f t="shared" si="120"/>
        <v>0</v>
      </c>
      <c r="AD1616">
        <v>1613</v>
      </c>
      <c r="AE1616" s="4">
        <f t="shared" si="118"/>
        <v>42572</v>
      </c>
      <c r="AF1616" s="6" t="e">
        <f t="shared" si="119"/>
        <v>#DIV/0!</v>
      </c>
      <c r="AG1616" s="4">
        <v>42572</v>
      </c>
      <c r="AH1616" s="6">
        <v>0.46076</v>
      </c>
      <c r="AI1616" s="6">
        <v>0.38621499999999997</v>
      </c>
      <c r="AJ1616" s="6">
        <v>0.107395</v>
      </c>
      <c r="AK1616" s="6"/>
      <c r="AL1616" s="6"/>
      <c r="AM1616" s="6" t="e">
        <f t="shared" si="121"/>
        <v>#DIV/0!</v>
      </c>
    </row>
    <row r="1617" spans="29:39" x14ac:dyDescent="0.3">
      <c r="AC1617">
        <f t="shared" si="120"/>
        <v>0</v>
      </c>
      <c r="AD1617">
        <v>1614</v>
      </c>
      <c r="AE1617" s="4">
        <f t="shared" si="118"/>
        <v>42573</v>
      </c>
      <c r="AF1617" s="6" t="e">
        <f t="shared" si="119"/>
        <v>#DIV/0!</v>
      </c>
      <c r="AG1617" s="4">
        <v>42573</v>
      </c>
      <c r="AH1617" s="6">
        <v>-0.84121199999999996</v>
      </c>
      <c r="AI1617" s="6">
        <v>-0.80376000000000003</v>
      </c>
      <c r="AJ1617" s="6">
        <v>-0.83916000000000002</v>
      </c>
      <c r="AK1617" s="6"/>
      <c r="AL1617" s="6"/>
      <c r="AM1617" s="6" t="e">
        <f t="shared" si="121"/>
        <v>#DIV/0!</v>
      </c>
    </row>
    <row r="1618" spans="29:39" x14ac:dyDescent="0.3">
      <c r="AC1618">
        <f t="shared" si="120"/>
        <v>0</v>
      </c>
      <c r="AD1618">
        <v>1615</v>
      </c>
      <c r="AE1618" s="4">
        <f t="shared" si="118"/>
        <v>42576</v>
      </c>
      <c r="AF1618" s="6" t="e">
        <f t="shared" si="119"/>
        <v>#DIV/0!</v>
      </c>
      <c r="AG1618" s="4">
        <v>42576</v>
      </c>
      <c r="AH1618" s="6">
        <v>0.17744499999999999</v>
      </c>
      <c r="AI1618" s="6">
        <v>0.27942299999999998</v>
      </c>
      <c r="AJ1618" s="6">
        <v>-7.4175000000000005E-2</v>
      </c>
      <c r="AK1618" s="6"/>
      <c r="AL1618" s="6"/>
      <c r="AM1618" s="6" t="e">
        <f t="shared" si="121"/>
        <v>#DIV/0!</v>
      </c>
    </row>
    <row r="1619" spans="29:39" x14ac:dyDescent="0.3">
      <c r="AC1619">
        <f t="shared" si="120"/>
        <v>0</v>
      </c>
      <c r="AD1619">
        <v>1616</v>
      </c>
      <c r="AE1619" s="4">
        <f t="shared" si="118"/>
        <v>42577</v>
      </c>
      <c r="AF1619" s="6" t="e">
        <f t="shared" si="119"/>
        <v>#DIV/0!</v>
      </c>
      <c r="AG1619" s="4">
        <v>42577</v>
      </c>
      <c r="AH1619" s="6">
        <v>1.197913</v>
      </c>
      <c r="AI1619" s="6">
        <v>1.3370899999999999</v>
      </c>
      <c r="AJ1619" s="6">
        <v>1.2348710000000001</v>
      </c>
      <c r="AK1619" s="6"/>
      <c r="AL1619" s="6"/>
      <c r="AM1619" s="6" t="e">
        <f t="shared" si="121"/>
        <v>#DIV/0!</v>
      </c>
    </row>
    <row r="1620" spans="29:39" x14ac:dyDescent="0.3">
      <c r="AC1620">
        <f t="shared" si="120"/>
        <v>0</v>
      </c>
      <c r="AD1620">
        <v>1617</v>
      </c>
      <c r="AE1620" s="4">
        <f t="shared" si="118"/>
        <v>42578</v>
      </c>
      <c r="AF1620" s="6" t="e">
        <f t="shared" si="119"/>
        <v>#DIV/0!</v>
      </c>
      <c r="AG1620" s="4">
        <v>42578</v>
      </c>
      <c r="AH1620" s="6">
        <v>-1.570387</v>
      </c>
      <c r="AI1620" s="6">
        <v>-4.083253</v>
      </c>
      <c r="AJ1620" s="6">
        <v>-4.7881559999999999</v>
      </c>
      <c r="AK1620" s="6"/>
      <c r="AL1620" s="6"/>
      <c r="AM1620" s="6" t="e">
        <f t="shared" si="121"/>
        <v>#DIV/0!</v>
      </c>
    </row>
    <row r="1621" spans="29:39" x14ac:dyDescent="0.3">
      <c r="AC1621">
        <f t="shared" si="120"/>
        <v>0</v>
      </c>
      <c r="AD1621">
        <v>1618</v>
      </c>
      <c r="AE1621" s="4">
        <f t="shared" si="118"/>
        <v>42579</v>
      </c>
      <c r="AF1621" s="6" t="e">
        <f t="shared" si="119"/>
        <v>#DIV/0!</v>
      </c>
      <c r="AG1621" s="4">
        <v>42579</v>
      </c>
      <c r="AH1621" s="6">
        <v>8.9909000000000003E-2</v>
      </c>
      <c r="AI1621" s="6">
        <v>0.224742</v>
      </c>
      <c r="AJ1621" s="6">
        <v>-0.364479</v>
      </c>
      <c r="AK1621" s="6"/>
      <c r="AL1621" s="6"/>
      <c r="AM1621" s="6" t="e">
        <f t="shared" si="121"/>
        <v>#DIV/0!</v>
      </c>
    </row>
    <row r="1622" spans="29:39" x14ac:dyDescent="0.3">
      <c r="AC1622">
        <f t="shared" si="120"/>
        <v>0</v>
      </c>
      <c r="AD1622">
        <v>1619</v>
      </c>
      <c r="AE1622" s="4">
        <f t="shared" si="118"/>
        <v>42580</v>
      </c>
      <c r="AF1622" s="6" t="e">
        <f t="shared" si="119"/>
        <v>#DIV/0!</v>
      </c>
      <c r="AG1622" s="4">
        <v>42580</v>
      </c>
      <c r="AH1622" s="6">
        <v>-0.53416200000000003</v>
      </c>
      <c r="AI1622" s="6">
        <v>-0.64703100000000002</v>
      </c>
      <c r="AJ1622" s="6">
        <v>-0.82218800000000003</v>
      </c>
      <c r="AK1622" s="6"/>
      <c r="AL1622" s="6"/>
      <c r="AM1622" s="6" t="e">
        <f t="shared" si="121"/>
        <v>#DIV/0!</v>
      </c>
    </row>
    <row r="1623" spans="29:39" x14ac:dyDescent="0.3">
      <c r="AC1623">
        <f t="shared" si="120"/>
        <v>0</v>
      </c>
      <c r="AD1623">
        <v>1620</v>
      </c>
      <c r="AE1623" s="4">
        <f t="shared" si="118"/>
        <v>42583</v>
      </c>
      <c r="AF1623" s="6" t="e">
        <f t="shared" si="119"/>
        <v>#DIV/0!</v>
      </c>
      <c r="AG1623" s="4">
        <v>42583</v>
      </c>
      <c r="AH1623" s="6">
        <v>-0.84650099999999995</v>
      </c>
      <c r="AI1623" s="6">
        <v>-1.509201</v>
      </c>
      <c r="AJ1623" s="6">
        <v>-1.6172059999999999</v>
      </c>
      <c r="AK1623" s="6"/>
      <c r="AL1623" s="6"/>
      <c r="AM1623" s="6" t="e">
        <f t="shared" si="121"/>
        <v>#DIV/0!</v>
      </c>
    </row>
    <row r="1624" spans="29:39" x14ac:dyDescent="0.3">
      <c r="AC1624">
        <f t="shared" si="120"/>
        <v>0</v>
      </c>
      <c r="AD1624">
        <v>1621</v>
      </c>
      <c r="AE1624" s="4">
        <f t="shared" si="118"/>
        <v>42584</v>
      </c>
      <c r="AF1624" s="6" t="e">
        <f t="shared" si="119"/>
        <v>#DIV/0!</v>
      </c>
      <c r="AG1624" s="4">
        <v>42584</v>
      </c>
      <c r="AH1624" s="6">
        <v>0.38541199999999998</v>
      </c>
      <c r="AI1624" s="6">
        <v>0.96951900000000002</v>
      </c>
      <c r="AJ1624" s="6">
        <v>0.98246900000000004</v>
      </c>
      <c r="AK1624" s="6"/>
      <c r="AL1624" s="6"/>
      <c r="AM1624" s="6" t="e">
        <f t="shared" si="121"/>
        <v>#DIV/0!</v>
      </c>
    </row>
    <row r="1625" spans="29:39" x14ac:dyDescent="0.3">
      <c r="AC1625">
        <f t="shared" si="120"/>
        <v>0</v>
      </c>
      <c r="AD1625">
        <v>1622</v>
      </c>
      <c r="AE1625" s="4">
        <f t="shared" si="118"/>
        <v>42585</v>
      </c>
      <c r="AF1625" s="6" t="e">
        <f t="shared" si="119"/>
        <v>#DIV/0!</v>
      </c>
      <c r="AG1625" s="4">
        <v>42585</v>
      </c>
      <c r="AH1625" s="6">
        <v>0.139678</v>
      </c>
      <c r="AI1625" s="6">
        <v>0.48439100000000002</v>
      </c>
      <c r="AJ1625" s="6">
        <v>0.43120000000000003</v>
      </c>
      <c r="AK1625" s="6"/>
      <c r="AL1625" s="6"/>
      <c r="AM1625" s="6" t="e">
        <f t="shared" si="121"/>
        <v>#DIV/0!</v>
      </c>
    </row>
    <row r="1626" spans="29:39" x14ac:dyDescent="0.3">
      <c r="AC1626">
        <f t="shared" si="120"/>
        <v>0</v>
      </c>
      <c r="AD1626">
        <v>1623</v>
      </c>
      <c r="AE1626" s="4">
        <f t="shared" si="118"/>
        <v>42586</v>
      </c>
      <c r="AF1626" s="6" t="e">
        <f t="shared" si="119"/>
        <v>#DIV/0!</v>
      </c>
      <c r="AG1626" s="4">
        <v>42586</v>
      </c>
      <c r="AH1626" s="6">
        <v>0.24366599999999999</v>
      </c>
      <c r="AI1626" s="6">
        <v>0.64278599999999997</v>
      </c>
      <c r="AJ1626" s="6">
        <v>0.83477900000000005</v>
      </c>
      <c r="AK1626" s="6"/>
      <c r="AL1626" s="6"/>
      <c r="AM1626" s="6" t="e">
        <f t="shared" si="121"/>
        <v>#DIV/0!</v>
      </c>
    </row>
    <row r="1627" spans="29:39" x14ac:dyDescent="0.3">
      <c r="AC1627">
        <f t="shared" si="120"/>
        <v>0</v>
      </c>
      <c r="AD1627">
        <v>1624</v>
      </c>
      <c r="AE1627" s="4">
        <f t="shared" si="118"/>
        <v>42587</v>
      </c>
      <c r="AF1627" s="6" t="e">
        <f t="shared" si="119"/>
        <v>#DIV/0!</v>
      </c>
      <c r="AG1627" s="4">
        <v>42587</v>
      </c>
      <c r="AH1627" s="6">
        <v>0.119368</v>
      </c>
      <c r="AI1627" s="6">
        <v>-0.56015400000000004</v>
      </c>
      <c r="AJ1627" s="6">
        <v>-0.55702099999999999</v>
      </c>
      <c r="AK1627" s="6"/>
      <c r="AL1627" s="6"/>
      <c r="AM1627" s="6" t="e">
        <f t="shared" si="121"/>
        <v>#DIV/0!</v>
      </c>
    </row>
    <row r="1628" spans="29:39" x14ac:dyDescent="0.3">
      <c r="AC1628">
        <f t="shared" si="120"/>
        <v>0</v>
      </c>
      <c r="AD1628">
        <v>1625</v>
      </c>
      <c r="AE1628" s="4">
        <f t="shared" si="118"/>
        <v>42590</v>
      </c>
      <c r="AF1628" s="6" t="e">
        <f t="shared" si="119"/>
        <v>#DIV/0!</v>
      </c>
      <c r="AG1628" s="4">
        <v>42590</v>
      </c>
      <c r="AH1628" s="6">
        <v>0.90708900000000003</v>
      </c>
      <c r="AI1628" s="6">
        <v>1.4100429999999999</v>
      </c>
      <c r="AJ1628" s="6">
        <v>1.1996469999999999</v>
      </c>
      <c r="AK1628" s="6"/>
      <c r="AL1628" s="6"/>
      <c r="AM1628" s="6" t="e">
        <f t="shared" si="121"/>
        <v>#DIV/0!</v>
      </c>
    </row>
    <row r="1629" spans="29:39" x14ac:dyDescent="0.3">
      <c r="AC1629">
        <f t="shared" si="120"/>
        <v>0</v>
      </c>
      <c r="AD1629">
        <v>1626</v>
      </c>
      <c r="AE1629" s="4">
        <f t="shared" si="118"/>
        <v>42591</v>
      </c>
      <c r="AF1629" s="6" t="e">
        <f t="shared" si="119"/>
        <v>#DIV/0!</v>
      </c>
      <c r="AG1629" s="4">
        <v>42591</v>
      </c>
      <c r="AH1629" s="6">
        <v>0.70490699999999995</v>
      </c>
      <c r="AI1629" s="6">
        <v>0.80743100000000001</v>
      </c>
      <c r="AJ1629" s="6">
        <v>1.0687329999999999</v>
      </c>
      <c r="AK1629" s="6"/>
      <c r="AL1629" s="6"/>
      <c r="AM1629" s="6" t="e">
        <f t="shared" si="121"/>
        <v>#DIV/0!</v>
      </c>
    </row>
    <row r="1630" spans="29:39" x14ac:dyDescent="0.3">
      <c r="AC1630">
        <f t="shared" si="120"/>
        <v>0</v>
      </c>
      <c r="AD1630">
        <v>1627</v>
      </c>
      <c r="AE1630" s="4">
        <f t="shared" si="118"/>
        <v>42592</v>
      </c>
      <c r="AF1630" s="6" t="e">
        <f t="shared" si="119"/>
        <v>#DIV/0!</v>
      </c>
      <c r="AG1630" s="4">
        <v>42592</v>
      </c>
      <c r="AH1630" s="6">
        <v>-0.41880499999999998</v>
      </c>
      <c r="AI1630" s="6">
        <v>-0.36712800000000001</v>
      </c>
      <c r="AJ1630" s="6">
        <v>-0.31737700000000002</v>
      </c>
      <c r="AK1630" s="6"/>
      <c r="AL1630" s="6"/>
      <c r="AM1630" s="6" t="e">
        <f t="shared" si="121"/>
        <v>#DIV/0!</v>
      </c>
    </row>
    <row r="1631" spans="29:39" x14ac:dyDescent="0.3">
      <c r="AC1631">
        <f t="shared" si="120"/>
        <v>0</v>
      </c>
      <c r="AD1631">
        <v>1628</v>
      </c>
      <c r="AE1631" s="4">
        <f t="shared" si="118"/>
        <v>42593</v>
      </c>
      <c r="AF1631" s="6" t="e">
        <f t="shared" si="119"/>
        <v>#DIV/0!</v>
      </c>
      <c r="AG1631" s="4">
        <v>42593</v>
      </c>
      <c r="AH1631" s="6">
        <v>-0.30772300000000002</v>
      </c>
      <c r="AI1631" s="6">
        <v>-1.4553860000000001</v>
      </c>
      <c r="AJ1631" s="6">
        <v>-1.615429</v>
      </c>
      <c r="AK1631" s="6"/>
      <c r="AL1631" s="6"/>
      <c r="AM1631" s="6" t="e">
        <f t="shared" si="121"/>
        <v>#DIV/0!</v>
      </c>
    </row>
    <row r="1632" spans="29:39" x14ac:dyDescent="0.3">
      <c r="AC1632">
        <f t="shared" si="120"/>
        <v>0</v>
      </c>
      <c r="AD1632">
        <v>1629</v>
      </c>
      <c r="AE1632" s="4">
        <f t="shared" si="118"/>
        <v>42594</v>
      </c>
      <c r="AF1632" s="6" t="e">
        <f t="shared" si="119"/>
        <v>#DIV/0!</v>
      </c>
      <c r="AG1632" s="4">
        <v>42594</v>
      </c>
      <c r="AH1632" s="6">
        <v>1.8826639999999999</v>
      </c>
      <c r="AI1632" s="6">
        <v>1.1688879999999999</v>
      </c>
      <c r="AJ1632" s="6">
        <v>0.97707900000000003</v>
      </c>
      <c r="AK1632" s="6"/>
      <c r="AL1632" s="6"/>
      <c r="AM1632" s="6" t="e">
        <f t="shared" si="121"/>
        <v>#DIV/0!</v>
      </c>
    </row>
    <row r="1633" spans="29:39" x14ac:dyDescent="0.3">
      <c r="AC1633">
        <f t="shared" si="120"/>
        <v>0</v>
      </c>
      <c r="AD1633">
        <v>1630</v>
      </c>
      <c r="AE1633" s="4">
        <f t="shared" si="118"/>
        <v>42597</v>
      </c>
      <c r="AF1633" s="6" t="e">
        <f t="shared" si="119"/>
        <v>#DIV/0!</v>
      </c>
      <c r="AG1633" s="4">
        <v>42597</v>
      </c>
      <c r="AH1633" s="6">
        <v>3.0110250000000001</v>
      </c>
      <c r="AI1633" s="6">
        <v>2.2770860000000002</v>
      </c>
      <c r="AJ1633" s="6">
        <v>2.2376960000000001</v>
      </c>
      <c r="AK1633" s="6"/>
      <c r="AL1633" s="6"/>
      <c r="AM1633" s="6" t="e">
        <f t="shared" si="121"/>
        <v>#DIV/0!</v>
      </c>
    </row>
    <row r="1634" spans="29:39" x14ac:dyDescent="0.3">
      <c r="AC1634">
        <f t="shared" si="120"/>
        <v>0</v>
      </c>
      <c r="AD1634">
        <v>1631</v>
      </c>
      <c r="AE1634" s="4">
        <f t="shared" si="118"/>
        <v>42598</v>
      </c>
      <c r="AF1634" s="6" t="e">
        <f t="shared" si="119"/>
        <v>#DIV/0!</v>
      </c>
      <c r="AG1634" s="4">
        <v>42598</v>
      </c>
      <c r="AH1634" s="6">
        <v>-0.44729999999999998</v>
      </c>
      <c r="AI1634" s="6">
        <v>0.409271</v>
      </c>
      <c r="AJ1634" s="6">
        <v>0.78604700000000005</v>
      </c>
      <c r="AK1634" s="6"/>
      <c r="AL1634" s="6"/>
      <c r="AM1634" s="6" t="e">
        <f t="shared" si="121"/>
        <v>#DIV/0!</v>
      </c>
    </row>
    <row r="1635" spans="29:39" x14ac:dyDescent="0.3">
      <c r="AC1635">
        <f t="shared" si="120"/>
        <v>0</v>
      </c>
      <c r="AD1635">
        <v>1632</v>
      </c>
      <c r="AE1635" s="4">
        <f t="shared" si="118"/>
        <v>42599</v>
      </c>
      <c r="AF1635" s="6" t="e">
        <f t="shared" si="119"/>
        <v>#DIV/0!</v>
      </c>
      <c r="AG1635" s="4">
        <v>42599</v>
      </c>
      <c r="AH1635" s="6">
        <v>-0.15385199999999999</v>
      </c>
      <c r="AI1635" s="6">
        <v>0.30098200000000003</v>
      </c>
      <c r="AJ1635" s="6">
        <v>0.39068999999999998</v>
      </c>
      <c r="AK1635" s="6"/>
      <c r="AL1635" s="6"/>
      <c r="AM1635" s="6" t="e">
        <f t="shared" si="121"/>
        <v>#DIV/0!</v>
      </c>
    </row>
    <row r="1636" spans="29:39" x14ac:dyDescent="0.3">
      <c r="AC1636">
        <f t="shared" si="120"/>
        <v>0</v>
      </c>
      <c r="AD1636">
        <v>1633</v>
      </c>
      <c r="AE1636" s="4">
        <f t="shared" si="118"/>
        <v>42600</v>
      </c>
      <c r="AF1636" s="6" t="e">
        <f t="shared" si="119"/>
        <v>#DIV/0!</v>
      </c>
      <c r="AG1636" s="4">
        <v>42600</v>
      </c>
      <c r="AH1636" s="6">
        <v>-0.25385099999999999</v>
      </c>
      <c r="AI1636" s="6">
        <v>3.1489999999999997E-2</v>
      </c>
      <c r="AJ1636" s="6">
        <v>-3.8407999999999998E-2</v>
      </c>
      <c r="AK1636" s="6"/>
      <c r="AL1636" s="6"/>
      <c r="AM1636" s="6" t="e">
        <f t="shared" si="121"/>
        <v>#DIV/0!</v>
      </c>
    </row>
    <row r="1637" spans="29:39" x14ac:dyDescent="0.3">
      <c r="AC1637">
        <f t="shared" si="120"/>
        <v>0</v>
      </c>
      <c r="AD1637">
        <v>1634</v>
      </c>
      <c r="AE1637" s="4">
        <f t="shared" si="118"/>
        <v>42601</v>
      </c>
      <c r="AF1637" s="6" t="e">
        <f t="shared" si="119"/>
        <v>#DIV/0!</v>
      </c>
      <c r="AG1637" s="4">
        <v>42601</v>
      </c>
      <c r="AH1637" s="6">
        <v>1.5890000000000001E-2</v>
      </c>
      <c r="AI1637" s="6">
        <v>0.140928</v>
      </c>
      <c r="AJ1637" s="6">
        <v>0.16880999999999999</v>
      </c>
      <c r="AK1637" s="6"/>
      <c r="AL1637" s="6"/>
      <c r="AM1637" s="6" t="e">
        <f t="shared" si="121"/>
        <v>#DIV/0!</v>
      </c>
    </row>
    <row r="1638" spans="29:39" x14ac:dyDescent="0.3">
      <c r="AC1638">
        <f t="shared" si="120"/>
        <v>0</v>
      </c>
      <c r="AD1638">
        <v>1635</v>
      </c>
      <c r="AE1638" s="4">
        <f t="shared" si="118"/>
        <v>42604</v>
      </c>
      <c r="AF1638" s="6" t="e">
        <f t="shared" si="119"/>
        <v>#DIV/0!</v>
      </c>
      <c r="AG1638" s="4">
        <v>42604</v>
      </c>
      <c r="AH1638" s="6">
        <v>-0.83877100000000004</v>
      </c>
      <c r="AI1638" s="6">
        <v>-1.2185509999999999</v>
      </c>
      <c r="AJ1638" s="6">
        <v>-1.2609630000000001</v>
      </c>
      <c r="AK1638" s="6"/>
      <c r="AL1638" s="6"/>
      <c r="AM1638" s="6" t="e">
        <f t="shared" si="121"/>
        <v>#DIV/0!</v>
      </c>
    </row>
    <row r="1639" spans="29:39" x14ac:dyDescent="0.3">
      <c r="AC1639">
        <f t="shared" si="120"/>
        <v>0</v>
      </c>
      <c r="AD1639">
        <v>1636</v>
      </c>
      <c r="AE1639" s="4">
        <f t="shared" si="118"/>
        <v>42605</v>
      </c>
      <c r="AF1639" s="6" t="e">
        <f t="shared" si="119"/>
        <v>#DIV/0!</v>
      </c>
      <c r="AG1639" s="4">
        <v>42605</v>
      </c>
      <c r="AH1639" s="6">
        <v>0.15089</v>
      </c>
      <c r="AI1639" s="6">
        <v>0.12995200000000001</v>
      </c>
      <c r="AJ1639" s="6">
        <v>0.106319</v>
      </c>
      <c r="AK1639" s="6"/>
      <c r="AL1639" s="6"/>
      <c r="AM1639" s="6" t="e">
        <f t="shared" si="121"/>
        <v>#DIV/0!</v>
      </c>
    </row>
    <row r="1640" spans="29:39" x14ac:dyDescent="0.3">
      <c r="AC1640">
        <f t="shared" si="120"/>
        <v>0</v>
      </c>
      <c r="AD1640">
        <v>1637</v>
      </c>
      <c r="AE1640" s="4">
        <f t="shared" si="118"/>
        <v>42606</v>
      </c>
      <c r="AF1640" s="6" t="e">
        <f t="shared" si="119"/>
        <v>#DIV/0!</v>
      </c>
      <c r="AG1640" s="4">
        <v>42606</v>
      </c>
      <c r="AH1640" s="6">
        <v>-0.35808800000000002</v>
      </c>
      <c r="AI1640" s="6">
        <v>9.8944000000000004E-2</v>
      </c>
      <c r="AJ1640" s="6">
        <v>0.34353899999999998</v>
      </c>
      <c r="AK1640" s="6"/>
      <c r="AL1640" s="6"/>
      <c r="AM1640" s="6" t="e">
        <f t="shared" si="121"/>
        <v>#DIV/0!</v>
      </c>
    </row>
    <row r="1641" spans="29:39" x14ac:dyDescent="0.3">
      <c r="AC1641">
        <f t="shared" si="120"/>
        <v>0</v>
      </c>
      <c r="AD1641">
        <v>1638</v>
      </c>
      <c r="AE1641" s="4">
        <f t="shared" si="118"/>
        <v>42607</v>
      </c>
      <c r="AF1641" s="6" t="e">
        <f t="shared" si="119"/>
        <v>#DIV/0!</v>
      </c>
      <c r="AG1641" s="4">
        <v>42607</v>
      </c>
      <c r="AH1641" s="6">
        <v>-0.62738300000000002</v>
      </c>
      <c r="AI1641" s="6">
        <v>-0.81566000000000005</v>
      </c>
      <c r="AJ1641" s="6">
        <v>-0.74489000000000005</v>
      </c>
      <c r="AK1641" s="6"/>
      <c r="AL1641" s="6"/>
      <c r="AM1641" s="6" t="e">
        <f t="shared" si="121"/>
        <v>#DIV/0!</v>
      </c>
    </row>
    <row r="1642" spans="29:39" x14ac:dyDescent="0.3">
      <c r="AC1642">
        <f t="shared" si="120"/>
        <v>0</v>
      </c>
      <c r="AD1642">
        <v>1639</v>
      </c>
      <c r="AE1642" s="4">
        <f t="shared" si="118"/>
        <v>42608</v>
      </c>
      <c r="AF1642" s="6" t="e">
        <f t="shared" si="119"/>
        <v>#DIV/0!</v>
      </c>
      <c r="AG1642" s="4">
        <v>42608</v>
      </c>
      <c r="AH1642" s="6">
        <v>-5.6873E-2</v>
      </c>
      <c r="AI1642" s="6">
        <v>0.44124999999999998</v>
      </c>
      <c r="AJ1642" s="6">
        <v>0.34014100000000003</v>
      </c>
      <c r="AK1642" s="6"/>
      <c r="AL1642" s="6"/>
      <c r="AM1642" s="6" t="e">
        <f t="shared" si="121"/>
        <v>#DIV/0!</v>
      </c>
    </row>
    <row r="1643" spans="29:39" x14ac:dyDescent="0.3">
      <c r="AC1643">
        <f t="shared" si="120"/>
        <v>0</v>
      </c>
      <c r="AD1643">
        <v>1640</v>
      </c>
      <c r="AE1643" s="4">
        <f t="shared" si="118"/>
        <v>42611</v>
      </c>
      <c r="AF1643" s="6" t="e">
        <f t="shared" si="119"/>
        <v>#DIV/0!</v>
      </c>
      <c r="AG1643" s="4">
        <v>42611</v>
      </c>
      <c r="AH1643" s="6">
        <v>2.0895E-2</v>
      </c>
      <c r="AI1643" s="6">
        <v>0.261992</v>
      </c>
      <c r="AJ1643" s="6">
        <v>0.25559100000000001</v>
      </c>
      <c r="AK1643" s="6"/>
      <c r="AL1643" s="6"/>
      <c r="AM1643" s="6" t="e">
        <f t="shared" si="121"/>
        <v>#DIV/0!</v>
      </c>
    </row>
    <row r="1644" spans="29:39" x14ac:dyDescent="0.3">
      <c r="AC1644">
        <f t="shared" si="120"/>
        <v>0</v>
      </c>
      <c r="AD1644">
        <v>1641</v>
      </c>
      <c r="AE1644" s="4">
        <f t="shared" si="118"/>
        <v>42612</v>
      </c>
      <c r="AF1644" s="6" t="e">
        <f t="shared" si="119"/>
        <v>#DIV/0!</v>
      </c>
      <c r="AG1644" s="4">
        <v>42612</v>
      </c>
      <c r="AH1644" s="6">
        <v>0.12715499999999999</v>
      </c>
      <c r="AI1644" s="6">
        <v>-2.7612000000000001E-2</v>
      </c>
      <c r="AJ1644" s="6">
        <v>1.6638E-2</v>
      </c>
      <c r="AK1644" s="6"/>
      <c r="AL1644" s="6"/>
      <c r="AM1644" s="6" t="e">
        <f t="shared" si="121"/>
        <v>#DIV/0!</v>
      </c>
    </row>
    <row r="1645" spans="29:39" x14ac:dyDescent="0.3">
      <c r="AC1645">
        <f t="shared" si="120"/>
        <v>0</v>
      </c>
      <c r="AD1645">
        <v>1642</v>
      </c>
      <c r="AE1645" s="4">
        <f t="shared" si="118"/>
        <v>42613</v>
      </c>
      <c r="AF1645" s="6" t="e">
        <f t="shared" si="119"/>
        <v>#DIV/0!</v>
      </c>
      <c r="AG1645" s="4">
        <v>42613</v>
      </c>
      <c r="AH1645" s="6">
        <v>0.47725400000000001</v>
      </c>
      <c r="AI1645" s="6">
        <v>0.13159499999999999</v>
      </c>
      <c r="AJ1645" s="6">
        <v>-9.4499999999999998E-4</v>
      </c>
      <c r="AK1645" s="6"/>
      <c r="AL1645" s="6"/>
      <c r="AM1645" s="6" t="e">
        <f t="shared" si="121"/>
        <v>#DIV/0!</v>
      </c>
    </row>
    <row r="1646" spans="29:39" x14ac:dyDescent="0.3">
      <c r="AC1646">
        <f t="shared" si="120"/>
        <v>0</v>
      </c>
      <c r="AD1646">
        <v>1643</v>
      </c>
      <c r="AE1646" s="4">
        <f t="shared" si="118"/>
        <v>42614</v>
      </c>
      <c r="AF1646" s="6" t="e">
        <f t="shared" si="119"/>
        <v>#DIV/0!</v>
      </c>
      <c r="AG1646" s="4">
        <v>42614</v>
      </c>
      <c r="AH1646" s="6">
        <v>-0.78782200000000002</v>
      </c>
      <c r="AI1646" s="6">
        <v>-0.8196</v>
      </c>
      <c r="AJ1646" s="6">
        <v>-0.76517800000000002</v>
      </c>
      <c r="AK1646" s="6"/>
      <c r="AL1646" s="6"/>
      <c r="AM1646" s="6" t="e">
        <f t="shared" si="121"/>
        <v>#DIV/0!</v>
      </c>
    </row>
    <row r="1647" spans="29:39" x14ac:dyDescent="0.3">
      <c r="AC1647">
        <f t="shared" si="120"/>
        <v>0</v>
      </c>
      <c r="AD1647">
        <v>1644</v>
      </c>
      <c r="AE1647" s="4">
        <f t="shared" si="118"/>
        <v>42615</v>
      </c>
      <c r="AF1647" s="6" t="e">
        <f t="shared" si="119"/>
        <v>#DIV/0!</v>
      </c>
      <c r="AG1647" s="4">
        <v>42615</v>
      </c>
      <c r="AH1647" s="6">
        <v>0.379743</v>
      </c>
      <c r="AI1647" s="6">
        <v>-0.38426399999999999</v>
      </c>
      <c r="AJ1647" s="6">
        <v>-0.52229499999999995</v>
      </c>
      <c r="AK1647" s="6"/>
      <c r="AL1647" s="6"/>
      <c r="AM1647" s="6" t="e">
        <f t="shared" si="121"/>
        <v>#DIV/0!</v>
      </c>
    </row>
    <row r="1648" spans="29:39" x14ac:dyDescent="0.3">
      <c r="AC1648">
        <f t="shared" si="120"/>
        <v>0</v>
      </c>
      <c r="AD1648">
        <v>1645</v>
      </c>
      <c r="AE1648" s="4">
        <f t="shared" si="118"/>
        <v>42618</v>
      </c>
      <c r="AF1648" s="6" t="e">
        <f t="shared" si="119"/>
        <v>#DIV/0!</v>
      </c>
      <c r="AG1648" s="4">
        <v>42618</v>
      </c>
      <c r="AH1648" s="6">
        <v>0.16795099999999999</v>
      </c>
      <c r="AI1648" s="6">
        <v>0.54803800000000003</v>
      </c>
      <c r="AJ1648" s="6">
        <v>0.42430099999999998</v>
      </c>
      <c r="AK1648" s="6"/>
      <c r="AL1648" s="6"/>
      <c r="AM1648" s="6" t="e">
        <f t="shared" si="121"/>
        <v>#DIV/0!</v>
      </c>
    </row>
    <row r="1649" spans="29:39" x14ac:dyDescent="0.3">
      <c r="AC1649">
        <f t="shared" si="120"/>
        <v>0</v>
      </c>
      <c r="AD1649">
        <v>1646</v>
      </c>
      <c r="AE1649" s="4">
        <f t="shared" si="118"/>
        <v>42619</v>
      </c>
      <c r="AF1649" s="6" t="e">
        <f t="shared" si="119"/>
        <v>#DIV/0!</v>
      </c>
      <c r="AG1649" s="4">
        <v>42619</v>
      </c>
      <c r="AH1649" s="6">
        <v>0.69119900000000001</v>
      </c>
      <c r="AI1649" s="6">
        <v>1.5829660000000001</v>
      </c>
      <c r="AJ1649" s="6">
        <v>1.653813</v>
      </c>
      <c r="AK1649" s="6"/>
      <c r="AL1649" s="6"/>
      <c r="AM1649" s="6" t="e">
        <f t="shared" si="121"/>
        <v>#DIV/0!</v>
      </c>
    </row>
    <row r="1650" spans="29:39" x14ac:dyDescent="0.3">
      <c r="AC1650">
        <f t="shared" si="120"/>
        <v>0</v>
      </c>
      <c r="AD1650">
        <v>1647</v>
      </c>
      <c r="AE1650" s="4">
        <f t="shared" si="118"/>
        <v>42620</v>
      </c>
      <c r="AF1650" s="6" t="e">
        <f t="shared" si="119"/>
        <v>#DIV/0!</v>
      </c>
      <c r="AG1650" s="4">
        <v>42620</v>
      </c>
      <c r="AH1650" s="6">
        <v>-5.4109999999999998E-2</v>
      </c>
      <c r="AI1650" s="6">
        <v>2.0695000000000002E-2</v>
      </c>
      <c r="AJ1650" s="6">
        <v>-0.101843</v>
      </c>
      <c r="AK1650" s="6"/>
      <c r="AL1650" s="6"/>
      <c r="AM1650" s="6" t="e">
        <f t="shared" si="121"/>
        <v>#DIV/0!</v>
      </c>
    </row>
    <row r="1651" spans="29:39" x14ac:dyDescent="0.3">
      <c r="AC1651">
        <f t="shared" si="120"/>
        <v>0</v>
      </c>
      <c r="AD1651">
        <v>1648</v>
      </c>
      <c r="AE1651" s="4">
        <f t="shared" si="118"/>
        <v>42621</v>
      </c>
      <c r="AF1651" s="6" t="e">
        <f t="shared" si="119"/>
        <v>#DIV/0!</v>
      </c>
      <c r="AG1651" s="4">
        <v>42621</v>
      </c>
      <c r="AH1651" s="6">
        <v>-3.7511999999999997E-2</v>
      </c>
      <c r="AI1651" s="6">
        <v>0.36443599999999998</v>
      </c>
      <c r="AJ1651" s="6">
        <v>0.45666800000000002</v>
      </c>
      <c r="AK1651" s="6"/>
      <c r="AL1651" s="6"/>
      <c r="AM1651" s="6" t="e">
        <f t="shared" si="121"/>
        <v>#DIV/0!</v>
      </c>
    </row>
    <row r="1652" spans="29:39" x14ac:dyDescent="0.3">
      <c r="AC1652">
        <f t="shared" si="120"/>
        <v>0</v>
      </c>
      <c r="AD1652">
        <v>1649</v>
      </c>
      <c r="AE1652" s="4">
        <f t="shared" si="118"/>
        <v>42622</v>
      </c>
      <c r="AF1652" s="6" t="e">
        <f t="shared" si="119"/>
        <v>#DIV/0!</v>
      </c>
      <c r="AG1652" s="4">
        <v>42622</v>
      </c>
      <c r="AH1652" s="6">
        <v>-0.64439500000000005</v>
      </c>
      <c r="AI1652" s="6">
        <v>-0.72001599999999999</v>
      </c>
      <c r="AJ1652" s="6">
        <v>-0.73969499999999999</v>
      </c>
      <c r="AK1652" s="6"/>
      <c r="AL1652" s="6"/>
      <c r="AM1652" s="6" t="e">
        <f t="shared" si="121"/>
        <v>#DIV/0!</v>
      </c>
    </row>
    <row r="1653" spans="29:39" x14ac:dyDescent="0.3">
      <c r="AC1653">
        <f t="shared" si="120"/>
        <v>0</v>
      </c>
      <c r="AD1653">
        <v>1650</v>
      </c>
      <c r="AE1653" s="4">
        <f t="shared" si="118"/>
        <v>42625</v>
      </c>
      <c r="AF1653" s="6" t="e">
        <f t="shared" si="119"/>
        <v>#DIV/0!</v>
      </c>
      <c r="AG1653" s="4">
        <v>42625</v>
      </c>
      <c r="AH1653" s="6">
        <v>-1.670855</v>
      </c>
      <c r="AI1653" s="6">
        <v>-2.7726030000000002</v>
      </c>
      <c r="AJ1653" s="6">
        <v>-3.2112810000000001</v>
      </c>
      <c r="AK1653" s="6"/>
      <c r="AL1653" s="6"/>
      <c r="AM1653" s="6" t="e">
        <f t="shared" si="121"/>
        <v>#DIV/0!</v>
      </c>
    </row>
    <row r="1654" spans="29:39" x14ac:dyDescent="0.3">
      <c r="AC1654">
        <f t="shared" si="120"/>
        <v>0</v>
      </c>
      <c r="AD1654">
        <v>1651</v>
      </c>
      <c r="AE1654" s="4">
        <f t="shared" si="118"/>
        <v>42626</v>
      </c>
      <c r="AF1654" s="6" t="e">
        <f t="shared" si="119"/>
        <v>#DIV/0!</v>
      </c>
      <c r="AG1654" s="4">
        <v>42626</v>
      </c>
      <c r="AH1654" s="6">
        <v>-6.9615999999999997E-2</v>
      </c>
      <c r="AI1654" s="6">
        <v>0.45131500000000002</v>
      </c>
      <c r="AJ1654" s="6">
        <v>0.80677600000000005</v>
      </c>
      <c r="AK1654" s="6"/>
      <c r="AL1654" s="6"/>
      <c r="AM1654" s="6" t="e">
        <f t="shared" si="121"/>
        <v>#DIV/0!</v>
      </c>
    </row>
    <row r="1655" spans="29:39" x14ac:dyDescent="0.3">
      <c r="AC1655">
        <f t="shared" si="120"/>
        <v>0</v>
      </c>
      <c r="AD1655">
        <v>1652</v>
      </c>
      <c r="AE1655" s="4">
        <f t="shared" si="118"/>
        <v>42627</v>
      </c>
      <c r="AF1655" s="6" t="e">
        <f t="shared" si="119"/>
        <v>#DIV/0!</v>
      </c>
      <c r="AG1655" s="4">
        <v>42627</v>
      </c>
      <c r="AH1655" s="6">
        <v>-0.66260399999999997</v>
      </c>
      <c r="AI1655" s="6">
        <v>-0.66255200000000003</v>
      </c>
      <c r="AJ1655" s="6">
        <v>-0.44509399999999999</v>
      </c>
      <c r="AK1655" s="6"/>
      <c r="AL1655" s="6"/>
      <c r="AM1655" s="6" t="e">
        <f t="shared" si="121"/>
        <v>#DIV/0!</v>
      </c>
    </row>
    <row r="1656" spans="29:39" x14ac:dyDescent="0.3">
      <c r="AC1656">
        <f t="shared" si="120"/>
        <v>0</v>
      </c>
      <c r="AD1656">
        <v>1653</v>
      </c>
      <c r="AE1656" s="4">
        <f t="shared" si="118"/>
        <v>42632</v>
      </c>
      <c r="AF1656" s="6" t="e">
        <f t="shared" si="119"/>
        <v>#DIV/0!</v>
      </c>
      <c r="AG1656" s="4">
        <v>42632</v>
      </c>
      <c r="AH1656" s="6">
        <v>0.75320600000000004</v>
      </c>
      <c r="AI1656" s="6">
        <v>1.0516300000000001</v>
      </c>
      <c r="AJ1656" s="6">
        <v>1.141041</v>
      </c>
      <c r="AK1656" s="6"/>
      <c r="AL1656" s="6"/>
      <c r="AM1656" s="6" t="e">
        <f t="shared" si="121"/>
        <v>#DIV/0!</v>
      </c>
    </row>
    <row r="1657" spans="29:39" x14ac:dyDescent="0.3">
      <c r="AC1657">
        <f t="shared" si="120"/>
        <v>0</v>
      </c>
      <c r="AD1657">
        <v>1654</v>
      </c>
      <c r="AE1657" s="4">
        <f t="shared" si="118"/>
        <v>42633</v>
      </c>
      <c r="AF1657" s="6" t="e">
        <f t="shared" si="119"/>
        <v>#DIV/0!</v>
      </c>
      <c r="AG1657" s="4">
        <v>42633</v>
      </c>
      <c r="AH1657" s="6">
        <v>-0.175317</v>
      </c>
      <c r="AI1657" s="6">
        <v>-3.3861000000000002E-2</v>
      </c>
      <c r="AJ1657" s="6">
        <v>-4.8217000000000003E-2</v>
      </c>
      <c r="AK1657" s="6"/>
      <c r="AL1657" s="6"/>
      <c r="AM1657" s="6" t="e">
        <f t="shared" si="121"/>
        <v>#DIV/0!</v>
      </c>
    </row>
    <row r="1658" spans="29:39" x14ac:dyDescent="0.3">
      <c r="AC1658">
        <f t="shared" si="120"/>
        <v>0</v>
      </c>
      <c r="AD1658">
        <v>1655</v>
      </c>
      <c r="AE1658" s="4">
        <f t="shared" si="118"/>
        <v>42634</v>
      </c>
      <c r="AF1658" s="6" t="e">
        <f t="shared" si="119"/>
        <v>#DIV/0!</v>
      </c>
      <c r="AG1658" s="4">
        <v>42634</v>
      </c>
      <c r="AH1658" s="6">
        <v>0.28344399999999997</v>
      </c>
      <c r="AI1658" s="6">
        <v>2.7140999999999998E-2</v>
      </c>
      <c r="AJ1658" s="6">
        <v>0.22630500000000001</v>
      </c>
      <c r="AK1658" s="6"/>
      <c r="AL1658" s="6"/>
      <c r="AM1658" s="6" t="e">
        <f t="shared" si="121"/>
        <v>#DIV/0!</v>
      </c>
    </row>
    <row r="1659" spans="29:39" x14ac:dyDescent="0.3">
      <c r="AC1659">
        <f t="shared" si="120"/>
        <v>0</v>
      </c>
      <c r="AD1659">
        <v>1656</v>
      </c>
      <c r="AE1659" s="4">
        <f t="shared" si="118"/>
        <v>42635</v>
      </c>
      <c r="AF1659" s="6" t="e">
        <f t="shared" si="119"/>
        <v>#DIV/0!</v>
      </c>
      <c r="AG1659" s="4">
        <v>42635</v>
      </c>
      <c r="AH1659" s="6">
        <v>0.74954200000000004</v>
      </c>
      <c r="AI1659" s="6">
        <v>0.66019600000000001</v>
      </c>
      <c r="AJ1659" s="6">
        <v>0.43627100000000002</v>
      </c>
      <c r="AK1659" s="6"/>
      <c r="AL1659" s="6"/>
      <c r="AM1659" s="6" t="e">
        <f t="shared" si="121"/>
        <v>#DIV/0!</v>
      </c>
    </row>
    <row r="1660" spans="29:39" x14ac:dyDescent="0.3">
      <c r="AC1660">
        <f t="shared" si="120"/>
        <v>0</v>
      </c>
      <c r="AD1660">
        <v>1657</v>
      </c>
      <c r="AE1660" s="4">
        <f t="shared" si="118"/>
        <v>42636</v>
      </c>
      <c r="AF1660" s="6" t="e">
        <f t="shared" si="119"/>
        <v>#DIV/0!</v>
      </c>
      <c r="AG1660" s="4">
        <v>42636</v>
      </c>
      <c r="AH1660" s="6">
        <v>-0.46958499999999997</v>
      </c>
      <c r="AI1660" s="6">
        <v>-0.23571500000000001</v>
      </c>
      <c r="AJ1660" s="6">
        <v>-0.461613</v>
      </c>
      <c r="AK1660" s="6"/>
      <c r="AL1660" s="6"/>
      <c r="AM1660" s="6" t="e">
        <f t="shared" si="121"/>
        <v>#DIV/0!</v>
      </c>
    </row>
    <row r="1661" spans="29:39" x14ac:dyDescent="0.3">
      <c r="AC1661">
        <f t="shared" si="120"/>
        <v>0</v>
      </c>
      <c r="AD1661">
        <v>1658</v>
      </c>
      <c r="AE1661" s="4">
        <f t="shared" si="118"/>
        <v>42639</v>
      </c>
      <c r="AF1661" s="6" t="e">
        <f t="shared" si="119"/>
        <v>#DIV/0!</v>
      </c>
      <c r="AG1661" s="4">
        <v>42639</v>
      </c>
      <c r="AH1661" s="6">
        <v>-1.690731</v>
      </c>
      <c r="AI1661" s="6">
        <v>-2.025995</v>
      </c>
      <c r="AJ1661" s="6">
        <v>-2.1242009999999998</v>
      </c>
      <c r="AK1661" s="6"/>
      <c r="AL1661" s="6"/>
      <c r="AM1661" s="6" t="e">
        <f t="shared" si="121"/>
        <v>#DIV/0!</v>
      </c>
    </row>
    <row r="1662" spans="29:39" x14ac:dyDescent="0.3">
      <c r="AC1662">
        <f t="shared" si="120"/>
        <v>0</v>
      </c>
      <c r="AD1662">
        <v>1659</v>
      </c>
      <c r="AE1662" s="4">
        <f t="shared" si="118"/>
        <v>42640</v>
      </c>
      <c r="AF1662" s="6" t="e">
        <f t="shared" si="119"/>
        <v>#DIV/0!</v>
      </c>
      <c r="AG1662" s="4">
        <v>42640</v>
      </c>
      <c r="AH1662" s="6">
        <v>0.635683</v>
      </c>
      <c r="AI1662" s="6">
        <v>0.72728499999999996</v>
      </c>
      <c r="AJ1662" s="6">
        <v>0.70133000000000001</v>
      </c>
      <c r="AK1662" s="6"/>
      <c r="AL1662" s="6"/>
      <c r="AM1662" s="6" t="e">
        <f t="shared" si="121"/>
        <v>#DIV/0!</v>
      </c>
    </row>
    <row r="1663" spans="29:39" x14ac:dyDescent="0.3">
      <c r="AC1663">
        <f t="shared" si="120"/>
        <v>0</v>
      </c>
      <c r="AD1663">
        <v>1660</v>
      </c>
      <c r="AE1663" s="4">
        <f t="shared" si="118"/>
        <v>42641</v>
      </c>
      <c r="AF1663" s="6" t="e">
        <f t="shared" si="119"/>
        <v>#DIV/0!</v>
      </c>
      <c r="AG1663" s="4">
        <v>42641</v>
      </c>
      <c r="AH1663" s="6">
        <v>-0.30437999999999998</v>
      </c>
      <c r="AI1663" s="6">
        <v>-8.9480000000000004E-2</v>
      </c>
      <c r="AJ1663" s="6">
        <v>-0.139155</v>
      </c>
      <c r="AK1663" s="6"/>
      <c r="AL1663" s="6"/>
      <c r="AM1663" s="6" t="e">
        <f t="shared" si="121"/>
        <v>#DIV/0!</v>
      </c>
    </row>
    <row r="1664" spans="29:39" x14ac:dyDescent="0.3">
      <c r="AC1664">
        <f t="shared" si="120"/>
        <v>0</v>
      </c>
      <c r="AD1664">
        <v>1661</v>
      </c>
      <c r="AE1664" s="4">
        <f t="shared" si="118"/>
        <v>42642</v>
      </c>
      <c r="AF1664" s="6" t="e">
        <f t="shared" si="119"/>
        <v>#DIV/0!</v>
      </c>
      <c r="AG1664" s="4">
        <v>42642</v>
      </c>
      <c r="AH1664" s="6">
        <v>0.41774899999999998</v>
      </c>
      <c r="AI1664" s="6">
        <v>0.27872200000000003</v>
      </c>
      <c r="AJ1664" s="6">
        <v>0.30818800000000002</v>
      </c>
      <c r="AK1664" s="6"/>
      <c r="AL1664" s="6"/>
      <c r="AM1664" s="6" t="e">
        <f t="shared" si="121"/>
        <v>#DIV/0!</v>
      </c>
    </row>
    <row r="1665" spans="29:39" x14ac:dyDescent="0.3">
      <c r="AC1665">
        <f t="shared" si="120"/>
        <v>0</v>
      </c>
      <c r="AD1665">
        <v>1662</v>
      </c>
      <c r="AE1665" s="4">
        <f t="shared" si="118"/>
        <v>42643</v>
      </c>
      <c r="AF1665" s="6" t="e">
        <f t="shared" si="119"/>
        <v>#DIV/0!</v>
      </c>
      <c r="AG1665" s="4">
        <v>42643</v>
      </c>
      <c r="AH1665" s="6">
        <v>0.27423999999999998</v>
      </c>
      <c r="AI1665" s="6">
        <v>0.46508100000000002</v>
      </c>
      <c r="AJ1665" s="6">
        <v>0.49210999999999999</v>
      </c>
      <c r="AK1665" s="6"/>
      <c r="AL1665" s="6"/>
      <c r="AM1665" s="6" t="e">
        <f t="shared" si="121"/>
        <v>#DIV/0!</v>
      </c>
    </row>
    <row r="1666" spans="29:39" x14ac:dyDescent="0.3">
      <c r="AC1666">
        <f t="shared" si="120"/>
        <v>0</v>
      </c>
      <c r="AD1666">
        <v>1663</v>
      </c>
      <c r="AE1666" s="4">
        <f t="shared" si="118"/>
        <v>42653</v>
      </c>
      <c r="AF1666" s="6" t="e">
        <f t="shared" si="119"/>
        <v>#DIV/0!</v>
      </c>
      <c r="AG1666" s="4">
        <v>42653</v>
      </c>
      <c r="AH1666" s="6">
        <v>1.2474810000000001</v>
      </c>
      <c r="AI1666" s="6">
        <v>1.89011</v>
      </c>
      <c r="AJ1666" s="6">
        <v>2.0990489999999999</v>
      </c>
      <c r="AK1666" s="6"/>
      <c r="AL1666" s="6"/>
      <c r="AM1666" s="6" t="e">
        <f t="shared" si="121"/>
        <v>#DIV/0!</v>
      </c>
    </row>
    <row r="1667" spans="29:39" x14ac:dyDescent="0.3">
      <c r="AC1667">
        <f t="shared" si="120"/>
        <v>0</v>
      </c>
      <c r="AD1667">
        <v>1664</v>
      </c>
      <c r="AE1667" s="4">
        <f t="shared" si="118"/>
        <v>42654</v>
      </c>
      <c r="AF1667" s="6" t="e">
        <f t="shared" si="119"/>
        <v>#DIV/0!</v>
      </c>
      <c r="AG1667" s="4">
        <v>42654</v>
      </c>
      <c r="AH1667" s="6">
        <v>0.38521300000000003</v>
      </c>
      <c r="AI1667" s="6">
        <v>0.60071099999999999</v>
      </c>
      <c r="AJ1667" s="6">
        <v>0.68576599999999999</v>
      </c>
      <c r="AK1667" s="6"/>
      <c r="AL1667" s="6"/>
      <c r="AM1667" s="6" t="e">
        <f t="shared" si="121"/>
        <v>#DIV/0!</v>
      </c>
    </row>
    <row r="1668" spans="29:39" x14ac:dyDescent="0.3">
      <c r="AC1668">
        <f t="shared" si="120"/>
        <v>0</v>
      </c>
      <c r="AD1668">
        <v>1665</v>
      </c>
      <c r="AE1668" s="4">
        <f t="shared" si="118"/>
        <v>42655</v>
      </c>
      <c r="AF1668" s="6" t="e">
        <f t="shared" si="119"/>
        <v>#DIV/0!</v>
      </c>
      <c r="AG1668" s="4">
        <v>42655</v>
      </c>
      <c r="AH1668" s="6">
        <v>-0.19801299999999999</v>
      </c>
      <c r="AI1668" s="6">
        <v>-5.6848999999999997E-2</v>
      </c>
      <c r="AJ1668" s="6">
        <v>0.134572</v>
      </c>
      <c r="AK1668" s="6"/>
      <c r="AL1668" s="6"/>
      <c r="AM1668" s="6" t="e">
        <f t="shared" si="121"/>
        <v>#DIV/0!</v>
      </c>
    </row>
    <row r="1669" spans="29:39" x14ac:dyDescent="0.3">
      <c r="AC1669">
        <f t="shared" si="120"/>
        <v>0</v>
      </c>
      <c r="AD1669">
        <v>1666</v>
      </c>
      <c r="AE1669" s="4">
        <f t="shared" ref="AE1669:AE1732" si="122">AG1669</f>
        <v>42656</v>
      </c>
      <c r="AF1669" s="6" t="e">
        <f t="shared" ref="AF1669:AF1732" si="123">AM1669</f>
        <v>#DIV/0!</v>
      </c>
      <c r="AG1669" s="4">
        <v>42656</v>
      </c>
      <c r="AH1669" s="6">
        <v>7.9866000000000006E-2</v>
      </c>
      <c r="AI1669" s="6">
        <v>3.2287000000000003E-2</v>
      </c>
      <c r="AJ1669" s="6">
        <v>0.15782099999999999</v>
      </c>
      <c r="AK1669" s="6"/>
      <c r="AL1669" s="6"/>
      <c r="AM1669" s="6" t="e">
        <f t="shared" si="121"/>
        <v>#DIV/0!</v>
      </c>
    </row>
    <row r="1670" spans="29:39" x14ac:dyDescent="0.3">
      <c r="AC1670">
        <f t="shared" ref="AC1670:AC1733" si="124">IF(AE1670&lt;=AE1669,1,0)</f>
        <v>0</v>
      </c>
      <c r="AD1670">
        <v>1667</v>
      </c>
      <c r="AE1670" s="4">
        <f t="shared" si="122"/>
        <v>42657</v>
      </c>
      <c r="AF1670" s="6" t="e">
        <f t="shared" si="123"/>
        <v>#DIV/0!</v>
      </c>
      <c r="AG1670" s="4">
        <v>42657</v>
      </c>
      <c r="AH1670" s="6">
        <v>9.6971000000000002E-2</v>
      </c>
      <c r="AI1670" s="6">
        <v>-0.236544</v>
      </c>
      <c r="AJ1670" s="6">
        <v>-0.177119</v>
      </c>
      <c r="AK1670" s="6"/>
      <c r="AL1670" s="6"/>
      <c r="AM1670" s="6" t="e">
        <f t="shared" ref="AM1670:AM1733" si="125">(AL1670/AL1669-1)*100</f>
        <v>#DIV/0!</v>
      </c>
    </row>
    <row r="1671" spans="29:39" x14ac:dyDescent="0.3">
      <c r="AC1671">
        <f t="shared" si="124"/>
        <v>0</v>
      </c>
      <c r="AD1671">
        <v>1668</v>
      </c>
      <c r="AE1671" s="4">
        <f t="shared" si="122"/>
        <v>42660</v>
      </c>
      <c r="AF1671" s="6" t="e">
        <f t="shared" si="123"/>
        <v>#DIV/0!</v>
      </c>
      <c r="AG1671" s="4">
        <v>42660</v>
      </c>
      <c r="AH1671" s="6">
        <v>-0.84605799999999998</v>
      </c>
      <c r="AI1671" s="6">
        <v>-0.87090000000000001</v>
      </c>
      <c r="AJ1671" s="6">
        <v>-0.91545299999999996</v>
      </c>
      <c r="AK1671" s="6"/>
      <c r="AL1671" s="6"/>
      <c r="AM1671" s="6" t="e">
        <f t="shared" si="125"/>
        <v>#DIV/0!</v>
      </c>
    </row>
    <row r="1672" spans="29:39" x14ac:dyDescent="0.3">
      <c r="AC1672">
        <f t="shared" si="124"/>
        <v>0</v>
      </c>
      <c r="AD1672">
        <v>1669</v>
      </c>
      <c r="AE1672" s="4">
        <f t="shared" si="122"/>
        <v>42661</v>
      </c>
      <c r="AF1672" s="6" t="e">
        <f t="shared" si="123"/>
        <v>#DIV/0!</v>
      </c>
      <c r="AG1672" s="4">
        <v>42661</v>
      </c>
      <c r="AH1672" s="6">
        <v>1.3256650000000001</v>
      </c>
      <c r="AI1672" s="6">
        <v>1.4990049999999999</v>
      </c>
      <c r="AJ1672" s="6">
        <v>1.5239450000000001</v>
      </c>
      <c r="AK1672" s="6"/>
      <c r="AL1672" s="6"/>
      <c r="AM1672" s="6" t="e">
        <f t="shared" si="125"/>
        <v>#DIV/0!</v>
      </c>
    </row>
    <row r="1673" spans="29:39" x14ac:dyDescent="0.3">
      <c r="AC1673">
        <f t="shared" si="124"/>
        <v>0</v>
      </c>
      <c r="AD1673">
        <v>1670</v>
      </c>
      <c r="AE1673" s="4">
        <f t="shared" si="122"/>
        <v>42662</v>
      </c>
      <c r="AF1673" s="6" t="e">
        <f t="shared" si="123"/>
        <v>#DIV/0!</v>
      </c>
      <c r="AG1673" s="4">
        <v>42662</v>
      </c>
      <c r="AH1673" s="6">
        <v>-0.15330299999999999</v>
      </c>
      <c r="AI1673" s="6">
        <v>-0.21545700000000001</v>
      </c>
      <c r="AJ1673" s="6">
        <v>-0.13927200000000001</v>
      </c>
      <c r="AK1673" s="6"/>
      <c r="AL1673" s="6"/>
      <c r="AM1673" s="6" t="e">
        <f t="shared" si="125"/>
        <v>#DIV/0!</v>
      </c>
    </row>
    <row r="1674" spans="29:39" x14ac:dyDescent="0.3">
      <c r="AC1674">
        <f t="shared" si="124"/>
        <v>0</v>
      </c>
      <c r="AD1674">
        <v>1671</v>
      </c>
      <c r="AE1674" s="4">
        <f t="shared" si="122"/>
        <v>42663</v>
      </c>
      <c r="AF1674" s="6" t="e">
        <f t="shared" si="123"/>
        <v>#DIV/0!</v>
      </c>
      <c r="AG1674" s="4">
        <v>42663</v>
      </c>
      <c r="AH1674" s="6">
        <v>7.1276000000000006E-2</v>
      </c>
      <c r="AI1674" s="6">
        <v>4.5880999999999998E-2</v>
      </c>
      <c r="AJ1674" s="6">
        <v>0.46020100000000003</v>
      </c>
      <c r="AK1674" s="6"/>
      <c r="AL1674" s="6"/>
      <c r="AM1674" s="6" t="e">
        <f t="shared" si="125"/>
        <v>#DIV/0!</v>
      </c>
    </row>
    <row r="1675" spans="29:39" x14ac:dyDescent="0.3">
      <c r="AC1675">
        <f t="shared" si="124"/>
        <v>0</v>
      </c>
      <c r="AD1675">
        <v>1672</v>
      </c>
      <c r="AE1675" s="4">
        <f t="shared" si="122"/>
        <v>42664</v>
      </c>
      <c r="AF1675" s="6" t="e">
        <f t="shared" si="123"/>
        <v>#DIV/0!</v>
      </c>
      <c r="AG1675" s="4">
        <v>42664</v>
      </c>
      <c r="AH1675" s="6">
        <v>0.27528399999999997</v>
      </c>
      <c r="AI1675" s="6">
        <v>-0.35327700000000001</v>
      </c>
      <c r="AJ1675" s="6">
        <v>-0.58250599999999997</v>
      </c>
      <c r="AK1675" s="6"/>
      <c r="AL1675" s="6"/>
      <c r="AM1675" s="6" t="e">
        <f t="shared" si="125"/>
        <v>#DIV/0!</v>
      </c>
    </row>
    <row r="1676" spans="29:39" x14ac:dyDescent="0.3">
      <c r="AC1676">
        <f t="shared" si="124"/>
        <v>0</v>
      </c>
      <c r="AD1676">
        <v>1673</v>
      </c>
      <c r="AE1676" s="4">
        <f t="shared" si="122"/>
        <v>42667</v>
      </c>
      <c r="AF1676" s="6" t="e">
        <f t="shared" si="123"/>
        <v>#DIV/0!</v>
      </c>
      <c r="AG1676" s="4">
        <v>42667</v>
      </c>
      <c r="AH1676" s="6">
        <v>1.1971430000000001</v>
      </c>
      <c r="AI1676" s="6">
        <v>0.99123700000000003</v>
      </c>
      <c r="AJ1676" s="6">
        <v>0.64510299999999998</v>
      </c>
      <c r="AK1676" s="6"/>
      <c r="AL1676" s="6"/>
      <c r="AM1676" s="6" t="e">
        <f t="shared" si="125"/>
        <v>#DIV/0!</v>
      </c>
    </row>
    <row r="1677" spans="29:39" x14ac:dyDescent="0.3">
      <c r="AC1677">
        <f t="shared" si="124"/>
        <v>0</v>
      </c>
      <c r="AD1677">
        <v>1674</v>
      </c>
      <c r="AE1677" s="4">
        <f t="shared" si="122"/>
        <v>42668</v>
      </c>
      <c r="AF1677" s="6" t="e">
        <f t="shared" si="123"/>
        <v>#DIV/0!</v>
      </c>
      <c r="AG1677" s="4">
        <v>42668</v>
      </c>
      <c r="AH1677" s="6">
        <v>-3.6549999999999998E-3</v>
      </c>
      <c r="AI1677" s="6">
        <v>0.36528699999999997</v>
      </c>
      <c r="AJ1677" s="6">
        <v>0.43082900000000002</v>
      </c>
      <c r="AK1677" s="6"/>
      <c r="AL1677" s="6"/>
      <c r="AM1677" s="6" t="e">
        <f t="shared" si="125"/>
        <v>#DIV/0!</v>
      </c>
    </row>
    <row r="1678" spans="29:39" x14ac:dyDescent="0.3">
      <c r="AC1678">
        <f t="shared" si="124"/>
        <v>0</v>
      </c>
      <c r="AD1678">
        <v>1675</v>
      </c>
      <c r="AE1678" s="4">
        <f t="shared" si="122"/>
        <v>42669</v>
      </c>
      <c r="AF1678" s="6" t="e">
        <f t="shared" si="123"/>
        <v>#DIV/0!</v>
      </c>
      <c r="AG1678" s="4">
        <v>42669</v>
      </c>
      <c r="AH1678" s="6">
        <v>-0.37578499999999998</v>
      </c>
      <c r="AI1678" s="6">
        <v>-0.50224500000000005</v>
      </c>
      <c r="AJ1678" s="6">
        <v>-0.42835099999999998</v>
      </c>
      <c r="AK1678" s="6"/>
      <c r="AL1678" s="6"/>
      <c r="AM1678" s="6" t="e">
        <f t="shared" si="125"/>
        <v>#DIV/0!</v>
      </c>
    </row>
    <row r="1679" spans="29:39" x14ac:dyDescent="0.3">
      <c r="AC1679">
        <f t="shared" si="124"/>
        <v>0</v>
      </c>
      <c r="AD1679">
        <v>1676</v>
      </c>
      <c r="AE1679" s="4">
        <f t="shared" si="122"/>
        <v>42670</v>
      </c>
      <c r="AF1679" s="6" t="e">
        <f t="shared" si="123"/>
        <v>#DIV/0!</v>
      </c>
      <c r="AG1679" s="4">
        <v>42670</v>
      </c>
      <c r="AH1679" s="6">
        <v>-0.27141100000000001</v>
      </c>
      <c r="AI1679" s="6">
        <v>-0.19953499999999999</v>
      </c>
      <c r="AJ1679" s="6">
        <v>-4.1592999999999998E-2</v>
      </c>
      <c r="AK1679" s="6"/>
      <c r="AL1679" s="6"/>
      <c r="AM1679" s="6" t="e">
        <f t="shared" si="125"/>
        <v>#DIV/0!</v>
      </c>
    </row>
    <row r="1680" spans="29:39" x14ac:dyDescent="0.3">
      <c r="AC1680">
        <f t="shared" si="124"/>
        <v>0</v>
      </c>
      <c r="AD1680">
        <v>1677</v>
      </c>
      <c r="AE1680" s="4">
        <f t="shared" si="122"/>
        <v>42671</v>
      </c>
      <c r="AF1680" s="6" t="e">
        <f t="shared" si="123"/>
        <v>#DIV/0!</v>
      </c>
      <c r="AG1680" s="4">
        <v>42671</v>
      </c>
      <c r="AH1680" s="6">
        <v>-0.16644700000000001</v>
      </c>
      <c r="AI1680" s="6">
        <v>-0.94401000000000002</v>
      </c>
      <c r="AJ1680" s="6">
        <v>-0.91585099999999997</v>
      </c>
      <c r="AK1680" s="6"/>
      <c r="AL1680" s="6"/>
      <c r="AM1680" s="6" t="e">
        <f t="shared" si="125"/>
        <v>#DIV/0!</v>
      </c>
    </row>
    <row r="1681" spans="29:39" x14ac:dyDescent="0.3">
      <c r="AC1681">
        <f t="shared" si="124"/>
        <v>0</v>
      </c>
      <c r="AD1681">
        <v>1678</v>
      </c>
      <c r="AE1681" s="4">
        <f t="shared" si="122"/>
        <v>42674</v>
      </c>
      <c r="AF1681" s="6" t="e">
        <f t="shared" si="123"/>
        <v>#DIV/0!</v>
      </c>
      <c r="AG1681" s="4">
        <v>42674</v>
      </c>
      <c r="AH1681" s="6">
        <v>-0.115217</v>
      </c>
      <c r="AI1681" s="6">
        <v>-5.6214E-2</v>
      </c>
      <c r="AJ1681" s="6">
        <v>-4.6087000000000003E-2</v>
      </c>
      <c r="AK1681" s="6"/>
      <c r="AL1681" s="6"/>
      <c r="AM1681" s="6" t="e">
        <f t="shared" si="125"/>
        <v>#DIV/0!</v>
      </c>
    </row>
    <row r="1682" spans="29:39" x14ac:dyDescent="0.3">
      <c r="AC1682">
        <f t="shared" si="124"/>
        <v>0</v>
      </c>
      <c r="AD1682">
        <v>1679</v>
      </c>
      <c r="AE1682" s="4">
        <f t="shared" si="122"/>
        <v>42675</v>
      </c>
      <c r="AF1682" s="6" t="e">
        <f t="shared" si="123"/>
        <v>#DIV/0!</v>
      </c>
      <c r="AG1682" s="4">
        <v>42675</v>
      </c>
      <c r="AH1682" s="6">
        <v>0.68260799999999999</v>
      </c>
      <c r="AI1682" s="6">
        <v>0.86395599999999995</v>
      </c>
      <c r="AJ1682" s="6">
        <v>1.080535</v>
      </c>
      <c r="AK1682" s="6"/>
      <c r="AL1682" s="6"/>
      <c r="AM1682" s="6" t="e">
        <f t="shared" si="125"/>
        <v>#DIV/0!</v>
      </c>
    </row>
    <row r="1683" spans="29:39" x14ac:dyDescent="0.3">
      <c r="AC1683">
        <f t="shared" si="124"/>
        <v>0</v>
      </c>
      <c r="AD1683">
        <v>1680</v>
      </c>
      <c r="AE1683" s="4">
        <f t="shared" si="122"/>
        <v>42676</v>
      </c>
      <c r="AF1683" s="6" t="e">
        <f t="shared" si="123"/>
        <v>#DIV/0!</v>
      </c>
      <c r="AG1683" s="4">
        <v>42676</v>
      </c>
      <c r="AH1683" s="6">
        <v>-0.76507000000000003</v>
      </c>
      <c r="AI1683" s="6">
        <v>-0.81162999999999996</v>
      </c>
      <c r="AJ1683" s="6">
        <v>-0.66667200000000004</v>
      </c>
      <c r="AK1683" s="6"/>
      <c r="AL1683" s="6"/>
      <c r="AM1683" s="6" t="e">
        <f t="shared" si="125"/>
        <v>#DIV/0!</v>
      </c>
    </row>
    <row r="1684" spans="29:39" x14ac:dyDescent="0.3">
      <c r="AC1684">
        <f t="shared" si="124"/>
        <v>0</v>
      </c>
      <c r="AD1684">
        <v>1681</v>
      </c>
      <c r="AE1684" s="4">
        <f t="shared" si="122"/>
        <v>42677</v>
      </c>
      <c r="AF1684" s="6" t="e">
        <f t="shared" si="123"/>
        <v>#DIV/0!</v>
      </c>
      <c r="AG1684" s="4">
        <v>42677</v>
      </c>
      <c r="AH1684" s="6">
        <v>0.95197299999999996</v>
      </c>
      <c r="AI1684" s="6">
        <v>0.44309999999999999</v>
      </c>
      <c r="AJ1684" s="6">
        <v>0.64952100000000002</v>
      </c>
      <c r="AK1684" s="6"/>
      <c r="AL1684" s="6"/>
      <c r="AM1684" s="6" t="e">
        <f t="shared" si="125"/>
        <v>#DIV/0!</v>
      </c>
    </row>
    <row r="1685" spans="29:39" x14ac:dyDescent="0.3">
      <c r="AC1685">
        <f t="shared" si="124"/>
        <v>0</v>
      </c>
      <c r="AD1685">
        <v>1682</v>
      </c>
      <c r="AE1685" s="4">
        <f t="shared" si="122"/>
        <v>42678</v>
      </c>
      <c r="AF1685" s="6" t="e">
        <f t="shared" si="123"/>
        <v>#DIV/0!</v>
      </c>
      <c r="AG1685" s="4">
        <v>42678</v>
      </c>
      <c r="AH1685" s="6">
        <v>-0.32421499999999998</v>
      </c>
      <c r="AI1685" s="6">
        <v>-0.32603799999999999</v>
      </c>
      <c r="AJ1685" s="6">
        <v>-0.27683400000000002</v>
      </c>
      <c r="AK1685" s="6"/>
      <c r="AL1685" s="6"/>
      <c r="AM1685" s="6" t="e">
        <f t="shared" si="125"/>
        <v>#DIV/0!</v>
      </c>
    </row>
    <row r="1686" spans="29:39" x14ac:dyDescent="0.3">
      <c r="AC1686">
        <f t="shared" si="124"/>
        <v>0</v>
      </c>
      <c r="AD1686">
        <v>1683</v>
      </c>
      <c r="AE1686" s="4">
        <f t="shared" si="122"/>
        <v>42681</v>
      </c>
      <c r="AF1686" s="6" t="e">
        <f t="shared" si="123"/>
        <v>#DIV/0!</v>
      </c>
      <c r="AG1686" s="4">
        <v>42681</v>
      </c>
      <c r="AH1686" s="6">
        <v>7.2051000000000004E-2</v>
      </c>
      <c r="AI1686" s="6">
        <v>9.6312999999999996E-2</v>
      </c>
      <c r="AJ1686" s="6">
        <v>-4.8554E-2</v>
      </c>
      <c r="AK1686" s="6"/>
      <c r="AL1686" s="6"/>
      <c r="AM1686" s="6" t="e">
        <f t="shared" si="125"/>
        <v>#DIV/0!</v>
      </c>
    </row>
    <row r="1687" spans="29:39" x14ac:dyDescent="0.3">
      <c r="AC1687">
        <f t="shared" si="124"/>
        <v>0</v>
      </c>
      <c r="AD1687">
        <v>1684</v>
      </c>
      <c r="AE1687" s="4">
        <f t="shared" si="122"/>
        <v>42682</v>
      </c>
      <c r="AF1687" s="6" t="e">
        <f t="shared" si="123"/>
        <v>#DIV/0!</v>
      </c>
      <c r="AG1687" s="4">
        <v>42682</v>
      </c>
      <c r="AH1687" s="6">
        <v>0.43276300000000001</v>
      </c>
      <c r="AI1687" s="6">
        <v>0.53117899999999996</v>
      </c>
      <c r="AJ1687" s="6">
        <v>0.61461200000000005</v>
      </c>
      <c r="AK1687" s="6"/>
      <c r="AL1687" s="6"/>
      <c r="AM1687" s="6" t="e">
        <f t="shared" si="125"/>
        <v>#DIV/0!</v>
      </c>
    </row>
    <row r="1688" spans="29:39" x14ac:dyDescent="0.3">
      <c r="AC1688">
        <f t="shared" si="124"/>
        <v>0</v>
      </c>
      <c r="AD1688">
        <v>1685</v>
      </c>
      <c r="AE1688" s="4">
        <f t="shared" si="122"/>
        <v>42683</v>
      </c>
      <c r="AF1688" s="6" t="e">
        <f t="shared" si="123"/>
        <v>#DIV/0!</v>
      </c>
      <c r="AG1688" s="4">
        <v>42683</v>
      </c>
      <c r="AH1688" s="6">
        <v>-0.53581599999999996</v>
      </c>
      <c r="AI1688" s="6">
        <v>-0.76280099999999995</v>
      </c>
      <c r="AJ1688" s="6">
        <v>-0.69910799999999995</v>
      </c>
      <c r="AK1688" s="6"/>
      <c r="AL1688" s="6"/>
      <c r="AM1688" s="6" t="e">
        <f t="shared" si="125"/>
        <v>#DIV/0!</v>
      </c>
    </row>
    <row r="1689" spans="29:39" x14ac:dyDescent="0.3">
      <c r="AC1689">
        <f t="shared" si="124"/>
        <v>0</v>
      </c>
      <c r="AD1689">
        <v>1686</v>
      </c>
      <c r="AE1689" s="4">
        <f t="shared" si="122"/>
        <v>42684</v>
      </c>
      <c r="AF1689" s="6" t="e">
        <f t="shared" si="123"/>
        <v>#DIV/0!</v>
      </c>
      <c r="AG1689" s="4">
        <v>42684</v>
      </c>
      <c r="AH1689" s="6">
        <v>1.1200889999999999</v>
      </c>
      <c r="AI1689" s="6">
        <v>1.2922039999999999</v>
      </c>
      <c r="AJ1689" s="6">
        <v>1.296311</v>
      </c>
      <c r="AK1689" s="6"/>
      <c r="AL1689" s="6"/>
      <c r="AM1689" s="6" t="e">
        <f t="shared" si="125"/>
        <v>#DIV/0!</v>
      </c>
    </row>
    <row r="1690" spans="29:39" x14ac:dyDescent="0.3">
      <c r="AC1690">
        <f t="shared" si="124"/>
        <v>0</v>
      </c>
      <c r="AD1690">
        <v>1687</v>
      </c>
      <c r="AE1690" s="4">
        <f t="shared" si="122"/>
        <v>42685</v>
      </c>
      <c r="AF1690" s="6" t="e">
        <f t="shared" si="123"/>
        <v>#DIV/0!</v>
      </c>
      <c r="AG1690" s="4">
        <v>42685</v>
      </c>
      <c r="AH1690" s="6">
        <v>0.78478999999999999</v>
      </c>
      <c r="AI1690" s="6">
        <v>0.71778399999999998</v>
      </c>
      <c r="AJ1690" s="6">
        <v>0.41463699999999998</v>
      </c>
      <c r="AK1690" s="6"/>
      <c r="AL1690" s="6"/>
      <c r="AM1690" s="6" t="e">
        <f t="shared" si="125"/>
        <v>#DIV/0!</v>
      </c>
    </row>
    <row r="1691" spans="29:39" x14ac:dyDescent="0.3">
      <c r="AC1691">
        <f t="shared" si="124"/>
        <v>0</v>
      </c>
      <c r="AD1691">
        <v>1688</v>
      </c>
      <c r="AE1691" s="4">
        <f t="shared" si="122"/>
        <v>42688</v>
      </c>
      <c r="AF1691" s="6" t="e">
        <f t="shared" si="123"/>
        <v>#DIV/0!</v>
      </c>
      <c r="AG1691" s="4">
        <v>42688</v>
      </c>
      <c r="AH1691" s="6">
        <v>0.38121899999999997</v>
      </c>
      <c r="AI1691" s="6">
        <v>0.47267999999999999</v>
      </c>
      <c r="AJ1691" s="6">
        <v>0.336086</v>
      </c>
      <c r="AK1691" s="6"/>
      <c r="AL1691" s="6"/>
      <c r="AM1691" s="6" t="e">
        <f t="shared" si="125"/>
        <v>#DIV/0!</v>
      </c>
    </row>
    <row r="1692" spans="29:39" x14ac:dyDescent="0.3">
      <c r="AC1692">
        <f t="shared" si="124"/>
        <v>0</v>
      </c>
      <c r="AD1692">
        <v>1689</v>
      </c>
      <c r="AE1692" s="4">
        <f t="shared" si="122"/>
        <v>42689</v>
      </c>
      <c r="AF1692" s="6" t="e">
        <f t="shared" si="123"/>
        <v>#DIV/0!</v>
      </c>
      <c r="AG1692" s="4">
        <v>42689</v>
      </c>
      <c r="AH1692" s="6">
        <v>-1.1034E-2</v>
      </c>
      <c r="AI1692" s="6">
        <v>0.384799</v>
      </c>
      <c r="AJ1692" s="6">
        <v>0.49928400000000001</v>
      </c>
      <c r="AK1692" s="6"/>
      <c r="AL1692" s="6"/>
      <c r="AM1692" s="6" t="e">
        <f t="shared" si="125"/>
        <v>#DIV/0!</v>
      </c>
    </row>
    <row r="1693" spans="29:39" x14ac:dyDescent="0.3">
      <c r="AC1693">
        <f t="shared" si="124"/>
        <v>0</v>
      </c>
      <c r="AD1693">
        <v>1690</v>
      </c>
      <c r="AE1693" s="4">
        <f t="shared" si="122"/>
        <v>42690</v>
      </c>
      <c r="AF1693" s="6" t="e">
        <f t="shared" si="123"/>
        <v>#DIV/0!</v>
      </c>
      <c r="AG1693" s="4">
        <v>42690</v>
      </c>
      <c r="AH1693" s="6">
        <v>-8.0940000000000005E-3</v>
      </c>
      <c r="AI1693" s="6">
        <v>5.6113999999999997E-2</v>
      </c>
      <c r="AJ1693" s="6">
        <v>0.153168</v>
      </c>
      <c r="AK1693" s="6"/>
      <c r="AL1693" s="6"/>
      <c r="AM1693" s="6" t="e">
        <f t="shared" si="125"/>
        <v>#DIV/0!</v>
      </c>
    </row>
    <row r="1694" spans="29:39" x14ac:dyDescent="0.3">
      <c r="AC1694">
        <f t="shared" si="124"/>
        <v>0</v>
      </c>
      <c r="AD1694">
        <v>1691</v>
      </c>
      <c r="AE1694" s="4">
        <f t="shared" si="122"/>
        <v>42691</v>
      </c>
      <c r="AF1694" s="6" t="e">
        <f t="shared" si="123"/>
        <v>#DIV/0!</v>
      </c>
      <c r="AG1694" s="4">
        <v>42691</v>
      </c>
      <c r="AH1694" s="6">
        <v>0.20244100000000001</v>
      </c>
      <c r="AI1694" s="6">
        <v>-0.116174</v>
      </c>
      <c r="AJ1694" s="6">
        <v>-0.40719100000000003</v>
      </c>
      <c r="AK1694" s="6"/>
      <c r="AL1694" s="6"/>
      <c r="AM1694" s="6" t="e">
        <f t="shared" si="125"/>
        <v>#DIV/0!</v>
      </c>
    </row>
    <row r="1695" spans="29:39" x14ac:dyDescent="0.3">
      <c r="AC1695">
        <f t="shared" si="124"/>
        <v>0</v>
      </c>
      <c r="AD1695">
        <v>1692</v>
      </c>
      <c r="AE1695" s="4">
        <f t="shared" si="122"/>
        <v>42692</v>
      </c>
      <c r="AF1695" s="6" t="e">
        <f t="shared" si="123"/>
        <v>#DIV/0!</v>
      </c>
      <c r="AG1695" s="4">
        <v>42692</v>
      </c>
      <c r="AH1695" s="6">
        <v>-0.555199</v>
      </c>
      <c r="AI1695" s="6">
        <v>-0.51446800000000004</v>
      </c>
      <c r="AJ1695" s="6">
        <v>-0.30764599999999998</v>
      </c>
      <c r="AK1695" s="6"/>
      <c r="AL1695" s="6"/>
      <c r="AM1695" s="6" t="e">
        <f t="shared" si="125"/>
        <v>#DIV/0!</v>
      </c>
    </row>
    <row r="1696" spans="29:39" x14ac:dyDescent="0.3">
      <c r="AC1696">
        <f t="shared" si="124"/>
        <v>0</v>
      </c>
      <c r="AD1696">
        <v>1693</v>
      </c>
      <c r="AE1696" s="4">
        <f t="shared" si="122"/>
        <v>42695</v>
      </c>
      <c r="AF1696" s="6" t="e">
        <f t="shared" si="123"/>
        <v>#DIV/0!</v>
      </c>
      <c r="AG1696" s="4">
        <v>42695</v>
      </c>
      <c r="AH1696" s="6">
        <v>0.69218800000000003</v>
      </c>
      <c r="AI1696" s="6">
        <v>0.13954800000000001</v>
      </c>
      <c r="AJ1696" s="6">
        <v>0.23264599999999999</v>
      </c>
      <c r="AK1696" s="6"/>
      <c r="AL1696" s="6"/>
      <c r="AM1696" s="6" t="e">
        <f t="shared" si="125"/>
        <v>#DIV/0!</v>
      </c>
    </row>
    <row r="1697" spans="29:39" x14ac:dyDescent="0.3">
      <c r="AC1697">
        <f t="shared" si="124"/>
        <v>0</v>
      </c>
      <c r="AD1697">
        <v>1694</v>
      </c>
      <c r="AE1697" s="4">
        <f t="shared" si="122"/>
        <v>42696</v>
      </c>
      <c r="AF1697" s="6" t="e">
        <f t="shared" si="123"/>
        <v>#DIV/0!</v>
      </c>
      <c r="AG1697" s="4">
        <v>42696</v>
      </c>
      <c r="AH1697" s="6">
        <v>0.79198599999999997</v>
      </c>
      <c r="AI1697" s="6">
        <v>0.75180800000000003</v>
      </c>
      <c r="AJ1697" s="6">
        <v>0.83686700000000003</v>
      </c>
      <c r="AK1697" s="6"/>
      <c r="AL1697" s="6"/>
      <c r="AM1697" s="6" t="e">
        <f t="shared" si="125"/>
        <v>#DIV/0!</v>
      </c>
    </row>
    <row r="1698" spans="29:39" x14ac:dyDescent="0.3">
      <c r="AC1698">
        <f t="shared" si="124"/>
        <v>0</v>
      </c>
      <c r="AD1698">
        <v>1695</v>
      </c>
      <c r="AE1698" s="4">
        <f t="shared" si="122"/>
        <v>42697</v>
      </c>
      <c r="AF1698" s="6" t="e">
        <f t="shared" si="123"/>
        <v>#DIV/0!</v>
      </c>
      <c r="AG1698" s="4">
        <v>42697</v>
      </c>
      <c r="AH1698" s="6">
        <v>0.18352199999999999</v>
      </c>
      <c r="AI1698" s="6">
        <v>-0.45145800000000003</v>
      </c>
      <c r="AJ1698" s="6">
        <v>-0.69449700000000003</v>
      </c>
      <c r="AK1698" s="6"/>
      <c r="AL1698" s="6"/>
      <c r="AM1698" s="6" t="e">
        <f t="shared" si="125"/>
        <v>#DIV/0!</v>
      </c>
    </row>
    <row r="1699" spans="29:39" x14ac:dyDescent="0.3">
      <c r="AC1699">
        <f t="shared" si="124"/>
        <v>0</v>
      </c>
      <c r="AD1699">
        <v>1696</v>
      </c>
      <c r="AE1699" s="4">
        <f t="shared" si="122"/>
        <v>42698</v>
      </c>
      <c r="AF1699" s="6" t="e">
        <f t="shared" si="123"/>
        <v>#DIV/0!</v>
      </c>
      <c r="AG1699" s="4">
        <v>42698</v>
      </c>
      <c r="AH1699" s="6">
        <v>0.40323399999999998</v>
      </c>
      <c r="AI1699" s="6">
        <v>-0.122518</v>
      </c>
      <c r="AJ1699" s="6">
        <v>-0.69111699999999998</v>
      </c>
      <c r="AK1699" s="6"/>
      <c r="AL1699" s="6"/>
      <c r="AM1699" s="6" t="e">
        <f t="shared" si="125"/>
        <v>#DIV/0!</v>
      </c>
    </row>
    <row r="1700" spans="29:39" x14ac:dyDescent="0.3">
      <c r="AC1700">
        <f t="shared" si="124"/>
        <v>0</v>
      </c>
      <c r="AD1700">
        <v>1697</v>
      </c>
      <c r="AE1700" s="4">
        <f t="shared" si="122"/>
        <v>42699</v>
      </c>
      <c r="AF1700" s="6" t="e">
        <f t="shared" si="123"/>
        <v>#DIV/0!</v>
      </c>
      <c r="AG1700" s="4">
        <v>42699</v>
      </c>
      <c r="AH1700" s="6">
        <v>0.93323699999999998</v>
      </c>
      <c r="AI1700" s="6">
        <v>0.44947300000000001</v>
      </c>
      <c r="AJ1700" s="6">
        <v>0.20017299999999999</v>
      </c>
      <c r="AK1700" s="6"/>
      <c r="AL1700" s="6"/>
      <c r="AM1700" s="6" t="e">
        <f t="shared" si="125"/>
        <v>#DIV/0!</v>
      </c>
    </row>
    <row r="1701" spans="29:39" x14ac:dyDescent="0.3">
      <c r="AC1701">
        <f t="shared" si="124"/>
        <v>0</v>
      </c>
      <c r="AD1701">
        <v>1698</v>
      </c>
      <c r="AE1701" s="4">
        <f t="shared" si="122"/>
        <v>42702</v>
      </c>
      <c r="AF1701" s="6" t="e">
        <f t="shared" si="123"/>
        <v>#DIV/0!</v>
      </c>
      <c r="AG1701" s="4">
        <v>42702</v>
      </c>
      <c r="AH1701" s="6">
        <v>0.39139800000000002</v>
      </c>
      <c r="AI1701" s="6">
        <v>0.27034900000000001</v>
      </c>
      <c r="AJ1701" s="6">
        <v>-9.9139999999999992E-3</v>
      </c>
      <c r="AK1701" s="6"/>
      <c r="AL1701" s="6"/>
      <c r="AM1701" s="6" t="e">
        <f t="shared" si="125"/>
        <v>#DIV/0!</v>
      </c>
    </row>
    <row r="1702" spans="29:39" x14ac:dyDescent="0.3">
      <c r="AC1702">
        <f t="shared" si="124"/>
        <v>0</v>
      </c>
      <c r="AD1702">
        <v>1699</v>
      </c>
      <c r="AE1702" s="4">
        <f t="shared" si="122"/>
        <v>42703</v>
      </c>
      <c r="AF1702" s="6" t="e">
        <f t="shared" si="123"/>
        <v>#DIV/0!</v>
      </c>
      <c r="AG1702" s="4">
        <v>42703</v>
      </c>
      <c r="AH1702" s="6">
        <v>0.81920899999999996</v>
      </c>
      <c r="AI1702" s="6">
        <v>-0.749664</v>
      </c>
      <c r="AJ1702" s="6">
        <v>-1.123505</v>
      </c>
      <c r="AK1702" s="6"/>
      <c r="AL1702" s="6"/>
      <c r="AM1702" s="6" t="e">
        <f t="shared" si="125"/>
        <v>#DIV/0!</v>
      </c>
    </row>
    <row r="1703" spans="29:39" x14ac:dyDescent="0.3">
      <c r="AC1703">
        <f t="shared" si="124"/>
        <v>0</v>
      </c>
      <c r="AD1703">
        <v>1700</v>
      </c>
      <c r="AE1703" s="4">
        <f t="shared" si="122"/>
        <v>42704</v>
      </c>
      <c r="AF1703" s="6" t="e">
        <f t="shared" si="123"/>
        <v>#DIV/0!</v>
      </c>
      <c r="AG1703" s="4">
        <v>42704</v>
      </c>
      <c r="AH1703" s="6">
        <v>-0.73061500000000001</v>
      </c>
      <c r="AI1703" s="6">
        <v>-0.53191999999999995</v>
      </c>
      <c r="AJ1703" s="6">
        <v>-0.181334</v>
      </c>
      <c r="AK1703" s="6"/>
      <c r="AL1703" s="6"/>
      <c r="AM1703" s="6" t="e">
        <f t="shared" si="125"/>
        <v>#DIV/0!</v>
      </c>
    </row>
    <row r="1704" spans="29:39" x14ac:dyDescent="0.3">
      <c r="AC1704">
        <f t="shared" si="124"/>
        <v>0</v>
      </c>
      <c r="AD1704">
        <v>1701</v>
      </c>
      <c r="AE1704" s="4">
        <f t="shared" si="122"/>
        <v>42705</v>
      </c>
      <c r="AF1704" s="6" t="e">
        <f t="shared" si="123"/>
        <v>#DIV/0!</v>
      </c>
      <c r="AG1704" s="4">
        <v>42705</v>
      </c>
      <c r="AH1704" s="6">
        <v>0.76413200000000003</v>
      </c>
      <c r="AI1704" s="6">
        <v>0.59050400000000003</v>
      </c>
      <c r="AJ1704" s="6">
        <v>0.45560699999999998</v>
      </c>
      <c r="AK1704" s="6"/>
      <c r="AL1704" s="6"/>
      <c r="AM1704" s="6" t="e">
        <f t="shared" si="125"/>
        <v>#DIV/0!</v>
      </c>
    </row>
    <row r="1705" spans="29:39" x14ac:dyDescent="0.3">
      <c r="AC1705">
        <f t="shared" si="124"/>
        <v>0</v>
      </c>
      <c r="AD1705">
        <v>1702</v>
      </c>
      <c r="AE1705" s="4">
        <f t="shared" si="122"/>
        <v>42706</v>
      </c>
      <c r="AF1705" s="6" t="e">
        <f t="shared" si="123"/>
        <v>#DIV/0!</v>
      </c>
      <c r="AG1705" s="4">
        <v>42706</v>
      </c>
      <c r="AH1705" s="6">
        <v>-1.0120880000000001</v>
      </c>
      <c r="AI1705" s="6">
        <v>-1.562257</v>
      </c>
      <c r="AJ1705" s="6">
        <v>-1.717883</v>
      </c>
      <c r="AK1705" s="6"/>
      <c r="AL1705" s="6"/>
      <c r="AM1705" s="6" t="e">
        <f t="shared" si="125"/>
        <v>#DIV/0!</v>
      </c>
    </row>
    <row r="1706" spans="29:39" x14ac:dyDescent="0.3">
      <c r="AC1706">
        <f t="shared" si="124"/>
        <v>0</v>
      </c>
      <c r="AD1706">
        <v>1703</v>
      </c>
      <c r="AE1706" s="4">
        <f t="shared" si="122"/>
        <v>42709</v>
      </c>
      <c r="AF1706" s="6" t="e">
        <f t="shared" si="123"/>
        <v>#DIV/0!</v>
      </c>
      <c r="AG1706" s="4">
        <v>42709</v>
      </c>
      <c r="AH1706" s="6">
        <v>-1.687395</v>
      </c>
      <c r="AI1706" s="6">
        <v>-0.53607300000000002</v>
      </c>
      <c r="AJ1706" s="6">
        <v>-0.54939099999999996</v>
      </c>
      <c r="AK1706" s="6"/>
      <c r="AL1706" s="6"/>
      <c r="AM1706" s="6" t="e">
        <f t="shared" si="125"/>
        <v>#DIV/0!</v>
      </c>
    </row>
    <row r="1707" spans="29:39" x14ac:dyDescent="0.3">
      <c r="AC1707">
        <f t="shared" si="124"/>
        <v>0</v>
      </c>
      <c r="AD1707">
        <v>1704</v>
      </c>
      <c r="AE1707" s="4">
        <f t="shared" si="122"/>
        <v>42710</v>
      </c>
      <c r="AF1707" s="6" t="e">
        <f t="shared" si="123"/>
        <v>#DIV/0!</v>
      </c>
      <c r="AG1707" s="4">
        <v>42710</v>
      </c>
      <c r="AH1707" s="6">
        <v>-0.29555500000000001</v>
      </c>
      <c r="AI1707" s="6">
        <v>7.5121999999999994E-2</v>
      </c>
      <c r="AJ1707" s="6">
        <v>0.228351</v>
      </c>
      <c r="AK1707" s="6"/>
      <c r="AL1707" s="6"/>
      <c r="AM1707" s="6" t="e">
        <f t="shared" si="125"/>
        <v>#DIV/0!</v>
      </c>
    </row>
    <row r="1708" spans="29:39" x14ac:dyDescent="0.3">
      <c r="AC1708">
        <f t="shared" si="124"/>
        <v>0</v>
      </c>
      <c r="AD1708">
        <v>1705</v>
      </c>
      <c r="AE1708" s="4">
        <f t="shared" si="122"/>
        <v>42711</v>
      </c>
      <c r="AF1708" s="6" t="e">
        <f t="shared" si="123"/>
        <v>#DIV/0!</v>
      </c>
      <c r="AG1708" s="4">
        <v>42711</v>
      </c>
      <c r="AH1708" s="6">
        <v>0.479713</v>
      </c>
      <c r="AI1708" s="6">
        <v>1.0342960000000001</v>
      </c>
      <c r="AJ1708" s="6">
        <v>1.097947</v>
      </c>
      <c r="AK1708" s="6"/>
      <c r="AL1708" s="6"/>
      <c r="AM1708" s="6" t="e">
        <f t="shared" si="125"/>
        <v>#DIV/0!</v>
      </c>
    </row>
    <row r="1709" spans="29:39" x14ac:dyDescent="0.3">
      <c r="AC1709">
        <f t="shared" si="124"/>
        <v>0</v>
      </c>
      <c r="AD1709">
        <v>1706</v>
      </c>
      <c r="AE1709" s="4">
        <f t="shared" si="122"/>
        <v>42712</v>
      </c>
      <c r="AF1709" s="6" t="e">
        <f t="shared" si="123"/>
        <v>#DIV/0!</v>
      </c>
      <c r="AG1709" s="4">
        <v>42712</v>
      </c>
      <c r="AH1709" s="6">
        <v>-0.16125200000000001</v>
      </c>
      <c r="AI1709" s="6">
        <v>-0.46646500000000002</v>
      </c>
      <c r="AJ1709" s="6">
        <v>-0.60901700000000003</v>
      </c>
      <c r="AK1709" s="6"/>
      <c r="AL1709" s="6"/>
      <c r="AM1709" s="6" t="e">
        <f t="shared" si="125"/>
        <v>#DIV/0!</v>
      </c>
    </row>
    <row r="1710" spans="29:39" x14ac:dyDescent="0.3">
      <c r="AC1710">
        <f t="shared" si="124"/>
        <v>0</v>
      </c>
      <c r="AD1710">
        <v>1707</v>
      </c>
      <c r="AE1710" s="4">
        <f t="shared" si="122"/>
        <v>42713</v>
      </c>
      <c r="AF1710" s="6" t="e">
        <f t="shared" si="123"/>
        <v>#DIV/0!</v>
      </c>
      <c r="AG1710" s="4">
        <v>42713</v>
      </c>
      <c r="AH1710" s="6">
        <v>0.678871</v>
      </c>
      <c r="AI1710" s="6">
        <v>-0.20710000000000001</v>
      </c>
      <c r="AJ1710" s="6">
        <v>-0.372081</v>
      </c>
      <c r="AK1710" s="6"/>
      <c r="AL1710" s="6"/>
      <c r="AM1710" s="6" t="e">
        <f t="shared" si="125"/>
        <v>#DIV/0!</v>
      </c>
    </row>
    <row r="1711" spans="29:39" x14ac:dyDescent="0.3">
      <c r="AC1711">
        <f t="shared" si="124"/>
        <v>0</v>
      </c>
      <c r="AD1711">
        <v>1708</v>
      </c>
      <c r="AE1711" s="4">
        <f t="shared" si="122"/>
        <v>42716</v>
      </c>
      <c r="AF1711" s="6" t="e">
        <f t="shared" si="123"/>
        <v>#DIV/0!</v>
      </c>
      <c r="AG1711" s="4">
        <v>42716</v>
      </c>
      <c r="AH1711" s="6">
        <v>-2.4192399999999998</v>
      </c>
      <c r="AI1711" s="6">
        <v>-4.0657129999999997</v>
      </c>
      <c r="AJ1711" s="6">
        <v>-5.4480409999999999</v>
      </c>
      <c r="AK1711" s="6"/>
      <c r="AL1711" s="6"/>
      <c r="AM1711" s="6" t="e">
        <f t="shared" si="125"/>
        <v>#DIV/0!</v>
      </c>
    </row>
    <row r="1712" spans="29:39" x14ac:dyDescent="0.3">
      <c r="AC1712">
        <f t="shared" si="124"/>
        <v>0</v>
      </c>
      <c r="AD1712">
        <v>1709</v>
      </c>
      <c r="AE1712" s="4">
        <f t="shared" si="122"/>
        <v>42717</v>
      </c>
      <c r="AF1712" s="6" t="e">
        <f t="shared" si="123"/>
        <v>#DIV/0!</v>
      </c>
      <c r="AG1712" s="4">
        <v>42717</v>
      </c>
      <c r="AH1712" s="6">
        <v>-0.12155100000000001</v>
      </c>
      <c r="AI1712" s="6">
        <v>0.46568300000000001</v>
      </c>
      <c r="AJ1712" s="6">
        <v>0.42993500000000001</v>
      </c>
      <c r="AK1712" s="6"/>
      <c r="AL1712" s="6"/>
      <c r="AM1712" s="6" t="e">
        <f t="shared" si="125"/>
        <v>#DIV/0!</v>
      </c>
    </row>
    <row r="1713" spans="29:39" x14ac:dyDescent="0.3">
      <c r="AC1713">
        <f t="shared" si="124"/>
        <v>0</v>
      </c>
      <c r="AD1713">
        <v>1710</v>
      </c>
      <c r="AE1713" s="4">
        <f t="shared" si="122"/>
        <v>42718</v>
      </c>
      <c r="AF1713" s="6" t="e">
        <f t="shared" si="123"/>
        <v>#DIV/0!</v>
      </c>
      <c r="AG1713" s="4">
        <v>42718</v>
      </c>
      <c r="AH1713" s="6">
        <v>-0.76622400000000002</v>
      </c>
      <c r="AI1713" s="6">
        <v>-0.61610900000000002</v>
      </c>
      <c r="AJ1713" s="6">
        <v>-0.65845299999999995</v>
      </c>
      <c r="AK1713" s="6"/>
      <c r="AL1713" s="6"/>
      <c r="AM1713" s="6" t="e">
        <f t="shared" si="125"/>
        <v>#DIV/0!</v>
      </c>
    </row>
    <row r="1714" spans="29:39" x14ac:dyDescent="0.3">
      <c r="AC1714">
        <f t="shared" si="124"/>
        <v>0</v>
      </c>
      <c r="AD1714">
        <v>1711</v>
      </c>
      <c r="AE1714" s="4">
        <f t="shared" si="122"/>
        <v>42719</v>
      </c>
      <c r="AF1714" s="6" t="e">
        <f t="shared" si="123"/>
        <v>#DIV/0!</v>
      </c>
      <c r="AG1714" s="4">
        <v>42719</v>
      </c>
      <c r="AH1714" s="6">
        <v>-1.1397489999999999</v>
      </c>
      <c r="AI1714" s="6">
        <v>0.65548899999999999</v>
      </c>
      <c r="AJ1714" s="6">
        <v>1.0700799999999999</v>
      </c>
      <c r="AK1714" s="6"/>
      <c r="AL1714" s="6"/>
      <c r="AM1714" s="6" t="e">
        <f t="shared" si="125"/>
        <v>#DIV/0!</v>
      </c>
    </row>
    <row r="1715" spans="29:39" x14ac:dyDescent="0.3">
      <c r="AC1715">
        <f t="shared" si="124"/>
        <v>0</v>
      </c>
      <c r="AD1715">
        <v>1712</v>
      </c>
      <c r="AE1715" s="4">
        <f t="shared" si="122"/>
        <v>42720</v>
      </c>
      <c r="AF1715" s="6" t="e">
        <f t="shared" si="123"/>
        <v>#DIV/0!</v>
      </c>
      <c r="AG1715" s="4">
        <v>42720</v>
      </c>
      <c r="AH1715" s="6">
        <v>0.167544</v>
      </c>
      <c r="AI1715" s="6">
        <v>0.60706000000000004</v>
      </c>
      <c r="AJ1715" s="6">
        <v>1.0898159999999999</v>
      </c>
      <c r="AK1715" s="6"/>
      <c r="AL1715" s="6"/>
      <c r="AM1715" s="6" t="e">
        <f t="shared" si="125"/>
        <v>#DIV/0!</v>
      </c>
    </row>
    <row r="1716" spans="29:39" x14ac:dyDescent="0.3">
      <c r="AC1716">
        <f t="shared" si="124"/>
        <v>0</v>
      </c>
      <c r="AD1716">
        <v>1713</v>
      </c>
      <c r="AE1716" s="4">
        <f t="shared" si="122"/>
        <v>42723</v>
      </c>
      <c r="AF1716" s="6" t="e">
        <f t="shared" si="123"/>
        <v>#DIV/0!</v>
      </c>
      <c r="AG1716" s="4">
        <v>42723</v>
      </c>
      <c r="AH1716" s="6">
        <v>-0.50949299999999997</v>
      </c>
      <c r="AI1716" s="6">
        <v>3.4952999999999998E-2</v>
      </c>
      <c r="AJ1716" s="6">
        <v>-0.10122299999999999</v>
      </c>
      <c r="AK1716" s="6"/>
      <c r="AL1716" s="6"/>
      <c r="AM1716" s="6" t="e">
        <f t="shared" si="125"/>
        <v>#DIV/0!</v>
      </c>
    </row>
    <row r="1717" spans="29:39" x14ac:dyDescent="0.3">
      <c r="AC1717">
        <f t="shared" si="124"/>
        <v>0</v>
      </c>
      <c r="AD1717">
        <v>1714</v>
      </c>
      <c r="AE1717" s="4">
        <f t="shared" si="122"/>
        <v>42724</v>
      </c>
      <c r="AF1717" s="6" t="e">
        <f t="shared" si="123"/>
        <v>#DIV/0!</v>
      </c>
      <c r="AG1717" s="4">
        <v>42724</v>
      </c>
      <c r="AH1717" s="6">
        <v>-0.59833899999999995</v>
      </c>
      <c r="AI1717" s="6">
        <v>-0.31790800000000002</v>
      </c>
      <c r="AJ1717" s="6">
        <v>-6.0047999999999997E-2</v>
      </c>
      <c r="AK1717" s="6"/>
      <c r="AL1717" s="6"/>
      <c r="AM1717" s="6" t="e">
        <f t="shared" si="125"/>
        <v>#DIV/0!</v>
      </c>
    </row>
    <row r="1718" spans="29:39" x14ac:dyDescent="0.3">
      <c r="AC1718">
        <f t="shared" si="124"/>
        <v>0</v>
      </c>
      <c r="AD1718">
        <v>1715</v>
      </c>
      <c r="AE1718" s="4">
        <f t="shared" si="122"/>
        <v>42725</v>
      </c>
      <c r="AF1718" s="6" t="e">
        <f t="shared" si="123"/>
        <v>#DIV/0!</v>
      </c>
      <c r="AG1718" s="4">
        <v>42725</v>
      </c>
      <c r="AH1718" s="6">
        <v>0.89064200000000004</v>
      </c>
      <c r="AI1718" s="6">
        <v>0.74543999999999999</v>
      </c>
      <c r="AJ1718" s="6">
        <v>0.73967799999999995</v>
      </c>
      <c r="AK1718" s="6"/>
      <c r="AL1718" s="6"/>
      <c r="AM1718" s="6" t="e">
        <f t="shared" si="125"/>
        <v>#DIV/0!</v>
      </c>
    </row>
    <row r="1719" spans="29:39" x14ac:dyDescent="0.3">
      <c r="AC1719">
        <f t="shared" si="124"/>
        <v>0</v>
      </c>
      <c r="AD1719">
        <v>1716</v>
      </c>
      <c r="AE1719" s="4">
        <f t="shared" si="122"/>
        <v>42726</v>
      </c>
      <c r="AF1719" s="6" t="e">
        <f t="shared" si="123"/>
        <v>#DIV/0!</v>
      </c>
      <c r="AG1719" s="4">
        <v>42726</v>
      </c>
      <c r="AH1719" s="6">
        <v>-8.5786000000000001E-2</v>
      </c>
      <c r="AI1719" s="6">
        <v>-9.1655E-2</v>
      </c>
      <c r="AJ1719" s="6">
        <v>-1.6957E-2</v>
      </c>
      <c r="AK1719" s="6"/>
      <c r="AL1719" s="6"/>
      <c r="AM1719" s="6" t="e">
        <f t="shared" si="125"/>
        <v>#DIV/0!</v>
      </c>
    </row>
    <row r="1720" spans="29:39" x14ac:dyDescent="0.3">
      <c r="AC1720">
        <f t="shared" si="124"/>
        <v>0</v>
      </c>
      <c r="AD1720">
        <v>1717</v>
      </c>
      <c r="AE1720" s="4">
        <f t="shared" si="122"/>
        <v>42727</v>
      </c>
      <c r="AF1720" s="6" t="e">
        <f t="shared" si="123"/>
        <v>#DIV/0!</v>
      </c>
      <c r="AG1720" s="4">
        <v>42727</v>
      </c>
      <c r="AH1720" s="6">
        <v>-0.84159700000000004</v>
      </c>
      <c r="AI1720" s="6">
        <v>-0.94281499999999996</v>
      </c>
      <c r="AJ1720" s="6">
        <v>-1.1452709999999999</v>
      </c>
      <c r="AK1720" s="6"/>
      <c r="AL1720" s="6"/>
      <c r="AM1720" s="6" t="e">
        <f t="shared" si="125"/>
        <v>#DIV/0!</v>
      </c>
    </row>
    <row r="1721" spans="29:39" x14ac:dyDescent="0.3">
      <c r="AC1721">
        <f t="shared" si="124"/>
        <v>0</v>
      </c>
      <c r="AD1721">
        <v>1718</v>
      </c>
      <c r="AE1721" s="4">
        <f t="shared" si="122"/>
        <v>42730</v>
      </c>
      <c r="AF1721" s="6" t="e">
        <f t="shared" si="123"/>
        <v>#DIV/0!</v>
      </c>
      <c r="AG1721" s="4">
        <v>42730</v>
      </c>
      <c r="AH1721" s="6">
        <v>0.44750000000000001</v>
      </c>
      <c r="AI1721" s="6">
        <v>0.20308799999999999</v>
      </c>
      <c r="AJ1721" s="6">
        <v>0.443467</v>
      </c>
      <c r="AK1721" s="6"/>
      <c r="AL1721" s="6"/>
      <c r="AM1721" s="6" t="e">
        <f t="shared" si="125"/>
        <v>#DIV/0!</v>
      </c>
    </row>
    <row r="1722" spans="29:39" x14ac:dyDescent="0.3">
      <c r="AC1722">
        <f t="shared" si="124"/>
        <v>0</v>
      </c>
      <c r="AD1722">
        <v>1719</v>
      </c>
      <c r="AE1722" s="4">
        <f t="shared" si="122"/>
        <v>42731</v>
      </c>
      <c r="AF1722" s="6" t="e">
        <f t="shared" si="123"/>
        <v>#DIV/0!</v>
      </c>
      <c r="AG1722" s="4">
        <v>42731</v>
      </c>
      <c r="AH1722" s="6">
        <v>-0.18105599999999999</v>
      </c>
      <c r="AI1722" s="6">
        <v>-9.3653E-2</v>
      </c>
      <c r="AJ1722" s="6">
        <v>0.104046</v>
      </c>
      <c r="AK1722" s="6"/>
      <c r="AL1722" s="6"/>
      <c r="AM1722" s="6" t="e">
        <f t="shared" si="125"/>
        <v>#DIV/0!</v>
      </c>
    </row>
    <row r="1723" spans="29:39" x14ac:dyDescent="0.3">
      <c r="AC1723">
        <f t="shared" si="124"/>
        <v>0</v>
      </c>
      <c r="AD1723">
        <v>1720</v>
      </c>
      <c r="AE1723" s="4">
        <f t="shared" si="122"/>
        <v>42732</v>
      </c>
      <c r="AF1723" s="6" t="e">
        <f t="shared" si="123"/>
        <v>#DIV/0!</v>
      </c>
      <c r="AG1723" s="4">
        <v>42732</v>
      </c>
      <c r="AH1723" s="6">
        <v>-0.43711699999999998</v>
      </c>
      <c r="AI1723" s="6">
        <v>-0.29607800000000001</v>
      </c>
      <c r="AJ1723" s="6">
        <v>-0.40456999999999999</v>
      </c>
      <c r="AK1723" s="6"/>
      <c r="AL1723" s="6"/>
      <c r="AM1723" s="6" t="e">
        <f t="shared" si="125"/>
        <v>#DIV/0!</v>
      </c>
    </row>
    <row r="1724" spans="29:39" x14ac:dyDescent="0.3">
      <c r="AC1724">
        <f t="shared" si="124"/>
        <v>0</v>
      </c>
      <c r="AD1724">
        <v>1721</v>
      </c>
      <c r="AE1724" s="4">
        <f t="shared" si="122"/>
        <v>42733</v>
      </c>
      <c r="AF1724" s="6" t="e">
        <f t="shared" si="123"/>
        <v>#DIV/0!</v>
      </c>
      <c r="AG1724" s="4">
        <v>42733</v>
      </c>
      <c r="AH1724" s="6">
        <v>-0.12489500000000001</v>
      </c>
      <c r="AI1724" s="6">
        <v>-0.28120000000000001</v>
      </c>
      <c r="AJ1724" s="6">
        <v>-0.38817600000000002</v>
      </c>
      <c r="AK1724" s="6"/>
      <c r="AL1724" s="6"/>
      <c r="AM1724" s="6" t="e">
        <f t="shared" si="125"/>
        <v>#DIV/0!</v>
      </c>
    </row>
    <row r="1725" spans="29:39" x14ac:dyDescent="0.3">
      <c r="AC1725">
        <f t="shared" si="124"/>
        <v>0</v>
      </c>
      <c r="AD1725">
        <v>1722</v>
      </c>
      <c r="AE1725" s="4">
        <f t="shared" si="122"/>
        <v>42734</v>
      </c>
      <c r="AF1725" s="6" t="e">
        <f t="shared" si="123"/>
        <v>#DIV/0!</v>
      </c>
      <c r="AG1725" s="4">
        <v>42734</v>
      </c>
      <c r="AH1725" s="6">
        <v>0.37346499999999999</v>
      </c>
      <c r="AI1725" s="6">
        <v>0.17621400000000001</v>
      </c>
      <c r="AJ1725" s="6">
        <v>3.0204999999999999E-2</v>
      </c>
      <c r="AK1725" s="6"/>
      <c r="AL1725" s="6"/>
      <c r="AM1725" s="6" t="e">
        <f t="shared" si="125"/>
        <v>#DIV/0!</v>
      </c>
    </row>
    <row r="1726" spans="29:39" x14ac:dyDescent="0.3">
      <c r="AC1726">
        <f t="shared" si="124"/>
        <v>0</v>
      </c>
      <c r="AD1726">
        <v>1723</v>
      </c>
      <c r="AE1726" s="4">
        <f t="shared" si="122"/>
        <v>42738</v>
      </c>
      <c r="AF1726" s="6" t="e">
        <f t="shared" si="123"/>
        <v>#DIV/0!</v>
      </c>
      <c r="AG1726" s="4">
        <v>42738</v>
      </c>
      <c r="AH1726" s="6">
        <v>0.971167</v>
      </c>
      <c r="AI1726" s="6">
        <v>0.91220299999999999</v>
      </c>
      <c r="AJ1726" s="6">
        <v>0.87476600000000004</v>
      </c>
      <c r="AK1726" s="6"/>
      <c r="AL1726" s="6"/>
      <c r="AM1726" s="6" t="e">
        <f t="shared" si="125"/>
        <v>#DIV/0!</v>
      </c>
    </row>
    <row r="1727" spans="29:39" x14ac:dyDescent="0.3">
      <c r="AC1727">
        <f t="shared" si="124"/>
        <v>0</v>
      </c>
      <c r="AD1727">
        <v>1724</v>
      </c>
      <c r="AE1727" s="4">
        <f t="shared" si="122"/>
        <v>42739</v>
      </c>
      <c r="AF1727" s="6" t="e">
        <f t="shared" si="123"/>
        <v>#DIV/0!</v>
      </c>
      <c r="AG1727" s="4">
        <v>42739</v>
      </c>
      <c r="AH1727" s="6">
        <v>0.78045299999999995</v>
      </c>
      <c r="AI1727" s="6">
        <v>1.16927</v>
      </c>
      <c r="AJ1727" s="6">
        <v>1.2237150000000001</v>
      </c>
      <c r="AK1727" s="6"/>
      <c r="AL1727" s="6"/>
      <c r="AM1727" s="6" t="e">
        <f t="shared" si="125"/>
        <v>#DIV/0!</v>
      </c>
    </row>
    <row r="1728" spans="29:39" x14ac:dyDescent="0.3">
      <c r="AC1728">
        <f t="shared" si="124"/>
        <v>0</v>
      </c>
      <c r="AD1728">
        <v>1725</v>
      </c>
      <c r="AE1728" s="4">
        <f t="shared" si="122"/>
        <v>42740</v>
      </c>
      <c r="AF1728" s="6" t="e">
        <f t="shared" si="123"/>
        <v>#DIV/0!</v>
      </c>
      <c r="AG1728" s="4">
        <v>42740</v>
      </c>
      <c r="AH1728" s="6">
        <v>-1.5512E-2</v>
      </c>
      <c r="AI1728" s="6">
        <v>7.2165000000000007E-2</v>
      </c>
      <c r="AJ1728" s="6">
        <v>9.3659999999999993E-3</v>
      </c>
      <c r="AK1728" s="6"/>
      <c r="AL1728" s="6"/>
      <c r="AM1728" s="6" t="e">
        <f t="shared" si="125"/>
        <v>#DIV/0!</v>
      </c>
    </row>
    <row r="1729" spans="29:39" x14ac:dyDescent="0.3">
      <c r="AC1729">
        <f t="shared" si="124"/>
        <v>0</v>
      </c>
      <c r="AD1729">
        <v>1726</v>
      </c>
      <c r="AE1729" s="4">
        <f t="shared" si="122"/>
        <v>42741</v>
      </c>
      <c r="AF1729" s="6" t="e">
        <f t="shared" si="123"/>
        <v>#DIV/0!</v>
      </c>
      <c r="AG1729" s="4">
        <v>42741</v>
      </c>
      <c r="AH1729" s="6">
        <v>-0.59750499999999995</v>
      </c>
      <c r="AI1729" s="6">
        <v>-0.43235000000000001</v>
      </c>
      <c r="AJ1729" s="6">
        <v>-0.70193000000000005</v>
      </c>
      <c r="AK1729" s="6"/>
      <c r="AL1729" s="6"/>
      <c r="AM1729" s="6" t="e">
        <f t="shared" si="125"/>
        <v>#DIV/0!</v>
      </c>
    </row>
    <row r="1730" spans="29:39" x14ac:dyDescent="0.3">
      <c r="AC1730">
        <f t="shared" si="124"/>
        <v>0</v>
      </c>
      <c r="AD1730">
        <v>1727</v>
      </c>
      <c r="AE1730" s="4">
        <f t="shared" si="122"/>
        <v>42744</v>
      </c>
      <c r="AF1730" s="6" t="e">
        <f t="shared" si="123"/>
        <v>#DIV/0!</v>
      </c>
      <c r="AG1730" s="4">
        <v>42744</v>
      </c>
      <c r="AH1730" s="6">
        <v>0.484962</v>
      </c>
      <c r="AI1730" s="6">
        <v>0.68743600000000005</v>
      </c>
      <c r="AJ1730" s="6">
        <v>0.51043899999999998</v>
      </c>
      <c r="AK1730" s="6"/>
      <c r="AL1730" s="6"/>
      <c r="AM1730" s="6" t="e">
        <f t="shared" si="125"/>
        <v>#DIV/0!</v>
      </c>
    </row>
    <row r="1731" spans="29:39" x14ac:dyDescent="0.3">
      <c r="AC1731">
        <f t="shared" si="124"/>
        <v>0</v>
      </c>
      <c r="AD1731">
        <v>1728</v>
      </c>
      <c r="AE1731" s="4">
        <f t="shared" si="122"/>
        <v>42745</v>
      </c>
      <c r="AF1731" s="6" t="e">
        <f t="shared" si="123"/>
        <v>#DIV/0!</v>
      </c>
      <c r="AG1731" s="4">
        <v>42745</v>
      </c>
      <c r="AH1731" s="6">
        <v>-0.16735900000000001</v>
      </c>
      <c r="AI1731" s="6">
        <v>-0.33496300000000001</v>
      </c>
      <c r="AJ1731" s="6">
        <v>-0.51183599999999996</v>
      </c>
      <c r="AK1731" s="6"/>
      <c r="AL1731" s="6"/>
      <c r="AM1731" s="6" t="e">
        <f t="shared" si="125"/>
        <v>#DIV/0!</v>
      </c>
    </row>
    <row r="1732" spans="29:39" x14ac:dyDescent="0.3">
      <c r="AC1732">
        <f t="shared" si="124"/>
        <v>0</v>
      </c>
      <c r="AD1732">
        <v>1729</v>
      </c>
      <c r="AE1732" s="4">
        <f t="shared" si="122"/>
        <v>42746</v>
      </c>
      <c r="AF1732" s="6" t="e">
        <f t="shared" si="123"/>
        <v>#DIV/0!</v>
      </c>
      <c r="AG1732" s="4">
        <v>42746</v>
      </c>
      <c r="AH1732" s="6">
        <v>-0.70798899999999998</v>
      </c>
      <c r="AI1732" s="6">
        <v>-0.96911499999999995</v>
      </c>
      <c r="AJ1732" s="6">
        <v>-1.0419620000000001</v>
      </c>
      <c r="AK1732" s="6"/>
      <c r="AL1732" s="6"/>
      <c r="AM1732" s="6" t="e">
        <f t="shared" si="125"/>
        <v>#DIV/0!</v>
      </c>
    </row>
    <row r="1733" spans="29:39" x14ac:dyDescent="0.3">
      <c r="AC1733">
        <f t="shared" si="124"/>
        <v>0</v>
      </c>
      <c r="AD1733">
        <v>1730</v>
      </c>
      <c r="AE1733" s="4">
        <f t="shared" ref="AE1733:AE1796" si="126">AG1733</f>
        <v>42747</v>
      </c>
      <c r="AF1733" s="6" t="e">
        <f t="shared" ref="AF1733:AF1796" si="127">AM1733</f>
        <v>#DIV/0!</v>
      </c>
      <c r="AG1733" s="4">
        <v>42747</v>
      </c>
      <c r="AH1733" s="6">
        <v>-0.50596300000000005</v>
      </c>
      <c r="AI1733" s="6">
        <v>-0.933562</v>
      </c>
      <c r="AJ1733" s="6">
        <v>-0.898891</v>
      </c>
      <c r="AK1733" s="6"/>
      <c r="AL1733" s="6"/>
      <c r="AM1733" s="6" t="e">
        <f t="shared" si="125"/>
        <v>#DIV/0!</v>
      </c>
    </row>
    <row r="1734" spans="29:39" x14ac:dyDescent="0.3">
      <c r="AC1734">
        <f t="shared" ref="AC1734:AC1797" si="128">IF(AE1734&lt;=AE1733,1,0)</f>
        <v>0</v>
      </c>
      <c r="AD1734">
        <v>1731</v>
      </c>
      <c r="AE1734" s="4">
        <f t="shared" si="126"/>
        <v>42748</v>
      </c>
      <c r="AF1734" s="6" t="e">
        <f t="shared" si="127"/>
        <v>#DIV/0!</v>
      </c>
      <c r="AG1734" s="4">
        <v>42748</v>
      </c>
      <c r="AH1734" s="6">
        <v>6.8968000000000002E-2</v>
      </c>
      <c r="AI1734" s="6">
        <v>-1.2465379999999999</v>
      </c>
      <c r="AJ1734" s="6">
        <v>-1.8597060000000001</v>
      </c>
      <c r="AK1734" s="6"/>
      <c r="AL1734" s="6"/>
      <c r="AM1734" s="6" t="e">
        <f t="shared" ref="AM1734:AM1797" si="129">(AL1734/AL1733-1)*100</f>
        <v>#DIV/0!</v>
      </c>
    </row>
    <row r="1735" spans="29:39" x14ac:dyDescent="0.3">
      <c r="AC1735">
        <f t="shared" si="128"/>
        <v>0</v>
      </c>
      <c r="AD1735">
        <v>1732</v>
      </c>
      <c r="AE1735" s="4">
        <f t="shared" si="126"/>
        <v>42751</v>
      </c>
      <c r="AF1735" s="6" t="e">
        <f t="shared" si="127"/>
        <v>#DIV/0!</v>
      </c>
      <c r="AG1735" s="4">
        <v>42751</v>
      </c>
      <c r="AH1735" s="6">
        <v>-1.4057999999999999E-2</v>
      </c>
      <c r="AI1735" s="6">
        <v>-2.6380170000000001</v>
      </c>
      <c r="AJ1735" s="6">
        <v>-4.2755900000000002</v>
      </c>
      <c r="AK1735" s="6"/>
      <c r="AL1735" s="6"/>
      <c r="AM1735" s="6" t="e">
        <f t="shared" si="129"/>
        <v>#DIV/0!</v>
      </c>
    </row>
    <row r="1736" spans="29:39" x14ac:dyDescent="0.3">
      <c r="AC1736">
        <f t="shared" si="128"/>
        <v>0</v>
      </c>
      <c r="AD1736">
        <v>1733</v>
      </c>
      <c r="AE1736" s="4">
        <f t="shared" si="126"/>
        <v>42752</v>
      </c>
      <c r="AF1736" s="6" t="e">
        <f t="shared" si="127"/>
        <v>#DIV/0!</v>
      </c>
      <c r="AG1736" s="4">
        <v>42752</v>
      </c>
      <c r="AH1736" s="6">
        <v>0.20819099999999999</v>
      </c>
      <c r="AI1736" s="6">
        <v>0.84268399999999999</v>
      </c>
      <c r="AJ1736" s="6">
        <v>1.219069</v>
      </c>
      <c r="AK1736" s="6"/>
      <c r="AL1736" s="6"/>
      <c r="AM1736" s="6" t="e">
        <f t="shared" si="129"/>
        <v>#DIV/0!</v>
      </c>
    </row>
    <row r="1737" spans="29:39" x14ac:dyDescent="0.3">
      <c r="AC1737">
        <f t="shared" si="128"/>
        <v>0</v>
      </c>
      <c r="AD1737">
        <v>1734</v>
      </c>
      <c r="AE1737" s="4">
        <f t="shared" si="126"/>
        <v>42753</v>
      </c>
      <c r="AF1737" s="6" t="e">
        <f t="shared" si="127"/>
        <v>#DIV/0!</v>
      </c>
      <c r="AG1737" s="4">
        <v>42753</v>
      </c>
      <c r="AH1737" s="6">
        <v>0.39108900000000002</v>
      </c>
      <c r="AI1737" s="6">
        <v>-0.22151499999999999</v>
      </c>
      <c r="AJ1737" s="6">
        <v>-0.49212299999999998</v>
      </c>
      <c r="AK1737" s="6"/>
      <c r="AL1737" s="6"/>
      <c r="AM1737" s="6" t="e">
        <f t="shared" si="129"/>
        <v>#DIV/0!</v>
      </c>
    </row>
    <row r="1738" spans="29:39" x14ac:dyDescent="0.3">
      <c r="AC1738">
        <f t="shared" si="128"/>
        <v>0</v>
      </c>
      <c r="AD1738">
        <v>1735</v>
      </c>
      <c r="AE1738" s="4">
        <f t="shared" si="126"/>
        <v>42754</v>
      </c>
      <c r="AF1738" s="6" t="e">
        <f t="shared" si="127"/>
        <v>#DIV/0!</v>
      </c>
      <c r="AG1738" s="4">
        <v>42754</v>
      </c>
      <c r="AH1738" s="6">
        <v>-0.30174000000000001</v>
      </c>
      <c r="AI1738" s="6">
        <v>-0.41060600000000003</v>
      </c>
      <c r="AJ1738" s="6">
        <v>-0.422435</v>
      </c>
      <c r="AK1738" s="6"/>
      <c r="AL1738" s="6"/>
      <c r="AM1738" s="6" t="e">
        <f t="shared" si="129"/>
        <v>#DIV/0!</v>
      </c>
    </row>
    <row r="1739" spans="29:39" x14ac:dyDescent="0.3">
      <c r="AC1739">
        <f t="shared" si="128"/>
        <v>0</v>
      </c>
      <c r="AD1739">
        <v>1736</v>
      </c>
      <c r="AE1739" s="4">
        <f t="shared" si="126"/>
        <v>42755</v>
      </c>
      <c r="AF1739" s="6" t="e">
        <f t="shared" si="127"/>
        <v>#DIV/0!</v>
      </c>
      <c r="AG1739" s="4">
        <v>42755</v>
      </c>
      <c r="AH1739" s="6">
        <v>0.76893299999999998</v>
      </c>
      <c r="AI1739" s="6">
        <v>1.295955</v>
      </c>
      <c r="AJ1739" s="6">
        <v>1.6640360000000001</v>
      </c>
      <c r="AK1739" s="6"/>
      <c r="AL1739" s="6"/>
      <c r="AM1739" s="6" t="e">
        <f t="shared" si="129"/>
        <v>#DIV/0!</v>
      </c>
    </row>
    <row r="1740" spans="29:39" x14ac:dyDescent="0.3">
      <c r="AC1740">
        <f t="shared" si="128"/>
        <v>0</v>
      </c>
      <c r="AD1740">
        <v>1737</v>
      </c>
      <c r="AE1740" s="4">
        <f t="shared" si="126"/>
        <v>42758</v>
      </c>
      <c r="AF1740" s="6" t="e">
        <f t="shared" si="127"/>
        <v>#DIV/0!</v>
      </c>
      <c r="AG1740" s="4">
        <v>42758</v>
      </c>
      <c r="AH1740" s="6">
        <v>0.27397899999999997</v>
      </c>
      <c r="AI1740" s="6">
        <v>0.81948399999999999</v>
      </c>
      <c r="AJ1740" s="6">
        <v>1.005674</v>
      </c>
      <c r="AK1740" s="6"/>
      <c r="AL1740" s="6"/>
      <c r="AM1740" s="6" t="e">
        <f t="shared" si="129"/>
        <v>#DIV/0!</v>
      </c>
    </row>
    <row r="1741" spans="29:39" x14ac:dyDescent="0.3">
      <c r="AC1741">
        <f t="shared" si="128"/>
        <v>0</v>
      </c>
      <c r="AD1741">
        <v>1738</v>
      </c>
      <c r="AE1741" s="4">
        <f t="shared" si="126"/>
        <v>42759</v>
      </c>
      <c r="AF1741" s="6" t="e">
        <f t="shared" si="127"/>
        <v>#DIV/0!</v>
      </c>
      <c r="AG1741" s="4">
        <v>42759</v>
      </c>
      <c r="AH1741" s="6">
        <v>1.1002E-2</v>
      </c>
      <c r="AI1741" s="6">
        <v>-0.11183899999999999</v>
      </c>
      <c r="AJ1741" s="6">
        <v>-0.557253</v>
      </c>
      <c r="AK1741" s="6"/>
      <c r="AL1741" s="6"/>
      <c r="AM1741" s="6" t="e">
        <f t="shared" si="129"/>
        <v>#DIV/0!</v>
      </c>
    </row>
    <row r="1742" spans="29:39" x14ac:dyDescent="0.3">
      <c r="AC1742">
        <f t="shared" si="128"/>
        <v>0</v>
      </c>
      <c r="AD1742">
        <v>1739</v>
      </c>
      <c r="AE1742" s="4">
        <f t="shared" si="126"/>
        <v>42760</v>
      </c>
      <c r="AF1742" s="6" t="e">
        <f t="shared" si="127"/>
        <v>#DIV/0!</v>
      </c>
      <c r="AG1742" s="4">
        <v>42760</v>
      </c>
      <c r="AH1742" s="6">
        <v>0.34042099999999997</v>
      </c>
      <c r="AI1742" s="6">
        <v>0.23200799999999999</v>
      </c>
      <c r="AJ1742" s="6">
        <v>0.33248100000000003</v>
      </c>
      <c r="AK1742" s="6"/>
      <c r="AL1742" s="6"/>
      <c r="AM1742" s="6" t="e">
        <f t="shared" si="129"/>
        <v>#DIV/0!</v>
      </c>
    </row>
    <row r="1743" spans="29:39" x14ac:dyDescent="0.3">
      <c r="AC1743">
        <f t="shared" si="128"/>
        <v>0</v>
      </c>
      <c r="AD1743">
        <v>1740</v>
      </c>
      <c r="AE1743" s="4">
        <f t="shared" si="126"/>
        <v>42761</v>
      </c>
      <c r="AF1743" s="6" t="e">
        <f t="shared" si="127"/>
        <v>#DIV/0!</v>
      </c>
      <c r="AG1743" s="4">
        <v>42761</v>
      </c>
      <c r="AH1743" s="6">
        <v>0.35713099999999998</v>
      </c>
      <c r="AI1743" s="6">
        <v>0.71425700000000003</v>
      </c>
      <c r="AJ1743" s="6">
        <v>0.67817000000000005</v>
      </c>
      <c r="AK1743" s="6"/>
      <c r="AL1743" s="6"/>
      <c r="AM1743" s="6" t="e">
        <f t="shared" si="129"/>
        <v>#DIV/0!</v>
      </c>
    </row>
    <row r="1744" spans="29:39" x14ac:dyDescent="0.3">
      <c r="AC1744">
        <f t="shared" si="128"/>
        <v>0</v>
      </c>
      <c r="AD1744">
        <v>1741</v>
      </c>
      <c r="AE1744" s="4">
        <f t="shared" si="126"/>
        <v>42769</v>
      </c>
      <c r="AF1744" s="6" t="e">
        <f t="shared" si="127"/>
        <v>#DIV/0!</v>
      </c>
      <c r="AG1744" s="4">
        <v>42769</v>
      </c>
      <c r="AH1744" s="6">
        <v>-0.69269700000000001</v>
      </c>
      <c r="AI1744" s="6">
        <v>-0.26694699999999999</v>
      </c>
      <c r="AJ1744" s="6">
        <v>-0.28750300000000001</v>
      </c>
      <c r="AK1744" s="6"/>
      <c r="AL1744" s="6"/>
      <c r="AM1744" s="6" t="e">
        <f t="shared" si="129"/>
        <v>#DIV/0!</v>
      </c>
    </row>
    <row r="1745" spans="29:39" x14ac:dyDescent="0.3">
      <c r="AC1745">
        <f t="shared" si="128"/>
        <v>0</v>
      </c>
      <c r="AD1745">
        <v>1742</v>
      </c>
      <c r="AE1745" s="4">
        <f t="shared" si="126"/>
        <v>42772</v>
      </c>
      <c r="AF1745" s="6" t="e">
        <f t="shared" si="127"/>
        <v>#DIV/0!</v>
      </c>
      <c r="AG1745" s="4">
        <v>42772</v>
      </c>
      <c r="AH1745" s="6">
        <v>0.258963</v>
      </c>
      <c r="AI1745" s="6">
        <v>0.84024900000000002</v>
      </c>
      <c r="AJ1745" s="6">
        <v>1.194407</v>
      </c>
      <c r="AK1745" s="6"/>
      <c r="AL1745" s="6"/>
      <c r="AM1745" s="6" t="e">
        <f t="shared" si="129"/>
        <v>#DIV/0!</v>
      </c>
    </row>
    <row r="1746" spans="29:39" x14ac:dyDescent="0.3">
      <c r="AC1746">
        <f t="shared" si="128"/>
        <v>0</v>
      </c>
      <c r="AD1746">
        <v>1743</v>
      </c>
      <c r="AE1746" s="4">
        <f t="shared" si="126"/>
        <v>42773</v>
      </c>
      <c r="AF1746" s="6" t="e">
        <f t="shared" si="127"/>
        <v>#DIV/0!</v>
      </c>
      <c r="AG1746" s="4">
        <v>42773</v>
      </c>
      <c r="AH1746" s="6">
        <v>-0.222939</v>
      </c>
      <c r="AI1746" s="6">
        <v>-5.3043E-2</v>
      </c>
      <c r="AJ1746" s="6">
        <v>2.8583000000000001E-2</v>
      </c>
      <c r="AK1746" s="6"/>
      <c r="AL1746" s="6"/>
      <c r="AM1746" s="6" t="e">
        <f t="shared" si="129"/>
        <v>#DIV/0!</v>
      </c>
    </row>
    <row r="1747" spans="29:39" x14ac:dyDescent="0.3">
      <c r="AC1747">
        <f t="shared" si="128"/>
        <v>0</v>
      </c>
      <c r="AD1747">
        <v>1744</v>
      </c>
      <c r="AE1747" s="4">
        <f t="shared" si="126"/>
        <v>42774</v>
      </c>
      <c r="AF1747" s="6" t="e">
        <f t="shared" si="127"/>
        <v>#DIV/0!</v>
      </c>
      <c r="AG1747" s="4">
        <v>42774</v>
      </c>
      <c r="AH1747" s="6">
        <v>0.523011</v>
      </c>
      <c r="AI1747" s="6">
        <v>0.57018999999999997</v>
      </c>
      <c r="AJ1747" s="6">
        <v>0.72514199999999995</v>
      </c>
      <c r="AK1747" s="6"/>
      <c r="AL1747" s="6"/>
      <c r="AM1747" s="6" t="e">
        <f t="shared" si="129"/>
        <v>#DIV/0!</v>
      </c>
    </row>
    <row r="1748" spans="29:39" x14ac:dyDescent="0.3">
      <c r="AC1748">
        <f t="shared" si="128"/>
        <v>0</v>
      </c>
      <c r="AD1748">
        <v>1745</v>
      </c>
      <c r="AE1748" s="4">
        <f t="shared" si="126"/>
        <v>42775</v>
      </c>
      <c r="AF1748" s="6" t="e">
        <f t="shared" si="127"/>
        <v>#DIV/0!</v>
      </c>
      <c r="AG1748" s="4">
        <v>42775</v>
      </c>
      <c r="AH1748" s="6">
        <v>0.384378</v>
      </c>
      <c r="AI1748" s="6">
        <v>0.62908299999999995</v>
      </c>
      <c r="AJ1748" s="6">
        <v>0.81303899999999996</v>
      </c>
      <c r="AK1748" s="6"/>
      <c r="AL1748" s="6"/>
      <c r="AM1748" s="6" t="e">
        <f t="shared" si="129"/>
        <v>#DIV/0!</v>
      </c>
    </row>
    <row r="1749" spans="29:39" x14ac:dyDescent="0.3">
      <c r="AC1749">
        <f t="shared" si="128"/>
        <v>0</v>
      </c>
      <c r="AD1749">
        <v>1746</v>
      </c>
      <c r="AE1749" s="4">
        <f t="shared" si="126"/>
        <v>42776</v>
      </c>
      <c r="AF1749" s="6" t="e">
        <f t="shared" si="127"/>
        <v>#DIV/0!</v>
      </c>
      <c r="AG1749" s="4">
        <v>42776</v>
      </c>
      <c r="AH1749" s="6">
        <v>0.50627</v>
      </c>
      <c r="AI1749" s="6">
        <v>9.3678999999999998E-2</v>
      </c>
      <c r="AJ1749" s="6">
        <v>-0.350462</v>
      </c>
      <c r="AK1749" s="6"/>
      <c r="AL1749" s="6"/>
      <c r="AM1749" s="6" t="e">
        <f t="shared" si="129"/>
        <v>#DIV/0!</v>
      </c>
    </row>
    <row r="1750" spans="29:39" x14ac:dyDescent="0.3">
      <c r="AC1750">
        <f t="shared" si="128"/>
        <v>0</v>
      </c>
      <c r="AD1750">
        <v>1747</v>
      </c>
      <c r="AE1750" s="4">
        <f t="shared" si="126"/>
        <v>42779</v>
      </c>
      <c r="AF1750" s="6" t="e">
        <f t="shared" si="127"/>
        <v>#DIV/0!</v>
      </c>
      <c r="AG1750" s="4">
        <v>42779</v>
      </c>
      <c r="AH1750" s="6">
        <v>0.66759299999999999</v>
      </c>
      <c r="AI1750" s="6">
        <v>0.51355399999999995</v>
      </c>
      <c r="AJ1750" s="6">
        <v>0.62250499999999998</v>
      </c>
      <c r="AK1750" s="6"/>
      <c r="AL1750" s="6"/>
      <c r="AM1750" s="6" t="e">
        <f t="shared" si="129"/>
        <v>#DIV/0!</v>
      </c>
    </row>
    <row r="1751" spans="29:39" x14ac:dyDescent="0.3">
      <c r="AC1751">
        <f t="shared" si="128"/>
        <v>0</v>
      </c>
      <c r="AD1751">
        <v>1748</v>
      </c>
      <c r="AE1751" s="4">
        <f t="shared" si="126"/>
        <v>42780</v>
      </c>
      <c r="AF1751" s="6" t="e">
        <f t="shared" si="127"/>
        <v>#DIV/0!</v>
      </c>
      <c r="AG1751" s="4">
        <v>42780</v>
      </c>
      <c r="AH1751" s="6">
        <v>-1.3701E-2</v>
      </c>
      <c r="AI1751" s="6">
        <v>8.2149E-2</v>
      </c>
      <c r="AJ1751" s="6">
        <v>-0.108166</v>
      </c>
      <c r="AK1751" s="6"/>
      <c r="AL1751" s="6"/>
      <c r="AM1751" s="6" t="e">
        <f t="shared" si="129"/>
        <v>#DIV/0!</v>
      </c>
    </row>
    <row r="1752" spans="29:39" x14ac:dyDescent="0.3">
      <c r="AC1752">
        <f t="shared" si="128"/>
        <v>0</v>
      </c>
      <c r="AD1752">
        <v>1749</v>
      </c>
      <c r="AE1752" s="4">
        <f t="shared" si="126"/>
        <v>42781</v>
      </c>
      <c r="AF1752" s="6" t="e">
        <f t="shared" si="127"/>
        <v>#DIV/0!</v>
      </c>
      <c r="AG1752" s="4">
        <v>42781</v>
      </c>
      <c r="AH1752" s="6">
        <v>-0.41012500000000002</v>
      </c>
      <c r="AI1752" s="6">
        <v>-0.99122299999999997</v>
      </c>
      <c r="AJ1752" s="6">
        <v>-0.94684999999999997</v>
      </c>
      <c r="AK1752" s="6"/>
      <c r="AL1752" s="6"/>
      <c r="AM1752" s="6" t="e">
        <f t="shared" si="129"/>
        <v>#DIV/0!</v>
      </c>
    </row>
    <row r="1753" spans="29:39" x14ac:dyDescent="0.3">
      <c r="AC1753">
        <f t="shared" si="128"/>
        <v>0</v>
      </c>
      <c r="AD1753">
        <v>1750</v>
      </c>
      <c r="AE1753" s="4">
        <f t="shared" si="126"/>
        <v>42782</v>
      </c>
      <c r="AF1753" s="6" t="e">
        <f t="shared" si="127"/>
        <v>#DIV/0!</v>
      </c>
      <c r="AG1753" s="4">
        <v>42782</v>
      </c>
      <c r="AH1753" s="6">
        <v>0.56170699999999996</v>
      </c>
      <c r="AI1753" s="6">
        <v>0.75479200000000002</v>
      </c>
      <c r="AJ1753" s="6">
        <v>0.64102599999999998</v>
      </c>
      <c r="AK1753" s="6"/>
      <c r="AL1753" s="6"/>
      <c r="AM1753" s="6" t="e">
        <f t="shared" si="129"/>
        <v>#DIV/0!</v>
      </c>
    </row>
    <row r="1754" spans="29:39" x14ac:dyDescent="0.3">
      <c r="AC1754">
        <f t="shared" si="128"/>
        <v>0</v>
      </c>
      <c r="AD1754">
        <v>1751</v>
      </c>
      <c r="AE1754" s="4">
        <f t="shared" si="126"/>
        <v>42783</v>
      </c>
      <c r="AF1754" s="6" t="e">
        <f t="shared" si="127"/>
        <v>#DIV/0!</v>
      </c>
      <c r="AG1754" s="4">
        <v>42783</v>
      </c>
      <c r="AH1754" s="6">
        <v>-0.56645100000000004</v>
      </c>
      <c r="AI1754" s="6">
        <v>-0.82042199999999998</v>
      </c>
      <c r="AJ1754" s="6">
        <v>-0.871027</v>
      </c>
      <c r="AK1754" s="6"/>
      <c r="AL1754" s="6"/>
      <c r="AM1754" s="6" t="e">
        <f t="shared" si="129"/>
        <v>#DIV/0!</v>
      </c>
    </row>
    <row r="1755" spans="29:39" x14ac:dyDescent="0.3">
      <c r="AC1755">
        <f t="shared" si="128"/>
        <v>0</v>
      </c>
      <c r="AD1755">
        <v>1752</v>
      </c>
      <c r="AE1755" s="4">
        <f t="shared" si="126"/>
        <v>42786</v>
      </c>
      <c r="AF1755" s="6" t="e">
        <f t="shared" si="127"/>
        <v>#DIV/0!</v>
      </c>
      <c r="AG1755" s="4">
        <v>42786</v>
      </c>
      <c r="AH1755" s="6">
        <v>1.4599310000000001</v>
      </c>
      <c r="AI1755" s="6">
        <v>1.235101</v>
      </c>
      <c r="AJ1755" s="6">
        <v>0.87485299999999999</v>
      </c>
      <c r="AK1755" s="6"/>
      <c r="AL1755" s="6"/>
      <c r="AM1755" s="6" t="e">
        <f t="shared" si="129"/>
        <v>#DIV/0!</v>
      </c>
    </row>
    <row r="1756" spans="29:39" x14ac:dyDescent="0.3">
      <c r="AC1756">
        <f t="shared" si="128"/>
        <v>0</v>
      </c>
      <c r="AD1756">
        <v>1753</v>
      </c>
      <c r="AE1756" s="4">
        <f t="shared" si="126"/>
        <v>42787</v>
      </c>
      <c r="AF1756" s="6" t="e">
        <f t="shared" si="127"/>
        <v>#DIV/0!</v>
      </c>
      <c r="AG1756" s="4">
        <v>42787</v>
      </c>
      <c r="AH1756" s="6">
        <v>0.32927400000000001</v>
      </c>
      <c r="AI1756" s="6">
        <v>0.77330200000000004</v>
      </c>
      <c r="AJ1756" s="6">
        <v>0.98084700000000002</v>
      </c>
      <c r="AK1756" s="6"/>
      <c r="AL1756" s="6"/>
      <c r="AM1756" s="6" t="e">
        <f t="shared" si="129"/>
        <v>#DIV/0!</v>
      </c>
    </row>
    <row r="1757" spans="29:39" x14ac:dyDescent="0.3">
      <c r="AC1757">
        <f t="shared" si="128"/>
        <v>0</v>
      </c>
      <c r="AD1757">
        <v>1754</v>
      </c>
      <c r="AE1757" s="4">
        <f t="shared" si="126"/>
        <v>42788</v>
      </c>
      <c r="AF1757" s="6" t="e">
        <f t="shared" si="127"/>
        <v>#DIV/0!</v>
      </c>
      <c r="AG1757" s="4">
        <v>42788</v>
      </c>
      <c r="AH1757" s="6">
        <v>0.19908300000000001</v>
      </c>
      <c r="AI1757" s="6">
        <v>0.61834</v>
      </c>
      <c r="AJ1757" s="6">
        <v>0.36201699999999998</v>
      </c>
      <c r="AK1757" s="6"/>
      <c r="AL1757" s="6"/>
      <c r="AM1757" s="6" t="e">
        <f t="shared" si="129"/>
        <v>#DIV/0!</v>
      </c>
    </row>
    <row r="1758" spans="29:39" x14ac:dyDescent="0.3">
      <c r="AC1758">
        <f t="shared" si="128"/>
        <v>0</v>
      </c>
      <c r="AD1758">
        <v>1755</v>
      </c>
      <c r="AE1758" s="4">
        <f t="shared" si="126"/>
        <v>42789</v>
      </c>
      <c r="AF1758" s="6" t="e">
        <f t="shared" si="127"/>
        <v>#DIV/0!</v>
      </c>
      <c r="AG1758" s="4">
        <v>42789</v>
      </c>
      <c r="AH1758" s="6">
        <v>-0.47089500000000001</v>
      </c>
      <c r="AI1758" s="6">
        <v>-3.5829999999999998E-3</v>
      </c>
      <c r="AJ1758" s="6">
        <v>2.8195000000000001E-2</v>
      </c>
      <c r="AK1758" s="6"/>
      <c r="AL1758" s="6"/>
      <c r="AM1758" s="6" t="e">
        <f t="shared" si="129"/>
        <v>#DIV/0!</v>
      </c>
    </row>
    <row r="1759" spans="29:39" x14ac:dyDescent="0.3">
      <c r="AC1759">
        <f t="shared" si="128"/>
        <v>0</v>
      </c>
      <c r="AD1759">
        <v>1756</v>
      </c>
      <c r="AE1759" s="4">
        <f t="shared" si="126"/>
        <v>42790</v>
      </c>
      <c r="AF1759" s="6" t="e">
        <f t="shared" si="127"/>
        <v>#DIV/0!</v>
      </c>
      <c r="AG1759" s="4">
        <v>42790</v>
      </c>
      <c r="AH1759" s="6">
        <v>1.5204000000000001E-2</v>
      </c>
      <c r="AI1759" s="6">
        <v>3.3556999999999997E-2</v>
      </c>
      <c r="AJ1759" s="6">
        <v>0.361153</v>
      </c>
      <c r="AK1759" s="6"/>
      <c r="AL1759" s="6"/>
      <c r="AM1759" s="6" t="e">
        <f t="shared" si="129"/>
        <v>#DIV/0!</v>
      </c>
    </row>
    <row r="1760" spans="29:39" x14ac:dyDescent="0.3">
      <c r="AC1760">
        <f t="shared" si="128"/>
        <v>0</v>
      </c>
      <c r="AD1760">
        <v>1757</v>
      </c>
      <c r="AE1760" s="4">
        <f t="shared" si="126"/>
        <v>42793</v>
      </c>
      <c r="AF1760" s="6" t="e">
        <f t="shared" si="127"/>
        <v>#DIV/0!</v>
      </c>
      <c r="AG1760" s="4">
        <v>42793</v>
      </c>
      <c r="AH1760" s="6">
        <v>-0.79533900000000002</v>
      </c>
      <c r="AI1760" s="6">
        <v>-0.80156400000000005</v>
      </c>
      <c r="AJ1760" s="6">
        <v>-0.778868</v>
      </c>
      <c r="AK1760" s="6"/>
      <c r="AL1760" s="6"/>
      <c r="AM1760" s="6" t="e">
        <f t="shared" si="129"/>
        <v>#DIV/0!</v>
      </c>
    </row>
    <row r="1761" spans="29:39" x14ac:dyDescent="0.3">
      <c r="AC1761">
        <f t="shared" si="128"/>
        <v>0</v>
      </c>
      <c r="AD1761">
        <v>1758</v>
      </c>
      <c r="AE1761" s="4">
        <f t="shared" si="126"/>
        <v>42794</v>
      </c>
      <c r="AF1761" s="6" t="e">
        <f t="shared" si="127"/>
        <v>#DIV/0!</v>
      </c>
      <c r="AG1761" s="4">
        <v>42794</v>
      </c>
      <c r="AH1761" s="6">
        <v>0.19115099999999999</v>
      </c>
      <c r="AI1761" s="6">
        <v>0.41584900000000002</v>
      </c>
      <c r="AJ1761" s="6">
        <v>0.36781700000000001</v>
      </c>
      <c r="AK1761" s="6"/>
      <c r="AL1761" s="6"/>
      <c r="AM1761" s="6" t="e">
        <f t="shared" si="129"/>
        <v>#DIV/0!</v>
      </c>
    </row>
    <row r="1762" spans="29:39" x14ac:dyDescent="0.3">
      <c r="AC1762">
        <f t="shared" si="128"/>
        <v>0</v>
      </c>
      <c r="AD1762">
        <v>1759</v>
      </c>
      <c r="AE1762" s="4">
        <f t="shared" si="126"/>
        <v>42795</v>
      </c>
      <c r="AF1762" s="6" t="e">
        <f t="shared" si="127"/>
        <v>#DIV/0!</v>
      </c>
      <c r="AG1762" s="4">
        <v>42795</v>
      </c>
      <c r="AH1762" s="6">
        <v>0.16297700000000001</v>
      </c>
      <c r="AI1762" s="6">
        <v>0.258386</v>
      </c>
      <c r="AJ1762" s="6">
        <v>0.21609600000000001</v>
      </c>
      <c r="AK1762" s="6"/>
      <c r="AL1762" s="6"/>
      <c r="AM1762" s="6" t="e">
        <f t="shared" si="129"/>
        <v>#DIV/0!</v>
      </c>
    </row>
    <row r="1763" spans="29:39" x14ac:dyDescent="0.3">
      <c r="AC1763">
        <f t="shared" si="128"/>
        <v>0</v>
      </c>
      <c r="AD1763">
        <v>1760</v>
      </c>
      <c r="AE1763" s="4">
        <f t="shared" si="126"/>
        <v>42796</v>
      </c>
      <c r="AF1763" s="6" t="e">
        <f t="shared" si="127"/>
        <v>#DIV/0!</v>
      </c>
      <c r="AG1763" s="4">
        <v>42796</v>
      </c>
      <c r="AH1763" s="6">
        <v>-0.67490899999999998</v>
      </c>
      <c r="AI1763" s="6">
        <v>-0.51042299999999996</v>
      </c>
      <c r="AJ1763" s="6">
        <v>-0.64541899999999996</v>
      </c>
      <c r="AK1763" s="6"/>
      <c r="AL1763" s="6"/>
      <c r="AM1763" s="6" t="e">
        <f t="shared" si="129"/>
        <v>#DIV/0!</v>
      </c>
    </row>
    <row r="1764" spans="29:39" x14ac:dyDescent="0.3">
      <c r="AC1764">
        <f t="shared" si="128"/>
        <v>0</v>
      </c>
      <c r="AD1764">
        <v>1761</v>
      </c>
      <c r="AE1764" s="4">
        <f t="shared" si="126"/>
        <v>42797</v>
      </c>
      <c r="AF1764" s="6" t="e">
        <f t="shared" si="127"/>
        <v>#DIV/0!</v>
      </c>
      <c r="AG1764" s="4">
        <v>42797</v>
      </c>
      <c r="AH1764" s="6">
        <v>-0.21057600000000001</v>
      </c>
      <c r="AI1764" s="6">
        <v>0.28304400000000002</v>
      </c>
      <c r="AJ1764" s="6">
        <v>0.40148499999999998</v>
      </c>
      <c r="AK1764" s="6"/>
      <c r="AL1764" s="6"/>
      <c r="AM1764" s="6" t="e">
        <f t="shared" si="129"/>
        <v>#DIV/0!</v>
      </c>
    </row>
    <row r="1765" spans="29:39" x14ac:dyDescent="0.3">
      <c r="AC1765">
        <f t="shared" si="128"/>
        <v>0</v>
      </c>
      <c r="AD1765">
        <v>1762</v>
      </c>
      <c r="AE1765" s="4">
        <f t="shared" si="126"/>
        <v>42800</v>
      </c>
      <c r="AF1765" s="6" t="e">
        <f t="shared" si="127"/>
        <v>#DIV/0!</v>
      </c>
      <c r="AG1765" s="4">
        <v>42800</v>
      </c>
      <c r="AH1765" s="6">
        <v>0.54323100000000002</v>
      </c>
      <c r="AI1765" s="6">
        <v>0.99931999999999999</v>
      </c>
      <c r="AJ1765" s="6">
        <v>1.207487</v>
      </c>
      <c r="AK1765" s="6"/>
      <c r="AL1765" s="6"/>
      <c r="AM1765" s="6" t="e">
        <f t="shared" si="129"/>
        <v>#DIV/0!</v>
      </c>
    </row>
    <row r="1766" spans="29:39" x14ac:dyDescent="0.3">
      <c r="AC1766">
        <f t="shared" si="128"/>
        <v>0</v>
      </c>
      <c r="AD1766">
        <v>1763</v>
      </c>
      <c r="AE1766" s="4">
        <f t="shared" si="126"/>
        <v>42801</v>
      </c>
      <c r="AF1766" s="6" t="e">
        <f t="shared" si="127"/>
        <v>#DIV/0!</v>
      </c>
      <c r="AG1766" s="4">
        <v>42801</v>
      </c>
      <c r="AH1766" s="6">
        <v>0.21681500000000001</v>
      </c>
      <c r="AI1766" s="6">
        <v>8.9965000000000003E-2</v>
      </c>
      <c r="AJ1766" s="6">
        <v>0.18948999999999999</v>
      </c>
      <c r="AK1766" s="6"/>
      <c r="AL1766" s="6"/>
      <c r="AM1766" s="6" t="e">
        <f t="shared" si="129"/>
        <v>#DIV/0!</v>
      </c>
    </row>
    <row r="1767" spans="29:39" x14ac:dyDescent="0.3">
      <c r="AC1767">
        <f t="shared" si="128"/>
        <v>0</v>
      </c>
      <c r="AD1767">
        <v>1764</v>
      </c>
      <c r="AE1767" s="4">
        <f t="shared" si="126"/>
        <v>42802</v>
      </c>
      <c r="AF1767" s="6" t="e">
        <f t="shared" si="127"/>
        <v>#DIV/0!</v>
      </c>
      <c r="AG1767" s="4">
        <v>42802</v>
      </c>
      <c r="AH1767" s="6">
        <v>-0.151282</v>
      </c>
      <c r="AI1767" s="6">
        <v>-0.40009600000000001</v>
      </c>
      <c r="AJ1767" s="6">
        <v>-0.40113399999999999</v>
      </c>
      <c r="AK1767" s="6"/>
      <c r="AL1767" s="6"/>
      <c r="AM1767" s="6" t="e">
        <f t="shared" si="129"/>
        <v>#DIV/0!</v>
      </c>
    </row>
    <row r="1768" spans="29:39" x14ac:dyDescent="0.3">
      <c r="AC1768">
        <f t="shared" si="128"/>
        <v>0</v>
      </c>
      <c r="AD1768">
        <v>1765</v>
      </c>
      <c r="AE1768" s="4">
        <f t="shared" si="126"/>
        <v>42803</v>
      </c>
      <c r="AF1768" s="6" t="e">
        <f t="shared" si="127"/>
        <v>#DIV/0!</v>
      </c>
      <c r="AG1768" s="4">
        <v>42803</v>
      </c>
      <c r="AH1768" s="6">
        <v>-0.63175400000000004</v>
      </c>
      <c r="AI1768" s="6">
        <v>-0.88817599999999997</v>
      </c>
      <c r="AJ1768" s="6">
        <v>-0.63229599999999997</v>
      </c>
      <c r="AK1768" s="6"/>
      <c r="AL1768" s="6"/>
      <c r="AM1768" s="6" t="e">
        <f t="shared" si="129"/>
        <v>#DIV/0!</v>
      </c>
    </row>
    <row r="1769" spans="29:39" x14ac:dyDescent="0.3">
      <c r="AC1769">
        <f t="shared" si="128"/>
        <v>0</v>
      </c>
      <c r="AD1769">
        <v>1766</v>
      </c>
      <c r="AE1769" s="4">
        <f t="shared" si="126"/>
        <v>42804</v>
      </c>
      <c r="AF1769" s="6" t="e">
        <f t="shared" si="127"/>
        <v>#DIV/0!</v>
      </c>
      <c r="AG1769" s="4">
        <v>42804</v>
      </c>
      <c r="AH1769" s="6">
        <v>2.7657000000000001E-2</v>
      </c>
      <c r="AI1769" s="6">
        <v>0.13253300000000001</v>
      </c>
      <c r="AJ1769" s="6">
        <v>2.6055999999999999E-2</v>
      </c>
      <c r="AK1769" s="6"/>
      <c r="AL1769" s="6"/>
      <c r="AM1769" s="6" t="e">
        <f t="shared" si="129"/>
        <v>#DIV/0!</v>
      </c>
    </row>
    <row r="1770" spans="29:39" x14ac:dyDescent="0.3">
      <c r="AC1770">
        <f t="shared" si="128"/>
        <v>0</v>
      </c>
      <c r="AD1770">
        <v>1767</v>
      </c>
      <c r="AE1770" s="4">
        <f t="shared" si="126"/>
        <v>42807</v>
      </c>
      <c r="AF1770" s="6" t="e">
        <f t="shared" si="127"/>
        <v>#DIV/0!</v>
      </c>
      <c r="AG1770" s="4">
        <v>42807</v>
      </c>
      <c r="AH1770" s="6">
        <v>0.88119499999999995</v>
      </c>
      <c r="AI1770" s="6">
        <v>0.93022099999999996</v>
      </c>
      <c r="AJ1770" s="6">
        <v>0.71140000000000003</v>
      </c>
      <c r="AK1770" s="6"/>
      <c r="AL1770" s="6"/>
      <c r="AM1770" s="6" t="e">
        <f t="shared" si="129"/>
        <v>#DIV/0!</v>
      </c>
    </row>
    <row r="1771" spans="29:39" x14ac:dyDescent="0.3">
      <c r="AC1771">
        <f t="shared" si="128"/>
        <v>0</v>
      </c>
      <c r="AD1771">
        <v>1768</v>
      </c>
      <c r="AE1771" s="4">
        <f t="shared" si="126"/>
        <v>42808</v>
      </c>
      <c r="AF1771" s="6" t="e">
        <f t="shared" si="127"/>
        <v>#DIV/0!</v>
      </c>
      <c r="AG1771" s="4">
        <v>42808</v>
      </c>
      <c r="AH1771" s="6">
        <v>-4.0618000000000001E-2</v>
      </c>
      <c r="AI1771" s="6">
        <v>-0.22145100000000001</v>
      </c>
      <c r="AJ1771" s="6">
        <v>-0.195439</v>
      </c>
      <c r="AK1771" s="6"/>
      <c r="AL1771" s="6"/>
      <c r="AM1771" s="6" t="e">
        <f t="shared" si="129"/>
        <v>#DIV/0!</v>
      </c>
    </row>
    <row r="1772" spans="29:39" x14ac:dyDescent="0.3">
      <c r="AC1772">
        <f t="shared" si="128"/>
        <v>0</v>
      </c>
      <c r="AD1772">
        <v>1769</v>
      </c>
      <c r="AE1772" s="4">
        <f t="shared" si="126"/>
        <v>42809</v>
      </c>
      <c r="AF1772" s="6" t="e">
        <f t="shared" si="127"/>
        <v>#DIV/0!</v>
      </c>
      <c r="AG1772" s="4">
        <v>42809</v>
      </c>
      <c r="AH1772" s="6">
        <v>0.20106499999999999</v>
      </c>
      <c r="AI1772" s="6">
        <v>-0.114315</v>
      </c>
      <c r="AJ1772" s="6">
        <v>-8.9533000000000001E-2</v>
      </c>
      <c r="AK1772" s="6"/>
      <c r="AL1772" s="6"/>
      <c r="AM1772" s="6" t="e">
        <f t="shared" si="129"/>
        <v>#DIV/0!</v>
      </c>
    </row>
    <row r="1773" spans="29:39" x14ac:dyDescent="0.3">
      <c r="AC1773">
        <f t="shared" si="128"/>
        <v>0</v>
      </c>
      <c r="AD1773">
        <v>1770</v>
      </c>
      <c r="AE1773" s="4">
        <f t="shared" si="126"/>
        <v>42810</v>
      </c>
      <c r="AF1773" s="6" t="e">
        <f t="shared" si="127"/>
        <v>#DIV/0!</v>
      </c>
      <c r="AG1773" s="4">
        <v>42810</v>
      </c>
      <c r="AH1773" s="6">
        <v>0.51572899999999999</v>
      </c>
      <c r="AI1773" s="6">
        <v>0.88311099999999998</v>
      </c>
      <c r="AJ1773" s="6">
        <v>1.060773</v>
      </c>
      <c r="AK1773" s="6"/>
      <c r="AL1773" s="6"/>
      <c r="AM1773" s="6" t="e">
        <f t="shared" si="129"/>
        <v>#DIV/0!</v>
      </c>
    </row>
    <row r="1774" spans="29:39" x14ac:dyDescent="0.3">
      <c r="AC1774">
        <f t="shared" si="128"/>
        <v>0</v>
      </c>
      <c r="AD1774">
        <v>1771</v>
      </c>
      <c r="AE1774" s="4">
        <f t="shared" si="126"/>
        <v>42811</v>
      </c>
      <c r="AF1774" s="6" t="e">
        <f t="shared" si="127"/>
        <v>#DIV/0!</v>
      </c>
      <c r="AG1774" s="4">
        <v>42811</v>
      </c>
      <c r="AH1774" s="6">
        <v>-1.025461</v>
      </c>
      <c r="AI1774" s="6">
        <v>-0.91840500000000003</v>
      </c>
      <c r="AJ1774" s="6">
        <v>-0.70531600000000005</v>
      </c>
      <c r="AK1774" s="6"/>
      <c r="AL1774" s="6"/>
      <c r="AM1774" s="6" t="e">
        <f t="shared" si="129"/>
        <v>#DIV/0!</v>
      </c>
    </row>
    <row r="1775" spans="29:39" x14ac:dyDescent="0.3">
      <c r="AC1775">
        <f t="shared" si="128"/>
        <v>0</v>
      </c>
      <c r="AD1775">
        <v>1772</v>
      </c>
      <c r="AE1775" s="4">
        <f t="shared" si="126"/>
        <v>42814</v>
      </c>
      <c r="AF1775" s="6" t="e">
        <f t="shared" si="127"/>
        <v>#DIV/0!</v>
      </c>
      <c r="AG1775" s="4">
        <v>42814</v>
      </c>
      <c r="AH1775" s="6">
        <v>0.110497</v>
      </c>
      <c r="AI1775" s="6">
        <v>0.23283599999999999</v>
      </c>
      <c r="AJ1775" s="6">
        <v>0.36005300000000001</v>
      </c>
      <c r="AK1775" s="6"/>
      <c r="AL1775" s="6"/>
      <c r="AM1775" s="6" t="e">
        <f t="shared" si="129"/>
        <v>#DIV/0!</v>
      </c>
    </row>
    <row r="1776" spans="29:39" x14ac:dyDescent="0.3">
      <c r="AC1776">
        <f t="shared" si="128"/>
        <v>0</v>
      </c>
      <c r="AD1776">
        <v>1773</v>
      </c>
      <c r="AE1776" s="4">
        <f t="shared" si="126"/>
        <v>42815</v>
      </c>
      <c r="AF1776" s="6" t="e">
        <f t="shared" si="127"/>
        <v>#DIV/0!</v>
      </c>
      <c r="AG1776" s="4">
        <v>42815</v>
      </c>
      <c r="AH1776" s="6">
        <v>0.48510399999999998</v>
      </c>
      <c r="AI1776" s="6">
        <v>0.270903</v>
      </c>
      <c r="AJ1776" s="6">
        <v>5.4694E-2</v>
      </c>
      <c r="AK1776" s="6"/>
      <c r="AL1776" s="6"/>
      <c r="AM1776" s="6" t="e">
        <f t="shared" si="129"/>
        <v>#DIV/0!</v>
      </c>
    </row>
    <row r="1777" spans="29:39" x14ac:dyDescent="0.3">
      <c r="AC1777">
        <f t="shared" si="128"/>
        <v>0</v>
      </c>
      <c r="AD1777">
        <v>1774</v>
      </c>
      <c r="AE1777" s="4">
        <f t="shared" si="126"/>
        <v>42816</v>
      </c>
      <c r="AF1777" s="6" t="e">
        <f t="shared" si="127"/>
        <v>#DIV/0!</v>
      </c>
      <c r="AG1777" s="4">
        <v>42816</v>
      </c>
      <c r="AH1777" s="6">
        <v>-0.470138</v>
      </c>
      <c r="AI1777" s="6">
        <v>-0.24790000000000001</v>
      </c>
      <c r="AJ1777" s="6">
        <v>-0.54468899999999998</v>
      </c>
      <c r="AK1777" s="6"/>
      <c r="AL1777" s="6"/>
      <c r="AM1777" s="6" t="e">
        <f t="shared" si="129"/>
        <v>#DIV/0!</v>
      </c>
    </row>
    <row r="1778" spans="29:39" x14ac:dyDescent="0.3">
      <c r="AC1778">
        <f t="shared" si="128"/>
        <v>0</v>
      </c>
      <c r="AD1778">
        <v>1775</v>
      </c>
      <c r="AE1778" s="4">
        <f t="shared" si="126"/>
        <v>42817</v>
      </c>
      <c r="AF1778" s="6" t="e">
        <f t="shared" si="127"/>
        <v>#DIV/0!</v>
      </c>
      <c r="AG1778" s="4">
        <v>42817</v>
      </c>
      <c r="AH1778" s="6">
        <v>0.34573399999999999</v>
      </c>
      <c r="AI1778" s="6">
        <v>0.190692</v>
      </c>
      <c r="AJ1778" s="6">
        <v>-1.8010000000000002E-2</v>
      </c>
      <c r="AK1778" s="6"/>
      <c r="AL1778" s="6"/>
      <c r="AM1778" s="6" t="e">
        <f t="shared" si="129"/>
        <v>#DIV/0!</v>
      </c>
    </row>
    <row r="1779" spans="29:39" x14ac:dyDescent="0.3">
      <c r="AC1779">
        <f t="shared" si="128"/>
        <v>0</v>
      </c>
      <c r="AD1779">
        <v>1776</v>
      </c>
      <c r="AE1779" s="4">
        <f t="shared" si="126"/>
        <v>42818</v>
      </c>
      <c r="AF1779" s="6" t="e">
        <f t="shared" si="127"/>
        <v>#DIV/0!</v>
      </c>
      <c r="AG1779" s="4">
        <v>42818</v>
      </c>
      <c r="AH1779" s="6">
        <v>0.79785300000000003</v>
      </c>
      <c r="AI1779" s="6">
        <v>0.52866400000000002</v>
      </c>
      <c r="AJ1779" s="6">
        <v>0.131879</v>
      </c>
      <c r="AK1779" s="6"/>
      <c r="AL1779" s="6"/>
      <c r="AM1779" s="6" t="e">
        <f t="shared" si="129"/>
        <v>#DIV/0!</v>
      </c>
    </row>
    <row r="1780" spans="29:39" x14ac:dyDescent="0.3">
      <c r="AC1780">
        <f t="shared" si="128"/>
        <v>0</v>
      </c>
      <c r="AD1780">
        <v>1777</v>
      </c>
      <c r="AE1780" s="4">
        <f t="shared" si="126"/>
        <v>42821</v>
      </c>
      <c r="AF1780" s="6" t="e">
        <f t="shared" si="127"/>
        <v>#DIV/0!</v>
      </c>
      <c r="AG1780" s="4">
        <v>42821</v>
      </c>
      <c r="AH1780" s="6">
        <v>-0.33130399999999999</v>
      </c>
      <c r="AI1780" s="6">
        <v>-0.46714800000000001</v>
      </c>
      <c r="AJ1780" s="6">
        <v>-0.178783</v>
      </c>
      <c r="AK1780" s="6"/>
      <c r="AL1780" s="6"/>
      <c r="AM1780" s="6" t="e">
        <f t="shared" si="129"/>
        <v>#DIV/0!</v>
      </c>
    </row>
    <row r="1781" spans="29:39" x14ac:dyDescent="0.3">
      <c r="AC1781">
        <f t="shared" si="128"/>
        <v>0</v>
      </c>
      <c r="AD1781">
        <v>1778</v>
      </c>
      <c r="AE1781" s="4">
        <f t="shared" si="126"/>
        <v>42822</v>
      </c>
      <c r="AF1781" s="6" t="e">
        <f t="shared" si="127"/>
        <v>#DIV/0!</v>
      </c>
      <c r="AG1781" s="4">
        <v>42822</v>
      </c>
      <c r="AH1781" s="6">
        <v>-0.23660500000000001</v>
      </c>
      <c r="AI1781" s="6">
        <v>-0.26615</v>
      </c>
      <c r="AJ1781" s="6">
        <v>-0.335841</v>
      </c>
      <c r="AK1781" s="6"/>
      <c r="AL1781" s="6"/>
      <c r="AM1781" s="6" t="e">
        <f t="shared" si="129"/>
        <v>#DIV/0!</v>
      </c>
    </row>
    <row r="1782" spans="29:39" x14ac:dyDescent="0.3">
      <c r="AC1782">
        <f t="shared" si="128"/>
        <v>0</v>
      </c>
      <c r="AD1782">
        <v>1779</v>
      </c>
      <c r="AE1782" s="4">
        <f t="shared" si="126"/>
        <v>42823</v>
      </c>
      <c r="AF1782" s="6" t="e">
        <f t="shared" si="127"/>
        <v>#DIV/0!</v>
      </c>
      <c r="AG1782" s="4">
        <v>42823</v>
      </c>
      <c r="AH1782" s="6">
        <v>-0.13303300000000001</v>
      </c>
      <c r="AI1782" s="6">
        <v>-0.27924399999999999</v>
      </c>
      <c r="AJ1782" s="6">
        <v>-0.81624600000000003</v>
      </c>
      <c r="AK1782" s="6"/>
      <c r="AL1782" s="6"/>
      <c r="AM1782" s="6" t="e">
        <f t="shared" si="129"/>
        <v>#DIV/0!</v>
      </c>
    </row>
    <row r="1783" spans="29:39" x14ac:dyDescent="0.3">
      <c r="AC1783">
        <f t="shared" si="128"/>
        <v>0</v>
      </c>
      <c r="AD1783">
        <v>1780</v>
      </c>
      <c r="AE1783" s="4">
        <f t="shared" si="126"/>
        <v>42824</v>
      </c>
      <c r="AF1783" s="6" t="e">
        <f t="shared" si="127"/>
        <v>#DIV/0!</v>
      </c>
      <c r="AG1783" s="4">
        <v>42824</v>
      </c>
      <c r="AH1783" s="6">
        <v>-0.82059800000000005</v>
      </c>
      <c r="AI1783" s="6">
        <v>-1.617138</v>
      </c>
      <c r="AJ1783" s="6">
        <v>-2.040143</v>
      </c>
      <c r="AK1783" s="6"/>
      <c r="AL1783" s="6"/>
      <c r="AM1783" s="6" t="e">
        <f t="shared" si="129"/>
        <v>#DIV/0!</v>
      </c>
    </row>
    <row r="1784" spans="29:39" x14ac:dyDescent="0.3">
      <c r="AC1784">
        <f t="shared" si="128"/>
        <v>0</v>
      </c>
      <c r="AD1784">
        <v>1781</v>
      </c>
      <c r="AE1784" s="4">
        <f t="shared" si="126"/>
        <v>42825</v>
      </c>
      <c r="AF1784" s="6" t="e">
        <f t="shared" si="127"/>
        <v>#DIV/0!</v>
      </c>
      <c r="AG1784" s="4">
        <v>42825</v>
      </c>
      <c r="AH1784" s="6">
        <v>0.56121200000000004</v>
      </c>
      <c r="AI1784" s="6">
        <v>0.40629300000000002</v>
      </c>
      <c r="AJ1784" s="6">
        <v>0.28984700000000002</v>
      </c>
      <c r="AK1784" s="6"/>
      <c r="AL1784" s="6"/>
      <c r="AM1784" s="6" t="e">
        <f t="shared" si="129"/>
        <v>#DIV/0!</v>
      </c>
    </row>
    <row r="1785" spans="29:39" x14ac:dyDescent="0.3">
      <c r="AC1785">
        <f t="shared" si="128"/>
        <v>0</v>
      </c>
      <c r="AD1785">
        <v>1782</v>
      </c>
      <c r="AE1785" s="4">
        <f t="shared" si="126"/>
        <v>42830</v>
      </c>
      <c r="AF1785" s="6" t="e">
        <f t="shared" si="127"/>
        <v>#DIV/0!</v>
      </c>
      <c r="AG1785" s="4">
        <v>42830</v>
      </c>
      <c r="AH1785" s="6">
        <v>1.3844639999999999</v>
      </c>
      <c r="AI1785" s="6">
        <v>2.1606719999999999</v>
      </c>
      <c r="AJ1785" s="6">
        <v>2.1928339999999999</v>
      </c>
      <c r="AK1785" s="6"/>
      <c r="AL1785" s="6"/>
      <c r="AM1785" s="6" t="e">
        <f t="shared" si="129"/>
        <v>#DIV/0!</v>
      </c>
    </row>
    <row r="1786" spans="29:39" x14ac:dyDescent="0.3">
      <c r="AC1786">
        <f t="shared" si="128"/>
        <v>0</v>
      </c>
      <c r="AD1786">
        <v>1783</v>
      </c>
      <c r="AE1786" s="4">
        <f t="shared" si="126"/>
        <v>42831</v>
      </c>
      <c r="AF1786" s="6" t="e">
        <f t="shared" si="127"/>
        <v>#DIV/0!</v>
      </c>
      <c r="AG1786" s="4">
        <v>42831</v>
      </c>
      <c r="AH1786" s="6">
        <v>0.28978300000000001</v>
      </c>
      <c r="AI1786" s="6">
        <v>0.301012</v>
      </c>
      <c r="AJ1786" s="6">
        <v>0.25408599999999998</v>
      </c>
      <c r="AK1786" s="6"/>
      <c r="AL1786" s="6"/>
      <c r="AM1786" s="6" t="e">
        <f t="shared" si="129"/>
        <v>#DIV/0!</v>
      </c>
    </row>
    <row r="1787" spans="29:39" x14ac:dyDescent="0.3">
      <c r="AC1787">
        <f t="shared" si="128"/>
        <v>0</v>
      </c>
      <c r="AD1787">
        <v>1784</v>
      </c>
      <c r="AE1787" s="4">
        <f t="shared" si="126"/>
        <v>42832</v>
      </c>
      <c r="AF1787" s="6" t="e">
        <f t="shared" si="127"/>
        <v>#DIV/0!</v>
      </c>
      <c r="AG1787" s="4">
        <v>42832</v>
      </c>
      <c r="AH1787" s="6">
        <v>9.7224000000000005E-2</v>
      </c>
      <c r="AI1787" s="6">
        <v>0.29076800000000003</v>
      </c>
      <c r="AJ1787" s="6">
        <v>1.2688E-2</v>
      </c>
      <c r="AK1787" s="6"/>
      <c r="AL1787" s="6"/>
      <c r="AM1787" s="6" t="e">
        <f t="shared" si="129"/>
        <v>#DIV/0!</v>
      </c>
    </row>
    <row r="1788" spans="29:39" x14ac:dyDescent="0.3">
      <c r="AC1788">
        <f t="shared" si="128"/>
        <v>0</v>
      </c>
      <c r="AD1788">
        <v>1785</v>
      </c>
      <c r="AE1788" s="4">
        <f t="shared" si="126"/>
        <v>42835</v>
      </c>
      <c r="AF1788" s="6" t="e">
        <f t="shared" si="127"/>
        <v>#DIV/0!</v>
      </c>
      <c r="AG1788" s="4">
        <v>42835</v>
      </c>
      <c r="AH1788" s="6">
        <v>-0.35037200000000002</v>
      </c>
      <c r="AI1788" s="6">
        <v>-0.185171</v>
      </c>
      <c r="AJ1788" s="6">
        <v>-1.1187009999999999</v>
      </c>
      <c r="AK1788" s="6"/>
      <c r="AL1788" s="6"/>
      <c r="AM1788" s="6" t="e">
        <f t="shared" si="129"/>
        <v>#DIV/0!</v>
      </c>
    </row>
    <row r="1789" spans="29:39" x14ac:dyDescent="0.3">
      <c r="AC1789">
        <f t="shared" si="128"/>
        <v>0</v>
      </c>
      <c r="AD1789">
        <v>1786</v>
      </c>
      <c r="AE1789" s="4">
        <f t="shared" si="126"/>
        <v>42836</v>
      </c>
      <c r="AF1789" s="6" t="e">
        <f t="shared" si="127"/>
        <v>#DIV/0!</v>
      </c>
      <c r="AG1789" s="4">
        <v>42836</v>
      </c>
      <c r="AH1789" s="6">
        <v>0.34774100000000002</v>
      </c>
      <c r="AI1789" s="6">
        <v>0.95365200000000006</v>
      </c>
      <c r="AJ1789" s="6">
        <v>0.77261100000000005</v>
      </c>
      <c r="AK1789" s="6"/>
      <c r="AL1789" s="6"/>
      <c r="AM1789" s="6" t="e">
        <f t="shared" si="129"/>
        <v>#DIV/0!</v>
      </c>
    </row>
    <row r="1790" spans="29:39" x14ac:dyDescent="0.3">
      <c r="AC1790">
        <f t="shared" si="128"/>
        <v>0</v>
      </c>
      <c r="AD1790">
        <v>1787</v>
      </c>
      <c r="AE1790" s="4">
        <f t="shared" si="126"/>
        <v>42837</v>
      </c>
      <c r="AF1790" s="6" t="e">
        <f t="shared" si="127"/>
        <v>#DIV/0!</v>
      </c>
      <c r="AG1790" s="4">
        <v>42837</v>
      </c>
      <c r="AH1790" s="6">
        <v>-0.224298</v>
      </c>
      <c r="AI1790" s="6">
        <v>-0.794821</v>
      </c>
      <c r="AJ1790" s="6">
        <v>-0.82262900000000005</v>
      </c>
      <c r="AK1790" s="6"/>
      <c r="AL1790" s="6"/>
      <c r="AM1790" s="6" t="e">
        <f t="shared" si="129"/>
        <v>#DIV/0!</v>
      </c>
    </row>
    <row r="1791" spans="29:39" x14ac:dyDescent="0.3">
      <c r="AC1791">
        <f t="shared" si="128"/>
        <v>0</v>
      </c>
      <c r="AD1791">
        <v>1788</v>
      </c>
      <c r="AE1791" s="4">
        <f t="shared" si="126"/>
        <v>42838</v>
      </c>
      <c r="AF1791" s="6" t="e">
        <f t="shared" si="127"/>
        <v>#DIV/0!</v>
      </c>
      <c r="AG1791" s="4">
        <v>42838</v>
      </c>
      <c r="AH1791" s="6">
        <v>0.14610600000000001</v>
      </c>
      <c r="AI1791" s="6">
        <v>0.59649099999999999</v>
      </c>
      <c r="AJ1791" s="6">
        <v>0.30694199999999999</v>
      </c>
      <c r="AK1791" s="6"/>
      <c r="AL1791" s="6"/>
      <c r="AM1791" s="6" t="e">
        <f t="shared" si="129"/>
        <v>#DIV/0!</v>
      </c>
    </row>
    <row r="1792" spans="29:39" x14ac:dyDescent="0.3">
      <c r="AC1792">
        <f t="shared" si="128"/>
        <v>0</v>
      </c>
      <c r="AD1792">
        <v>1789</v>
      </c>
      <c r="AE1792" s="4">
        <f t="shared" si="126"/>
        <v>42839</v>
      </c>
      <c r="AF1792" s="6" t="e">
        <f t="shared" si="127"/>
        <v>#DIV/0!</v>
      </c>
      <c r="AG1792" s="4">
        <v>42839</v>
      </c>
      <c r="AH1792" s="6">
        <v>-0.79844000000000004</v>
      </c>
      <c r="AI1792" s="6">
        <v>-1.323242</v>
      </c>
      <c r="AJ1792" s="6">
        <v>-1.471746</v>
      </c>
      <c r="AK1792" s="6"/>
      <c r="AL1792" s="6"/>
      <c r="AM1792" s="6" t="e">
        <f t="shared" si="129"/>
        <v>#DIV/0!</v>
      </c>
    </row>
    <row r="1793" spans="29:39" x14ac:dyDescent="0.3">
      <c r="AC1793">
        <f t="shared" si="128"/>
        <v>0</v>
      </c>
      <c r="AD1793">
        <v>1790</v>
      </c>
      <c r="AE1793" s="4">
        <f t="shared" si="126"/>
        <v>42842</v>
      </c>
      <c r="AF1793" s="6" t="e">
        <f t="shared" si="127"/>
        <v>#DIV/0!</v>
      </c>
      <c r="AG1793" s="4">
        <v>42842</v>
      </c>
      <c r="AH1793" s="6">
        <v>-0.18823400000000001</v>
      </c>
      <c r="AI1793" s="6">
        <v>-1.096241</v>
      </c>
      <c r="AJ1793" s="6">
        <v>-1.497725</v>
      </c>
      <c r="AK1793" s="6"/>
      <c r="AL1793" s="6"/>
      <c r="AM1793" s="6" t="e">
        <f t="shared" si="129"/>
        <v>#DIV/0!</v>
      </c>
    </row>
    <row r="1794" spans="29:39" x14ac:dyDescent="0.3">
      <c r="AC1794">
        <f t="shared" si="128"/>
        <v>0</v>
      </c>
      <c r="AD1794">
        <v>1791</v>
      </c>
      <c r="AE1794" s="4">
        <f t="shared" si="126"/>
        <v>42843</v>
      </c>
      <c r="AF1794" s="6" t="e">
        <f t="shared" si="127"/>
        <v>#DIV/0!</v>
      </c>
      <c r="AG1794" s="4">
        <v>42843</v>
      </c>
      <c r="AH1794" s="6">
        <v>-0.49422700000000003</v>
      </c>
      <c r="AI1794" s="6">
        <v>-0.59453299999999998</v>
      </c>
      <c r="AJ1794" s="6">
        <v>-1.024829</v>
      </c>
      <c r="AK1794" s="6"/>
      <c r="AL1794" s="6"/>
      <c r="AM1794" s="6" t="e">
        <f t="shared" si="129"/>
        <v>#DIV/0!</v>
      </c>
    </row>
    <row r="1795" spans="29:39" x14ac:dyDescent="0.3">
      <c r="AC1795">
        <f t="shared" si="128"/>
        <v>0</v>
      </c>
      <c r="AD1795">
        <v>1792</v>
      </c>
      <c r="AE1795" s="4">
        <f t="shared" si="126"/>
        <v>42844</v>
      </c>
      <c r="AF1795" s="6" t="e">
        <f t="shared" si="127"/>
        <v>#DIV/0!</v>
      </c>
      <c r="AG1795" s="4">
        <v>42844</v>
      </c>
      <c r="AH1795" s="6">
        <v>-0.48709400000000003</v>
      </c>
      <c r="AI1795" s="6">
        <v>-1.0527059999999999</v>
      </c>
      <c r="AJ1795" s="6">
        <v>-1.264764</v>
      </c>
      <c r="AK1795" s="6"/>
      <c r="AL1795" s="6"/>
      <c r="AM1795" s="6" t="e">
        <f t="shared" si="129"/>
        <v>#DIV/0!</v>
      </c>
    </row>
    <row r="1796" spans="29:39" x14ac:dyDescent="0.3">
      <c r="AC1796">
        <f t="shared" si="128"/>
        <v>0</v>
      </c>
      <c r="AD1796">
        <v>1793</v>
      </c>
      <c r="AE1796" s="4">
        <f t="shared" si="126"/>
        <v>42845</v>
      </c>
      <c r="AF1796" s="6" t="e">
        <f t="shared" si="127"/>
        <v>#DIV/0!</v>
      </c>
      <c r="AG1796" s="4">
        <v>42845</v>
      </c>
      <c r="AH1796" s="6">
        <v>0.45480500000000001</v>
      </c>
      <c r="AI1796" s="6">
        <v>-4.5243999999999999E-2</v>
      </c>
      <c r="AJ1796" s="6">
        <v>-0.57075699999999996</v>
      </c>
      <c r="AK1796" s="6"/>
      <c r="AL1796" s="6"/>
      <c r="AM1796" s="6" t="e">
        <f t="shared" si="129"/>
        <v>#DIV/0!</v>
      </c>
    </row>
    <row r="1797" spans="29:39" x14ac:dyDescent="0.3">
      <c r="AC1797">
        <f t="shared" si="128"/>
        <v>0</v>
      </c>
      <c r="AD1797">
        <v>1794</v>
      </c>
      <c r="AE1797" s="4">
        <f t="shared" ref="AE1797:AE1860" si="130">AG1797</f>
        <v>42846</v>
      </c>
      <c r="AF1797" s="6" t="e">
        <f t="shared" ref="AF1797:AF1860" si="131">AM1797</f>
        <v>#DIV/0!</v>
      </c>
      <c r="AG1797" s="4">
        <v>42846</v>
      </c>
      <c r="AH1797" s="6">
        <v>0.15133099999999999</v>
      </c>
      <c r="AI1797" s="6">
        <v>-0.74136899999999994</v>
      </c>
      <c r="AJ1797" s="6">
        <v>-0.52907700000000002</v>
      </c>
      <c r="AK1797" s="6"/>
      <c r="AL1797" s="6"/>
      <c r="AM1797" s="6" t="e">
        <f t="shared" si="129"/>
        <v>#DIV/0!</v>
      </c>
    </row>
    <row r="1798" spans="29:39" x14ac:dyDescent="0.3">
      <c r="AC1798">
        <f t="shared" ref="AC1798:AC1861" si="132">IF(AE1798&lt;=AE1797,1,0)</f>
        <v>0</v>
      </c>
      <c r="AD1798">
        <v>1795</v>
      </c>
      <c r="AE1798" s="4">
        <f t="shared" si="130"/>
        <v>42849</v>
      </c>
      <c r="AF1798" s="6" t="e">
        <f t="shared" si="131"/>
        <v>#DIV/0!</v>
      </c>
      <c r="AG1798" s="4">
        <v>42849</v>
      </c>
      <c r="AH1798" s="6">
        <v>-1.024805</v>
      </c>
      <c r="AI1798" s="6">
        <v>-2.5744370000000001</v>
      </c>
      <c r="AJ1798" s="6">
        <v>-3.1100449999999999</v>
      </c>
      <c r="AK1798" s="6"/>
      <c r="AL1798" s="6"/>
      <c r="AM1798" s="6" t="e">
        <f t="shared" ref="AM1798:AM1861" si="133">(AL1798/AL1797-1)*100</f>
        <v>#DIV/0!</v>
      </c>
    </row>
    <row r="1799" spans="29:39" x14ac:dyDescent="0.3">
      <c r="AC1799">
        <f t="shared" si="132"/>
        <v>0</v>
      </c>
      <c r="AD1799">
        <v>1796</v>
      </c>
      <c r="AE1799" s="4">
        <f t="shared" si="130"/>
        <v>42850</v>
      </c>
      <c r="AF1799" s="6" t="e">
        <f t="shared" si="131"/>
        <v>#DIV/0!</v>
      </c>
      <c r="AG1799" s="4">
        <v>42850</v>
      </c>
      <c r="AH1799" s="6">
        <v>0.28315000000000001</v>
      </c>
      <c r="AI1799" s="6">
        <v>0.357682</v>
      </c>
      <c r="AJ1799" s="6">
        <v>0.33402999999999999</v>
      </c>
      <c r="AK1799" s="6"/>
      <c r="AL1799" s="6"/>
      <c r="AM1799" s="6" t="e">
        <f t="shared" si="133"/>
        <v>#DIV/0!</v>
      </c>
    </row>
    <row r="1800" spans="29:39" x14ac:dyDescent="0.3">
      <c r="AC1800">
        <f t="shared" si="132"/>
        <v>0</v>
      </c>
      <c r="AD1800">
        <v>1797</v>
      </c>
      <c r="AE1800" s="4">
        <f t="shared" si="130"/>
        <v>42851</v>
      </c>
      <c r="AF1800" s="6" t="e">
        <f t="shared" si="131"/>
        <v>#DIV/0!</v>
      </c>
      <c r="AG1800" s="4">
        <v>42851</v>
      </c>
      <c r="AH1800" s="6">
        <v>0.122317</v>
      </c>
      <c r="AI1800" s="6">
        <v>0.25869700000000001</v>
      </c>
      <c r="AJ1800" s="6">
        <v>0.36179099999999997</v>
      </c>
      <c r="AK1800" s="6"/>
      <c r="AL1800" s="6"/>
      <c r="AM1800" s="6" t="e">
        <f t="shared" si="133"/>
        <v>#DIV/0!</v>
      </c>
    </row>
    <row r="1801" spans="29:39" x14ac:dyDescent="0.3">
      <c r="AC1801">
        <f t="shared" si="132"/>
        <v>0</v>
      </c>
      <c r="AD1801">
        <v>1798</v>
      </c>
      <c r="AE1801" s="4">
        <f t="shared" si="130"/>
        <v>42852</v>
      </c>
      <c r="AF1801" s="6" t="e">
        <f t="shared" si="131"/>
        <v>#DIV/0!</v>
      </c>
      <c r="AG1801" s="4">
        <v>42852</v>
      </c>
      <c r="AH1801" s="6">
        <v>4.4613E-2</v>
      </c>
      <c r="AI1801" s="6">
        <v>0.25753399999999999</v>
      </c>
      <c r="AJ1801" s="6">
        <v>0.60859300000000005</v>
      </c>
      <c r="AK1801" s="6"/>
      <c r="AL1801" s="6"/>
      <c r="AM1801" s="6" t="e">
        <f t="shared" si="133"/>
        <v>#DIV/0!</v>
      </c>
    </row>
    <row r="1802" spans="29:39" x14ac:dyDescent="0.3">
      <c r="AC1802">
        <f t="shared" si="132"/>
        <v>0</v>
      </c>
      <c r="AD1802">
        <v>1799</v>
      </c>
      <c r="AE1802" s="4">
        <f t="shared" si="130"/>
        <v>42853</v>
      </c>
      <c r="AF1802" s="6" t="e">
        <f t="shared" si="131"/>
        <v>#DIV/0!</v>
      </c>
      <c r="AG1802" s="4">
        <v>42853</v>
      </c>
      <c r="AH1802" s="6">
        <v>-0.20213999999999999</v>
      </c>
      <c r="AI1802" s="6">
        <v>0.31584400000000001</v>
      </c>
      <c r="AJ1802" s="6">
        <v>0.55083599999999999</v>
      </c>
      <c r="AK1802" s="6"/>
      <c r="AL1802" s="6"/>
      <c r="AM1802" s="6" t="e">
        <f t="shared" si="133"/>
        <v>#DIV/0!</v>
      </c>
    </row>
    <row r="1803" spans="29:39" x14ac:dyDescent="0.3">
      <c r="AC1803">
        <f t="shared" si="132"/>
        <v>0</v>
      </c>
      <c r="AD1803">
        <v>1800</v>
      </c>
      <c r="AE1803" s="4">
        <f t="shared" si="130"/>
        <v>42857</v>
      </c>
      <c r="AF1803" s="6" t="e">
        <f t="shared" si="131"/>
        <v>#DIV/0!</v>
      </c>
      <c r="AG1803" s="4">
        <v>42857</v>
      </c>
      <c r="AH1803" s="6">
        <v>-0.38306200000000001</v>
      </c>
      <c r="AI1803" s="6">
        <v>6.8459000000000006E-2</v>
      </c>
      <c r="AJ1803" s="6">
        <v>4.3171000000000001E-2</v>
      </c>
      <c r="AK1803" s="6"/>
      <c r="AL1803" s="6"/>
      <c r="AM1803" s="6" t="e">
        <f t="shared" si="133"/>
        <v>#DIV/0!</v>
      </c>
    </row>
    <row r="1804" spans="29:39" x14ac:dyDescent="0.3">
      <c r="AC1804">
        <f t="shared" si="132"/>
        <v>0</v>
      </c>
      <c r="AD1804">
        <v>1801</v>
      </c>
      <c r="AE1804" s="4">
        <f t="shared" si="130"/>
        <v>42858</v>
      </c>
      <c r="AF1804" s="6" t="e">
        <f t="shared" si="131"/>
        <v>#DIV/0!</v>
      </c>
      <c r="AG1804" s="4">
        <v>42858</v>
      </c>
      <c r="AH1804" s="6">
        <v>-0.39247300000000002</v>
      </c>
      <c r="AI1804" s="6">
        <v>-0.299819</v>
      </c>
      <c r="AJ1804" s="6">
        <v>-0.18903</v>
      </c>
      <c r="AK1804" s="6"/>
      <c r="AL1804" s="6"/>
      <c r="AM1804" s="6" t="e">
        <f t="shared" si="133"/>
        <v>#DIV/0!</v>
      </c>
    </row>
    <row r="1805" spans="29:39" x14ac:dyDescent="0.3">
      <c r="AC1805">
        <f t="shared" si="132"/>
        <v>0</v>
      </c>
      <c r="AD1805">
        <v>1802</v>
      </c>
      <c r="AE1805" s="4">
        <f t="shared" si="130"/>
        <v>42859</v>
      </c>
      <c r="AF1805" s="6" t="e">
        <f t="shared" si="131"/>
        <v>#DIV/0!</v>
      </c>
      <c r="AG1805" s="4">
        <v>42859</v>
      </c>
      <c r="AH1805" s="6">
        <v>-0.25612299999999999</v>
      </c>
      <c r="AI1805" s="6">
        <v>-0.34163300000000002</v>
      </c>
      <c r="AJ1805" s="6">
        <v>-0.33277000000000001</v>
      </c>
      <c r="AK1805" s="6"/>
      <c r="AL1805" s="6"/>
      <c r="AM1805" s="6" t="e">
        <f t="shared" si="133"/>
        <v>#DIV/0!</v>
      </c>
    </row>
    <row r="1806" spans="29:39" x14ac:dyDescent="0.3">
      <c r="AC1806">
        <f t="shared" si="132"/>
        <v>0</v>
      </c>
      <c r="AD1806">
        <v>1803</v>
      </c>
      <c r="AE1806" s="4">
        <f t="shared" si="130"/>
        <v>42860</v>
      </c>
      <c r="AF1806" s="6" t="e">
        <f t="shared" si="131"/>
        <v>#DIV/0!</v>
      </c>
      <c r="AG1806" s="4">
        <v>42860</v>
      </c>
      <c r="AH1806" s="6">
        <v>-0.64141400000000004</v>
      </c>
      <c r="AI1806" s="6">
        <v>-1.4024970000000001</v>
      </c>
      <c r="AJ1806" s="6">
        <v>-1.3365860000000001</v>
      </c>
      <c r="AK1806" s="6"/>
      <c r="AL1806" s="6"/>
      <c r="AM1806" s="6" t="e">
        <f t="shared" si="133"/>
        <v>#DIV/0!</v>
      </c>
    </row>
    <row r="1807" spans="29:39" x14ac:dyDescent="0.3">
      <c r="AC1807">
        <f t="shared" si="132"/>
        <v>0</v>
      </c>
      <c r="AD1807">
        <v>1804</v>
      </c>
      <c r="AE1807" s="4">
        <f t="shared" si="130"/>
        <v>42863</v>
      </c>
      <c r="AF1807" s="6" t="e">
        <f t="shared" si="131"/>
        <v>#DIV/0!</v>
      </c>
      <c r="AG1807" s="4">
        <v>42863</v>
      </c>
      <c r="AH1807" s="6">
        <v>-0.70176899999999998</v>
      </c>
      <c r="AI1807" s="6">
        <v>-1.8743719999999999</v>
      </c>
      <c r="AJ1807" s="6">
        <v>-1.882817</v>
      </c>
      <c r="AK1807" s="6"/>
      <c r="AL1807" s="6"/>
      <c r="AM1807" s="6" t="e">
        <f t="shared" si="133"/>
        <v>#DIV/0!</v>
      </c>
    </row>
    <row r="1808" spans="29:39" x14ac:dyDescent="0.3">
      <c r="AC1808">
        <f t="shared" si="132"/>
        <v>0</v>
      </c>
      <c r="AD1808">
        <v>1805</v>
      </c>
      <c r="AE1808" s="4">
        <f t="shared" si="130"/>
        <v>42864</v>
      </c>
      <c r="AF1808" s="6" t="e">
        <f t="shared" si="131"/>
        <v>#DIV/0!</v>
      </c>
      <c r="AG1808" s="4">
        <v>42864</v>
      </c>
      <c r="AH1808" s="6">
        <v>-0.186974</v>
      </c>
      <c r="AI1808" s="6">
        <v>0.61018899999999998</v>
      </c>
      <c r="AJ1808" s="6">
        <v>0.63106799999999996</v>
      </c>
      <c r="AK1808" s="6"/>
      <c r="AL1808" s="6"/>
      <c r="AM1808" s="6" t="e">
        <f t="shared" si="133"/>
        <v>#DIV/0!</v>
      </c>
    </row>
    <row r="1809" spans="29:39" x14ac:dyDescent="0.3">
      <c r="AC1809">
        <f t="shared" si="132"/>
        <v>0</v>
      </c>
      <c r="AD1809">
        <v>1806</v>
      </c>
      <c r="AE1809" s="4">
        <f t="shared" si="130"/>
        <v>42865</v>
      </c>
      <c r="AF1809" s="6" t="e">
        <f t="shared" si="131"/>
        <v>#DIV/0!</v>
      </c>
      <c r="AG1809" s="4">
        <v>42865</v>
      </c>
      <c r="AH1809" s="6">
        <v>-0.44240299999999999</v>
      </c>
      <c r="AI1809" s="6">
        <v>-2.0984790000000002</v>
      </c>
      <c r="AJ1809" s="6">
        <v>-1.9885120000000001</v>
      </c>
      <c r="AK1809" s="6"/>
      <c r="AL1809" s="6"/>
      <c r="AM1809" s="6" t="e">
        <f t="shared" si="133"/>
        <v>#DIV/0!</v>
      </c>
    </row>
    <row r="1810" spans="29:39" x14ac:dyDescent="0.3">
      <c r="AC1810">
        <f t="shared" si="132"/>
        <v>0</v>
      </c>
      <c r="AD1810">
        <v>1807</v>
      </c>
      <c r="AE1810" s="4">
        <f t="shared" si="130"/>
        <v>42866</v>
      </c>
      <c r="AF1810" s="6" t="e">
        <f t="shared" si="131"/>
        <v>#DIV/0!</v>
      </c>
      <c r="AG1810" s="4">
        <v>42866</v>
      </c>
      <c r="AH1810" s="6">
        <v>0.56761200000000001</v>
      </c>
      <c r="AI1810" s="6">
        <v>-0.224299</v>
      </c>
      <c r="AJ1810" s="6">
        <v>-0.86720900000000001</v>
      </c>
      <c r="AK1810" s="6"/>
      <c r="AL1810" s="6"/>
      <c r="AM1810" s="6" t="e">
        <f t="shared" si="133"/>
        <v>#DIV/0!</v>
      </c>
    </row>
    <row r="1811" spans="29:39" x14ac:dyDescent="0.3">
      <c r="AC1811">
        <f t="shared" si="132"/>
        <v>0</v>
      </c>
      <c r="AD1811">
        <v>1808</v>
      </c>
      <c r="AE1811" s="4">
        <f t="shared" si="130"/>
        <v>42867</v>
      </c>
      <c r="AF1811" s="6" t="e">
        <f t="shared" si="131"/>
        <v>#DIV/0!</v>
      </c>
      <c r="AG1811" s="4">
        <v>42867</v>
      </c>
      <c r="AH1811" s="6">
        <v>0.85599700000000001</v>
      </c>
      <c r="AI1811" s="6">
        <v>-0.15079899999999999</v>
      </c>
      <c r="AJ1811" s="6">
        <v>-0.214586</v>
      </c>
      <c r="AK1811" s="6"/>
      <c r="AL1811" s="6"/>
      <c r="AM1811" s="6" t="e">
        <f t="shared" si="133"/>
        <v>#DIV/0!</v>
      </c>
    </row>
    <row r="1812" spans="29:39" x14ac:dyDescent="0.3">
      <c r="AC1812">
        <f t="shared" si="132"/>
        <v>0</v>
      </c>
      <c r="AD1812">
        <v>1809</v>
      </c>
      <c r="AE1812" s="4">
        <f t="shared" si="130"/>
        <v>42870</v>
      </c>
      <c r="AF1812" s="6" t="e">
        <f t="shared" si="131"/>
        <v>#DIV/0!</v>
      </c>
      <c r="AG1812" s="4">
        <v>42870</v>
      </c>
      <c r="AH1812" s="6">
        <v>0.408078</v>
      </c>
      <c r="AI1812" s="6">
        <v>0.50691299999999995</v>
      </c>
      <c r="AJ1812" s="6">
        <v>0.27544400000000002</v>
      </c>
      <c r="AK1812" s="6"/>
      <c r="AL1812" s="6"/>
      <c r="AM1812" s="6" t="e">
        <f t="shared" si="133"/>
        <v>#DIV/0!</v>
      </c>
    </row>
    <row r="1813" spans="29:39" x14ac:dyDescent="0.3">
      <c r="AC1813">
        <f t="shared" si="132"/>
        <v>0</v>
      </c>
      <c r="AD1813">
        <v>1810</v>
      </c>
      <c r="AE1813" s="4">
        <f t="shared" si="130"/>
        <v>42871</v>
      </c>
      <c r="AF1813" s="6" t="e">
        <f t="shared" si="131"/>
        <v>#DIV/0!</v>
      </c>
      <c r="AG1813" s="4">
        <v>42871</v>
      </c>
      <c r="AH1813" s="6">
        <v>0.86654100000000001</v>
      </c>
      <c r="AI1813" s="6">
        <v>2.0569570000000001</v>
      </c>
      <c r="AJ1813" s="6">
        <v>2.1397179999999998</v>
      </c>
      <c r="AK1813" s="6"/>
      <c r="AL1813" s="6"/>
      <c r="AM1813" s="6" t="e">
        <f t="shared" si="133"/>
        <v>#DIV/0!</v>
      </c>
    </row>
    <row r="1814" spans="29:39" x14ac:dyDescent="0.3">
      <c r="AC1814">
        <f t="shared" si="132"/>
        <v>0</v>
      </c>
      <c r="AD1814">
        <v>1811</v>
      </c>
      <c r="AE1814" s="4">
        <f t="shared" si="130"/>
        <v>42872</v>
      </c>
      <c r="AF1814" s="6" t="e">
        <f t="shared" si="131"/>
        <v>#DIV/0!</v>
      </c>
      <c r="AG1814" s="4">
        <v>42872</v>
      </c>
      <c r="AH1814" s="6">
        <v>-0.54492300000000005</v>
      </c>
      <c r="AI1814" s="6">
        <v>0.21473900000000001</v>
      </c>
      <c r="AJ1814" s="6">
        <v>0.273835</v>
      </c>
      <c r="AK1814" s="6"/>
      <c r="AL1814" s="6"/>
      <c r="AM1814" s="6" t="e">
        <f t="shared" si="133"/>
        <v>#DIV/0!</v>
      </c>
    </row>
    <row r="1815" spans="29:39" x14ac:dyDescent="0.3">
      <c r="AC1815">
        <f t="shared" si="132"/>
        <v>0</v>
      </c>
      <c r="AD1815">
        <v>1812</v>
      </c>
      <c r="AE1815" s="4">
        <f t="shared" si="130"/>
        <v>42873</v>
      </c>
      <c r="AF1815" s="6" t="e">
        <f t="shared" si="131"/>
        <v>#DIV/0!</v>
      </c>
      <c r="AG1815" s="4">
        <v>42873</v>
      </c>
      <c r="AH1815" s="6">
        <v>-0.34759600000000002</v>
      </c>
      <c r="AI1815" s="6">
        <v>-0.85191700000000004</v>
      </c>
      <c r="AJ1815" s="6">
        <v>-0.67693999999999999</v>
      </c>
      <c r="AK1815" s="6"/>
      <c r="AL1815" s="6"/>
      <c r="AM1815" s="6" t="e">
        <f t="shared" si="133"/>
        <v>#DIV/0!</v>
      </c>
    </row>
    <row r="1816" spans="29:39" x14ac:dyDescent="0.3">
      <c r="AC1816">
        <f t="shared" si="132"/>
        <v>0</v>
      </c>
      <c r="AD1816">
        <v>1813</v>
      </c>
      <c r="AE1816" s="4">
        <f t="shared" si="130"/>
        <v>42874</v>
      </c>
      <c r="AF1816" s="6" t="e">
        <f t="shared" si="131"/>
        <v>#DIV/0!</v>
      </c>
      <c r="AG1816" s="4">
        <v>42874</v>
      </c>
      <c r="AH1816" s="6">
        <v>0.16881399999999999</v>
      </c>
      <c r="AI1816" s="6">
        <v>-2.2131000000000001E-2</v>
      </c>
      <c r="AJ1816" s="6">
        <v>-0.120825</v>
      </c>
      <c r="AK1816" s="6"/>
      <c r="AL1816" s="6"/>
      <c r="AM1816" s="6" t="e">
        <f t="shared" si="133"/>
        <v>#DIV/0!</v>
      </c>
    </row>
    <row r="1817" spans="29:39" x14ac:dyDescent="0.3">
      <c r="AC1817">
        <f t="shared" si="132"/>
        <v>0</v>
      </c>
      <c r="AD1817">
        <v>1814</v>
      </c>
      <c r="AE1817" s="4">
        <f t="shared" si="130"/>
        <v>42877</v>
      </c>
      <c r="AF1817" s="6" t="e">
        <f t="shared" si="131"/>
        <v>#DIV/0!</v>
      </c>
      <c r="AG1817" s="4">
        <v>42877</v>
      </c>
      <c r="AH1817" s="6">
        <v>0.21709200000000001</v>
      </c>
      <c r="AI1817" s="6">
        <v>-1.442089</v>
      </c>
      <c r="AJ1817" s="6">
        <v>-1.8284210000000001</v>
      </c>
      <c r="AK1817" s="6"/>
      <c r="AL1817" s="6"/>
      <c r="AM1817" s="6" t="e">
        <f t="shared" si="133"/>
        <v>#DIV/0!</v>
      </c>
    </row>
    <row r="1818" spans="29:39" x14ac:dyDescent="0.3">
      <c r="AC1818">
        <f t="shared" si="132"/>
        <v>0</v>
      </c>
      <c r="AD1818">
        <v>1815</v>
      </c>
      <c r="AE1818" s="4">
        <f t="shared" si="130"/>
        <v>42878</v>
      </c>
      <c r="AF1818" s="6" t="e">
        <f t="shared" si="131"/>
        <v>#DIV/0!</v>
      </c>
      <c r="AG1818" s="4">
        <v>42878</v>
      </c>
      <c r="AH1818" s="6">
        <v>0.37978299999999998</v>
      </c>
      <c r="AI1818" s="6">
        <v>-2.1046140000000002</v>
      </c>
      <c r="AJ1818" s="6">
        <v>-3.1813150000000001</v>
      </c>
      <c r="AK1818" s="6"/>
      <c r="AL1818" s="6"/>
      <c r="AM1818" s="6" t="e">
        <f t="shared" si="133"/>
        <v>#DIV/0!</v>
      </c>
    </row>
    <row r="1819" spans="29:39" x14ac:dyDescent="0.3">
      <c r="AC1819">
        <f t="shared" si="132"/>
        <v>0</v>
      </c>
      <c r="AD1819">
        <v>1816</v>
      </c>
      <c r="AE1819" s="4">
        <f t="shared" si="130"/>
        <v>42879</v>
      </c>
      <c r="AF1819" s="6" t="e">
        <f t="shared" si="131"/>
        <v>#DIV/0!</v>
      </c>
      <c r="AG1819" s="4">
        <v>42879</v>
      </c>
      <c r="AH1819" s="6">
        <v>-7.9100000000000004E-4</v>
      </c>
      <c r="AI1819" s="6">
        <v>0.59626599999999996</v>
      </c>
      <c r="AJ1819" s="6">
        <v>0.47497299999999998</v>
      </c>
      <c r="AK1819" s="6"/>
      <c r="AL1819" s="6"/>
      <c r="AM1819" s="6" t="e">
        <f t="shared" si="133"/>
        <v>#DIV/0!</v>
      </c>
    </row>
    <row r="1820" spans="29:39" x14ac:dyDescent="0.3">
      <c r="AC1820">
        <f t="shared" si="132"/>
        <v>0</v>
      </c>
      <c r="AD1820">
        <v>1817</v>
      </c>
      <c r="AE1820" s="4">
        <f t="shared" si="130"/>
        <v>42880</v>
      </c>
      <c r="AF1820" s="6" t="e">
        <f t="shared" si="131"/>
        <v>#DIV/0!</v>
      </c>
      <c r="AG1820" s="4">
        <v>42880</v>
      </c>
      <c r="AH1820" s="6">
        <v>1.7958000000000001</v>
      </c>
      <c r="AI1820" s="6">
        <v>0.88892000000000004</v>
      </c>
      <c r="AJ1820" s="6">
        <v>0.84337799999999996</v>
      </c>
      <c r="AK1820" s="6"/>
      <c r="AL1820" s="6"/>
      <c r="AM1820" s="6" t="e">
        <f t="shared" si="133"/>
        <v>#DIV/0!</v>
      </c>
    </row>
    <row r="1821" spans="29:39" x14ac:dyDescent="0.3">
      <c r="AC1821">
        <f t="shared" si="132"/>
        <v>0</v>
      </c>
      <c r="AD1821">
        <v>1818</v>
      </c>
      <c r="AE1821" s="4">
        <f t="shared" si="130"/>
        <v>42881</v>
      </c>
      <c r="AF1821" s="6" t="e">
        <f t="shared" si="131"/>
        <v>#DIV/0!</v>
      </c>
      <c r="AG1821" s="4">
        <v>42881</v>
      </c>
      <c r="AH1821" s="6">
        <v>-0.14985999999999999</v>
      </c>
      <c r="AI1821" s="6">
        <v>-0.237007</v>
      </c>
      <c r="AJ1821" s="6">
        <v>9.7769999999999992E-3</v>
      </c>
      <c r="AK1821" s="6"/>
      <c r="AL1821" s="6"/>
      <c r="AM1821" s="6" t="e">
        <f t="shared" si="133"/>
        <v>#DIV/0!</v>
      </c>
    </row>
    <row r="1822" spans="29:39" x14ac:dyDescent="0.3">
      <c r="AC1822">
        <f t="shared" si="132"/>
        <v>0</v>
      </c>
      <c r="AD1822">
        <v>1819</v>
      </c>
      <c r="AE1822" s="4">
        <f t="shared" si="130"/>
        <v>42886</v>
      </c>
      <c r="AF1822" s="6" t="e">
        <f t="shared" si="131"/>
        <v>#DIV/0!</v>
      </c>
      <c r="AG1822" s="4">
        <v>42886</v>
      </c>
      <c r="AH1822" s="6">
        <v>0.35771399999999998</v>
      </c>
      <c r="AI1822" s="6">
        <v>-0.2198</v>
      </c>
      <c r="AJ1822" s="6">
        <v>-0.285381</v>
      </c>
      <c r="AK1822" s="6"/>
      <c r="AL1822" s="6"/>
      <c r="AM1822" s="6" t="e">
        <f t="shared" si="133"/>
        <v>#DIV/0!</v>
      </c>
    </row>
    <row r="1823" spans="29:39" x14ac:dyDescent="0.3">
      <c r="AC1823">
        <f t="shared" si="132"/>
        <v>0</v>
      </c>
      <c r="AD1823">
        <v>1820</v>
      </c>
      <c r="AE1823" s="4">
        <f t="shared" si="130"/>
        <v>42887</v>
      </c>
      <c r="AF1823" s="6" t="e">
        <f t="shared" si="131"/>
        <v>#DIV/0!</v>
      </c>
      <c r="AG1823" s="4">
        <v>42887</v>
      </c>
      <c r="AH1823" s="6">
        <v>0.13896</v>
      </c>
      <c r="AI1823" s="6">
        <v>-1.959182</v>
      </c>
      <c r="AJ1823" s="6">
        <v>-2.7228629999999998</v>
      </c>
      <c r="AK1823" s="6"/>
      <c r="AL1823" s="6"/>
      <c r="AM1823" s="6" t="e">
        <f t="shared" si="133"/>
        <v>#DIV/0!</v>
      </c>
    </row>
    <row r="1824" spans="29:39" x14ac:dyDescent="0.3">
      <c r="AC1824">
        <f t="shared" si="132"/>
        <v>0</v>
      </c>
      <c r="AD1824">
        <v>1821</v>
      </c>
      <c r="AE1824" s="4">
        <f t="shared" si="130"/>
        <v>42888</v>
      </c>
      <c r="AF1824" s="6" t="e">
        <f t="shared" si="131"/>
        <v>#DIV/0!</v>
      </c>
      <c r="AG1824" s="4">
        <v>42888</v>
      </c>
      <c r="AH1824" s="6">
        <v>-0.32108700000000001</v>
      </c>
      <c r="AI1824" s="6">
        <v>1.094886</v>
      </c>
      <c r="AJ1824" s="6">
        <v>1.1134550000000001</v>
      </c>
      <c r="AK1824" s="6"/>
      <c r="AL1824" s="6"/>
      <c r="AM1824" s="6" t="e">
        <f t="shared" si="133"/>
        <v>#DIV/0!</v>
      </c>
    </row>
    <row r="1825" spans="29:39" x14ac:dyDescent="0.3">
      <c r="AC1825">
        <f t="shared" si="132"/>
        <v>0</v>
      </c>
      <c r="AD1825">
        <v>1822</v>
      </c>
      <c r="AE1825" s="4">
        <f t="shared" si="130"/>
        <v>42891</v>
      </c>
      <c r="AF1825" s="6" t="e">
        <f t="shared" si="131"/>
        <v>#DIV/0!</v>
      </c>
      <c r="AG1825" s="4">
        <v>42891</v>
      </c>
      <c r="AH1825" s="6">
        <v>-0.50920900000000002</v>
      </c>
      <c r="AI1825" s="6">
        <v>0.74984300000000004</v>
      </c>
      <c r="AJ1825" s="6">
        <v>0.93171599999999999</v>
      </c>
      <c r="AK1825" s="6"/>
      <c r="AL1825" s="6"/>
      <c r="AM1825" s="6" t="e">
        <f t="shared" si="133"/>
        <v>#DIV/0!</v>
      </c>
    </row>
    <row r="1826" spans="29:39" x14ac:dyDescent="0.3">
      <c r="AC1826">
        <f t="shared" si="132"/>
        <v>0</v>
      </c>
      <c r="AD1826">
        <v>1823</v>
      </c>
      <c r="AE1826" s="4">
        <f t="shared" si="130"/>
        <v>42892</v>
      </c>
      <c r="AF1826" s="6" t="e">
        <f t="shared" si="131"/>
        <v>#DIV/0!</v>
      </c>
      <c r="AG1826" s="4">
        <v>42892</v>
      </c>
      <c r="AH1826" s="6">
        <v>0.69557500000000005</v>
      </c>
      <c r="AI1826" s="6">
        <v>0.44226100000000002</v>
      </c>
      <c r="AJ1826" s="6">
        <v>0.51798299999999997</v>
      </c>
      <c r="AK1826" s="6"/>
      <c r="AL1826" s="6"/>
      <c r="AM1826" s="6" t="e">
        <f t="shared" si="133"/>
        <v>#DIV/0!</v>
      </c>
    </row>
    <row r="1827" spans="29:39" x14ac:dyDescent="0.3">
      <c r="AC1827">
        <f t="shared" si="132"/>
        <v>0</v>
      </c>
      <c r="AD1827">
        <v>1824</v>
      </c>
      <c r="AE1827" s="4">
        <f t="shared" si="130"/>
        <v>42893</v>
      </c>
      <c r="AF1827" s="6" t="e">
        <f t="shared" si="131"/>
        <v>#DIV/0!</v>
      </c>
      <c r="AG1827" s="4">
        <v>42893</v>
      </c>
      <c r="AH1827" s="6">
        <v>1.173535</v>
      </c>
      <c r="AI1827" s="6">
        <v>1.9428510000000001</v>
      </c>
      <c r="AJ1827" s="6">
        <v>2.083742</v>
      </c>
      <c r="AK1827" s="6"/>
      <c r="AL1827" s="6"/>
      <c r="AM1827" s="6" t="e">
        <f t="shared" si="133"/>
        <v>#DIV/0!</v>
      </c>
    </row>
    <row r="1828" spans="29:39" x14ac:dyDescent="0.3">
      <c r="AC1828">
        <f t="shared" si="132"/>
        <v>0</v>
      </c>
      <c r="AD1828">
        <v>1825</v>
      </c>
      <c r="AE1828" s="4">
        <f t="shared" si="130"/>
        <v>42894</v>
      </c>
      <c r="AF1828" s="6" t="e">
        <f t="shared" si="131"/>
        <v>#DIV/0!</v>
      </c>
      <c r="AG1828" s="4">
        <v>42894</v>
      </c>
      <c r="AH1828" s="6">
        <v>0.76705699999999999</v>
      </c>
      <c r="AI1828" s="6">
        <v>6.6527000000000003E-2</v>
      </c>
      <c r="AJ1828" s="6">
        <v>-6.9616999999999998E-2</v>
      </c>
      <c r="AK1828" s="6"/>
      <c r="AL1828" s="6"/>
      <c r="AM1828" s="6" t="e">
        <f t="shared" si="133"/>
        <v>#DIV/0!</v>
      </c>
    </row>
    <row r="1829" spans="29:39" x14ac:dyDescent="0.3">
      <c r="AC1829">
        <f t="shared" si="132"/>
        <v>0</v>
      </c>
      <c r="AD1829">
        <v>1826</v>
      </c>
      <c r="AE1829" s="4">
        <f t="shared" si="130"/>
        <v>42895</v>
      </c>
      <c r="AF1829" s="6" t="e">
        <f t="shared" si="131"/>
        <v>#DIV/0!</v>
      </c>
      <c r="AG1829" s="4">
        <v>42895</v>
      </c>
      <c r="AH1829" s="6">
        <v>0.426616</v>
      </c>
      <c r="AI1829" s="6">
        <v>0.17280000000000001</v>
      </c>
      <c r="AJ1829" s="6">
        <v>8.2241999999999996E-2</v>
      </c>
      <c r="AK1829" s="6"/>
      <c r="AL1829" s="6"/>
      <c r="AM1829" s="6" t="e">
        <f t="shared" si="133"/>
        <v>#DIV/0!</v>
      </c>
    </row>
    <row r="1830" spans="29:39" x14ac:dyDescent="0.3">
      <c r="AC1830">
        <f t="shared" si="132"/>
        <v>0</v>
      </c>
      <c r="AD1830">
        <v>1827</v>
      </c>
      <c r="AE1830" s="4">
        <f t="shared" si="130"/>
        <v>42898</v>
      </c>
      <c r="AF1830" s="6" t="e">
        <f t="shared" si="131"/>
        <v>#DIV/0!</v>
      </c>
      <c r="AG1830" s="4">
        <v>42898</v>
      </c>
      <c r="AH1830" s="6">
        <v>-4.9799000000000003E-2</v>
      </c>
      <c r="AI1830" s="6">
        <v>-1.112681</v>
      </c>
      <c r="AJ1830" s="6">
        <v>-1.3854230000000001</v>
      </c>
      <c r="AK1830" s="6"/>
      <c r="AL1830" s="6"/>
      <c r="AM1830" s="6" t="e">
        <f t="shared" si="133"/>
        <v>#DIV/0!</v>
      </c>
    </row>
    <row r="1831" spans="29:39" x14ac:dyDescent="0.3">
      <c r="AC1831">
        <f t="shared" si="132"/>
        <v>0</v>
      </c>
      <c r="AD1831">
        <v>1828</v>
      </c>
      <c r="AE1831" s="4">
        <f t="shared" si="130"/>
        <v>42899</v>
      </c>
      <c r="AF1831" s="6" t="e">
        <f t="shared" si="131"/>
        <v>#DIV/0!</v>
      </c>
      <c r="AG1831" s="4">
        <v>42899</v>
      </c>
      <c r="AH1831" s="6">
        <v>0.22040100000000001</v>
      </c>
      <c r="AI1831" s="6">
        <v>1.3078669999999999</v>
      </c>
      <c r="AJ1831" s="6">
        <v>1.46637</v>
      </c>
      <c r="AK1831" s="6"/>
      <c r="AL1831" s="6"/>
      <c r="AM1831" s="6" t="e">
        <f t="shared" si="133"/>
        <v>#DIV/0!</v>
      </c>
    </row>
    <row r="1832" spans="29:39" x14ac:dyDescent="0.3">
      <c r="AC1832">
        <f t="shared" si="132"/>
        <v>0</v>
      </c>
      <c r="AD1832">
        <v>1829</v>
      </c>
      <c r="AE1832" s="4">
        <f t="shared" si="130"/>
        <v>42900</v>
      </c>
      <c r="AF1832" s="6" t="e">
        <f t="shared" si="131"/>
        <v>#DIV/0!</v>
      </c>
      <c r="AG1832" s="4">
        <v>42900</v>
      </c>
      <c r="AH1832" s="6">
        <v>-1.3111440000000001</v>
      </c>
      <c r="AI1832" s="6">
        <v>-0.22784399999999999</v>
      </c>
      <c r="AJ1832" s="6">
        <v>0.13435900000000001</v>
      </c>
      <c r="AK1832" s="6"/>
      <c r="AL1832" s="6"/>
      <c r="AM1832" s="6" t="e">
        <f t="shared" si="133"/>
        <v>#DIV/0!</v>
      </c>
    </row>
    <row r="1833" spans="29:39" x14ac:dyDescent="0.3">
      <c r="AC1833">
        <f t="shared" si="132"/>
        <v>0</v>
      </c>
      <c r="AD1833">
        <v>1830</v>
      </c>
      <c r="AE1833" s="4">
        <f t="shared" si="130"/>
        <v>42901</v>
      </c>
      <c r="AF1833" s="6" t="e">
        <f t="shared" si="131"/>
        <v>#DIV/0!</v>
      </c>
      <c r="AG1833" s="4">
        <v>42901</v>
      </c>
      <c r="AH1833" s="6">
        <v>-0.184033</v>
      </c>
      <c r="AI1833" s="6">
        <v>0.91736099999999998</v>
      </c>
      <c r="AJ1833" s="6">
        <v>1.2567390000000001</v>
      </c>
      <c r="AK1833" s="6"/>
      <c r="AL1833" s="6"/>
      <c r="AM1833" s="6" t="e">
        <f t="shared" si="133"/>
        <v>#DIV/0!</v>
      </c>
    </row>
    <row r="1834" spans="29:39" x14ac:dyDescent="0.3">
      <c r="AC1834">
        <f t="shared" si="132"/>
        <v>0</v>
      </c>
      <c r="AD1834">
        <v>1831</v>
      </c>
      <c r="AE1834" s="4">
        <f t="shared" si="130"/>
        <v>42902</v>
      </c>
      <c r="AF1834" s="6" t="e">
        <f t="shared" si="131"/>
        <v>#DIV/0!</v>
      </c>
      <c r="AG1834" s="4">
        <v>42902</v>
      </c>
      <c r="AH1834" s="6">
        <v>-0.28427599999999997</v>
      </c>
      <c r="AI1834" s="6">
        <v>-0.13561300000000001</v>
      </c>
      <c r="AJ1834" s="6">
        <v>-0.16678399999999999</v>
      </c>
      <c r="AK1834" s="6"/>
      <c r="AL1834" s="6"/>
      <c r="AM1834" s="6" t="e">
        <f t="shared" si="133"/>
        <v>#DIV/0!</v>
      </c>
    </row>
    <row r="1835" spans="29:39" x14ac:dyDescent="0.3">
      <c r="AC1835">
        <f t="shared" si="132"/>
        <v>0</v>
      </c>
      <c r="AD1835">
        <v>1832</v>
      </c>
      <c r="AE1835" s="4">
        <f t="shared" si="130"/>
        <v>42905</v>
      </c>
      <c r="AF1835" s="6" t="e">
        <f t="shared" si="131"/>
        <v>#DIV/0!</v>
      </c>
      <c r="AG1835" s="4">
        <v>42905</v>
      </c>
      <c r="AH1835" s="6">
        <v>0.99194599999999999</v>
      </c>
      <c r="AI1835" s="6">
        <v>0.73859799999999998</v>
      </c>
      <c r="AJ1835" s="6">
        <v>0.62887800000000005</v>
      </c>
      <c r="AK1835" s="6"/>
      <c r="AL1835" s="6"/>
      <c r="AM1835" s="6" t="e">
        <f t="shared" si="133"/>
        <v>#DIV/0!</v>
      </c>
    </row>
    <row r="1836" spans="29:39" x14ac:dyDescent="0.3">
      <c r="AC1836">
        <f t="shared" si="132"/>
        <v>0</v>
      </c>
      <c r="AD1836">
        <v>1833</v>
      </c>
      <c r="AE1836" s="4">
        <f t="shared" si="130"/>
        <v>42906</v>
      </c>
      <c r="AF1836" s="6" t="e">
        <f t="shared" si="131"/>
        <v>#DIV/0!</v>
      </c>
      <c r="AG1836" s="4">
        <v>42906</v>
      </c>
      <c r="AH1836" s="6">
        <v>-0.20180000000000001</v>
      </c>
      <c r="AI1836" s="6">
        <v>0.156719</v>
      </c>
      <c r="AJ1836" s="6">
        <v>0.18746099999999999</v>
      </c>
      <c r="AK1836" s="6"/>
      <c r="AL1836" s="6"/>
      <c r="AM1836" s="6" t="e">
        <f t="shared" si="133"/>
        <v>#DIV/0!</v>
      </c>
    </row>
    <row r="1837" spans="29:39" x14ac:dyDescent="0.3">
      <c r="AC1837">
        <f t="shared" si="132"/>
        <v>0</v>
      </c>
      <c r="AD1837">
        <v>1834</v>
      </c>
      <c r="AE1837" s="4">
        <f t="shared" si="130"/>
        <v>42907</v>
      </c>
      <c r="AF1837" s="6" t="e">
        <f t="shared" si="131"/>
        <v>#DIV/0!</v>
      </c>
      <c r="AG1837" s="4">
        <v>42907</v>
      </c>
      <c r="AH1837" s="6">
        <v>1.1690700000000001</v>
      </c>
      <c r="AI1837" s="6">
        <v>0.186057</v>
      </c>
      <c r="AJ1837" s="6">
        <v>5.2170000000000003E-3</v>
      </c>
      <c r="AK1837" s="6"/>
      <c r="AL1837" s="6"/>
      <c r="AM1837" s="6" t="e">
        <f t="shared" si="133"/>
        <v>#DIV/0!</v>
      </c>
    </row>
    <row r="1838" spans="29:39" x14ac:dyDescent="0.3">
      <c r="AC1838">
        <f t="shared" si="132"/>
        <v>0</v>
      </c>
      <c r="AD1838">
        <v>1835</v>
      </c>
      <c r="AE1838" s="4">
        <f t="shared" si="130"/>
        <v>42908</v>
      </c>
      <c r="AF1838" s="6" t="e">
        <f t="shared" si="131"/>
        <v>#DIV/0!</v>
      </c>
      <c r="AG1838" s="4">
        <v>42908</v>
      </c>
      <c r="AH1838" s="6">
        <v>6.6542000000000004E-2</v>
      </c>
      <c r="AI1838" s="6">
        <v>-1.412547</v>
      </c>
      <c r="AJ1838" s="6">
        <v>-1.7620880000000001</v>
      </c>
      <c r="AK1838" s="6"/>
      <c r="AL1838" s="6"/>
      <c r="AM1838" s="6" t="e">
        <f t="shared" si="133"/>
        <v>#DIV/0!</v>
      </c>
    </row>
    <row r="1839" spans="29:39" x14ac:dyDescent="0.3">
      <c r="AC1839">
        <f t="shared" si="132"/>
        <v>0</v>
      </c>
      <c r="AD1839">
        <v>1836</v>
      </c>
      <c r="AE1839" s="4">
        <f t="shared" si="130"/>
        <v>42909</v>
      </c>
      <c r="AF1839" s="6" t="e">
        <f t="shared" si="131"/>
        <v>#DIV/0!</v>
      </c>
      <c r="AG1839" s="4">
        <v>42909</v>
      </c>
      <c r="AH1839" s="6">
        <v>0.90633699999999995</v>
      </c>
      <c r="AI1839" s="6">
        <v>0.30002499999999999</v>
      </c>
      <c r="AJ1839" s="6">
        <v>6.3804E-2</v>
      </c>
      <c r="AK1839" s="6"/>
      <c r="AL1839" s="6"/>
      <c r="AM1839" s="6" t="e">
        <f t="shared" si="133"/>
        <v>#DIV/0!</v>
      </c>
    </row>
    <row r="1840" spans="29:39" x14ac:dyDescent="0.3">
      <c r="AC1840">
        <f t="shared" si="132"/>
        <v>0</v>
      </c>
      <c r="AD1840">
        <v>1837</v>
      </c>
      <c r="AE1840" s="4">
        <f t="shared" si="130"/>
        <v>42912</v>
      </c>
      <c r="AF1840" s="6" t="e">
        <f t="shared" si="131"/>
        <v>#DIV/0!</v>
      </c>
      <c r="AG1840" s="4">
        <v>42912</v>
      </c>
      <c r="AH1840" s="6">
        <v>1.247868</v>
      </c>
      <c r="AI1840" s="6">
        <v>1.6858839999999999</v>
      </c>
      <c r="AJ1840" s="6">
        <v>1.158118</v>
      </c>
      <c r="AK1840" s="6"/>
      <c r="AL1840" s="6"/>
      <c r="AM1840" s="6" t="e">
        <f t="shared" si="133"/>
        <v>#DIV/0!</v>
      </c>
    </row>
    <row r="1841" spans="29:39" x14ac:dyDescent="0.3">
      <c r="AC1841">
        <f t="shared" si="132"/>
        <v>0</v>
      </c>
      <c r="AD1841">
        <v>1838</v>
      </c>
      <c r="AE1841" s="4">
        <f t="shared" si="130"/>
        <v>42913</v>
      </c>
      <c r="AF1841" s="6" t="e">
        <f t="shared" si="131"/>
        <v>#DIV/0!</v>
      </c>
      <c r="AG1841" s="4">
        <v>42913</v>
      </c>
      <c r="AH1841" s="6">
        <v>0.180565</v>
      </c>
      <c r="AI1841" s="6">
        <v>2.4955999999999999E-2</v>
      </c>
      <c r="AJ1841" s="6">
        <v>0.15997</v>
      </c>
      <c r="AK1841" s="6"/>
      <c r="AL1841" s="6"/>
      <c r="AM1841" s="6" t="e">
        <f t="shared" si="133"/>
        <v>#DIV/0!</v>
      </c>
    </row>
    <row r="1842" spans="29:39" x14ac:dyDescent="0.3">
      <c r="AC1842">
        <f t="shared" si="132"/>
        <v>0</v>
      </c>
      <c r="AD1842">
        <v>1839</v>
      </c>
      <c r="AE1842" s="4">
        <f t="shared" si="130"/>
        <v>42914</v>
      </c>
      <c r="AF1842" s="6" t="e">
        <f t="shared" si="131"/>
        <v>#DIV/0!</v>
      </c>
      <c r="AG1842" s="4">
        <v>42914</v>
      </c>
      <c r="AH1842" s="6">
        <v>-0.77689299999999994</v>
      </c>
      <c r="AI1842" s="6">
        <v>-0.44092700000000001</v>
      </c>
      <c r="AJ1842" s="6">
        <v>-0.67653799999999997</v>
      </c>
      <c r="AK1842" s="6"/>
      <c r="AL1842" s="6"/>
      <c r="AM1842" s="6" t="e">
        <f t="shared" si="133"/>
        <v>#DIV/0!</v>
      </c>
    </row>
    <row r="1843" spans="29:39" x14ac:dyDescent="0.3">
      <c r="AC1843">
        <f t="shared" si="132"/>
        <v>0</v>
      </c>
      <c r="AD1843">
        <v>1840</v>
      </c>
      <c r="AE1843" s="4">
        <f t="shared" si="130"/>
        <v>42915</v>
      </c>
      <c r="AF1843" s="6" t="e">
        <f t="shared" si="131"/>
        <v>#DIV/0!</v>
      </c>
      <c r="AG1843" s="4">
        <v>42915</v>
      </c>
      <c r="AH1843" s="6">
        <v>0.62151000000000001</v>
      </c>
      <c r="AI1843" s="6">
        <v>0.50576600000000005</v>
      </c>
      <c r="AJ1843" s="6">
        <v>0.44728000000000001</v>
      </c>
      <c r="AK1843" s="6"/>
      <c r="AL1843" s="6"/>
      <c r="AM1843" s="6" t="e">
        <f t="shared" si="133"/>
        <v>#DIV/0!</v>
      </c>
    </row>
    <row r="1844" spans="29:39" x14ac:dyDescent="0.3">
      <c r="AC1844">
        <f t="shared" si="132"/>
        <v>0</v>
      </c>
      <c r="AD1844">
        <v>1841</v>
      </c>
      <c r="AE1844" s="4">
        <f t="shared" si="130"/>
        <v>42916</v>
      </c>
      <c r="AF1844" s="6" t="e">
        <f t="shared" si="131"/>
        <v>#DIV/0!</v>
      </c>
      <c r="AG1844" s="4">
        <v>42916</v>
      </c>
      <c r="AH1844" s="6">
        <v>-5.5336000000000003E-2</v>
      </c>
      <c r="AI1844" s="6">
        <v>0.34596100000000002</v>
      </c>
      <c r="AJ1844" s="6">
        <v>0.12191</v>
      </c>
      <c r="AK1844" s="6"/>
      <c r="AL1844" s="6"/>
      <c r="AM1844" s="6" t="e">
        <f t="shared" si="133"/>
        <v>#DIV/0!</v>
      </c>
    </row>
    <row r="1845" spans="29:39" x14ac:dyDescent="0.3">
      <c r="AC1845">
        <f t="shared" si="132"/>
        <v>0</v>
      </c>
      <c r="AD1845">
        <v>1842</v>
      </c>
      <c r="AE1845" s="4">
        <f t="shared" si="130"/>
        <v>42919</v>
      </c>
      <c r="AF1845" s="6" t="e">
        <f t="shared" si="131"/>
        <v>#DIV/0!</v>
      </c>
      <c r="AG1845" s="4">
        <v>42919</v>
      </c>
      <c r="AH1845" s="6">
        <v>-0.43502299999999999</v>
      </c>
      <c r="AI1845" s="6">
        <v>0.63927500000000004</v>
      </c>
      <c r="AJ1845" s="6">
        <v>0.95561200000000002</v>
      </c>
      <c r="AK1845" s="6"/>
      <c r="AL1845" s="6"/>
      <c r="AM1845" s="6" t="e">
        <f t="shared" si="133"/>
        <v>#DIV/0!</v>
      </c>
    </row>
    <row r="1846" spans="29:39" x14ac:dyDescent="0.3">
      <c r="AC1846">
        <f t="shared" si="132"/>
        <v>0</v>
      </c>
      <c r="AD1846">
        <v>1843</v>
      </c>
      <c r="AE1846" s="4">
        <f t="shared" si="130"/>
        <v>42920</v>
      </c>
      <c r="AF1846" s="6" t="e">
        <f t="shared" si="131"/>
        <v>#DIV/0!</v>
      </c>
      <c r="AG1846" s="4">
        <v>42920</v>
      </c>
      <c r="AH1846" s="6">
        <v>-0.84534399999999998</v>
      </c>
      <c r="AI1846" s="6">
        <v>-0.494425</v>
      </c>
      <c r="AJ1846" s="6">
        <v>-0.17793</v>
      </c>
      <c r="AK1846" s="6"/>
      <c r="AL1846" s="6"/>
      <c r="AM1846" s="6" t="e">
        <f t="shared" si="133"/>
        <v>#DIV/0!</v>
      </c>
    </row>
    <row r="1847" spans="29:39" x14ac:dyDescent="0.3">
      <c r="AC1847">
        <f t="shared" si="132"/>
        <v>0</v>
      </c>
      <c r="AD1847">
        <v>1844</v>
      </c>
      <c r="AE1847" s="4">
        <f t="shared" si="130"/>
        <v>42921</v>
      </c>
      <c r="AF1847" s="6" t="e">
        <f t="shared" si="131"/>
        <v>#DIV/0!</v>
      </c>
      <c r="AG1847" s="4">
        <v>42921</v>
      </c>
      <c r="AH1847" s="6">
        <v>1.096563</v>
      </c>
      <c r="AI1847" s="6">
        <v>0.76643099999999997</v>
      </c>
      <c r="AJ1847" s="6">
        <v>0.85585299999999997</v>
      </c>
      <c r="AK1847" s="6"/>
      <c r="AL1847" s="6"/>
      <c r="AM1847" s="6" t="e">
        <f t="shared" si="133"/>
        <v>#DIV/0!</v>
      </c>
    </row>
    <row r="1848" spans="29:39" x14ac:dyDescent="0.3">
      <c r="AC1848">
        <f t="shared" si="132"/>
        <v>0</v>
      </c>
      <c r="AD1848">
        <v>1845</v>
      </c>
      <c r="AE1848" s="4">
        <f t="shared" si="130"/>
        <v>42922</v>
      </c>
      <c r="AF1848" s="6" t="e">
        <f t="shared" si="131"/>
        <v>#DIV/0!</v>
      </c>
      <c r="AG1848" s="4">
        <v>42922</v>
      </c>
      <c r="AH1848" s="6">
        <v>1.14E-2</v>
      </c>
      <c r="AI1848" s="6">
        <v>0.124143</v>
      </c>
      <c r="AJ1848" s="6">
        <v>0.18052399999999999</v>
      </c>
      <c r="AK1848" s="6"/>
      <c r="AL1848" s="6"/>
      <c r="AM1848" s="6" t="e">
        <f t="shared" si="133"/>
        <v>#DIV/0!</v>
      </c>
    </row>
    <row r="1849" spans="29:39" x14ac:dyDescent="0.3">
      <c r="AC1849">
        <f t="shared" si="132"/>
        <v>0</v>
      </c>
      <c r="AD1849">
        <v>1846</v>
      </c>
      <c r="AE1849" s="4">
        <f t="shared" si="130"/>
        <v>42923</v>
      </c>
      <c r="AF1849" s="6" t="e">
        <f t="shared" si="131"/>
        <v>#DIV/0!</v>
      </c>
      <c r="AG1849" s="4">
        <v>42923</v>
      </c>
      <c r="AH1849" s="6">
        <v>-0.11386</v>
      </c>
      <c r="AI1849" s="6">
        <v>0.39275500000000002</v>
      </c>
      <c r="AJ1849" s="6">
        <v>0.284078</v>
      </c>
      <c r="AK1849" s="6"/>
      <c r="AL1849" s="6"/>
      <c r="AM1849" s="6" t="e">
        <f t="shared" si="133"/>
        <v>#DIV/0!</v>
      </c>
    </row>
    <row r="1850" spans="29:39" x14ac:dyDescent="0.3">
      <c r="AC1850">
        <f t="shared" si="132"/>
        <v>0</v>
      </c>
      <c r="AD1850">
        <v>1847</v>
      </c>
      <c r="AE1850" s="4">
        <f t="shared" si="130"/>
        <v>42926</v>
      </c>
      <c r="AF1850" s="6" t="e">
        <f t="shared" si="131"/>
        <v>#DIV/0!</v>
      </c>
      <c r="AG1850" s="4">
        <v>42926</v>
      </c>
      <c r="AH1850" s="6">
        <v>-6.1338999999999998E-2</v>
      </c>
      <c r="AI1850" s="6">
        <v>-0.31246299999999999</v>
      </c>
      <c r="AJ1850" s="6">
        <v>-0.59766699999999995</v>
      </c>
      <c r="AK1850" s="6"/>
      <c r="AL1850" s="6"/>
      <c r="AM1850" s="6" t="e">
        <f t="shared" si="133"/>
        <v>#DIV/0!</v>
      </c>
    </row>
    <row r="1851" spans="29:39" x14ac:dyDescent="0.3">
      <c r="AC1851">
        <f t="shared" si="132"/>
        <v>0</v>
      </c>
      <c r="AD1851">
        <v>1848</v>
      </c>
      <c r="AE1851" s="4">
        <f t="shared" si="130"/>
        <v>42927</v>
      </c>
      <c r="AF1851" s="6" t="e">
        <f t="shared" si="131"/>
        <v>#DIV/0!</v>
      </c>
      <c r="AG1851" s="4">
        <v>42927</v>
      </c>
      <c r="AH1851" s="6">
        <v>0.46861700000000001</v>
      </c>
      <c r="AI1851" s="6">
        <v>-1.2496879999999999</v>
      </c>
      <c r="AJ1851" s="6">
        <v>-1.2372920000000001</v>
      </c>
      <c r="AK1851" s="6"/>
      <c r="AL1851" s="6"/>
      <c r="AM1851" s="6" t="e">
        <f t="shared" si="133"/>
        <v>#DIV/0!</v>
      </c>
    </row>
    <row r="1852" spans="29:39" x14ac:dyDescent="0.3">
      <c r="AC1852">
        <f t="shared" si="132"/>
        <v>0</v>
      </c>
      <c r="AD1852">
        <v>1849</v>
      </c>
      <c r="AE1852" s="4">
        <f t="shared" si="130"/>
        <v>42928</v>
      </c>
      <c r="AF1852" s="6" t="e">
        <f t="shared" si="131"/>
        <v>#DIV/0!</v>
      </c>
      <c r="AG1852" s="4">
        <v>42928</v>
      </c>
      <c r="AH1852" s="6">
        <v>-0.32649499999999998</v>
      </c>
      <c r="AI1852" s="6">
        <v>6.5230999999999997E-2</v>
      </c>
      <c r="AJ1852" s="6">
        <v>-0.12994700000000001</v>
      </c>
      <c r="AK1852" s="6"/>
      <c r="AL1852" s="6"/>
      <c r="AM1852" s="6" t="e">
        <f t="shared" si="133"/>
        <v>#DIV/0!</v>
      </c>
    </row>
    <row r="1853" spans="29:39" x14ac:dyDescent="0.3">
      <c r="AC1853">
        <f t="shared" si="132"/>
        <v>0</v>
      </c>
      <c r="AD1853">
        <v>1850</v>
      </c>
      <c r="AE1853" s="4">
        <f t="shared" si="130"/>
        <v>42929</v>
      </c>
      <c r="AF1853" s="6" t="e">
        <f t="shared" si="131"/>
        <v>#DIV/0!</v>
      </c>
      <c r="AG1853" s="4">
        <v>42929</v>
      </c>
      <c r="AH1853" s="6">
        <v>0.76792199999999999</v>
      </c>
      <c r="AI1853" s="6">
        <v>0.27623500000000001</v>
      </c>
      <c r="AJ1853" s="6">
        <v>-4.4700000000000002E-4</v>
      </c>
      <c r="AK1853" s="6"/>
      <c r="AL1853" s="6"/>
      <c r="AM1853" s="6" t="e">
        <f t="shared" si="133"/>
        <v>#DIV/0!</v>
      </c>
    </row>
    <row r="1854" spans="29:39" x14ac:dyDescent="0.3">
      <c r="AC1854">
        <f t="shared" si="132"/>
        <v>0</v>
      </c>
      <c r="AD1854">
        <v>1851</v>
      </c>
      <c r="AE1854" s="4">
        <f t="shared" si="130"/>
        <v>42930</v>
      </c>
      <c r="AF1854" s="6" t="e">
        <f t="shared" si="131"/>
        <v>#DIV/0!</v>
      </c>
      <c r="AG1854" s="4">
        <v>42930</v>
      </c>
      <c r="AH1854" s="6">
        <v>0.43867200000000001</v>
      </c>
      <c r="AI1854" s="6">
        <v>-0.34462199999999998</v>
      </c>
      <c r="AJ1854" s="6">
        <v>-0.55015099999999995</v>
      </c>
      <c r="AK1854" s="6"/>
      <c r="AL1854" s="6"/>
      <c r="AM1854" s="6" t="e">
        <f t="shared" si="133"/>
        <v>#DIV/0!</v>
      </c>
    </row>
    <row r="1855" spans="29:39" x14ac:dyDescent="0.3">
      <c r="AC1855">
        <f t="shared" si="132"/>
        <v>0</v>
      </c>
      <c r="AD1855">
        <v>1852</v>
      </c>
      <c r="AE1855" s="4">
        <f t="shared" si="130"/>
        <v>42933</v>
      </c>
      <c r="AF1855" s="6" t="e">
        <f t="shared" si="131"/>
        <v>#DIV/0!</v>
      </c>
      <c r="AG1855" s="4">
        <v>42933</v>
      </c>
      <c r="AH1855" s="6">
        <v>-1.067661</v>
      </c>
      <c r="AI1855" s="6">
        <v>-4.116352</v>
      </c>
      <c r="AJ1855" s="6">
        <v>-5.1746949999999998</v>
      </c>
      <c r="AK1855" s="6"/>
      <c r="AL1855" s="6"/>
      <c r="AM1855" s="6" t="e">
        <f t="shared" si="133"/>
        <v>#DIV/0!</v>
      </c>
    </row>
    <row r="1856" spans="29:39" x14ac:dyDescent="0.3">
      <c r="AC1856">
        <f t="shared" si="132"/>
        <v>0</v>
      </c>
      <c r="AD1856">
        <v>1853</v>
      </c>
      <c r="AE1856" s="4">
        <f t="shared" si="130"/>
        <v>42934</v>
      </c>
      <c r="AF1856" s="6" t="e">
        <f t="shared" si="131"/>
        <v>#DIV/0!</v>
      </c>
      <c r="AG1856" s="4">
        <v>42934</v>
      </c>
      <c r="AH1856" s="6">
        <v>9.8898E-2</v>
      </c>
      <c r="AI1856" s="6">
        <v>1.054632</v>
      </c>
      <c r="AJ1856" s="6">
        <v>0.86634699999999998</v>
      </c>
      <c r="AK1856" s="6"/>
      <c r="AL1856" s="6"/>
      <c r="AM1856" s="6" t="e">
        <f t="shared" si="133"/>
        <v>#DIV/0!</v>
      </c>
    </row>
    <row r="1857" spans="29:39" x14ac:dyDescent="0.3">
      <c r="AC1857">
        <f t="shared" si="132"/>
        <v>0</v>
      </c>
      <c r="AD1857">
        <v>1854</v>
      </c>
      <c r="AE1857" s="4">
        <f t="shared" si="130"/>
        <v>42935</v>
      </c>
      <c r="AF1857" s="6" t="e">
        <f t="shared" si="131"/>
        <v>#DIV/0!</v>
      </c>
      <c r="AG1857" s="4">
        <v>42935</v>
      </c>
      <c r="AH1857" s="6">
        <v>1.7061040000000001</v>
      </c>
      <c r="AI1857" s="6">
        <v>2.0362939999999998</v>
      </c>
      <c r="AJ1857" s="6">
        <v>1.310978</v>
      </c>
      <c r="AK1857" s="6"/>
      <c r="AL1857" s="6"/>
      <c r="AM1857" s="6" t="e">
        <f t="shared" si="133"/>
        <v>#DIV/0!</v>
      </c>
    </row>
    <row r="1858" spans="29:39" x14ac:dyDescent="0.3">
      <c r="AC1858">
        <f t="shared" si="132"/>
        <v>0</v>
      </c>
      <c r="AD1858">
        <v>1855</v>
      </c>
      <c r="AE1858" s="4">
        <f t="shared" si="130"/>
        <v>42936</v>
      </c>
      <c r="AF1858" s="6" t="e">
        <f t="shared" si="131"/>
        <v>#DIV/0!</v>
      </c>
      <c r="AG1858" s="4">
        <v>42936</v>
      </c>
      <c r="AH1858" s="6">
        <v>0.48629800000000001</v>
      </c>
      <c r="AI1858" s="6">
        <v>0.65890300000000002</v>
      </c>
      <c r="AJ1858" s="6">
        <v>0.58442499999999997</v>
      </c>
      <c r="AK1858" s="6"/>
      <c r="AL1858" s="6"/>
      <c r="AM1858" s="6" t="e">
        <f t="shared" si="133"/>
        <v>#DIV/0!</v>
      </c>
    </row>
    <row r="1859" spans="29:39" x14ac:dyDescent="0.3">
      <c r="AC1859">
        <f t="shared" si="132"/>
        <v>0</v>
      </c>
      <c r="AD1859">
        <v>1856</v>
      </c>
      <c r="AE1859" s="4">
        <f t="shared" si="130"/>
        <v>42937</v>
      </c>
      <c r="AF1859" s="6" t="e">
        <f t="shared" si="131"/>
        <v>#DIV/0!</v>
      </c>
      <c r="AG1859" s="4">
        <v>42937</v>
      </c>
      <c r="AH1859" s="6">
        <v>-0.514602</v>
      </c>
      <c r="AI1859" s="6">
        <v>0.43980200000000003</v>
      </c>
      <c r="AJ1859" s="6">
        <v>0.10775700000000001</v>
      </c>
      <c r="AK1859" s="6"/>
      <c r="AL1859" s="6"/>
      <c r="AM1859" s="6" t="e">
        <f t="shared" si="133"/>
        <v>#DIV/0!</v>
      </c>
    </row>
    <row r="1860" spans="29:39" x14ac:dyDescent="0.3">
      <c r="AC1860">
        <f t="shared" si="132"/>
        <v>0</v>
      </c>
      <c r="AD1860">
        <v>1857</v>
      </c>
      <c r="AE1860" s="4">
        <f t="shared" si="130"/>
        <v>42940</v>
      </c>
      <c r="AF1860" s="6" t="e">
        <f t="shared" si="131"/>
        <v>#DIV/0!</v>
      </c>
      <c r="AG1860" s="4">
        <v>42940</v>
      </c>
      <c r="AH1860" s="6">
        <v>0.39883600000000002</v>
      </c>
      <c r="AI1860" s="6">
        <v>0.66959100000000005</v>
      </c>
      <c r="AJ1860" s="6">
        <v>0.550709</v>
      </c>
      <c r="AK1860" s="6"/>
      <c r="AL1860" s="6"/>
      <c r="AM1860" s="6" t="e">
        <f t="shared" si="133"/>
        <v>#DIV/0!</v>
      </c>
    </row>
    <row r="1861" spans="29:39" x14ac:dyDescent="0.3">
      <c r="AC1861">
        <f t="shared" si="132"/>
        <v>0</v>
      </c>
      <c r="AD1861">
        <v>1858</v>
      </c>
      <c r="AE1861" s="4">
        <f t="shared" ref="AE1861:AE1924" si="134">AG1861</f>
        <v>42941</v>
      </c>
      <c r="AF1861" s="6" t="e">
        <f t="shared" ref="AF1861:AF1924" si="135">AM1861</f>
        <v>#DIV/0!</v>
      </c>
      <c r="AG1861" s="4">
        <v>42941</v>
      </c>
      <c r="AH1861" s="6">
        <v>-0.63870199999999999</v>
      </c>
      <c r="AI1861" s="6">
        <v>-0.219386</v>
      </c>
      <c r="AJ1861" s="6">
        <v>-0.189308</v>
      </c>
      <c r="AK1861" s="6"/>
      <c r="AL1861" s="6"/>
      <c r="AM1861" s="6" t="e">
        <f t="shared" si="133"/>
        <v>#DIV/0!</v>
      </c>
    </row>
    <row r="1862" spans="29:39" x14ac:dyDescent="0.3">
      <c r="AC1862">
        <f t="shared" ref="AC1862:AC1925" si="136">IF(AE1862&lt;=AE1861,1,0)</f>
        <v>0</v>
      </c>
      <c r="AD1862">
        <v>1859</v>
      </c>
      <c r="AE1862" s="4">
        <f t="shared" si="134"/>
        <v>42942</v>
      </c>
      <c r="AF1862" s="6" t="e">
        <f t="shared" si="135"/>
        <v>#DIV/0!</v>
      </c>
      <c r="AG1862" s="4">
        <v>42942</v>
      </c>
      <c r="AH1862" s="6">
        <v>-0.38097500000000001</v>
      </c>
      <c r="AI1862" s="6">
        <v>-0.112058</v>
      </c>
      <c r="AJ1862" s="6">
        <v>0.15159700000000001</v>
      </c>
      <c r="AK1862" s="6"/>
      <c r="AL1862" s="6"/>
      <c r="AM1862" s="6" t="e">
        <f t="shared" ref="AM1862:AM1925" si="137">(AL1862/AL1861-1)*100</f>
        <v>#DIV/0!</v>
      </c>
    </row>
    <row r="1863" spans="29:39" x14ac:dyDescent="0.3">
      <c r="AC1863">
        <f t="shared" si="136"/>
        <v>0</v>
      </c>
      <c r="AD1863">
        <v>1860</v>
      </c>
      <c r="AE1863" s="4">
        <f t="shared" si="134"/>
        <v>42943</v>
      </c>
      <c r="AF1863" s="6" t="e">
        <f t="shared" si="135"/>
        <v>#DIV/0!</v>
      </c>
      <c r="AG1863" s="4">
        <v>42943</v>
      </c>
      <c r="AH1863" s="6">
        <v>0.18368699999999999</v>
      </c>
      <c r="AI1863" s="6">
        <v>0.60712100000000002</v>
      </c>
      <c r="AJ1863" s="6">
        <v>1.2789980000000001</v>
      </c>
      <c r="AK1863" s="6"/>
      <c r="AL1863" s="6"/>
      <c r="AM1863" s="6" t="e">
        <f t="shared" si="137"/>
        <v>#DIV/0!</v>
      </c>
    </row>
    <row r="1864" spans="29:39" x14ac:dyDescent="0.3">
      <c r="AC1864">
        <f t="shared" si="136"/>
        <v>0</v>
      </c>
      <c r="AD1864">
        <v>1861</v>
      </c>
      <c r="AE1864" s="4">
        <f t="shared" si="134"/>
        <v>42944</v>
      </c>
      <c r="AF1864" s="6" t="e">
        <f t="shared" si="135"/>
        <v>#DIV/0!</v>
      </c>
      <c r="AG1864" s="4">
        <v>42944</v>
      </c>
      <c r="AH1864" s="6">
        <v>0.261212</v>
      </c>
      <c r="AI1864" s="6">
        <v>0.50844900000000004</v>
      </c>
      <c r="AJ1864" s="6">
        <v>4.1891999999999999E-2</v>
      </c>
      <c r="AK1864" s="6"/>
      <c r="AL1864" s="6"/>
      <c r="AM1864" s="6" t="e">
        <f t="shared" si="137"/>
        <v>#DIV/0!</v>
      </c>
    </row>
    <row r="1865" spans="29:39" x14ac:dyDescent="0.3">
      <c r="AC1865">
        <f t="shared" si="136"/>
        <v>0</v>
      </c>
      <c r="AD1865">
        <v>1862</v>
      </c>
      <c r="AE1865" s="4">
        <f t="shared" si="134"/>
        <v>42947</v>
      </c>
      <c r="AF1865" s="6" t="e">
        <f t="shared" si="135"/>
        <v>#DIV/0!</v>
      </c>
      <c r="AG1865" s="4">
        <v>42947</v>
      </c>
      <c r="AH1865" s="6">
        <v>0.4294</v>
      </c>
      <c r="AI1865" s="6">
        <v>1.3279319999999999</v>
      </c>
      <c r="AJ1865" s="6">
        <v>0.79539499999999996</v>
      </c>
      <c r="AK1865" s="6"/>
      <c r="AL1865" s="6"/>
      <c r="AM1865" s="6" t="e">
        <f t="shared" si="137"/>
        <v>#DIV/0!</v>
      </c>
    </row>
    <row r="1866" spans="29:39" x14ac:dyDescent="0.3">
      <c r="AC1866">
        <f t="shared" si="136"/>
        <v>0</v>
      </c>
      <c r="AD1866">
        <v>1863</v>
      </c>
      <c r="AE1866" s="4">
        <f t="shared" si="134"/>
        <v>42948</v>
      </c>
      <c r="AF1866" s="6" t="e">
        <f t="shared" si="135"/>
        <v>#DIV/0!</v>
      </c>
      <c r="AG1866" s="4">
        <v>42948</v>
      </c>
      <c r="AH1866" s="6">
        <v>0.86973500000000004</v>
      </c>
      <c r="AI1866" s="6">
        <v>-0.182029</v>
      </c>
      <c r="AJ1866" s="6">
        <v>0.107136</v>
      </c>
      <c r="AK1866" s="6"/>
      <c r="AL1866" s="6"/>
      <c r="AM1866" s="6" t="e">
        <f t="shared" si="137"/>
        <v>#DIV/0!</v>
      </c>
    </row>
    <row r="1867" spans="29:39" x14ac:dyDescent="0.3">
      <c r="AC1867">
        <f t="shared" si="136"/>
        <v>0</v>
      </c>
      <c r="AD1867">
        <v>1864</v>
      </c>
      <c r="AE1867" s="4">
        <f t="shared" si="134"/>
        <v>42949</v>
      </c>
      <c r="AF1867" s="6" t="e">
        <f t="shared" si="135"/>
        <v>#DIV/0!</v>
      </c>
      <c r="AG1867" s="4">
        <v>42949</v>
      </c>
      <c r="AH1867" s="6">
        <v>-0.25276700000000002</v>
      </c>
      <c r="AI1867" s="6">
        <v>-0.55155200000000004</v>
      </c>
      <c r="AJ1867" s="6">
        <v>-0.85098799999999997</v>
      </c>
      <c r="AK1867" s="6"/>
      <c r="AL1867" s="6"/>
      <c r="AM1867" s="6" t="e">
        <f t="shared" si="137"/>
        <v>#DIV/0!</v>
      </c>
    </row>
    <row r="1868" spans="29:39" x14ac:dyDescent="0.3">
      <c r="AC1868">
        <f t="shared" si="136"/>
        <v>0</v>
      </c>
      <c r="AD1868">
        <v>1865</v>
      </c>
      <c r="AE1868" s="4">
        <f t="shared" si="134"/>
        <v>42950</v>
      </c>
      <c r="AF1868" s="6" t="e">
        <f t="shared" si="135"/>
        <v>#DIV/0!</v>
      </c>
      <c r="AG1868" s="4">
        <v>42950</v>
      </c>
      <c r="AH1868" s="6">
        <v>-0.87815500000000002</v>
      </c>
      <c r="AI1868" s="6">
        <v>0.16163</v>
      </c>
      <c r="AJ1868" s="6">
        <v>0.46819499999999997</v>
      </c>
      <c r="AK1868" s="6"/>
      <c r="AL1868" s="6"/>
      <c r="AM1868" s="6" t="e">
        <f t="shared" si="137"/>
        <v>#DIV/0!</v>
      </c>
    </row>
    <row r="1869" spans="29:39" x14ac:dyDescent="0.3">
      <c r="AC1869">
        <f t="shared" si="136"/>
        <v>0</v>
      </c>
      <c r="AD1869">
        <v>1866</v>
      </c>
      <c r="AE1869" s="4">
        <f t="shared" si="134"/>
        <v>42951</v>
      </c>
      <c r="AF1869" s="6" t="e">
        <f t="shared" si="135"/>
        <v>#DIV/0!</v>
      </c>
      <c r="AG1869" s="4">
        <v>42951</v>
      </c>
      <c r="AH1869" s="6">
        <v>-0.543126</v>
      </c>
      <c r="AI1869" s="6">
        <v>-0.58851299999999995</v>
      </c>
      <c r="AJ1869" s="6">
        <v>-0.47092000000000001</v>
      </c>
      <c r="AK1869" s="6"/>
      <c r="AL1869" s="6"/>
      <c r="AM1869" s="6" t="e">
        <f t="shared" si="137"/>
        <v>#DIV/0!</v>
      </c>
    </row>
    <row r="1870" spans="29:39" x14ac:dyDescent="0.3">
      <c r="AC1870">
        <f t="shared" si="136"/>
        <v>0</v>
      </c>
      <c r="AD1870">
        <v>1867</v>
      </c>
      <c r="AE1870" s="4">
        <f t="shared" si="134"/>
        <v>42954</v>
      </c>
      <c r="AF1870" s="6" t="e">
        <f t="shared" si="135"/>
        <v>#DIV/0!</v>
      </c>
      <c r="AG1870" s="4">
        <v>42954</v>
      </c>
      <c r="AH1870" s="6">
        <v>0.51826799999999995</v>
      </c>
      <c r="AI1870" s="6">
        <v>1.2579009999999999</v>
      </c>
      <c r="AJ1870" s="6">
        <v>0.75833399999999995</v>
      </c>
      <c r="AK1870" s="6"/>
      <c r="AL1870" s="6"/>
      <c r="AM1870" s="6" t="e">
        <f t="shared" si="137"/>
        <v>#DIV/0!</v>
      </c>
    </row>
    <row r="1871" spans="29:39" x14ac:dyDescent="0.3">
      <c r="AC1871">
        <f t="shared" si="136"/>
        <v>0</v>
      </c>
      <c r="AD1871">
        <v>1868</v>
      </c>
      <c r="AE1871" s="4">
        <f t="shared" si="134"/>
        <v>42955</v>
      </c>
      <c r="AF1871" s="6" t="e">
        <f t="shared" si="135"/>
        <v>#DIV/0!</v>
      </c>
      <c r="AG1871" s="4">
        <v>42955</v>
      </c>
      <c r="AH1871" s="6">
        <v>0.14538200000000001</v>
      </c>
      <c r="AI1871" s="6">
        <v>4.6820000000000004E-3</v>
      </c>
      <c r="AJ1871" s="6">
        <v>0.34268300000000002</v>
      </c>
      <c r="AK1871" s="6"/>
      <c r="AL1871" s="6"/>
      <c r="AM1871" s="6" t="e">
        <f t="shared" si="137"/>
        <v>#DIV/0!</v>
      </c>
    </row>
    <row r="1872" spans="29:39" x14ac:dyDescent="0.3">
      <c r="AC1872">
        <f t="shared" si="136"/>
        <v>0</v>
      </c>
      <c r="AD1872">
        <v>1869</v>
      </c>
      <c r="AE1872" s="4">
        <f t="shared" si="134"/>
        <v>42956</v>
      </c>
      <c r="AF1872" s="6" t="e">
        <f t="shared" si="135"/>
        <v>#DIV/0!</v>
      </c>
      <c r="AG1872" s="4">
        <v>42956</v>
      </c>
      <c r="AH1872" s="6">
        <v>-3.1319E-2</v>
      </c>
      <c r="AI1872" s="6">
        <v>0.57594599999999996</v>
      </c>
      <c r="AJ1872" s="6">
        <v>0.33055200000000001</v>
      </c>
      <c r="AK1872" s="6"/>
      <c r="AL1872" s="6"/>
      <c r="AM1872" s="6" t="e">
        <f t="shared" si="137"/>
        <v>#DIV/0!</v>
      </c>
    </row>
    <row r="1873" spans="29:39" x14ac:dyDescent="0.3">
      <c r="AC1873">
        <f t="shared" si="136"/>
        <v>0</v>
      </c>
      <c r="AD1873">
        <v>1870</v>
      </c>
      <c r="AE1873" s="4">
        <f t="shared" si="134"/>
        <v>42957</v>
      </c>
      <c r="AF1873" s="6" t="e">
        <f t="shared" si="135"/>
        <v>#DIV/0!</v>
      </c>
      <c r="AG1873" s="4">
        <v>42957</v>
      </c>
      <c r="AH1873" s="6">
        <v>-0.40533400000000003</v>
      </c>
      <c r="AI1873" s="6">
        <v>-0.80133200000000004</v>
      </c>
      <c r="AJ1873" s="6">
        <v>-0.72246200000000005</v>
      </c>
      <c r="AK1873" s="6"/>
      <c r="AL1873" s="6"/>
      <c r="AM1873" s="6" t="e">
        <f t="shared" si="137"/>
        <v>#DIV/0!</v>
      </c>
    </row>
    <row r="1874" spans="29:39" x14ac:dyDescent="0.3">
      <c r="AC1874">
        <f t="shared" si="136"/>
        <v>0</v>
      </c>
      <c r="AD1874">
        <v>1871</v>
      </c>
      <c r="AE1874" s="4">
        <f t="shared" si="134"/>
        <v>42958</v>
      </c>
      <c r="AF1874" s="6" t="e">
        <f t="shared" si="135"/>
        <v>#DIV/0!</v>
      </c>
      <c r="AG1874" s="4">
        <v>42958</v>
      </c>
      <c r="AH1874" s="6">
        <v>-1.8453170000000001</v>
      </c>
      <c r="AI1874" s="6">
        <v>-2.03566</v>
      </c>
      <c r="AJ1874" s="6">
        <v>-1.5163469999999999</v>
      </c>
      <c r="AK1874" s="6"/>
      <c r="AL1874" s="6"/>
      <c r="AM1874" s="6" t="e">
        <f t="shared" si="137"/>
        <v>#DIV/0!</v>
      </c>
    </row>
    <row r="1875" spans="29:39" x14ac:dyDescent="0.3">
      <c r="AC1875">
        <f t="shared" si="136"/>
        <v>0</v>
      </c>
      <c r="AD1875">
        <v>1872</v>
      </c>
      <c r="AE1875" s="4">
        <f t="shared" si="134"/>
        <v>42961</v>
      </c>
      <c r="AF1875" s="6" t="e">
        <f t="shared" si="135"/>
        <v>#DIV/0!</v>
      </c>
      <c r="AG1875" s="4">
        <v>42961</v>
      </c>
      <c r="AH1875" s="6">
        <v>1.297731</v>
      </c>
      <c r="AI1875" s="6">
        <v>2.1335410000000001</v>
      </c>
      <c r="AJ1875" s="6">
        <v>1.995555</v>
      </c>
      <c r="AK1875" s="6"/>
      <c r="AL1875" s="6"/>
      <c r="AM1875" s="6" t="e">
        <f t="shared" si="137"/>
        <v>#DIV/0!</v>
      </c>
    </row>
    <row r="1876" spans="29:39" x14ac:dyDescent="0.3">
      <c r="AC1876">
        <f t="shared" si="136"/>
        <v>0</v>
      </c>
      <c r="AD1876">
        <v>1873</v>
      </c>
      <c r="AE1876" s="4">
        <f t="shared" si="134"/>
        <v>42962</v>
      </c>
      <c r="AF1876" s="6" t="e">
        <f t="shared" si="135"/>
        <v>#DIV/0!</v>
      </c>
      <c r="AG1876" s="4">
        <v>42962</v>
      </c>
      <c r="AH1876" s="6">
        <v>0.307834</v>
      </c>
      <c r="AI1876" s="6">
        <v>0.35150599999999999</v>
      </c>
      <c r="AJ1876" s="6">
        <v>0.43677700000000003</v>
      </c>
      <c r="AK1876" s="6"/>
      <c r="AL1876" s="6"/>
      <c r="AM1876" s="6" t="e">
        <f t="shared" si="137"/>
        <v>#DIV/0!</v>
      </c>
    </row>
    <row r="1877" spans="29:39" x14ac:dyDescent="0.3">
      <c r="AC1877">
        <f t="shared" si="136"/>
        <v>0</v>
      </c>
      <c r="AD1877">
        <v>1874</v>
      </c>
      <c r="AE1877" s="4">
        <f t="shared" si="134"/>
        <v>42963</v>
      </c>
      <c r="AF1877" s="6" t="e">
        <f t="shared" si="135"/>
        <v>#DIV/0!</v>
      </c>
      <c r="AG1877" s="4">
        <v>42963</v>
      </c>
      <c r="AH1877" s="6">
        <v>-0.12509000000000001</v>
      </c>
      <c r="AI1877" s="6">
        <v>6.3941999999999999E-2</v>
      </c>
      <c r="AJ1877" s="6">
        <v>0.49412899999999998</v>
      </c>
      <c r="AK1877" s="6"/>
      <c r="AL1877" s="6"/>
      <c r="AM1877" s="6" t="e">
        <f t="shared" si="137"/>
        <v>#DIV/0!</v>
      </c>
    </row>
    <row r="1878" spans="29:39" x14ac:dyDescent="0.3">
      <c r="AC1878">
        <f t="shared" si="136"/>
        <v>0</v>
      </c>
      <c r="AD1878">
        <v>1875</v>
      </c>
      <c r="AE1878" s="4">
        <f t="shared" si="134"/>
        <v>42964</v>
      </c>
      <c r="AF1878" s="6" t="e">
        <f t="shared" si="135"/>
        <v>#DIV/0!</v>
      </c>
      <c r="AG1878" s="4">
        <v>42964</v>
      </c>
      <c r="AH1878" s="6">
        <v>0.53645100000000001</v>
      </c>
      <c r="AI1878" s="6">
        <v>0.74753800000000004</v>
      </c>
      <c r="AJ1878" s="6">
        <v>0.92552400000000001</v>
      </c>
      <c r="AK1878" s="6"/>
      <c r="AL1878" s="6"/>
      <c r="AM1878" s="6" t="e">
        <f t="shared" si="137"/>
        <v>#DIV/0!</v>
      </c>
    </row>
    <row r="1879" spans="29:39" x14ac:dyDescent="0.3">
      <c r="AC1879">
        <f t="shared" si="136"/>
        <v>0</v>
      </c>
      <c r="AD1879">
        <v>1876</v>
      </c>
      <c r="AE1879" s="4">
        <f t="shared" si="134"/>
        <v>42965</v>
      </c>
      <c r="AF1879" s="6" t="e">
        <f t="shared" si="135"/>
        <v>#DIV/0!</v>
      </c>
      <c r="AG1879" s="4">
        <v>42965</v>
      </c>
      <c r="AH1879" s="6">
        <v>9.1306999999999999E-2</v>
      </c>
      <c r="AI1879" s="6">
        <v>-0.28712199999999999</v>
      </c>
      <c r="AJ1879" s="6">
        <v>-0.501135</v>
      </c>
      <c r="AK1879" s="6"/>
      <c r="AL1879" s="6"/>
      <c r="AM1879" s="6" t="e">
        <f t="shared" si="137"/>
        <v>#DIV/0!</v>
      </c>
    </row>
    <row r="1880" spans="29:39" x14ac:dyDescent="0.3">
      <c r="AC1880">
        <f t="shared" si="136"/>
        <v>0</v>
      </c>
      <c r="AD1880">
        <v>1877</v>
      </c>
      <c r="AE1880" s="4">
        <f t="shared" si="134"/>
        <v>42968</v>
      </c>
      <c r="AF1880" s="6" t="e">
        <f t="shared" si="135"/>
        <v>#DIV/0!</v>
      </c>
      <c r="AG1880" s="4">
        <v>42968</v>
      </c>
      <c r="AH1880" s="6">
        <v>0.43813999999999997</v>
      </c>
      <c r="AI1880" s="6">
        <v>0.88258899999999996</v>
      </c>
      <c r="AJ1880" s="6">
        <v>0.73514999999999997</v>
      </c>
      <c r="AK1880" s="6"/>
      <c r="AL1880" s="6"/>
      <c r="AM1880" s="6" t="e">
        <f t="shared" si="137"/>
        <v>#DIV/0!</v>
      </c>
    </row>
    <row r="1881" spans="29:39" x14ac:dyDescent="0.3">
      <c r="AC1881">
        <f t="shared" si="136"/>
        <v>0</v>
      </c>
      <c r="AD1881">
        <v>1878</v>
      </c>
      <c r="AE1881" s="4">
        <f t="shared" si="134"/>
        <v>42969</v>
      </c>
      <c r="AF1881" s="6" t="e">
        <f t="shared" si="135"/>
        <v>#DIV/0!</v>
      </c>
      <c r="AG1881" s="4">
        <v>42969</v>
      </c>
      <c r="AH1881" s="6">
        <v>0.30216300000000001</v>
      </c>
      <c r="AI1881" s="6">
        <v>-0.43410100000000001</v>
      </c>
      <c r="AJ1881" s="6">
        <v>-0.61110200000000003</v>
      </c>
      <c r="AK1881" s="6"/>
      <c r="AL1881" s="6"/>
      <c r="AM1881" s="6" t="e">
        <f t="shared" si="137"/>
        <v>#DIV/0!</v>
      </c>
    </row>
    <row r="1882" spans="29:39" x14ac:dyDescent="0.3">
      <c r="AC1882">
        <f t="shared" si="136"/>
        <v>0</v>
      </c>
      <c r="AD1882">
        <v>1879</v>
      </c>
      <c r="AE1882" s="4">
        <f t="shared" si="134"/>
        <v>42970</v>
      </c>
      <c r="AF1882" s="6" t="e">
        <f t="shared" si="135"/>
        <v>#DIV/0!</v>
      </c>
      <c r="AG1882" s="4">
        <v>42970</v>
      </c>
      <c r="AH1882" s="6">
        <v>0.10101499999999999</v>
      </c>
      <c r="AI1882" s="6">
        <v>-0.83437399999999995</v>
      </c>
      <c r="AJ1882" s="6">
        <v>-0.66777399999999998</v>
      </c>
      <c r="AK1882" s="6"/>
      <c r="AL1882" s="6"/>
      <c r="AM1882" s="6" t="e">
        <f t="shared" si="137"/>
        <v>#DIV/0!</v>
      </c>
    </row>
    <row r="1883" spans="29:39" x14ac:dyDescent="0.3">
      <c r="AC1883">
        <f t="shared" si="136"/>
        <v>0</v>
      </c>
      <c r="AD1883">
        <v>1880</v>
      </c>
      <c r="AE1883" s="4">
        <f t="shared" si="134"/>
        <v>42971</v>
      </c>
      <c r="AF1883" s="6" t="e">
        <f t="shared" si="135"/>
        <v>#DIV/0!</v>
      </c>
      <c r="AG1883" s="4">
        <v>42971</v>
      </c>
      <c r="AH1883" s="6">
        <v>-0.57087600000000005</v>
      </c>
      <c r="AI1883" s="6">
        <v>-0.69893099999999997</v>
      </c>
      <c r="AJ1883" s="6">
        <v>-0.64241999999999999</v>
      </c>
      <c r="AK1883" s="6"/>
      <c r="AL1883" s="6"/>
      <c r="AM1883" s="6" t="e">
        <f t="shared" si="137"/>
        <v>#DIV/0!</v>
      </c>
    </row>
    <row r="1884" spans="29:39" x14ac:dyDescent="0.3">
      <c r="AC1884">
        <f t="shared" si="136"/>
        <v>0</v>
      </c>
      <c r="AD1884">
        <v>1881</v>
      </c>
      <c r="AE1884" s="4">
        <f t="shared" si="134"/>
        <v>42972</v>
      </c>
      <c r="AF1884" s="6" t="e">
        <f t="shared" si="135"/>
        <v>#DIV/0!</v>
      </c>
      <c r="AG1884" s="4">
        <v>42972</v>
      </c>
      <c r="AH1884" s="6">
        <v>1.6362620000000001</v>
      </c>
      <c r="AI1884" s="6">
        <v>1.082098</v>
      </c>
      <c r="AJ1884" s="6">
        <v>0.97845400000000005</v>
      </c>
      <c r="AK1884" s="6"/>
      <c r="AL1884" s="6"/>
      <c r="AM1884" s="6" t="e">
        <f t="shared" si="137"/>
        <v>#DIV/0!</v>
      </c>
    </row>
    <row r="1885" spans="29:39" x14ac:dyDescent="0.3">
      <c r="AC1885">
        <f t="shared" si="136"/>
        <v>0</v>
      </c>
      <c r="AD1885">
        <v>1882</v>
      </c>
      <c r="AE1885" s="4">
        <f t="shared" si="134"/>
        <v>42975</v>
      </c>
      <c r="AF1885" s="6" t="e">
        <f t="shared" si="135"/>
        <v>#DIV/0!</v>
      </c>
      <c r="AG1885" s="4">
        <v>42975</v>
      </c>
      <c r="AH1885" s="6">
        <v>1.237106</v>
      </c>
      <c r="AI1885" s="6">
        <v>1.2298629999999999</v>
      </c>
      <c r="AJ1885" s="6">
        <v>1.1024929999999999</v>
      </c>
      <c r="AK1885" s="6"/>
      <c r="AL1885" s="6"/>
      <c r="AM1885" s="6" t="e">
        <f t="shared" si="137"/>
        <v>#DIV/0!</v>
      </c>
    </row>
    <row r="1886" spans="29:39" x14ac:dyDescent="0.3">
      <c r="AC1886">
        <f t="shared" si="136"/>
        <v>0</v>
      </c>
      <c r="AD1886">
        <v>1883</v>
      </c>
      <c r="AE1886" s="4">
        <f t="shared" si="134"/>
        <v>42976</v>
      </c>
      <c r="AF1886" s="6" t="e">
        <f t="shared" si="135"/>
        <v>#DIV/0!</v>
      </c>
      <c r="AG1886" s="4">
        <v>42976</v>
      </c>
      <c r="AH1886" s="6">
        <v>-0.21272199999999999</v>
      </c>
      <c r="AI1886" s="6">
        <v>-0.25569599999999998</v>
      </c>
      <c r="AJ1886" s="6">
        <v>-0.25372499999999998</v>
      </c>
      <c r="AK1886" s="6"/>
      <c r="AL1886" s="6"/>
      <c r="AM1886" s="6" t="e">
        <f t="shared" si="137"/>
        <v>#DIV/0!</v>
      </c>
    </row>
    <row r="1887" spans="29:39" x14ac:dyDescent="0.3">
      <c r="AC1887">
        <f t="shared" si="136"/>
        <v>0</v>
      </c>
      <c r="AD1887">
        <v>1884</v>
      </c>
      <c r="AE1887" s="4">
        <f t="shared" si="134"/>
        <v>42977</v>
      </c>
      <c r="AF1887" s="6" t="e">
        <f t="shared" si="135"/>
        <v>#DIV/0!</v>
      </c>
      <c r="AG1887" s="4">
        <v>42977</v>
      </c>
      <c r="AH1887" s="6">
        <v>-6.1830000000000001E-3</v>
      </c>
      <c r="AI1887" s="6">
        <v>0.70701899999999995</v>
      </c>
      <c r="AJ1887" s="6">
        <v>0.408188</v>
      </c>
      <c r="AK1887" s="6"/>
      <c r="AL1887" s="6"/>
      <c r="AM1887" s="6" t="e">
        <f t="shared" si="137"/>
        <v>#DIV/0!</v>
      </c>
    </row>
    <row r="1888" spans="29:39" x14ac:dyDescent="0.3">
      <c r="AC1888">
        <f t="shared" si="136"/>
        <v>0</v>
      </c>
      <c r="AD1888">
        <v>1885</v>
      </c>
      <c r="AE1888" s="4">
        <f t="shared" si="134"/>
        <v>42978</v>
      </c>
      <c r="AF1888" s="6" t="e">
        <f t="shared" si="135"/>
        <v>#DIV/0!</v>
      </c>
      <c r="AG1888" s="4">
        <v>42978</v>
      </c>
      <c r="AH1888" s="6">
        <v>-0.31838100000000003</v>
      </c>
      <c r="AI1888" s="6">
        <v>0.26284000000000002</v>
      </c>
      <c r="AJ1888" s="6">
        <v>0.33312700000000001</v>
      </c>
      <c r="AK1888" s="6"/>
      <c r="AL1888" s="6"/>
      <c r="AM1888" s="6" t="e">
        <f t="shared" si="137"/>
        <v>#DIV/0!</v>
      </c>
    </row>
    <row r="1889" spans="29:39" x14ac:dyDescent="0.3">
      <c r="AC1889">
        <f t="shared" si="136"/>
        <v>0</v>
      </c>
      <c r="AD1889">
        <v>1886</v>
      </c>
      <c r="AE1889" s="4">
        <f t="shared" si="134"/>
        <v>42979</v>
      </c>
      <c r="AF1889" s="6" t="e">
        <f t="shared" si="135"/>
        <v>#DIV/0!</v>
      </c>
      <c r="AG1889" s="4">
        <v>42979</v>
      </c>
      <c r="AH1889" s="6">
        <v>0.22096499999999999</v>
      </c>
      <c r="AI1889" s="6">
        <v>0.86669300000000005</v>
      </c>
      <c r="AJ1889" s="6">
        <v>0.78171000000000002</v>
      </c>
      <c r="AK1889" s="6"/>
      <c r="AL1889" s="6"/>
      <c r="AM1889" s="6" t="e">
        <f t="shared" si="137"/>
        <v>#DIV/0!</v>
      </c>
    </row>
    <row r="1890" spans="29:39" x14ac:dyDescent="0.3">
      <c r="AC1890">
        <f t="shared" si="136"/>
        <v>0</v>
      </c>
      <c r="AD1890">
        <v>1887</v>
      </c>
      <c r="AE1890" s="4">
        <f t="shared" si="134"/>
        <v>42982</v>
      </c>
      <c r="AF1890" s="6" t="e">
        <f t="shared" si="135"/>
        <v>#DIV/0!</v>
      </c>
      <c r="AG1890" s="4">
        <v>42982</v>
      </c>
      <c r="AH1890" s="6">
        <v>0.39362599999999998</v>
      </c>
      <c r="AI1890" s="6">
        <v>0.58493499999999998</v>
      </c>
      <c r="AJ1890" s="6">
        <v>0.75289399999999995</v>
      </c>
      <c r="AK1890" s="6"/>
      <c r="AL1890" s="6"/>
      <c r="AM1890" s="6" t="e">
        <f t="shared" si="137"/>
        <v>#DIV/0!</v>
      </c>
    </row>
    <row r="1891" spans="29:39" x14ac:dyDescent="0.3">
      <c r="AC1891">
        <f t="shared" si="136"/>
        <v>0</v>
      </c>
      <c r="AD1891">
        <v>1888</v>
      </c>
      <c r="AE1891" s="4">
        <f t="shared" si="134"/>
        <v>42983</v>
      </c>
      <c r="AF1891" s="6" t="e">
        <f t="shared" si="135"/>
        <v>#DIV/0!</v>
      </c>
      <c r="AG1891" s="4">
        <v>42983</v>
      </c>
      <c r="AH1891" s="6">
        <v>0.29722399999999999</v>
      </c>
      <c r="AI1891" s="6">
        <v>0.10935300000000001</v>
      </c>
      <c r="AJ1891" s="6">
        <v>3.0248000000000001E-2</v>
      </c>
      <c r="AK1891" s="6"/>
      <c r="AL1891" s="6"/>
      <c r="AM1891" s="6" t="e">
        <f t="shared" si="137"/>
        <v>#DIV/0!</v>
      </c>
    </row>
    <row r="1892" spans="29:39" x14ac:dyDescent="0.3">
      <c r="AC1892">
        <f t="shared" si="136"/>
        <v>0</v>
      </c>
      <c r="AD1892">
        <v>1889</v>
      </c>
      <c r="AE1892" s="4">
        <f t="shared" si="134"/>
        <v>42984</v>
      </c>
      <c r="AF1892" s="6" t="e">
        <f t="shared" si="135"/>
        <v>#DIV/0!</v>
      </c>
      <c r="AG1892" s="4">
        <v>42984</v>
      </c>
      <c r="AH1892" s="6">
        <v>-0.19695099999999999</v>
      </c>
      <c r="AI1892" s="6">
        <v>0.53650699999999996</v>
      </c>
      <c r="AJ1892" s="6">
        <v>0.74030200000000002</v>
      </c>
      <c r="AK1892" s="6"/>
      <c r="AL1892" s="6"/>
      <c r="AM1892" s="6" t="e">
        <f t="shared" si="137"/>
        <v>#DIV/0!</v>
      </c>
    </row>
    <row r="1893" spans="29:39" x14ac:dyDescent="0.3">
      <c r="AC1893">
        <f t="shared" si="136"/>
        <v>0</v>
      </c>
      <c r="AD1893">
        <v>1890</v>
      </c>
      <c r="AE1893" s="4">
        <f t="shared" si="134"/>
        <v>42985</v>
      </c>
      <c r="AF1893" s="6" t="e">
        <f t="shared" si="135"/>
        <v>#DIV/0!</v>
      </c>
      <c r="AG1893" s="4">
        <v>42985</v>
      </c>
      <c r="AH1893" s="6">
        <v>-0.50860799999999995</v>
      </c>
      <c r="AI1893" s="6">
        <v>-0.734379</v>
      </c>
      <c r="AJ1893" s="6">
        <v>-0.44393500000000002</v>
      </c>
      <c r="AK1893" s="6"/>
      <c r="AL1893" s="6"/>
      <c r="AM1893" s="6" t="e">
        <f t="shared" si="137"/>
        <v>#DIV/0!</v>
      </c>
    </row>
    <row r="1894" spans="29:39" x14ac:dyDescent="0.3">
      <c r="AC1894">
        <f t="shared" si="136"/>
        <v>0</v>
      </c>
      <c r="AD1894">
        <v>1891</v>
      </c>
      <c r="AE1894" s="4">
        <f t="shared" si="134"/>
        <v>42986</v>
      </c>
      <c r="AF1894" s="6" t="e">
        <f t="shared" si="135"/>
        <v>#DIV/0!</v>
      </c>
      <c r="AG1894" s="4">
        <v>42986</v>
      </c>
      <c r="AH1894" s="6">
        <v>-0.101356</v>
      </c>
      <c r="AI1894" s="6">
        <v>0.237647</v>
      </c>
      <c r="AJ1894" s="6">
        <v>0.19680300000000001</v>
      </c>
      <c r="AK1894" s="6"/>
      <c r="AL1894" s="6"/>
      <c r="AM1894" s="6" t="e">
        <f t="shared" si="137"/>
        <v>#DIV/0!</v>
      </c>
    </row>
    <row r="1895" spans="29:39" x14ac:dyDescent="0.3">
      <c r="AC1895">
        <f t="shared" si="136"/>
        <v>0</v>
      </c>
      <c r="AD1895">
        <v>1892</v>
      </c>
      <c r="AE1895" s="4">
        <f t="shared" si="134"/>
        <v>42989</v>
      </c>
      <c r="AF1895" s="6" t="e">
        <f t="shared" si="135"/>
        <v>#DIV/0!</v>
      </c>
      <c r="AG1895" s="4">
        <v>42989</v>
      </c>
      <c r="AH1895" s="6">
        <v>-8.9960000000000005E-3</v>
      </c>
      <c r="AI1895" s="6">
        <v>1.1475949999999999</v>
      </c>
      <c r="AJ1895" s="6">
        <v>1.0447329999999999</v>
      </c>
      <c r="AK1895" s="6"/>
      <c r="AL1895" s="6"/>
      <c r="AM1895" s="6" t="e">
        <f t="shared" si="137"/>
        <v>#DIV/0!</v>
      </c>
    </row>
    <row r="1896" spans="29:39" x14ac:dyDescent="0.3">
      <c r="AC1896">
        <f t="shared" si="136"/>
        <v>0</v>
      </c>
      <c r="AD1896">
        <v>1893</v>
      </c>
      <c r="AE1896" s="4">
        <f t="shared" si="134"/>
        <v>42990</v>
      </c>
      <c r="AF1896" s="6" t="e">
        <f t="shared" si="135"/>
        <v>#DIV/0!</v>
      </c>
      <c r="AG1896" s="4">
        <v>42990</v>
      </c>
      <c r="AH1896" s="6">
        <v>0.32122200000000001</v>
      </c>
      <c r="AI1896" s="6">
        <v>-8.4453E-2</v>
      </c>
      <c r="AJ1896" s="6">
        <v>-0.26849800000000001</v>
      </c>
      <c r="AK1896" s="6"/>
      <c r="AL1896" s="6"/>
      <c r="AM1896" s="6" t="e">
        <f t="shared" si="137"/>
        <v>#DIV/0!</v>
      </c>
    </row>
    <row r="1897" spans="29:39" x14ac:dyDescent="0.3">
      <c r="AC1897">
        <f t="shared" si="136"/>
        <v>0</v>
      </c>
      <c r="AD1897">
        <v>1894</v>
      </c>
      <c r="AE1897" s="4">
        <f t="shared" si="134"/>
        <v>42991</v>
      </c>
      <c r="AF1897" s="6" t="e">
        <f t="shared" si="135"/>
        <v>#DIV/0!</v>
      </c>
      <c r="AG1897" s="4">
        <v>42991</v>
      </c>
      <c r="AH1897" s="6">
        <v>0.12173200000000001</v>
      </c>
      <c r="AI1897" s="6">
        <v>0.60758500000000004</v>
      </c>
      <c r="AJ1897" s="6">
        <v>0.37126100000000001</v>
      </c>
      <c r="AK1897" s="6"/>
      <c r="AL1897" s="6"/>
      <c r="AM1897" s="6" t="e">
        <f t="shared" si="137"/>
        <v>#DIV/0!</v>
      </c>
    </row>
    <row r="1898" spans="29:39" x14ac:dyDescent="0.3">
      <c r="AC1898">
        <f t="shared" si="136"/>
        <v>0</v>
      </c>
      <c r="AD1898">
        <v>1895</v>
      </c>
      <c r="AE1898" s="4">
        <f t="shared" si="134"/>
        <v>42992</v>
      </c>
      <c r="AF1898" s="6" t="e">
        <f t="shared" si="135"/>
        <v>#DIV/0!</v>
      </c>
      <c r="AG1898" s="4">
        <v>42992</v>
      </c>
      <c r="AH1898" s="6">
        <v>-0.32922200000000001</v>
      </c>
      <c r="AI1898" s="6">
        <v>-0.18243899999999999</v>
      </c>
      <c r="AJ1898" s="6">
        <v>-0.15242600000000001</v>
      </c>
      <c r="AK1898" s="6"/>
      <c r="AL1898" s="6"/>
      <c r="AM1898" s="6" t="e">
        <f t="shared" si="137"/>
        <v>#DIV/0!</v>
      </c>
    </row>
    <row r="1899" spans="29:39" x14ac:dyDescent="0.3">
      <c r="AC1899">
        <f t="shared" si="136"/>
        <v>0</v>
      </c>
      <c r="AD1899">
        <v>1896</v>
      </c>
      <c r="AE1899" s="4">
        <f t="shared" si="134"/>
        <v>42993</v>
      </c>
      <c r="AF1899" s="6" t="e">
        <f t="shared" si="135"/>
        <v>#DIV/0!</v>
      </c>
      <c r="AG1899" s="4">
        <v>42993</v>
      </c>
      <c r="AH1899" s="6">
        <v>3.5015999999999999E-2</v>
      </c>
      <c r="AI1899" s="6">
        <v>-0.751494</v>
      </c>
      <c r="AJ1899" s="6">
        <v>-0.45598899999999998</v>
      </c>
      <c r="AK1899" s="6"/>
      <c r="AL1899" s="6"/>
      <c r="AM1899" s="6" t="e">
        <f t="shared" si="137"/>
        <v>#DIV/0!</v>
      </c>
    </row>
    <row r="1900" spans="29:39" x14ac:dyDescent="0.3">
      <c r="AC1900">
        <f t="shared" si="136"/>
        <v>0</v>
      </c>
      <c r="AD1900">
        <v>1897</v>
      </c>
      <c r="AE1900" s="4">
        <f t="shared" si="134"/>
        <v>42996</v>
      </c>
      <c r="AF1900" s="6" t="e">
        <f t="shared" si="135"/>
        <v>#DIV/0!</v>
      </c>
      <c r="AG1900" s="4">
        <v>42996</v>
      </c>
      <c r="AH1900" s="6">
        <v>0.30919799999999997</v>
      </c>
      <c r="AI1900" s="6">
        <v>0.71595699999999995</v>
      </c>
      <c r="AJ1900" s="6">
        <v>0.775532</v>
      </c>
      <c r="AK1900" s="6"/>
      <c r="AL1900" s="6"/>
      <c r="AM1900" s="6" t="e">
        <f t="shared" si="137"/>
        <v>#DIV/0!</v>
      </c>
    </row>
    <row r="1901" spans="29:39" x14ac:dyDescent="0.3">
      <c r="AC1901">
        <f t="shared" si="136"/>
        <v>0</v>
      </c>
      <c r="AD1901">
        <v>1898</v>
      </c>
      <c r="AE1901" s="4">
        <f t="shared" si="134"/>
        <v>42997</v>
      </c>
      <c r="AF1901" s="6" t="e">
        <f t="shared" si="135"/>
        <v>#DIV/0!</v>
      </c>
      <c r="AG1901" s="4">
        <v>42997</v>
      </c>
      <c r="AH1901" s="6">
        <v>-0.28691899999999998</v>
      </c>
      <c r="AI1901" s="6">
        <v>-0.50131099999999995</v>
      </c>
      <c r="AJ1901" s="6">
        <v>-0.45302399999999998</v>
      </c>
      <c r="AK1901" s="6"/>
      <c r="AL1901" s="6"/>
      <c r="AM1901" s="6" t="e">
        <f t="shared" si="137"/>
        <v>#DIV/0!</v>
      </c>
    </row>
    <row r="1902" spans="29:39" x14ac:dyDescent="0.3">
      <c r="AC1902">
        <f t="shared" si="136"/>
        <v>0</v>
      </c>
      <c r="AD1902">
        <v>1899</v>
      </c>
      <c r="AE1902" s="4">
        <f t="shared" si="134"/>
        <v>42998</v>
      </c>
      <c r="AF1902" s="6" t="e">
        <f t="shared" si="135"/>
        <v>#DIV/0!</v>
      </c>
      <c r="AG1902" s="4">
        <v>42998</v>
      </c>
      <c r="AH1902" s="6">
        <v>0.26928200000000002</v>
      </c>
      <c r="AI1902" s="6">
        <v>0.85069499999999998</v>
      </c>
      <c r="AJ1902" s="6">
        <v>0.88144999999999996</v>
      </c>
      <c r="AK1902" s="6"/>
      <c r="AL1902" s="6"/>
      <c r="AM1902" s="6" t="e">
        <f t="shared" si="137"/>
        <v>#DIV/0!</v>
      </c>
    </row>
    <row r="1903" spans="29:39" x14ac:dyDescent="0.3">
      <c r="AC1903">
        <f t="shared" si="136"/>
        <v>0</v>
      </c>
      <c r="AD1903">
        <v>1900</v>
      </c>
      <c r="AE1903" s="4">
        <f t="shared" si="134"/>
        <v>42999</v>
      </c>
      <c r="AF1903" s="6" t="e">
        <f t="shared" si="135"/>
        <v>#DIV/0!</v>
      </c>
      <c r="AG1903" s="4">
        <v>42999</v>
      </c>
      <c r="AH1903" s="6">
        <v>-0.12017600000000001</v>
      </c>
      <c r="AI1903" s="6">
        <v>-1.2017500000000001</v>
      </c>
      <c r="AJ1903" s="6">
        <v>-1.1143590000000001</v>
      </c>
      <c r="AK1903" s="6"/>
      <c r="AL1903" s="6"/>
      <c r="AM1903" s="6" t="e">
        <f t="shared" si="137"/>
        <v>#DIV/0!</v>
      </c>
    </row>
    <row r="1904" spans="29:39" x14ac:dyDescent="0.3">
      <c r="AC1904">
        <f t="shared" si="136"/>
        <v>0</v>
      </c>
      <c r="AD1904">
        <v>1901</v>
      </c>
      <c r="AE1904" s="4">
        <f t="shared" si="134"/>
        <v>43000</v>
      </c>
      <c r="AF1904" s="6" t="e">
        <f t="shared" si="135"/>
        <v>#DIV/0!</v>
      </c>
      <c r="AG1904" s="4">
        <v>43000</v>
      </c>
      <c r="AH1904" s="6">
        <v>-2.2720000000000001E-3</v>
      </c>
      <c r="AI1904" s="6">
        <v>-0.60550099999999996</v>
      </c>
      <c r="AJ1904" s="6">
        <v>-0.46647699999999997</v>
      </c>
      <c r="AK1904" s="6"/>
      <c r="AL1904" s="6"/>
      <c r="AM1904" s="6" t="e">
        <f t="shared" si="137"/>
        <v>#DIV/0!</v>
      </c>
    </row>
    <row r="1905" spans="29:39" x14ac:dyDescent="0.3">
      <c r="AC1905">
        <f t="shared" si="136"/>
        <v>0</v>
      </c>
      <c r="AD1905">
        <v>1902</v>
      </c>
      <c r="AE1905" s="4">
        <f t="shared" si="134"/>
        <v>43003</v>
      </c>
      <c r="AF1905" s="6" t="e">
        <f t="shared" si="135"/>
        <v>#DIV/0!</v>
      </c>
      <c r="AG1905" s="4">
        <v>43003</v>
      </c>
      <c r="AH1905" s="6">
        <v>-0.51954900000000004</v>
      </c>
      <c r="AI1905" s="6">
        <v>-1.2502340000000001</v>
      </c>
      <c r="AJ1905" s="6">
        <v>-1.5023299999999999</v>
      </c>
      <c r="AK1905" s="6"/>
      <c r="AL1905" s="6"/>
      <c r="AM1905" s="6" t="e">
        <f t="shared" si="137"/>
        <v>#DIV/0!</v>
      </c>
    </row>
    <row r="1906" spans="29:39" x14ac:dyDescent="0.3">
      <c r="AC1906">
        <f t="shared" si="136"/>
        <v>0</v>
      </c>
      <c r="AD1906">
        <v>1903</v>
      </c>
      <c r="AE1906" s="4">
        <f t="shared" si="134"/>
        <v>43004</v>
      </c>
      <c r="AF1906" s="6" t="e">
        <f t="shared" si="135"/>
        <v>#DIV/0!</v>
      </c>
      <c r="AG1906" s="4">
        <v>43004</v>
      </c>
      <c r="AH1906" s="6">
        <v>7.8320000000000001E-2</v>
      </c>
      <c r="AI1906" s="6">
        <v>0.475719</v>
      </c>
      <c r="AJ1906" s="6">
        <v>0.18677199999999999</v>
      </c>
      <c r="AK1906" s="6"/>
      <c r="AL1906" s="6"/>
      <c r="AM1906" s="6" t="e">
        <f t="shared" si="137"/>
        <v>#DIV/0!</v>
      </c>
    </row>
    <row r="1907" spans="29:39" x14ac:dyDescent="0.3">
      <c r="AC1907">
        <f t="shared" si="136"/>
        <v>0</v>
      </c>
      <c r="AD1907">
        <v>1904</v>
      </c>
      <c r="AE1907" s="4">
        <f t="shared" si="134"/>
        <v>43005</v>
      </c>
      <c r="AF1907" s="6" t="e">
        <f t="shared" si="135"/>
        <v>#DIV/0!</v>
      </c>
      <c r="AG1907" s="4">
        <v>43005</v>
      </c>
      <c r="AH1907" s="6">
        <v>1.0951000000000001E-2</v>
      </c>
      <c r="AI1907" s="6">
        <v>0.95729600000000004</v>
      </c>
      <c r="AJ1907" s="6">
        <v>0.82614900000000002</v>
      </c>
      <c r="AK1907" s="6"/>
      <c r="AL1907" s="6"/>
      <c r="AM1907" s="6" t="e">
        <f t="shared" si="137"/>
        <v>#DIV/0!</v>
      </c>
    </row>
    <row r="1908" spans="29:39" x14ac:dyDescent="0.3">
      <c r="AC1908">
        <f t="shared" si="136"/>
        <v>0</v>
      </c>
      <c r="AD1908">
        <v>1905</v>
      </c>
      <c r="AE1908" s="4">
        <f t="shared" si="134"/>
        <v>43006</v>
      </c>
      <c r="AF1908" s="6" t="e">
        <f t="shared" si="135"/>
        <v>#DIV/0!</v>
      </c>
      <c r="AG1908" s="4">
        <v>43006</v>
      </c>
      <c r="AH1908" s="6">
        <v>3.5031E-2</v>
      </c>
      <c r="AI1908" s="6">
        <v>-0.23315</v>
      </c>
      <c r="AJ1908" s="6">
        <v>-0.53594799999999998</v>
      </c>
      <c r="AK1908" s="6"/>
      <c r="AL1908" s="6"/>
      <c r="AM1908" s="6" t="e">
        <f t="shared" si="137"/>
        <v>#DIV/0!</v>
      </c>
    </row>
    <row r="1909" spans="29:39" x14ac:dyDescent="0.3">
      <c r="AC1909">
        <f t="shared" si="136"/>
        <v>0</v>
      </c>
      <c r="AD1909">
        <v>1906</v>
      </c>
      <c r="AE1909" s="4">
        <f t="shared" si="134"/>
        <v>43007</v>
      </c>
      <c r="AF1909" s="6" t="e">
        <f t="shared" si="135"/>
        <v>#DIV/0!</v>
      </c>
      <c r="AG1909" s="4">
        <v>43007</v>
      </c>
      <c r="AH1909" s="6">
        <v>0.36527300000000001</v>
      </c>
      <c r="AI1909" s="6">
        <v>0.54001699999999997</v>
      </c>
      <c r="AJ1909" s="6">
        <v>0.95529500000000001</v>
      </c>
      <c r="AK1909" s="6"/>
      <c r="AL1909" s="6"/>
      <c r="AM1909" s="6" t="e">
        <f t="shared" si="137"/>
        <v>#DIV/0!</v>
      </c>
    </row>
    <row r="1910" spans="29:39" x14ac:dyDescent="0.3">
      <c r="AC1910">
        <f t="shared" si="136"/>
        <v>0</v>
      </c>
      <c r="AD1910">
        <v>1907</v>
      </c>
      <c r="AE1910" s="4">
        <f t="shared" si="134"/>
        <v>43017</v>
      </c>
      <c r="AF1910" s="6" t="e">
        <f t="shared" si="135"/>
        <v>#DIV/0!</v>
      </c>
      <c r="AG1910" s="4">
        <v>43017</v>
      </c>
      <c r="AH1910" s="6">
        <v>1.191354</v>
      </c>
      <c r="AI1910" s="6">
        <v>1.1375040000000001</v>
      </c>
      <c r="AJ1910" s="6">
        <v>1.257166</v>
      </c>
      <c r="AK1910" s="6"/>
      <c r="AL1910" s="6"/>
      <c r="AM1910" s="6" t="e">
        <f t="shared" si="137"/>
        <v>#DIV/0!</v>
      </c>
    </row>
    <row r="1911" spans="29:39" x14ac:dyDescent="0.3">
      <c r="AC1911">
        <f t="shared" si="136"/>
        <v>0</v>
      </c>
      <c r="AD1911">
        <v>1908</v>
      </c>
      <c r="AE1911" s="4">
        <f t="shared" si="134"/>
        <v>43018</v>
      </c>
      <c r="AF1911" s="6" t="e">
        <f t="shared" si="135"/>
        <v>#DIV/0!</v>
      </c>
      <c r="AG1911" s="4">
        <v>43018</v>
      </c>
      <c r="AH1911" s="6">
        <v>0.19721</v>
      </c>
      <c r="AI1911" s="6">
        <v>0.40594000000000002</v>
      </c>
      <c r="AJ1911" s="6">
        <v>0.67091999999999996</v>
      </c>
      <c r="AK1911" s="6"/>
      <c r="AL1911" s="6"/>
      <c r="AM1911" s="6" t="e">
        <f t="shared" si="137"/>
        <v>#DIV/0!</v>
      </c>
    </row>
    <row r="1912" spans="29:39" x14ac:dyDescent="0.3">
      <c r="AC1912">
        <f t="shared" si="136"/>
        <v>0</v>
      </c>
      <c r="AD1912">
        <v>1909</v>
      </c>
      <c r="AE1912" s="4">
        <f t="shared" si="134"/>
        <v>43019</v>
      </c>
      <c r="AF1912" s="6" t="e">
        <f t="shared" si="135"/>
        <v>#DIV/0!</v>
      </c>
      <c r="AG1912" s="4">
        <v>43019</v>
      </c>
      <c r="AH1912" s="6">
        <v>0.329654</v>
      </c>
      <c r="AI1912" s="6">
        <v>-0.58178700000000005</v>
      </c>
      <c r="AJ1912" s="6">
        <v>-0.41715099999999999</v>
      </c>
      <c r="AK1912" s="6"/>
      <c r="AL1912" s="6"/>
      <c r="AM1912" s="6" t="e">
        <f t="shared" si="137"/>
        <v>#DIV/0!</v>
      </c>
    </row>
    <row r="1913" spans="29:39" x14ac:dyDescent="0.3">
      <c r="AC1913">
        <f t="shared" si="136"/>
        <v>0</v>
      </c>
      <c r="AD1913">
        <v>1910</v>
      </c>
      <c r="AE1913" s="4">
        <f t="shared" si="134"/>
        <v>43020</v>
      </c>
      <c r="AF1913" s="6" t="e">
        <f t="shared" si="135"/>
        <v>#DIV/0!</v>
      </c>
      <c r="AG1913" s="4">
        <v>43020</v>
      </c>
      <c r="AH1913" s="6">
        <v>0.26307000000000003</v>
      </c>
      <c r="AI1913" s="6">
        <v>-0.110612</v>
      </c>
      <c r="AJ1913" s="6">
        <v>-0.26344099999999998</v>
      </c>
      <c r="AK1913" s="6"/>
      <c r="AL1913" s="6"/>
      <c r="AM1913" s="6" t="e">
        <f t="shared" si="137"/>
        <v>#DIV/0!</v>
      </c>
    </row>
    <row r="1914" spans="29:39" x14ac:dyDescent="0.3">
      <c r="AC1914">
        <f t="shared" si="136"/>
        <v>0</v>
      </c>
      <c r="AD1914">
        <v>1911</v>
      </c>
      <c r="AE1914" s="4">
        <f t="shared" si="134"/>
        <v>43021</v>
      </c>
      <c r="AF1914" s="6" t="e">
        <f t="shared" si="135"/>
        <v>#DIV/0!</v>
      </c>
      <c r="AG1914" s="4">
        <v>43021</v>
      </c>
      <c r="AH1914" s="6">
        <v>0.205678</v>
      </c>
      <c r="AI1914" s="6">
        <v>0.76167499999999999</v>
      </c>
      <c r="AJ1914" s="6">
        <v>0.40656500000000001</v>
      </c>
      <c r="AK1914" s="6"/>
      <c r="AL1914" s="6"/>
      <c r="AM1914" s="6" t="e">
        <f t="shared" si="137"/>
        <v>#DIV/0!</v>
      </c>
    </row>
    <row r="1915" spans="29:39" x14ac:dyDescent="0.3">
      <c r="AC1915">
        <f t="shared" si="136"/>
        <v>0</v>
      </c>
      <c r="AD1915">
        <v>1912</v>
      </c>
      <c r="AE1915" s="4">
        <f t="shared" si="134"/>
        <v>43024</v>
      </c>
      <c r="AF1915" s="6" t="e">
        <f t="shared" si="135"/>
        <v>#DIV/0!</v>
      </c>
      <c r="AG1915" s="4">
        <v>43024</v>
      </c>
      <c r="AH1915" s="6">
        <v>-0.192693</v>
      </c>
      <c r="AI1915" s="6">
        <v>-1.3504210000000001</v>
      </c>
      <c r="AJ1915" s="6">
        <v>-1.917025</v>
      </c>
      <c r="AK1915" s="6"/>
      <c r="AL1915" s="6"/>
      <c r="AM1915" s="6" t="e">
        <f t="shared" si="137"/>
        <v>#DIV/0!</v>
      </c>
    </row>
    <row r="1916" spans="29:39" x14ac:dyDescent="0.3">
      <c r="AC1916">
        <f t="shared" si="136"/>
        <v>0</v>
      </c>
      <c r="AD1916">
        <v>1913</v>
      </c>
      <c r="AE1916" s="4">
        <f t="shared" si="134"/>
        <v>43025</v>
      </c>
      <c r="AF1916" s="6" t="e">
        <f t="shared" si="135"/>
        <v>#DIV/0!</v>
      </c>
      <c r="AG1916" s="4">
        <v>43025</v>
      </c>
      <c r="AH1916" s="6">
        <v>-9.6439999999999998E-3</v>
      </c>
      <c r="AI1916" s="6">
        <v>-9.4616000000000006E-2</v>
      </c>
      <c r="AJ1916" s="6">
        <v>-0.18566199999999999</v>
      </c>
      <c r="AK1916" s="6"/>
      <c r="AL1916" s="6"/>
      <c r="AM1916" s="6" t="e">
        <f t="shared" si="137"/>
        <v>#DIV/0!</v>
      </c>
    </row>
    <row r="1917" spans="29:39" x14ac:dyDescent="0.3">
      <c r="AC1917">
        <f t="shared" si="136"/>
        <v>0</v>
      </c>
      <c r="AD1917">
        <v>1914</v>
      </c>
      <c r="AE1917" s="4">
        <f t="shared" si="134"/>
        <v>43026</v>
      </c>
      <c r="AF1917" s="6" t="e">
        <f t="shared" si="135"/>
        <v>#DIV/0!</v>
      </c>
      <c r="AG1917" s="4">
        <v>43026</v>
      </c>
      <c r="AH1917" s="6">
        <v>0.79461400000000004</v>
      </c>
      <c r="AI1917" s="6">
        <v>-0.74862099999999998</v>
      </c>
      <c r="AJ1917" s="6">
        <v>-0.95830700000000002</v>
      </c>
      <c r="AK1917" s="6"/>
      <c r="AL1917" s="6"/>
      <c r="AM1917" s="6" t="e">
        <f t="shared" si="137"/>
        <v>#DIV/0!</v>
      </c>
    </row>
    <row r="1918" spans="29:39" x14ac:dyDescent="0.3">
      <c r="AC1918">
        <f t="shared" si="136"/>
        <v>0</v>
      </c>
      <c r="AD1918">
        <v>1915</v>
      </c>
      <c r="AE1918" s="4">
        <f t="shared" si="134"/>
        <v>43027</v>
      </c>
      <c r="AF1918" s="6" t="e">
        <f t="shared" si="135"/>
        <v>#DIV/0!</v>
      </c>
      <c r="AG1918" s="4">
        <v>43027</v>
      </c>
      <c r="AH1918" s="6">
        <v>-0.32739800000000002</v>
      </c>
      <c r="AI1918" s="6">
        <v>-0.945191</v>
      </c>
      <c r="AJ1918" s="6">
        <v>-0.96006800000000003</v>
      </c>
      <c r="AK1918" s="6"/>
      <c r="AL1918" s="6"/>
      <c r="AM1918" s="6" t="e">
        <f t="shared" si="137"/>
        <v>#DIV/0!</v>
      </c>
    </row>
    <row r="1919" spans="29:39" x14ac:dyDescent="0.3">
      <c r="AC1919">
        <f t="shared" si="136"/>
        <v>0</v>
      </c>
      <c r="AD1919">
        <v>1916</v>
      </c>
      <c r="AE1919" s="4">
        <f t="shared" si="134"/>
        <v>43028</v>
      </c>
      <c r="AF1919" s="6" t="e">
        <f t="shared" si="135"/>
        <v>#DIV/0!</v>
      </c>
      <c r="AG1919" s="4">
        <v>43028</v>
      </c>
      <c r="AH1919" s="6">
        <v>-0.11186</v>
      </c>
      <c r="AI1919" s="6">
        <v>1.077062</v>
      </c>
      <c r="AJ1919" s="6">
        <v>1.245711</v>
      </c>
      <c r="AK1919" s="6"/>
      <c r="AL1919" s="6"/>
      <c r="AM1919" s="6" t="e">
        <f t="shared" si="137"/>
        <v>#DIV/0!</v>
      </c>
    </row>
    <row r="1920" spans="29:39" x14ac:dyDescent="0.3">
      <c r="AC1920">
        <f t="shared" si="136"/>
        <v>0</v>
      </c>
      <c r="AD1920">
        <v>1917</v>
      </c>
      <c r="AE1920" s="4">
        <f t="shared" si="134"/>
        <v>43031</v>
      </c>
      <c r="AF1920" s="6" t="e">
        <f t="shared" si="135"/>
        <v>#DIV/0!</v>
      </c>
      <c r="AG1920" s="4">
        <v>43031</v>
      </c>
      <c r="AH1920" s="6">
        <v>0.10049</v>
      </c>
      <c r="AI1920" s="6">
        <v>0.62908299999999995</v>
      </c>
      <c r="AJ1920" s="6">
        <v>0.543238</v>
      </c>
      <c r="AK1920" s="6"/>
      <c r="AL1920" s="6"/>
      <c r="AM1920" s="6" t="e">
        <f t="shared" si="137"/>
        <v>#DIV/0!</v>
      </c>
    </row>
    <row r="1921" spans="29:39" x14ac:dyDescent="0.3">
      <c r="AC1921">
        <f t="shared" si="136"/>
        <v>0</v>
      </c>
      <c r="AD1921">
        <v>1918</v>
      </c>
      <c r="AE1921" s="4">
        <f t="shared" si="134"/>
        <v>43032</v>
      </c>
      <c r="AF1921" s="6" t="e">
        <f t="shared" si="135"/>
        <v>#DIV/0!</v>
      </c>
      <c r="AG1921" s="4">
        <v>43032</v>
      </c>
      <c r="AH1921" s="6">
        <v>0.72751600000000005</v>
      </c>
      <c r="AI1921" s="6">
        <v>-0.14758599999999999</v>
      </c>
      <c r="AJ1921" s="6">
        <v>-0.52111399999999997</v>
      </c>
      <c r="AK1921" s="6"/>
      <c r="AL1921" s="6"/>
      <c r="AM1921" s="6" t="e">
        <f t="shared" si="137"/>
        <v>#DIV/0!</v>
      </c>
    </row>
    <row r="1922" spans="29:39" x14ac:dyDescent="0.3">
      <c r="AC1922">
        <f t="shared" si="136"/>
        <v>0</v>
      </c>
      <c r="AD1922">
        <v>1919</v>
      </c>
      <c r="AE1922" s="4">
        <f t="shared" si="134"/>
        <v>43033</v>
      </c>
      <c r="AF1922" s="6" t="e">
        <f t="shared" si="135"/>
        <v>#DIV/0!</v>
      </c>
      <c r="AG1922" s="4">
        <v>43033</v>
      </c>
      <c r="AH1922" s="6">
        <v>0.44334299999999999</v>
      </c>
      <c r="AI1922" s="6">
        <v>0.679809</v>
      </c>
      <c r="AJ1922" s="6">
        <v>0.60397000000000001</v>
      </c>
      <c r="AK1922" s="6"/>
      <c r="AL1922" s="6"/>
      <c r="AM1922" s="6" t="e">
        <f t="shared" si="137"/>
        <v>#DIV/0!</v>
      </c>
    </row>
    <row r="1923" spans="29:39" x14ac:dyDescent="0.3">
      <c r="AC1923">
        <f t="shared" si="136"/>
        <v>0</v>
      </c>
      <c r="AD1923">
        <v>1920</v>
      </c>
      <c r="AE1923" s="4">
        <f t="shared" si="134"/>
        <v>43034</v>
      </c>
      <c r="AF1923" s="6" t="e">
        <f t="shared" si="135"/>
        <v>#DIV/0!</v>
      </c>
      <c r="AG1923" s="4">
        <v>43034</v>
      </c>
      <c r="AH1923" s="6">
        <v>0.41806399999999999</v>
      </c>
      <c r="AI1923" s="6">
        <v>0.36157</v>
      </c>
      <c r="AJ1923" s="6">
        <v>0.38920500000000002</v>
      </c>
      <c r="AK1923" s="6"/>
      <c r="AL1923" s="6"/>
      <c r="AM1923" s="6" t="e">
        <f t="shared" si="137"/>
        <v>#DIV/0!</v>
      </c>
    </row>
    <row r="1924" spans="29:39" x14ac:dyDescent="0.3">
      <c r="AC1924">
        <f t="shared" si="136"/>
        <v>0</v>
      </c>
      <c r="AD1924">
        <v>1921</v>
      </c>
      <c r="AE1924" s="4">
        <f t="shared" si="134"/>
        <v>43035</v>
      </c>
      <c r="AF1924" s="6" t="e">
        <f t="shared" si="135"/>
        <v>#DIV/0!</v>
      </c>
      <c r="AG1924" s="4">
        <v>43035</v>
      </c>
      <c r="AH1924" s="6">
        <v>0.71095200000000003</v>
      </c>
      <c r="AI1924" s="6">
        <v>-0.61634500000000003</v>
      </c>
      <c r="AJ1924" s="6">
        <v>-0.75852200000000003</v>
      </c>
      <c r="AK1924" s="6"/>
      <c r="AL1924" s="6"/>
      <c r="AM1924" s="6" t="e">
        <f t="shared" si="137"/>
        <v>#DIV/0!</v>
      </c>
    </row>
    <row r="1925" spans="29:39" x14ac:dyDescent="0.3">
      <c r="AC1925">
        <f t="shared" si="136"/>
        <v>0</v>
      </c>
      <c r="AD1925">
        <v>1922</v>
      </c>
      <c r="AE1925" s="4">
        <f t="shared" ref="AE1925:AE1988" si="138">AG1925</f>
        <v>43038</v>
      </c>
      <c r="AF1925" s="6" t="e">
        <f t="shared" ref="AF1925:AF1988" si="139">AM1925</f>
        <v>#DIV/0!</v>
      </c>
      <c r="AG1925" s="4">
        <v>43038</v>
      </c>
      <c r="AH1925" s="6">
        <v>-0.30447299999999999</v>
      </c>
      <c r="AI1925" s="6">
        <v>-1.795334</v>
      </c>
      <c r="AJ1925" s="6">
        <v>-2.5230359999999998</v>
      </c>
      <c r="AK1925" s="6"/>
      <c r="AL1925" s="6"/>
      <c r="AM1925" s="6" t="e">
        <f t="shared" si="137"/>
        <v>#DIV/0!</v>
      </c>
    </row>
    <row r="1926" spans="29:39" x14ac:dyDescent="0.3">
      <c r="AC1926">
        <f t="shared" ref="AC1926:AC1989" si="140">IF(AE1926&lt;=AE1925,1,0)</f>
        <v>0</v>
      </c>
      <c r="AD1926">
        <v>1923</v>
      </c>
      <c r="AE1926" s="4">
        <f t="shared" si="138"/>
        <v>43039</v>
      </c>
      <c r="AF1926" s="6" t="e">
        <f t="shared" si="139"/>
        <v>#DIV/0!</v>
      </c>
      <c r="AG1926" s="4">
        <v>43039</v>
      </c>
      <c r="AH1926" s="6">
        <v>-7.4914999999999995E-2</v>
      </c>
      <c r="AI1926" s="6">
        <v>0.74394300000000002</v>
      </c>
      <c r="AJ1926" s="6">
        <v>0.75090699999999999</v>
      </c>
      <c r="AK1926" s="6"/>
      <c r="AL1926" s="6"/>
      <c r="AM1926" s="6" t="e">
        <f t="shared" ref="AM1926:AM1989" si="141">(AL1926/AL1925-1)*100</f>
        <v>#DIV/0!</v>
      </c>
    </row>
    <row r="1927" spans="29:39" x14ac:dyDescent="0.3">
      <c r="AC1927">
        <f t="shared" si="140"/>
        <v>0</v>
      </c>
      <c r="AD1927">
        <v>1924</v>
      </c>
      <c r="AE1927" s="4">
        <f t="shared" si="138"/>
        <v>43040</v>
      </c>
      <c r="AF1927" s="6" t="e">
        <f t="shared" si="139"/>
        <v>#DIV/0!</v>
      </c>
      <c r="AG1927" s="4">
        <v>43040</v>
      </c>
      <c r="AH1927" s="6">
        <v>-0.25197199999999997</v>
      </c>
      <c r="AI1927" s="6">
        <v>-0.110529</v>
      </c>
      <c r="AJ1927" s="6">
        <v>5.1125999999999998E-2</v>
      </c>
      <c r="AK1927" s="6"/>
      <c r="AL1927" s="6"/>
      <c r="AM1927" s="6" t="e">
        <f t="shared" si="141"/>
        <v>#DIV/0!</v>
      </c>
    </row>
    <row r="1928" spans="29:39" x14ac:dyDescent="0.3">
      <c r="AC1928">
        <f t="shared" si="140"/>
        <v>0</v>
      </c>
      <c r="AD1928">
        <v>1925</v>
      </c>
      <c r="AE1928" s="4">
        <f t="shared" si="138"/>
        <v>43041</v>
      </c>
      <c r="AF1928" s="6" t="e">
        <f t="shared" si="139"/>
        <v>#DIV/0!</v>
      </c>
      <c r="AG1928" s="4">
        <v>43041</v>
      </c>
      <c r="AH1928" s="6">
        <v>1.2815999999999999E-2</v>
      </c>
      <c r="AI1928" s="6">
        <v>-1.038138</v>
      </c>
      <c r="AJ1928" s="6">
        <v>-1.219058</v>
      </c>
      <c r="AK1928" s="6"/>
      <c r="AL1928" s="6"/>
      <c r="AM1928" s="6" t="e">
        <f t="shared" si="141"/>
        <v>#DIV/0!</v>
      </c>
    </row>
    <row r="1929" spans="29:39" x14ac:dyDescent="0.3">
      <c r="AC1929">
        <f t="shared" si="140"/>
        <v>0</v>
      </c>
      <c r="AD1929">
        <v>1926</v>
      </c>
      <c r="AE1929" s="4">
        <f t="shared" si="138"/>
        <v>43042</v>
      </c>
      <c r="AF1929" s="6" t="e">
        <f t="shared" si="139"/>
        <v>#DIV/0!</v>
      </c>
      <c r="AG1929" s="4">
        <v>43042</v>
      </c>
      <c r="AH1929" s="6">
        <v>-0.11099000000000001</v>
      </c>
      <c r="AI1929" s="6">
        <v>-0.89354800000000001</v>
      </c>
      <c r="AJ1929" s="6">
        <v>-0.86675500000000005</v>
      </c>
      <c r="AK1929" s="6"/>
      <c r="AL1929" s="6"/>
      <c r="AM1929" s="6" t="e">
        <f t="shared" si="141"/>
        <v>#DIV/0!</v>
      </c>
    </row>
    <row r="1930" spans="29:39" x14ac:dyDescent="0.3">
      <c r="AC1930">
        <f t="shared" si="140"/>
        <v>0</v>
      </c>
      <c r="AD1930">
        <v>1927</v>
      </c>
      <c r="AE1930" s="4">
        <f t="shared" si="138"/>
        <v>43045</v>
      </c>
      <c r="AF1930" s="6" t="e">
        <f t="shared" si="139"/>
        <v>#DIV/0!</v>
      </c>
      <c r="AG1930" s="4">
        <v>43045</v>
      </c>
      <c r="AH1930" s="6">
        <v>0.70608099999999996</v>
      </c>
      <c r="AI1930" s="6">
        <v>1.308794</v>
      </c>
      <c r="AJ1930" s="6">
        <v>0.99468100000000004</v>
      </c>
      <c r="AK1930" s="6"/>
      <c r="AL1930" s="6"/>
      <c r="AM1930" s="6" t="e">
        <f t="shared" si="141"/>
        <v>#DIV/0!</v>
      </c>
    </row>
    <row r="1931" spans="29:39" x14ac:dyDescent="0.3">
      <c r="AC1931">
        <f t="shared" si="140"/>
        <v>0</v>
      </c>
      <c r="AD1931">
        <v>1928</v>
      </c>
      <c r="AE1931" s="4">
        <f t="shared" si="138"/>
        <v>43046</v>
      </c>
      <c r="AF1931" s="6" t="e">
        <f t="shared" si="139"/>
        <v>#DIV/0!</v>
      </c>
      <c r="AG1931" s="4">
        <v>43046</v>
      </c>
      <c r="AH1931" s="6">
        <v>0.82959000000000005</v>
      </c>
      <c r="AI1931" s="6">
        <v>0.62724500000000005</v>
      </c>
      <c r="AJ1931" s="6">
        <v>0.59346699999999997</v>
      </c>
      <c r="AK1931" s="6"/>
      <c r="AL1931" s="6"/>
      <c r="AM1931" s="6" t="e">
        <f t="shared" si="141"/>
        <v>#DIV/0!</v>
      </c>
    </row>
    <row r="1932" spans="29:39" x14ac:dyDescent="0.3">
      <c r="AC1932">
        <f t="shared" si="140"/>
        <v>0</v>
      </c>
      <c r="AD1932">
        <v>1929</v>
      </c>
      <c r="AE1932" s="4">
        <f t="shared" si="138"/>
        <v>43047</v>
      </c>
      <c r="AF1932" s="6" t="e">
        <f t="shared" si="139"/>
        <v>#DIV/0!</v>
      </c>
      <c r="AG1932" s="4">
        <v>43047</v>
      </c>
      <c r="AH1932" s="6">
        <v>-0.15393200000000001</v>
      </c>
      <c r="AI1932" s="6">
        <v>0.148863</v>
      </c>
      <c r="AJ1932" s="6">
        <v>0.28115099999999998</v>
      </c>
      <c r="AK1932" s="6"/>
      <c r="AL1932" s="6"/>
      <c r="AM1932" s="6" t="e">
        <f t="shared" si="141"/>
        <v>#DIV/0!</v>
      </c>
    </row>
    <row r="1933" spans="29:39" x14ac:dyDescent="0.3">
      <c r="AC1933">
        <f t="shared" si="140"/>
        <v>0</v>
      </c>
      <c r="AD1933">
        <v>1930</v>
      </c>
      <c r="AE1933" s="4">
        <f t="shared" si="138"/>
        <v>43048</v>
      </c>
      <c r="AF1933" s="6" t="e">
        <f t="shared" si="139"/>
        <v>#DIV/0!</v>
      </c>
      <c r="AG1933" s="4">
        <v>43048</v>
      </c>
      <c r="AH1933" s="6">
        <v>0.689083</v>
      </c>
      <c r="AI1933" s="6">
        <v>0.75684799999999997</v>
      </c>
      <c r="AJ1933" s="6">
        <v>0.51385999999999998</v>
      </c>
      <c r="AK1933" s="6"/>
      <c r="AL1933" s="6"/>
      <c r="AM1933" s="6" t="e">
        <f t="shared" si="141"/>
        <v>#DIV/0!</v>
      </c>
    </row>
    <row r="1934" spans="29:39" x14ac:dyDescent="0.3">
      <c r="AC1934">
        <f t="shared" si="140"/>
        <v>0</v>
      </c>
      <c r="AD1934">
        <v>1931</v>
      </c>
      <c r="AE1934" s="4">
        <f t="shared" si="138"/>
        <v>43049</v>
      </c>
      <c r="AF1934" s="6" t="e">
        <f t="shared" si="139"/>
        <v>#DIV/0!</v>
      </c>
      <c r="AG1934" s="4">
        <v>43049</v>
      </c>
      <c r="AH1934" s="6">
        <v>0.88351999999999997</v>
      </c>
      <c r="AI1934" s="6">
        <v>0.45171899999999998</v>
      </c>
      <c r="AJ1934" s="6">
        <v>0.17374400000000001</v>
      </c>
      <c r="AK1934" s="6"/>
      <c r="AL1934" s="6"/>
      <c r="AM1934" s="6" t="e">
        <f t="shared" si="141"/>
        <v>#DIV/0!</v>
      </c>
    </row>
    <row r="1935" spans="29:39" x14ac:dyDescent="0.3">
      <c r="AC1935">
        <f t="shared" si="140"/>
        <v>0</v>
      </c>
      <c r="AD1935">
        <v>1932</v>
      </c>
      <c r="AE1935" s="4">
        <f t="shared" si="138"/>
        <v>43052</v>
      </c>
      <c r="AF1935" s="6" t="e">
        <f t="shared" si="139"/>
        <v>#DIV/0!</v>
      </c>
      <c r="AG1935" s="4">
        <v>43052</v>
      </c>
      <c r="AH1935" s="6">
        <v>0.39305600000000002</v>
      </c>
      <c r="AI1935" s="6">
        <v>0.45155899999999999</v>
      </c>
      <c r="AJ1935" s="6">
        <v>0.15207200000000001</v>
      </c>
      <c r="AK1935" s="6"/>
      <c r="AL1935" s="6"/>
      <c r="AM1935" s="6" t="e">
        <f t="shared" si="141"/>
        <v>#DIV/0!</v>
      </c>
    </row>
    <row r="1936" spans="29:39" x14ac:dyDescent="0.3">
      <c r="AC1936">
        <f t="shared" si="140"/>
        <v>0</v>
      </c>
      <c r="AD1936">
        <v>1933</v>
      </c>
      <c r="AE1936" s="4">
        <f t="shared" si="138"/>
        <v>43053</v>
      </c>
      <c r="AF1936" s="6" t="e">
        <f t="shared" si="139"/>
        <v>#DIV/0!</v>
      </c>
      <c r="AG1936" s="4">
        <v>43053</v>
      </c>
      <c r="AH1936" s="6">
        <v>-0.69577999999999995</v>
      </c>
      <c r="AI1936" s="6">
        <v>-0.84979800000000005</v>
      </c>
      <c r="AJ1936" s="6">
        <v>-0.704816</v>
      </c>
      <c r="AK1936" s="6"/>
      <c r="AL1936" s="6"/>
      <c r="AM1936" s="6" t="e">
        <f t="shared" si="141"/>
        <v>#DIV/0!</v>
      </c>
    </row>
    <row r="1937" spans="29:39" x14ac:dyDescent="0.3">
      <c r="AC1937">
        <f t="shared" si="140"/>
        <v>0</v>
      </c>
      <c r="AD1937">
        <v>1934</v>
      </c>
      <c r="AE1937" s="4">
        <f t="shared" si="138"/>
        <v>43054</v>
      </c>
      <c r="AF1937" s="6" t="e">
        <f t="shared" si="139"/>
        <v>#DIV/0!</v>
      </c>
      <c r="AG1937" s="4">
        <v>43054</v>
      </c>
      <c r="AH1937" s="6">
        <v>-0.626475</v>
      </c>
      <c r="AI1937" s="6">
        <v>-1.1619489999999999</v>
      </c>
      <c r="AJ1937" s="6">
        <v>-0.93179199999999995</v>
      </c>
      <c r="AK1937" s="6"/>
      <c r="AL1937" s="6"/>
      <c r="AM1937" s="6" t="e">
        <f t="shared" si="141"/>
        <v>#DIV/0!</v>
      </c>
    </row>
    <row r="1938" spans="29:39" x14ac:dyDescent="0.3">
      <c r="AC1938">
        <f t="shared" si="140"/>
        <v>0</v>
      </c>
      <c r="AD1938">
        <v>1935</v>
      </c>
      <c r="AE1938" s="4">
        <f t="shared" si="138"/>
        <v>43055</v>
      </c>
      <c r="AF1938" s="6" t="e">
        <f t="shared" si="139"/>
        <v>#DIV/0!</v>
      </c>
      <c r="AG1938" s="4">
        <v>43055</v>
      </c>
      <c r="AH1938" s="6">
        <v>0.76939500000000005</v>
      </c>
      <c r="AI1938" s="6">
        <v>0.31589600000000001</v>
      </c>
      <c r="AJ1938" s="6">
        <v>-0.27568199999999998</v>
      </c>
      <c r="AK1938" s="6"/>
      <c r="AL1938" s="6"/>
      <c r="AM1938" s="6" t="e">
        <f t="shared" si="141"/>
        <v>#DIV/0!</v>
      </c>
    </row>
    <row r="1939" spans="29:39" x14ac:dyDescent="0.3">
      <c r="AC1939">
        <f t="shared" si="140"/>
        <v>0</v>
      </c>
      <c r="AD1939">
        <v>1936</v>
      </c>
      <c r="AE1939" s="4">
        <f t="shared" si="138"/>
        <v>43056</v>
      </c>
      <c r="AF1939" s="6" t="e">
        <f t="shared" si="139"/>
        <v>#DIV/0!</v>
      </c>
      <c r="AG1939" s="4">
        <v>43056</v>
      </c>
      <c r="AH1939" s="6">
        <v>0.38583600000000001</v>
      </c>
      <c r="AI1939" s="6">
        <v>-2.9941710000000001</v>
      </c>
      <c r="AJ1939" s="6">
        <v>-3.4892210000000001</v>
      </c>
      <c r="AK1939" s="6"/>
      <c r="AL1939" s="6"/>
      <c r="AM1939" s="6" t="e">
        <f t="shared" si="141"/>
        <v>#DIV/0!</v>
      </c>
    </row>
    <row r="1940" spans="29:39" x14ac:dyDescent="0.3">
      <c r="AC1940">
        <f t="shared" si="140"/>
        <v>0</v>
      </c>
      <c r="AD1940">
        <v>1937</v>
      </c>
      <c r="AE1940" s="4">
        <f t="shared" si="138"/>
        <v>43059</v>
      </c>
      <c r="AF1940" s="6" t="e">
        <f t="shared" si="139"/>
        <v>#DIV/0!</v>
      </c>
      <c r="AG1940" s="4">
        <v>43059</v>
      </c>
      <c r="AH1940" s="6">
        <v>0.55771499999999996</v>
      </c>
      <c r="AI1940" s="6">
        <v>1.1196060000000001</v>
      </c>
      <c r="AJ1940" s="6">
        <v>0.27225300000000002</v>
      </c>
      <c r="AK1940" s="6"/>
      <c r="AL1940" s="6"/>
      <c r="AM1940" s="6" t="e">
        <f t="shared" si="141"/>
        <v>#DIV/0!</v>
      </c>
    </row>
    <row r="1941" spans="29:39" x14ac:dyDescent="0.3">
      <c r="AC1941">
        <f t="shared" si="140"/>
        <v>0</v>
      </c>
      <c r="AD1941">
        <v>1938</v>
      </c>
      <c r="AE1941" s="4">
        <f t="shared" si="138"/>
        <v>43060</v>
      </c>
      <c r="AF1941" s="6" t="e">
        <f t="shared" si="139"/>
        <v>#DIV/0!</v>
      </c>
      <c r="AG1941" s="4">
        <v>43060</v>
      </c>
      <c r="AH1941" s="6">
        <v>1.7826029999999999</v>
      </c>
      <c r="AI1941" s="6">
        <v>0.360348</v>
      </c>
      <c r="AJ1941" s="6">
        <v>-4.3182999999999999E-2</v>
      </c>
      <c r="AK1941" s="6"/>
      <c r="AL1941" s="6"/>
      <c r="AM1941" s="6" t="e">
        <f t="shared" si="141"/>
        <v>#DIV/0!</v>
      </c>
    </row>
    <row r="1942" spans="29:39" x14ac:dyDescent="0.3">
      <c r="AC1942">
        <f t="shared" si="140"/>
        <v>0</v>
      </c>
      <c r="AD1942">
        <v>1939</v>
      </c>
      <c r="AE1942" s="4">
        <f t="shared" si="138"/>
        <v>43061</v>
      </c>
      <c r="AF1942" s="6" t="e">
        <f t="shared" si="139"/>
        <v>#DIV/0!</v>
      </c>
      <c r="AG1942" s="4">
        <v>43061</v>
      </c>
      <c r="AH1942" s="6">
        <v>0.23389799999999999</v>
      </c>
      <c r="AI1942" s="6">
        <v>-0.26191399999999998</v>
      </c>
      <c r="AJ1942" s="6">
        <v>0.110905</v>
      </c>
      <c r="AK1942" s="6"/>
      <c r="AL1942" s="6"/>
      <c r="AM1942" s="6" t="e">
        <f t="shared" si="141"/>
        <v>#DIV/0!</v>
      </c>
    </row>
    <row r="1943" spans="29:39" x14ac:dyDescent="0.3">
      <c r="AC1943">
        <f t="shared" si="140"/>
        <v>0</v>
      </c>
      <c r="AD1943">
        <v>1940</v>
      </c>
      <c r="AE1943" s="4">
        <f t="shared" si="138"/>
        <v>43062</v>
      </c>
      <c r="AF1943" s="6" t="e">
        <f t="shared" si="139"/>
        <v>#DIV/0!</v>
      </c>
      <c r="AG1943" s="4">
        <v>43062</v>
      </c>
      <c r="AH1943" s="6">
        <v>-2.9608050000000001</v>
      </c>
      <c r="AI1943" s="6">
        <v>-2.5612509999999999</v>
      </c>
      <c r="AJ1943" s="6">
        <v>-2.3068019999999998</v>
      </c>
      <c r="AK1943" s="6"/>
      <c r="AL1943" s="6"/>
      <c r="AM1943" s="6" t="e">
        <f t="shared" si="141"/>
        <v>#DIV/0!</v>
      </c>
    </row>
    <row r="1944" spans="29:39" x14ac:dyDescent="0.3">
      <c r="AC1944">
        <f t="shared" si="140"/>
        <v>0</v>
      </c>
      <c r="AD1944">
        <v>1941</v>
      </c>
      <c r="AE1944" s="4">
        <f t="shared" si="138"/>
        <v>43063</v>
      </c>
      <c r="AF1944" s="6" t="e">
        <f t="shared" si="139"/>
        <v>#DIV/0!</v>
      </c>
      <c r="AG1944" s="4">
        <v>43063</v>
      </c>
      <c r="AH1944" s="6">
        <v>4.4042999999999999E-2</v>
      </c>
      <c r="AI1944" s="6">
        <v>5.6054E-2</v>
      </c>
      <c r="AJ1944" s="6">
        <v>0.147254</v>
      </c>
      <c r="AK1944" s="6"/>
      <c r="AL1944" s="6"/>
      <c r="AM1944" s="6" t="e">
        <f t="shared" si="141"/>
        <v>#DIV/0!</v>
      </c>
    </row>
    <row r="1945" spans="29:39" x14ac:dyDescent="0.3">
      <c r="AC1945">
        <f t="shared" si="140"/>
        <v>0</v>
      </c>
      <c r="AD1945">
        <v>1942</v>
      </c>
      <c r="AE1945" s="4">
        <f t="shared" si="138"/>
        <v>43066</v>
      </c>
      <c r="AF1945" s="6" t="e">
        <f t="shared" si="139"/>
        <v>#DIV/0!</v>
      </c>
      <c r="AG1945" s="4">
        <v>43066</v>
      </c>
      <c r="AH1945" s="6">
        <v>-1.3219590000000001</v>
      </c>
      <c r="AI1945" s="6">
        <v>-1.329661</v>
      </c>
      <c r="AJ1945" s="6">
        <v>-1.032451</v>
      </c>
      <c r="AK1945" s="6"/>
      <c r="AL1945" s="6"/>
      <c r="AM1945" s="6" t="e">
        <f t="shared" si="141"/>
        <v>#DIV/0!</v>
      </c>
    </row>
    <row r="1946" spans="29:39" x14ac:dyDescent="0.3">
      <c r="AC1946">
        <f t="shared" si="140"/>
        <v>0</v>
      </c>
      <c r="AD1946">
        <v>1943</v>
      </c>
      <c r="AE1946" s="4">
        <f t="shared" si="138"/>
        <v>43067</v>
      </c>
      <c r="AF1946" s="6" t="e">
        <f t="shared" si="139"/>
        <v>#DIV/0!</v>
      </c>
      <c r="AG1946" s="4">
        <v>43067</v>
      </c>
      <c r="AH1946" s="6">
        <v>0.14508799999999999</v>
      </c>
      <c r="AI1946" s="6">
        <v>1.691163</v>
      </c>
      <c r="AJ1946" s="6">
        <v>1.5720719999999999</v>
      </c>
      <c r="AK1946" s="6"/>
      <c r="AL1946" s="6"/>
      <c r="AM1946" s="6" t="e">
        <f t="shared" si="141"/>
        <v>#DIV/0!</v>
      </c>
    </row>
    <row r="1947" spans="29:39" x14ac:dyDescent="0.3">
      <c r="AC1947">
        <f t="shared" si="140"/>
        <v>0</v>
      </c>
      <c r="AD1947">
        <v>1944</v>
      </c>
      <c r="AE1947" s="4">
        <f t="shared" si="138"/>
        <v>43068</v>
      </c>
      <c r="AF1947" s="6" t="e">
        <f t="shared" si="139"/>
        <v>#DIV/0!</v>
      </c>
      <c r="AG1947" s="4">
        <v>43068</v>
      </c>
      <c r="AH1947" s="6">
        <v>-5.1053000000000001E-2</v>
      </c>
      <c r="AI1947" s="6">
        <v>0.302512</v>
      </c>
      <c r="AJ1947" s="6">
        <v>0.225717</v>
      </c>
      <c r="AK1947" s="6"/>
      <c r="AL1947" s="6"/>
      <c r="AM1947" s="6" t="e">
        <f t="shared" si="141"/>
        <v>#DIV/0!</v>
      </c>
    </row>
    <row r="1948" spans="29:39" x14ac:dyDescent="0.3">
      <c r="AC1948">
        <f t="shared" si="140"/>
        <v>0</v>
      </c>
      <c r="AD1948">
        <v>1945</v>
      </c>
      <c r="AE1948" s="4">
        <f t="shared" si="138"/>
        <v>43069</v>
      </c>
      <c r="AF1948" s="6" t="e">
        <f t="shared" si="139"/>
        <v>#DIV/0!</v>
      </c>
      <c r="AG1948" s="4">
        <v>43069</v>
      </c>
      <c r="AH1948" s="6">
        <v>-1.175543</v>
      </c>
      <c r="AI1948" s="6">
        <v>-0.869645</v>
      </c>
      <c r="AJ1948" s="6">
        <v>-0.54979199999999995</v>
      </c>
      <c r="AK1948" s="6"/>
      <c r="AL1948" s="6"/>
      <c r="AM1948" s="6" t="e">
        <f t="shared" si="141"/>
        <v>#DIV/0!</v>
      </c>
    </row>
    <row r="1949" spans="29:39" x14ac:dyDescent="0.3">
      <c r="AC1949">
        <f t="shared" si="140"/>
        <v>0</v>
      </c>
      <c r="AD1949">
        <v>1946</v>
      </c>
      <c r="AE1949" s="4">
        <f t="shared" si="138"/>
        <v>43070</v>
      </c>
      <c r="AF1949" s="6" t="e">
        <f t="shared" si="139"/>
        <v>#DIV/0!</v>
      </c>
      <c r="AG1949" s="4">
        <v>43070</v>
      </c>
      <c r="AH1949" s="6">
        <v>-0.198767</v>
      </c>
      <c r="AI1949" s="6">
        <v>0.84596300000000002</v>
      </c>
      <c r="AJ1949" s="6">
        <v>0.86953800000000003</v>
      </c>
      <c r="AK1949" s="6"/>
      <c r="AL1949" s="6"/>
      <c r="AM1949" s="6" t="e">
        <f t="shared" si="141"/>
        <v>#DIV/0!</v>
      </c>
    </row>
    <row r="1950" spans="29:39" x14ac:dyDescent="0.3">
      <c r="AC1950">
        <f t="shared" si="140"/>
        <v>0</v>
      </c>
      <c r="AD1950">
        <v>1947</v>
      </c>
      <c r="AE1950" s="4">
        <f t="shared" si="138"/>
        <v>43073</v>
      </c>
      <c r="AF1950" s="6" t="e">
        <f t="shared" si="139"/>
        <v>#DIV/0!</v>
      </c>
      <c r="AG1950" s="4">
        <v>43073</v>
      </c>
      <c r="AH1950" s="6">
        <v>0.51825600000000005</v>
      </c>
      <c r="AI1950" s="6">
        <v>-0.58239799999999997</v>
      </c>
      <c r="AJ1950" s="6">
        <v>-1.0536179999999999</v>
      </c>
      <c r="AK1950" s="6"/>
      <c r="AL1950" s="6"/>
      <c r="AM1950" s="6" t="e">
        <f t="shared" si="141"/>
        <v>#DIV/0!</v>
      </c>
    </row>
    <row r="1951" spans="29:39" x14ac:dyDescent="0.3">
      <c r="AC1951">
        <f t="shared" si="140"/>
        <v>0</v>
      </c>
      <c r="AD1951">
        <v>1948</v>
      </c>
      <c r="AE1951" s="4">
        <f t="shared" si="138"/>
        <v>43074</v>
      </c>
      <c r="AF1951" s="6" t="e">
        <f t="shared" si="139"/>
        <v>#DIV/0!</v>
      </c>
      <c r="AG1951" s="4">
        <v>43074</v>
      </c>
      <c r="AH1951" s="6">
        <v>0.53033200000000003</v>
      </c>
      <c r="AI1951" s="6">
        <v>-2.336265</v>
      </c>
      <c r="AJ1951" s="6">
        <v>-2.705867</v>
      </c>
      <c r="AK1951" s="6"/>
      <c r="AL1951" s="6"/>
      <c r="AM1951" s="6" t="e">
        <f t="shared" si="141"/>
        <v>#DIV/0!</v>
      </c>
    </row>
    <row r="1952" spans="29:39" x14ac:dyDescent="0.3">
      <c r="AC1952">
        <f t="shared" si="140"/>
        <v>0</v>
      </c>
      <c r="AD1952">
        <v>1949</v>
      </c>
      <c r="AE1952" s="4">
        <f t="shared" si="138"/>
        <v>43075</v>
      </c>
      <c r="AF1952" s="6" t="e">
        <f t="shared" si="139"/>
        <v>#DIV/0!</v>
      </c>
      <c r="AG1952" s="4">
        <v>43075</v>
      </c>
      <c r="AH1952" s="6">
        <v>-0.60267999999999999</v>
      </c>
      <c r="AI1952" s="6">
        <v>0.65044299999999999</v>
      </c>
      <c r="AJ1952" s="6">
        <v>1.010683</v>
      </c>
      <c r="AK1952" s="6"/>
      <c r="AL1952" s="6"/>
      <c r="AM1952" s="6" t="e">
        <f t="shared" si="141"/>
        <v>#DIV/0!</v>
      </c>
    </row>
    <row r="1953" spans="29:39" x14ac:dyDescent="0.3">
      <c r="AC1953">
        <f t="shared" si="140"/>
        <v>0</v>
      </c>
      <c r="AD1953">
        <v>1950</v>
      </c>
      <c r="AE1953" s="4">
        <f t="shared" si="138"/>
        <v>43076</v>
      </c>
      <c r="AF1953" s="6" t="e">
        <f t="shared" si="139"/>
        <v>#DIV/0!</v>
      </c>
      <c r="AG1953" s="4">
        <v>43076</v>
      </c>
      <c r="AH1953" s="6">
        <v>-1.1146959999999999</v>
      </c>
      <c r="AI1953" s="6">
        <v>-0.60479700000000003</v>
      </c>
      <c r="AJ1953" s="6">
        <v>-5.7819000000000002E-2</v>
      </c>
      <c r="AK1953" s="6"/>
      <c r="AL1953" s="6"/>
      <c r="AM1953" s="6" t="e">
        <f t="shared" si="141"/>
        <v>#DIV/0!</v>
      </c>
    </row>
    <row r="1954" spans="29:39" x14ac:dyDescent="0.3">
      <c r="AC1954">
        <f t="shared" si="140"/>
        <v>0</v>
      </c>
      <c r="AD1954">
        <v>1951</v>
      </c>
      <c r="AE1954" s="4">
        <f t="shared" si="138"/>
        <v>43077</v>
      </c>
      <c r="AF1954" s="6" t="e">
        <f t="shared" si="139"/>
        <v>#DIV/0!</v>
      </c>
      <c r="AG1954" s="4">
        <v>43077</v>
      </c>
      <c r="AH1954" s="6">
        <v>0.81394699999999998</v>
      </c>
      <c r="AI1954" s="6">
        <v>1.102981</v>
      </c>
      <c r="AJ1954" s="6">
        <v>0.93106999999999995</v>
      </c>
      <c r="AK1954" s="6"/>
      <c r="AL1954" s="6"/>
      <c r="AM1954" s="6" t="e">
        <f t="shared" si="141"/>
        <v>#DIV/0!</v>
      </c>
    </row>
    <row r="1955" spans="29:39" x14ac:dyDescent="0.3">
      <c r="AC1955">
        <f t="shared" si="140"/>
        <v>0</v>
      </c>
      <c r="AD1955">
        <v>1952</v>
      </c>
      <c r="AE1955" s="4">
        <f t="shared" si="138"/>
        <v>43080</v>
      </c>
      <c r="AF1955" s="6" t="e">
        <f t="shared" si="139"/>
        <v>#DIV/0!</v>
      </c>
      <c r="AG1955" s="4">
        <v>43080</v>
      </c>
      <c r="AH1955" s="6">
        <v>1.6516169999999999</v>
      </c>
      <c r="AI1955" s="6">
        <v>1.3383910000000001</v>
      </c>
      <c r="AJ1955" s="6">
        <v>1.1645209999999999</v>
      </c>
      <c r="AK1955" s="6"/>
      <c r="AL1955" s="6"/>
      <c r="AM1955" s="6" t="e">
        <f t="shared" si="141"/>
        <v>#DIV/0!</v>
      </c>
    </row>
    <row r="1956" spans="29:39" x14ac:dyDescent="0.3">
      <c r="AC1956">
        <f t="shared" si="140"/>
        <v>0</v>
      </c>
      <c r="AD1956">
        <v>1953</v>
      </c>
      <c r="AE1956" s="4">
        <f t="shared" si="138"/>
        <v>43081</v>
      </c>
      <c r="AF1956" s="6" t="e">
        <f t="shared" si="139"/>
        <v>#DIV/0!</v>
      </c>
      <c r="AG1956" s="4">
        <v>43081</v>
      </c>
      <c r="AH1956" s="6">
        <v>-1.3142499999999999</v>
      </c>
      <c r="AI1956" s="6">
        <v>-0.842391</v>
      </c>
      <c r="AJ1956" s="6">
        <v>-0.90540399999999999</v>
      </c>
      <c r="AK1956" s="6"/>
      <c r="AL1956" s="6"/>
      <c r="AM1956" s="6" t="e">
        <f t="shared" si="141"/>
        <v>#DIV/0!</v>
      </c>
    </row>
    <row r="1957" spans="29:39" x14ac:dyDescent="0.3">
      <c r="AC1957">
        <f t="shared" si="140"/>
        <v>0</v>
      </c>
      <c r="AD1957">
        <v>1954</v>
      </c>
      <c r="AE1957" s="4">
        <f t="shared" si="138"/>
        <v>43082</v>
      </c>
      <c r="AF1957" s="6" t="e">
        <f t="shared" si="139"/>
        <v>#DIV/0!</v>
      </c>
      <c r="AG1957" s="4">
        <v>43082</v>
      </c>
      <c r="AH1957" s="6">
        <v>0.84851200000000004</v>
      </c>
      <c r="AI1957" s="6">
        <v>0.70957800000000004</v>
      </c>
      <c r="AJ1957" s="6">
        <v>0.62184899999999999</v>
      </c>
      <c r="AK1957" s="6"/>
      <c r="AL1957" s="6"/>
      <c r="AM1957" s="6" t="e">
        <f t="shared" si="141"/>
        <v>#DIV/0!</v>
      </c>
    </row>
    <row r="1958" spans="29:39" x14ac:dyDescent="0.3">
      <c r="AC1958">
        <f t="shared" si="140"/>
        <v>0</v>
      </c>
      <c r="AD1958">
        <v>1955</v>
      </c>
      <c r="AE1958" s="4">
        <f t="shared" si="138"/>
        <v>43083</v>
      </c>
      <c r="AF1958" s="6" t="e">
        <f t="shared" si="139"/>
        <v>#DIV/0!</v>
      </c>
      <c r="AG1958" s="4">
        <v>43083</v>
      </c>
      <c r="AH1958" s="6">
        <v>-0.59112500000000001</v>
      </c>
      <c r="AI1958" s="6">
        <v>0.105771</v>
      </c>
      <c r="AJ1958" s="6">
        <v>9.4272999999999996E-2</v>
      </c>
      <c r="AK1958" s="6"/>
      <c r="AL1958" s="6"/>
      <c r="AM1958" s="6" t="e">
        <f t="shared" si="141"/>
        <v>#DIV/0!</v>
      </c>
    </row>
    <row r="1959" spans="29:39" x14ac:dyDescent="0.3">
      <c r="AC1959">
        <f t="shared" si="140"/>
        <v>0</v>
      </c>
      <c r="AD1959">
        <v>1956</v>
      </c>
      <c r="AE1959" s="4">
        <f t="shared" si="138"/>
        <v>43084</v>
      </c>
      <c r="AF1959" s="6" t="e">
        <f t="shared" si="139"/>
        <v>#DIV/0!</v>
      </c>
      <c r="AG1959" s="4">
        <v>43084</v>
      </c>
      <c r="AH1959" s="6">
        <v>-1.12504</v>
      </c>
      <c r="AI1959" s="6">
        <v>-0.768926</v>
      </c>
      <c r="AJ1959" s="6">
        <v>-0.33165299999999998</v>
      </c>
      <c r="AK1959" s="6"/>
      <c r="AL1959" s="6"/>
      <c r="AM1959" s="6" t="e">
        <f t="shared" si="141"/>
        <v>#DIV/0!</v>
      </c>
    </row>
    <row r="1960" spans="29:39" x14ac:dyDescent="0.3">
      <c r="AC1960">
        <f t="shared" si="140"/>
        <v>0</v>
      </c>
      <c r="AD1960">
        <v>1957</v>
      </c>
      <c r="AE1960" s="4">
        <f t="shared" si="138"/>
        <v>43087</v>
      </c>
      <c r="AF1960" s="6" t="e">
        <f t="shared" si="139"/>
        <v>#DIV/0!</v>
      </c>
      <c r="AG1960" s="4">
        <v>43087</v>
      </c>
      <c r="AH1960" s="6">
        <v>0.11142299999999999</v>
      </c>
      <c r="AI1960" s="6">
        <v>-0.57365699999999997</v>
      </c>
      <c r="AJ1960" s="6">
        <v>-0.65820800000000002</v>
      </c>
      <c r="AK1960" s="6"/>
      <c r="AL1960" s="6"/>
      <c r="AM1960" s="6" t="e">
        <f t="shared" si="141"/>
        <v>#DIV/0!</v>
      </c>
    </row>
    <row r="1961" spans="29:39" x14ac:dyDescent="0.3">
      <c r="AC1961">
        <f t="shared" si="140"/>
        <v>0</v>
      </c>
      <c r="AD1961">
        <v>1958</v>
      </c>
      <c r="AE1961" s="4">
        <f t="shared" si="138"/>
        <v>43088</v>
      </c>
      <c r="AF1961" s="6" t="e">
        <f t="shared" si="139"/>
        <v>#DIV/0!</v>
      </c>
      <c r="AG1961" s="4">
        <v>43088</v>
      </c>
      <c r="AH1961" s="6">
        <v>1.2555670000000001</v>
      </c>
      <c r="AI1961" s="6">
        <v>0.826658</v>
      </c>
      <c r="AJ1961" s="6">
        <v>0.56510300000000002</v>
      </c>
      <c r="AK1961" s="6"/>
      <c r="AL1961" s="6"/>
      <c r="AM1961" s="6" t="e">
        <f t="shared" si="141"/>
        <v>#DIV/0!</v>
      </c>
    </row>
    <row r="1962" spans="29:39" x14ac:dyDescent="0.3">
      <c r="AC1962">
        <f t="shared" si="140"/>
        <v>0</v>
      </c>
      <c r="AD1962">
        <v>1959</v>
      </c>
      <c r="AE1962" s="4">
        <f t="shared" si="138"/>
        <v>43089</v>
      </c>
      <c r="AF1962" s="6" t="e">
        <f t="shared" si="139"/>
        <v>#DIV/0!</v>
      </c>
      <c r="AG1962" s="4">
        <v>43089</v>
      </c>
      <c r="AH1962" s="6">
        <v>-0.119931</v>
      </c>
      <c r="AI1962" s="6">
        <v>-0.82989599999999997</v>
      </c>
      <c r="AJ1962" s="6">
        <v>-1.0448710000000001</v>
      </c>
      <c r="AK1962" s="6"/>
      <c r="AL1962" s="6"/>
      <c r="AM1962" s="6" t="e">
        <f t="shared" si="141"/>
        <v>#DIV/0!</v>
      </c>
    </row>
    <row r="1963" spans="29:39" x14ac:dyDescent="0.3">
      <c r="AC1963">
        <f t="shared" si="140"/>
        <v>0</v>
      </c>
      <c r="AD1963">
        <v>1960</v>
      </c>
      <c r="AE1963" s="4">
        <f t="shared" si="138"/>
        <v>43090</v>
      </c>
      <c r="AF1963" s="6" t="e">
        <f t="shared" si="139"/>
        <v>#DIV/0!</v>
      </c>
      <c r="AG1963" s="4">
        <v>43090</v>
      </c>
      <c r="AH1963" s="6">
        <v>0.926902</v>
      </c>
      <c r="AI1963" s="6">
        <v>0.63128899999999999</v>
      </c>
      <c r="AJ1963" s="6">
        <v>0.13972999999999999</v>
      </c>
      <c r="AK1963" s="6"/>
      <c r="AL1963" s="6"/>
      <c r="AM1963" s="6" t="e">
        <f t="shared" si="141"/>
        <v>#DIV/0!</v>
      </c>
    </row>
    <row r="1964" spans="29:39" x14ac:dyDescent="0.3">
      <c r="AC1964">
        <f t="shared" si="140"/>
        <v>0</v>
      </c>
      <c r="AD1964">
        <v>1961</v>
      </c>
      <c r="AE1964" s="4">
        <f t="shared" si="138"/>
        <v>43091</v>
      </c>
      <c r="AF1964" s="6" t="e">
        <f t="shared" si="139"/>
        <v>#DIV/0!</v>
      </c>
      <c r="AG1964" s="4">
        <v>43091</v>
      </c>
      <c r="AH1964" s="6">
        <v>-0.32572699999999999</v>
      </c>
      <c r="AI1964" s="6">
        <v>7.0305000000000006E-2</v>
      </c>
      <c r="AJ1964" s="6">
        <v>-0.197717</v>
      </c>
      <c r="AK1964" s="6"/>
      <c r="AL1964" s="6"/>
      <c r="AM1964" s="6" t="e">
        <f t="shared" si="141"/>
        <v>#DIV/0!</v>
      </c>
    </row>
    <row r="1965" spans="29:39" x14ac:dyDescent="0.3">
      <c r="AC1965">
        <f t="shared" si="140"/>
        <v>0</v>
      </c>
      <c r="AD1965">
        <v>1962</v>
      </c>
      <c r="AE1965" s="4">
        <f t="shared" si="138"/>
        <v>43094</v>
      </c>
      <c r="AF1965" s="6" t="e">
        <f t="shared" si="139"/>
        <v>#DIV/0!</v>
      </c>
      <c r="AG1965" s="4">
        <v>43094</v>
      </c>
      <c r="AH1965" s="6">
        <v>-0.32206099999999999</v>
      </c>
      <c r="AI1965" s="6">
        <v>-0.91774900000000004</v>
      </c>
      <c r="AJ1965" s="6">
        <v>-1.376733</v>
      </c>
      <c r="AK1965" s="6"/>
      <c r="AL1965" s="6"/>
      <c r="AM1965" s="6" t="e">
        <f t="shared" si="141"/>
        <v>#DIV/0!</v>
      </c>
    </row>
    <row r="1966" spans="29:39" x14ac:dyDescent="0.3">
      <c r="AC1966">
        <f t="shared" si="140"/>
        <v>0</v>
      </c>
      <c r="AD1966">
        <v>1963</v>
      </c>
      <c r="AE1966" s="4">
        <f t="shared" si="138"/>
        <v>43095</v>
      </c>
      <c r="AF1966" s="6" t="e">
        <f t="shared" si="139"/>
        <v>#DIV/0!</v>
      </c>
      <c r="AG1966" s="4">
        <v>43095</v>
      </c>
      <c r="AH1966" s="6">
        <v>0.29895300000000002</v>
      </c>
      <c r="AI1966" s="6">
        <v>0.55866300000000002</v>
      </c>
      <c r="AJ1966" s="6">
        <v>0.43562499999999998</v>
      </c>
      <c r="AK1966" s="6"/>
      <c r="AL1966" s="6"/>
      <c r="AM1966" s="6" t="e">
        <f t="shared" si="141"/>
        <v>#DIV/0!</v>
      </c>
    </row>
    <row r="1967" spans="29:39" x14ac:dyDescent="0.3">
      <c r="AC1967">
        <f t="shared" si="140"/>
        <v>0</v>
      </c>
      <c r="AD1967">
        <v>1964</v>
      </c>
      <c r="AE1967" s="4">
        <f t="shared" si="138"/>
        <v>43096</v>
      </c>
      <c r="AF1967" s="6" t="e">
        <f t="shared" si="139"/>
        <v>#DIV/0!</v>
      </c>
      <c r="AG1967" s="4">
        <v>43096</v>
      </c>
      <c r="AH1967" s="6">
        <v>-1.539731</v>
      </c>
      <c r="AI1967" s="6">
        <v>-0.755521</v>
      </c>
      <c r="AJ1967" s="6">
        <v>-0.40464</v>
      </c>
      <c r="AK1967" s="6"/>
      <c r="AL1967" s="6"/>
      <c r="AM1967" s="6" t="e">
        <f t="shared" si="141"/>
        <v>#DIV/0!</v>
      </c>
    </row>
    <row r="1968" spans="29:39" x14ac:dyDescent="0.3">
      <c r="AC1968">
        <f t="shared" si="140"/>
        <v>0</v>
      </c>
      <c r="AD1968">
        <v>1965</v>
      </c>
      <c r="AE1968" s="4">
        <f t="shared" si="138"/>
        <v>43097</v>
      </c>
      <c r="AF1968" s="6" t="e">
        <f t="shared" si="139"/>
        <v>#DIV/0!</v>
      </c>
      <c r="AG1968" s="4">
        <v>43097</v>
      </c>
      <c r="AH1968" s="6">
        <v>0.69377200000000006</v>
      </c>
      <c r="AI1968" s="6">
        <v>0.50407599999999997</v>
      </c>
      <c r="AJ1968" s="6">
        <v>0.20084399999999999</v>
      </c>
      <c r="AK1968" s="6"/>
      <c r="AL1968" s="6"/>
      <c r="AM1968" s="6" t="e">
        <f t="shared" si="141"/>
        <v>#DIV/0!</v>
      </c>
    </row>
    <row r="1969" spans="29:39" x14ac:dyDescent="0.3">
      <c r="AC1969">
        <f t="shared" si="140"/>
        <v>0</v>
      </c>
      <c r="AD1969">
        <v>1966</v>
      </c>
      <c r="AE1969" s="4">
        <f t="shared" si="138"/>
        <v>43098</v>
      </c>
      <c r="AF1969" s="6" t="e">
        <f t="shared" si="139"/>
        <v>#DIV/0!</v>
      </c>
      <c r="AG1969" s="4">
        <v>43098</v>
      </c>
      <c r="AH1969" s="6">
        <v>0.29753200000000002</v>
      </c>
      <c r="AI1969" s="6">
        <v>0.75029800000000002</v>
      </c>
      <c r="AJ1969" s="6">
        <v>0.87498699999999996</v>
      </c>
      <c r="AK1969" s="6"/>
      <c r="AL1969" s="6"/>
      <c r="AM1969" s="6" t="e">
        <f t="shared" si="141"/>
        <v>#DIV/0!</v>
      </c>
    </row>
    <row r="1970" spans="29:39" x14ac:dyDescent="0.3">
      <c r="AC1970">
        <f t="shared" si="140"/>
        <v>0</v>
      </c>
      <c r="AD1970">
        <v>1967</v>
      </c>
      <c r="AE1970" s="4">
        <f t="shared" si="138"/>
        <v>43102</v>
      </c>
      <c r="AF1970" s="6" t="e">
        <f t="shared" si="139"/>
        <v>#DIV/0!</v>
      </c>
      <c r="AG1970" s="4">
        <v>43102</v>
      </c>
      <c r="AH1970" s="6">
        <v>1.402836</v>
      </c>
      <c r="AI1970" s="6">
        <v>1.3023279999999999</v>
      </c>
      <c r="AJ1970" s="6">
        <v>1.065124</v>
      </c>
      <c r="AK1970" s="6"/>
      <c r="AL1970" s="6"/>
      <c r="AM1970" s="6" t="e">
        <f t="shared" si="141"/>
        <v>#DIV/0!</v>
      </c>
    </row>
    <row r="1971" spans="29:39" x14ac:dyDescent="0.3">
      <c r="AC1971">
        <f t="shared" si="140"/>
        <v>0</v>
      </c>
      <c r="AD1971">
        <v>1968</v>
      </c>
      <c r="AE1971" s="4">
        <f t="shared" si="138"/>
        <v>43103</v>
      </c>
      <c r="AF1971" s="6" t="e">
        <f t="shared" si="139"/>
        <v>#DIV/0!</v>
      </c>
      <c r="AG1971" s="4">
        <v>43103</v>
      </c>
      <c r="AH1971" s="6">
        <v>0.58695699999999995</v>
      </c>
      <c r="AI1971" s="6">
        <v>0.88478199999999996</v>
      </c>
      <c r="AJ1971" s="6">
        <v>0.95572800000000002</v>
      </c>
      <c r="AK1971" s="6"/>
      <c r="AL1971" s="6"/>
      <c r="AM1971" s="6" t="e">
        <f t="shared" si="141"/>
        <v>#DIV/0!</v>
      </c>
    </row>
    <row r="1972" spans="29:39" x14ac:dyDescent="0.3">
      <c r="AC1972">
        <f t="shared" si="140"/>
        <v>0</v>
      </c>
      <c r="AD1972">
        <v>1969</v>
      </c>
      <c r="AE1972" s="4">
        <f t="shared" si="138"/>
        <v>43104</v>
      </c>
      <c r="AF1972" s="6" t="e">
        <f t="shared" si="139"/>
        <v>#DIV/0!</v>
      </c>
      <c r="AG1972" s="4">
        <v>43104</v>
      </c>
      <c r="AH1972" s="6">
        <v>0.42368600000000001</v>
      </c>
      <c r="AI1972" s="6">
        <v>0.458368</v>
      </c>
      <c r="AJ1972" s="6">
        <v>0.20935000000000001</v>
      </c>
      <c r="AK1972" s="6"/>
      <c r="AL1972" s="6"/>
      <c r="AM1972" s="6" t="e">
        <f t="shared" si="141"/>
        <v>#DIV/0!</v>
      </c>
    </row>
    <row r="1973" spans="29:39" x14ac:dyDescent="0.3">
      <c r="AC1973">
        <f t="shared" si="140"/>
        <v>0</v>
      </c>
      <c r="AD1973">
        <v>1970</v>
      </c>
      <c r="AE1973" s="4">
        <f t="shared" si="138"/>
        <v>43105</v>
      </c>
      <c r="AF1973" s="6" t="e">
        <f t="shared" si="139"/>
        <v>#DIV/0!</v>
      </c>
      <c r="AG1973" s="4">
        <v>43105</v>
      </c>
      <c r="AH1973" s="6">
        <v>0.24071300000000001</v>
      </c>
      <c r="AI1973" s="6">
        <v>-4.3829999999999997E-3</v>
      </c>
      <c r="AJ1973" s="6">
        <v>2.7916E-2</v>
      </c>
      <c r="AK1973" s="6"/>
      <c r="AL1973" s="6"/>
      <c r="AM1973" s="6" t="e">
        <f t="shared" si="141"/>
        <v>#DIV/0!</v>
      </c>
    </row>
    <row r="1974" spans="29:39" x14ac:dyDescent="0.3">
      <c r="AC1974">
        <f t="shared" si="140"/>
        <v>0</v>
      </c>
      <c r="AD1974">
        <v>1971</v>
      </c>
      <c r="AE1974" s="4">
        <f t="shared" si="138"/>
        <v>43108</v>
      </c>
      <c r="AF1974" s="6" t="e">
        <f t="shared" si="139"/>
        <v>#DIV/0!</v>
      </c>
      <c r="AG1974" s="4">
        <v>43108</v>
      </c>
      <c r="AH1974" s="6">
        <v>0.51728200000000002</v>
      </c>
      <c r="AI1974" s="6">
        <v>0.45078600000000002</v>
      </c>
      <c r="AJ1974" s="6">
        <v>0.15916</v>
      </c>
      <c r="AK1974" s="6"/>
      <c r="AL1974" s="6"/>
      <c r="AM1974" s="6" t="e">
        <f t="shared" si="141"/>
        <v>#DIV/0!</v>
      </c>
    </row>
    <row r="1975" spans="29:39" x14ac:dyDescent="0.3">
      <c r="AC1975">
        <f t="shared" si="140"/>
        <v>0</v>
      </c>
      <c r="AD1975">
        <v>1972</v>
      </c>
      <c r="AE1975" s="4">
        <f t="shared" si="138"/>
        <v>43109</v>
      </c>
      <c r="AF1975" s="6" t="e">
        <f t="shared" si="139"/>
        <v>#DIV/0!</v>
      </c>
      <c r="AG1975" s="4">
        <v>43109</v>
      </c>
      <c r="AH1975" s="6">
        <v>0.70041100000000001</v>
      </c>
      <c r="AI1975" s="6">
        <v>-6.757E-3</v>
      </c>
      <c r="AJ1975" s="6">
        <v>-0.160664</v>
      </c>
      <c r="AK1975" s="6"/>
      <c r="AL1975" s="6"/>
      <c r="AM1975" s="6" t="e">
        <f t="shared" si="141"/>
        <v>#DIV/0!</v>
      </c>
    </row>
    <row r="1976" spans="29:39" x14ac:dyDescent="0.3">
      <c r="AC1976">
        <f t="shared" si="140"/>
        <v>0</v>
      </c>
      <c r="AD1976">
        <v>1973</v>
      </c>
      <c r="AE1976" s="4">
        <f t="shared" si="138"/>
        <v>43110</v>
      </c>
      <c r="AF1976" s="6" t="e">
        <f t="shared" si="139"/>
        <v>#DIV/0!</v>
      </c>
      <c r="AG1976" s="4">
        <v>43110</v>
      </c>
      <c r="AH1976" s="6">
        <v>0.441971</v>
      </c>
      <c r="AI1976" s="6">
        <v>-0.61756500000000003</v>
      </c>
      <c r="AJ1976" s="6">
        <v>-0.52893900000000005</v>
      </c>
      <c r="AK1976" s="6"/>
      <c r="AL1976" s="6"/>
      <c r="AM1976" s="6" t="e">
        <f t="shared" si="141"/>
        <v>#DIV/0!</v>
      </c>
    </row>
    <row r="1977" spans="29:39" x14ac:dyDescent="0.3">
      <c r="AC1977">
        <f t="shared" si="140"/>
        <v>0</v>
      </c>
      <c r="AD1977">
        <v>1974</v>
      </c>
      <c r="AE1977" s="4">
        <f t="shared" si="138"/>
        <v>43111</v>
      </c>
      <c r="AF1977" s="6" t="e">
        <f t="shared" si="139"/>
        <v>#DIV/0!</v>
      </c>
      <c r="AG1977" s="4">
        <v>43111</v>
      </c>
      <c r="AH1977" s="6">
        <v>-5.2922999999999998E-2</v>
      </c>
      <c r="AI1977" s="6">
        <v>0.31222</v>
      </c>
      <c r="AJ1977" s="6">
        <v>0.512934</v>
      </c>
      <c r="AK1977" s="6"/>
      <c r="AL1977" s="6"/>
      <c r="AM1977" s="6" t="e">
        <f t="shared" si="141"/>
        <v>#DIV/0!</v>
      </c>
    </row>
    <row r="1978" spans="29:39" x14ac:dyDescent="0.3">
      <c r="AC1978">
        <f t="shared" si="140"/>
        <v>0</v>
      </c>
      <c r="AD1978">
        <v>1975</v>
      </c>
      <c r="AE1978" s="4">
        <f t="shared" si="138"/>
        <v>43112</v>
      </c>
      <c r="AF1978" s="6" t="e">
        <f t="shared" si="139"/>
        <v>#DIV/0!</v>
      </c>
      <c r="AG1978" s="4">
        <v>43112</v>
      </c>
      <c r="AH1978" s="6">
        <v>0.46164100000000002</v>
      </c>
      <c r="AI1978" s="6">
        <v>-0.41342400000000001</v>
      </c>
      <c r="AJ1978" s="6">
        <v>-0.66296299999999997</v>
      </c>
      <c r="AK1978" s="6"/>
      <c r="AL1978" s="6"/>
      <c r="AM1978" s="6" t="e">
        <f t="shared" si="141"/>
        <v>#DIV/0!</v>
      </c>
    </row>
    <row r="1979" spans="29:39" x14ac:dyDescent="0.3">
      <c r="AC1979">
        <f t="shared" si="140"/>
        <v>0</v>
      </c>
      <c r="AD1979">
        <v>1976</v>
      </c>
      <c r="AE1979" s="4">
        <f t="shared" si="138"/>
        <v>43115</v>
      </c>
      <c r="AF1979" s="6" t="e">
        <f t="shared" si="139"/>
        <v>#DIV/0!</v>
      </c>
      <c r="AG1979" s="4">
        <v>43115</v>
      </c>
      <c r="AH1979" s="6">
        <v>5.64E-3</v>
      </c>
      <c r="AI1979" s="6">
        <v>-2.2814390000000002</v>
      </c>
      <c r="AJ1979" s="6">
        <v>-2.7851530000000002</v>
      </c>
      <c r="AK1979" s="6"/>
      <c r="AL1979" s="6"/>
      <c r="AM1979" s="6" t="e">
        <f t="shared" si="141"/>
        <v>#DIV/0!</v>
      </c>
    </row>
    <row r="1980" spans="29:39" x14ac:dyDescent="0.3">
      <c r="AC1980">
        <f t="shared" si="140"/>
        <v>0</v>
      </c>
      <c r="AD1980">
        <v>1977</v>
      </c>
      <c r="AE1980" s="4">
        <f t="shared" si="138"/>
        <v>43116</v>
      </c>
      <c r="AF1980" s="6" t="e">
        <f t="shared" si="139"/>
        <v>#DIV/0!</v>
      </c>
      <c r="AG1980" s="4">
        <v>43116</v>
      </c>
      <c r="AH1980" s="6">
        <v>0.78655200000000003</v>
      </c>
      <c r="AI1980" s="6">
        <v>0.76369600000000004</v>
      </c>
      <c r="AJ1980" s="6">
        <v>0.45271600000000001</v>
      </c>
      <c r="AK1980" s="6"/>
      <c r="AL1980" s="6"/>
      <c r="AM1980" s="6" t="e">
        <f t="shared" si="141"/>
        <v>#DIV/0!</v>
      </c>
    </row>
    <row r="1981" spans="29:39" x14ac:dyDescent="0.3">
      <c r="AC1981">
        <f t="shared" si="140"/>
        <v>0</v>
      </c>
      <c r="AD1981">
        <v>1978</v>
      </c>
      <c r="AE1981" s="4">
        <f t="shared" si="138"/>
        <v>43117</v>
      </c>
      <c r="AF1981" s="6" t="e">
        <f t="shared" si="139"/>
        <v>#DIV/0!</v>
      </c>
      <c r="AG1981" s="4">
        <v>43117</v>
      </c>
      <c r="AH1981" s="6">
        <v>-0.2432</v>
      </c>
      <c r="AI1981" s="6">
        <v>-0.53439300000000001</v>
      </c>
      <c r="AJ1981" s="6">
        <v>-0.25592599999999999</v>
      </c>
      <c r="AK1981" s="6"/>
      <c r="AL1981" s="6"/>
      <c r="AM1981" s="6" t="e">
        <f t="shared" si="141"/>
        <v>#DIV/0!</v>
      </c>
    </row>
    <row r="1982" spans="29:39" x14ac:dyDescent="0.3">
      <c r="AC1982">
        <f t="shared" si="140"/>
        <v>0</v>
      </c>
      <c r="AD1982">
        <v>1979</v>
      </c>
      <c r="AE1982" s="4">
        <f t="shared" si="138"/>
        <v>43118</v>
      </c>
      <c r="AF1982" s="6" t="e">
        <f t="shared" si="139"/>
        <v>#DIV/0!</v>
      </c>
      <c r="AG1982" s="4">
        <v>43118</v>
      </c>
      <c r="AH1982" s="6">
        <v>0.54848799999999998</v>
      </c>
      <c r="AI1982" s="6">
        <v>0.308591</v>
      </c>
      <c r="AJ1982" s="6">
        <v>0.17815400000000001</v>
      </c>
      <c r="AK1982" s="6"/>
      <c r="AL1982" s="6"/>
      <c r="AM1982" s="6" t="e">
        <f t="shared" si="141"/>
        <v>#DIV/0!</v>
      </c>
    </row>
    <row r="1983" spans="29:39" x14ac:dyDescent="0.3">
      <c r="AC1983">
        <f t="shared" si="140"/>
        <v>0</v>
      </c>
      <c r="AD1983">
        <v>1980</v>
      </c>
      <c r="AE1983" s="4">
        <f t="shared" si="138"/>
        <v>43119</v>
      </c>
      <c r="AF1983" s="6" t="e">
        <f t="shared" si="139"/>
        <v>#DIV/0!</v>
      </c>
      <c r="AG1983" s="4">
        <v>43119</v>
      </c>
      <c r="AH1983" s="6">
        <v>0.32724999999999999</v>
      </c>
      <c r="AI1983" s="6">
        <v>-0.229381</v>
      </c>
      <c r="AJ1983" s="6">
        <v>-0.24327399999999999</v>
      </c>
      <c r="AK1983" s="6"/>
      <c r="AL1983" s="6"/>
      <c r="AM1983" s="6" t="e">
        <f t="shared" si="141"/>
        <v>#DIV/0!</v>
      </c>
    </row>
    <row r="1984" spans="29:39" x14ac:dyDescent="0.3">
      <c r="AC1984">
        <f t="shared" si="140"/>
        <v>0</v>
      </c>
      <c r="AD1984">
        <v>1981</v>
      </c>
      <c r="AE1984" s="4">
        <f t="shared" si="138"/>
        <v>43122</v>
      </c>
      <c r="AF1984" s="6" t="e">
        <f t="shared" si="139"/>
        <v>#DIV/0!</v>
      </c>
      <c r="AG1984" s="4">
        <v>43122</v>
      </c>
      <c r="AH1984" s="6">
        <v>1.194812</v>
      </c>
      <c r="AI1984" s="6">
        <v>1.1998359999999999</v>
      </c>
      <c r="AJ1984" s="6">
        <v>1.098767</v>
      </c>
      <c r="AK1984" s="6"/>
      <c r="AL1984" s="6"/>
      <c r="AM1984" s="6" t="e">
        <f t="shared" si="141"/>
        <v>#DIV/0!</v>
      </c>
    </row>
    <row r="1985" spans="29:39" x14ac:dyDescent="0.3">
      <c r="AC1985">
        <f t="shared" si="140"/>
        <v>0</v>
      </c>
      <c r="AD1985">
        <v>1982</v>
      </c>
      <c r="AE1985" s="4">
        <f t="shared" si="138"/>
        <v>43123</v>
      </c>
      <c r="AF1985" s="6" t="e">
        <f t="shared" si="139"/>
        <v>#DIV/0!</v>
      </c>
      <c r="AG1985" s="4">
        <v>43123</v>
      </c>
      <c r="AH1985" s="6">
        <v>1.061097</v>
      </c>
      <c r="AI1985" s="6">
        <v>0.115941</v>
      </c>
      <c r="AJ1985" s="6">
        <v>7.7374999999999999E-2</v>
      </c>
      <c r="AK1985" s="6"/>
      <c r="AL1985" s="6"/>
      <c r="AM1985" s="6" t="e">
        <f t="shared" si="141"/>
        <v>#DIV/0!</v>
      </c>
    </row>
    <row r="1986" spans="29:39" x14ac:dyDescent="0.3">
      <c r="AC1986">
        <f t="shared" si="140"/>
        <v>0</v>
      </c>
      <c r="AD1986">
        <v>1983</v>
      </c>
      <c r="AE1986" s="4">
        <f t="shared" si="138"/>
        <v>43124</v>
      </c>
      <c r="AF1986" s="6" t="e">
        <f t="shared" si="139"/>
        <v>#DIV/0!</v>
      </c>
      <c r="AG1986" s="4">
        <v>43124</v>
      </c>
      <c r="AH1986" s="6">
        <v>0.165938</v>
      </c>
      <c r="AI1986" s="6">
        <v>0.61844399999999999</v>
      </c>
      <c r="AJ1986" s="6">
        <v>0.74688399999999999</v>
      </c>
      <c r="AK1986" s="6"/>
      <c r="AL1986" s="6"/>
      <c r="AM1986" s="6" t="e">
        <f t="shared" si="141"/>
        <v>#DIV/0!</v>
      </c>
    </row>
    <row r="1987" spans="29:39" x14ac:dyDescent="0.3">
      <c r="AC1987">
        <f t="shared" si="140"/>
        <v>0</v>
      </c>
      <c r="AD1987">
        <v>1984</v>
      </c>
      <c r="AE1987" s="4">
        <f t="shared" si="138"/>
        <v>43125</v>
      </c>
      <c r="AF1987" s="6" t="e">
        <f t="shared" si="139"/>
        <v>#DIV/0!</v>
      </c>
      <c r="AG1987" s="4">
        <v>43125</v>
      </c>
      <c r="AH1987" s="6">
        <v>-0.56506900000000004</v>
      </c>
      <c r="AI1987" s="6">
        <v>-0.18115200000000001</v>
      </c>
      <c r="AJ1987" s="6">
        <v>-0.138158</v>
      </c>
      <c r="AK1987" s="6"/>
      <c r="AL1987" s="6"/>
      <c r="AM1987" s="6" t="e">
        <f t="shared" si="141"/>
        <v>#DIV/0!</v>
      </c>
    </row>
    <row r="1988" spans="29:39" x14ac:dyDescent="0.3">
      <c r="AC1988">
        <f t="shared" si="140"/>
        <v>0</v>
      </c>
      <c r="AD1988">
        <v>1985</v>
      </c>
      <c r="AE1988" s="4">
        <f t="shared" si="138"/>
        <v>43126</v>
      </c>
      <c r="AF1988" s="6" t="e">
        <f t="shared" si="139"/>
        <v>#DIV/0!</v>
      </c>
      <c r="AG1988" s="4">
        <v>43126</v>
      </c>
      <c r="AH1988" s="6">
        <v>0.37158999999999998</v>
      </c>
      <c r="AI1988" s="6">
        <v>1.4331E-2</v>
      </c>
      <c r="AJ1988" s="6">
        <v>-9.3757999999999994E-2</v>
      </c>
      <c r="AK1988" s="6"/>
      <c r="AL1988" s="6"/>
      <c r="AM1988" s="6" t="e">
        <f t="shared" si="141"/>
        <v>#DIV/0!</v>
      </c>
    </row>
    <row r="1989" spans="29:39" x14ac:dyDescent="0.3">
      <c r="AC1989">
        <f t="shared" si="140"/>
        <v>0</v>
      </c>
      <c r="AD1989">
        <v>1986</v>
      </c>
      <c r="AE1989" s="4">
        <f t="shared" ref="AE1989:AE2052" si="142">AG1989</f>
        <v>43129</v>
      </c>
      <c r="AF1989" s="6" t="e">
        <f t="shared" ref="AF1989:AF2052" si="143">AM1989</f>
        <v>#DIV/0!</v>
      </c>
      <c r="AG1989" s="4">
        <v>43129</v>
      </c>
      <c r="AH1989" s="6">
        <v>-1.8095429999999999</v>
      </c>
      <c r="AI1989" s="6">
        <v>-1.1552610000000001</v>
      </c>
      <c r="AJ1989" s="6">
        <v>-1.183872</v>
      </c>
      <c r="AK1989" s="6"/>
      <c r="AL1989" s="6"/>
      <c r="AM1989" s="6" t="e">
        <f t="shared" si="141"/>
        <v>#DIV/0!</v>
      </c>
    </row>
    <row r="1990" spans="29:39" x14ac:dyDescent="0.3">
      <c r="AC1990">
        <f t="shared" ref="AC1990:AC2053" si="144">IF(AE1990&lt;=AE1989,1,0)</f>
        <v>0</v>
      </c>
      <c r="AD1990">
        <v>1987</v>
      </c>
      <c r="AE1990" s="4">
        <f t="shared" si="142"/>
        <v>43130</v>
      </c>
      <c r="AF1990" s="6" t="e">
        <f t="shared" si="143"/>
        <v>#DIV/0!</v>
      </c>
      <c r="AG1990" s="4">
        <v>43130</v>
      </c>
      <c r="AH1990" s="6">
        <v>-1.067313</v>
      </c>
      <c r="AI1990" s="6">
        <v>5.6394E-2</v>
      </c>
      <c r="AJ1990" s="6">
        <v>-0.24720900000000001</v>
      </c>
      <c r="AK1990" s="6"/>
      <c r="AL1990" s="6"/>
      <c r="AM1990" s="6" t="e">
        <f t="shared" ref="AM1990:AM2053" si="145">(AL1990/AL1989-1)*100</f>
        <v>#DIV/0!</v>
      </c>
    </row>
    <row r="1991" spans="29:39" x14ac:dyDescent="0.3">
      <c r="AC1991">
        <f t="shared" si="144"/>
        <v>0</v>
      </c>
      <c r="AD1991">
        <v>1988</v>
      </c>
      <c r="AE1991" s="4">
        <f t="shared" si="142"/>
        <v>43131</v>
      </c>
      <c r="AF1991" s="6" t="e">
        <f t="shared" si="143"/>
        <v>#DIV/0!</v>
      </c>
      <c r="AG1991" s="4">
        <v>43131</v>
      </c>
      <c r="AH1991" s="6">
        <v>0.46513199999999999</v>
      </c>
      <c r="AI1991" s="6">
        <v>-1.9656579999999999</v>
      </c>
      <c r="AJ1991" s="6">
        <v>-2.3612850000000001</v>
      </c>
      <c r="AK1991" s="6"/>
      <c r="AL1991" s="6"/>
      <c r="AM1991" s="6" t="e">
        <f t="shared" si="145"/>
        <v>#DIV/0!</v>
      </c>
    </row>
    <row r="1992" spans="29:39" x14ac:dyDescent="0.3">
      <c r="AC1992">
        <f t="shared" si="144"/>
        <v>0</v>
      </c>
      <c r="AD1992">
        <v>1989</v>
      </c>
      <c r="AE1992" s="4">
        <f t="shared" si="142"/>
        <v>43132</v>
      </c>
      <c r="AF1992" s="6" t="e">
        <f t="shared" si="143"/>
        <v>#DIV/0!</v>
      </c>
      <c r="AG1992" s="4">
        <v>43132</v>
      </c>
      <c r="AH1992" s="6">
        <v>-0.70162599999999997</v>
      </c>
      <c r="AI1992" s="6">
        <v>-3.3056589999999999</v>
      </c>
      <c r="AJ1992" s="6">
        <v>-4.1901989999999998</v>
      </c>
      <c r="AK1992" s="6"/>
      <c r="AL1992" s="6"/>
      <c r="AM1992" s="6" t="e">
        <f t="shared" si="145"/>
        <v>#DIV/0!</v>
      </c>
    </row>
    <row r="1993" spans="29:39" x14ac:dyDescent="0.3">
      <c r="AC1993">
        <f t="shared" si="144"/>
        <v>0</v>
      </c>
      <c r="AD1993">
        <v>1990</v>
      </c>
      <c r="AE1993" s="4">
        <f t="shared" si="142"/>
        <v>43133</v>
      </c>
      <c r="AF1993" s="6" t="e">
        <f t="shared" si="143"/>
        <v>#DIV/0!</v>
      </c>
      <c r="AG1993" s="4">
        <v>43133</v>
      </c>
      <c r="AH1993" s="6">
        <v>0.59668900000000002</v>
      </c>
      <c r="AI1993" s="6">
        <v>0.33596399999999998</v>
      </c>
      <c r="AJ1993" s="6">
        <v>-0.28564699999999998</v>
      </c>
      <c r="AK1993" s="6"/>
      <c r="AL1993" s="6"/>
      <c r="AM1993" s="6" t="e">
        <f t="shared" si="145"/>
        <v>#DIV/0!</v>
      </c>
    </row>
    <row r="1994" spans="29:39" x14ac:dyDescent="0.3">
      <c r="AC1994">
        <f t="shared" si="144"/>
        <v>0</v>
      </c>
      <c r="AD1994">
        <v>1991</v>
      </c>
      <c r="AE1994" s="4">
        <f t="shared" si="142"/>
        <v>43136</v>
      </c>
      <c r="AF1994" s="6" t="e">
        <f t="shared" si="143"/>
        <v>#DIV/0!</v>
      </c>
      <c r="AG1994" s="4">
        <v>43136</v>
      </c>
      <c r="AH1994" s="6">
        <v>6.8219000000000002E-2</v>
      </c>
      <c r="AI1994" s="6">
        <v>-0.11034099999999999</v>
      </c>
      <c r="AJ1994" s="6">
        <v>-0.40158500000000003</v>
      </c>
      <c r="AK1994" s="6"/>
      <c r="AL1994" s="6"/>
      <c r="AM1994" s="6" t="e">
        <f t="shared" si="145"/>
        <v>#DIV/0!</v>
      </c>
    </row>
    <row r="1995" spans="29:39" x14ac:dyDescent="0.3">
      <c r="AC1995">
        <f t="shared" si="144"/>
        <v>0</v>
      </c>
      <c r="AD1995">
        <v>1992</v>
      </c>
      <c r="AE1995" s="4">
        <f t="shared" si="142"/>
        <v>43137</v>
      </c>
      <c r="AF1995" s="6" t="e">
        <f t="shared" si="143"/>
        <v>#DIV/0!</v>
      </c>
      <c r="AG1995" s="4">
        <v>43137</v>
      </c>
      <c r="AH1995" s="6">
        <v>-2.9306619999999999</v>
      </c>
      <c r="AI1995" s="6">
        <v>-4.9007759999999996</v>
      </c>
      <c r="AJ1995" s="6">
        <v>-4.9389339999999997</v>
      </c>
      <c r="AK1995" s="6"/>
      <c r="AL1995" s="6"/>
      <c r="AM1995" s="6" t="e">
        <f t="shared" si="145"/>
        <v>#DIV/0!</v>
      </c>
    </row>
    <row r="1996" spans="29:39" x14ac:dyDescent="0.3">
      <c r="AC1996">
        <f t="shared" si="144"/>
        <v>0</v>
      </c>
      <c r="AD1996">
        <v>1993</v>
      </c>
      <c r="AE1996" s="4">
        <f t="shared" si="142"/>
        <v>43138</v>
      </c>
      <c r="AF1996" s="6" t="e">
        <f t="shared" si="143"/>
        <v>#DIV/0!</v>
      </c>
      <c r="AG1996" s="4">
        <v>43138</v>
      </c>
      <c r="AH1996" s="6">
        <v>-2.371442</v>
      </c>
      <c r="AI1996" s="6">
        <v>0.12390900000000001</v>
      </c>
      <c r="AJ1996" s="6">
        <v>0.25378699999999998</v>
      </c>
      <c r="AK1996" s="6"/>
      <c r="AL1996" s="6"/>
      <c r="AM1996" s="6" t="e">
        <f t="shared" si="145"/>
        <v>#DIV/0!</v>
      </c>
    </row>
    <row r="1997" spans="29:39" x14ac:dyDescent="0.3">
      <c r="AC1997">
        <f t="shared" si="144"/>
        <v>0</v>
      </c>
      <c r="AD1997">
        <v>1994</v>
      </c>
      <c r="AE1997" s="4">
        <f t="shared" si="142"/>
        <v>43139</v>
      </c>
      <c r="AF1997" s="6" t="e">
        <f t="shared" si="143"/>
        <v>#DIV/0!</v>
      </c>
      <c r="AG1997" s="4">
        <v>43139</v>
      </c>
      <c r="AH1997" s="6">
        <v>-0.94926600000000005</v>
      </c>
      <c r="AI1997" s="6">
        <v>0.96557999999999999</v>
      </c>
      <c r="AJ1997" s="6">
        <v>1.298476</v>
      </c>
      <c r="AK1997" s="6"/>
      <c r="AL1997" s="6"/>
      <c r="AM1997" s="6" t="e">
        <f t="shared" si="145"/>
        <v>#DIV/0!</v>
      </c>
    </row>
    <row r="1998" spans="29:39" x14ac:dyDescent="0.3">
      <c r="AC1998">
        <f t="shared" si="144"/>
        <v>0</v>
      </c>
      <c r="AD1998">
        <v>1995</v>
      </c>
      <c r="AE1998" s="4">
        <f t="shared" si="142"/>
        <v>43140</v>
      </c>
      <c r="AF1998" s="6" t="e">
        <f t="shared" si="143"/>
        <v>#DIV/0!</v>
      </c>
      <c r="AG1998" s="4">
        <v>43140</v>
      </c>
      <c r="AH1998" s="6">
        <v>-4.2719959999999997</v>
      </c>
      <c r="AI1998" s="6">
        <v>-3.6691760000000002</v>
      </c>
      <c r="AJ1998" s="6">
        <v>-2.9688029999999999</v>
      </c>
      <c r="AK1998" s="6"/>
      <c r="AL1998" s="6"/>
      <c r="AM1998" s="6" t="e">
        <f t="shared" si="145"/>
        <v>#DIV/0!</v>
      </c>
    </row>
    <row r="1999" spans="29:39" x14ac:dyDescent="0.3">
      <c r="AC1999">
        <f t="shared" si="144"/>
        <v>0</v>
      </c>
      <c r="AD1999">
        <v>1996</v>
      </c>
      <c r="AE1999" s="4">
        <f t="shared" si="142"/>
        <v>43143</v>
      </c>
      <c r="AF1999" s="6" t="e">
        <f t="shared" si="143"/>
        <v>#DIV/0!</v>
      </c>
      <c r="AG1999" s="4">
        <v>43143</v>
      </c>
      <c r="AH1999" s="6">
        <v>1.2875909999999999</v>
      </c>
      <c r="AI1999" s="6">
        <v>2.595917</v>
      </c>
      <c r="AJ1999" s="6">
        <v>2.490183</v>
      </c>
      <c r="AK1999" s="6"/>
      <c r="AL1999" s="6"/>
      <c r="AM1999" s="6" t="e">
        <f t="shared" si="145"/>
        <v>#DIV/0!</v>
      </c>
    </row>
    <row r="2000" spans="29:39" x14ac:dyDescent="0.3">
      <c r="AC2000">
        <f t="shared" si="144"/>
        <v>0</v>
      </c>
      <c r="AD2000">
        <v>1997</v>
      </c>
      <c r="AE2000" s="4">
        <f t="shared" si="142"/>
        <v>43144</v>
      </c>
      <c r="AF2000" s="6" t="e">
        <f t="shared" si="143"/>
        <v>#DIV/0!</v>
      </c>
      <c r="AG2000" s="4">
        <v>43144</v>
      </c>
      <c r="AH2000" s="6">
        <v>1.1703490000000001</v>
      </c>
      <c r="AI2000" s="6">
        <v>0.66418600000000005</v>
      </c>
      <c r="AJ2000" s="6">
        <v>0.20565600000000001</v>
      </c>
      <c r="AK2000" s="6"/>
      <c r="AL2000" s="6"/>
      <c r="AM2000" s="6" t="e">
        <f t="shared" si="145"/>
        <v>#DIV/0!</v>
      </c>
    </row>
    <row r="2001" spans="29:39" x14ac:dyDescent="0.3">
      <c r="AC2001">
        <f t="shared" si="144"/>
        <v>0</v>
      </c>
      <c r="AD2001">
        <v>1998</v>
      </c>
      <c r="AE2001" s="4">
        <f t="shared" si="142"/>
        <v>43145</v>
      </c>
      <c r="AF2001" s="6" t="e">
        <f t="shared" si="143"/>
        <v>#DIV/0!</v>
      </c>
      <c r="AG2001" s="4">
        <v>43145</v>
      </c>
      <c r="AH2001" s="6">
        <v>0.79603500000000005</v>
      </c>
      <c r="AI2001" s="6">
        <v>0.31173200000000001</v>
      </c>
      <c r="AJ2001" s="6">
        <v>0.227663</v>
      </c>
      <c r="AK2001" s="6"/>
      <c r="AL2001" s="6"/>
      <c r="AM2001" s="6" t="e">
        <f t="shared" si="145"/>
        <v>#DIV/0!</v>
      </c>
    </row>
    <row r="2002" spans="29:39" x14ac:dyDescent="0.3">
      <c r="AC2002">
        <f t="shared" si="144"/>
        <v>0</v>
      </c>
      <c r="AD2002">
        <v>1999</v>
      </c>
      <c r="AE2002" s="4">
        <f t="shared" si="142"/>
        <v>43153</v>
      </c>
      <c r="AF2002" s="6" t="e">
        <f t="shared" si="143"/>
        <v>#DIV/0!</v>
      </c>
      <c r="AG2002" s="4">
        <v>43153</v>
      </c>
      <c r="AH2002" s="6">
        <v>2.1621540000000001</v>
      </c>
      <c r="AI2002" s="6">
        <v>2.1007169999999999</v>
      </c>
      <c r="AJ2002" s="6">
        <v>1.8684959999999999</v>
      </c>
      <c r="AK2002" s="6"/>
      <c r="AL2002" s="6"/>
      <c r="AM2002" s="6" t="e">
        <f t="shared" si="145"/>
        <v>#DIV/0!</v>
      </c>
    </row>
    <row r="2003" spans="29:39" x14ac:dyDescent="0.3">
      <c r="AC2003">
        <f t="shared" si="144"/>
        <v>0</v>
      </c>
      <c r="AD2003">
        <v>2000</v>
      </c>
      <c r="AE2003" s="4">
        <f t="shared" si="142"/>
        <v>43154</v>
      </c>
      <c r="AF2003" s="6" t="e">
        <f t="shared" si="143"/>
        <v>#DIV/0!</v>
      </c>
      <c r="AG2003" s="4">
        <v>43154</v>
      </c>
      <c r="AH2003" s="6">
        <v>0.45292100000000002</v>
      </c>
      <c r="AI2003" s="6">
        <v>0.37355899999999997</v>
      </c>
      <c r="AJ2003" s="6">
        <v>0.29673300000000002</v>
      </c>
      <c r="AK2003" s="6"/>
      <c r="AL2003" s="6"/>
      <c r="AM2003" s="6" t="e">
        <f t="shared" si="145"/>
        <v>#DIV/0!</v>
      </c>
    </row>
    <row r="2004" spans="29:39" x14ac:dyDescent="0.3">
      <c r="AC2004">
        <f t="shared" si="144"/>
        <v>0</v>
      </c>
      <c r="AD2004">
        <v>2001</v>
      </c>
      <c r="AE2004" s="4">
        <f t="shared" si="142"/>
        <v>43157</v>
      </c>
      <c r="AF2004" s="6" t="e">
        <f t="shared" si="143"/>
        <v>#DIV/0!</v>
      </c>
      <c r="AG2004" s="4">
        <v>43157</v>
      </c>
      <c r="AH2004" s="6">
        <v>1.1625810000000001</v>
      </c>
      <c r="AI2004" s="6">
        <v>2.2382200000000001</v>
      </c>
      <c r="AJ2004" s="6">
        <v>2.218245</v>
      </c>
      <c r="AK2004" s="6"/>
      <c r="AL2004" s="6"/>
      <c r="AM2004" s="6" t="e">
        <f t="shared" si="145"/>
        <v>#DIV/0!</v>
      </c>
    </row>
    <row r="2005" spans="29:39" x14ac:dyDescent="0.3">
      <c r="AC2005">
        <f t="shared" si="144"/>
        <v>0</v>
      </c>
      <c r="AD2005">
        <v>2002</v>
      </c>
      <c r="AE2005" s="4">
        <f t="shared" si="142"/>
        <v>43158</v>
      </c>
      <c r="AF2005" s="6" t="e">
        <f t="shared" si="143"/>
        <v>#DIV/0!</v>
      </c>
      <c r="AG2005" s="4">
        <v>43158</v>
      </c>
      <c r="AH2005" s="6">
        <v>-1.4432240000000001</v>
      </c>
      <c r="AI2005" s="6">
        <v>-0.317135</v>
      </c>
      <c r="AJ2005" s="6">
        <v>0.34196799999999999</v>
      </c>
      <c r="AK2005" s="6"/>
      <c r="AL2005" s="6"/>
      <c r="AM2005" s="6" t="e">
        <f t="shared" si="145"/>
        <v>#DIV/0!</v>
      </c>
    </row>
    <row r="2006" spans="29:39" x14ac:dyDescent="0.3">
      <c r="AC2006">
        <f t="shared" si="144"/>
        <v>0</v>
      </c>
      <c r="AD2006">
        <v>2003</v>
      </c>
      <c r="AE2006" s="4">
        <f t="shared" si="142"/>
        <v>43159</v>
      </c>
      <c r="AF2006" s="6" t="e">
        <f t="shared" si="143"/>
        <v>#DIV/0!</v>
      </c>
      <c r="AG2006" s="4">
        <v>43159</v>
      </c>
      <c r="AH2006" s="6">
        <v>-0.87063999999999997</v>
      </c>
      <c r="AI2006" s="6">
        <v>0.218278</v>
      </c>
      <c r="AJ2006" s="6">
        <v>0.52726700000000004</v>
      </c>
      <c r="AK2006" s="6"/>
      <c r="AL2006" s="6"/>
      <c r="AM2006" s="6" t="e">
        <f t="shared" si="145"/>
        <v>#DIV/0!</v>
      </c>
    </row>
    <row r="2007" spans="29:39" x14ac:dyDescent="0.3">
      <c r="AC2007">
        <f t="shared" si="144"/>
        <v>0</v>
      </c>
      <c r="AD2007">
        <v>2004</v>
      </c>
      <c r="AE2007" s="4">
        <f t="shared" si="142"/>
        <v>43160</v>
      </c>
      <c r="AF2007" s="6" t="e">
        <f t="shared" si="143"/>
        <v>#DIV/0!</v>
      </c>
      <c r="AG2007" s="4">
        <v>43160</v>
      </c>
      <c r="AH2007" s="6">
        <v>0.632382</v>
      </c>
      <c r="AI2007" s="6">
        <v>1.1047689999999999</v>
      </c>
      <c r="AJ2007" s="6">
        <v>1.4438359999999999</v>
      </c>
      <c r="AK2007" s="6"/>
      <c r="AL2007" s="6"/>
      <c r="AM2007" s="6" t="e">
        <f t="shared" si="145"/>
        <v>#DIV/0!</v>
      </c>
    </row>
    <row r="2008" spans="29:39" x14ac:dyDescent="0.3">
      <c r="AC2008">
        <f t="shared" si="144"/>
        <v>0</v>
      </c>
      <c r="AD2008">
        <v>2005</v>
      </c>
      <c r="AE2008" s="4">
        <f t="shared" si="142"/>
        <v>43161</v>
      </c>
      <c r="AF2008" s="6" t="e">
        <f t="shared" si="143"/>
        <v>#DIV/0!</v>
      </c>
      <c r="AG2008" s="4">
        <v>43161</v>
      </c>
      <c r="AH2008" s="6">
        <v>-0.80574500000000004</v>
      </c>
      <c r="AI2008" s="6">
        <v>-0.556454</v>
      </c>
      <c r="AJ2008" s="6">
        <v>-0.39358100000000001</v>
      </c>
      <c r="AK2008" s="6"/>
      <c r="AL2008" s="6"/>
      <c r="AM2008" s="6" t="e">
        <f t="shared" si="145"/>
        <v>#DIV/0!</v>
      </c>
    </row>
    <row r="2009" spans="29:39" x14ac:dyDescent="0.3">
      <c r="AC2009">
        <f t="shared" si="144"/>
        <v>0</v>
      </c>
      <c r="AD2009">
        <v>2006</v>
      </c>
      <c r="AE2009" s="4">
        <f t="shared" si="142"/>
        <v>43164</v>
      </c>
      <c r="AF2009" s="6" t="e">
        <f t="shared" si="143"/>
        <v>#DIV/0!</v>
      </c>
      <c r="AG2009" s="4">
        <v>43164</v>
      </c>
      <c r="AH2009" s="6">
        <v>4.0731999999999997E-2</v>
      </c>
      <c r="AI2009" s="6">
        <v>0.12817799999999999</v>
      </c>
      <c r="AJ2009" s="6">
        <v>0.63183999999999996</v>
      </c>
      <c r="AK2009" s="6"/>
      <c r="AL2009" s="6"/>
      <c r="AM2009" s="6" t="e">
        <f t="shared" si="145"/>
        <v>#DIV/0!</v>
      </c>
    </row>
    <row r="2010" spans="29:39" x14ac:dyDescent="0.3">
      <c r="AC2010">
        <f t="shared" si="144"/>
        <v>0</v>
      </c>
      <c r="AD2010">
        <v>2007</v>
      </c>
      <c r="AE2010" s="4">
        <f t="shared" si="142"/>
        <v>43165</v>
      </c>
      <c r="AF2010" s="6" t="e">
        <f t="shared" si="143"/>
        <v>#DIV/0!</v>
      </c>
      <c r="AG2010" s="4">
        <v>43165</v>
      </c>
      <c r="AH2010" s="6">
        <v>1.2062349999999999</v>
      </c>
      <c r="AI2010" s="6">
        <v>1.343621</v>
      </c>
      <c r="AJ2010" s="6">
        <v>0.92267699999999997</v>
      </c>
      <c r="AK2010" s="6"/>
      <c r="AL2010" s="6"/>
      <c r="AM2010" s="6" t="e">
        <f t="shared" si="145"/>
        <v>#DIV/0!</v>
      </c>
    </row>
    <row r="2011" spans="29:39" x14ac:dyDescent="0.3">
      <c r="AC2011">
        <f t="shared" si="144"/>
        <v>0</v>
      </c>
      <c r="AD2011">
        <v>2008</v>
      </c>
      <c r="AE2011" s="4">
        <f t="shared" si="142"/>
        <v>43166</v>
      </c>
      <c r="AF2011" s="6" t="e">
        <f t="shared" si="143"/>
        <v>#DIV/0!</v>
      </c>
      <c r="AG2011" s="4">
        <v>43166</v>
      </c>
      <c r="AH2011" s="6">
        <v>-0.735537</v>
      </c>
      <c r="AI2011" s="6">
        <v>-0.96149499999999999</v>
      </c>
      <c r="AJ2011" s="6">
        <v>-0.70242300000000002</v>
      </c>
      <c r="AK2011" s="6"/>
      <c r="AL2011" s="6"/>
      <c r="AM2011" s="6" t="e">
        <f t="shared" si="145"/>
        <v>#DIV/0!</v>
      </c>
    </row>
    <row r="2012" spans="29:39" x14ac:dyDescent="0.3">
      <c r="AC2012">
        <f t="shared" si="144"/>
        <v>0</v>
      </c>
      <c r="AD2012">
        <v>2009</v>
      </c>
      <c r="AE2012" s="4">
        <f t="shared" si="142"/>
        <v>43167</v>
      </c>
      <c r="AF2012" s="6" t="e">
        <f t="shared" si="143"/>
        <v>#DIV/0!</v>
      </c>
      <c r="AG2012" s="4">
        <v>43167</v>
      </c>
      <c r="AH2012" s="6">
        <v>1.014367</v>
      </c>
      <c r="AI2012" s="6">
        <v>0.73978299999999997</v>
      </c>
      <c r="AJ2012" s="6">
        <v>0.54776499999999995</v>
      </c>
      <c r="AK2012" s="6"/>
      <c r="AL2012" s="6"/>
      <c r="AM2012" s="6" t="e">
        <f t="shared" si="145"/>
        <v>#DIV/0!</v>
      </c>
    </row>
    <row r="2013" spans="29:39" x14ac:dyDescent="0.3">
      <c r="AC2013">
        <f t="shared" si="144"/>
        <v>0</v>
      </c>
      <c r="AD2013">
        <v>2010</v>
      </c>
      <c r="AE2013" s="4">
        <f t="shared" si="142"/>
        <v>43168</v>
      </c>
      <c r="AF2013" s="6" t="e">
        <f t="shared" si="143"/>
        <v>#DIV/0!</v>
      </c>
      <c r="AG2013" s="4">
        <v>43168</v>
      </c>
      <c r="AH2013" s="6">
        <v>0.76675199999999999</v>
      </c>
      <c r="AI2013" s="6">
        <v>1.2307110000000001</v>
      </c>
      <c r="AJ2013" s="6">
        <v>1.664547</v>
      </c>
      <c r="AK2013" s="6"/>
      <c r="AL2013" s="6"/>
      <c r="AM2013" s="6" t="e">
        <f t="shared" si="145"/>
        <v>#DIV/0!</v>
      </c>
    </row>
    <row r="2014" spans="29:39" x14ac:dyDescent="0.3">
      <c r="AC2014">
        <f t="shared" si="144"/>
        <v>0</v>
      </c>
      <c r="AD2014">
        <v>2011</v>
      </c>
      <c r="AE2014" s="4">
        <f t="shared" si="142"/>
        <v>43171</v>
      </c>
      <c r="AF2014" s="6" t="e">
        <f t="shared" si="143"/>
        <v>#DIV/0!</v>
      </c>
      <c r="AG2014" s="4">
        <v>43171</v>
      </c>
      <c r="AH2014" s="6">
        <v>0.45757199999999998</v>
      </c>
      <c r="AI2014" s="6">
        <v>1.4306840000000001</v>
      </c>
      <c r="AJ2014" s="6">
        <v>1.613745</v>
      </c>
      <c r="AK2014" s="6"/>
      <c r="AL2014" s="6"/>
      <c r="AM2014" s="6" t="e">
        <f t="shared" si="145"/>
        <v>#DIV/0!</v>
      </c>
    </row>
    <row r="2015" spans="29:39" x14ac:dyDescent="0.3">
      <c r="AC2015">
        <f t="shared" si="144"/>
        <v>0</v>
      </c>
      <c r="AD2015">
        <v>2012</v>
      </c>
      <c r="AE2015" s="4">
        <f t="shared" si="142"/>
        <v>43172</v>
      </c>
      <c r="AF2015" s="6" t="e">
        <f t="shared" si="143"/>
        <v>#DIV/0!</v>
      </c>
      <c r="AG2015" s="4">
        <v>43172</v>
      </c>
      <c r="AH2015" s="6">
        <v>-0.88216700000000003</v>
      </c>
      <c r="AI2015" s="6">
        <v>-0.66126700000000005</v>
      </c>
      <c r="AJ2015" s="6">
        <v>-0.51521700000000004</v>
      </c>
      <c r="AK2015" s="6"/>
      <c r="AL2015" s="6"/>
      <c r="AM2015" s="6" t="e">
        <f t="shared" si="145"/>
        <v>#DIV/0!</v>
      </c>
    </row>
    <row r="2016" spans="29:39" x14ac:dyDescent="0.3">
      <c r="AC2016">
        <f t="shared" si="144"/>
        <v>0</v>
      </c>
      <c r="AD2016">
        <v>2013</v>
      </c>
      <c r="AE2016" s="4">
        <f t="shared" si="142"/>
        <v>43173</v>
      </c>
      <c r="AF2016" s="6" t="e">
        <f t="shared" si="143"/>
        <v>#DIV/0!</v>
      </c>
      <c r="AG2016" s="4">
        <v>43173</v>
      </c>
      <c r="AH2016" s="6">
        <v>-0.43772899999999998</v>
      </c>
      <c r="AI2016" s="6">
        <v>-1.036572</v>
      </c>
      <c r="AJ2016" s="6">
        <v>-1.1116029999999999</v>
      </c>
      <c r="AK2016" s="6"/>
      <c r="AL2016" s="6"/>
      <c r="AM2016" s="6" t="e">
        <f t="shared" si="145"/>
        <v>#DIV/0!</v>
      </c>
    </row>
    <row r="2017" spans="29:39" x14ac:dyDescent="0.3">
      <c r="AC2017">
        <f t="shared" si="144"/>
        <v>0</v>
      </c>
      <c r="AD2017">
        <v>2014</v>
      </c>
      <c r="AE2017" s="4">
        <f t="shared" si="142"/>
        <v>43174</v>
      </c>
      <c r="AF2017" s="6" t="e">
        <f t="shared" si="143"/>
        <v>#DIV/0!</v>
      </c>
      <c r="AG2017" s="4">
        <v>43174</v>
      </c>
      <c r="AH2017" s="6">
        <v>0.56017799999999995</v>
      </c>
      <c r="AI2017" s="6">
        <v>-0.14874299999999999</v>
      </c>
      <c r="AJ2017" s="6">
        <v>-0.157778</v>
      </c>
      <c r="AK2017" s="6"/>
      <c r="AL2017" s="6"/>
      <c r="AM2017" s="6" t="e">
        <f t="shared" si="145"/>
        <v>#DIV/0!</v>
      </c>
    </row>
    <row r="2018" spans="29:39" x14ac:dyDescent="0.3">
      <c r="AC2018">
        <f t="shared" si="144"/>
        <v>0</v>
      </c>
      <c r="AD2018">
        <v>2015</v>
      </c>
      <c r="AE2018" s="4">
        <f t="shared" si="142"/>
        <v>43175</v>
      </c>
      <c r="AF2018" s="6" t="e">
        <f t="shared" si="143"/>
        <v>#DIV/0!</v>
      </c>
      <c r="AG2018" s="4">
        <v>43175</v>
      </c>
      <c r="AH2018" s="6">
        <v>-0.97017900000000001</v>
      </c>
      <c r="AI2018" s="6">
        <v>-0.54699699999999996</v>
      </c>
      <c r="AJ2018" s="6">
        <v>-0.26561800000000002</v>
      </c>
      <c r="AK2018" s="6"/>
      <c r="AL2018" s="6"/>
      <c r="AM2018" s="6" t="e">
        <f t="shared" si="145"/>
        <v>#DIV/0!</v>
      </c>
    </row>
    <row r="2019" spans="29:39" x14ac:dyDescent="0.3">
      <c r="AC2019">
        <f t="shared" si="144"/>
        <v>0</v>
      </c>
      <c r="AD2019">
        <v>2016</v>
      </c>
      <c r="AE2019" s="4">
        <f t="shared" si="142"/>
        <v>43178</v>
      </c>
      <c r="AF2019" s="6" t="e">
        <f t="shared" si="143"/>
        <v>#DIV/0!</v>
      </c>
      <c r="AG2019" s="4">
        <v>43178</v>
      </c>
      <c r="AH2019" s="6">
        <v>0.43943399999999999</v>
      </c>
      <c r="AI2019" s="6">
        <v>0.12248199999999999</v>
      </c>
      <c r="AJ2019" s="6">
        <v>0.214166</v>
      </c>
      <c r="AK2019" s="6"/>
      <c r="AL2019" s="6"/>
      <c r="AM2019" s="6" t="e">
        <f t="shared" si="145"/>
        <v>#DIV/0!</v>
      </c>
    </row>
    <row r="2020" spans="29:39" x14ac:dyDescent="0.3">
      <c r="AC2020">
        <f t="shared" si="144"/>
        <v>0</v>
      </c>
      <c r="AD2020">
        <v>2017</v>
      </c>
      <c r="AE2020" s="4">
        <f t="shared" si="142"/>
        <v>43179</v>
      </c>
      <c r="AF2020" s="6" t="e">
        <f t="shared" si="143"/>
        <v>#DIV/0!</v>
      </c>
      <c r="AG2020" s="4">
        <v>43179</v>
      </c>
      <c r="AH2020" s="6">
        <v>8.4830000000000003E-2</v>
      </c>
      <c r="AI2020" s="6">
        <v>0.322799</v>
      </c>
      <c r="AJ2020" s="6">
        <v>2.5706E-2</v>
      </c>
      <c r="AK2020" s="6"/>
      <c r="AL2020" s="6"/>
      <c r="AM2020" s="6" t="e">
        <f t="shared" si="145"/>
        <v>#DIV/0!</v>
      </c>
    </row>
    <row r="2021" spans="29:39" x14ac:dyDescent="0.3">
      <c r="AC2021">
        <f t="shared" si="144"/>
        <v>0</v>
      </c>
      <c r="AD2021">
        <v>2018</v>
      </c>
      <c r="AE2021" s="4">
        <f t="shared" si="142"/>
        <v>43180</v>
      </c>
      <c r="AF2021" s="6" t="e">
        <f t="shared" si="143"/>
        <v>#DIV/0!</v>
      </c>
      <c r="AG2021" s="4">
        <v>43180</v>
      </c>
      <c r="AH2021" s="6">
        <v>-0.408414</v>
      </c>
      <c r="AI2021" s="6">
        <v>-0.72070599999999996</v>
      </c>
      <c r="AJ2021" s="6">
        <v>-0.75047799999999998</v>
      </c>
      <c r="AK2021" s="6"/>
      <c r="AL2021" s="6"/>
      <c r="AM2021" s="6" t="e">
        <f t="shared" si="145"/>
        <v>#DIV/0!</v>
      </c>
    </row>
    <row r="2022" spans="29:39" x14ac:dyDescent="0.3">
      <c r="AC2022">
        <f t="shared" si="144"/>
        <v>0</v>
      </c>
      <c r="AD2022">
        <v>2019</v>
      </c>
      <c r="AE2022" s="4">
        <f t="shared" si="142"/>
        <v>43181</v>
      </c>
      <c r="AF2022" s="6" t="e">
        <f t="shared" si="143"/>
        <v>#DIV/0!</v>
      </c>
      <c r="AG2022" s="4">
        <v>43181</v>
      </c>
      <c r="AH2022" s="6">
        <v>-1.0022329999999999</v>
      </c>
      <c r="AI2022" s="6">
        <v>-0.45644800000000002</v>
      </c>
      <c r="AJ2022" s="6">
        <v>-9.4011999999999998E-2</v>
      </c>
      <c r="AK2022" s="6"/>
      <c r="AL2022" s="6"/>
      <c r="AM2022" s="6" t="e">
        <f t="shared" si="145"/>
        <v>#DIV/0!</v>
      </c>
    </row>
    <row r="2023" spans="29:39" x14ac:dyDescent="0.3">
      <c r="AC2023">
        <f t="shared" si="144"/>
        <v>0</v>
      </c>
      <c r="AD2023">
        <v>2020</v>
      </c>
      <c r="AE2023" s="4">
        <f t="shared" si="142"/>
        <v>43182</v>
      </c>
      <c r="AF2023" s="6" t="e">
        <f t="shared" si="143"/>
        <v>#DIV/0!</v>
      </c>
      <c r="AG2023" s="4">
        <v>43182</v>
      </c>
      <c r="AH2023" s="6">
        <v>-2.870733</v>
      </c>
      <c r="AI2023" s="6">
        <v>-5.1477389999999996</v>
      </c>
      <c r="AJ2023" s="6">
        <v>-5.3483150000000004</v>
      </c>
      <c r="AK2023" s="6"/>
      <c r="AL2023" s="6"/>
      <c r="AM2023" s="6" t="e">
        <f t="shared" si="145"/>
        <v>#DIV/0!</v>
      </c>
    </row>
    <row r="2024" spans="29:39" x14ac:dyDescent="0.3">
      <c r="AC2024">
        <f t="shared" si="144"/>
        <v>0</v>
      </c>
      <c r="AD2024">
        <v>2021</v>
      </c>
      <c r="AE2024" s="4">
        <f t="shared" si="142"/>
        <v>43185</v>
      </c>
      <c r="AF2024" s="6" t="e">
        <f t="shared" si="143"/>
        <v>#DIV/0!</v>
      </c>
      <c r="AG2024" s="4">
        <v>43185</v>
      </c>
      <c r="AH2024" s="6">
        <v>-0.64130399999999999</v>
      </c>
      <c r="AI2024" s="6">
        <v>2.001096</v>
      </c>
      <c r="AJ2024" s="6">
        <v>1.754799</v>
      </c>
      <c r="AK2024" s="6"/>
      <c r="AL2024" s="6"/>
      <c r="AM2024" s="6" t="e">
        <f t="shared" si="145"/>
        <v>#DIV/0!</v>
      </c>
    </row>
    <row r="2025" spans="29:39" x14ac:dyDescent="0.3">
      <c r="AC2025">
        <f t="shared" si="144"/>
        <v>0</v>
      </c>
      <c r="AD2025">
        <v>2022</v>
      </c>
      <c r="AE2025" s="4">
        <f t="shared" si="142"/>
        <v>43186</v>
      </c>
      <c r="AF2025" s="6" t="e">
        <f t="shared" si="143"/>
        <v>#DIV/0!</v>
      </c>
      <c r="AG2025" s="4">
        <v>43186</v>
      </c>
      <c r="AH2025" s="6">
        <v>0.86022699999999996</v>
      </c>
      <c r="AI2025" s="6">
        <v>2.233053</v>
      </c>
      <c r="AJ2025" s="6">
        <v>2.5416180000000002</v>
      </c>
      <c r="AK2025" s="6"/>
      <c r="AL2025" s="6"/>
      <c r="AM2025" s="6" t="e">
        <f t="shared" si="145"/>
        <v>#DIV/0!</v>
      </c>
    </row>
    <row r="2026" spans="29:39" x14ac:dyDescent="0.3">
      <c r="AC2026">
        <f t="shared" si="144"/>
        <v>0</v>
      </c>
      <c r="AD2026">
        <v>2023</v>
      </c>
      <c r="AE2026" s="4">
        <f t="shared" si="142"/>
        <v>43187</v>
      </c>
      <c r="AF2026" s="6" t="e">
        <f t="shared" si="143"/>
        <v>#DIV/0!</v>
      </c>
      <c r="AG2026" s="4">
        <v>43187</v>
      </c>
      <c r="AH2026" s="6">
        <v>-1.8029269999999999</v>
      </c>
      <c r="AI2026" s="6">
        <v>-1.0179929999999999</v>
      </c>
      <c r="AJ2026" s="6">
        <v>-0.673126</v>
      </c>
      <c r="AK2026" s="6"/>
      <c r="AL2026" s="6"/>
      <c r="AM2026" s="6" t="e">
        <f t="shared" si="145"/>
        <v>#DIV/0!</v>
      </c>
    </row>
    <row r="2027" spans="29:39" x14ac:dyDescent="0.3">
      <c r="AC2027">
        <f t="shared" si="144"/>
        <v>0</v>
      </c>
      <c r="AD2027">
        <v>2024</v>
      </c>
      <c r="AE2027" s="4">
        <f t="shared" si="142"/>
        <v>43188</v>
      </c>
      <c r="AF2027" s="6" t="e">
        <f t="shared" si="143"/>
        <v>#DIV/0!</v>
      </c>
      <c r="AG2027" s="4">
        <v>43188</v>
      </c>
      <c r="AH2027" s="6">
        <v>1.3358859999999999</v>
      </c>
      <c r="AI2027" s="6">
        <v>1.0298389999999999</v>
      </c>
      <c r="AJ2027" s="6">
        <v>0.72940199999999999</v>
      </c>
      <c r="AK2027" s="6"/>
      <c r="AL2027" s="6"/>
      <c r="AM2027" s="6" t="e">
        <f t="shared" si="145"/>
        <v>#DIV/0!</v>
      </c>
    </row>
    <row r="2028" spans="29:39" x14ac:dyDescent="0.3">
      <c r="AC2028">
        <f t="shared" si="144"/>
        <v>0</v>
      </c>
      <c r="AD2028">
        <v>2025</v>
      </c>
      <c r="AE2028" s="4">
        <f t="shared" si="142"/>
        <v>43189</v>
      </c>
      <c r="AF2028" s="6" t="e">
        <f t="shared" si="143"/>
        <v>#DIV/0!</v>
      </c>
      <c r="AG2028" s="4">
        <v>43189</v>
      </c>
      <c r="AH2028" s="6">
        <v>0.11422300000000001</v>
      </c>
      <c r="AI2028" s="6">
        <v>1.3236600000000001</v>
      </c>
      <c r="AJ2028" s="6">
        <v>1.711376</v>
      </c>
      <c r="AK2028" s="6"/>
      <c r="AL2028" s="6"/>
      <c r="AM2028" s="6" t="e">
        <f t="shared" si="145"/>
        <v>#DIV/0!</v>
      </c>
    </row>
    <row r="2029" spans="29:39" x14ac:dyDescent="0.3">
      <c r="AC2029">
        <f t="shared" si="144"/>
        <v>0</v>
      </c>
      <c r="AD2029">
        <v>2026</v>
      </c>
      <c r="AE2029" s="4">
        <f t="shared" si="142"/>
        <v>43192</v>
      </c>
      <c r="AF2029" s="6" t="e">
        <f t="shared" si="143"/>
        <v>#DIV/0!</v>
      </c>
      <c r="AG2029" s="4">
        <v>43192</v>
      </c>
      <c r="AH2029" s="6">
        <v>-0.29700700000000002</v>
      </c>
      <c r="AI2029" s="6">
        <v>0.118173</v>
      </c>
      <c r="AJ2029" s="6">
        <v>0.54725699999999999</v>
      </c>
      <c r="AK2029" s="6"/>
      <c r="AL2029" s="6"/>
      <c r="AM2029" s="6" t="e">
        <f t="shared" si="145"/>
        <v>#DIV/0!</v>
      </c>
    </row>
    <row r="2030" spans="29:39" x14ac:dyDescent="0.3">
      <c r="AC2030">
        <f t="shared" si="144"/>
        <v>0</v>
      </c>
      <c r="AD2030">
        <v>2027</v>
      </c>
      <c r="AE2030" s="4">
        <f t="shared" si="142"/>
        <v>43193</v>
      </c>
      <c r="AF2030" s="6" t="e">
        <f t="shared" si="143"/>
        <v>#DIV/0!</v>
      </c>
      <c r="AG2030" s="4">
        <v>43193</v>
      </c>
      <c r="AH2030" s="6">
        <v>-0.62875800000000004</v>
      </c>
      <c r="AI2030" s="6">
        <v>-1.0169170000000001</v>
      </c>
      <c r="AJ2030" s="6">
        <v>-0.97012600000000004</v>
      </c>
      <c r="AK2030" s="6"/>
      <c r="AL2030" s="6"/>
      <c r="AM2030" s="6" t="e">
        <f t="shared" si="145"/>
        <v>#DIV/0!</v>
      </c>
    </row>
    <row r="2031" spans="29:39" x14ac:dyDescent="0.3">
      <c r="AC2031">
        <f t="shared" si="144"/>
        <v>0</v>
      </c>
      <c r="AD2031">
        <v>2028</v>
      </c>
      <c r="AE2031" s="4">
        <f t="shared" si="142"/>
        <v>43194</v>
      </c>
      <c r="AF2031" s="6" t="e">
        <f t="shared" si="143"/>
        <v>#DIV/0!</v>
      </c>
      <c r="AG2031" s="4">
        <v>43194</v>
      </c>
      <c r="AH2031" s="6">
        <v>-0.19720799999999999</v>
      </c>
      <c r="AI2031" s="6">
        <v>-0.69347599999999998</v>
      </c>
      <c r="AJ2031" s="6">
        <v>-0.89571699999999999</v>
      </c>
      <c r="AK2031" s="6"/>
      <c r="AL2031" s="6"/>
      <c r="AM2031" s="6" t="e">
        <f t="shared" si="145"/>
        <v>#DIV/0!</v>
      </c>
    </row>
    <row r="2032" spans="29:39" x14ac:dyDescent="0.3">
      <c r="AC2032">
        <f t="shared" si="144"/>
        <v>0</v>
      </c>
      <c r="AD2032">
        <v>2029</v>
      </c>
      <c r="AE2032" s="4">
        <f t="shared" si="142"/>
        <v>43199</v>
      </c>
      <c r="AF2032" s="6" t="e">
        <f t="shared" si="143"/>
        <v>#DIV/0!</v>
      </c>
      <c r="AG2032" s="4">
        <v>43199</v>
      </c>
      <c r="AH2032" s="6">
        <v>-5.0152000000000002E-2</v>
      </c>
      <c r="AI2032" s="6">
        <v>0.132327</v>
      </c>
      <c r="AJ2032" s="6">
        <v>0.14499200000000001</v>
      </c>
      <c r="AK2032" s="6"/>
      <c r="AL2032" s="6"/>
      <c r="AM2032" s="6" t="e">
        <f t="shared" si="145"/>
        <v>#DIV/0!</v>
      </c>
    </row>
    <row r="2033" spans="29:39" x14ac:dyDescent="0.3">
      <c r="AC2033">
        <f t="shared" si="144"/>
        <v>0</v>
      </c>
      <c r="AD2033">
        <v>2030</v>
      </c>
      <c r="AE2033" s="4">
        <f t="shared" si="142"/>
        <v>43200</v>
      </c>
      <c r="AF2033" s="6" t="e">
        <f t="shared" si="143"/>
        <v>#DIV/0!</v>
      </c>
      <c r="AG2033" s="4">
        <v>43200</v>
      </c>
      <c r="AH2033" s="6">
        <v>1.9269419999999999</v>
      </c>
      <c r="AI2033" s="6">
        <v>0.63218099999999999</v>
      </c>
      <c r="AJ2033" s="6">
        <v>3.1619000000000001E-2</v>
      </c>
      <c r="AK2033" s="6"/>
      <c r="AL2033" s="6"/>
      <c r="AM2033" s="6" t="e">
        <f t="shared" si="145"/>
        <v>#DIV/0!</v>
      </c>
    </row>
    <row r="2034" spans="29:39" x14ac:dyDescent="0.3">
      <c r="AC2034">
        <f t="shared" si="144"/>
        <v>0</v>
      </c>
      <c r="AD2034">
        <v>2031</v>
      </c>
      <c r="AE2034" s="4">
        <f t="shared" si="142"/>
        <v>43201</v>
      </c>
      <c r="AF2034" s="6" t="e">
        <f t="shared" si="143"/>
        <v>#DIV/0!</v>
      </c>
      <c r="AG2034" s="4">
        <v>43201</v>
      </c>
      <c r="AH2034" s="6">
        <v>0.284441</v>
      </c>
      <c r="AI2034" s="6">
        <v>0.37716499999999997</v>
      </c>
      <c r="AJ2034" s="6">
        <v>0.58085699999999996</v>
      </c>
      <c r="AK2034" s="6"/>
      <c r="AL2034" s="6"/>
      <c r="AM2034" s="6" t="e">
        <f t="shared" si="145"/>
        <v>#DIV/0!</v>
      </c>
    </row>
    <row r="2035" spans="29:39" x14ac:dyDescent="0.3">
      <c r="AC2035">
        <f t="shared" si="144"/>
        <v>0</v>
      </c>
      <c r="AD2035">
        <v>2032</v>
      </c>
      <c r="AE2035" s="4">
        <f t="shared" si="142"/>
        <v>43202</v>
      </c>
      <c r="AF2035" s="6" t="e">
        <f t="shared" si="143"/>
        <v>#DIV/0!</v>
      </c>
      <c r="AG2035" s="4">
        <v>43202</v>
      </c>
      <c r="AH2035" s="6">
        <v>-1.0082409999999999</v>
      </c>
      <c r="AI2035" s="6">
        <v>-0.5796</v>
      </c>
      <c r="AJ2035" s="6">
        <v>-0.475858</v>
      </c>
      <c r="AK2035" s="6"/>
      <c r="AL2035" s="6"/>
      <c r="AM2035" s="6" t="e">
        <f t="shared" si="145"/>
        <v>#DIV/0!</v>
      </c>
    </row>
    <row r="2036" spans="29:39" x14ac:dyDescent="0.3">
      <c r="AC2036">
        <f t="shared" si="144"/>
        <v>0</v>
      </c>
      <c r="AD2036">
        <v>2033</v>
      </c>
      <c r="AE2036" s="4">
        <f t="shared" si="142"/>
        <v>43203</v>
      </c>
      <c r="AF2036" s="6" t="e">
        <f t="shared" si="143"/>
        <v>#DIV/0!</v>
      </c>
      <c r="AG2036" s="4">
        <v>43203</v>
      </c>
      <c r="AH2036" s="6">
        <v>-0.70514699999999997</v>
      </c>
      <c r="AI2036" s="6">
        <v>-0.39905099999999999</v>
      </c>
      <c r="AJ2036" s="6">
        <v>-8.8914000000000007E-2</v>
      </c>
      <c r="AK2036" s="6"/>
      <c r="AL2036" s="6"/>
      <c r="AM2036" s="6" t="e">
        <f t="shared" si="145"/>
        <v>#DIV/0!</v>
      </c>
    </row>
    <row r="2037" spans="29:39" x14ac:dyDescent="0.3">
      <c r="AC2037">
        <f t="shared" si="144"/>
        <v>0</v>
      </c>
      <c r="AD2037">
        <v>2034</v>
      </c>
      <c r="AE2037" s="4">
        <f t="shared" si="142"/>
        <v>43206</v>
      </c>
      <c r="AF2037" s="6" t="e">
        <f t="shared" si="143"/>
        <v>#DIV/0!</v>
      </c>
      <c r="AG2037" s="4">
        <v>43206</v>
      </c>
      <c r="AH2037" s="6">
        <v>-1.60886</v>
      </c>
      <c r="AI2037" s="6">
        <v>-0.24524499999999999</v>
      </c>
      <c r="AJ2037" s="6">
        <v>-5.5518999999999999E-2</v>
      </c>
      <c r="AK2037" s="6"/>
      <c r="AL2037" s="6"/>
      <c r="AM2037" s="6" t="e">
        <f t="shared" si="145"/>
        <v>#DIV/0!</v>
      </c>
    </row>
    <row r="2038" spans="29:39" x14ac:dyDescent="0.3">
      <c r="AC2038">
        <f t="shared" si="144"/>
        <v>0</v>
      </c>
      <c r="AD2038">
        <v>2035</v>
      </c>
      <c r="AE2038" s="4">
        <f t="shared" si="142"/>
        <v>43207</v>
      </c>
      <c r="AF2038" s="6" t="e">
        <f t="shared" si="143"/>
        <v>#DIV/0!</v>
      </c>
      <c r="AG2038" s="4">
        <v>43207</v>
      </c>
      <c r="AH2038" s="6">
        <v>-1.581097</v>
      </c>
      <c r="AI2038" s="6">
        <v>-2.0216240000000001</v>
      </c>
      <c r="AJ2038" s="6">
        <v>-2.2810480000000002</v>
      </c>
      <c r="AK2038" s="6"/>
      <c r="AL2038" s="6"/>
      <c r="AM2038" s="6" t="e">
        <f t="shared" si="145"/>
        <v>#DIV/0!</v>
      </c>
    </row>
    <row r="2039" spans="29:39" x14ac:dyDescent="0.3">
      <c r="AC2039">
        <f t="shared" si="144"/>
        <v>0</v>
      </c>
      <c r="AD2039">
        <v>2036</v>
      </c>
      <c r="AE2039" s="4">
        <f t="shared" si="142"/>
        <v>43208</v>
      </c>
      <c r="AF2039" s="6" t="e">
        <f t="shared" si="143"/>
        <v>#DIV/0!</v>
      </c>
      <c r="AG2039" s="4">
        <v>43208</v>
      </c>
      <c r="AH2039" s="6">
        <v>0.47059200000000001</v>
      </c>
      <c r="AI2039" s="6">
        <v>1.354652</v>
      </c>
      <c r="AJ2039" s="6">
        <v>1.4714989999999999</v>
      </c>
      <c r="AK2039" s="6"/>
      <c r="AL2039" s="6"/>
      <c r="AM2039" s="6" t="e">
        <f t="shared" si="145"/>
        <v>#DIV/0!</v>
      </c>
    </row>
    <row r="2040" spans="29:39" x14ac:dyDescent="0.3">
      <c r="AC2040">
        <f t="shared" si="144"/>
        <v>0</v>
      </c>
      <c r="AD2040">
        <v>2037</v>
      </c>
      <c r="AE2040" s="4">
        <f t="shared" si="142"/>
        <v>43209</v>
      </c>
      <c r="AF2040" s="6" t="e">
        <f t="shared" si="143"/>
        <v>#DIV/0!</v>
      </c>
      <c r="AG2040" s="4">
        <v>43209</v>
      </c>
      <c r="AH2040" s="6">
        <v>1.209708</v>
      </c>
      <c r="AI2040" s="6">
        <v>0.57071899999999998</v>
      </c>
      <c r="AJ2040" s="6">
        <v>0.23717199999999999</v>
      </c>
      <c r="AK2040" s="6"/>
      <c r="AL2040" s="6"/>
      <c r="AM2040" s="6" t="e">
        <f t="shared" si="145"/>
        <v>#DIV/0!</v>
      </c>
    </row>
    <row r="2041" spans="29:39" x14ac:dyDescent="0.3">
      <c r="AC2041">
        <f t="shared" si="144"/>
        <v>0</v>
      </c>
      <c r="AD2041">
        <v>2038</v>
      </c>
      <c r="AE2041" s="4">
        <f t="shared" si="142"/>
        <v>43210</v>
      </c>
      <c r="AF2041" s="6" t="e">
        <f t="shared" si="143"/>
        <v>#DIV/0!</v>
      </c>
      <c r="AG2041" s="4">
        <v>43210</v>
      </c>
      <c r="AH2041" s="6">
        <v>-1.337639</v>
      </c>
      <c r="AI2041" s="6">
        <v>-2.0633309999999998</v>
      </c>
      <c r="AJ2041" s="6">
        <v>-2.1135959999999998</v>
      </c>
      <c r="AK2041" s="6"/>
      <c r="AL2041" s="6"/>
      <c r="AM2041" s="6" t="e">
        <f t="shared" si="145"/>
        <v>#DIV/0!</v>
      </c>
    </row>
    <row r="2042" spans="29:39" x14ac:dyDescent="0.3">
      <c r="AC2042">
        <f t="shared" si="144"/>
        <v>0</v>
      </c>
      <c r="AD2042">
        <v>2039</v>
      </c>
      <c r="AE2042" s="4">
        <f t="shared" si="142"/>
        <v>43213</v>
      </c>
      <c r="AF2042" s="6" t="e">
        <f t="shared" si="143"/>
        <v>#DIV/0!</v>
      </c>
      <c r="AG2042" s="4">
        <v>43213</v>
      </c>
      <c r="AH2042" s="6">
        <v>0.145483</v>
      </c>
      <c r="AI2042" s="6">
        <v>-0.96781099999999998</v>
      </c>
      <c r="AJ2042" s="6">
        <v>-1.0625009999999999</v>
      </c>
      <c r="AK2042" s="6"/>
      <c r="AL2042" s="6"/>
      <c r="AM2042" s="6" t="e">
        <f t="shared" si="145"/>
        <v>#DIV/0!</v>
      </c>
    </row>
    <row r="2043" spans="29:39" x14ac:dyDescent="0.3">
      <c r="AC2043">
        <f t="shared" si="144"/>
        <v>0</v>
      </c>
      <c r="AD2043">
        <v>2040</v>
      </c>
      <c r="AE2043" s="4">
        <f t="shared" si="142"/>
        <v>43214</v>
      </c>
      <c r="AF2043" s="6" t="e">
        <f t="shared" si="143"/>
        <v>#DIV/0!</v>
      </c>
      <c r="AG2043" s="4">
        <v>43214</v>
      </c>
      <c r="AH2043" s="6">
        <v>2.0487579999999999</v>
      </c>
      <c r="AI2043" s="6">
        <v>2.2883589999999998</v>
      </c>
      <c r="AJ2043" s="6">
        <v>2.1660080000000002</v>
      </c>
      <c r="AK2043" s="6"/>
      <c r="AL2043" s="6"/>
      <c r="AM2043" s="6" t="e">
        <f t="shared" si="145"/>
        <v>#DIV/0!</v>
      </c>
    </row>
    <row r="2044" spans="29:39" x14ac:dyDescent="0.3">
      <c r="AC2044">
        <f t="shared" si="144"/>
        <v>0</v>
      </c>
      <c r="AD2044">
        <v>2041</v>
      </c>
      <c r="AE2044" s="4">
        <f t="shared" si="142"/>
        <v>43215</v>
      </c>
      <c r="AF2044" s="6" t="e">
        <f t="shared" si="143"/>
        <v>#DIV/0!</v>
      </c>
      <c r="AG2044" s="4">
        <v>43215</v>
      </c>
      <c r="AH2044" s="6">
        <v>-0.38473099999999999</v>
      </c>
      <c r="AI2044" s="6">
        <v>3.7421999999999997E-2</v>
      </c>
      <c r="AJ2044" s="6">
        <v>0.38499</v>
      </c>
      <c r="AK2044" s="6"/>
      <c r="AL2044" s="6"/>
      <c r="AM2044" s="6" t="e">
        <f t="shared" si="145"/>
        <v>#DIV/0!</v>
      </c>
    </row>
    <row r="2045" spans="29:39" x14ac:dyDescent="0.3">
      <c r="AC2045">
        <f t="shared" si="144"/>
        <v>0</v>
      </c>
      <c r="AD2045">
        <v>2042</v>
      </c>
      <c r="AE2045" s="4">
        <f t="shared" si="142"/>
        <v>43216</v>
      </c>
      <c r="AF2045" s="6" t="e">
        <f t="shared" si="143"/>
        <v>#DIV/0!</v>
      </c>
      <c r="AG2045" s="4">
        <v>43216</v>
      </c>
      <c r="AH2045" s="6">
        <v>-1.912069</v>
      </c>
      <c r="AI2045" s="6">
        <v>-1.870071</v>
      </c>
      <c r="AJ2045" s="6">
        <v>-1.831785</v>
      </c>
      <c r="AK2045" s="6"/>
      <c r="AL2045" s="6"/>
      <c r="AM2045" s="6" t="e">
        <f t="shared" si="145"/>
        <v>#DIV/0!</v>
      </c>
    </row>
    <row r="2046" spans="29:39" x14ac:dyDescent="0.3">
      <c r="AC2046">
        <f t="shared" si="144"/>
        <v>0</v>
      </c>
      <c r="AD2046">
        <v>2043</v>
      </c>
      <c r="AE2046" s="4">
        <f t="shared" si="142"/>
        <v>43217</v>
      </c>
      <c r="AF2046" s="6" t="e">
        <f t="shared" si="143"/>
        <v>#DIV/0!</v>
      </c>
      <c r="AG2046" s="4">
        <v>43217</v>
      </c>
      <c r="AH2046" s="6">
        <v>3.6810000000000002E-2</v>
      </c>
      <c r="AI2046" s="6">
        <v>0.22241900000000001</v>
      </c>
      <c r="AJ2046" s="6">
        <v>0.10014199999999999</v>
      </c>
      <c r="AK2046" s="6"/>
      <c r="AL2046" s="6"/>
      <c r="AM2046" s="6" t="e">
        <f t="shared" si="145"/>
        <v>#DIV/0!</v>
      </c>
    </row>
    <row r="2047" spans="29:39" x14ac:dyDescent="0.3">
      <c r="AC2047">
        <f t="shared" si="144"/>
        <v>0</v>
      </c>
      <c r="AD2047">
        <v>2044</v>
      </c>
      <c r="AE2047" s="4">
        <f t="shared" si="142"/>
        <v>43222</v>
      </c>
      <c r="AF2047" s="6" t="e">
        <f t="shared" si="143"/>
        <v>#DIV/0!</v>
      </c>
      <c r="AG2047" s="4">
        <v>43222</v>
      </c>
      <c r="AH2047" s="6">
        <v>0.18019199999999999</v>
      </c>
      <c r="AI2047" s="6">
        <v>-9.6575999999999995E-2</v>
      </c>
      <c r="AJ2047" s="6">
        <v>-0.46400999999999998</v>
      </c>
      <c r="AK2047" s="6"/>
      <c r="AL2047" s="6"/>
      <c r="AM2047" s="6" t="e">
        <f t="shared" si="145"/>
        <v>#DIV/0!</v>
      </c>
    </row>
    <row r="2048" spans="29:39" x14ac:dyDescent="0.3">
      <c r="AC2048">
        <f t="shared" si="144"/>
        <v>0</v>
      </c>
      <c r="AD2048">
        <v>2045</v>
      </c>
      <c r="AE2048" s="4">
        <f t="shared" si="142"/>
        <v>43223</v>
      </c>
      <c r="AF2048" s="6" t="e">
        <f t="shared" si="143"/>
        <v>#DIV/0!</v>
      </c>
      <c r="AG2048" s="4">
        <v>43223</v>
      </c>
      <c r="AH2048" s="6">
        <v>0.77993500000000004</v>
      </c>
      <c r="AI2048" s="6">
        <v>0.94414100000000001</v>
      </c>
      <c r="AJ2048" s="6">
        <v>0.90120999999999996</v>
      </c>
      <c r="AK2048" s="6"/>
      <c r="AL2048" s="6"/>
      <c r="AM2048" s="6" t="e">
        <f t="shared" si="145"/>
        <v>#DIV/0!</v>
      </c>
    </row>
    <row r="2049" spans="29:39" x14ac:dyDescent="0.3">
      <c r="AC2049">
        <f t="shared" si="144"/>
        <v>0</v>
      </c>
      <c r="AD2049">
        <v>2046</v>
      </c>
      <c r="AE2049" s="4">
        <f t="shared" si="142"/>
        <v>43224</v>
      </c>
      <c r="AF2049" s="6" t="e">
        <f t="shared" si="143"/>
        <v>#DIV/0!</v>
      </c>
      <c r="AG2049" s="4">
        <v>43224</v>
      </c>
      <c r="AH2049" s="6">
        <v>-0.485157</v>
      </c>
      <c r="AI2049" s="6">
        <v>-2.2186999999999998E-2</v>
      </c>
      <c r="AJ2049" s="6">
        <v>-0.21360899999999999</v>
      </c>
      <c r="AK2049" s="6"/>
      <c r="AL2049" s="6"/>
      <c r="AM2049" s="6" t="e">
        <f t="shared" si="145"/>
        <v>#DIV/0!</v>
      </c>
    </row>
    <row r="2050" spans="29:39" x14ac:dyDescent="0.3">
      <c r="AC2050">
        <f t="shared" si="144"/>
        <v>0</v>
      </c>
      <c r="AD2050">
        <v>2047</v>
      </c>
      <c r="AE2050" s="4">
        <f t="shared" si="142"/>
        <v>43227</v>
      </c>
      <c r="AF2050" s="6" t="e">
        <f t="shared" si="143"/>
        <v>#DIV/0!</v>
      </c>
      <c r="AG2050" s="4">
        <v>43227</v>
      </c>
      <c r="AH2050" s="6">
        <v>1.5787009999999999</v>
      </c>
      <c r="AI2050" s="6">
        <v>1.8588769999999999</v>
      </c>
      <c r="AJ2050" s="6">
        <v>1.765209</v>
      </c>
      <c r="AK2050" s="6"/>
      <c r="AL2050" s="6"/>
      <c r="AM2050" s="6" t="e">
        <f t="shared" si="145"/>
        <v>#DIV/0!</v>
      </c>
    </row>
    <row r="2051" spans="29:39" x14ac:dyDescent="0.3">
      <c r="AC2051">
        <f t="shared" si="144"/>
        <v>0</v>
      </c>
      <c r="AD2051">
        <v>2048</v>
      </c>
      <c r="AE2051" s="4">
        <f t="shared" si="142"/>
        <v>43228</v>
      </c>
      <c r="AF2051" s="6" t="e">
        <f t="shared" si="143"/>
        <v>#DIV/0!</v>
      </c>
      <c r="AG2051" s="4">
        <v>43228</v>
      </c>
      <c r="AH2051" s="6">
        <v>1.1603239999999999</v>
      </c>
      <c r="AI2051" s="6">
        <v>0.37668800000000002</v>
      </c>
      <c r="AJ2051" s="6">
        <v>0.47484399999999999</v>
      </c>
      <c r="AK2051" s="6"/>
      <c r="AL2051" s="6"/>
      <c r="AM2051" s="6" t="e">
        <f t="shared" si="145"/>
        <v>#DIV/0!</v>
      </c>
    </row>
    <row r="2052" spans="29:39" x14ac:dyDescent="0.3">
      <c r="AC2052">
        <f t="shared" si="144"/>
        <v>0</v>
      </c>
      <c r="AD2052">
        <v>2049</v>
      </c>
      <c r="AE2052" s="4">
        <f t="shared" si="142"/>
        <v>43229</v>
      </c>
      <c r="AF2052" s="6" t="e">
        <f t="shared" si="143"/>
        <v>#DIV/0!</v>
      </c>
      <c r="AG2052" s="4">
        <v>43229</v>
      </c>
      <c r="AH2052" s="6">
        <v>-0.18206</v>
      </c>
      <c r="AI2052" s="6">
        <v>-0.20823900000000001</v>
      </c>
      <c r="AJ2052" s="6">
        <v>-4.8446000000000003E-2</v>
      </c>
      <c r="AK2052" s="6"/>
      <c r="AL2052" s="6"/>
      <c r="AM2052" s="6" t="e">
        <f t="shared" si="145"/>
        <v>#DIV/0!</v>
      </c>
    </row>
    <row r="2053" spans="29:39" x14ac:dyDescent="0.3">
      <c r="AC2053">
        <f t="shared" si="144"/>
        <v>0</v>
      </c>
      <c r="AD2053">
        <v>2050</v>
      </c>
      <c r="AE2053" s="4">
        <f t="shared" ref="AE2053:AE2116" si="146">AG2053</f>
        <v>43230</v>
      </c>
      <c r="AF2053" s="6" t="e">
        <f t="shared" ref="AF2053:AF2116" si="147">AM2053</f>
        <v>#DIV/0!</v>
      </c>
      <c r="AG2053" s="4">
        <v>43230</v>
      </c>
      <c r="AH2053" s="6">
        <v>0.55380799999999997</v>
      </c>
      <c r="AI2053" s="6">
        <v>0.18806200000000001</v>
      </c>
      <c r="AJ2053" s="6">
        <v>0.42399999999999999</v>
      </c>
      <c r="AK2053" s="6"/>
      <c r="AL2053" s="6"/>
      <c r="AM2053" s="6" t="e">
        <f t="shared" si="145"/>
        <v>#DIV/0!</v>
      </c>
    </row>
    <row r="2054" spans="29:39" x14ac:dyDescent="0.3">
      <c r="AC2054">
        <f t="shared" ref="AC2054:AC2117" si="148">IF(AE2054&lt;=AE2053,1,0)</f>
        <v>0</v>
      </c>
      <c r="AD2054">
        <v>2051</v>
      </c>
      <c r="AE2054" s="4">
        <f t="shared" si="146"/>
        <v>43231</v>
      </c>
      <c r="AF2054" s="6" t="e">
        <f t="shared" si="147"/>
        <v>#DIV/0!</v>
      </c>
      <c r="AG2054" s="4">
        <v>43231</v>
      </c>
      <c r="AH2054" s="6">
        <v>-0.51934000000000002</v>
      </c>
      <c r="AI2054" s="6">
        <v>-0.81497600000000003</v>
      </c>
      <c r="AJ2054" s="6">
        <v>-0.991232</v>
      </c>
      <c r="AK2054" s="6"/>
      <c r="AL2054" s="6"/>
      <c r="AM2054" s="6" t="e">
        <f t="shared" ref="AM2054:AM2096" si="149">(AL2054/AL2053-1)*100</f>
        <v>#DIV/0!</v>
      </c>
    </row>
    <row r="2055" spans="29:39" x14ac:dyDescent="0.3">
      <c r="AC2055">
        <f t="shared" si="148"/>
        <v>0</v>
      </c>
      <c r="AD2055">
        <v>2052</v>
      </c>
      <c r="AE2055" s="4">
        <f t="shared" si="146"/>
        <v>43234</v>
      </c>
      <c r="AF2055" s="6" t="e">
        <f t="shared" si="147"/>
        <v>#DIV/0!</v>
      </c>
      <c r="AG2055" s="4">
        <v>43234</v>
      </c>
      <c r="AH2055" s="6">
        <v>0.941299</v>
      </c>
      <c r="AI2055" s="6">
        <v>-0.39704499999999998</v>
      </c>
      <c r="AJ2055" s="6">
        <v>-0.67858799999999997</v>
      </c>
      <c r="AK2055" s="6"/>
      <c r="AL2055" s="6"/>
      <c r="AM2055" s="6" t="e">
        <f t="shared" si="149"/>
        <v>#DIV/0!</v>
      </c>
    </row>
    <row r="2056" spans="29:39" x14ac:dyDescent="0.3">
      <c r="AC2056">
        <f t="shared" si="148"/>
        <v>0</v>
      </c>
      <c r="AD2056">
        <v>2053</v>
      </c>
      <c r="AE2056" s="4">
        <f t="shared" si="146"/>
        <v>43235</v>
      </c>
      <c r="AF2056" s="6" t="e">
        <f t="shared" si="147"/>
        <v>#DIV/0!</v>
      </c>
      <c r="AG2056" s="4">
        <v>43235</v>
      </c>
      <c r="AH2056" s="6">
        <v>0.37869199999999997</v>
      </c>
      <c r="AI2056" s="6">
        <v>0.88839699999999999</v>
      </c>
      <c r="AJ2056" s="6">
        <v>1.0528120000000001</v>
      </c>
      <c r="AK2056" s="6"/>
      <c r="AL2056" s="6"/>
      <c r="AM2056" s="6" t="e">
        <f t="shared" si="149"/>
        <v>#DIV/0!</v>
      </c>
    </row>
    <row r="2057" spans="29:39" x14ac:dyDescent="0.3">
      <c r="AC2057">
        <f t="shared" si="148"/>
        <v>0</v>
      </c>
      <c r="AD2057">
        <v>2054</v>
      </c>
      <c r="AE2057" s="4">
        <f t="shared" si="146"/>
        <v>43236</v>
      </c>
      <c r="AF2057" s="6" t="e">
        <f t="shared" si="147"/>
        <v>#DIV/0!</v>
      </c>
      <c r="AG2057" s="4">
        <v>43236</v>
      </c>
      <c r="AH2057" s="6">
        <v>-0.79644599999999999</v>
      </c>
      <c r="AI2057" s="6">
        <v>-0.27406199999999997</v>
      </c>
      <c r="AJ2057" s="6">
        <v>-0.57779100000000005</v>
      </c>
      <c r="AK2057" s="6"/>
      <c r="AL2057" s="6"/>
      <c r="AM2057" s="6" t="e">
        <f t="shared" si="149"/>
        <v>#DIV/0!</v>
      </c>
    </row>
    <row r="2058" spans="29:39" x14ac:dyDescent="0.3">
      <c r="AC2058">
        <f t="shared" si="148"/>
        <v>0</v>
      </c>
      <c r="AD2058">
        <v>2055</v>
      </c>
      <c r="AE2058" s="4">
        <f t="shared" si="146"/>
        <v>43237</v>
      </c>
      <c r="AF2058" s="6" t="e">
        <f t="shared" si="147"/>
        <v>#DIV/0!</v>
      </c>
      <c r="AG2058" s="4">
        <v>43237</v>
      </c>
      <c r="AH2058" s="6">
        <v>-0.73965199999999998</v>
      </c>
      <c r="AI2058" s="6">
        <v>-0.50450899999999999</v>
      </c>
      <c r="AJ2058" s="6">
        <v>-0.47392600000000001</v>
      </c>
      <c r="AK2058" s="6"/>
      <c r="AL2058" s="6"/>
      <c r="AM2058" s="6" t="e">
        <f t="shared" si="149"/>
        <v>#DIV/0!</v>
      </c>
    </row>
    <row r="2059" spans="29:39" x14ac:dyDescent="0.3">
      <c r="AC2059">
        <f t="shared" si="148"/>
        <v>0</v>
      </c>
      <c r="AD2059">
        <v>2056</v>
      </c>
      <c r="AE2059" s="4">
        <f t="shared" si="146"/>
        <v>43238</v>
      </c>
      <c r="AF2059" s="6" t="e">
        <f t="shared" si="147"/>
        <v>#DIV/0!</v>
      </c>
      <c r="AG2059" s="4">
        <v>43238</v>
      </c>
      <c r="AH2059" s="6">
        <v>1.0096400000000001</v>
      </c>
      <c r="AI2059" s="6">
        <v>0.35775000000000001</v>
      </c>
      <c r="AJ2059" s="6">
        <v>0.44786199999999998</v>
      </c>
      <c r="AK2059" s="6"/>
      <c r="AL2059" s="6"/>
      <c r="AM2059" s="6" t="e">
        <f t="shared" si="149"/>
        <v>#DIV/0!</v>
      </c>
    </row>
    <row r="2060" spans="29:39" x14ac:dyDescent="0.3">
      <c r="AC2060">
        <f t="shared" si="148"/>
        <v>0</v>
      </c>
      <c r="AD2060">
        <v>2057</v>
      </c>
      <c r="AE2060" s="4">
        <f t="shared" si="146"/>
        <v>43241</v>
      </c>
      <c r="AF2060" s="6" t="e">
        <f t="shared" si="147"/>
        <v>#DIV/0!</v>
      </c>
      <c r="AG2060" s="4">
        <v>43241</v>
      </c>
      <c r="AH2060" s="6">
        <v>0.46574700000000002</v>
      </c>
      <c r="AI2060" s="6">
        <v>1.285196</v>
      </c>
      <c r="AJ2060" s="6">
        <v>1.153483</v>
      </c>
      <c r="AK2060" s="6"/>
      <c r="AL2060" s="6"/>
      <c r="AM2060" s="6" t="e">
        <f t="shared" si="149"/>
        <v>#DIV/0!</v>
      </c>
    </row>
    <row r="2061" spans="29:39" x14ac:dyDescent="0.3">
      <c r="AC2061">
        <f t="shared" si="148"/>
        <v>0</v>
      </c>
      <c r="AD2061">
        <v>2058</v>
      </c>
      <c r="AE2061" s="4">
        <f t="shared" si="146"/>
        <v>43242</v>
      </c>
      <c r="AF2061" s="6" t="e">
        <f t="shared" si="147"/>
        <v>#DIV/0!</v>
      </c>
      <c r="AG2061" s="4">
        <v>43242</v>
      </c>
      <c r="AH2061" s="6">
        <v>-0.38339899999999999</v>
      </c>
      <c r="AI2061" s="6">
        <v>0.341026</v>
      </c>
      <c r="AJ2061" s="6">
        <v>0.40695300000000001</v>
      </c>
      <c r="AK2061" s="6"/>
      <c r="AL2061" s="6"/>
      <c r="AM2061" s="6" t="e">
        <f t="shared" si="149"/>
        <v>#DIV/0!</v>
      </c>
    </row>
    <row r="2062" spans="29:39" x14ac:dyDescent="0.3">
      <c r="AC2062">
        <f t="shared" si="148"/>
        <v>0</v>
      </c>
      <c r="AD2062">
        <v>2059</v>
      </c>
      <c r="AE2062" s="4">
        <f t="shared" si="146"/>
        <v>43243</v>
      </c>
      <c r="AF2062" s="6" t="e">
        <f t="shared" si="147"/>
        <v>#DIV/0!</v>
      </c>
      <c r="AG2062" s="4">
        <v>43243</v>
      </c>
      <c r="AH2062" s="6">
        <v>-1.3216300000000001</v>
      </c>
      <c r="AI2062" s="6">
        <v>-1.297569</v>
      </c>
      <c r="AJ2062" s="6">
        <v>-1.0723039999999999</v>
      </c>
      <c r="AK2062" s="6"/>
      <c r="AL2062" s="6"/>
      <c r="AM2062" s="6" t="e">
        <f t="shared" si="149"/>
        <v>#DIV/0!</v>
      </c>
    </row>
    <row r="2063" spans="29:39" x14ac:dyDescent="0.3">
      <c r="AC2063">
        <f t="shared" si="148"/>
        <v>0</v>
      </c>
      <c r="AD2063">
        <v>2060</v>
      </c>
      <c r="AE2063" s="4">
        <f t="shared" si="146"/>
        <v>43244</v>
      </c>
      <c r="AF2063" s="6" t="e">
        <f t="shared" si="147"/>
        <v>#DIV/0!</v>
      </c>
      <c r="AG2063" s="4">
        <v>43244</v>
      </c>
      <c r="AH2063" s="6">
        <v>-0.70994699999999999</v>
      </c>
      <c r="AI2063" s="6">
        <v>-0.35295700000000002</v>
      </c>
      <c r="AJ2063" s="6">
        <v>-0.35762100000000002</v>
      </c>
      <c r="AK2063" s="6"/>
      <c r="AL2063" s="6"/>
      <c r="AM2063" s="6" t="e">
        <f t="shared" si="149"/>
        <v>#DIV/0!</v>
      </c>
    </row>
    <row r="2064" spans="29:39" x14ac:dyDescent="0.3">
      <c r="AC2064">
        <f t="shared" si="148"/>
        <v>0</v>
      </c>
      <c r="AD2064">
        <v>2061</v>
      </c>
      <c r="AE2064" s="4">
        <f t="shared" si="146"/>
        <v>43245</v>
      </c>
      <c r="AF2064" s="6" t="e">
        <f t="shared" si="147"/>
        <v>#DIV/0!</v>
      </c>
      <c r="AG2064" s="4">
        <v>43245</v>
      </c>
      <c r="AH2064" s="6">
        <v>-0.28007300000000002</v>
      </c>
      <c r="AI2064" s="6">
        <v>-1.2485869999999999</v>
      </c>
      <c r="AJ2064" s="6">
        <v>-1.3133090000000001</v>
      </c>
      <c r="AK2064" s="6"/>
      <c r="AL2064" s="6"/>
      <c r="AM2064" s="6" t="e">
        <f t="shared" si="149"/>
        <v>#DIV/0!</v>
      </c>
    </row>
    <row r="2065" spans="29:39" x14ac:dyDescent="0.3">
      <c r="AC2065">
        <f t="shared" si="148"/>
        <v>0</v>
      </c>
      <c r="AD2065">
        <v>2062</v>
      </c>
      <c r="AE2065" s="4">
        <f t="shared" si="146"/>
        <v>43248</v>
      </c>
      <c r="AF2065" s="6" t="e">
        <f t="shared" si="147"/>
        <v>#DIV/0!</v>
      </c>
      <c r="AG2065" s="4">
        <v>43248</v>
      </c>
      <c r="AH2065" s="6">
        <v>0.43919599999999998</v>
      </c>
      <c r="AI2065" s="6">
        <v>-0.44839499999999999</v>
      </c>
      <c r="AJ2065" s="6">
        <v>-0.78032999999999997</v>
      </c>
      <c r="AK2065" s="6"/>
      <c r="AL2065" s="6"/>
      <c r="AM2065" s="6" t="e">
        <f t="shared" si="149"/>
        <v>#DIV/0!</v>
      </c>
    </row>
    <row r="2066" spans="29:39" x14ac:dyDescent="0.3">
      <c r="AC2066">
        <f t="shared" si="148"/>
        <v>0</v>
      </c>
      <c r="AD2066">
        <v>2063</v>
      </c>
      <c r="AE2066" s="4">
        <f t="shared" si="146"/>
        <v>43249</v>
      </c>
      <c r="AF2066" s="6" t="e">
        <f t="shared" si="147"/>
        <v>#DIV/0!</v>
      </c>
      <c r="AG2066" s="4">
        <v>43249</v>
      </c>
      <c r="AH2066" s="6">
        <v>-0.76307400000000003</v>
      </c>
      <c r="AI2066" s="6">
        <v>-0.94745599999999996</v>
      </c>
      <c r="AJ2066" s="6">
        <v>-0.82633199999999996</v>
      </c>
      <c r="AK2066" s="6"/>
      <c r="AL2066" s="6"/>
      <c r="AM2066" s="6" t="e">
        <f t="shared" si="149"/>
        <v>#DIV/0!</v>
      </c>
    </row>
    <row r="2067" spans="29:39" x14ac:dyDescent="0.3">
      <c r="AC2067">
        <f t="shared" si="148"/>
        <v>0</v>
      </c>
      <c r="AD2067">
        <v>2064</v>
      </c>
      <c r="AE2067" s="4">
        <f t="shared" si="146"/>
        <v>43250</v>
      </c>
      <c r="AF2067" s="6" t="e">
        <f t="shared" si="147"/>
        <v>#DIV/0!</v>
      </c>
      <c r="AG2067" s="4">
        <v>43250</v>
      </c>
      <c r="AH2067" s="6">
        <v>-2.1197870000000001</v>
      </c>
      <c r="AI2067" s="6">
        <v>-2.6194660000000001</v>
      </c>
      <c r="AJ2067" s="6">
        <v>-3.174833</v>
      </c>
      <c r="AK2067" s="6"/>
      <c r="AL2067" s="6"/>
      <c r="AM2067" s="6" t="e">
        <f t="shared" si="149"/>
        <v>#DIV/0!</v>
      </c>
    </row>
    <row r="2068" spans="29:39" x14ac:dyDescent="0.3">
      <c r="AC2068">
        <f t="shared" si="148"/>
        <v>0</v>
      </c>
      <c r="AD2068">
        <v>2065</v>
      </c>
      <c r="AE2068" s="4">
        <f t="shared" si="146"/>
        <v>43251</v>
      </c>
      <c r="AF2068" s="6" t="e">
        <f t="shared" si="147"/>
        <v>#DIV/0!</v>
      </c>
      <c r="AG2068" s="4">
        <v>43251</v>
      </c>
      <c r="AH2068" s="6">
        <v>2.121826</v>
      </c>
      <c r="AI2068" s="6">
        <v>1.265031</v>
      </c>
      <c r="AJ2068" s="6">
        <v>1.3278380000000001</v>
      </c>
      <c r="AK2068" s="6"/>
      <c r="AL2068" s="6"/>
      <c r="AM2068" s="6" t="e">
        <f t="shared" si="149"/>
        <v>#DIV/0!</v>
      </c>
    </row>
    <row r="2069" spans="29:39" x14ac:dyDescent="0.3">
      <c r="AC2069">
        <f t="shared" si="148"/>
        <v>0</v>
      </c>
      <c r="AD2069">
        <v>2066</v>
      </c>
      <c r="AE2069" s="4">
        <f t="shared" si="146"/>
        <v>43252</v>
      </c>
      <c r="AF2069" s="6" t="e">
        <f t="shared" si="147"/>
        <v>#DIV/0!</v>
      </c>
      <c r="AG2069" s="4">
        <v>43252</v>
      </c>
      <c r="AH2069" s="6">
        <v>-0.83597200000000005</v>
      </c>
      <c r="AI2069" s="6">
        <v>-1.2053069999999999</v>
      </c>
      <c r="AJ2069" s="6">
        <v>-1.1312489999999999</v>
      </c>
      <c r="AK2069" s="6"/>
      <c r="AL2069" s="6"/>
      <c r="AM2069" s="6" t="e">
        <f t="shared" si="149"/>
        <v>#DIV/0!</v>
      </c>
    </row>
    <row r="2070" spans="29:39" x14ac:dyDescent="0.3">
      <c r="AC2070">
        <f t="shared" si="148"/>
        <v>0</v>
      </c>
      <c r="AD2070">
        <v>2067</v>
      </c>
      <c r="AE2070" s="4">
        <f t="shared" si="146"/>
        <v>43255</v>
      </c>
      <c r="AF2070" s="6" t="e">
        <f t="shared" si="147"/>
        <v>#DIV/0!</v>
      </c>
      <c r="AG2070" s="4">
        <v>43255</v>
      </c>
      <c r="AH2070" s="6">
        <v>0.98098700000000005</v>
      </c>
      <c r="AI2070" s="6">
        <v>-3.4597000000000003E-2</v>
      </c>
      <c r="AJ2070" s="6">
        <v>-0.45042500000000002</v>
      </c>
      <c r="AK2070" s="6"/>
      <c r="AL2070" s="6"/>
      <c r="AM2070" s="6" t="e">
        <f t="shared" si="149"/>
        <v>#DIV/0!</v>
      </c>
    </row>
    <row r="2071" spans="29:39" x14ac:dyDescent="0.3">
      <c r="AC2071">
        <f t="shared" si="148"/>
        <v>0</v>
      </c>
      <c r="AD2071">
        <v>2068</v>
      </c>
      <c r="AE2071" s="4">
        <f t="shared" si="146"/>
        <v>43256</v>
      </c>
      <c r="AF2071" s="6" t="e">
        <f t="shared" si="147"/>
        <v>#DIV/0!</v>
      </c>
      <c r="AG2071" s="4">
        <v>43256</v>
      </c>
      <c r="AH2071" s="6">
        <v>0.99113700000000005</v>
      </c>
      <c r="AI2071" s="6">
        <v>1.687959</v>
      </c>
      <c r="AJ2071" s="6">
        <v>1.621893</v>
      </c>
      <c r="AK2071" s="6"/>
      <c r="AL2071" s="6"/>
      <c r="AM2071" s="6" t="e">
        <f t="shared" si="149"/>
        <v>#DIV/0!</v>
      </c>
    </row>
    <row r="2072" spans="29:39" x14ac:dyDescent="0.3">
      <c r="AC2072">
        <f t="shared" si="148"/>
        <v>0</v>
      </c>
      <c r="AD2072">
        <v>2069</v>
      </c>
      <c r="AE2072" s="4">
        <f t="shared" si="146"/>
        <v>43257</v>
      </c>
      <c r="AF2072" s="6" t="e">
        <f t="shared" si="147"/>
        <v>#DIV/0!</v>
      </c>
      <c r="AG2072" s="4">
        <v>43257</v>
      </c>
      <c r="AH2072" s="6">
        <v>-0.20714299999999999</v>
      </c>
      <c r="AI2072" s="6">
        <v>-8.3409999999999998E-2</v>
      </c>
      <c r="AJ2072" s="6">
        <v>6.4195000000000002E-2</v>
      </c>
      <c r="AK2072" s="6"/>
      <c r="AL2072" s="6"/>
      <c r="AM2072" s="6" t="e">
        <f t="shared" si="149"/>
        <v>#DIV/0!</v>
      </c>
    </row>
    <row r="2073" spans="29:39" x14ac:dyDescent="0.3">
      <c r="AC2073">
        <f t="shared" si="148"/>
        <v>0</v>
      </c>
      <c r="AD2073">
        <v>2070</v>
      </c>
      <c r="AE2073" s="4">
        <f t="shared" si="146"/>
        <v>43258</v>
      </c>
      <c r="AF2073" s="6" t="e">
        <f t="shared" si="147"/>
        <v>#DIV/0!</v>
      </c>
      <c r="AG2073" s="4">
        <v>43258</v>
      </c>
      <c r="AH2073" s="6">
        <v>-0.16517399999999999</v>
      </c>
      <c r="AI2073" s="6">
        <v>-0.62761100000000003</v>
      </c>
      <c r="AJ2073" s="6">
        <v>-0.72130700000000003</v>
      </c>
      <c r="AK2073" s="6"/>
      <c r="AL2073" s="6"/>
      <c r="AM2073" s="6" t="e">
        <f t="shared" si="149"/>
        <v>#DIV/0!</v>
      </c>
    </row>
    <row r="2074" spans="29:39" x14ac:dyDescent="0.3">
      <c r="AC2074">
        <f t="shared" si="148"/>
        <v>0</v>
      </c>
      <c r="AD2074">
        <v>2071</v>
      </c>
      <c r="AE2074" s="4">
        <f t="shared" si="146"/>
        <v>43259</v>
      </c>
      <c r="AF2074" s="6" t="e">
        <f t="shared" si="147"/>
        <v>#DIV/0!</v>
      </c>
      <c r="AG2074" s="4">
        <v>43259</v>
      </c>
      <c r="AH2074" s="6">
        <v>-1.341601</v>
      </c>
      <c r="AI2074" s="6">
        <v>-1.19753</v>
      </c>
      <c r="AJ2074" s="6">
        <v>-1.098476</v>
      </c>
      <c r="AK2074" s="6"/>
      <c r="AL2074" s="6"/>
      <c r="AM2074" s="6" t="e">
        <f t="shared" si="149"/>
        <v>#DIV/0!</v>
      </c>
    </row>
    <row r="2075" spans="29:39" x14ac:dyDescent="0.3">
      <c r="AC2075">
        <f t="shared" si="148"/>
        <v>0</v>
      </c>
      <c r="AD2075">
        <v>2072</v>
      </c>
      <c r="AE2075" s="4">
        <f t="shared" si="146"/>
        <v>43262</v>
      </c>
      <c r="AF2075" s="6" t="e">
        <f t="shared" si="147"/>
        <v>#DIV/0!</v>
      </c>
      <c r="AG2075" s="4">
        <v>43262</v>
      </c>
      <c r="AH2075" s="6">
        <v>9.6810000000000004E-3</v>
      </c>
      <c r="AI2075" s="6">
        <v>-0.651694</v>
      </c>
      <c r="AJ2075" s="6">
        <v>-0.87041199999999996</v>
      </c>
      <c r="AK2075" s="6"/>
      <c r="AL2075" s="6"/>
      <c r="AM2075" s="6" t="e">
        <f t="shared" si="149"/>
        <v>#DIV/0!</v>
      </c>
    </row>
    <row r="2076" spans="29:39" x14ac:dyDescent="0.3">
      <c r="AC2076">
        <f t="shared" si="148"/>
        <v>0</v>
      </c>
      <c r="AD2076">
        <v>2073</v>
      </c>
      <c r="AE2076" s="4">
        <f t="shared" si="146"/>
        <v>43263</v>
      </c>
      <c r="AF2076" s="6" t="e">
        <f t="shared" si="147"/>
        <v>#DIV/0!</v>
      </c>
      <c r="AG2076" s="4">
        <v>43263</v>
      </c>
      <c r="AH2076" s="6">
        <v>1.216186</v>
      </c>
      <c r="AI2076" s="6">
        <v>1.0828420000000001</v>
      </c>
      <c r="AJ2076" s="6">
        <v>0.76749999999999996</v>
      </c>
      <c r="AK2076" s="6"/>
      <c r="AL2076" s="6"/>
      <c r="AM2076" s="6" t="e">
        <f t="shared" si="149"/>
        <v>#DIV/0!</v>
      </c>
    </row>
    <row r="2077" spans="29:39" x14ac:dyDescent="0.3">
      <c r="AC2077">
        <f t="shared" si="148"/>
        <v>0</v>
      </c>
      <c r="AD2077">
        <v>2074</v>
      </c>
      <c r="AE2077" s="4">
        <f t="shared" si="146"/>
        <v>43264</v>
      </c>
      <c r="AF2077" s="6" t="e">
        <f t="shared" si="147"/>
        <v>#DIV/0!</v>
      </c>
      <c r="AG2077" s="4">
        <v>43264</v>
      </c>
      <c r="AH2077" s="6">
        <v>-0.98313499999999998</v>
      </c>
      <c r="AI2077" s="6">
        <v>-1.51631</v>
      </c>
      <c r="AJ2077" s="6">
        <v>-1.7229749999999999</v>
      </c>
      <c r="AK2077" s="6"/>
      <c r="AL2077" s="6"/>
      <c r="AM2077" s="6" t="e">
        <f t="shared" si="149"/>
        <v>#DIV/0!</v>
      </c>
    </row>
    <row r="2078" spans="29:39" x14ac:dyDescent="0.3">
      <c r="AC2078">
        <f t="shared" si="148"/>
        <v>0</v>
      </c>
      <c r="AD2078">
        <v>2075</v>
      </c>
      <c r="AE2078" s="4">
        <f t="shared" si="146"/>
        <v>43265</v>
      </c>
      <c r="AF2078" s="6" t="e">
        <f t="shared" si="147"/>
        <v>#DIV/0!</v>
      </c>
      <c r="AG2078" s="4">
        <v>43265</v>
      </c>
      <c r="AH2078" s="6">
        <v>-0.39525500000000002</v>
      </c>
      <c r="AI2078" s="6">
        <v>-0.35822799999999999</v>
      </c>
      <c r="AJ2078" s="6">
        <v>-0.52879200000000004</v>
      </c>
      <c r="AK2078" s="6"/>
      <c r="AL2078" s="6"/>
      <c r="AM2078" s="6" t="e">
        <f t="shared" si="149"/>
        <v>#DIV/0!</v>
      </c>
    </row>
    <row r="2079" spans="29:39" x14ac:dyDescent="0.3">
      <c r="AC2079">
        <f t="shared" si="148"/>
        <v>0</v>
      </c>
      <c r="AD2079">
        <v>2076</v>
      </c>
      <c r="AE2079" s="4">
        <f t="shared" si="146"/>
        <v>43266</v>
      </c>
      <c r="AF2079" s="6" t="e">
        <f t="shared" si="147"/>
        <v>#DIV/0!</v>
      </c>
      <c r="AG2079" s="4">
        <v>43266</v>
      </c>
      <c r="AH2079" s="6">
        <v>-0.52822100000000005</v>
      </c>
      <c r="AI2079" s="6">
        <v>-1.8433520000000001</v>
      </c>
      <c r="AJ2079" s="6">
        <v>-2.1790989999999999</v>
      </c>
      <c r="AK2079" s="6"/>
      <c r="AL2079" s="6"/>
      <c r="AM2079" s="6" t="e">
        <f t="shared" si="149"/>
        <v>#DIV/0!</v>
      </c>
    </row>
    <row r="2080" spans="29:39" x14ac:dyDescent="0.3">
      <c r="AC2080">
        <f t="shared" si="148"/>
        <v>0</v>
      </c>
      <c r="AD2080">
        <v>2077</v>
      </c>
      <c r="AE2080" s="4">
        <f t="shared" si="146"/>
        <v>43270</v>
      </c>
      <c r="AF2080" s="6" t="e">
        <f t="shared" si="147"/>
        <v>#DIV/0!</v>
      </c>
      <c r="AG2080" s="4">
        <v>43270</v>
      </c>
      <c r="AH2080" s="6">
        <v>-3.5252309999999998</v>
      </c>
      <c r="AI2080" s="6">
        <v>-6.2406740000000003</v>
      </c>
      <c r="AJ2080" s="6">
        <v>-6.841075</v>
      </c>
      <c r="AK2080" s="6"/>
      <c r="AL2080" s="6"/>
      <c r="AM2080" s="6" t="e">
        <f t="shared" si="149"/>
        <v>#DIV/0!</v>
      </c>
    </row>
    <row r="2081" spans="29:39" x14ac:dyDescent="0.3">
      <c r="AC2081">
        <f t="shared" si="148"/>
        <v>0</v>
      </c>
      <c r="AD2081">
        <v>2078</v>
      </c>
      <c r="AE2081" s="4">
        <f t="shared" si="146"/>
        <v>43271</v>
      </c>
      <c r="AF2081" s="6" t="e">
        <f t="shared" si="147"/>
        <v>#DIV/0!</v>
      </c>
      <c r="AG2081" s="4">
        <v>43271</v>
      </c>
      <c r="AH2081" s="6">
        <v>0.39565099999999997</v>
      </c>
      <c r="AI2081" s="6">
        <v>1.1024350000000001</v>
      </c>
      <c r="AJ2081" s="6">
        <v>1.1904220000000001</v>
      </c>
      <c r="AK2081" s="6"/>
      <c r="AL2081" s="6"/>
      <c r="AM2081" s="6" t="e">
        <f t="shared" si="149"/>
        <v>#DIV/0!</v>
      </c>
    </row>
    <row r="2082" spans="29:39" x14ac:dyDescent="0.3">
      <c r="AC2082">
        <f t="shared" si="148"/>
        <v>0</v>
      </c>
      <c r="AD2082">
        <v>2079</v>
      </c>
      <c r="AE2082" s="4">
        <f t="shared" si="146"/>
        <v>43272</v>
      </c>
      <c r="AF2082" s="6" t="e">
        <f t="shared" si="147"/>
        <v>#DIV/0!</v>
      </c>
      <c r="AG2082" s="4">
        <v>43272</v>
      </c>
      <c r="AH2082" s="6">
        <v>-1.1684570000000001</v>
      </c>
      <c r="AI2082" s="6">
        <v>-2.0995200000000001</v>
      </c>
      <c r="AJ2082" s="6">
        <v>-2.3506290000000001</v>
      </c>
      <c r="AK2082" s="6"/>
      <c r="AL2082" s="6"/>
      <c r="AM2082" s="6" t="e">
        <f t="shared" si="149"/>
        <v>#DIV/0!</v>
      </c>
    </row>
    <row r="2083" spans="29:39" x14ac:dyDescent="0.3">
      <c r="AC2083">
        <f t="shared" si="148"/>
        <v>0</v>
      </c>
      <c r="AD2083">
        <v>2080</v>
      </c>
      <c r="AE2083" s="4">
        <f t="shared" si="146"/>
        <v>43273</v>
      </c>
      <c r="AF2083" s="6" t="e">
        <f t="shared" si="147"/>
        <v>#DIV/0!</v>
      </c>
      <c r="AG2083" s="4">
        <v>43273</v>
      </c>
      <c r="AH2083" s="6">
        <v>0.44363399999999997</v>
      </c>
      <c r="AI2083" s="6">
        <v>1.3925540000000001</v>
      </c>
      <c r="AJ2083" s="6">
        <v>1.54783</v>
      </c>
      <c r="AK2083" s="6"/>
      <c r="AL2083" s="6"/>
      <c r="AM2083" s="6" t="e">
        <f t="shared" si="149"/>
        <v>#DIV/0!</v>
      </c>
    </row>
    <row r="2084" spans="29:39" x14ac:dyDescent="0.3">
      <c r="AC2084">
        <f t="shared" si="148"/>
        <v>0</v>
      </c>
      <c r="AD2084">
        <v>2081</v>
      </c>
      <c r="AE2084" s="4">
        <f t="shared" si="146"/>
        <v>43276</v>
      </c>
      <c r="AF2084" s="6" t="e">
        <f t="shared" si="147"/>
        <v>#DIV/0!</v>
      </c>
      <c r="AG2084" s="4">
        <v>43276</v>
      </c>
      <c r="AH2084" s="6">
        <v>-1.3418730000000001</v>
      </c>
      <c r="AI2084" s="6">
        <v>-0.68001299999999998</v>
      </c>
      <c r="AJ2084" s="6">
        <v>-0.52227299999999999</v>
      </c>
      <c r="AK2084" s="6"/>
      <c r="AL2084" s="6"/>
      <c r="AM2084" s="6" t="e">
        <f t="shared" si="149"/>
        <v>#DIV/0!</v>
      </c>
    </row>
    <row r="2085" spans="29:39" x14ac:dyDescent="0.3">
      <c r="AC2085">
        <f t="shared" si="148"/>
        <v>0</v>
      </c>
      <c r="AD2085">
        <v>2082</v>
      </c>
      <c r="AE2085" s="4">
        <f t="shared" si="146"/>
        <v>43277</v>
      </c>
      <c r="AF2085" s="6" t="e">
        <f t="shared" si="147"/>
        <v>#DIV/0!</v>
      </c>
      <c r="AG2085" s="4">
        <v>43277</v>
      </c>
      <c r="AH2085" s="6">
        <v>-0.82479100000000005</v>
      </c>
      <c r="AI2085" s="6">
        <v>0.68779299999999999</v>
      </c>
      <c r="AJ2085" s="6">
        <v>0.83956900000000001</v>
      </c>
      <c r="AK2085" s="6"/>
      <c r="AL2085" s="6"/>
      <c r="AM2085" s="6" t="e">
        <f t="shared" si="149"/>
        <v>#DIV/0!</v>
      </c>
    </row>
    <row r="2086" spans="29:39" x14ac:dyDescent="0.3">
      <c r="AC2086">
        <f t="shared" si="148"/>
        <v>0</v>
      </c>
      <c r="AD2086">
        <v>2083</v>
      </c>
      <c r="AE2086" s="4">
        <f t="shared" si="146"/>
        <v>43278</v>
      </c>
      <c r="AF2086" s="6" t="e">
        <f t="shared" si="147"/>
        <v>#DIV/0!</v>
      </c>
      <c r="AG2086" s="4">
        <v>43278</v>
      </c>
      <c r="AH2086" s="6">
        <v>-2.034745</v>
      </c>
      <c r="AI2086" s="6">
        <v>-0.98415900000000001</v>
      </c>
      <c r="AJ2086" s="6">
        <v>-0.89586600000000005</v>
      </c>
      <c r="AK2086" s="6"/>
      <c r="AL2086" s="6"/>
      <c r="AM2086" s="6" t="e">
        <f t="shared" si="149"/>
        <v>#DIV/0!</v>
      </c>
    </row>
    <row r="2087" spans="29:39" x14ac:dyDescent="0.3">
      <c r="AC2087">
        <f t="shared" si="148"/>
        <v>0</v>
      </c>
      <c r="AD2087">
        <v>2084</v>
      </c>
      <c r="AE2087" s="4">
        <f t="shared" si="146"/>
        <v>43279</v>
      </c>
      <c r="AF2087" s="6" t="e">
        <f t="shared" si="147"/>
        <v>#DIV/0!</v>
      </c>
      <c r="AG2087" s="4">
        <v>43279</v>
      </c>
      <c r="AH2087" s="6">
        <v>-1.0330699999999999</v>
      </c>
      <c r="AI2087" s="6">
        <v>-1.0644530000000001</v>
      </c>
      <c r="AJ2087" s="6">
        <v>-1.1811050000000001</v>
      </c>
      <c r="AK2087" s="6"/>
      <c r="AL2087" s="6"/>
      <c r="AM2087" s="6" t="e">
        <f t="shared" si="149"/>
        <v>#DIV/0!</v>
      </c>
    </row>
    <row r="2088" spans="29:39" x14ac:dyDescent="0.3">
      <c r="AC2088">
        <f t="shared" si="148"/>
        <v>0</v>
      </c>
      <c r="AD2088">
        <v>2085</v>
      </c>
      <c r="AE2088" s="4">
        <f t="shared" si="146"/>
        <v>43280</v>
      </c>
      <c r="AF2088" s="6" t="e">
        <f t="shared" si="147"/>
        <v>#DIV/0!</v>
      </c>
      <c r="AG2088" s="4">
        <v>43280</v>
      </c>
      <c r="AH2088" s="6">
        <v>2.5546470000000001</v>
      </c>
      <c r="AI2088" s="6">
        <v>3.2176360000000002</v>
      </c>
      <c r="AJ2088" s="6">
        <v>3.0251890000000001</v>
      </c>
      <c r="AK2088" s="6"/>
      <c r="AL2088" s="6"/>
      <c r="AM2088" s="6" t="e">
        <f t="shared" si="149"/>
        <v>#DIV/0!</v>
      </c>
    </row>
    <row r="2089" spans="29:39" x14ac:dyDescent="0.3">
      <c r="AC2089">
        <f t="shared" si="148"/>
        <v>0</v>
      </c>
      <c r="AD2089">
        <v>2086</v>
      </c>
      <c r="AE2089" s="4">
        <f t="shared" si="146"/>
        <v>43283</v>
      </c>
      <c r="AF2089" s="6" t="e">
        <f t="shared" si="147"/>
        <v>#DIV/0!</v>
      </c>
      <c r="AG2089" s="4">
        <v>43283</v>
      </c>
      <c r="AH2089" s="6">
        <v>-2.93424</v>
      </c>
      <c r="AI2089" s="6">
        <v>-1.5137080000000001</v>
      </c>
      <c r="AJ2089" s="6">
        <v>-1.256003</v>
      </c>
      <c r="AK2089" s="6"/>
      <c r="AL2089" s="6"/>
      <c r="AM2089" s="6" t="e">
        <f t="shared" si="149"/>
        <v>#DIV/0!</v>
      </c>
    </row>
    <row r="2090" spans="29:39" x14ac:dyDescent="0.3">
      <c r="AC2090">
        <f t="shared" si="148"/>
        <v>0</v>
      </c>
      <c r="AD2090">
        <v>2087</v>
      </c>
      <c r="AE2090" s="4">
        <f t="shared" si="146"/>
        <v>43284</v>
      </c>
      <c r="AF2090" s="6" t="e">
        <f t="shared" si="147"/>
        <v>#DIV/0!</v>
      </c>
      <c r="AG2090" s="4">
        <v>43284</v>
      </c>
      <c r="AH2090" s="6">
        <v>3.8623999999999999E-2</v>
      </c>
      <c r="AI2090" s="6">
        <v>1.1354580000000001</v>
      </c>
      <c r="AJ2090" s="6">
        <v>1.1465719999999999</v>
      </c>
      <c r="AK2090" s="6"/>
      <c r="AL2090" s="6"/>
      <c r="AM2090" s="6" t="e">
        <f t="shared" si="149"/>
        <v>#DIV/0!</v>
      </c>
    </row>
    <row r="2091" spans="29:39" x14ac:dyDescent="0.3">
      <c r="AC2091">
        <f t="shared" si="148"/>
        <v>0</v>
      </c>
      <c r="AD2091">
        <v>2088</v>
      </c>
      <c r="AE2091" s="4">
        <f t="shared" si="146"/>
        <v>43285</v>
      </c>
      <c r="AF2091" s="6" t="e">
        <f t="shared" si="147"/>
        <v>#DIV/0!</v>
      </c>
      <c r="AG2091" s="4">
        <v>43285</v>
      </c>
      <c r="AH2091" s="6">
        <v>-1.335555</v>
      </c>
      <c r="AI2091" s="6">
        <v>-1.4582599999999999</v>
      </c>
      <c r="AJ2091" s="6">
        <v>-1.8017240000000001</v>
      </c>
      <c r="AK2091" s="6"/>
      <c r="AL2091" s="6"/>
      <c r="AM2091" s="6" t="e">
        <f t="shared" si="149"/>
        <v>#DIV/0!</v>
      </c>
    </row>
    <row r="2092" spans="29:39" x14ac:dyDescent="0.3">
      <c r="AC2092">
        <f t="shared" si="148"/>
        <v>0</v>
      </c>
      <c r="AD2092">
        <v>2089</v>
      </c>
      <c r="AE2092" s="4">
        <f t="shared" si="146"/>
        <v>43286</v>
      </c>
      <c r="AF2092" s="6" t="e">
        <f t="shared" si="147"/>
        <v>#DIV/0!</v>
      </c>
      <c r="AG2092" s="4">
        <v>43286</v>
      </c>
      <c r="AH2092" s="6">
        <v>-0.63350200000000001</v>
      </c>
      <c r="AI2092" s="6">
        <v>-2.7059479999999998</v>
      </c>
      <c r="AJ2092" s="6">
        <v>-2.69068</v>
      </c>
      <c r="AK2092" s="6"/>
      <c r="AL2092" s="6"/>
      <c r="AM2092" s="6" t="e">
        <f t="shared" si="149"/>
        <v>#DIV/0!</v>
      </c>
    </row>
    <row r="2093" spans="29:39" x14ac:dyDescent="0.3">
      <c r="AC2093">
        <f t="shared" si="148"/>
        <v>0</v>
      </c>
      <c r="AD2093">
        <v>2090</v>
      </c>
      <c r="AE2093" s="4">
        <f t="shared" si="146"/>
        <v>43287</v>
      </c>
      <c r="AF2093" s="6" t="e">
        <f t="shared" si="147"/>
        <v>#DIV/0!</v>
      </c>
      <c r="AG2093" s="4">
        <v>43287</v>
      </c>
      <c r="AH2093" s="6">
        <v>0.67869000000000002</v>
      </c>
      <c r="AI2093" s="6">
        <v>0.27830300000000002</v>
      </c>
      <c r="AJ2093" s="6">
        <v>0.40951599999999999</v>
      </c>
      <c r="AK2093" s="6"/>
      <c r="AL2093" s="6"/>
      <c r="AM2093" s="6" t="e">
        <f t="shared" si="149"/>
        <v>#DIV/0!</v>
      </c>
    </row>
    <row r="2094" spans="29:39" x14ac:dyDescent="0.3">
      <c r="AC2094">
        <f t="shared" si="148"/>
        <v>0</v>
      </c>
      <c r="AD2094">
        <v>2091</v>
      </c>
      <c r="AE2094" s="4">
        <f t="shared" si="146"/>
        <v>43290</v>
      </c>
      <c r="AF2094" s="6" t="e">
        <f t="shared" si="147"/>
        <v>#DIV/0!</v>
      </c>
      <c r="AG2094" s="4">
        <v>43290</v>
      </c>
      <c r="AH2094" s="6">
        <v>2.7951730000000001</v>
      </c>
      <c r="AI2094" s="6">
        <v>2.2199119999999999</v>
      </c>
      <c r="AJ2094" s="6">
        <v>2.101909</v>
      </c>
      <c r="AK2094" s="6"/>
      <c r="AL2094" s="6"/>
      <c r="AM2094" s="6" t="e">
        <f t="shared" si="149"/>
        <v>#DIV/0!</v>
      </c>
    </row>
    <row r="2095" spans="29:39" x14ac:dyDescent="0.3">
      <c r="AC2095">
        <f t="shared" si="148"/>
        <v>0</v>
      </c>
      <c r="AD2095">
        <v>2092</v>
      </c>
      <c r="AE2095" s="4">
        <f t="shared" si="146"/>
        <v>43291</v>
      </c>
      <c r="AF2095" s="6" t="e">
        <f t="shared" si="147"/>
        <v>#DIV/0!</v>
      </c>
      <c r="AG2095" s="4">
        <v>43291</v>
      </c>
      <c r="AH2095" s="6">
        <v>0.24085999999999999</v>
      </c>
      <c r="AI2095" s="6">
        <v>0.56743200000000005</v>
      </c>
      <c r="AJ2095" s="6">
        <v>0.678871</v>
      </c>
      <c r="AK2095" s="6"/>
      <c r="AL2095" s="6"/>
      <c r="AM2095" s="6" t="e">
        <f t="shared" si="149"/>
        <v>#DIV/0!</v>
      </c>
    </row>
    <row r="2096" spans="29:39" x14ac:dyDescent="0.3">
      <c r="AC2096">
        <f t="shared" si="148"/>
        <v>0</v>
      </c>
      <c r="AD2096">
        <v>2093</v>
      </c>
      <c r="AE2096" s="4">
        <f t="shared" si="146"/>
        <v>43292</v>
      </c>
      <c r="AF2096" s="6" t="e">
        <f t="shared" si="147"/>
        <v>#DIV/0!</v>
      </c>
      <c r="AG2096" s="4">
        <v>43292</v>
      </c>
      <c r="AH2096" s="6">
        <v>-1.7299359999999999</v>
      </c>
      <c r="AI2096" s="6">
        <v>-1.954161</v>
      </c>
      <c r="AJ2096" s="6">
        <v>-2.3256999999999999</v>
      </c>
      <c r="AK2096" s="6"/>
      <c r="AL2096" s="6"/>
      <c r="AM2096" s="6" t="e">
        <f t="shared" si="149"/>
        <v>#DIV/0!</v>
      </c>
    </row>
    <row r="2097" spans="29:32" x14ac:dyDescent="0.3">
      <c r="AC2097">
        <f t="shared" si="148"/>
        <v>1</v>
      </c>
      <c r="AD2097">
        <v>2094</v>
      </c>
      <c r="AE2097" s="4">
        <f t="shared" si="146"/>
        <v>0</v>
      </c>
      <c r="AF2097" s="6">
        <f t="shared" si="147"/>
        <v>0</v>
      </c>
    </row>
    <row r="2098" spans="29:32" x14ac:dyDescent="0.3">
      <c r="AC2098">
        <f t="shared" si="148"/>
        <v>1</v>
      </c>
      <c r="AD2098">
        <v>2095</v>
      </c>
      <c r="AE2098" s="4">
        <f t="shared" si="146"/>
        <v>0</v>
      </c>
      <c r="AF2098" s="6">
        <f t="shared" si="147"/>
        <v>0</v>
      </c>
    </row>
    <row r="2099" spans="29:32" x14ac:dyDescent="0.3">
      <c r="AC2099">
        <f t="shared" si="148"/>
        <v>1</v>
      </c>
      <c r="AD2099">
        <v>2096</v>
      </c>
      <c r="AE2099" s="4">
        <f t="shared" si="146"/>
        <v>0</v>
      </c>
      <c r="AF2099" s="6">
        <f t="shared" si="147"/>
        <v>0</v>
      </c>
    </row>
    <row r="2100" spans="29:32" x14ac:dyDescent="0.3">
      <c r="AC2100">
        <f t="shared" si="148"/>
        <v>1</v>
      </c>
      <c r="AD2100">
        <v>2097</v>
      </c>
      <c r="AE2100" s="4">
        <f t="shared" si="146"/>
        <v>0</v>
      </c>
      <c r="AF2100" s="6">
        <f t="shared" si="147"/>
        <v>0</v>
      </c>
    </row>
    <row r="2101" spans="29:32" x14ac:dyDescent="0.3">
      <c r="AC2101">
        <f t="shared" si="148"/>
        <v>1</v>
      </c>
      <c r="AD2101">
        <v>2098</v>
      </c>
      <c r="AE2101" s="4">
        <f t="shared" si="146"/>
        <v>0</v>
      </c>
      <c r="AF2101" s="6">
        <f t="shared" si="147"/>
        <v>0</v>
      </c>
    </row>
    <row r="2102" spans="29:32" x14ac:dyDescent="0.3">
      <c r="AC2102">
        <f t="shared" si="148"/>
        <v>1</v>
      </c>
      <c r="AD2102">
        <v>2099</v>
      </c>
      <c r="AE2102" s="4">
        <f t="shared" si="146"/>
        <v>0</v>
      </c>
      <c r="AF2102" s="6">
        <f t="shared" si="147"/>
        <v>0</v>
      </c>
    </row>
    <row r="2103" spans="29:32" x14ac:dyDescent="0.3">
      <c r="AC2103">
        <f t="shared" si="148"/>
        <v>1</v>
      </c>
      <c r="AD2103">
        <v>2100</v>
      </c>
      <c r="AE2103" s="4">
        <f t="shared" si="146"/>
        <v>0</v>
      </c>
      <c r="AF2103" s="6">
        <f t="shared" si="147"/>
        <v>0</v>
      </c>
    </row>
    <row r="2104" spans="29:32" x14ac:dyDescent="0.3">
      <c r="AC2104">
        <f t="shared" si="148"/>
        <v>1</v>
      </c>
      <c r="AD2104">
        <v>2101</v>
      </c>
      <c r="AE2104" s="4">
        <f t="shared" si="146"/>
        <v>0</v>
      </c>
      <c r="AF2104" s="6">
        <f t="shared" si="147"/>
        <v>0</v>
      </c>
    </row>
    <row r="2105" spans="29:32" x14ac:dyDescent="0.3">
      <c r="AC2105">
        <f t="shared" si="148"/>
        <v>1</v>
      </c>
      <c r="AD2105">
        <v>2102</v>
      </c>
      <c r="AE2105" s="4">
        <f t="shared" si="146"/>
        <v>0</v>
      </c>
      <c r="AF2105" s="6">
        <f t="shared" si="147"/>
        <v>0</v>
      </c>
    </row>
    <row r="2106" spans="29:32" x14ac:dyDescent="0.3">
      <c r="AC2106">
        <f t="shared" si="148"/>
        <v>1</v>
      </c>
      <c r="AD2106">
        <v>2103</v>
      </c>
      <c r="AE2106" s="4">
        <f t="shared" si="146"/>
        <v>0</v>
      </c>
      <c r="AF2106" s="6">
        <f t="shared" si="147"/>
        <v>0</v>
      </c>
    </row>
    <row r="2107" spans="29:32" x14ac:dyDescent="0.3">
      <c r="AC2107">
        <f t="shared" si="148"/>
        <v>1</v>
      </c>
      <c r="AD2107">
        <v>2104</v>
      </c>
      <c r="AE2107" s="4">
        <f t="shared" si="146"/>
        <v>0</v>
      </c>
      <c r="AF2107" s="6">
        <f t="shared" si="147"/>
        <v>0</v>
      </c>
    </row>
    <row r="2108" spans="29:32" x14ac:dyDescent="0.3">
      <c r="AC2108">
        <f t="shared" si="148"/>
        <v>1</v>
      </c>
      <c r="AD2108">
        <v>2105</v>
      </c>
      <c r="AE2108" s="4">
        <f t="shared" si="146"/>
        <v>0</v>
      </c>
      <c r="AF2108" s="6">
        <f t="shared" si="147"/>
        <v>0</v>
      </c>
    </row>
    <row r="2109" spans="29:32" x14ac:dyDescent="0.3">
      <c r="AC2109">
        <f t="shared" si="148"/>
        <v>1</v>
      </c>
      <c r="AD2109">
        <v>2106</v>
      </c>
      <c r="AE2109" s="4">
        <f t="shared" si="146"/>
        <v>0</v>
      </c>
      <c r="AF2109" s="6">
        <f t="shared" si="147"/>
        <v>0</v>
      </c>
    </row>
    <row r="2110" spans="29:32" x14ac:dyDescent="0.3">
      <c r="AC2110">
        <f t="shared" si="148"/>
        <v>1</v>
      </c>
      <c r="AD2110">
        <v>2107</v>
      </c>
      <c r="AE2110" s="4">
        <f t="shared" si="146"/>
        <v>0</v>
      </c>
      <c r="AF2110" s="6">
        <f t="shared" si="147"/>
        <v>0</v>
      </c>
    </row>
    <row r="2111" spans="29:32" x14ac:dyDescent="0.3">
      <c r="AC2111">
        <f t="shared" si="148"/>
        <v>1</v>
      </c>
      <c r="AD2111">
        <v>2108</v>
      </c>
      <c r="AE2111" s="4">
        <f t="shared" si="146"/>
        <v>0</v>
      </c>
      <c r="AF2111" s="6">
        <f t="shared" si="147"/>
        <v>0</v>
      </c>
    </row>
    <row r="2112" spans="29:32" x14ac:dyDescent="0.3">
      <c r="AC2112">
        <f t="shared" si="148"/>
        <v>1</v>
      </c>
      <c r="AD2112">
        <v>2109</v>
      </c>
      <c r="AE2112" s="4">
        <f t="shared" si="146"/>
        <v>0</v>
      </c>
      <c r="AF2112" s="6">
        <f t="shared" si="147"/>
        <v>0</v>
      </c>
    </row>
    <row r="2113" spans="29:32" x14ac:dyDescent="0.3">
      <c r="AC2113">
        <f t="shared" si="148"/>
        <v>1</v>
      </c>
      <c r="AD2113">
        <v>2110</v>
      </c>
      <c r="AE2113" s="4">
        <f t="shared" si="146"/>
        <v>0</v>
      </c>
      <c r="AF2113" s="6">
        <f t="shared" si="147"/>
        <v>0</v>
      </c>
    </row>
    <row r="2114" spans="29:32" x14ac:dyDescent="0.3">
      <c r="AC2114">
        <f t="shared" si="148"/>
        <v>1</v>
      </c>
      <c r="AD2114">
        <v>2111</v>
      </c>
      <c r="AE2114" s="4">
        <f t="shared" si="146"/>
        <v>0</v>
      </c>
      <c r="AF2114" s="6">
        <f t="shared" si="147"/>
        <v>0</v>
      </c>
    </row>
    <row r="2115" spans="29:32" x14ac:dyDescent="0.3">
      <c r="AC2115">
        <f t="shared" si="148"/>
        <v>1</v>
      </c>
      <c r="AD2115">
        <v>2112</v>
      </c>
      <c r="AE2115" s="4">
        <f t="shared" si="146"/>
        <v>0</v>
      </c>
      <c r="AF2115" s="6">
        <f t="shared" si="147"/>
        <v>0</v>
      </c>
    </row>
    <row r="2116" spans="29:32" x14ac:dyDescent="0.3">
      <c r="AC2116">
        <f t="shared" si="148"/>
        <v>1</v>
      </c>
      <c r="AD2116">
        <v>2113</v>
      </c>
      <c r="AE2116" s="4">
        <f t="shared" si="146"/>
        <v>0</v>
      </c>
      <c r="AF2116" s="6">
        <f t="shared" si="147"/>
        <v>0</v>
      </c>
    </row>
    <row r="2117" spans="29:32" x14ac:dyDescent="0.3">
      <c r="AC2117">
        <f t="shared" si="148"/>
        <v>1</v>
      </c>
      <c r="AD2117">
        <v>2114</v>
      </c>
      <c r="AE2117" s="4">
        <f t="shared" ref="AE2117:AE2125" si="150">AG2117</f>
        <v>0</v>
      </c>
      <c r="AF2117" s="6">
        <f t="shared" ref="AF2117:AF2125" si="151">AM2117</f>
        <v>0</v>
      </c>
    </row>
    <row r="2118" spans="29:32" x14ac:dyDescent="0.3">
      <c r="AC2118">
        <f t="shared" ref="AC2118:AC2125" si="152">IF(AE2118&lt;=AE2117,1,0)</f>
        <v>1</v>
      </c>
      <c r="AD2118">
        <v>2115</v>
      </c>
      <c r="AE2118" s="4">
        <f t="shared" si="150"/>
        <v>0</v>
      </c>
      <c r="AF2118" s="6">
        <f t="shared" si="151"/>
        <v>0</v>
      </c>
    </row>
    <row r="2119" spans="29:32" x14ac:dyDescent="0.3">
      <c r="AC2119">
        <f t="shared" si="152"/>
        <v>1</v>
      </c>
      <c r="AD2119">
        <v>2116</v>
      </c>
      <c r="AE2119" s="4">
        <f t="shared" si="150"/>
        <v>0</v>
      </c>
      <c r="AF2119" s="6">
        <f t="shared" si="151"/>
        <v>0</v>
      </c>
    </row>
    <row r="2120" spans="29:32" x14ac:dyDescent="0.3">
      <c r="AC2120">
        <f t="shared" si="152"/>
        <v>1</v>
      </c>
      <c r="AD2120">
        <v>2117</v>
      </c>
      <c r="AE2120" s="4">
        <f t="shared" si="150"/>
        <v>0</v>
      </c>
      <c r="AF2120" s="6">
        <f t="shared" si="151"/>
        <v>0</v>
      </c>
    </row>
    <row r="2121" spans="29:32" x14ac:dyDescent="0.3">
      <c r="AC2121">
        <f t="shared" si="152"/>
        <v>1</v>
      </c>
      <c r="AD2121">
        <v>2118</v>
      </c>
      <c r="AE2121" s="4">
        <f t="shared" si="150"/>
        <v>0</v>
      </c>
      <c r="AF2121" s="6">
        <f t="shared" si="151"/>
        <v>0</v>
      </c>
    </row>
    <row r="2122" spans="29:32" x14ac:dyDescent="0.3">
      <c r="AC2122">
        <f t="shared" si="152"/>
        <v>1</v>
      </c>
      <c r="AD2122">
        <v>2119</v>
      </c>
      <c r="AE2122" s="4">
        <f t="shared" si="150"/>
        <v>0</v>
      </c>
      <c r="AF2122" s="6">
        <f t="shared" si="151"/>
        <v>0</v>
      </c>
    </row>
    <row r="2123" spans="29:32" x14ac:dyDescent="0.3">
      <c r="AC2123">
        <f t="shared" si="152"/>
        <v>1</v>
      </c>
      <c r="AD2123">
        <v>2120</v>
      </c>
      <c r="AE2123" s="4">
        <f t="shared" si="150"/>
        <v>0</v>
      </c>
      <c r="AF2123" s="6">
        <f t="shared" si="151"/>
        <v>0</v>
      </c>
    </row>
    <row r="2124" spans="29:32" x14ac:dyDescent="0.3">
      <c r="AC2124">
        <f t="shared" si="152"/>
        <v>1</v>
      </c>
      <c r="AD2124">
        <v>2121</v>
      </c>
      <c r="AE2124" s="4">
        <f t="shared" si="150"/>
        <v>0</v>
      </c>
      <c r="AF2124" s="6">
        <f t="shared" si="151"/>
        <v>0</v>
      </c>
    </row>
    <row r="2125" spans="29:32" x14ac:dyDescent="0.3">
      <c r="AC2125">
        <f t="shared" si="152"/>
        <v>1</v>
      </c>
      <c r="AD2125">
        <v>2122</v>
      </c>
      <c r="AE2125" s="4">
        <f t="shared" si="150"/>
        <v>0</v>
      </c>
      <c r="AF2125" s="6">
        <f t="shared" si="151"/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processData">
                <anchor moveWithCells="1" sizeWithCells="1">
                  <from>
                    <xdr:col>11</xdr:col>
                    <xdr:colOff>866775</xdr:colOff>
                    <xdr:row>2</xdr:row>
                    <xdr:rowOff>161925</xdr:rowOff>
                  </from>
                  <to>
                    <xdr:col>12</xdr:col>
                    <xdr:colOff>1000125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G644"/>
  <sheetViews>
    <sheetView topLeftCell="AL1" workbookViewId="0">
      <selection activeCell="BA17" sqref="BA17"/>
    </sheetView>
  </sheetViews>
  <sheetFormatPr defaultRowHeight="13.5" x14ac:dyDescent="0.3"/>
  <cols>
    <col min="1" max="1" width="12.3984375" customWidth="1"/>
    <col min="5" max="5" width="21.1328125" customWidth="1"/>
  </cols>
  <sheetData>
    <row r="1" spans="1:59" x14ac:dyDescent="0.3">
      <c r="A1" t="s">
        <v>56</v>
      </c>
      <c r="B1" t="s">
        <v>30</v>
      </c>
      <c r="C1" t="s">
        <v>31</v>
      </c>
      <c r="D1" t="s">
        <v>32</v>
      </c>
      <c r="E1" s="7" t="s">
        <v>57</v>
      </c>
      <c r="J1" t="s">
        <v>59</v>
      </c>
      <c r="K1" t="s">
        <v>30</v>
      </c>
      <c r="L1" t="s">
        <v>31</v>
      </c>
      <c r="M1" t="s">
        <v>32</v>
      </c>
      <c r="N1" t="s">
        <v>57</v>
      </c>
      <c r="R1" t="s">
        <v>60</v>
      </c>
      <c r="S1" t="s">
        <v>30</v>
      </c>
      <c r="T1" t="s">
        <v>31</v>
      </c>
      <c r="U1" t="s">
        <v>32</v>
      </c>
      <c r="V1" t="s">
        <v>57</v>
      </c>
      <c r="Z1" t="s">
        <v>61</v>
      </c>
      <c r="AA1" t="s">
        <v>30</v>
      </c>
      <c r="AB1" t="s">
        <v>31</v>
      </c>
      <c r="AC1" t="s">
        <v>32</v>
      </c>
      <c r="AD1" t="s">
        <v>57</v>
      </c>
      <c r="AG1" t="s">
        <v>62</v>
      </c>
      <c r="AH1" t="s">
        <v>30</v>
      </c>
      <c r="AI1" t="s">
        <v>31</v>
      </c>
      <c r="AJ1" t="s">
        <v>32</v>
      </c>
      <c r="AK1" t="s">
        <v>57</v>
      </c>
      <c r="AO1" t="s">
        <v>63</v>
      </c>
      <c r="AP1" t="s">
        <v>30</v>
      </c>
      <c r="AQ1" t="s">
        <v>31</v>
      </c>
      <c r="AR1" t="s">
        <v>32</v>
      </c>
      <c r="AS1" t="s">
        <v>57</v>
      </c>
      <c r="AV1" t="s">
        <v>64</v>
      </c>
      <c r="AW1" t="s">
        <v>30</v>
      </c>
      <c r="AX1" t="s">
        <v>31</v>
      </c>
      <c r="AY1" t="s">
        <v>32</v>
      </c>
      <c r="AZ1" t="s">
        <v>57</v>
      </c>
      <c r="BC1" t="s">
        <v>71</v>
      </c>
      <c r="BD1" t="s">
        <v>30</v>
      </c>
      <c r="BE1" t="s">
        <v>31</v>
      </c>
      <c r="BF1" t="s">
        <v>32</v>
      </c>
      <c r="BG1" t="s">
        <v>57</v>
      </c>
    </row>
    <row r="2" spans="1:59" x14ac:dyDescent="0.3">
      <c r="A2">
        <v>41547</v>
      </c>
      <c r="B2">
        <v>0.86000000000000043</v>
      </c>
      <c r="C2">
        <v>0</v>
      </c>
      <c r="D2">
        <v>0</v>
      </c>
      <c r="E2" s="7">
        <v>0.13999999999999957</v>
      </c>
      <c r="J2">
        <v>41425</v>
      </c>
      <c r="K2">
        <v>0.40000000000000008</v>
      </c>
      <c r="L2">
        <v>0.32</v>
      </c>
      <c r="M2">
        <v>0</v>
      </c>
      <c r="N2">
        <v>0.27999999999999986</v>
      </c>
      <c r="R2">
        <v>42062</v>
      </c>
      <c r="S2">
        <v>0.86000000000000043</v>
      </c>
      <c r="T2">
        <v>0</v>
      </c>
      <c r="U2">
        <v>0</v>
      </c>
      <c r="V2">
        <v>0.13999999999999957</v>
      </c>
      <c r="Z2">
        <v>41845</v>
      </c>
      <c r="AA2">
        <v>0.46000000000000013</v>
      </c>
      <c r="AB2">
        <v>0</v>
      </c>
      <c r="AC2">
        <v>0.3</v>
      </c>
      <c r="AD2">
        <v>0.23999999999999982</v>
      </c>
      <c r="AG2">
        <v>41789</v>
      </c>
      <c r="AH2">
        <v>0.06</v>
      </c>
      <c r="AI2">
        <v>0.12000000000000001</v>
      </c>
      <c r="AJ2">
        <v>0.06</v>
      </c>
      <c r="AK2">
        <v>0.76</v>
      </c>
      <c r="AO2">
        <v>41208</v>
      </c>
      <c r="AP2">
        <v>0.23999999999999996</v>
      </c>
      <c r="AQ2">
        <v>0.48000000000000015</v>
      </c>
      <c r="AR2">
        <v>0</v>
      </c>
      <c r="AS2">
        <v>0.27999999999999986</v>
      </c>
      <c r="AV2">
        <v>41215</v>
      </c>
      <c r="AW2">
        <v>0.68000000000000027</v>
      </c>
      <c r="AX2">
        <v>0.23999999999999996</v>
      </c>
      <c r="AY2">
        <v>0</v>
      </c>
      <c r="AZ2">
        <v>7.9999999999999766E-2</v>
      </c>
      <c r="BC2">
        <v>40683</v>
      </c>
      <c r="BD2">
        <v>0.52000000000000013</v>
      </c>
      <c r="BE2">
        <v>0.18</v>
      </c>
      <c r="BF2">
        <v>0</v>
      </c>
      <c r="BG2">
        <v>0.29999999999999988</v>
      </c>
    </row>
    <row r="3" spans="1:59" x14ac:dyDescent="0.3">
      <c r="A3">
        <v>41558</v>
      </c>
      <c r="B3">
        <v>0.86000000000000043</v>
      </c>
      <c r="C3">
        <v>0</v>
      </c>
      <c r="D3">
        <v>0</v>
      </c>
      <c r="E3" s="7">
        <v>0.13999999999999957</v>
      </c>
      <c r="J3">
        <v>41432</v>
      </c>
      <c r="K3">
        <v>0.4200000000000001</v>
      </c>
      <c r="L3">
        <v>0.32</v>
      </c>
      <c r="M3">
        <v>0</v>
      </c>
      <c r="N3">
        <v>0.25999999999999984</v>
      </c>
      <c r="R3">
        <v>42069</v>
      </c>
      <c r="S3">
        <v>0.88000000000000045</v>
      </c>
      <c r="T3">
        <v>0</v>
      </c>
      <c r="U3">
        <v>0</v>
      </c>
      <c r="V3">
        <v>0.11999999999999955</v>
      </c>
      <c r="Z3">
        <v>41852</v>
      </c>
      <c r="AA3">
        <v>0.40000000000000008</v>
      </c>
      <c r="AB3">
        <v>0.27999999999999997</v>
      </c>
      <c r="AC3">
        <v>0.1</v>
      </c>
      <c r="AD3">
        <v>0.21999999999999989</v>
      </c>
      <c r="AG3">
        <v>41796</v>
      </c>
      <c r="AH3">
        <v>0.06</v>
      </c>
      <c r="AI3">
        <v>0.12000000000000001</v>
      </c>
      <c r="AJ3">
        <v>0.06</v>
      </c>
      <c r="AK3">
        <v>0.76</v>
      </c>
      <c r="AO3">
        <v>41215</v>
      </c>
      <c r="AP3">
        <v>0.23999999999999996</v>
      </c>
      <c r="AQ3">
        <v>0.48000000000000015</v>
      </c>
      <c r="AR3">
        <v>0</v>
      </c>
      <c r="AS3">
        <v>0.27999999999999986</v>
      </c>
      <c r="AV3">
        <v>41222</v>
      </c>
      <c r="AW3">
        <v>0.68000000000000027</v>
      </c>
      <c r="AX3">
        <v>0.25999999999999995</v>
      </c>
      <c r="AY3">
        <v>0</v>
      </c>
      <c r="AZ3">
        <v>5.9999999999999776E-2</v>
      </c>
      <c r="BC3">
        <v>40690</v>
      </c>
      <c r="BD3">
        <v>0.44000000000000011</v>
      </c>
      <c r="BE3">
        <v>0.19999999999999998</v>
      </c>
      <c r="BF3">
        <v>0</v>
      </c>
      <c r="BG3">
        <v>0.35999999999999988</v>
      </c>
    </row>
    <row r="4" spans="1:59" x14ac:dyDescent="0.3">
      <c r="A4">
        <v>41565</v>
      </c>
      <c r="B4">
        <v>0.86000000000000043</v>
      </c>
      <c r="C4">
        <v>0</v>
      </c>
      <c r="D4">
        <v>0</v>
      </c>
      <c r="E4" s="7">
        <v>0.13999999999999957</v>
      </c>
      <c r="J4">
        <v>41439</v>
      </c>
      <c r="K4">
        <v>0.4200000000000001</v>
      </c>
      <c r="L4">
        <v>0.3</v>
      </c>
      <c r="M4">
        <v>0</v>
      </c>
      <c r="N4">
        <v>0.27999999999999986</v>
      </c>
      <c r="R4">
        <v>42076</v>
      </c>
      <c r="S4">
        <v>0.86000000000000043</v>
      </c>
      <c r="T4">
        <v>0</v>
      </c>
      <c r="U4">
        <v>0</v>
      </c>
      <c r="V4">
        <v>0.13999999999999957</v>
      </c>
      <c r="Z4">
        <v>41859</v>
      </c>
      <c r="AA4">
        <v>0.4200000000000001</v>
      </c>
      <c r="AB4">
        <v>0.08</v>
      </c>
      <c r="AC4">
        <v>0.3</v>
      </c>
      <c r="AD4">
        <v>0.19999999999999984</v>
      </c>
      <c r="AG4">
        <v>41803</v>
      </c>
      <c r="AH4">
        <v>0.1</v>
      </c>
      <c r="AI4">
        <v>0.04</v>
      </c>
      <c r="AJ4">
        <v>0.12000000000000001</v>
      </c>
      <c r="AK4">
        <v>0.74</v>
      </c>
      <c r="AO4">
        <v>41222</v>
      </c>
      <c r="AP4">
        <v>0.19999999999999998</v>
      </c>
      <c r="AQ4">
        <v>0.48000000000000015</v>
      </c>
      <c r="AR4">
        <v>0</v>
      </c>
      <c r="AS4">
        <v>0.3199999999999999</v>
      </c>
      <c r="AV4">
        <v>41229</v>
      </c>
      <c r="AW4">
        <v>0.66000000000000025</v>
      </c>
      <c r="AX4">
        <v>0.27999999999999997</v>
      </c>
      <c r="AY4">
        <v>0</v>
      </c>
      <c r="AZ4">
        <v>5.9999999999999776E-2</v>
      </c>
      <c r="BC4">
        <v>40697</v>
      </c>
      <c r="BD4">
        <v>0.32</v>
      </c>
      <c r="BE4">
        <v>0.34</v>
      </c>
      <c r="BF4">
        <v>0</v>
      </c>
      <c r="BG4">
        <v>0.33999999999999991</v>
      </c>
    </row>
    <row r="5" spans="1:59" x14ac:dyDescent="0.3">
      <c r="A5">
        <v>41572</v>
      </c>
      <c r="B5">
        <v>0.86000000000000043</v>
      </c>
      <c r="C5">
        <v>0</v>
      </c>
      <c r="D5">
        <v>0</v>
      </c>
      <c r="E5" s="7">
        <v>0.13999999999999957</v>
      </c>
      <c r="J5">
        <v>41446</v>
      </c>
      <c r="K5">
        <v>0.48000000000000015</v>
      </c>
      <c r="L5">
        <v>0.21999999999999997</v>
      </c>
      <c r="M5">
        <v>0.02</v>
      </c>
      <c r="N5">
        <v>0.2799999999999998</v>
      </c>
      <c r="R5">
        <v>42083</v>
      </c>
      <c r="S5">
        <v>0.80000000000000038</v>
      </c>
      <c r="T5">
        <v>0.02</v>
      </c>
      <c r="U5">
        <v>0</v>
      </c>
      <c r="V5">
        <v>0.17999999999999963</v>
      </c>
      <c r="Z5">
        <v>41866</v>
      </c>
      <c r="AA5">
        <v>0.40000000000000008</v>
      </c>
      <c r="AB5">
        <v>0.14000000000000001</v>
      </c>
      <c r="AC5">
        <v>0.27999999999999997</v>
      </c>
      <c r="AD5">
        <v>0.17999999999999988</v>
      </c>
      <c r="AG5">
        <v>41810</v>
      </c>
      <c r="AH5">
        <v>0.18</v>
      </c>
      <c r="AI5">
        <v>0</v>
      </c>
      <c r="AJ5">
        <v>0.16</v>
      </c>
      <c r="AK5">
        <v>0.66</v>
      </c>
      <c r="AO5">
        <v>41229</v>
      </c>
      <c r="AP5">
        <v>0.16</v>
      </c>
      <c r="AQ5">
        <v>0.54000000000000015</v>
      </c>
      <c r="AR5">
        <v>0</v>
      </c>
      <c r="AS5">
        <v>0.29999999999999982</v>
      </c>
      <c r="AV5">
        <v>41236</v>
      </c>
      <c r="AW5">
        <v>0.66000000000000025</v>
      </c>
      <c r="AX5">
        <v>0.3</v>
      </c>
      <c r="AY5">
        <v>0</v>
      </c>
      <c r="AZ5">
        <v>3.9999999999999758E-2</v>
      </c>
      <c r="BC5">
        <v>40704</v>
      </c>
      <c r="BD5">
        <v>0.36000000000000004</v>
      </c>
      <c r="BE5">
        <v>0.3</v>
      </c>
      <c r="BF5">
        <v>0</v>
      </c>
      <c r="BG5">
        <v>0.33999999999999991</v>
      </c>
    </row>
    <row r="6" spans="1:59" x14ac:dyDescent="0.3">
      <c r="A6">
        <v>41579</v>
      </c>
      <c r="B6">
        <v>0.84000000000000041</v>
      </c>
      <c r="C6">
        <v>0</v>
      </c>
      <c r="D6">
        <v>0</v>
      </c>
      <c r="E6" s="7">
        <v>0.15999999999999959</v>
      </c>
      <c r="J6">
        <v>41453</v>
      </c>
      <c r="K6">
        <v>0.54000000000000015</v>
      </c>
      <c r="L6">
        <v>0.19999999999999998</v>
      </c>
      <c r="M6">
        <v>0.04</v>
      </c>
      <c r="N6">
        <v>0.21999999999999989</v>
      </c>
      <c r="R6">
        <v>42090</v>
      </c>
      <c r="S6">
        <v>0.8200000000000004</v>
      </c>
      <c r="T6">
        <v>0.02</v>
      </c>
      <c r="U6">
        <v>0</v>
      </c>
      <c r="V6">
        <v>0.15999999999999961</v>
      </c>
      <c r="Z6">
        <v>41873</v>
      </c>
      <c r="AA6">
        <v>0.4200000000000001</v>
      </c>
      <c r="AB6">
        <v>0.12000000000000001</v>
      </c>
      <c r="AC6">
        <v>0.25999999999999995</v>
      </c>
      <c r="AD6">
        <v>0.1999999999999999</v>
      </c>
      <c r="AG6">
        <v>41817</v>
      </c>
      <c r="AH6">
        <v>0.18</v>
      </c>
      <c r="AI6">
        <v>0.08</v>
      </c>
      <c r="AJ6">
        <v>0.1</v>
      </c>
      <c r="AK6">
        <v>0.64000000000000012</v>
      </c>
      <c r="AO6">
        <v>41236</v>
      </c>
      <c r="AP6">
        <v>0.16</v>
      </c>
      <c r="AQ6">
        <v>0.56000000000000016</v>
      </c>
      <c r="AR6">
        <v>0</v>
      </c>
      <c r="AS6">
        <v>0.2799999999999998</v>
      </c>
      <c r="AV6">
        <v>41243</v>
      </c>
      <c r="AW6">
        <v>0.66000000000000025</v>
      </c>
      <c r="AX6">
        <v>0.3</v>
      </c>
      <c r="AY6">
        <v>0</v>
      </c>
      <c r="AZ6">
        <v>3.9999999999999758E-2</v>
      </c>
      <c r="BC6">
        <v>40711</v>
      </c>
      <c r="BD6">
        <v>0.34</v>
      </c>
      <c r="BE6">
        <v>0.32</v>
      </c>
      <c r="BF6">
        <v>0</v>
      </c>
      <c r="BG6">
        <v>0.33999999999999991</v>
      </c>
    </row>
    <row r="7" spans="1:59" x14ac:dyDescent="0.3">
      <c r="A7">
        <v>41586</v>
      </c>
      <c r="B7">
        <v>0.80000000000000038</v>
      </c>
      <c r="C7">
        <v>0</v>
      </c>
      <c r="D7">
        <v>0</v>
      </c>
      <c r="E7" s="7">
        <v>0.19999999999999962</v>
      </c>
      <c r="J7">
        <v>41460</v>
      </c>
      <c r="K7">
        <v>0.66000000000000025</v>
      </c>
      <c r="L7">
        <v>0.12000000000000001</v>
      </c>
      <c r="M7">
        <v>0.19999999999999998</v>
      </c>
      <c r="N7">
        <v>1.9999999999999768E-2</v>
      </c>
      <c r="R7">
        <v>42097</v>
      </c>
      <c r="S7">
        <v>0.8200000000000004</v>
      </c>
      <c r="T7">
        <v>0.02</v>
      </c>
      <c r="U7">
        <v>0</v>
      </c>
      <c r="V7">
        <v>0.15999999999999961</v>
      </c>
      <c r="Z7">
        <v>41880</v>
      </c>
      <c r="AA7">
        <v>0.4200000000000001</v>
      </c>
      <c r="AB7">
        <v>0.12000000000000001</v>
      </c>
      <c r="AC7">
        <v>0.25999999999999995</v>
      </c>
      <c r="AD7">
        <v>0.1999999999999999</v>
      </c>
      <c r="AG7">
        <v>41824</v>
      </c>
      <c r="AH7">
        <v>0</v>
      </c>
      <c r="AI7">
        <v>0</v>
      </c>
      <c r="AJ7">
        <v>0.34</v>
      </c>
      <c r="AK7">
        <v>0.65999999999999992</v>
      </c>
      <c r="AO7">
        <v>41243</v>
      </c>
      <c r="AP7">
        <v>0.18</v>
      </c>
      <c r="AQ7">
        <v>0.54000000000000015</v>
      </c>
      <c r="AR7">
        <v>0</v>
      </c>
      <c r="AS7">
        <v>0.27999999999999992</v>
      </c>
      <c r="AV7">
        <v>41250</v>
      </c>
      <c r="AW7">
        <v>0.62000000000000022</v>
      </c>
      <c r="AX7">
        <v>0.3</v>
      </c>
      <c r="AY7">
        <v>0.06</v>
      </c>
      <c r="AZ7">
        <v>1.9999999999999796E-2</v>
      </c>
      <c r="BC7">
        <v>40718</v>
      </c>
      <c r="BD7">
        <v>0.36000000000000004</v>
      </c>
      <c r="BE7">
        <v>0.3</v>
      </c>
      <c r="BF7">
        <v>0</v>
      </c>
      <c r="BG7">
        <v>0.33999999999999991</v>
      </c>
    </row>
    <row r="8" spans="1:59" x14ac:dyDescent="0.3">
      <c r="A8">
        <v>41593</v>
      </c>
      <c r="B8">
        <v>0.80000000000000038</v>
      </c>
      <c r="C8">
        <v>0</v>
      </c>
      <c r="D8">
        <v>0</v>
      </c>
      <c r="E8" s="7">
        <v>0.19999999999999962</v>
      </c>
      <c r="J8">
        <v>41467</v>
      </c>
      <c r="K8">
        <v>0.72000000000000031</v>
      </c>
      <c r="L8">
        <v>0</v>
      </c>
      <c r="M8">
        <v>0.21999999999999997</v>
      </c>
      <c r="N8">
        <v>5.999999999999972E-2</v>
      </c>
      <c r="R8">
        <v>42104</v>
      </c>
      <c r="S8">
        <v>0.74000000000000032</v>
      </c>
      <c r="T8">
        <v>0.04</v>
      </c>
      <c r="U8">
        <v>0</v>
      </c>
      <c r="V8">
        <v>0.21999999999999967</v>
      </c>
      <c r="Z8">
        <v>41887</v>
      </c>
      <c r="AA8">
        <v>0.4200000000000001</v>
      </c>
      <c r="AB8">
        <v>0.14000000000000001</v>
      </c>
      <c r="AC8">
        <v>0.25999999999999995</v>
      </c>
      <c r="AD8">
        <v>0.17999999999999988</v>
      </c>
      <c r="AG8">
        <v>41831</v>
      </c>
      <c r="AH8">
        <v>0</v>
      </c>
      <c r="AI8">
        <v>0</v>
      </c>
      <c r="AJ8">
        <v>0.36000000000000004</v>
      </c>
      <c r="AK8">
        <v>0.6399999999999999</v>
      </c>
      <c r="AO8">
        <v>41250</v>
      </c>
      <c r="AP8">
        <v>0</v>
      </c>
      <c r="AQ8">
        <v>0.8200000000000004</v>
      </c>
      <c r="AR8">
        <v>0</v>
      </c>
      <c r="AS8">
        <v>0.1799999999999996</v>
      </c>
      <c r="AV8">
        <v>41257</v>
      </c>
      <c r="AW8">
        <v>0.6000000000000002</v>
      </c>
      <c r="AX8">
        <v>0.38000000000000006</v>
      </c>
      <c r="AY8">
        <v>0</v>
      </c>
      <c r="AZ8">
        <v>1.999999999999974E-2</v>
      </c>
      <c r="BC8">
        <v>40725</v>
      </c>
      <c r="BD8">
        <v>0.36000000000000004</v>
      </c>
      <c r="BE8">
        <v>0.3</v>
      </c>
      <c r="BF8">
        <v>0</v>
      </c>
      <c r="BG8">
        <v>0.33999999999999991</v>
      </c>
    </row>
    <row r="9" spans="1:59" x14ac:dyDescent="0.3">
      <c r="A9">
        <v>41600</v>
      </c>
      <c r="B9">
        <v>0.8200000000000004</v>
      </c>
      <c r="C9">
        <v>0</v>
      </c>
      <c r="D9">
        <v>0</v>
      </c>
      <c r="E9" s="7">
        <v>0.1799999999999996</v>
      </c>
      <c r="J9">
        <v>41474</v>
      </c>
      <c r="K9">
        <v>0.72000000000000031</v>
      </c>
      <c r="L9">
        <v>0</v>
      </c>
      <c r="M9">
        <v>0.21999999999999997</v>
      </c>
      <c r="N9">
        <v>5.999999999999972E-2</v>
      </c>
      <c r="R9">
        <v>42111</v>
      </c>
      <c r="S9">
        <v>0.72000000000000031</v>
      </c>
      <c r="T9">
        <v>0.02</v>
      </c>
      <c r="U9">
        <v>0</v>
      </c>
      <c r="V9">
        <v>0.25999999999999968</v>
      </c>
      <c r="Z9">
        <v>41894</v>
      </c>
      <c r="AA9">
        <v>0.44000000000000011</v>
      </c>
      <c r="AB9">
        <v>0.02</v>
      </c>
      <c r="AC9">
        <v>0.40000000000000008</v>
      </c>
      <c r="AD9">
        <v>0.13999999999999974</v>
      </c>
      <c r="AG9">
        <v>41838</v>
      </c>
      <c r="AH9">
        <v>0.12000000000000001</v>
      </c>
      <c r="AI9">
        <v>0</v>
      </c>
      <c r="AJ9">
        <v>0.34</v>
      </c>
      <c r="AK9">
        <v>0.54</v>
      </c>
      <c r="AO9">
        <v>41257</v>
      </c>
      <c r="AP9">
        <v>0</v>
      </c>
      <c r="AQ9">
        <v>0.86000000000000043</v>
      </c>
      <c r="AR9">
        <v>0</v>
      </c>
      <c r="AS9">
        <v>0.13999999999999957</v>
      </c>
      <c r="AV9">
        <v>41264</v>
      </c>
      <c r="AW9">
        <v>0.62000000000000022</v>
      </c>
      <c r="AX9">
        <v>0.36000000000000004</v>
      </c>
      <c r="AY9">
        <v>0</v>
      </c>
      <c r="AZ9">
        <v>1.999999999999974E-2</v>
      </c>
      <c r="BC9">
        <v>40732</v>
      </c>
      <c r="BD9">
        <v>0.34</v>
      </c>
      <c r="BE9">
        <v>0.3</v>
      </c>
      <c r="BF9">
        <v>0</v>
      </c>
      <c r="BG9">
        <v>0.35999999999999993</v>
      </c>
    </row>
    <row r="10" spans="1:59" x14ac:dyDescent="0.3">
      <c r="A10">
        <v>41607</v>
      </c>
      <c r="B10">
        <v>0.84000000000000041</v>
      </c>
      <c r="C10">
        <v>0</v>
      </c>
      <c r="D10">
        <v>0</v>
      </c>
      <c r="E10" s="7">
        <v>0.15999999999999959</v>
      </c>
      <c r="J10">
        <v>41481</v>
      </c>
      <c r="K10">
        <v>0.72000000000000031</v>
      </c>
      <c r="L10">
        <v>0</v>
      </c>
      <c r="M10">
        <v>0.23999999999999996</v>
      </c>
      <c r="N10">
        <v>3.999999999999973E-2</v>
      </c>
      <c r="R10">
        <v>42118</v>
      </c>
      <c r="S10">
        <v>0.66000000000000025</v>
      </c>
      <c r="T10">
        <v>0.06</v>
      </c>
      <c r="U10">
        <v>0</v>
      </c>
      <c r="V10">
        <v>0.27999999999999975</v>
      </c>
      <c r="Z10">
        <v>41901</v>
      </c>
      <c r="AA10">
        <v>0.40000000000000008</v>
      </c>
      <c r="AB10">
        <v>0.16</v>
      </c>
      <c r="AC10">
        <v>0.32</v>
      </c>
      <c r="AD10">
        <v>0.11999999999999983</v>
      </c>
      <c r="AG10">
        <v>41845</v>
      </c>
      <c r="AH10">
        <v>0.08</v>
      </c>
      <c r="AI10">
        <v>0</v>
      </c>
      <c r="AJ10">
        <v>0.36000000000000004</v>
      </c>
      <c r="AK10">
        <v>0.56000000000000005</v>
      </c>
      <c r="AO10">
        <v>41264</v>
      </c>
      <c r="AP10">
        <v>0.02</v>
      </c>
      <c r="AQ10">
        <v>0.84000000000000041</v>
      </c>
      <c r="AR10">
        <v>0</v>
      </c>
      <c r="AS10">
        <v>0.13999999999999957</v>
      </c>
      <c r="AV10">
        <v>41271</v>
      </c>
      <c r="AW10">
        <v>0.6000000000000002</v>
      </c>
      <c r="AX10">
        <v>0.38000000000000006</v>
      </c>
      <c r="AY10">
        <v>0</v>
      </c>
      <c r="AZ10">
        <v>1.999999999999974E-2</v>
      </c>
      <c r="BC10">
        <v>40739</v>
      </c>
      <c r="BD10">
        <v>0.40000000000000008</v>
      </c>
      <c r="BE10">
        <v>0.25999999999999995</v>
      </c>
      <c r="BF10">
        <v>0</v>
      </c>
      <c r="BG10">
        <v>0.33999999999999991</v>
      </c>
    </row>
    <row r="11" spans="1:59" x14ac:dyDescent="0.3">
      <c r="A11">
        <v>41614</v>
      </c>
      <c r="B11">
        <v>0.84000000000000041</v>
      </c>
      <c r="C11">
        <v>0</v>
      </c>
      <c r="D11">
        <v>0</v>
      </c>
      <c r="E11">
        <v>0.15999999999999959</v>
      </c>
      <c r="J11">
        <v>41488</v>
      </c>
      <c r="K11">
        <v>0.66000000000000025</v>
      </c>
      <c r="L11">
        <v>0</v>
      </c>
      <c r="M11">
        <v>0.3</v>
      </c>
      <c r="N11">
        <v>3.9999999999999758E-2</v>
      </c>
      <c r="R11">
        <v>42124</v>
      </c>
      <c r="S11">
        <v>0.64000000000000024</v>
      </c>
      <c r="T11">
        <v>0.08</v>
      </c>
      <c r="U11">
        <v>0</v>
      </c>
      <c r="V11">
        <v>0.27999999999999975</v>
      </c>
      <c r="Z11">
        <v>41908</v>
      </c>
      <c r="AA11">
        <v>0.38000000000000006</v>
      </c>
      <c r="AB11">
        <v>0.27999999999999997</v>
      </c>
      <c r="AC11">
        <v>0.23999999999999996</v>
      </c>
      <c r="AD11">
        <v>9.999999999999995E-2</v>
      </c>
      <c r="AG11">
        <v>41852</v>
      </c>
      <c r="AH11">
        <v>0.08</v>
      </c>
      <c r="AI11">
        <v>0</v>
      </c>
      <c r="AJ11">
        <v>0.38000000000000006</v>
      </c>
      <c r="AK11">
        <v>0.54</v>
      </c>
      <c r="AO11">
        <v>41271</v>
      </c>
      <c r="AP11">
        <v>0.02</v>
      </c>
      <c r="AQ11">
        <v>0.84000000000000041</v>
      </c>
      <c r="AR11">
        <v>0</v>
      </c>
      <c r="AS11">
        <v>0.13999999999999957</v>
      </c>
      <c r="AV11">
        <v>41278</v>
      </c>
      <c r="AW11">
        <v>0.62000000000000022</v>
      </c>
      <c r="AX11">
        <v>0.36000000000000004</v>
      </c>
      <c r="AY11">
        <v>0</v>
      </c>
      <c r="AZ11">
        <v>1.999999999999974E-2</v>
      </c>
      <c r="BC11">
        <v>40746</v>
      </c>
      <c r="BD11">
        <v>0.40000000000000008</v>
      </c>
      <c r="BE11">
        <v>0.25999999999999995</v>
      </c>
      <c r="BF11">
        <v>0</v>
      </c>
      <c r="BG11">
        <v>0.33999999999999991</v>
      </c>
    </row>
    <row r="12" spans="1:59" x14ac:dyDescent="0.3">
      <c r="A12">
        <v>41621</v>
      </c>
      <c r="B12">
        <v>0.8200000000000004</v>
      </c>
      <c r="C12">
        <v>0</v>
      </c>
      <c r="D12">
        <v>0</v>
      </c>
      <c r="E12">
        <v>0.1799999999999996</v>
      </c>
      <c r="J12">
        <v>41495</v>
      </c>
      <c r="K12">
        <v>0.64000000000000024</v>
      </c>
      <c r="L12">
        <v>0</v>
      </c>
      <c r="M12">
        <v>0.27999999999999997</v>
      </c>
      <c r="N12">
        <v>7.9999999999999793E-2</v>
      </c>
      <c r="R12">
        <v>42132</v>
      </c>
      <c r="S12">
        <v>0.64000000000000024</v>
      </c>
      <c r="T12">
        <v>0.08</v>
      </c>
      <c r="U12">
        <v>0</v>
      </c>
      <c r="V12">
        <v>0.27999999999999975</v>
      </c>
      <c r="Z12">
        <v>41912</v>
      </c>
      <c r="AA12">
        <v>0.4200000000000001</v>
      </c>
      <c r="AB12">
        <v>0.12000000000000001</v>
      </c>
      <c r="AC12">
        <v>0.38000000000000006</v>
      </c>
      <c r="AD12">
        <v>7.9999999999999793E-2</v>
      </c>
      <c r="AG12">
        <v>41859</v>
      </c>
      <c r="AH12">
        <v>0.06</v>
      </c>
      <c r="AI12">
        <v>0</v>
      </c>
      <c r="AJ12">
        <v>0.4200000000000001</v>
      </c>
      <c r="AK12">
        <v>0.5199999999999998</v>
      </c>
      <c r="AO12">
        <v>41278</v>
      </c>
      <c r="AP12">
        <v>0.1</v>
      </c>
      <c r="AQ12">
        <v>0.70000000000000029</v>
      </c>
      <c r="AR12">
        <v>0</v>
      </c>
      <c r="AS12">
        <v>0.19999999999999973</v>
      </c>
      <c r="AV12">
        <v>41285</v>
      </c>
      <c r="AW12">
        <v>0.58000000000000018</v>
      </c>
      <c r="AX12">
        <v>0.40000000000000008</v>
      </c>
      <c r="AY12">
        <v>0</v>
      </c>
      <c r="AZ12">
        <v>1.999999999999974E-2</v>
      </c>
      <c r="BC12">
        <v>40753</v>
      </c>
      <c r="BD12">
        <v>0.40000000000000008</v>
      </c>
      <c r="BE12">
        <v>0.21999999999999997</v>
      </c>
      <c r="BF12">
        <v>0</v>
      </c>
      <c r="BG12">
        <v>0.37999999999999989</v>
      </c>
    </row>
    <row r="13" spans="1:59" x14ac:dyDescent="0.3">
      <c r="A13">
        <v>41628</v>
      </c>
      <c r="B13">
        <v>0.8200000000000004</v>
      </c>
      <c r="C13">
        <v>0</v>
      </c>
      <c r="D13">
        <v>0</v>
      </c>
      <c r="E13">
        <v>0.1799999999999996</v>
      </c>
      <c r="J13">
        <v>41502</v>
      </c>
      <c r="K13">
        <v>0.62000000000000022</v>
      </c>
      <c r="L13">
        <v>0</v>
      </c>
      <c r="M13">
        <v>0.3</v>
      </c>
      <c r="N13">
        <v>7.9999999999999793E-2</v>
      </c>
      <c r="R13">
        <v>42139</v>
      </c>
      <c r="S13">
        <v>0.64000000000000024</v>
      </c>
      <c r="T13">
        <v>0.08</v>
      </c>
      <c r="U13">
        <v>0</v>
      </c>
      <c r="V13">
        <v>0.27999999999999975</v>
      </c>
      <c r="Z13">
        <v>41922</v>
      </c>
      <c r="AA13">
        <v>0.4200000000000001</v>
      </c>
      <c r="AB13">
        <v>0.12000000000000001</v>
      </c>
      <c r="AC13">
        <v>0.36000000000000004</v>
      </c>
      <c r="AD13">
        <v>9.9999999999999811E-2</v>
      </c>
      <c r="AG13">
        <v>41866</v>
      </c>
      <c r="AH13">
        <v>0.06</v>
      </c>
      <c r="AI13">
        <v>0</v>
      </c>
      <c r="AJ13">
        <v>0.4200000000000001</v>
      </c>
      <c r="AK13">
        <v>0.5199999999999998</v>
      </c>
      <c r="AO13">
        <v>41285</v>
      </c>
      <c r="AP13">
        <v>0.08</v>
      </c>
      <c r="AQ13">
        <v>0.72000000000000031</v>
      </c>
      <c r="AR13">
        <v>0</v>
      </c>
      <c r="AS13">
        <v>0.19999999999999973</v>
      </c>
      <c r="AV13">
        <v>41292</v>
      </c>
      <c r="AW13">
        <v>0.56000000000000016</v>
      </c>
      <c r="AX13">
        <v>0.4200000000000001</v>
      </c>
      <c r="AY13">
        <v>0</v>
      </c>
      <c r="AZ13">
        <v>1.999999999999974E-2</v>
      </c>
      <c r="BC13">
        <v>40760</v>
      </c>
      <c r="BD13">
        <v>0.46000000000000013</v>
      </c>
      <c r="BE13">
        <v>0.18</v>
      </c>
      <c r="BF13">
        <v>0</v>
      </c>
      <c r="BG13">
        <v>0.35999999999999982</v>
      </c>
    </row>
    <row r="14" spans="1:59" x14ac:dyDescent="0.3">
      <c r="A14">
        <v>41635</v>
      </c>
      <c r="B14">
        <v>0.78000000000000036</v>
      </c>
      <c r="C14">
        <v>0</v>
      </c>
      <c r="D14">
        <v>0</v>
      </c>
      <c r="E14">
        <v>0.21999999999999964</v>
      </c>
      <c r="J14">
        <v>41509</v>
      </c>
      <c r="K14">
        <v>0.64000000000000024</v>
      </c>
      <c r="L14">
        <v>0</v>
      </c>
      <c r="M14">
        <v>0.27999999999999997</v>
      </c>
      <c r="N14">
        <v>7.9999999999999793E-2</v>
      </c>
      <c r="R14">
        <v>42146</v>
      </c>
      <c r="S14">
        <v>0.62000000000000022</v>
      </c>
      <c r="T14">
        <v>0.1</v>
      </c>
      <c r="U14">
        <v>0</v>
      </c>
      <c r="V14">
        <v>0.2799999999999998</v>
      </c>
      <c r="Z14">
        <v>41929</v>
      </c>
      <c r="AA14">
        <v>0.4200000000000001</v>
      </c>
      <c r="AB14">
        <v>0.12000000000000001</v>
      </c>
      <c r="AC14">
        <v>0.36000000000000004</v>
      </c>
      <c r="AD14">
        <v>9.9999999999999811E-2</v>
      </c>
      <c r="AG14">
        <v>41873</v>
      </c>
      <c r="AH14">
        <v>0.06</v>
      </c>
      <c r="AI14">
        <v>0</v>
      </c>
      <c r="AJ14">
        <v>0.4200000000000001</v>
      </c>
      <c r="AK14">
        <v>0.5199999999999998</v>
      </c>
      <c r="AO14">
        <v>41292</v>
      </c>
      <c r="AP14">
        <v>0.12000000000000001</v>
      </c>
      <c r="AQ14">
        <v>0.66000000000000025</v>
      </c>
      <c r="AR14">
        <v>0</v>
      </c>
      <c r="AS14">
        <v>0.21999999999999975</v>
      </c>
      <c r="AV14">
        <v>41299</v>
      </c>
      <c r="AW14">
        <v>0.58000000000000018</v>
      </c>
      <c r="AX14">
        <v>0.38000000000000006</v>
      </c>
      <c r="AY14">
        <v>0</v>
      </c>
      <c r="AZ14">
        <v>3.9999999999999758E-2</v>
      </c>
      <c r="BC14">
        <v>40767</v>
      </c>
      <c r="BD14">
        <v>0.46000000000000013</v>
      </c>
      <c r="BE14">
        <v>0.18</v>
      </c>
      <c r="BF14">
        <v>0</v>
      </c>
      <c r="BG14">
        <v>0.35999999999999982</v>
      </c>
    </row>
    <row r="15" spans="1:59" x14ac:dyDescent="0.3">
      <c r="A15">
        <v>41642</v>
      </c>
      <c r="B15">
        <v>0.78000000000000036</v>
      </c>
      <c r="C15">
        <v>0</v>
      </c>
      <c r="D15">
        <v>0</v>
      </c>
      <c r="E15">
        <v>0.21999999999999964</v>
      </c>
      <c r="J15">
        <v>41516</v>
      </c>
      <c r="K15">
        <v>0.64000000000000024</v>
      </c>
      <c r="L15">
        <v>0</v>
      </c>
      <c r="M15">
        <v>0.27999999999999997</v>
      </c>
      <c r="N15">
        <v>7.9999999999999793E-2</v>
      </c>
      <c r="R15">
        <v>42153</v>
      </c>
      <c r="S15">
        <v>0.6000000000000002</v>
      </c>
      <c r="T15">
        <v>0.08</v>
      </c>
      <c r="U15">
        <v>0</v>
      </c>
      <c r="V15">
        <v>0.31999999999999978</v>
      </c>
      <c r="Z15">
        <v>41936</v>
      </c>
      <c r="AA15">
        <v>0.40000000000000008</v>
      </c>
      <c r="AB15">
        <v>0.19999999999999998</v>
      </c>
      <c r="AC15">
        <v>0.32</v>
      </c>
      <c r="AD15">
        <v>7.9999999999999905E-2</v>
      </c>
      <c r="AG15">
        <v>41880</v>
      </c>
      <c r="AH15">
        <v>0.06</v>
      </c>
      <c r="AI15">
        <v>0</v>
      </c>
      <c r="AJ15">
        <v>0.44000000000000011</v>
      </c>
      <c r="AK15">
        <v>0.49999999999999983</v>
      </c>
      <c r="AO15">
        <v>41299</v>
      </c>
      <c r="AP15">
        <v>0.14000000000000001</v>
      </c>
      <c r="AQ15">
        <v>0.6000000000000002</v>
      </c>
      <c r="AR15">
        <v>0</v>
      </c>
      <c r="AS15">
        <v>0.25999999999999979</v>
      </c>
      <c r="AV15">
        <v>41306</v>
      </c>
      <c r="AW15">
        <v>0.54000000000000015</v>
      </c>
      <c r="AX15">
        <v>0.4200000000000001</v>
      </c>
      <c r="AY15">
        <v>0</v>
      </c>
      <c r="AZ15">
        <v>3.9999999999999758E-2</v>
      </c>
      <c r="BC15">
        <v>40774</v>
      </c>
      <c r="BD15">
        <v>0.3</v>
      </c>
      <c r="BE15">
        <v>0.32</v>
      </c>
      <c r="BF15">
        <v>0</v>
      </c>
      <c r="BG15">
        <v>0.37999999999999995</v>
      </c>
    </row>
    <row r="16" spans="1:59" x14ac:dyDescent="0.3">
      <c r="A16">
        <v>41649</v>
      </c>
      <c r="B16">
        <v>0.78000000000000036</v>
      </c>
      <c r="C16">
        <v>0</v>
      </c>
      <c r="D16">
        <v>0</v>
      </c>
      <c r="E16">
        <v>0.21999999999999964</v>
      </c>
      <c r="J16">
        <v>41523</v>
      </c>
      <c r="K16">
        <v>0.66000000000000025</v>
      </c>
      <c r="L16">
        <v>0</v>
      </c>
      <c r="M16">
        <v>0.25999999999999995</v>
      </c>
      <c r="N16">
        <v>7.9999999999999793E-2</v>
      </c>
      <c r="R16">
        <v>42160</v>
      </c>
      <c r="S16">
        <v>0.62000000000000022</v>
      </c>
      <c r="T16">
        <v>0.08</v>
      </c>
      <c r="U16">
        <v>0</v>
      </c>
      <c r="V16">
        <v>0.29999999999999977</v>
      </c>
      <c r="Z16">
        <v>41943</v>
      </c>
      <c r="AA16">
        <v>0.38000000000000006</v>
      </c>
      <c r="AB16">
        <v>0.27999999999999997</v>
      </c>
      <c r="AC16">
        <v>0.23999999999999996</v>
      </c>
      <c r="AD16">
        <v>9.999999999999995E-2</v>
      </c>
      <c r="AG16">
        <v>41887</v>
      </c>
      <c r="AH16">
        <v>0.06</v>
      </c>
      <c r="AI16">
        <v>0</v>
      </c>
      <c r="AJ16">
        <v>0.46000000000000013</v>
      </c>
      <c r="AK16">
        <v>0.47999999999999982</v>
      </c>
      <c r="AO16">
        <v>41306</v>
      </c>
      <c r="AP16">
        <v>0.12000000000000001</v>
      </c>
      <c r="AQ16">
        <v>0.58000000000000018</v>
      </c>
      <c r="AR16">
        <v>0</v>
      </c>
      <c r="AS16">
        <v>0.29999999999999982</v>
      </c>
      <c r="AV16">
        <v>41313</v>
      </c>
      <c r="AW16">
        <v>0.54000000000000015</v>
      </c>
      <c r="AX16">
        <v>0.40000000000000008</v>
      </c>
      <c r="AY16">
        <v>0</v>
      </c>
      <c r="AZ16">
        <v>5.9999999999999776E-2</v>
      </c>
      <c r="BC16">
        <v>40781</v>
      </c>
      <c r="BD16">
        <v>0.21999999999999997</v>
      </c>
      <c r="BE16">
        <v>0.36000000000000004</v>
      </c>
      <c r="BF16">
        <v>0</v>
      </c>
      <c r="BG16">
        <v>0.42</v>
      </c>
    </row>
    <row r="17" spans="1:59" x14ac:dyDescent="0.3">
      <c r="A17">
        <v>41656</v>
      </c>
      <c r="B17">
        <v>0.78000000000000036</v>
      </c>
      <c r="C17">
        <v>0</v>
      </c>
      <c r="D17">
        <v>0</v>
      </c>
      <c r="E17">
        <v>0.21999999999999964</v>
      </c>
      <c r="J17">
        <v>41530</v>
      </c>
      <c r="K17">
        <v>0.66000000000000025</v>
      </c>
      <c r="L17">
        <v>0</v>
      </c>
      <c r="M17">
        <v>0.3</v>
      </c>
      <c r="N17">
        <v>3.9999999999999758E-2</v>
      </c>
      <c r="R17">
        <v>42167</v>
      </c>
      <c r="S17">
        <v>0.6000000000000002</v>
      </c>
      <c r="T17">
        <v>0.08</v>
      </c>
      <c r="U17">
        <v>0</v>
      </c>
      <c r="V17">
        <v>0.31999999999999978</v>
      </c>
      <c r="Z17">
        <v>41950</v>
      </c>
      <c r="AA17">
        <v>0.38000000000000006</v>
      </c>
      <c r="AB17">
        <v>0.25999999999999995</v>
      </c>
      <c r="AC17">
        <v>0.23999999999999996</v>
      </c>
      <c r="AD17">
        <v>0.11999999999999997</v>
      </c>
      <c r="AG17">
        <v>41894</v>
      </c>
      <c r="AH17">
        <v>0.08</v>
      </c>
      <c r="AI17">
        <v>0</v>
      </c>
      <c r="AJ17">
        <v>0.50000000000000011</v>
      </c>
      <c r="AK17">
        <v>0.41999999999999993</v>
      </c>
      <c r="AO17">
        <v>41313</v>
      </c>
      <c r="AP17">
        <v>0.18</v>
      </c>
      <c r="AQ17">
        <v>0.46000000000000013</v>
      </c>
      <c r="AR17">
        <v>0</v>
      </c>
      <c r="AS17">
        <v>0.35999999999999993</v>
      </c>
      <c r="AV17">
        <v>41327</v>
      </c>
      <c r="AW17">
        <v>0.58000000000000018</v>
      </c>
      <c r="AX17">
        <v>0.36000000000000004</v>
      </c>
      <c r="AY17">
        <v>0</v>
      </c>
      <c r="AZ17">
        <v>5.9999999999999776E-2</v>
      </c>
      <c r="BC17">
        <v>40788</v>
      </c>
      <c r="BD17">
        <v>0.1</v>
      </c>
      <c r="BE17">
        <v>0.44000000000000011</v>
      </c>
      <c r="BF17">
        <v>0</v>
      </c>
      <c r="BG17">
        <v>0.45999999999999991</v>
      </c>
    </row>
    <row r="18" spans="1:59" x14ac:dyDescent="0.3">
      <c r="A18">
        <v>41663</v>
      </c>
      <c r="B18">
        <v>0.78000000000000036</v>
      </c>
      <c r="C18">
        <v>0</v>
      </c>
      <c r="D18">
        <v>0</v>
      </c>
      <c r="E18">
        <v>0.21999999999999964</v>
      </c>
      <c r="J18">
        <v>41535</v>
      </c>
      <c r="K18">
        <v>0.72000000000000031</v>
      </c>
      <c r="L18">
        <v>0</v>
      </c>
      <c r="M18">
        <v>0.25999999999999995</v>
      </c>
      <c r="N18">
        <v>1.999999999999974E-2</v>
      </c>
      <c r="R18">
        <v>42174</v>
      </c>
      <c r="S18">
        <v>0.62000000000000022</v>
      </c>
      <c r="T18">
        <v>0.06</v>
      </c>
      <c r="U18">
        <v>0</v>
      </c>
      <c r="V18">
        <v>0.31999999999999978</v>
      </c>
      <c r="Z18">
        <v>41957</v>
      </c>
      <c r="AA18">
        <v>0.40000000000000008</v>
      </c>
      <c r="AB18">
        <v>0.18</v>
      </c>
      <c r="AC18">
        <v>0.27999999999999997</v>
      </c>
      <c r="AD18">
        <v>0.1399999999999999</v>
      </c>
      <c r="AG18">
        <v>41901</v>
      </c>
      <c r="AH18">
        <v>0.08</v>
      </c>
      <c r="AI18">
        <v>0</v>
      </c>
      <c r="AJ18">
        <v>0.50000000000000011</v>
      </c>
      <c r="AK18">
        <v>0.41999999999999993</v>
      </c>
      <c r="AO18">
        <v>41327</v>
      </c>
      <c r="AP18">
        <v>0.16</v>
      </c>
      <c r="AQ18">
        <v>0.48000000000000015</v>
      </c>
      <c r="AR18">
        <v>0</v>
      </c>
      <c r="AS18">
        <v>0.35999999999999982</v>
      </c>
      <c r="AV18">
        <v>41334</v>
      </c>
      <c r="AW18">
        <v>0.68000000000000027</v>
      </c>
      <c r="AX18">
        <v>0.12000000000000001</v>
      </c>
      <c r="AY18">
        <v>0.16</v>
      </c>
      <c r="AZ18">
        <v>3.999999999999973E-2</v>
      </c>
      <c r="BC18">
        <v>40795</v>
      </c>
      <c r="BD18">
        <v>0.12000000000000001</v>
      </c>
      <c r="BE18">
        <v>0.4200000000000001</v>
      </c>
      <c r="BF18">
        <v>0</v>
      </c>
      <c r="BG18">
        <v>0.45999999999999991</v>
      </c>
    </row>
    <row r="19" spans="1:59" x14ac:dyDescent="0.3">
      <c r="A19">
        <v>41669</v>
      </c>
      <c r="B19">
        <v>0.86000000000000043</v>
      </c>
      <c r="C19">
        <v>0</v>
      </c>
      <c r="D19">
        <v>0</v>
      </c>
      <c r="E19">
        <v>0.13999999999999957</v>
      </c>
      <c r="J19">
        <v>41544</v>
      </c>
      <c r="K19">
        <v>0.72000000000000031</v>
      </c>
      <c r="L19">
        <v>0</v>
      </c>
      <c r="M19">
        <v>0.25999999999999995</v>
      </c>
      <c r="N19">
        <v>1.999999999999974E-2</v>
      </c>
      <c r="R19">
        <v>42181</v>
      </c>
      <c r="S19">
        <v>0.56000000000000016</v>
      </c>
      <c r="T19">
        <v>0.08</v>
      </c>
      <c r="U19">
        <v>0</v>
      </c>
      <c r="V19">
        <v>0.35999999999999982</v>
      </c>
      <c r="Z19">
        <v>41964</v>
      </c>
      <c r="AA19">
        <v>0.38000000000000006</v>
      </c>
      <c r="AB19">
        <v>0.3</v>
      </c>
      <c r="AC19">
        <v>0.23999999999999996</v>
      </c>
      <c r="AD19">
        <v>7.9999999999999932E-2</v>
      </c>
      <c r="AG19">
        <v>41908</v>
      </c>
      <c r="AH19">
        <v>0.08</v>
      </c>
      <c r="AI19">
        <v>0.12000000000000001</v>
      </c>
      <c r="AJ19">
        <v>0.4200000000000001</v>
      </c>
      <c r="AK19">
        <v>0.37999999999999995</v>
      </c>
      <c r="AO19">
        <v>41334</v>
      </c>
      <c r="AP19">
        <v>0</v>
      </c>
      <c r="AQ19">
        <v>0.6000000000000002</v>
      </c>
      <c r="AR19">
        <v>0</v>
      </c>
      <c r="AS19">
        <v>0.3999999999999998</v>
      </c>
      <c r="AV19">
        <v>41341</v>
      </c>
      <c r="AW19">
        <v>0.6000000000000002</v>
      </c>
      <c r="AX19">
        <v>0.27999999999999997</v>
      </c>
      <c r="AY19">
        <v>0.06</v>
      </c>
      <c r="AZ19">
        <v>5.9999999999999831E-2</v>
      </c>
      <c r="BC19">
        <v>40802</v>
      </c>
      <c r="BD19">
        <v>0.12000000000000001</v>
      </c>
      <c r="BE19">
        <v>0.40000000000000008</v>
      </c>
      <c r="BF19">
        <v>0</v>
      </c>
      <c r="BG19">
        <v>0.47999999999999993</v>
      </c>
    </row>
    <row r="20" spans="1:59" x14ac:dyDescent="0.3">
      <c r="A20">
        <v>41677</v>
      </c>
      <c r="B20">
        <v>0.86000000000000043</v>
      </c>
      <c r="C20">
        <v>0</v>
      </c>
      <c r="D20">
        <v>0</v>
      </c>
      <c r="E20">
        <v>0.13999999999999957</v>
      </c>
      <c r="J20">
        <v>41547</v>
      </c>
      <c r="K20">
        <v>0.66000000000000025</v>
      </c>
      <c r="L20">
        <v>0</v>
      </c>
      <c r="M20">
        <v>0.27999999999999997</v>
      </c>
      <c r="N20">
        <v>5.9999999999999776E-2</v>
      </c>
      <c r="R20">
        <v>42188</v>
      </c>
      <c r="S20">
        <v>0.56000000000000016</v>
      </c>
      <c r="T20">
        <v>0.08</v>
      </c>
      <c r="U20">
        <v>0</v>
      </c>
      <c r="V20">
        <v>0.35999999999999982</v>
      </c>
      <c r="Z20">
        <v>41971</v>
      </c>
      <c r="AA20">
        <v>0.34</v>
      </c>
      <c r="AB20">
        <v>0.52000000000000013</v>
      </c>
      <c r="AC20">
        <v>0.08</v>
      </c>
      <c r="AD20">
        <v>5.999999999999979E-2</v>
      </c>
      <c r="AG20">
        <v>41912</v>
      </c>
      <c r="AH20">
        <v>0.1</v>
      </c>
      <c r="AI20">
        <v>0.12000000000000001</v>
      </c>
      <c r="AJ20">
        <v>0.48000000000000015</v>
      </c>
      <c r="AK20">
        <v>0.29999999999999988</v>
      </c>
      <c r="AO20">
        <v>41341</v>
      </c>
      <c r="AP20">
        <v>0.23999999999999996</v>
      </c>
      <c r="AQ20">
        <v>0.4200000000000001</v>
      </c>
      <c r="AR20">
        <v>0</v>
      </c>
      <c r="AS20">
        <v>0.33999999999999991</v>
      </c>
      <c r="AV20">
        <v>41348</v>
      </c>
      <c r="AW20">
        <v>0.62000000000000022</v>
      </c>
      <c r="AX20">
        <v>0.27999999999999997</v>
      </c>
      <c r="AY20">
        <v>0.04</v>
      </c>
      <c r="AZ20">
        <v>5.999999999999981E-2</v>
      </c>
      <c r="BC20">
        <v>40809</v>
      </c>
      <c r="BD20">
        <v>0.12000000000000001</v>
      </c>
      <c r="BE20">
        <v>0.40000000000000008</v>
      </c>
      <c r="BF20">
        <v>0</v>
      </c>
      <c r="BG20">
        <v>0.47999999999999993</v>
      </c>
    </row>
    <row r="21" spans="1:59" x14ac:dyDescent="0.3">
      <c r="A21">
        <v>41684</v>
      </c>
      <c r="B21">
        <v>0.86000000000000043</v>
      </c>
      <c r="C21">
        <v>0</v>
      </c>
      <c r="D21">
        <v>0</v>
      </c>
      <c r="E21">
        <v>0.13999999999999957</v>
      </c>
      <c r="J21">
        <v>41558</v>
      </c>
      <c r="K21">
        <v>0.64000000000000024</v>
      </c>
      <c r="L21">
        <v>0</v>
      </c>
      <c r="M21">
        <v>0.3</v>
      </c>
      <c r="N21">
        <v>5.9999999999999776E-2</v>
      </c>
      <c r="R21">
        <v>42195</v>
      </c>
      <c r="S21">
        <v>0.58000000000000018</v>
      </c>
      <c r="T21">
        <v>0.08</v>
      </c>
      <c r="U21">
        <v>0</v>
      </c>
      <c r="V21">
        <v>0.3399999999999998</v>
      </c>
      <c r="Z21">
        <v>41978</v>
      </c>
      <c r="AA21">
        <v>0.3</v>
      </c>
      <c r="AB21">
        <v>0.6000000000000002</v>
      </c>
      <c r="AC21">
        <v>0.02</v>
      </c>
      <c r="AD21">
        <v>7.9999999999999752E-2</v>
      </c>
      <c r="AG21">
        <v>41922</v>
      </c>
      <c r="AH21">
        <v>0.1</v>
      </c>
      <c r="AI21">
        <v>0.12000000000000001</v>
      </c>
      <c r="AJ21">
        <v>0.50000000000000011</v>
      </c>
      <c r="AK21">
        <v>0.27999999999999992</v>
      </c>
      <c r="AO21">
        <v>41348</v>
      </c>
      <c r="AP21">
        <v>0.14000000000000001</v>
      </c>
      <c r="AQ21">
        <v>0.48000000000000015</v>
      </c>
      <c r="AR21">
        <v>0</v>
      </c>
      <c r="AS21">
        <v>0.37999999999999984</v>
      </c>
      <c r="AV21">
        <v>41355</v>
      </c>
      <c r="AW21">
        <v>0.58000000000000018</v>
      </c>
      <c r="AX21">
        <v>0.34</v>
      </c>
      <c r="AY21">
        <v>0</v>
      </c>
      <c r="AZ21">
        <v>7.9999999999999793E-2</v>
      </c>
      <c r="BC21">
        <v>40816</v>
      </c>
      <c r="BD21">
        <v>0.14000000000000001</v>
      </c>
      <c r="BE21">
        <v>0.40000000000000008</v>
      </c>
      <c r="BF21">
        <v>0</v>
      </c>
      <c r="BG21">
        <v>0.45999999999999991</v>
      </c>
    </row>
    <row r="22" spans="1:59" x14ac:dyDescent="0.3">
      <c r="A22">
        <v>41691</v>
      </c>
      <c r="B22">
        <v>0.92000000000000048</v>
      </c>
      <c r="C22">
        <v>0</v>
      </c>
      <c r="D22">
        <v>0</v>
      </c>
      <c r="E22">
        <v>7.9999999999999516E-2</v>
      </c>
      <c r="J22">
        <v>41565</v>
      </c>
      <c r="K22">
        <v>0.68000000000000027</v>
      </c>
      <c r="L22">
        <v>0</v>
      </c>
      <c r="M22">
        <v>0.3</v>
      </c>
      <c r="N22">
        <v>1.999999999999974E-2</v>
      </c>
      <c r="R22">
        <v>42202</v>
      </c>
      <c r="S22">
        <v>0.44000000000000011</v>
      </c>
      <c r="T22">
        <v>0.02</v>
      </c>
      <c r="U22">
        <v>0.12000000000000001</v>
      </c>
      <c r="V22">
        <v>0.41999999999999982</v>
      </c>
      <c r="Z22">
        <v>41985</v>
      </c>
      <c r="AA22">
        <v>0.34</v>
      </c>
      <c r="AB22">
        <v>0.4200000000000001</v>
      </c>
      <c r="AC22">
        <v>0.1</v>
      </c>
      <c r="AD22">
        <v>0.13999999999999982</v>
      </c>
      <c r="AG22">
        <v>41929</v>
      </c>
      <c r="AH22">
        <v>0.1</v>
      </c>
      <c r="AI22">
        <v>0.14000000000000001</v>
      </c>
      <c r="AJ22">
        <v>0.50000000000000011</v>
      </c>
      <c r="AK22">
        <v>0.2599999999999999</v>
      </c>
      <c r="AO22">
        <v>41355</v>
      </c>
      <c r="AP22">
        <v>0.18</v>
      </c>
      <c r="AQ22">
        <v>0.4200000000000001</v>
      </c>
      <c r="AR22">
        <v>0.06</v>
      </c>
      <c r="AS22">
        <v>0.33999999999999997</v>
      </c>
      <c r="AV22">
        <v>41362</v>
      </c>
      <c r="AW22">
        <v>0.58000000000000018</v>
      </c>
      <c r="AX22">
        <v>0.34</v>
      </c>
      <c r="AY22">
        <v>0</v>
      </c>
      <c r="AZ22">
        <v>7.9999999999999793E-2</v>
      </c>
      <c r="BC22">
        <v>40830</v>
      </c>
      <c r="BD22">
        <v>0.12000000000000001</v>
      </c>
      <c r="BE22">
        <v>0.44000000000000011</v>
      </c>
      <c r="BF22">
        <v>0</v>
      </c>
      <c r="BG22">
        <v>0.43999999999999989</v>
      </c>
    </row>
    <row r="23" spans="1:59" x14ac:dyDescent="0.3">
      <c r="A23">
        <v>41698</v>
      </c>
      <c r="B23">
        <v>0.90000000000000047</v>
      </c>
      <c r="C23">
        <v>0</v>
      </c>
      <c r="D23">
        <v>0</v>
      </c>
      <c r="E23">
        <v>9.9999999999999534E-2</v>
      </c>
      <c r="J23">
        <v>41572</v>
      </c>
      <c r="K23">
        <v>0.66000000000000025</v>
      </c>
      <c r="L23">
        <v>0</v>
      </c>
      <c r="M23">
        <v>0.32</v>
      </c>
      <c r="N23">
        <v>1.999999999999974E-2</v>
      </c>
      <c r="R23">
        <v>42209</v>
      </c>
      <c r="S23">
        <v>0.50000000000000011</v>
      </c>
      <c r="T23">
        <v>0</v>
      </c>
      <c r="U23">
        <v>0.1</v>
      </c>
      <c r="V23">
        <v>0.39999999999999991</v>
      </c>
      <c r="Z23">
        <v>41992</v>
      </c>
      <c r="AA23">
        <v>0.36000000000000004</v>
      </c>
      <c r="AB23">
        <v>0.32</v>
      </c>
      <c r="AC23">
        <v>0.18</v>
      </c>
      <c r="AD23">
        <v>0.1399999999999999</v>
      </c>
      <c r="AG23">
        <v>41936</v>
      </c>
      <c r="AH23">
        <v>0.14000000000000001</v>
      </c>
      <c r="AI23">
        <v>0.04</v>
      </c>
      <c r="AJ23">
        <v>0.54000000000000015</v>
      </c>
      <c r="AK23">
        <v>0.2799999999999998</v>
      </c>
      <c r="AO23">
        <v>41362</v>
      </c>
      <c r="AP23">
        <v>0.14000000000000001</v>
      </c>
      <c r="AQ23">
        <v>0.50000000000000011</v>
      </c>
      <c r="AR23">
        <v>0</v>
      </c>
      <c r="AS23">
        <v>0.35999999999999988</v>
      </c>
      <c r="AV23">
        <v>41367</v>
      </c>
      <c r="AW23">
        <v>0.58000000000000018</v>
      </c>
      <c r="AX23">
        <v>0.32</v>
      </c>
      <c r="AY23">
        <v>0.02</v>
      </c>
      <c r="AZ23">
        <v>7.9999999999999807E-2</v>
      </c>
      <c r="BC23">
        <v>40837</v>
      </c>
      <c r="BD23">
        <v>0.18</v>
      </c>
      <c r="BE23">
        <v>0.4200000000000001</v>
      </c>
      <c r="BF23">
        <v>0</v>
      </c>
      <c r="BG23">
        <v>0.39999999999999997</v>
      </c>
    </row>
    <row r="24" spans="1:59" x14ac:dyDescent="0.3">
      <c r="A24">
        <v>41705</v>
      </c>
      <c r="B24">
        <v>0.88000000000000045</v>
      </c>
      <c r="C24">
        <v>0</v>
      </c>
      <c r="D24">
        <v>0</v>
      </c>
      <c r="E24">
        <v>0.11999999999999955</v>
      </c>
      <c r="J24">
        <v>41579</v>
      </c>
      <c r="K24">
        <v>0.64000000000000024</v>
      </c>
      <c r="L24">
        <v>0</v>
      </c>
      <c r="M24">
        <v>0.3</v>
      </c>
      <c r="N24">
        <v>5.9999999999999776E-2</v>
      </c>
      <c r="R24">
        <v>42216</v>
      </c>
      <c r="S24">
        <v>0.48000000000000015</v>
      </c>
      <c r="T24">
        <v>0</v>
      </c>
      <c r="U24">
        <v>0.12000000000000001</v>
      </c>
      <c r="V24">
        <v>0.3999999999999998</v>
      </c>
      <c r="Z24">
        <v>41999</v>
      </c>
      <c r="AA24">
        <v>0.40000000000000008</v>
      </c>
      <c r="AB24">
        <v>0.36000000000000004</v>
      </c>
      <c r="AC24">
        <v>0.12000000000000001</v>
      </c>
      <c r="AD24">
        <v>0.11999999999999982</v>
      </c>
      <c r="AG24">
        <v>41943</v>
      </c>
      <c r="AH24">
        <v>0.16</v>
      </c>
      <c r="AI24">
        <v>0</v>
      </c>
      <c r="AJ24">
        <v>0.6000000000000002</v>
      </c>
      <c r="AK24">
        <v>0.23999999999999977</v>
      </c>
      <c r="AO24">
        <v>41367</v>
      </c>
      <c r="AP24">
        <v>0.14000000000000001</v>
      </c>
      <c r="AQ24">
        <v>0.54000000000000015</v>
      </c>
      <c r="AR24">
        <v>0</v>
      </c>
      <c r="AS24">
        <v>0.31999999999999984</v>
      </c>
      <c r="AV24">
        <v>41376</v>
      </c>
      <c r="AW24">
        <v>0.6000000000000002</v>
      </c>
      <c r="AX24">
        <v>0.19999999999999998</v>
      </c>
      <c r="AY24">
        <v>0.12000000000000001</v>
      </c>
      <c r="AZ24">
        <v>7.9999999999999807E-2</v>
      </c>
      <c r="BC24">
        <v>40844</v>
      </c>
      <c r="BD24">
        <v>0.16</v>
      </c>
      <c r="BE24">
        <v>0.40000000000000008</v>
      </c>
      <c r="BF24">
        <v>0</v>
      </c>
      <c r="BG24">
        <v>0.43999999999999989</v>
      </c>
    </row>
    <row r="25" spans="1:59" x14ac:dyDescent="0.3">
      <c r="A25">
        <v>41712</v>
      </c>
      <c r="B25">
        <v>0.9400000000000005</v>
      </c>
      <c r="C25">
        <v>0</v>
      </c>
      <c r="D25">
        <v>0</v>
      </c>
      <c r="E25">
        <v>5.9999999999999498E-2</v>
      </c>
      <c r="J25">
        <v>41586</v>
      </c>
      <c r="K25">
        <v>0.6000000000000002</v>
      </c>
      <c r="L25">
        <v>0</v>
      </c>
      <c r="M25">
        <v>0.32</v>
      </c>
      <c r="N25">
        <v>7.9999999999999793E-2</v>
      </c>
      <c r="R25">
        <v>42223</v>
      </c>
      <c r="S25">
        <v>0.48000000000000015</v>
      </c>
      <c r="T25">
        <v>0</v>
      </c>
      <c r="U25">
        <v>0.12000000000000001</v>
      </c>
      <c r="V25">
        <v>0.3999999999999998</v>
      </c>
      <c r="Z25">
        <v>42004</v>
      </c>
      <c r="AA25">
        <v>0.4200000000000001</v>
      </c>
      <c r="AB25">
        <v>0.40000000000000008</v>
      </c>
      <c r="AC25">
        <v>0.04</v>
      </c>
      <c r="AD25">
        <v>0.13999999999999976</v>
      </c>
      <c r="AG25">
        <v>41950</v>
      </c>
      <c r="AH25">
        <v>0.18</v>
      </c>
      <c r="AI25">
        <v>0.02</v>
      </c>
      <c r="AJ25">
        <v>0.64000000000000024</v>
      </c>
      <c r="AK25">
        <v>0.15999999999999981</v>
      </c>
      <c r="AO25">
        <v>41376</v>
      </c>
      <c r="AP25">
        <v>0.18</v>
      </c>
      <c r="AQ25">
        <v>0.50000000000000011</v>
      </c>
      <c r="AR25">
        <v>0</v>
      </c>
      <c r="AS25">
        <v>0.31999999999999995</v>
      </c>
      <c r="AV25">
        <v>41383</v>
      </c>
      <c r="AW25">
        <v>0.62000000000000022</v>
      </c>
      <c r="AX25">
        <v>0.06</v>
      </c>
      <c r="AY25">
        <v>0.23999999999999996</v>
      </c>
      <c r="AZ25">
        <v>7.9999999999999821E-2</v>
      </c>
      <c r="BC25">
        <v>40851</v>
      </c>
      <c r="BD25">
        <v>0.12000000000000001</v>
      </c>
      <c r="BE25">
        <v>0.4200000000000001</v>
      </c>
      <c r="BF25">
        <v>0</v>
      </c>
      <c r="BG25">
        <v>0.45999999999999991</v>
      </c>
    </row>
    <row r="26" spans="1:59" x14ac:dyDescent="0.3">
      <c r="A26">
        <v>41719</v>
      </c>
      <c r="B26">
        <v>0.96000000000000052</v>
      </c>
      <c r="C26">
        <v>0</v>
      </c>
      <c r="D26">
        <v>0</v>
      </c>
      <c r="E26">
        <v>3.999999999999948E-2</v>
      </c>
      <c r="J26">
        <v>41593</v>
      </c>
      <c r="K26">
        <v>0.56000000000000016</v>
      </c>
      <c r="L26">
        <v>0</v>
      </c>
      <c r="M26">
        <v>0.34</v>
      </c>
      <c r="N26">
        <v>9.9999999999999811E-2</v>
      </c>
      <c r="R26">
        <v>42230</v>
      </c>
      <c r="S26">
        <v>0.48000000000000015</v>
      </c>
      <c r="T26">
        <v>0</v>
      </c>
      <c r="U26">
        <v>0.1</v>
      </c>
      <c r="V26">
        <v>0.41999999999999982</v>
      </c>
      <c r="Z26">
        <v>42013</v>
      </c>
      <c r="AA26">
        <v>0.38000000000000006</v>
      </c>
      <c r="AB26">
        <v>0.46000000000000013</v>
      </c>
      <c r="AC26">
        <v>0.04</v>
      </c>
      <c r="AD26">
        <v>0.11999999999999975</v>
      </c>
      <c r="AG26">
        <v>41957</v>
      </c>
      <c r="AH26">
        <v>0.16</v>
      </c>
      <c r="AI26">
        <v>0.12000000000000001</v>
      </c>
      <c r="AJ26">
        <v>0.6000000000000002</v>
      </c>
      <c r="AK26">
        <v>0.11999999999999977</v>
      </c>
      <c r="AO26">
        <v>41383</v>
      </c>
      <c r="AP26">
        <v>0.16</v>
      </c>
      <c r="AQ26">
        <v>0.48000000000000015</v>
      </c>
      <c r="AR26">
        <v>0.02</v>
      </c>
      <c r="AS26">
        <v>0.3399999999999998</v>
      </c>
      <c r="AV26">
        <v>41390</v>
      </c>
      <c r="AW26">
        <v>0.62000000000000022</v>
      </c>
      <c r="AX26">
        <v>0.06</v>
      </c>
      <c r="AY26">
        <v>0.23999999999999996</v>
      </c>
      <c r="AZ26">
        <v>7.9999999999999821E-2</v>
      </c>
      <c r="BC26">
        <v>40858</v>
      </c>
      <c r="BD26">
        <v>0.14000000000000001</v>
      </c>
      <c r="BE26">
        <v>0.4200000000000001</v>
      </c>
      <c r="BF26">
        <v>0</v>
      </c>
      <c r="BG26">
        <v>0.43999999999999989</v>
      </c>
    </row>
    <row r="27" spans="1:59" x14ac:dyDescent="0.3">
      <c r="A27">
        <v>41726</v>
      </c>
      <c r="B27">
        <v>0.98000000000000054</v>
      </c>
      <c r="C27">
        <v>0</v>
      </c>
      <c r="D27">
        <v>0</v>
      </c>
      <c r="E27">
        <v>1.9999999999999463E-2</v>
      </c>
      <c r="J27">
        <v>41600</v>
      </c>
      <c r="K27">
        <v>0.56000000000000016</v>
      </c>
      <c r="L27">
        <v>0</v>
      </c>
      <c r="M27">
        <v>0.36000000000000004</v>
      </c>
      <c r="N27">
        <v>7.9999999999999793E-2</v>
      </c>
      <c r="R27">
        <v>42237</v>
      </c>
      <c r="S27">
        <v>0.48000000000000015</v>
      </c>
      <c r="T27">
        <v>0</v>
      </c>
      <c r="U27">
        <v>0.1</v>
      </c>
      <c r="V27">
        <v>0.41999999999999982</v>
      </c>
      <c r="Z27">
        <v>42020</v>
      </c>
      <c r="AA27">
        <v>0.36000000000000004</v>
      </c>
      <c r="AB27">
        <v>0.50000000000000011</v>
      </c>
      <c r="AC27">
        <v>0.02</v>
      </c>
      <c r="AD27">
        <v>0.11999999999999979</v>
      </c>
      <c r="AG27">
        <v>41964</v>
      </c>
      <c r="AH27">
        <v>0.14000000000000001</v>
      </c>
      <c r="AI27">
        <v>0.27999999999999997</v>
      </c>
      <c r="AJ27">
        <v>0.54000000000000015</v>
      </c>
      <c r="AK27">
        <v>3.9999999999999925E-2</v>
      </c>
      <c r="AO27">
        <v>41390</v>
      </c>
      <c r="AP27">
        <v>0.14000000000000001</v>
      </c>
      <c r="AQ27">
        <v>0.48000000000000015</v>
      </c>
      <c r="AR27">
        <v>0</v>
      </c>
      <c r="AS27">
        <v>0.37999999999999984</v>
      </c>
      <c r="AV27">
        <v>41397</v>
      </c>
      <c r="AW27">
        <v>0.72000000000000031</v>
      </c>
      <c r="AX27">
        <v>0</v>
      </c>
      <c r="AY27">
        <v>0.23999999999999996</v>
      </c>
      <c r="AZ27">
        <v>3.999999999999973E-2</v>
      </c>
      <c r="BC27">
        <v>40865</v>
      </c>
      <c r="BD27">
        <v>0.1</v>
      </c>
      <c r="BE27">
        <v>0.44000000000000011</v>
      </c>
      <c r="BF27">
        <v>0</v>
      </c>
      <c r="BG27">
        <v>0.45999999999999991</v>
      </c>
    </row>
    <row r="28" spans="1:59" x14ac:dyDescent="0.3">
      <c r="A28">
        <v>41733</v>
      </c>
      <c r="B28">
        <v>0.96000000000000052</v>
      </c>
      <c r="C28">
        <v>0.02</v>
      </c>
      <c r="D28">
        <v>0</v>
      </c>
      <c r="E28">
        <v>1.999999999999948E-2</v>
      </c>
      <c r="J28">
        <v>41607</v>
      </c>
      <c r="K28">
        <v>0.54000000000000015</v>
      </c>
      <c r="L28">
        <v>0</v>
      </c>
      <c r="M28">
        <v>0.40000000000000008</v>
      </c>
      <c r="N28">
        <v>5.9999999999999776E-2</v>
      </c>
      <c r="R28">
        <v>42244</v>
      </c>
      <c r="S28">
        <v>0.48000000000000015</v>
      </c>
      <c r="T28">
        <v>0</v>
      </c>
      <c r="U28">
        <v>0.1</v>
      </c>
      <c r="V28">
        <v>0.41999999999999982</v>
      </c>
      <c r="Z28">
        <v>42027</v>
      </c>
      <c r="AA28">
        <v>0.38000000000000006</v>
      </c>
      <c r="AB28">
        <v>0.40000000000000008</v>
      </c>
      <c r="AC28">
        <v>0.08</v>
      </c>
      <c r="AD28">
        <v>0.13999999999999979</v>
      </c>
      <c r="AG28">
        <v>41971</v>
      </c>
      <c r="AH28">
        <v>0.14000000000000001</v>
      </c>
      <c r="AI28">
        <v>0.27999999999999997</v>
      </c>
      <c r="AJ28">
        <v>0.56000000000000016</v>
      </c>
      <c r="AK28">
        <v>1.9999999999999907E-2</v>
      </c>
      <c r="AO28">
        <v>41397</v>
      </c>
      <c r="AP28">
        <v>0.16</v>
      </c>
      <c r="AQ28">
        <v>0.44000000000000011</v>
      </c>
      <c r="AR28">
        <v>0</v>
      </c>
      <c r="AS28">
        <v>0.39999999999999986</v>
      </c>
      <c r="AV28">
        <v>41404</v>
      </c>
      <c r="AW28">
        <v>0.74000000000000032</v>
      </c>
      <c r="AX28">
        <v>0</v>
      </c>
      <c r="AY28">
        <v>0.23999999999999996</v>
      </c>
      <c r="AZ28">
        <v>1.9999999999999712E-2</v>
      </c>
      <c r="BC28">
        <v>40872</v>
      </c>
      <c r="BD28">
        <v>0.02</v>
      </c>
      <c r="BE28">
        <v>0.48000000000000015</v>
      </c>
      <c r="BF28">
        <v>0</v>
      </c>
      <c r="BG28">
        <v>0.49999999999999983</v>
      </c>
    </row>
    <row r="29" spans="1:59" x14ac:dyDescent="0.3">
      <c r="A29">
        <v>41740</v>
      </c>
      <c r="B29">
        <v>0.96000000000000052</v>
      </c>
      <c r="C29">
        <v>0</v>
      </c>
      <c r="D29">
        <v>0</v>
      </c>
      <c r="E29">
        <v>3.999999999999948E-2</v>
      </c>
      <c r="J29">
        <v>41614</v>
      </c>
      <c r="K29">
        <v>0.52000000000000013</v>
      </c>
      <c r="L29">
        <v>0</v>
      </c>
      <c r="M29">
        <v>0.4200000000000001</v>
      </c>
      <c r="N29">
        <v>5.9999999999999776E-2</v>
      </c>
      <c r="R29">
        <v>42249</v>
      </c>
      <c r="S29">
        <v>0.56000000000000016</v>
      </c>
      <c r="T29">
        <v>0</v>
      </c>
      <c r="U29">
        <v>0.12000000000000001</v>
      </c>
      <c r="V29">
        <v>0.31999999999999984</v>
      </c>
      <c r="Z29">
        <v>42034</v>
      </c>
      <c r="AA29">
        <v>0.40000000000000008</v>
      </c>
      <c r="AB29">
        <v>0.4200000000000001</v>
      </c>
      <c r="AC29">
        <v>0.04</v>
      </c>
      <c r="AD29">
        <v>0.13999999999999976</v>
      </c>
      <c r="AG29">
        <v>41978</v>
      </c>
      <c r="AH29">
        <v>0.12000000000000001</v>
      </c>
      <c r="AI29">
        <v>0.32</v>
      </c>
      <c r="AJ29">
        <v>0.54000000000000015</v>
      </c>
      <c r="AK29">
        <v>1.9999999999999907E-2</v>
      </c>
      <c r="AO29">
        <v>41404</v>
      </c>
      <c r="AP29">
        <v>0.18</v>
      </c>
      <c r="AQ29">
        <v>0.4200000000000001</v>
      </c>
      <c r="AR29">
        <v>0</v>
      </c>
      <c r="AS29">
        <v>0.39999999999999997</v>
      </c>
      <c r="AV29">
        <v>41411</v>
      </c>
      <c r="AW29">
        <v>0.74000000000000032</v>
      </c>
      <c r="AX29">
        <v>0</v>
      </c>
      <c r="AY29">
        <v>0.23999999999999996</v>
      </c>
      <c r="AZ29">
        <v>1.9999999999999712E-2</v>
      </c>
      <c r="BC29">
        <v>40879</v>
      </c>
      <c r="BD29">
        <v>0.02</v>
      </c>
      <c r="BE29">
        <v>0.48000000000000015</v>
      </c>
      <c r="BF29">
        <v>0</v>
      </c>
      <c r="BG29">
        <v>0.49999999999999983</v>
      </c>
    </row>
    <row r="30" spans="1:59" x14ac:dyDescent="0.3">
      <c r="A30">
        <v>41747</v>
      </c>
      <c r="B30">
        <v>0.96000000000000052</v>
      </c>
      <c r="C30">
        <v>0</v>
      </c>
      <c r="D30">
        <v>0</v>
      </c>
      <c r="E30">
        <v>3.999999999999948E-2</v>
      </c>
      <c r="J30">
        <v>41621</v>
      </c>
      <c r="K30">
        <v>0.52000000000000013</v>
      </c>
      <c r="L30">
        <v>0</v>
      </c>
      <c r="M30">
        <v>0.40000000000000008</v>
      </c>
      <c r="N30">
        <v>7.9999999999999793E-2</v>
      </c>
      <c r="R30">
        <v>42258</v>
      </c>
      <c r="S30">
        <v>0.56000000000000016</v>
      </c>
      <c r="T30">
        <v>0</v>
      </c>
      <c r="U30">
        <v>0.12000000000000001</v>
      </c>
      <c r="V30">
        <v>0.31999999999999984</v>
      </c>
      <c r="Z30">
        <v>42041</v>
      </c>
      <c r="AA30">
        <v>0.38000000000000006</v>
      </c>
      <c r="AB30">
        <v>0.44000000000000011</v>
      </c>
      <c r="AC30">
        <v>0.02</v>
      </c>
      <c r="AD30">
        <v>0.15999999999999978</v>
      </c>
      <c r="AG30">
        <v>41985</v>
      </c>
      <c r="AH30">
        <v>0.23999999999999996</v>
      </c>
      <c r="AI30">
        <v>0.18</v>
      </c>
      <c r="AJ30">
        <v>0.58000000000000018</v>
      </c>
      <c r="AK30">
        <v>-1.1102230246251565E-16</v>
      </c>
      <c r="AO30">
        <v>41411</v>
      </c>
      <c r="AP30">
        <v>0.16</v>
      </c>
      <c r="AQ30">
        <v>0.4200000000000001</v>
      </c>
      <c r="AR30">
        <v>0</v>
      </c>
      <c r="AS30">
        <v>0.41999999999999987</v>
      </c>
      <c r="AV30">
        <v>41418</v>
      </c>
      <c r="AW30">
        <v>0.74000000000000032</v>
      </c>
      <c r="AX30">
        <v>0</v>
      </c>
      <c r="AY30">
        <v>0.21999999999999997</v>
      </c>
      <c r="AZ30">
        <v>3.9999999999999702E-2</v>
      </c>
      <c r="BC30">
        <v>40886</v>
      </c>
      <c r="BD30">
        <v>0.04</v>
      </c>
      <c r="BE30">
        <v>0.46000000000000013</v>
      </c>
      <c r="BF30">
        <v>0</v>
      </c>
      <c r="BG30">
        <v>0.49999999999999983</v>
      </c>
    </row>
    <row r="31" spans="1:59" x14ac:dyDescent="0.3">
      <c r="A31">
        <v>41754</v>
      </c>
      <c r="B31">
        <v>0.9400000000000005</v>
      </c>
      <c r="C31">
        <v>0</v>
      </c>
      <c r="D31">
        <v>0</v>
      </c>
      <c r="E31">
        <v>5.9999999999999498E-2</v>
      </c>
      <c r="J31">
        <v>41628</v>
      </c>
      <c r="K31">
        <v>0.56000000000000016</v>
      </c>
      <c r="L31">
        <v>0</v>
      </c>
      <c r="M31">
        <v>0.36000000000000004</v>
      </c>
      <c r="N31">
        <v>7.9999999999999793E-2</v>
      </c>
      <c r="R31">
        <v>42265</v>
      </c>
      <c r="S31">
        <v>0.66000000000000025</v>
      </c>
      <c r="T31">
        <v>0</v>
      </c>
      <c r="U31">
        <v>0.04</v>
      </c>
      <c r="V31">
        <v>0.29999999999999977</v>
      </c>
      <c r="Z31">
        <v>42048</v>
      </c>
      <c r="AA31">
        <v>0.38000000000000006</v>
      </c>
      <c r="AB31">
        <v>0.4200000000000001</v>
      </c>
      <c r="AC31">
        <v>0.02</v>
      </c>
      <c r="AD31">
        <v>0.1799999999999998</v>
      </c>
      <c r="AG31">
        <v>41992</v>
      </c>
      <c r="AH31">
        <v>0.23999999999999996</v>
      </c>
      <c r="AI31">
        <v>0.18</v>
      </c>
      <c r="AJ31">
        <v>0.58000000000000018</v>
      </c>
      <c r="AK31">
        <v>-1.1102230246251565E-16</v>
      </c>
      <c r="AO31">
        <v>41418</v>
      </c>
      <c r="AP31">
        <v>0.16</v>
      </c>
      <c r="AQ31">
        <v>0.40000000000000008</v>
      </c>
      <c r="AR31">
        <v>0</v>
      </c>
      <c r="AS31">
        <v>0.43999999999999989</v>
      </c>
      <c r="AV31">
        <v>41425</v>
      </c>
      <c r="AW31">
        <v>0.72000000000000031</v>
      </c>
      <c r="AX31">
        <v>0.04</v>
      </c>
      <c r="AY31">
        <v>0.21999999999999997</v>
      </c>
      <c r="AZ31">
        <v>1.9999999999999712E-2</v>
      </c>
      <c r="BC31">
        <v>40893</v>
      </c>
      <c r="BD31">
        <v>0.16</v>
      </c>
      <c r="BE31">
        <v>0.38000000000000006</v>
      </c>
      <c r="BF31">
        <v>0</v>
      </c>
      <c r="BG31">
        <v>0.45999999999999991</v>
      </c>
    </row>
    <row r="32" spans="1:59" x14ac:dyDescent="0.3">
      <c r="A32">
        <v>41759</v>
      </c>
      <c r="B32">
        <v>0.9400000000000005</v>
      </c>
      <c r="C32">
        <v>0.04</v>
      </c>
      <c r="D32">
        <v>0</v>
      </c>
      <c r="E32">
        <v>1.9999999999999497E-2</v>
      </c>
      <c r="J32">
        <v>41635</v>
      </c>
      <c r="K32">
        <v>0.6000000000000002</v>
      </c>
      <c r="L32">
        <v>0</v>
      </c>
      <c r="M32">
        <v>0.36000000000000004</v>
      </c>
      <c r="N32">
        <v>3.9999999999999758E-2</v>
      </c>
      <c r="R32">
        <v>42272</v>
      </c>
      <c r="S32">
        <v>0.62000000000000022</v>
      </c>
      <c r="T32">
        <v>0</v>
      </c>
      <c r="U32">
        <v>0.08</v>
      </c>
      <c r="V32">
        <v>0.29999999999999977</v>
      </c>
      <c r="Z32">
        <v>42052</v>
      </c>
      <c r="AA32">
        <v>0.46000000000000013</v>
      </c>
      <c r="AB32">
        <v>0.25999999999999995</v>
      </c>
      <c r="AC32">
        <v>0.04</v>
      </c>
      <c r="AD32">
        <v>0.23999999999999985</v>
      </c>
      <c r="AG32">
        <v>41999</v>
      </c>
      <c r="AH32">
        <v>0.27999999999999997</v>
      </c>
      <c r="AI32">
        <v>0.23999999999999996</v>
      </c>
      <c r="AJ32">
        <v>0.48000000000000015</v>
      </c>
      <c r="AK32">
        <v>-1.6653345369377348E-16</v>
      </c>
      <c r="AO32">
        <v>41425</v>
      </c>
      <c r="AP32">
        <v>0.12000000000000001</v>
      </c>
      <c r="AQ32">
        <v>0.48000000000000015</v>
      </c>
      <c r="AR32">
        <v>0</v>
      </c>
      <c r="AS32">
        <v>0.39999999999999986</v>
      </c>
      <c r="AV32">
        <v>41432</v>
      </c>
      <c r="AW32">
        <v>0.72000000000000031</v>
      </c>
      <c r="AX32">
        <v>0</v>
      </c>
      <c r="AY32">
        <v>0.23999999999999996</v>
      </c>
      <c r="AZ32">
        <v>3.999999999999973E-2</v>
      </c>
      <c r="BC32">
        <v>40900</v>
      </c>
      <c r="BD32">
        <v>0.23999999999999996</v>
      </c>
      <c r="BE32">
        <v>0.38000000000000006</v>
      </c>
      <c r="BF32">
        <v>0</v>
      </c>
      <c r="BG32">
        <v>0.37999999999999995</v>
      </c>
    </row>
    <row r="33" spans="1:59" x14ac:dyDescent="0.3">
      <c r="A33">
        <v>41768</v>
      </c>
      <c r="B33">
        <v>0.92000000000000048</v>
      </c>
      <c r="C33">
        <v>0.06</v>
      </c>
      <c r="D33">
        <v>0</v>
      </c>
      <c r="E33">
        <v>1.9999999999999518E-2</v>
      </c>
      <c r="J33">
        <v>41642</v>
      </c>
      <c r="K33">
        <v>0.62000000000000022</v>
      </c>
      <c r="L33">
        <v>0</v>
      </c>
      <c r="M33">
        <v>0.34</v>
      </c>
      <c r="N33">
        <v>3.9999999999999758E-2</v>
      </c>
      <c r="R33">
        <v>42277</v>
      </c>
      <c r="S33">
        <v>0.62000000000000022</v>
      </c>
      <c r="T33">
        <v>0</v>
      </c>
      <c r="U33">
        <v>0.08</v>
      </c>
      <c r="V33">
        <v>0.29999999999999977</v>
      </c>
      <c r="Z33">
        <v>42062</v>
      </c>
      <c r="AA33">
        <v>0.48000000000000015</v>
      </c>
      <c r="AB33">
        <v>0.04</v>
      </c>
      <c r="AC33">
        <v>0.23999999999999996</v>
      </c>
      <c r="AD33">
        <v>0.23999999999999985</v>
      </c>
      <c r="AG33">
        <v>42004</v>
      </c>
      <c r="AH33">
        <v>0.21999999999999997</v>
      </c>
      <c r="AI33">
        <v>0.19999999999999998</v>
      </c>
      <c r="AJ33">
        <v>0.58000000000000018</v>
      </c>
      <c r="AK33">
        <v>-1.1102230246251565E-16</v>
      </c>
      <c r="AO33">
        <v>41432</v>
      </c>
      <c r="AP33">
        <v>0.12000000000000001</v>
      </c>
      <c r="AQ33">
        <v>0.48000000000000015</v>
      </c>
      <c r="AR33">
        <v>0</v>
      </c>
      <c r="AS33">
        <v>0.39999999999999986</v>
      </c>
      <c r="AV33">
        <v>41439</v>
      </c>
      <c r="AW33">
        <v>0.72000000000000031</v>
      </c>
      <c r="AX33">
        <v>0</v>
      </c>
      <c r="AY33">
        <v>0.18</v>
      </c>
      <c r="AZ33">
        <v>9.99999999999997E-2</v>
      </c>
      <c r="BC33">
        <v>40907</v>
      </c>
      <c r="BD33">
        <v>0.25999999999999995</v>
      </c>
      <c r="BE33">
        <v>0.38000000000000006</v>
      </c>
      <c r="BF33">
        <v>0</v>
      </c>
      <c r="BG33">
        <v>0.35999999999999993</v>
      </c>
    </row>
    <row r="34" spans="1:59" x14ac:dyDescent="0.3">
      <c r="A34">
        <v>41775</v>
      </c>
      <c r="B34">
        <v>0.96000000000000052</v>
      </c>
      <c r="C34">
        <v>0.02</v>
      </c>
      <c r="D34">
        <v>0</v>
      </c>
      <c r="E34">
        <v>1.999999999999948E-2</v>
      </c>
      <c r="J34">
        <v>41649</v>
      </c>
      <c r="K34">
        <v>0.64000000000000024</v>
      </c>
      <c r="L34">
        <v>0</v>
      </c>
      <c r="M34">
        <v>0.32</v>
      </c>
      <c r="N34">
        <v>3.9999999999999758E-2</v>
      </c>
      <c r="R34">
        <v>42286</v>
      </c>
      <c r="S34">
        <v>0.64000000000000024</v>
      </c>
      <c r="T34">
        <v>0</v>
      </c>
      <c r="U34">
        <v>0.08</v>
      </c>
      <c r="V34">
        <v>0.27999999999999975</v>
      </c>
      <c r="Z34">
        <v>42069</v>
      </c>
      <c r="AA34">
        <v>0.25999999999999995</v>
      </c>
      <c r="AB34">
        <v>0.46000000000000013</v>
      </c>
      <c r="AC34">
        <v>0</v>
      </c>
      <c r="AD34">
        <v>0.27999999999999986</v>
      </c>
      <c r="AG34">
        <v>42013</v>
      </c>
      <c r="AH34">
        <v>0.16</v>
      </c>
      <c r="AI34">
        <v>0.25999999999999995</v>
      </c>
      <c r="AJ34">
        <v>0.58000000000000018</v>
      </c>
      <c r="AK34">
        <v>-1.1102230246251565E-16</v>
      </c>
      <c r="AO34">
        <v>41439</v>
      </c>
      <c r="AP34">
        <v>0.12000000000000001</v>
      </c>
      <c r="AQ34">
        <v>0.46000000000000013</v>
      </c>
      <c r="AR34">
        <v>0</v>
      </c>
      <c r="AS34">
        <v>0.41999999999999987</v>
      </c>
      <c r="AV34">
        <v>41446</v>
      </c>
      <c r="AW34">
        <v>0.72000000000000031</v>
      </c>
      <c r="AX34">
        <v>0</v>
      </c>
      <c r="AY34">
        <v>0.18</v>
      </c>
      <c r="AZ34">
        <v>9.99999999999997E-2</v>
      </c>
      <c r="BC34">
        <v>40914</v>
      </c>
      <c r="BD34">
        <v>0.25999999999999995</v>
      </c>
      <c r="BE34">
        <v>0.38000000000000006</v>
      </c>
      <c r="BF34">
        <v>0</v>
      </c>
      <c r="BG34">
        <v>0.35999999999999993</v>
      </c>
    </row>
    <row r="35" spans="1:59" x14ac:dyDescent="0.3">
      <c r="A35">
        <v>41782</v>
      </c>
      <c r="B35">
        <v>0.96000000000000052</v>
      </c>
      <c r="C35">
        <v>0.02</v>
      </c>
      <c r="D35">
        <v>0</v>
      </c>
      <c r="E35">
        <v>1.999999999999948E-2</v>
      </c>
      <c r="J35">
        <v>41656</v>
      </c>
      <c r="K35">
        <v>0.64000000000000024</v>
      </c>
      <c r="L35">
        <v>0</v>
      </c>
      <c r="M35">
        <v>0.32</v>
      </c>
      <c r="N35">
        <v>3.9999999999999758E-2</v>
      </c>
      <c r="R35">
        <v>42293</v>
      </c>
      <c r="S35">
        <v>0.64000000000000024</v>
      </c>
      <c r="T35">
        <v>0</v>
      </c>
      <c r="U35">
        <v>0.08</v>
      </c>
      <c r="V35">
        <v>0.27999999999999975</v>
      </c>
      <c r="Z35">
        <v>42076</v>
      </c>
      <c r="AA35">
        <v>0.25999999999999995</v>
      </c>
      <c r="AB35">
        <v>0.46000000000000013</v>
      </c>
      <c r="AC35">
        <v>0</v>
      </c>
      <c r="AD35">
        <v>0.27999999999999986</v>
      </c>
      <c r="AG35">
        <v>42020</v>
      </c>
      <c r="AH35">
        <v>0.16</v>
      </c>
      <c r="AI35">
        <v>0.25999999999999995</v>
      </c>
      <c r="AJ35">
        <v>0.58000000000000018</v>
      </c>
      <c r="AK35">
        <v>-1.1102230246251565E-16</v>
      </c>
      <c r="AO35">
        <v>41446</v>
      </c>
      <c r="AP35">
        <v>0.16</v>
      </c>
      <c r="AQ35">
        <v>0.4200000000000001</v>
      </c>
      <c r="AR35">
        <v>0</v>
      </c>
      <c r="AS35">
        <v>0.41999999999999987</v>
      </c>
      <c r="AV35">
        <v>41453</v>
      </c>
      <c r="AW35">
        <v>0.74000000000000032</v>
      </c>
      <c r="AX35">
        <v>0</v>
      </c>
      <c r="AY35">
        <v>0.18</v>
      </c>
      <c r="AZ35">
        <v>7.9999999999999682E-2</v>
      </c>
      <c r="BC35">
        <v>40921</v>
      </c>
      <c r="BD35">
        <v>0.3</v>
      </c>
      <c r="BE35">
        <v>0.34</v>
      </c>
      <c r="BF35">
        <v>0</v>
      </c>
      <c r="BG35">
        <v>0.35999999999999993</v>
      </c>
    </row>
    <row r="36" spans="1:59" x14ac:dyDescent="0.3">
      <c r="A36">
        <v>41789</v>
      </c>
      <c r="B36">
        <v>0.98000000000000054</v>
      </c>
      <c r="C36">
        <v>0</v>
      </c>
      <c r="D36">
        <v>0</v>
      </c>
      <c r="E36">
        <v>1.9999999999999463E-2</v>
      </c>
      <c r="J36">
        <v>41663</v>
      </c>
      <c r="K36">
        <v>0.6000000000000002</v>
      </c>
      <c r="L36">
        <v>0</v>
      </c>
      <c r="M36">
        <v>0.34</v>
      </c>
      <c r="N36">
        <v>5.9999999999999776E-2</v>
      </c>
      <c r="R36">
        <v>42300</v>
      </c>
      <c r="S36">
        <v>0.66000000000000025</v>
      </c>
      <c r="T36">
        <v>0</v>
      </c>
      <c r="U36">
        <v>0.06</v>
      </c>
      <c r="V36">
        <v>0.27999999999999975</v>
      </c>
      <c r="Z36">
        <v>42083</v>
      </c>
      <c r="AA36">
        <v>0.32</v>
      </c>
      <c r="AB36">
        <v>0.36000000000000004</v>
      </c>
      <c r="AC36">
        <v>0.06</v>
      </c>
      <c r="AD36">
        <v>0.2599999999999999</v>
      </c>
      <c r="AG36">
        <v>42027</v>
      </c>
      <c r="AH36">
        <v>0.19999999999999998</v>
      </c>
      <c r="AI36">
        <v>0</v>
      </c>
      <c r="AJ36">
        <v>0.78000000000000036</v>
      </c>
      <c r="AK36">
        <v>1.9999999999999685E-2</v>
      </c>
      <c r="AO36">
        <v>41453</v>
      </c>
      <c r="AP36">
        <v>0.27999999999999997</v>
      </c>
      <c r="AQ36">
        <v>0.4200000000000001</v>
      </c>
      <c r="AR36">
        <v>0</v>
      </c>
      <c r="AS36">
        <v>0.29999999999999988</v>
      </c>
      <c r="AV36">
        <v>41460</v>
      </c>
      <c r="AW36">
        <v>0.74000000000000032</v>
      </c>
      <c r="AX36">
        <v>0</v>
      </c>
      <c r="AY36">
        <v>0.18</v>
      </c>
      <c r="AZ36">
        <v>7.9999999999999682E-2</v>
      </c>
      <c r="BC36">
        <v>40928</v>
      </c>
      <c r="BD36">
        <v>0.34</v>
      </c>
      <c r="BE36">
        <v>0.32</v>
      </c>
      <c r="BF36">
        <v>0</v>
      </c>
      <c r="BG36">
        <v>0.33999999999999991</v>
      </c>
    </row>
    <row r="37" spans="1:59" x14ac:dyDescent="0.3">
      <c r="A37">
        <v>41796</v>
      </c>
      <c r="B37">
        <v>0.96000000000000052</v>
      </c>
      <c r="C37">
        <v>0</v>
      </c>
      <c r="D37">
        <v>0</v>
      </c>
      <c r="E37">
        <v>3.999999999999948E-2</v>
      </c>
      <c r="J37">
        <v>41669</v>
      </c>
      <c r="K37">
        <v>0.62000000000000022</v>
      </c>
      <c r="L37">
        <v>0</v>
      </c>
      <c r="M37">
        <v>0.3</v>
      </c>
      <c r="N37">
        <v>7.9999999999999793E-2</v>
      </c>
      <c r="R37">
        <v>42307</v>
      </c>
      <c r="S37">
        <v>0.62000000000000022</v>
      </c>
      <c r="T37">
        <v>0</v>
      </c>
      <c r="U37">
        <v>0.12000000000000001</v>
      </c>
      <c r="V37">
        <v>0.25999999999999979</v>
      </c>
      <c r="Z37">
        <v>42090</v>
      </c>
      <c r="AA37">
        <v>0.3</v>
      </c>
      <c r="AB37">
        <v>0.40000000000000008</v>
      </c>
      <c r="AC37">
        <v>0.04</v>
      </c>
      <c r="AD37">
        <v>0.2599999999999999</v>
      </c>
      <c r="AG37">
        <v>42034</v>
      </c>
      <c r="AH37">
        <v>0.18</v>
      </c>
      <c r="AI37">
        <v>0</v>
      </c>
      <c r="AJ37">
        <v>0.80000000000000038</v>
      </c>
      <c r="AK37">
        <v>1.9999999999999685E-2</v>
      </c>
      <c r="AO37">
        <v>41460</v>
      </c>
      <c r="AP37">
        <v>0.34</v>
      </c>
      <c r="AQ37">
        <v>0.52000000000000013</v>
      </c>
      <c r="AR37">
        <v>0</v>
      </c>
      <c r="AS37">
        <v>0.13999999999999979</v>
      </c>
      <c r="AV37">
        <v>41467</v>
      </c>
      <c r="AW37">
        <v>0.74000000000000032</v>
      </c>
      <c r="AX37">
        <v>0</v>
      </c>
      <c r="AY37">
        <v>0.18</v>
      </c>
      <c r="AZ37">
        <v>7.9999999999999682E-2</v>
      </c>
      <c r="BC37">
        <v>40942</v>
      </c>
      <c r="BD37">
        <v>0.52000000000000013</v>
      </c>
      <c r="BE37">
        <v>0.23999999999999996</v>
      </c>
      <c r="BF37">
        <v>0</v>
      </c>
      <c r="BG37">
        <v>0.23999999999999991</v>
      </c>
    </row>
    <row r="38" spans="1:59" x14ac:dyDescent="0.3">
      <c r="A38">
        <v>41803</v>
      </c>
      <c r="B38">
        <v>0.96000000000000052</v>
      </c>
      <c r="C38">
        <v>0</v>
      </c>
      <c r="D38">
        <v>0</v>
      </c>
      <c r="E38">
        <v>3.999999999999948E-2</v>
      </c>
      <c r="J38">
        <v>41677</v>
      </c>
      <c r="K38">
        <v>0.54000000000000015</v>
      </c>
      <c r="L38">
        <v>0</v>
      </c>
      <c r="M38">
        <v>0.34</v>
      </c>
      <c r="N38">
        <v>0.11999999999999983</v>
      </c>
      <c r="R38">
        <v>42314</v>
      </c>
      <c r="S38">
        <v>0.62000000000000022</v>
      </c>
      <c r="T38">
        <v>0</v>
      </c>
      <c r="U38">
        <v>0.12000000000000001</v>
      </c>
      <c r="V38">
        <v>0.25999999999999979</v>
      </c>
      <c r="Z38">
        <v>42097</v>
      </c>
      <c r="AA38">
        <v>0.32</v>
      </c>
      <c r="AB38">
        <v>0.36000000000000004</v>
      </c>
      <c r="AC38">
        <v>0.06</v>
      </c>
      <c r="AD38">
        <v>0.2599999999999999</v>
      </c>
      <c r="AG38">
        <v>42041</v>
      </c>
      <c r="AH38">
        <v>0.18</v>
      </c>
      <c r="AI38">
        <v>0</v>
      </c>
      <c r="AJ38">
        <v>0.80000000000000038</v>
      </c>
      <c r="AK38">
        <v>1.9999999999999685E-2</v>
      </c>
      <c r="AO38">
        <v>41467</v>
      </c>
      <c r="AP38">
        <v>0.38000000000000006</v>
      </c>
      <c r="AQ38">
        <v>0.34</v>
      </c>
      <c r="AR38">
        <v>0</v>
      </c>
      <c r="AS38">
        <v>0.27999999999999986</v>
      </c>
      <c r="AV38">
        <v>41474</v>
      </c>
      <c r="AW38">
        <v>0.68000000000000027</v>
      </c>
      <c r="AX38">
        <v>0.12000000000000001</v>
      </c>
      <c r="AY38">
        <v>0.04</v>
      </c>
      <c r="AZ38">
        <v>0.15999999999999973</v>
      </c>
      <c r="BC38">
        <v>40949</v>
      </c>
      <c r="BD38">
        <v>0.52000000000000013</v>
      </c>
      <c r="BE38">
        <v>0.23999999999999996</v>
      </c>
      <c r="BF38">
        <v>0</v>
      </c>
      <c r="BG38">
        <v>0.23999999999999991</v>
      </c>
    </row>
    <row r="39" spans="1:59" x14ac:dyDescent="0.3">
      <c r="A39">
        <v>41810</v>
      </c>
      <c r="B39">
        <v>0.90000000000000047</v>
      </c>
      <c r="C39">
        <v>0</v>
      </c>
      <c r="D39">
        <v>0</v>
      </c>
      <c r="E39">
        <v>9.9999999999999534E-2</v>
      </c>
      <c r="J39">
        <v>41684</v>
      </c>
      <c r="K39">
        <v>0.54000000000000015</v>
      </c>
      <c r="L39">
        <v>0</v>
      </c>
      <c r="M39">
        <v>0.36000000000000004</v>
      </c>
      <c r="N39">
        <v>9.9999999999999811E-2</v>
      </c>
      <c r="R39">
        <v>42321</v>
      </c>
      <c r="S39">
        <v>0.6000000000000002</v>
      </c>
      <c r="T39">
        <v>0</v>
      </c>
      <c r="U39">
        <v>0.12000000000000001</v>
      </c>
      <c r="V39">
        <v>0.2799999999999998</v>
      </c>
      <c r="Z39">
        <v>42104</v>
      </c>
      <c r="AA39">
        <v>0.36000000000000004</v>
      </c>
      <c r="AB39">
        <v>0.34</v>
      </c>
      <c r="AC39">
        <v>0.06</v>
      </c>
      <c r="AD39">
        <v>0.23999999999999988</v>
      </c>
      <c r="AG39">
        <v>42048</v>
      </c>
      <c r="AH39">
        <v>0.14000000000000001</v>
      </c>
      <c r="AI39">
        <v>0</v>
      </c>
      <c r="AJ39">
        <v>0.84000000000000041</v>
      </c>
      <c r="AK39">
        <v>1.9999999999999574E-2</v>
      </c>
      <c r="AO39">
        <v>41474</v>
      </c>
      <c r="AP39">
        <v>0.40000000000000008</v>
      </c>
      <c r="AQ39">
        <v>0.32</v>
      </c>
      <c r="AR39">
        <v>0</v>
      </c>
      <c r="AS39">
        <v>0.27999999999999986</v>
      </c>
      <c r="AV39">
        <v>41481</v>
      </c>
      <c r="AW39">
        <v>0.72000000000000031</v>
      </c>
      <c r="AX39">
        <v>0.08</v>
      </c>
      <c r="AY39">
        <v>0.06</v>
      </c>
      <c r="AZ39">
        <v>0.13999999999999968</v>
      </c>
      <c r="BC39">
        <v>40956</v>
      </c>
      <c r="BD39">
        <v>0.54000000000000015</v>
      </c>
      <c r="BE39">
        <v>0.19999999999999998</v>
      </c>
      <c r="BF39">
        <v>0</v>
      </c>
      <c r="BG39">
        <v>0.2599999999999999</v>
      </c>
    </row>
    <row r="40" spans="1:59" x14ac:dyDescent="0.3">
      <c r="A40">
        <v>41817</v>
      </c>
      <c r="B40">
        <v>0.90000000000000047</v>
      </c>
      <c r="C40">
        <v>0</v>
      </c>
      <c r="D40">
        <v>0</v>
      </c>
      <c r="E40">
        <v>9.9999999999999534E-2</v>
      </c>
      <c r="J40">
        <v>41691</v>
      </c>
      <c r="K40">
        <v>0.56000000000000016</v>
      </c>
      <c r="L40">
        <v>0</v>
      </c>
      <c r="M40">
        <v>0.34</v>
      </c>
      <c r="N40">
        <v>9.9999999999999811E-2</v>
      </c>
      <c r="R40">
        <v>42328</v>
      </c>
      <c r="S40">
        <v>0.58000000000000018</v>
      </c>
      <c r="T40">
        <v>0</v>
      </c>
      <c r="U40">
        <v>0.14000000000000001</v>
      </c>
      <c r="V40">
        <v>0.2799999999999998</v>
      </c>
      <c r="Z40">
        <v>42111</v>
      </c>
      <c r="AA40">
        <v>0.36000000000000004</v>
      </c>
      <c r="AB40">
        <v>0.27999999999999997</v>
      </c>
      <c r="AC40">
        <v>0.1</v>
      </c>
      <c r="AD40">
        <v>0.2599999999999999</v>
      </c>
      <c r="AG40">
        <v>42052</v>
      </c>
      <c r="AH40">
        <v>0.25999999999999995</v>
      </c>
      <c r="AI40">
        <v>0</v>
      </c>
      <c r="AJ40">
        <v>0.68000000000000027</v>
      </c>
      <c r="AK40">
        <v>5.999999999999972E-2</v>
      </c>
      <c r="AO40">
        <v>41481</v>
      </c>
      <c r="AP40">
        <v>0.25999999999999995</v>
      </c>
      <c r="AQ40">
        <v>0.40000000000000008</v>
      </c>
      <c r="AR40">
        <v>0</v>
      </c>
      <c r="AS40">
        <v>0.33999999999999991</v>
      </c>
      <c r="AV40">
        <v>41488</v>
      </c>
      <c r="AW40">
        <v>0.72000000000000031</v>
      </c>
      <c r="AX40">
        <v>0.14000000000000001</v>
      </c>
      <c r="AY40">
        <v>0</v>
      </c>
      <c r="AZ40">
        <v>0.13999999999999968</v>
      </c>
      <c r="BC40">
        <v>40963</v>
      </c>
      <c r="BD40">
        <v>0.58000000000000018</v>
      </c>
      <c r="BE40">
        <v>0.18</v>
      </c>
      <c r="BF40">
        <v>0</v>
      </c>
      <c r="BG40">
        <v>0.23999999999999982</v>
      </c>
    </row>
    <row r="41" spans="1:59" x14ac:dyDescent="0.3">
      <c r="A41">
        <v>41824</v>
      </c>
      <c r="B41">
        <v>0.88000000000000045</v>
      </c>
      <c r="C41">
        <v>0</v>
      </c>
      <c r="D41">
        <v>0</v>
      </c>
      <c r="E41">
        <v>0.11999999999999955</v>
      </c>
      <c r="J41">
        <v>41698</v>
      </c>
      <c r="K41">
        <v>0.56000000000000016</v>
      </c>
      <c r="L41">
        <v>0</v>
      </c>
      <c r="M41">
        <v>0.34</v>
      </c>
      <c r="N41">
        <v>9.9999999999999811E-2</v>
      </c>
      <c r="R41">
        <v>42335</v>
      </c>
      <c r="S41">
        <v>0.58000000000000018</v>
      </c>
      <c r="T41">
        <v>0</v>
      </c>
      <c r="U41">
        <v>0.14000000000000001</v>
      </c>
      <c r="V41">
        <v>0.2799999999999998</v>
      </c>
      <c r="Z41">
        <v>42118</v>
      </c>
      <c r="AA41">
        <v>0.40000000000000008</v>
      </c>
      <c r="AB41">
        <v>0.23999999999999996</v>
      </c>
      <c r="AC41">
        <v>0.1</v>
      </c>
      <c r="AD41">
        <v>0.2599999999999999</v>
      </c>
      <c r="AG41">
        <v>42062</v>
      </c>
      <c r="AH41">
        <v>0.27999999999999997</v>
      </c>
      <c r="AI41">
        <v>0</v>
      </c>
      <c r="AJ41">
        <v>0.66000000000000025</v>
      </c>
      <c r="AK41">
        <v>5.999999999999972E-2</v>
      </c>
      <c r="AO41">
        <v>41488</v>
      </c>
      <c r="AP41">
        <v>0.25999999999999995</v>
      </c>
      <c r="AQ41">
        <v>0.36000000000000004</v>
      </c>
      <c r="AR41">
        <v>0</v>
      </c>
      <c r="AS41">
        <v>0.37999999999999995</v>
      </c>
      <c r="AV41">
        <v>41495</v>
      </c>
      <c r="AW41">
        <v>0.70000000000000029</v>
      </c>
      <c r="AX41">
        <v>0.12000000000000001</v>
      </c>
      <c r="AY41">
        <v>0</v>
      </c>
      <c r="AZ41">
        <v>0.17999999999999972</v>
      </c>
      <c r="BC41">
        <v>40970</v>
      </c>
      <c r="BD41">
        <v>0.6000000000000002</v>
      </c>
      <c r="BE41">
        <v>0.14000000000000001</v>
      </c>
      <c r="BF41">
        <v>0</v>
      </c>
      <c r="BG41">
        <v>0.25999999999999979</v>
      </c>
    </row>
    <row r="42" spans="1:59" x14ac:dyDescent="0.3">
      <c r="A42">
        <v>41831</v>
      </c>
      <c r="B42">
        <v>0.88000000000000045</v>
      </c>
      <c r="C42">
        <v>0</v>
      </c>
      <c r="D42">
        <v>0</v>
      </c>
      <c r="E42">
        <v>0.11999999999999955</v>
      </c>
      <c r="J42">
        <v>41705</v>
      </c>
      <c r="K42">
        <v>0.46000000000000013</v>
      </c>
      <c r="L42">
        <v>0.02</v>
      </c>
      <c r="M42">
        <v>0.3</v>
      </c>
      <c r="N42">
        <v>0.21999999999999981</v>
      </c>
      <c r="R42">
        <v>42342</v>
      </c>
      <c r="S42">
        <v>0.62000000000000022</v>
      </c>
      <c r="T42">
        <v>0</v>
      </c>
      <c r="U42">
        <v>0.14000000000000001</v>
      </c>
      <c r="V42">
        <v>0.23999999999999977</v>
      </c>
      <c r="Z42">
        <v>42124</v>
      </c>
      <c r="AA42">
        <v>0.38000000000000006</v>
      </c>
      <c r="AB42">
        <v>0.34</v>
      </c>
      <c r="AC42">
        <v>0.02</v>
      </c>
      <c r="AD42">
        <v>0.25999999999999984</v>
      </c>
      <c r="AG42">
        <v>42069</v>
      </c>
      <c r="AH42">
        <v>0.21999999999999997</v>
      </c>
      <c r="AI42">
        <v>0.06</v>
      </c>
      <c r="AJ42">
        <v>0.66000000000000025</v>
      </c>
      <c r="AK42">
        <v>5.999999999999972E-2</v>
      </c>
      <c r="AO42">
        <v>41495</v>
      </c>
      <c r="AP42">
        <v>0.21999999999999997</v>
      </c>
      <c r="AQ42">
        <v>0.36000000000000004</v>
      </c>
      <c r="AR42">
        <v>0</v>
      </c>
      <c r="AS42">
        <v>0.42</v>
      </c>
      <c r="AV42">
        <v>41502</v>
      </c>
      <c r="AW42">
        <v>0.72000000000000031</v>
      </c>
      <c r="AX42">
        <v>0.06</v>
      </c>
      <c r="AY42">
        <v>0.06</v>
      </c>
      <c r="AZ42">
        <v>0.1599999999999997</v>
      </c>
      <c r="BC42">
        <v>40977</v>
      </c>
      <c r="BD42">
        <v>0.68000000000000027</v>
      </c>
      <c r="BE42">
        <v>0.1</v>
      </c>
      <c r="BF42">
        <v>0</v>
      </c>
      <c r="BG42">
        <v>0.21999999999999972</v>
      </c>
    </row>
    <row r="43" spans="1:59" x14ac:dyDescent="0.3">
      <c r="A43">
        <v>41838</v>
      </c>
      <c r="B43">
        <v>0.86000000000000043</v>
      </c>
      <c r="C43">
        <v>0</v>
      </c>
      <c r="D43">
        <v>0</v>
      </c>
      <c r="E43">
        <v>0.13999999999999957</v>
      </c>
      <c r="J43">
        <v>41712</v>
      </c>
      <c r="K43">
        <v>0.56000000000000016</v>
      </c>
      <c r="L43">
        <v>0.1</v>
      </c>
      <c r="M43">
        <v>0.18</v>
      </c>
      <c r="N43">
        <v>0.15999999999999986</v>
      </c>
      <c r="R43">
        <v>42349</v>
      </c>
      <c r="S43">
        <v>0.58000000000000018</v>
      </c>
      <c r="T43">
        <v>0</v>
      </c>
      <c r="U43">
        <v>0.16</v>
      </c>
      <c r="V43">
        <v>0.25999999999999979</v>
      </c>
      <c r="Z43">
        <v>42132</v>
      </c>
      <c r="AA43">
        <v>0.40000000000000008</v>
      </c>
      <c r="AB43">
        <v>0.3</v>
      </c>
      <c r="AC43">
        <v>0.04</v>
      </c>
      <c r="AD43">
        <v>0.2599999999999999</v>
      </c>
      <c r="AG43">
        <v>42076</v>
      </c>
      <c r="AH43">
        <v>0.16</v>
      </c>
      <c r="AI43">
        <v>0.14000000000000001</v>
      </c>
      <c r="AJ43">
        <v>0.62000000000000022</v>
      </c>
      <c r="AK43">
        <v>7.9999999999999738E-2</v>
      </c>
      <c r="AO43">
        <v>41502</v>
      </c>
      <c r="AP43">
        <v>0.23999999999999996</v>
      </c>
      <c r="AQ43">
        <v>0.32</v>
      </c>
      <c r="AR43">
        <v>0.02</v>
      </c>
      <c r="AS43">
        <v>0.42</v>
      </c>
      <c r="AV43">
        <v>41509</v>
      </c>
      <c r="AW43">
        <v>0.76000000000000034</v>
      </c>
      <c r="AX43">
        <v>0.02</v>
      </c>
      <c r="AY43">
        <v>0.06</v>
      </c>
      <c r="AZ43">
        <v>0.15999999999999967</v>
      </c>
      <c r="BC43">
        <v>40984</v>
      </c>
      <c r="BD43">
        <v>0.70000000000000029</v>
      </c>
      <c r="BE43">
        <v>0.08</v>
      </c>
      <c r="BF43">
        <v>0</v>
      </c>
      <c r="BG43">
        <v>0.2199999999999997</v>
      </c>
    </row>
    <row r="44" spans="1:59" x14ac:dyDescent="0.3">
      <c r="A44">
        <v>41845</v>
      </c>
      <c r="B44">
        <v>0.88000000000000045</v>
      </c>
      <c r="C44">
        <v>0</v>
      </c>
      <c r="D44">
        <v>0</v>
      </c>
      <c r="E44">
        <v>0.11999999999999955</v>
      </c>
      <c r="J44">
        <v>41719</v>
      </c>
      <c r="K44">
        <v>0.54000000000000015</v>
      </c>
      <c r="L44">
        <v>0.18</v>
      </c>
      <c r="M44">
        <v>0.16</v>
      </c>
      <c r="N44">
        <v>0.11999999999999986</v>
      </c>
      <c r="R44">
        <v>42356</v>
      </c>
      <c r="S44">
        <v>0.58000000000000018</v>
      </c>
      <c r="T44">
        <v>0.12000000000000001</v>
      </c>
      <c r="U44">
        <v>0.06</v>
      </c>
      <c r="V44">
        <v>0.23999999999999982</v>
      </c>
      <c r="Z44">
        <v>42139</v>
      </c>
      <c r="AA44">
        <v>0.40000000000000008</v>
      </c>
      <c r="AB44">
        <v>0.27999999999999997</v>
      </c>
      <c r="AC44">
        <v>0.06</v>
      </c>
      <c r="AD44">
        <v>0.2599999999999999</v>
      </c>
      <c r="AG44">
        <v>42083</v>
      </c>
      <c r="AH44">
        <v>0.12000000000000001</v>
      </c>
      <c r="AI44">
        <v>0.19999999999999998</v>
      </c>
      <c r="AJ44">
        <v>0.58000000000000018</v>
      </c>
      <c r="AK44">
        <v>9.9999999999999867E-2</v>
      </c>
      <c r="AO44">
        <v>41509</v>
      </c>
      <c r="AP44">
        <v>0.34</v>
      </c>
      <c r="AQ44">
        <v>0.14000000000000001</v>
      </c>
      <c r="AR44">
        <v>0.1</v>
      </c>
      <c r="AS44">
        <v>0.41999999999999993</v>
      </c>
      <c r="AV44">
        <v>41516</v>
      </c>
      <c r="AW44">
        <v>0.78000000000000036</v>
      </c>
      <c r="AX44">
        <v>0</v>
      </c>
      <c r="AY44">
        <v>0.04</v>
      </c>
      <c r="AZ44">
        <v>0.17999999999999963</v>
      </c>
      <c r="BC44">
        <v>40991</v>
      </c>
      <c r="BD44">
        <v>0.74000000000000032</v>
      </c>
      <c r="BE44">
        <v>0.06</v>
      </c>
      <c r="BF44">
        <v>0</v>
      </c>
      <c r="BG44">
        <v>0.19999999999999968</v>
      </c>
    </row>
    <row r="45" spans="1:59" x14ac:dyDescent="0.3">
      <c r="A45">
        <v>41852</v>
      </c>
      <c r="B45">
        <v>0.86000000000000043</v>
      </c>
      <c r="C45">
        <v>0</v>
      </c>
      <c r="D45">
        <v>0</v>
      </c>
      <c r="E45">
        <v>0.13999999999999957</v>
      </c>
      <c r="J45">
        <v>41726</v>
      </c>
      <c r="K45">
        <v>0.6000000000000002</v>
      </c>
      <c r="L45">
        <v>0.06</v>
      </c>
      <c r="M45">
        <v>0.19999999999999998</v>
      </c>
      <c r="N45">
        <v>0.13999999999999982</v>
      </c>
      <c r="R45">
        <v>42363</v>
      </c>
      <c r="S45">
        <v>0.62000000000000022</v>
      </c>
      <c r="T45">
        <v>0</v>
      </c>
      <c r="U45">
        <v>0.16</v>
      </c>
      <c r="V45">
        <v>0.21999999999999978</v>
      </c>
      <c r="Z45">
        <v>42146</v>
      </c>
      <c r="AA45">
        <v>0.40000000000000008</v>
      </c>
      <c r="AB45">
        <v>0.27999999999999997</v>
      </c>
      <c r="AC45">
        <v>0.06</v>
      </c>
      <c r="AD45">
        <v>0.2599999999999999</v>
      </c>
      <c r="AG45">
        <v>42090</v>
      </c>
      <c r="AH45">
        <v>0.12000000000000001</v>
      </c>
      <c r="AI45">
        <v>0.19999999999999998</v>
      </c>
      <c r="AJ45">
        <v>0.58000000000000018</v>
      </c>
      <c r="AK45">
        <v>9.9999999999999867E-2</v>
      </c>
      <c r="AO45">
        <v>41516</v>
      </c>
      <c r="AP45">
        <v>0.34</v>
      </c>
      <c r="AQ45">
        <v>0.21999999999999997</v>
      </c>
      <c r="AR45">
        <v>0.04</v>
      </c>
      <c r="AS45">
        <v>0.39999999999999997</v>
      </c>
      <c r="AV45">
        <v>41523</v>
      </c>
      <c r="AW45">
        <v>0.80000000000000038</v>
      </c>
      <c r="AX45">
        <v>0</v>
      </c>
      <c r="AY45">
        <v>0.02</v>
      </c>
      <c r="AZ45">
        <v>0.17999999999999963</v>
      </c>
      <c r="BC45">
        <v>40998</v>
      </c>
      <c r="BD45">
        <v>0.66000000000000025</v>
      </c>
      <c r="BE45">
        <v>0</v>
      </c>
      <c r="BF45">
        <v>0.12000000000000001</v>
      </c>
      <c r="BG45">
        <v>0.21999999999999975</v>
      </c>
    </row>
    <row r="46" spans="1:59" x14ac:dyDescent="0.3">
      <c r="A46">
        <v>41859</v>
      </c>
      <c r="B46">
        <v>0.86000000000000043</v>
      </c>
      <c r="C46">
        <v>0</v>
      </c>
      <c r="D46">
        <v>0</v>
      </c>
      <c r="E46">
        <v>0.13999999999999957</v>
      </c>
      <c r="J46">
        <v>41733</v>
      </c>
      <c r="K46">
        <v>0.6000000000000002</v>
      </c>
      <c r="L46">
        <v>0.16</v>
      </c>
      <c r="M46">
        <v>0.1</v>
      </c>
      <c r="N46">
        <v>0.13999999999999979</v>
      </c>
      <c r="R46">
        <v>42369</v>
      </c>
      <c r="S46">
        <v>0.62000000000000022</v>
      </c>
      <c r="T46">
        <v>0</v>
      </c>
      <c r="U46">
        <v>0.16</v>
      </c>
      <c r="V46">
        <v>0.21999999999999978</v>
      </c>
      <c r="Z46">
        <v>42153</v>
      </c>
      <c r="AA46">
        <v>0.40000000000000008</v>
      </c>
      <c r="AB46">
        <v>0.25999999999999995</v>
      </c>
      <c r="AC46">
        <v>0.06</v>
      </c>
      <c r="AD46">
        <v>0.27999999999999992</v>
      </c>
      <c r="AG46">
        <v>42097</v>
      </c>
      <c r="AH46">
        <v>0.14000000000000001</v>
      </c>
      <c r="AI46">
        <v>0.14000000000000001</v>
      </c>
      <c r="AJ46">
        <v>0.6000000000000002</v>
      </c>
      <c r="AK46">
        <v>0.11999999999999977</v>
      </c>
      <c r="AO46">
        <v>41523</v>
      </c>
      <c r="AP46">
        <v>0.38000000000000006</v>
      </c>
      <c r="AQ46">
        <v>0.21999999999999997</v>
      </c>
      <c r="AR46">
        <v>0</v>
      </c>
      <c r="AS46">
        <v>0.39999999999999991</v>
      </c>
      <c r="AV46">
        <v>41530</v>
      </c>
      <c r="AW46">
        <v>0.78000000000000036</v>
      </c>
      <c r="AX46">
        <v>0.08</v>
      </c>
      <c r="AY46">
        <v>0</v>
      </c>
      <c r="AZ46">
        <v>0.13999999999999962</v>
      </c>
      <c r="BC46">
        <v>41005</v>
      </c>
      <c r="BD46">
        <v>0.70000000000000029</v>
      </c>
      <c r="BE46">
        <v>0.12000000000000001</v>
      </c>
      <c r="BF46">
        <v>0</v>
      </c>
      <c r="BG46">
        <v>0.17999999999999972</v>
      </c>
    </row>
    <row r="47" spans="1:59" x14ac:dyDescent="0.3">
      <c r="A47">
        <v>41866</v>
      </c>
      <c r="B47">
        <v>0.88000000000000045</v>
      </c>
      <c r="C47">
        <v>0</v>
      </c>
      <c r="D47">
        <v>0</v>
      </c>
      <c r="E47">
        <v>0.11999999999999955</v>
      </c>
      <c r="J47">
        <v>41740</v>
      </c>
      <c r="K47">
        <v>0.6000000000000002</v>
      </c>
      <c r="L47">
        <v>0.04</v>
      </c>
      <c r="M47">
        <v>0.18</v>
      </c>
      <c r="N47">
        <v>0.17999999999999983</v>
      </c>
      <c r="R47">
        <v>42377</v>
      </c>
      <c r="S47">
        <v>0.62000000000000022</v>
      </c>
      <c r="T47">
        <v>0</v>
      </c>
      <c r="U47">
        <v>0.16</v>
      </c>
      <c r="V47">
        <v>0.21999999999999978</v>
      </c>
      <c r="Z47">
        <v>42160</v>
      </c>
      <c r="AA47">
        <v>0.40000000000000008</v>
      </c>
      <c r="AB47">
        <v>0.25999999999999995</v>
      </c>
      <c r="AC47">
        <v>0.06</v>
      </c>
      <c r="AD47">
        <v>0.27999999999999992</v>
      </c>
      <c r="AG47">
        <v>42104</v>
      </c>
      <c r="AH47">
        <v>0.14000000000000001</v>
      </c>
      <c r="AI47">
        <v>0.16</v>
      </c>
      <c r="AJ47">
        <v>0.58000000000000018</v>
      </c>
      <c r="AK47">
        <v>0.11999999999999977</v>
      </c>
      <c r="AO47">
        <v>41530</v>
      </c>
      <c r="AP47">
        <v>0.34</v>
      </c>
      <c r="AQ47">
        <v>0.32</v>
      </c>
      <c r="AR47">
        <v>0</v>
      </c>
      <c r="AS47">
        <v>0.33999999999999991</v>
      </c>
      <c r="AV47">
        <v>41535</v>
      </c>
      <c r="AW47">
        <v>0.70000000000000029</v>
      </c>
      <c r="AX47">
        <v>0.12000000000000001</v>
      </c>
      <c r="AY47">
        <v>0</v>
      </c>
      <c r="AZ47">
        <v>0.17999999999999972</v>
      </c>
      <c r="BC47">
        <v>41012</v>
      </c>
      <c r="BD47">
        <v>0.70000000000000029</v>
      </c>
      <c r="BE47">
        <v>0.04</v>
      </c>
      <c r="BF47">
        <v>0.08</v>
      </c>
      <c r="BG47">
        <v>0.17999999999999972</v>
      </c>
    </row>
    <row r="48" spans="1:59" x14ac:dyDescent="0.3">
      <c r="A48">
        <v>41873</v>
      </c>
      <c r="B48">
        <v>0.90000000000000047</v>
      </c>
      <c r="C48">
        <v>0</v>
      </c>
      <c r="D48">
        <v>0</v>
      </c>
      <c r="E48">
        <v>9.9999999999999534E-2</v>
      </c>
      <c r="J48">
        <v>41747</v>
      </c>
      <c r="K48">
        <v>0.68000000000000027</v>
      </c>
      <c r="L48">
        <v>0</v>
      </c>
      <c r="M48">
        <v>0.19999999999999998</v>
      </c>
      <c r="N48">
        <v>0.11999999999999975</v>
      </c>
      <c r="R48">
        <v>42384</v>
      </c>
      <c r="S48">
        <v>0.70000000000000029</v>
      </c>
      <c r="T48">
        <v>0</v>
      </c>
      <c r="U48">
        <v>0.18</v>
      </c>
      <c r="V48">
        <v>0.11999999999999972</v>
      </c>
      <c r="Z48">
        <v>42167</v>
      </c>
      <c r="AA48">
        <v>0.4200000000000001</v>
      </c>
      <c r="AB48">
        <v>0.19999999999999998</v>
      </c>
      <c r="AC48">
        <v>0.1</v>
      </c>
      <c r="AD48">
        <v>0.27999999999999992</v>
      </c>
      <c r="AG48">
        <v>42111</v>
      </c>
      <c r="AH48">
        <v>0.16</v>
      </c>
      <c r="AI48">
        <v>0.08</v>
      </c>
      <c r="AJ48">
        <v>0.62000000000000022</v>
      </c>
      <c r="AK48">
        <v>0.13999999999999979</v>
      </c>
      <c r="AO48">
        <v>41535</v>
      </c>
      <c r="AP48">
        <v>0.54000000000000015</v>
      </c>
      <c r="AQ48">
        <v>0.16</v>
      </c>
      <c r="AR48">
        <v>0.04</v>
      </c>
      <c r="AS48">
        <v>0.25999999999999984</v>
      </c>
      <c r="AV48">
        <v>41544</v>
      </c>
      <c r="AW48">
        <v>0.68000000000000027</v>
      </c>
      <c r="AX48">
        <v>0.14000000000000001</v>
      </c>
      <c r="AY48">
        <v>0</v>
      </c>
      <c r="AZ48">
        <v>0.17999999999999972</v>
      </c>
      <c r="BC48">
        <v>41019</v>
      </c>
      <c r="BD48">
        <v>0.64000000000000024</v>
      </c>
      <c r="BE48">
        <v>0.21999999999999997</v>
      </c>
      <c r="BF48">
        <v>0</v>
      </c>
      <c r="BG48">
        <v>0.13999999999999979</v>
      </c>
    </row>
    <row r="49" spans="1:59" x14ac:dyDescent="0.3">
      <c r="A49">
        <v>41880</v>
      </c>
      <c r="B49">
        <v>0.90000000000000047</v>
      </c>
      <c r="C49">
        <v>0</v>
      </c>
      <c r="D49">
        <v>0</v>
      </c>
      <c r="E49">
        <v>9.9999999999999534E-2</v>
      </c>
      <c r="J49">
        <v>41754</v>
      </c>
      <c r="K49">
        <v>0.72000000000000031</v>
      </c>
      <c r="L49">
        <v>0</v>
      </c>
      <c r="M49">
        <v>0.18</v>
      </c>
      <c r="N49">
        <v>9.99999999999997E-2</v>
      </c>
      <c r="R49">
        <v>42391</v>
      </c>
      <c r="S49">
        <v>0.72000000000000031</v>
      </c>
      <c r="T49">
        <v>0</v>
      </c>
      <c r="U49">
        <v>0.19999999999999998</v>
      </c>
      <c r="V49">
        <v>7.999999999999971E-2</v>
      </c>
      <c r="Z49">
        <v>42174</v>
      </c>
      <c r="AA49">
        <v>0.4200000000000001</v>
      </c>
      <c r="AB49">
        <v>0.19999999999999998</v>
      </c>
      <c r="AC49">
        <v>0.1</v>
      </c>
      <c r="AD49">
        <v>0.27999999999999992</v>
      </c>
      <c r="AG49">
        <v>42118</v>
      </c>
      <c r="AH49">
        <v>0.14000000000000001</v>
      </c>
      <c r="AI49">
        <v>0.08</v>
      </c>
      <c r="AJ49">
        <v>0.64000000000000024</v>
      </c>
      <c r="AK49">
        <v>0.13999999999999979</v>
      </c>
      <c r="AO49">
        <v>41544</v>
      </c>
      <c r="AP49">
        <v>0.54000000000000015</v>
      </c>
      <c r="AQ49">
        <v>0.14000000000000001</v>
      </c>
      <c r="AR49">
        <v>0.06</v>
      </c>
      <c r="AS49">
        <v>0.25999999999999984</v>
      </c>
      <c r="AV49">
        <v>41547</v>
      </c>
      <c r="AW49">
        <v>0.72000000000000031</v>
      </c>
      <c r="AX49">
        <v>0.14000000000000001</v>
      </c>
      <c r="AY49">
        <v>0</v>
      </c>
      <c r="AZ49">
        <v>0.13999999999999968</v>
      </c>
      <c r="BC49">
        <v>41026</v>
      </c>
      <c r="BD49">
        <v>0.72000000000000031</v>
      </c>
      <c r="BE49">
        <v>0</v>
      </c>
      <c r="BF49">
        <v>0.19999999999999998</v>
      </c>
      <c r="BG49">
        <v>7.999999999999971E-2</v>
      </c>
    </row>
    <row r="50" spans="1:59" x14ac:dyDescent="0.3">
      <c r="A50">
        <v>41887</v>
      </c>
      <c r="B50">
        <v>0.90000000000000047</v>
      </c>
      <c r="C50">
        <v>0</v>
      </c>
      <c r="D50">
        <v>0</v>
      </c>
      <c r="E50">
        <v>9.9999999999999534E-2</v>
      </c>
      <c r="J50">
        <v>41759</v>
      </c>
      <c r="K50">
        <v>0.72000000000000031</v>
      </c>
      <c r="L50">
        <v>0</v>
      </c>
      <c r="M50">
        <v>0.18</v>
      </c>
      <c r="N50">
        <v>9.99999999999997E-2</v>
      </c>
      <c r="R50">
        <v>42398</v>
      </c>
      <c r="S50">
        <v>0.72000000000000031</v>
      </c>
      <c r="T50">
        <v>0</v>
      </c>
      <c r="U50">
        <v>0.19999999999999998</v>
      </c>
      <c r="V50">
        <v>7.999999999999971E-2</v>
      </c>
      <c r="Z50">
        <v>42181</v>
      </c>
      <c r="AA50">
        <v>0.40000000000000008</v>
      </c>
      <c r="AB50">
        <v>0.19999999999999998</v>
      </c>
      <c r="AC50">
        <v>0.1</v>
      </c>
      <c r="AD50">
        <v>0.29999999999999993</v>
      </c>
      <c r="AG50">
        <v>42124</v>
      </c>
      <c r="AH50">
        <v>0.14000000000000001</v>
      </c>
      <c r="AI50">
        <v>0.08</v>
      </c>
      <c r="AJ50">
        <v>0.64000000000000024</v>
      </c>
      <c r="AK50">
        <v>0.13999999999999979</v>
      </c>
      <c r="AO50">
        <v>41547</v>
      </c>
      <c r="AP50">
        <v>0.6000000000000002</v>
      </c>
      <c r="AQ50">
        <v>0.1</v>
      </c>
      <c r="AR50">
        <v>0.06</v>
      </c>
      <c r="AS50">
        <v>0.23999999999999982</v>
      </c>
      <c r="AV50">
        <v>41558</v>
      </c>
      <c r="AW50">
        <v>0.66000000000000025</v>
      </c>
      <c r="AX50">
        <v>0.18</v>
      </c>
      <c r="AY50">
        <v>0</v>
      </c>
      <c r="AZ50">
        <v>0.15999999999999975</v>
      </c>
      <c r="BC50">
        <v>41033</v>
      </c>
      <c r="BD50">
        <v>0.70000000000000029</v>
      </c>
      <c r="BE50">
        <v>0</v>
      </c>
      <c r="BF50">
        <v>0.21999999999999997</v>
      </c>
      <c r="BG50">
        <v>7.9999999999999738E-2</v>
      </c>
    </row>
    <row r="51" spans="1:59" x14ac:dyDescent="0.3">
      <c r="A51">
        <v>41894</v>
      </c>
      <c r="B51">
        <v>0.88000000000000045</v>
      </c>
      <c r="C51">
        <v>0</v>
      </c>
      <c r="D51">
        <v>0</v>
      </c>
      <c r="E51">
        <v>0.11999999999999955</v>
      </c>
      <c r="J51">
        <v>41768</v>
      </c>
      <c r="K51">
        <v>0.72000000000000031</v>
      </c>
      <c r="L51">
        <v>0</v>
      </c>
      <c r="M51">
        <v>0.18</v>
      </c>
      <c r="N51">
        <v>9.99999999999997E-2</v>
      </c>
      <c r="R51">
        <v>42405</v>
      </c>
      <c r="S51">
        <v>0.74000000000000032</v>
      </c>
      <c r="T51">
        <v>0</v>
      </c>
      <c r="U51">
        <v>0.23999999999999996</v>
      </c>
      <c r="V51">
        <v>1.9999999999999712E-2</v>
      </c>
      <c r="Z51">
        <v>42188</v>
      </c>
      <c r="AA51">
        <v>0.40000000000000008</v>
      </c>
      <c r="AB51">
        <v>0.21999999999999997</v>
      </c>
      <c r="AC51">
        <v>0.08</v>
      </c>
      <c r="AD51">
        <v>0.29999999999999988</v>
      </c>
      <c r="AG51">
        <v>42132</v>
      </c>
      <c r="AH51">
        <v>0.14000000000000001</v>
      </c>
      <c r="AI51">
        <v>0.06</v>
      </c>
      <c r="AJ51">
        <v>0.66000000000000025</v>
      </c>
      <c r="AK51">
        <v>0.13999999999999979</v>
      </c>
      <c r="AO51">
        <v>41558</v>
      </c>
      <c r="AP51">
        <v>0.64000000000000024</v>
      </c>
      <c r="AQ51">
        <v>0.06</v>
      </c>
      <c r="AR51">
        <v>0.08</v>
      </c>
      <c r="AS51">
        <v>0.21999999999999975</v>
      </c>
      <c r="AV51">
        <v>41565</v>
      </c>
      <c r="AW51">
        <v>0.66000000000000025</v>
      </c>
      <c r="AX51">
        <v>0.16</v>
      </c>
      <c r="AY51">
        <v>0</v>
      </c>
      <c r="AZ51">
        <v>0.17999999999999974</v>
      </c>
      <c r="BC51">
        <v>41040</v>
      </c>
      <c r="BD51">
        <v>0.64000000000000024</v>
      </c>
      <c r="BE51">
        <v>0.12000000000000001</v>
      </c>
      <c r="BF51">
        <v>0.1</v>
      </c>
      <c r="BG51">
        <v>0.13999999999999976</v>
      </c>
    </row>
    <row r="52" spans="1:59" x14ac:dyDescent="0.3">
      <c r="A52">
        <v>41901</v>
      </c>
      <c r="B52">
        <v>0.88000000000000045</v>
      </c>
      <c r="C52">
        <v>0</v>
      </c>
      <c r="D52">
        <v>0</v>
      </c>
      <c r="E52">
        <v>0.11999999999999955</v>
      </c>
      <c r="J52">
        <v>41775</v>
      </c>
      <c r="K52">
        <v>0.68000000000000027</v>
      </c>
      <c r="L52">
        <v>0.12000000000000001</v>
      </c>
      <c r="M52">
        <v>0.06</v>
      </c>
      <c r="N52">
        <v>0.13999999999999974</v>
      </c>
      <c r="R52">
        <v>42419</v>
      </c>
      <c r="S52">
        <v>0.74000000000000032</v>
      </c>
      <c r="T52">
        <v>0</v>
      </c>
      <c r="U52">
        <v>0.23999999999999996</v>
      </c>
      <c r="V52">
        <v>1.9999999999999712E-2</v>
      </c>
      <c r="Z52">
        <v>42195</v>
      </c>
      <c r="AA52">
        <v>0.38000000000000006</v>
      </c>
      <c r="AB52">
        <v>0.34</v>
      </c>
      <c r="AC52">
        <v>0.04</v>
      </c>
      <c r="AD52">
        <v>0.23999999999999985</v>
      </c>
      <c r="AG52">
        <v>42139</v>
      </c>
      <c r="AH52">
        <v>0.16</v>
      </c>
      <c r="AI52">
        <v>0</v>
      </c>
      <c r="AJ52">
        <v>0.70000000000000029</v>
      </c>
      <c r="AK52">
        <v>0.13999999999999968</v>
      </c>
      <c r="AO52">
        <v>41565</v>
      </c>
      <c r="AP52">
        <v>0.68000000000000027</v>
      </c>
      <c r="AQ52">
        <v>0</v>
      </c>
      <c r="AR52">
        <v>0.12000000000000001</v>
      </c>
      <c r="AS52">
        <v>0.19999999999999973</v>
      </c>
      <c r="AV52">
        <v>41572</v>
      </c>
      <c r="AW52">
        <v>0.70000000000000029</v>
      </c>
      <c r="AX52">
        <v>0.12000000000000001</v>
      </c>
      <c r="AY52">
        <v>0</v>
      </c>
      <c r="AZ52">
        <v>0.17999999999999972</v>
      </c>
      <c r="BC52">
        <v>41047</v>
      </c>
      <c r="BD52">
        <v>0.80000000000000038</v>
      </c>
      <c r="BE52">
        <v>0</v>
      </c>
      <c r="BF52">
        <v>0.1</v>
      </c>
      <c r="BG52">
        <v>9.9999999999999617E-2</v>
      </c>
    </row>
    <row r="53" spans="1:59" x14ac:dyDescent="0.3">
      <c r="A53">
        <v>41908</v>
      </c>
      <c r="B53">
        <v>0.88000000000000045</v>
      </c>
      <c r="C53">
        <v>0</v>
      </c>
      <c r="D53">
        <v>0</v>
      </c>
      <c r="E53">
        <v>0.11999999999999955</v>
      </c>
      <c r="J53">
        <v>41782</v>
      </c>
      <c r="K53">
        <v>0.68000000000000027</v>
      </c>
      <c r="L53">
        <v>0.12000000000000001</v>
      </c>
      <c r="M53">
        <v>0.06</v>
      </c>
      <c r="N53">
        <v>0.13999999999999974</v>
      </c>
      <c r="R53">
        <v>42426</v>
      </c>
      <c r="S53">
        <v>0.6000000000000002</v>
      </c>
      <c r="T53">
        <v>0.32</v>
      </c>
      <c r="U53">
        <v>0.06</v>
      </c>
      <c r="V53">
        <v>1.9999999999999796E-2</v>
      </c>
      <c r="Z53">
        <v>42202</v>
      </c>
      <c r="AA53">
        <v>0.44000000000000011</v>
      </c>
      <c r="AB53">
        <v>0.36000000000000004</v>
      </c>
      <c r="AC53">
        <v>0</v>
      </c>
      <c r="AD53">
        <v>0.19999999999999979</v>
      </c>
      <c r="AG53">
        <v>42146</v>
      </c>
      <c r="AH53">
        <v>0.14000000000000001</v>
      </c>
      <c r="AI53">
        <v>0.02</v>
      </c>
      <c r="AJ53">
        <v>0.68000000000000027</v>
      </c>
      <c r="AK53">
        <v>0.1599999999999997</v>
      </c>
      <c r="AO53">
        <v>41572</v>
      </c>
      <c r="AP53">
        <v>0.64000000000000024</v>
      </c>
      <c r="AQ53">
        <v>0</v>
      </c>
      <c r="AR53">
        <v>0.18</v>
      </c>
      <c r="AS53">
        <v>0.17999999999999977</v>
      </c>
      <c r="AV53">
        <v>41579</v>
      </c>
      <c r="AW53">
        <v>0.68000000000000027</v>
      </c>
      <c r="AX53">
        <v>0.23999999999999996</v>
      </c>
      <c r="AY53">
        <v>0</v>
      </c>
      <c r="AZ53">
        <v>7.9999999999999766E-2</v>
      </c>
      <c r="BC53">
        <v>41054</v>
      </c>
      <c r="BD53">
        <v>0.80000000000000038</v>
      </c>
      <c r="BE53">
        <v>0</v>
      </c>
      <c r="BF53">
        <v>0.1</v>
      </c>
      <c r="BG53">
        <v>9.9999999999999617E-2</v>
      </c>
    </row>
    <row r="54" spans="1:59" x14ac:dyDescent="0.3">
      <c r="A54">
        <v>41912</v>
      </c>
      <c r="B54">
        <v>0.88000000000000045</v>
      </c>
      <c r="C54">
        <v>0</v>
      </c>
      <c r="D54">
        <v>0</v>
      </c>
      <c r="E54">
        <v>0.11999999999999955</v>
      </c>
      <c r="J54">
        <v>41789</v>
      </c>
      <c r="K54">
        <v>0.68000000000000027</v>
      </c>
      <c r="L54">
        <v>0.16</v>
      </c>
      <c r="M54">
        <v>0.04</v>
      </c>
      <c r="N54">
        <v>0.11999999999999972</v>
      </c>
      <c r="R54">
        <v>42433</v>
      </c>
      <c r="S54">
        <v>0.6000000000000002</v>
      </c>
      <c r="T54">
        <v>0.25999999999999995</v>
      </c>
      <c r="U54">
        <v>0.14000000000000001</v>
      </c>
      <c r="V54">
        <v>-1.6653345369377348E-16</v>
      </c>
      <c r="Z54">
        <v>42209</v>
      </c>
      <c r="AA54">
        <v>0.6000000000000002</v>
      </c>
      <c r="AB54">
        <v>0.08</v>
      </c>
      <c r="AC54">
        <v>0.12000000000000001</v>
      </c>
      <c r="AD54">
        <v>0.19999999999999979</v>
      </c>
      <c r="AG54">
        <v>42153</v>
      </c>
      <c r="AH54">
        <v>0.14000000000000001</v>
      </c>
      <c r="AI54">
        <v>0.02</v>
      </c>
      <c r="AJ54">
        <v>0.66000000000000025</v>
      </c>
      <c r="AK54">
        <v>0.17999999999999972</v>
      </c>
      <c r="AO54">
        <v>41579</v>
      </c>
      <c r="AP54">
        <v>0.62000000000000022</v>
      </c>
      <c r="AQ54">
        <v>0</v>
      </c>
      <c r="AR54">
        <v>0.18</v>
      </c>
      <c r="AS54">
        <v>0.19999999999999979</v>
      </c>
      <c r="AV54">
        <v>41586</v>
      </c>
      <c r="AW54">
        <v>0.68000000000000027</v>
      </c>
      <c r="AX54">
        <v>0.23999999999999996</v>
      </c>
      <c r="AY54">
        <v>0</v>
      </c>
      <c r="AZ54">
        <v>7.9999999999999766E-2</v>
      </c>
      <c r="BC54">
        <v>41061</v>
      </c>
      <c r="BD54">
        <v>0.8200000000000004</v>
      </c>
      <c r="BE54">
        <v>0</v>
      </c>
      <c r="BF54">
        <v>0.1</v>
      </c>
      <c r="BG54">
        <v>7.9999999999999599E-2</v>
      </c>
    </row>
    <row r="55" spans="1:59" x14ac:dyDescent="0.3">
      <c r="A55">
        <v>41922</v>
      </c>
      <c r="B55">
        <v>0.88000000000000045</v>
      </c>
      <c r="C55">
        <v>0</v>
      </c>
      <c r="D55">
        <v>0</v>
      </c>
      <c r="E55">
        <v>0.11999999999999955</v>
      </c>
      <c r="J55">
        <v>41796</v>
      </c>
      <c r="K55">
        <v>0.68000000000000027</v>
      </c>
      <c r="L55">
        <v>0.18</v>
      </c>
      <c r="M55">
        <v>0.02</v>
      </c>
      <c r="N55">
        <v>0.11999999999999973</v>
      </c>
      <c r="R55">
        <v>42440</v>
      </c>
      <c r="S55">
        <v>0.52000000000000013</v>
      </c>
      <c r="T55">
        <v>0.34</v>
      </c>
      <c r="U55">
        <v>0.12000000000000001</v>
      </c>
      <c r="V55">
        <v>1.9999999999999837E-2</v>
      </c>
      <c r="Z55">
        <v>42216</v>
      </c>
      <c r="AA55">
        <v>0.62000000000000022</v>
      </c>
      <c r="AB55">
        <v>0.04</v>
      </c>
      <c r="AC55">
        <v>0.14000000000000001</v>
      </c>
      <c r="AD55">
        <v>0.19999999999999979</v>
      </c>
      <c r="AG55">
        <v>42160</v>
      </c>
      <c r="AH55">
        <v>0.14000000000000001</v>
      </c>
      <c r="AI55">
        <v>0.02</v>
      </c>
      <c r="AJ55">
        <v>0.66000000000000025</v>
      </c>
      <c r="AK55">
        <v>0.17999999999999972</v>
      </c>
      <c r="AO55">
        <v>41586</v>
      </c>
      <c r="AP55">
        <v>0.62000000000000022</v>
      </c>
      <c r="AQ55">
        <v>0</v>
      </c>
      <c r="AR55">
        <v>0.16</v>
      </c>
      <c r="AS55">
        <v>0.21999999999999978</v>
      </c>
      <c r="AV55">
        <v>41593</v>
      </c>
      <c r="AW55">
        <v>0.56000000000000016</v>
      </c>
      <c r="AX55">
        <v>0.27999999999999997</v>
      </c>
      <c r="AY55">
        <v>0.08</v>
      </c>
      <c r="AZ55">
        <v>7.9999999999999863E-2</v>
      </c>
      <c r="BC55">
        <v>41068</v>
      </c>
      <c r="BD55">
        <v>0.8200000000000004</v>
      </c>
      <c r="BE55">
        <v>0</v>
      </c>
      <c r="BF55">
        <v>0.08</v>
      </c>
      <c r="BG55">
        <v>9.9999999999999603E-2</v>
      </c>
    </row>
    <row r="56" spans="1:59" x14ac:dyDescent="0.3">
      <c r="A56">
        <v>41929</v>
      </c>
      <c r="B56">
        <v>0.88000000000000045</v>
      </c>
      <c r="C56">
        <v>0</v>
      </c>
      <c r="D56">
        <v>0</v>
      </c>
      <c r="E56">
        <v>0.11999999999999955</v>
      </c>
      <c r="J56">
        <v>41803</v>
      </c>
      <c r="K56">
        <v>0.66000000000000025</v>
      </c>
      <c r="L56">
        <v>0.19999999999999998</v>
      </c>
      <c r="M56">
        <v>0</v>
      </c>
      <c r="N56">
        <v>0.13999999999999976</v>
      </c>
      <c r="R56">
        <v>42447</v>
      </c>
      <c r="S56">
        <v>0.6000000000000002</v>
      </c>
      <c r="T56">
        <v>0.38000000000000006</v>
      </c>
      <c r="U56">
        <v>0</v>
      </c>
      <c r="V56">
        <v>1.999999999999974E-2</v>
      </c>
      <c r="Z56">
        <v>42223</v>
      </c>
      <c r="AA56">
        <v>0.6000000000000002</v>
      </c>
      <c r="AB56">
        <v>0.06</v>
      </c>
      <c r="AC56">
        <v>0.14000000000000001</v>
      </c>
      <c r="AD56">
        <v>0.19999999999999979</v>
      </c>
      <c r="AG56">
        <v>42167</v>
      </c>
      <c r="AH56">
        <v>0.16</v>
      </c>
      <c r="AI56">
        <v>0.02</v>
      </c>
      <c r="AJ56">
        <v>0.66000000000000025</v>
      </c>
      <c r="AK56">
        <v>0.1599999999999997</v>
      </c>
      <c r="AO56">
        <v>41593</v>
      </c>
      <c r="AP56">
        <v>0.50000000000000011</v>
      </c>
      <c r="AQ56">
        <v>0</v>
      </c>
      <c r="AR56">
        <v>0.23999999999999996</v>
      </c>
      <c r="AS56">
        <v>0.2599999999999999</v>
      </c>
      <c r="AV56">
        <v>41600</v>
      </c>
      <c r="AW56">
        <v>0.56000000000000016</v>
      </c>
      <c r="AX56">
        <v>0.25999999999999995</v>
      </c>
      <c r="AY56">
        <v>0.1</v>
      </c>
      <c r="AZ56">
        <v>7.9999999999999877E-2</v>
      </c>
      <c r="BC56">
        <v>41075</v>
      </c>
      <c r="BD56">
        <v>0.86000000000000043</v>
      </c>
      <c r="BE56">
        <v>0</v>
      </c>
      <c r="BF56">
        <v>0.1</v>
      </c>
      <c r="BG56">
        <v>3.9999999999999564E-2</v>
      </c>
    </row>
    <row r="57" spans="1:59" x14ac:dyDescent="0.3">
      <c r="A57">
        <v>41936</v>
      </c>
      <c r="B57">
        <v>0.88000000000000045</v>
      </c>
      <c r="C57">
        <v>0</v>
      </c>
      <c r="D57">
        <v>0</v>
      </c>
      <c r="E57">
        <v>0.11999999999999955</v>
      </c>
      <c r="J57">
        <v>41810</v>
      </c>
      <c r="K57">
        <v>0.62000000000000022</v>
      </c>
      <c r="L57">
        <v>0.19999999999999998</v>
      </c>
      <c r="M57">
        <v>0</v>
      </c>
      <c r="N57">
        <v>0.1799999999999998</v>
      </c>
      <c r="R57">
        <v>42454</v>
      </c>
      <c r="S57">
        <v>0.62000000000000022</v>
      </c>
      <c r="T57">
        <v>0.3</v>
      </c>
      <c r="U57">
        <v>0</v>
      </c>
      <c r="V57">
        <v>7.9999999999999793E-2</v>
      </c>
      <c r="Z57">
        <v>42230</v>
      </c>
      <c r="AA57">
        <v>0.64000000000000024</v>
      </c>
      <c r="AB57">
        <v>0</v>
      </c>
      <c r="AC57">
        <v>0.16</v>
      </c>
      <c r="AD57">
        <v>0.19999999999999976</v>
      </c>
      <c r="AG57">
        <v>42174</v>
      </c>
      <c r="AH57">
        <v>0.16</v>
      </c>
      <c r="AI57">
        <v>0.02</v>
      </c>
      <c r="AJ57">
        <v>0.66000000000000025</v>
      </c>
      <c r="AK57">
        <v>0.1599999999999997</v>
      </c>
      <c r="AO57">
        <v>41600</v>
      </c>
      <c r="AP57">
        <v>0.54000000000000015</v>
      </c>
      <c r="AQ57">
        <v>0</v>
      </c>
      <c r="AR57">
        <v>0.23999999999999996</v>
      </c>
      <c r="AS57">
        <v>0.21999999999999989</v>
      </c>
      <c r="AV57">
        <v>41607</v>
      </c>
      <c r="AW57">
        <v>0.62000000000000022</v>
      </c>
      <c r="AX57">
        <v>0.18</v>
      </c>
      <c r="AY57">
        <v>0.14000000000000001</v>
      </c>
      <c r="AZ57">
        <v>5.9999999999999776E-2</v>
      </c>
      <c r="BC57">
        <v>41081</v>
      </c>
      <c r="BD57">
        <v>0.86000000000000043</v>
      </c>
      <c r="BE57">
        <v>0</v>
      </c>
      <c r="BF57">
        <v>0.1</v>
      </c>
      <c r="BG57">
        <v>3.9999999999999564E-2</v>
      </c>
    </row>
    <row r="58" spans="1:59" x14ac:dyDescent="0.3">
      <c r="A58">
        <v>41943</v>
      </c>
      <c r="B58">
        <v>0.88000000000000045</v>
      </c>
      <c r="C58">
        <v>0</v>
      </c>
      <c r="D58">
        <v>0</v>
      </c>
      <c r="E58">
        <v>0.11999999999999955</v>
      </c>
      <c r="J58">
        <v>41817</v>
      </c>
      <c r="K58">
        <v>0.62000000000000022</v>
      </c>
      <c r="L58">
        <v>0.19999999999999998</v>
      </c>
      <c r="M58">
        <v>0</v>
      </c>
      <c r="N58">
        <v>0.1799999999999998</v>
      </c>
      <c r="R58">
        <v>42461</v>
      </c>
      <c r="S58">
        <v>0.6000000000000002</v>
      </c>
      <c r="T58">
        <v>0.32</v>
      </c>
      <c r="U58">
        <v>0</v>
      </c>
      <c r="V58">
        <v>7.9999999999999793E-2</v>
      </c>
      <c r="Z58">
        <v>42237</v>
      </c>
      <c r="AA58">
        <v>0.62000000000000022</v>
      </c>
      <c r="AB58">
        <v>0.02</v>
      </c>
      <c r="AC58">
        <v>0.16</v>
      </c>
      <c r="AD58">
        <v>0.19999999999999976</v>
      </c>
      <c r="AG58">
        <v>42181</v>
      </c>
      <c r="AH58">
        <v>0.04</v>
      </c>
      <c r="AI58">
        <v>0.1</v>
      </c>
      <c r="AJ58">
        <v>0.62000000000000022</v>
      </c>
      <c r="AK58">
        <v>0.23999999999999977</v>
      </c>
      <c r="AO58">
        <v>41607</v>
      </c>
      <c r="AP58">
        <v>0.58000000000000018</v>
      </c>
      <c r="AQ58">
        <v>0</v>
      </c>
      <c r="AR58">
        <v>0.27999999999999997</v>
      </c>
      <c r="AS58">
        <v>0.13999999999999985</v>
      </c>
      <c r="AV58">
        <v>41614</v>
      </c>
      <c r="AW58">
        <v>0.6000000000000002</v>
      </c>
      <c r="AX58">
        <v>0.18</v>
      </c>
      <c r="AY58">
        <v>0.18</v>
      </c>
      <c r="AZ58">
        <v>3.9999999999999813E-2</v>
      </c>
      <c r="BC58">
        <v>41089</v>
      </c>
      <c r="BD58">
        <v>0.88000000000000045</v>
      </c>
      <c r="BE58">
        <v>0</v>
      </c>
      <c r="BF58">
        <v>0.1</v>
      </c>
      <c r="BG58">
        <v>1.9999999999999546E-2</v>
      </c>
    </row>
    <row r="59" spans="1:59" x14ac:dyDescent="0.3">
      <c r="A59">
        <v>41950</v>
      </c>
      <c r="B59">
        <v>0.84000000000000041</v>
      </c>
      <c r="C59">
        <v>0</v>
      </c>
      <c r="D59">
        <v>0</v>
      </c>
      <c r="E59">
        <v>0.15999999999999959</v>
      </c>
      <c r="J59">
        <v>41824</v>
      </c>
      <c r="K59">
        <v>0.4200000000000001</v>
      </c>
      <c r="L59">
        <v>0.34</v>
      </c>
      <c r="M59">
        <v>0</v>
      </c>
      <c r="N59">
        <v>0.23999999999999982</v>
      </c>
      <c r="R59">
        <v>42468</v>
      </c>
      <c r="S59">
        <v>0.56000000000000016</v>
      </c>
      <c r="T59">
        <v>0.32</v>
      </c>
      <c r="U59">
        <v>0</v>
      </c>
      <c r="V59">
        <v>0.11999999999999983</v>
      </c>
      <c r="Z59">
        <v>42244</v>
      </c>
      <c r="AA59">
        <v>0.56000000000000016</v>
      </c>
      <c r="AB59">
        <v>0.06</v>
      </c>
      <c r="AC59">
        <v>0.14000000000000001</v>
      </c>
      <c r="AD59">
        <v>0.23999999999999982</v>
      </c>
      <c r="AG59">
        <v>42188</v>
      </c>
      <c r="AH59">
        <v>0.04</v>
      </c>
      <c r="AI59">
        <v>0.08</v>
      </c>
      <c r="AJ59">
        <v>0.62000000000000022</v>
      </c>
      <c r="AK59">
        <v>0.25999999999999979</v>
      </c>
      <c r="AO59">
        <v>41614</v>
      </c>
      <c r="AP59">
        <v>0.56000000000000016</v>
      </c>
      <c r="AQ59">
        <v>0</v>
      </c>
      <c r="AR59">
        <v>0.32</v>
      </c>
      <c r="AS59">
        <v>0.11999999999999983</v>
      </c>
      <c r="AV59">
        <v>41621</v>
      </c>
      <c r="AW59">
        <v>0.58000000000000018</v>
      </c>
      <c r="AX59">
        <v>0.04</v>
      </c>
      <c r="AY59">
        <v>0.36000000000000004</v>
      </c>
      <c r="AZ59">
        <v>1.9999999999999796E-2</v>
      </c>
      <c r="BC59">
        <v>41096</v>
      </c>
      <c r="BD59">
        <v>0.68000000000000027</v>
      </c>
      <c r="BE59">
        <v>0.3</v>
      </c>
      <c r="BF59">
        <v>0</v>
      </c>
      <c r="BG59">
        <v>1.999999999999974E-2</v>
      </c>
    </row>
    <row r="60" spans="1:59" x14ac:dyDescent="0.3">
      <c r="A60">
        <v>41957</v>
      </c>
      <c r="B60">
        <v>0.84000000000000041</v>
      </c>
      <c r="C60">
        <v>0</v>
      </c>
      <c r="D60">
        <v>0</v>
      </c>
      <c r="E60">
        <v>0.15999999999999959</v>
      </c>
      <c r="J60">
        <v>41831</v>
      </c>
      <c r="K60">
        <v>0.4200000000000001</v>
      </c>
      <c r="L60">
        <v>0.34</v>
      </c>
      <c r="M60">
        <v>0</v>
      </c>
      <c r="N60">
        <v>0.23999999999999982</v>
      </c>
      <c r="R60">
        <v>42475</v>
      </c>
      <c r="S60">
        <v>0.54000000000000015</v>
      </c>
      <c r="T60">
        <v>0.32</v>
      </c>
      <c r="U60">
        <v>0</v>
      </c>
      <c r="V60">
        <v>0.13999999999999985</v>
      </c>
      <c r="Z60">
        <v>42249</v>
      </c>
      <c r="AA60">
        <v>0.58000000000000018</v>
      </c>
      <c r="AB60">
        <v>0.12000000000000001</v>
      </c>
      <c r="AC60">
        <v>0.12000000000000001</v>
      </c>
      <c r="AD60">
        <v>0.17999999999999983</v>
      </c>
      <c r="AG60">
        <v>42195</v>
      </c>
      <c r="AH60">
        <v>0.02</v>
      </c>
      <c r="AI60">
        <v>0.21999999999999997</v>
      </c>
      <c r="AJ60">
        <v>0.56000000000000016</v>
      </c>
      <c r="AK60">
        <v>0.19999999999999984</v>
      </c>
      <c r="AO60">
        <v>41621</v>
      </c>
      <c r="AP60">
        <v>0.54000000000000015</v>
      </c>
      <c r="AQ60">
        <v>0</v>
      </c>
      <c r="AR60">
        <v>0.34</v>
      </c>
      <c r="AS60">
        <v>0.11999999999999983</v>
      </c>
      <c r="AV60">
        <v>41628</v>
      </c>
      <c r="AW60">
        <v>0.52000000000000013</v>
      </c>
      <c r="AX60">
        <v>0</v>
      </c>
      <c r="AY60">
        <v>0.46000000000000013</v>
      </c>
      <c r="AZ60">
        <v>1.999999999999974E-2</v>
      </c>
      <c r="BC60">
        <v>41103</v>
      </c>
      <c r="BD60">
        <v>0.88000000000000045</v>
      </c>
      <c r="BE60">
        <v>0.08</v>
      </c>
      <c r="BF60">
        <v>0</v>
      </c>
      <c r="BG60">
        <v>3.999999999999955E-2</v>
      </c>
    </row>
    <row r="61" spans="1:59" x14ac:dyDescent="0.3">
      <c r="A61">
        <v>41964</v>
      </c>
      <c r="B61">
        <v>0.86000000000000043</v>
      </c>
      <c r="C61">
        <v>0</v>
      </c>
      <c r="D61">
        <v>0</v>
      </c>
      <c r="E61">
        <v>0.13999999999999957</v>
      </c>
      <c r="J61">
        <v>41838</v>
      </c>
      <c r="K61">
        <v>0.62000000000000022</v>
      </c>
      <c r="L61">
        <v>0.1</v>
      </c>
      <c r="M61">
        <v>0.16</v>
      </c>
      <c r="N61">
        <v>0.1199999999999998</v>
      </c>
      <c r="R61">
        <v>42482</v>
      </c>
      <c r="S61">
        <v>0.54000000000000015</v>
      </c>
      <c r="T61">
        <v>0.3</v>
      </c>
      <c r="U61">
        <v>0</v>
      </c>
      <c r="V61">
        <v>0.15999999999999986</v>
      </c>
      <c r="Z61">
        <v>42258</v>
      </c>
      <c r="AA61">
        <v>0.64000000000000024</v>
      </c>
      <c r="AB61">
        <v>0.06</v>
      </c>
      <c r="AC61">
        <v>0.14000000000000001</v>
      </c>
      <c r="AD61">
        <v>0.15999999999999975</v>
      </c>
      <c r="AG61">
        <v>42202</v>
      </c>
      <c r="AH61">
        <v>0</v>
      </c>
      <c r="AI61">
        <v>0.04</v>
      </c>
      <c r="AJ61">
        <v>0.72000000000000031</v>
      </c>
      <c r="AK61">
        <v>0.23999999999999966</v>
      </c>
      <c r="AO61">
        <v>41628</v>
      </c>
      <c r="AP61">
        <v>0.54000000000000015</v>
      </c>
      <c r="AQ61">
        <v>0</v>
      </c>
      <c r="AR61">
        <v>0.34</v>
      </c>
      <c r="AS61">
        <v>0.11999999999999983</v>
      </c>
      <c r="AV61">
        <v>41635</v>
      </c>
      <c r="AW61">
        <v>0.50000000000000011</v>
      </c>
      <c r="AX61">
        <v>0.19999999999999998</v>
      </c>
      <c r="AY61">
        <v>0.3</v>
      </c>
      <c r="AZ61">
        <v>-5.5511151231257827E-17</v>
      </c>
      <c r="BC61">
        <v>41110</v>
      </c>
      <c r="BD61">
        <v>0.66000000000000025</v>
      </c>
      <c r="BE61">
        <v>0.19999999999999998</v>
      </c>
      <c r="BF61">
        <v>0</v>
      </c>
      <c r="BG61">
        <v>0.13999999999999976</v>
      </c>
    </row>
    <row r="62" spans="1:59" x14ac:dyDescent="0.3">
      <c r="A62">
        <v>41971</v>
      </c>
      <c r="B62">
        <v>0.86000000000000043</v>
      </c>
      <c r="C62">
        <v>0</v>
      </c>
      <c r="D62">
        <v>0</v>
      </c>
      <c r="E62">
        <v>0.13999999999999957</v>
      </c>
      <c r="J62">
        <v>41845</v>
      </c>
      <c r="K62">
        <v>0.58000000000000018</v>
      </c>
      <c r="L62">
        <v>0</v>
      </c>
      <c r="M62">
        <v>0.25999999999999995</v>
      </c>
      <c r="N62">
        <v>0.15999999999999986</v>
      </c>
      <c r="R62">
        <v>42489</v>
      </c>
      <c r="S62">
        <v>0.50000000000000011</v>
      </c>
      <c r="T62">
        <v>0.32</v>
      </c>
      <c r="U62">
        <v>0</v>
      </c>
      <c r="V62">
        <v>0.17999999999999988</v>
      </c>
      <c r="Z62">
        <v>42265</v>
      </c>
      <c r="AA62">
        <v>0.54000000000000015</v>
      </c>
      <c r="AB62">
        <v>0</v>
      </c>
      <c r="AC62">
        <v>0.25999999999999995</v>
      </c>
      <c r="AD62">
        <v>0.1999999999999999</v>
      </c>
      <c r="AG62">
        <v>42209</v>
      </c>
      <c r="AH62">
        <v>0.04</v>
      </c>
      <c r="AI62">
        <v>0</v>
      </c>
      <c r="AJ62">
        <v>0.72000000000000031</v>
      </c>
      <c r="AK62">
        <v>0.23999999999999966</v>
      </c>
      <c r="AO62">
        <v>41635</v>
      </c>
      <c r="AP62">
        <v>0.68000000000000027</v>
      </c>
      <c r="AQ62">
        <v>0</v>
      </c>
      <c r="AR62">
        <v>0.3</v>
      </c>
      <c r="AS62">
        <v>1.999999999999974E-2</v>
      </c>
      <c r="AV62">
        <v>41642</v>
      </c>
      <c r="AW62">
        <v>0.50000000000000011</v>
      </c>
      <c r="AX62">
        <v>0.19999999999999998</v>
      </c>
      <c r="AY62">
        <v>0.3</v>
      </c>
      <c r="AZ62">
        <v>-5.5511151231257827E-17</v>
      </c>
      <c r="BC62">
        <v>41117</v>
      </c>
      <c r="BD62">
        <v>0.58000000000000018</v>
      </c>
      <c r="BE62">
        <v>0.23999999999999996</v>
      </c>
      <c r="BF62">
        <v>0</v>
      </c>
      <c r="BG62">
        <v>0.17999999999999985</v>
      </c>
    </row>
    <row r="63" spans="1:59" x14ac:dyDescent="0.3">
      <c r="A63">
        <v>41978</v>
      </c>
      <c r="B63">
        <v>0.84000000000000041</v>
      </c>
      <c r="C63">
        <v>0</v>
      </c>
      <c r="D63">
        <v>0</v>
      </c>
      <c r="E63">
        <v>0.15999999999999959</v>
      </c>
      <c r="J63">
        <v>41852</v>
      </c>
      <c r="K63">
        <v>0.56000000000000016</v>
      </c>
      <c r="L63">
        <v>0</v>
      </c>
      <c r="M63">
        <v>0.25999999999999995</v>
      </c>
      <c r="N63">
        <v>0.17999999999999988</v>
      </c>
      <c r="R63">
        <v>42496</v>
      </c>
      <c r="S63">
        <v>0.48000000000000015</v>
      </c>
      <c r="T63">
        <v>0.32</v>
      </c>
      <c r="U63">
        <v>0</v>
      </c>
      <c r="V63">
        <v>0.19999999999999979</v>
      </c>
      <c r="Z63">
        <v>42272</v>
      </c>
      <c r="AA63">
        <v>0.50000000000000011</v>
      </c>
      <c r="AB63">
        <v>0</v>
      </c>
      <c r="AC63">
        <v>0.3</v>
      </c>
      <c r="AD63">
        <v>0.1999999999999999</v>
      </c>
      <c r="AG63">
        <v>42216</v>
      </c>
      <c r="AH63">
        <v>0.02</v>
      </c>
      <c r="AI63">
        <v>0</v>
      </c>
      <c r="AJ63">
        <v>0.72000000000000031</v>
      </c>
      <c r="AK63">
        <v>0.25999999999999968</v>
      </c>
      <c r="AO63">
        <v>41642</v>
      </c>
      <c r="AP63">
        <v>0.68000000000000027</v>
      </c>
      <c r="AQ63">
        <v>0</v>
      </c>
      <c r="AR63">
        <v>0.3</v>
      </c>
      <c r="AS63">
        <v>1.999999999999974E-2</v>
      </c>
      <c r="AV63">
        <v>41649</v>
      </c>
      <c r="AW63">
        <v>0.44000000000000011</v>
      </c>
      <c r="AX63">
        <v>0</v>
      </c>
      <c r="AY63">
        <v>0.54000000000000015</v>
      </c>
      <c r="AZ63">
        <v>1.9999999999999685E-2</v>
      </c>
      <c r="BC63">
        <v>41124</v>
      </c>
      <c r="BD63">
        <v>0.58000000000000018</v>
      </c>
      <c r="BE63">
        <v>0.23999999999999996</v>
      </c>
      <c r="BF63">
        <v>0</v>
      </c>
      <c r="BG63">
        <v>0.17999999999999985</v>
      </c>
    </row>
    <row r="64" spans="1:59" x14ac:dyDescent="0.3">
      <c r="A64">
        <v>41985</v>
      </c>
      <c r="B64">
        <v>0.80000000000000038</v>
      </c>
      <c r="C64">
        <v>0</v>
      </c>
      <c r="D64">
        <v>0</v>
      </c>
      <c r="E64">
        <v>0.19999999999999962</v>
      </c>
      <c r="J64">
        <v>41859</v>
      </c>
      <c r="K64">
        <v>0.62000000000000022</v>
      </c>
      <c r="L64">
        <v>0</v>
      </c>
      <c r="M64">
        <v>0.21999999999999997</v>
      </c>
      <c r="N64">
        <v>0.15999999999999981</v>
      </c>
      <c r="R64">
        <v>42503</v>
      </c>
      <c r="S64">
        <v>0.46000000000000013</v>
      </c>
      <c r="T64">
        <v>0.32</v>
      </c>
      <c r="U64">
        <v>0</v>
      </c>
      <c r="V64">
        <v>0.21999999999999981</v>
      </c>
      <c r="Z64">
        <v>42277</v>
      </c>
      <c r="AA64">
        <v>0.52000000000000013</v>
      </c>
      <c r="AB64">
        <v>0</v>
      </c>
      <c r="AC64">
        <v>0.27999999999999997</v>
      </c>
      <c r="AD64">
        <v>0.1999999999999999</v>
      </c>
      <c r="AG64">
        <v>42223</v>
      </c>
      <c r="AH64">
        <v>0.02</v>
      </c>
      <c r="AI64">
        <v>0</v>
      </c>
      <c r="AJ64">
        <v>0.74000000000000032</v>
      </c>
      <c r="AK64">
        <v>0.23999999999999966</v>
      </c>
      <c r="AO64">
        <v>41649</v>
      </c>
      <c r="AP64">
        <v>0.66000000000000025</v>
      </c>
      <c r="AQ64">
        <v>0</v>
      </c>
      <c r="AR64">
        <v>0.32</v>
      </c>
      <c r="AS64">
        <v>1.999999999999974E-2</v>
      </c>
      <c r="AV64">
        <v>41656</v>
      </c>
      <c r="AW64">
        <v>0.36000000000000004</v>
      </c>
      <c r="AX64">
        <v>0.14000000000000001</v>
      </c>
      <c r="AY64">
        <v>0.50000000000000011</v>
      </c>
      <c r="AZ64">
        <v>-2.2204460492503131E-16</v>
      </c>
      <c r="BC64">
        <v>41131</v>
      </c>
      <c r="BD64">
        <v>0.58000000000000018</v>
      </c>
      <c r="BE64">
        <v>0.25999999999999995</v>
      </c>
      <c r="BF64">
        <v>0</v>
      </c>
      <c r="BG64">
        <v>0.15999999999999986</v>
      </c>
    </row>
    <row r="65" spans="1:59" x14ac:dyDescent="0.3">
      <c r="A65">
        <v>41992</v>
      </c>
      <c r="B65">
        <v>0.80000000000000038</v>
      </c>
      <c r="C65">
        <v>0</v>
      </c>
      <c r="D65">
        <v>0</v>
      </c>
      <c r="E65">
        <v>0.19999999999999962</v>
      </c>
      <c r="J65">
        <v>41866</v>
      </c>
      <c r="K65">
        <v>0.6000000000000002</v>
      </c>
      <c r="L65">
        <v>0</v>
      </c>
      <c r="M65">
        <v>0.25999999999999995</v>
      </c>
      <c r="N65">
        <v>0.13999999999999985</v>
      </c>
      <c r="R65">
        <v>42510</v>
      </c>
      <c r="S65">
        <v>0.50000000000000011</v>
      </c>
      <c r="T65">
        <v>0.27999999999999997</v>
      </c>
      <c r="U65">
        <v>0</v>
      </c>
      <c r="V65">
        <v>0.21999999999999992</v>
      </c>
      <c r="Z65">
        <v>42286</v>
      </c>
      <c r="AA65">
        <v>0.52000000000000013</v>
      </c>
      <c r="AB65">
        <v>0</v>
      </c>
      <c r="AC65">
        <v>0.27999999999999997</v>
      </c>
      <c r="AD65">
        <v>0.1999999999999999</v>
      </c>
      <c r="AG65">
        <v>42230</v>
      </c>
      <c r="AH65">
        <v>0.02</v>
      </c>
      <c r="AI65">
        <v>0</v>
      </c>
      <c r="AJ65">
        <v>0.72000000000000031</v>
      </c>
      <c r="AK65">
        <v>0.25999999999999968</v>
      </c>
      <c r="AO65">
        <v>41656</v>
      </c>
      <c r="AP65">
        <v>0.66000000000000025</v>
      </c>
      <c r="AQ65">
        <v>0</v>
      </c>
      <c r="AR65">
        <v>0.32</v>
      </c>
      <c r="AS65">
        <v>1.999999999999974E-2</v>
      </c>
      <c r="AV65">
        <v>41663</v>
      </c>
      <c r="AW65">
        <v>0.32</v>
      </c>
      <c r="AX65">
        <v>0.16</v>
      </c>
      <c r="AY65">
        <v>0.52000000000000013</v>
      </c>
      <c r="AZ65">
        <v>-2.2204460492503131E-16</v>
      </c>
      <c r="BC65">
        <v>41138</v>
      </c>
      <c r="BD65">
        <v>0.54000000000000015</v>
      </c>
      <c r="BE65">
        <v>0.27999999999999997</v>
      </c>
      <c r="BF65">
        <v>0</v>
      </c>
      <c r="BG65">
        <v>0.17999999999999988</v>
      </c>
    </row>
    <row r="66" spans="1:59" x14ac:dyDescent="0.3">
      <c r="A66">
        <v>41999</v>
      </c>
      <c r="B66">
        <v>0.80000000000000038</v>
      </c>
      <c r="C66">
        <v>0</v>
      </c>
      <c r="D66">
        <v>0</v>
      </c>
      <c r="E66">
        <v>0.19999999999999962</v>
      </c>
      <c r="J66">
        <v>41873</v>
      </c>
      <c r="K66">
        <v>0.62000000000000022</v>
      </c>
      <c r="L66">
        <v>0</v>
      </c>
      <c r="M66">
        <v>0.23999999999999996</v>
      </c>
      <c r="N66">
        <v>0.13999999999999982</v>
      </c>
      <c r="R66">
        <v>42517</v>
      </c>
      <c r="S66">
        <v>0.50000000000000011</v>
      </c>
      <c r="T66">
        <v>0.23999999999999996</v>
      </c>
      <c r="U66">
        <v>0</v>
      </c>
      <c r="V66">
        <v>0.2599999999999999</v>
      </c>
      <c r="Z66">
        <v>42293</v>
      </c>
      <c r="AA66">
        <v>0.52000000000000013</v>
      </c>
      <c r="AB66">
        <v>0</v>
      </c>
      <c r="AC66">
        <v>0.27999999999999997</v>
      </c>
      <c r="AD66">
        <v>0.1999999999999999</v>
      </c>
      <c r="AG66">
        <v>42237</v>
      </c>
      <c r="AH66">
        <v>0.02</v>
      </c>
      <c r="AI66">
        <v>0</v>
      </c>
      <c r="AJ66">
        <v>0.76000000000000034</v>
      </c>
      <c r="AK66">
        <v>0.21999999999999964</v>
      </c>
      <c r="AO66">
        <v>41663</v>
      </c>
      <c r="AP66">
        <v>0.64000000000000024</v>
      </c>
      <c r="AQ66">
        <v>0</v>
      </c>
      <c r="AR66">
        <v>0.34</v>
      </c>
      <c r="AS66">
        <v>1.999999999999974E-2</v>
      </c>
      <c r="AV66">
        <v>41669</v>
      </c>
      <c r="AW66">
        <v>0.3</v>
      </c>
      <c r="AX66">
        <v>0.16</v>
      </c>
      <c r="AY66">
        <v>0.54000000000000015</v>
      </c>
      <c r="AZ66">
        <v>-2.2204460492503131E-16</v>
      </c>
      <c r="BC66">
        <v>41145</v>
      </c>
      <c r="BD66">
        <v>0.46000000000000013</v>
      </c>
      <c r="BE66">
        <v>0.34</v>
      </c>
      <c r="BF66">
        <v>0</v>
      </c>
      <c r="BG66">
        <v>0.19999999999999979</v>
      </c>
    </row>
    <row r="67" spans="1:59" x14ac:dyDescent="0.3">
      <c r="A67">
        <v>42004</v>
      </c>
      <c r="B67">
        <v>0.76000000000000034</v>
      </c>
      <c r="C67">
        <v>0.04</v>
      </c>
      <c r="D67">
        <v>0</v>
      </c>
      <c r="E67">
        <v>0.19999999999999965</v>
      </c>
      <c r="J67">
        <v>41880</v>
      </c>
      <c r="K67">
        <v>0.62000000000000022</v>
      </c>
      <c r="L67">
        <v>0</v>
      </c>
      <c r="M67">
        <v>0.25999999999999995</v>
      </c>
      <c r="N67">
        <v>0.11999999999999983</v>
      </c>
      <c r="R67">
        <v>42524</v>
      </c>
      <c r="S67">
        <v>0.50000000000000011</v>
      </c>
      <c r="T67">
        <v>0.23999999999999996</v>
      </c>
      <c r="U67">
        <v>0</v>
      </c>
      <c r="V67">
        <v>0.2599999999999999</v>
      </c>
      <c r="Z67">
        <v>42300</v>
      </c>
      <c r="AA67">
        <v>0.48000000000000015</v>
      </c>
      <c r="AB67">
        <v>0.06</v>
      </c>
      <c r="AC67">
        <v>0.25999999999999995</v>
      </c>
      <c r="AD67">
        <v>0.19999999999999984</v>
      </c>
      <c r="AG67">
        <v>42244</v>
      </c>
      <c r="AH67">
        <v>0</v>
      </c>
      <c r="AI67">
        <v>0</v>
      </c>
      <c r="AJ67">
        <v>0.76000000000000034</v>
      </c>
      <c r="AK67">
        <v>0.23999999999999966</v>
      </c>
      <c r="AO67">
        <v>41669</v>
      </c>
      <c r="AP67">
        <v>0.64000000000000024</v>
      </c>
      <c r="AQ67">
        <v>0</v>
      </c>
      <c r="AR67">
        <v>0.34</v>
      </c>
      <c r="AS67">
        <v>1.999999999999974E-2</v>
      </c>
      <c r="AV67">
        <v>41677</v>
      </c>
      <c r="AW67">
        <v>0.27999999999999997</v>
      </c>
      <c r="AX67">
        <v>0.16</v>
      </c>
      <c r="AY67">
        <v>0.56000000000000016</v>
      </c>
      <c r="AZ67">
        <v>-2.2204460492503131E-16</v>
      </c>
      <c r="BC67">
        <v>41152</v>
      </c>
      <c r="BD67">
        <v>0.46000000000000013</v>
      </c>
      <c r="BE67">
        <v>0.36000000000000004</v>
      </c>
      <c r="BF67">
        <v>0</v>
      </c>
      <c r="BG67">
        <v>0.17999999999999977</v>
      </c>
    </row>
    <row r="68" spans="1:59" x14ac:dyDescent="0.3">
      <c r="A68">
        <v>42013</v>
      </c>
      <c r="B68">
        <v>0.62000000000000022</v>
      </c>
      <c r="C68">
        <v>0.23999999999999996</v>
      </c>
      <c r="D68">
        <v>0</v>
      </c>
      <c r="E68">
        <v>0.13999999999999982</v>
      </c>
      <c r="J68">
        <v>41887</v>
      </c>
      <c r="K68">
        <v>0.62000000000000022</v>
      </c>
      <c r="L68">
        <v>0</v>
      </c>
      <c r="M68">
        <v>0.27999999999999997</v>
      </c>
      <c r="N68">
        <v>9.9999999999999811E-2</v>
      </c>
      <c r="R68">
        <v>42529</v>
      </c>
      <c r="S68">
        <v>0.46000000000000013</v>
      </c>
      <c r="T68">
        <v>0.21999999999999997</v>
      </c>
      <c r="U68">
        <v>0</v>
      </c>
      <c r="V68">
        <v>0.31999999999999984</v>
      </c>
      <c r="Z68">
        <v>42307</v>
      </c>
      <c r="AA68">
        <v>0.50000000000000011</v>
      </c>
      <c r="AB68">
        <v>0</v>
      </c>
      <c r="AC68">
        <v>0.32</v>
      </c>
      <c r="AD68">
        <v>0.17999999999999988</v>
      </c>
      <c r="AG68">
        <v>42249</v>
      </c>
      <c r="AH68">
        <v>0</v>
      </c>
      <c r="AI68">
        <v>0</v>
      </c>
      <c r="AJ68">
        <v>0.76000000000000034</v>
      </c>
      <c r="AK68">
        <v>0.23999999999999966</v>
      </c>
      <c r="AO68">
        <v>41677</v>
      </c>
      <c r="AP68">
        <v>0.56000000000000016</v>
      </c>
      <c r="AQ68">
        <v>0</v>
      </c>
      <c r="AR68">
        <v>0.40000000000000008</v>
      </c>
      <c r="AS68">
        <v>3.9999999999999758E-2</v>
      </c>
      <c r="AV68">
        <v>41684</v>
      </c>
      <c r="AW68">
        <v>0.16</v>
      </c>
      <c r="AX68">
        <v>0.25999999999999995</v>
      </c>
      <c r="AY68">
        <v>0.58000000000000018</v>
      </c>
      <c r="AZ68">
        <v>-1.1102230246251565E-16</v>
      </c>
      <c r="BC68">
        <v>41159</v>
      </c>
      <c r="BD68">
        <v>0.38000000000000006</v>
      </c>
      <c r="BE68">
        <v>0.4200000000000001</v>
      </c>
      <c r="BF68">
        <v>0</v>
      </c>
      <c r="BG68">
        <v>0.19999999999999979</v>
      </c>
    </row>
    <row r="69" spans="1:59" x14ac:dyDescent="0.3">
      <c r="A69">
        <v>42020</v>
      </c>
      <c r="B69">
        <v>0.66000000000000025</v>
      </c>
      <c r="C69">
        <v>0.16</v>
      </c>
      <c r="D69">
        <v>0.04</v>
      </c>
      <c r="E69">
        <v>0.13999999999999974</v>
      </c>
      <c r="J69">
        <v>41894</v>
      </c>
      <c r="K69">
        <v>0.62000000000000022</v>
      </c>
      <c r="L69">
        <v>0</v>
      </c>
      <c r="M69">
        <v>0.34</v>
      </c>
      <c r="N69">
        <v>3.9999999999999758E-2</v>
      </c>
      <c r="R69">
        <v>42538</v>
      </c>
      <c r="S69">
        <v>0.46000000000000013</v>
      </c>
      <c r="T69">
        <v>0.21999999999999997</v>
      </c>
      <c r="U69">
        <v>0</v>
      </c>
      <c r="V69">
        <v>0.31999999999999984</v>
      </c>
      <c r="Z69">
        <v>42314</v>
      </c>
      <c r="AA69">
        <v>0.50000000000000011</v>
      </c>
      <c r="AB69">
        <v>0.02</v>
      </c>
      <c r="AC69">
        <v>0.3</v>
      </c>
      <c r="AD69">
        <v>0.17999999999999988</v>
      </c>
      <c r="AG69">
        <v>42258</v>
      </c>
      <c r="AH69">
        <v>0</v>
      </c>
      <c r="AI69">
        <v>0</v>
      </c>
      <c r="AJ69">
        <v>0.76000000000000034</v>
      </c>
      <c r="AK69">
        <v>0.23999999999999966</v>
      </c>
      <c r="AO69">
        <v>41684</v>
      </c>
      <c r="AP69">
        <v>0.52000000000000013</v>
      </c>
      <c r="AQ69">
        <v>0</v>
      </c>
      <c r="AR69">
        <v>0.46000000000000013</v>
      </c>
      <c r="AS69">
        <v>1.999999999999974E-2</v>
      </c>
      <c r="AV69">
        <v>41691</v>
      </c>
      <c r="AW69">
        <v>0.16</v>
      </c>
      <c r="AX69">
        <v>0.25999999999999995</v>
      </c>
      <c r="AY69">
        <v>0.58000000000000018</v>
      </c>
      <c r="AZ69">
        <v>-1.1102230246251565E-16</v>
      </c>
      <c r="BC69">
        <v>41166</v>
      </c>
      <c r="BD69">
        <v>0.32</v>
      </c>
      <c r="BE69">
        <v>0.44000000000000011</v>
      </c>
      <c r="BF69">
        <v>0</v>
      </c>
      <c r="BG69">
        <v>0.23999999999999982</v>
      </c>
    </row>
    <row r="70" spans="1:59" x14ac:dyDescent="0.3">
      <c r="A70">
        <v>42027</v>
      </c>
      <c r="B70">
        <v>0.66000000000000025</v>
      </c>
      <c r="C70">
        <v>0.16</v>
      </c>
      <c r="D70">
        <v>0.04</v>
      </c>
      <c r="E70">
        <v>0.13999999999999974</v>
      </c>
      <c r="J70">
        <v>41901</v>
      </c>
      <c r="K70">
        <v>0.62000000000000022</v>
      </c>
      <c r="L70">
        <v>0</v>
      </c>
      <c r="M70">
        <v>0.36000000000000004</v>
      </c>
      <c r="N70">
        <v>1.999999999999974E-2</v>
      </c>
      <c r="R70">
        <v>42545</v>
      </c>
      <c r="S70">
        <v>0.50000000000000011</v>
      </c>
      <c r="T70">
        <v>0.19999999999999998</v>
      </c>
      <c r="U70">
        <v>0</v>
      </c>
      <c r="V70">
        <v>0.29999999999999993</v>
      </c>
      <c r="Z70">
        <v>42321</v>
      </c>
      <c r="AA70">
        <v>0.58000000000000018</v>
      </c>
      <c r="AB70">
        <v>0</v>
      </c>
      <c r="AC70">
        <v>0.27999999999999997</v>
      </c>
      <c r="AD70">
        <v>0.13999999999999985</v>
      </c>
      <c r="AG70">
        <v>42265</v>
      </c>
      <c r="AH70">
        <v>0</v>
      </c>
      <c r="AI70">
        <v>0</v>
      </c>
      <c r="AJ70">
        <v>0.76000000000000034</v>
      </c>
      <c r="AK70">
        <v>0.23999999999999966</v>
      </c>
      <c r="AO70">
        <v>41691</v>
      </c>
      <c r="AP70">
        <v>0.56000000000000016</v>
      </c>
      <c r="AQ70">
        <v>0</v>
      </c>
      <c r="AR70">
        <v>0.40000000000000008</v>
      </c>
      <c r="AS70">
        <v>3.9999999999999758E-2</v>
      </c>
      <c r="AV70">
        <v>41698</v>
      </c>
      <c r="AW70">
        <v>0.16</v>
      </c>
      <c r="AX70">
        <v>0.25999999999999995</v>
      </c>
      <c r="AY70">
        <v>0.58000000000000018</v>
      </c>
      <c r="AZ70">
        <v>-1.1102230246251565E-16</v>
      </c>
      <c r="BC70">
        <v>41173</v>
      </c>
      <c r="BD70">
        <v>0.25999999999999995</v>
      </c>
      <c r="BE70">
        <v>0.50000000000000011</v>
      </c>
      <c r="BF70">
        <v>0</v>
      </c>
      <c r="BG70">
        <v>0.23999999999999988</v>
      </c>
    </row>
    <row r="71" spans="1:59" x14ac:dyDescent="0.3">
      <c r="A71">
        <v>42034</v>
      </c>
      <c r="B71">
        <v>0.68000000000000027</v>
      </c>
      <c r="C71">
        <v>0.14000000000000001</v>
      </c>
      <c r="D71">
        <v>0.06</v>
      </c>
      <c r="E71">
        <v>0.11999999999999972</v>
      </c>
      <c r="J71">
        <v>41908</v>
      </c>
      <c r="K71">
        <v>0.6000000000000002</v>
      </c>
      <c r="L71">
        <v>0</v>
      </c>
      <c r="M71">
        <v>0.34</v>
      </c>
      <c r="N71">
        <v>5.9999999999999776E-2</v>
      </c>
      <c r="R71">
        <v>42552</v>
      </c>
      <c r="S71">
        <v>0.48000000000000015</v>
      </c>
      <c r="T71">
        <v>0.21999999999999997</v>
      </c>
      <c r="U71">
        <v>0</v>
      </c>
      <c r="V71">
        <v>0.29999999999999982</v>
      </c>
      <c r="Z71">
        <v>42328</v>
      </c>
      <c r="AA71">
        <v>0.52000000000000013</v>
      </c>
      <c r="AB71">
        <v>0</v>
      </c>
      <c r="AC71">
        <v>0.32</v>
      </c>
      <c r="AD71">
        <v>0.15999999999999986</v>
      </c>
      <c r="AG71">
        <v>42272</v>
      </c>
      <c r="AH71">
        <v>0</v>
      </c>
      <c r="AI71">
        <v>0</v>
      </c>
      <c r="AJ71">
        <v>0.76000000000000034</v>
      </c>
      <c r="AK71">
        <v>0.23999999999999966</v>
      </c>
      <c r="AO71">
        <v>41698</v>
      </c>
      <c r="AP71">
        <v>0.54000000000000015</v>
      </c>
      <c r="AQ71">
        <v>0</v>
      </c>
      <c r="AR71">
        <v>0.4200000000000001</v>
      </c>
      <c r="AS71">
        <v>3.9999999999999758E-2</v>
      </c>
      <c r="AV71">
        <v>41705</v>
      </c>
      <c r="AW71">
        <v>0.14000000000000001</v>
      </c>
      <c r="AX71">
        <v>0.36000000000000004</v>
      </c>
      <c r="AY71">
        <v>0.50000000000000011</v>
      </c>
      <c r="AZ71">
        <v>-1.6653345369377348E-16</v>
      </c>
      <c r="BC71">
        <v>41180</v>
      </c>
      <c r="BD71">
        <v>0.25999999999999995</v>
      </c>
      <c r="BE71">
        <v>0.52000000000000013</v>
      </c>
      <c r="BF71">
        <v>0</v>
      </c>
      <c r="BG71">
        <v>0.21999999999999986</v>
      </c>
    </row>
    <row r="72" spans="1:59" x14ac:dyDescent="0.3">
      <c r="A72">
        <v>42041</v>
      </c>
      <c r="B72">
        <v>0.64000000000000024</v>
      </c>
      <c r="C72">
        <v>0.19999999999999998</v>
      </c>
      <c r="D72">
        <v>0.04</v>
      </c>
      <c r="E72">
        <v>0.11999999999999977</v>
      </c>
      <c r="J72">
        <v>41912</v>
      </c>
      <c r="K72">
        <v>0.6000000000000002</v>
      </c>
      <c r="L72">
        <v>0</v>
      </c>
      <c r="M72">
        <v>0.38000000000000006</v>
      </c>
      <c r="N72">
        <v>1.999999999999974E-2</v>
      </c>
      <c r="R72">
        <v>42559</v>
      </c>
      <c r="S72">
        <v>0.78000000000000036</v>
      </c>
      <c r="T72">
        <v>0</v>
      </c>
      <c r="U72">
        <v>0</v>
      </c>
      <c r="V72">
        <v>0.21999999999999964</v>
      </c>
      <c r="Z72">
        <v>42335</v>
      </c>
      <c r="AA72">
        <v>0.50000000000000011</v>
      </c>
      <c r="AB72">
        <v>0</v>
      </c>
      <c r="AC72">
        <v>0.32</v>
      </c>
      <c r="AD72">
        <v>0.17999999999999988</v>
      </c>
      <c r="AG72">
        <v>42277</v>
      </c>
      <c r="AH72">
        <v>0</v>
      </c>
      <c r="AI72">
        <v>0</v>
      </c>
      <c r="AJ72">
        <v>0.76000000000000034</v>
      </c>
      <c r="AK72">
        <v>0.23999999999999966</v>
      </c>
      <c r="AO72">
        <v>41705</v>
      </c>
      <c r="AP72">
        <v>0.52000000000000013</v>
      </c>
      <c r="AQ72">
        <v>0.38000000000000006</v>
      </c>
      <c r="AR72">
        <v>0.06</v>
      </c>
      <c r="AS72">
        <v>3.9999999999999813E-2</v>
      </c>
      <c r="AV72">
        <v>41712</v>
      </c>
      <c r="AW72">
        <v>0.04</v>
      </c>
      <c r="AX72">
        <v>0.32</v>
      </c>
      <c r="AY72">
        <v>0.62000000000000022</v>
      </c>
      <c r="AZ72">
        <v>1.9999999999999685E-2</v>
      </c>
      <c r="BC72">
        <v>41194</v>
      </c>
      <c r="BD72">
        <v>0.18</v>
      </c>
      <c r="BE72">
        <v>0.58000000000000018</v>
      </c>
      <c r="BF72">
        <v>0</v>
      </c>
      <c r="BG72">
        <v>0.23999999999999988</v>
      </c>
    </row>
    <row r="73" spans="1:59" x14ac:dyDescent="0.3">
      <c r="A73">
        <v>42048</v>
      </c>
      <c r="B73">
        <v>0.66000000000000025</v>
      </c>
      <c r="C73">
        <v>0.19999999999999998</v>
      </c>
      <c r="D73">
        <v>0</v>
      </c>
      <c r="E73">
        <v>0.13999999999999976</v>
      </c>
      <c r="J73">
        <v>41922</v>
      </c>
      <c r="K73">
        <v>0.6000000000000002</v>
      </c>
      <c r="L73">
        <v>0</v>
      </c>
      <c r="M73">
        <v>0.38000000000000006</v>
      </c>
      <c r="N73">
        <v>1.999999999999974E-2</v>
      </c>
      <c r="R73">
        <v>42566</v>
      </c>
      <c r="S73">
        <v>0.72000000000000031</v>
      </c>
      <c r="T73">
        <v>0</v>
      </c>
      <c r="U73">
        <v>0</v>
      </c>
      <c r="V73">
        <v>0.27999999999999969</v>
      </c>
      <c r="Z73">
        <v>42342</v>
      </c>
      <c r="AA73">
        <v>0.50000000000000011</v>
      </c>
      <c r="AB73">
        <v>0</v>
      </c>
      <c r="AC73">
        <v>0.32</v>
      </c>
      <c r="AD73">
        <v>0.17999999999999988</v>
      </c>
      <c r="AG73">
        <v>42286</v>
      </c>
      <c r="AH73">
        <v>0</v>
      </c>
      <c r="AI73">
        <v>0</v>
      </c>
      <c r="AJ73">
        <v>0.76000000000000034</v>
      </c>
      <c r="AK73">
        <v>0.23999999999999966</v>
      </c>
      <c r="AO73">
        <v>41712</v>
      </c>
      <c r="AP73">
        <v>0.66000000000000025</v>
      </c>
      <c r="AQ73">
        <v>0.32</v>
      </c>
      <c r="AR73">
        <v>0</v>
      </c>
      <c r="AS73">
        <v>1.999999999999974E-2</v>
      </c>
      <c r="AV73">
        <v>41719</v>
      </c>
      <c r="AW73">
        <v>0.08</v>
      </c>
      <c r="AX73">
        <v>0.23999999999999996</v>
      </c>
      <c r="AY73">
        <v>0.66000000000000025</v>
      </c>
      <c r="AZ73">
        <v>1.9999999999999796E-2</v>
      </c>
      <c r="BC73">
        <v>41201</v>
      </c>
      <c r="BD73">
        <v>0.19999999999999998</v>
      </c>
      <c r="BE73">
        <v>0.58000000000000018</v>
      </c>
      <c r="BF73">
        <v>0</v>
      </c>
      <c r="BG73">
        <v>0.21999999999999986</v>
      </c>
    </row>
    <row r="74" spans="1:59" x14ac:dyDescent="0.3">
      <c r="A74">
        <v>42052</v>
      </c>
      <c r="B74">
        <v>0.6000000000000002</v>
      </c>
      <c r="C74">
        <v>0.25999999999999995</v>
      </c>
      <c r="D74">
        <v>0</v>
      </c>
      <c r="E74">
        <v>0.13999999999999985</v>
      </c>
      <c r="J74">
        <v>41929</v>
      </c>
      <c r="K74">
        <v>0.6000000000000002</v>
      </c>
      <c r="L74">
        <v>0</v>
      </c>
      <c r="M74">
        <v>0.38000000000000006</v>
      </c>
      <c r="N74">
        <v>1.999999999999974E-2</v>
      </c>
      <c r="R74">
        <v>42573</v>
      </c>
      <c r="S74">
        <v>0.72000000000000031</v>
      </c>
      <c r="T74">
        <v>0</v>
      </c>
      <c r="U74">
        <v>0</v>
      </c>
      <c r="V74">
        <v>0.27999999999999969</v>
      </c>
      <c r="Z74">
        <v>42349</v>
      </c>
      <c r="AA74">
        <v>0.46000000000000013</v>
      </c>
      <c r="AB74">
        <v>0.02</v>
      </c>
      <c r="AC74">
        <v>0.32</v>
      </c>
      <c r="AD74">
        <v>0.19999999999999979</v>
      </c>
      <c r="AG74">
        <v>42293</v>
      </c>
      <c r="AH74">
        <v>0</v>
      </c>
      <c r="AI74">
        <v>0</v>
      </c>
      <c r="AJ74">
        <v>0.76000000000000034</v>
      </c>
      <c r="AK74">
        <v>0.23999999999999966</v>
      </c>
      <c r="AO74">
        <v>41719</v>
      </c>
      <c r="AP74">
        <v>0.62000000000000022</v>
      </c>
      <c r="AQ74">
        <v>0.36000000000000004</v>
      </c>
      <c r="AR74">
        <v>0</v>
      </c>
      <c r="AS74">
        <v>1.999999999999974E-2</v>
      </c>
      <c r="AV74">
        <v>41726</v>
      </c>
      <c r="AW74">
        <v>0.16</v>
      </c>
      <c r="AX74">
        <v>0.25999999999999995</v>
      </c>
      <c r="AY74">
        <v>0.58000000000000018</v>
      </c>
      <c r="AZ74">
        <v>-1.1102230246251565E-16</v>
      </c>
      <c r="BC74">
        <v>41208</v>
      </c>
      <c r="BD74">
        <v>0.18</v>
      </c>
      <c r="BE74">
        <v>0.56000000000000016</v>
      </c>
      <c r="BF74">
        <v>0</v>
      </c>
      <c r="BG74">
        <v>0.2599999999999999</v>
      </c>
    </row>
    <row r="75" spans="1:59" x14ac:dyDescent="0.3">
      <c r="A75">
        <v>42062</v>
      </c>
      <c r="B75">
        <v>0.6000000000000002</v>
      </c>
      <c r="C75">
        <v>0.16</v>
      </c>
      <c r="D75">
        <v>0.1</v>
      </c>
      <c r="E75">
        <v>0.13999999999999979</v>
      </c>
      <c r="J75">
        <v>41936</v>
      </c>
      <c r="K75">
        <v>0.6000000000000002</v>
      </c>
      <c r="L75">
        <v>0</v>
      </c>
      <c r="M75">
        <v>0.38000000000000006</v>
      </c>
      <c r="N75">
        <v>1.999999999999974E-2</v>
      </c>
      <c r="R75">
        <v>42580</v>
      </c>
      <c r="S75">
        <v>0.64000000000000024</v>
      </c>
      <c r="T75">
        <v>0</v>
      </c>
      <c r="U75">
        <v>0</v>
      </c>
      <c r="V75">
        <v>0.35999999999999976</v>
      </c>
      <c r="Z75">
        <v>42356</v>
      </c>
      <c r="AA75">
        <v>0.46000000000000013</v>
      </c>
      <c r="AB75">
        <v>0.02</v>
      </c>
      <c r="AC75">
        <v>0.32</v>
      </c>
      <c r="AD75">
        <v>0.19999999999999979</v>
      </c>
      <c r="AG75">
        <v>42300</v>
      </c>
      <c r="AH75">
        <v>0</v>
      </c>
      <c r="AI75">
        <v>0</v>
      </c>
      <c r="AJ75">
        <v>0.74000000000000032</v>
      </c>
      <c r="AK75">
        <v>0.25999999999999968</v>
      </c>
      <c r="AO75">
        <v>41726</v>
      </c>
      <c r="AP75">
        <v>0.70000000000000029</v>
      </c>
      <c r="AQ75">
        <v>0.27999999999999997</v>
      </c>
      <c r="AR75">
        <v>0</v>
      </c>
      <c r="AS75">
        <v>1.999999999999974E-2</v>
      </c>
      <c r="AV75">
        <v>41733</v>
      </c>
      <c r="AW75">
        <v>0.18</v>
      </c>
      <c r="AX75">
        <v>0.25999999999999995</v>
      </c>
      <c r="AY75">
        <v>0.56000000000000016</v>
      </c>
      <c r="AZ75">
        <v>-1.1102230246251565E-16</v>
      </c>
      <c r="BC75">
        <v>41215</v>
      </c>
      <c r="BD75">
        <v>0.18</v>
      </c>
      <c r="BE75">
        <v>0.58000000000000018</v>
      </c>
      <c r="BF75">
        <v>0</v>
      </c>
      <c r="BG75">
        <v>0.23999999999999988</v>
      </c>
    </row>
    <row r="76" spans="1:59" x14ac:dyDescent="0.3">
      <c r="A76">
        <v>42069</v>
      </c>
      <c r="B76">
        <v>0.48000000000000015</v>
      </c>
      <c r="C76">
        <v>0.36000000000000004</v>
      </c>
      <c r="D76">
        <v>0</v>
      </c>
      <c r="E76">
        <v>0.15999999999999975</v>
      </c>
      <c r="J76">
        <v>41943</v>
      </c>
      <c r="K76">
        <v>0.6000000000000002</v>
      </c>
      <c r="L76">
        <v>0</v>
      </c>
      <c r="M76">
        <v>0.38000000000000006</v>
      </c>
      <c r="N76">
        <v>1.999999999999974E-2</v>
      </c>
      <c r="R76">
        <v>42587</v>
      </c>
      <c r="S76">
        <v>0.64000000000000024</v>
      </c>
      <c r="T76">
        <v>0</v>
      </c>
      <c r="U76">
        <v>0</v>
      </c>
      <c r="V76">
        <v>0.35999999999999976</v>
      </c>
      <c r="Z76">
        <v>42363</v>
      </c>
      <c r="AA76">
        <v>0.40000000000000008</v>
      </c>
      <c r="AB76">
        <v>0.21999999999999997</v>
      </c>
      <c r="AC76">
        <v>0.16</v>
      </c>
      <c r="AD76">
        <v>0.21999999999999989</v>
      </c>
      <c r="AG76">
        <v>42307</v>
      </c>
      <c r="AH76">
        <v>0</v>
      </c>
      <c r="AI76">
        <v>0</v>
      </c>
      <c r="AJ76">
        <v>0.76000000000000034</v>
      </c>
      <c r="AK76">
        <v>0.23999999999999966</v>
      </c>
      <c r="AO76">
        <v>41733</v>
      </c>
      <c r="AP76">
        <v>0.76000000000000034</v>
      </c>
      <c r="AQ76">
        <v>0.19999999999999998</v>
      </c>
      <c r="AR76">
        <v>0</v>
      </c>
      <c r="AS76">
        <v>3.9999999999999675E-2</v>
      </c>
      <c r="AV76">
        <v>41740</v>
      </c>
      <c r="AW76">
        <v>0.19999999999999998</v>
      </c>
      <c r="AX76">
        <v>0.3</v>
      </c>
      <c r="AY76">
        <v>0.50000000000000011</v>
      </c>
      <c r="AZ76">
        <v>-1.1102230246251565E-16</v>
      </c>
      <c r="BC76">
        <v>41222</v>
      </c>
      <c r="BD76">
        <v>0.18</v>
      </c>
      <c r="BE76">
        <v>0.56000000000000016</v>
      </c>
      <c r="BF76">
        <v>0</v>
      </c>
      <c r="BG76">
        <v>0.2599999999999999</v>
      </c>
    </row>
    <row r="77" spans="1:59" x14ac:dyDescent="0.3">
      <c r="A77">
        <v>42076</v>
      </c>
      <c r="B77">
        <v>0.4200000000000001</v>
      </c>
      <c r="C77">
        <v>0.32</v>
      </c>
      <c r="D77">
        <v>0.08</v>
      </c>
      <c r="E77">
        <v>0.17999999999999983</v>
      </c>
      <c r="J77">
        <v>41950</v>
      </c>
      <c r="K77">
        <v>0.6000000000000002</v>
      </c>
      <c r="L77">
        <v>0</v>
      </c>
      <c r="M77">
        <v>0.38000000000000006</v>
      </c>
      <c r="N77">
        <v>1.999999999999974E-2</v>
      </c>
      <c r="R77">
        <v>42594</v>
      </c>
      <c r="S77">
        <v>0.64000000000000024</v>
      </c>
      <c r="T77">
        <v>0</v>
      </c>
      <c r="U77">
        <v>0</v>
      </c>
      <c r="V77">
        <v>0.35999999999999976</v>
      </c>
      <c r="Z77">
        <v>42369</v>
      </c>
      <c r="AA77">
        <v>0.38000000000000006</v>
      </c>
      <c r="AB77">
        <v>0.25999999999999995</v>
      </c>
      <c r="AC77">
        <v>0.14000000000000001</v>
      </c>
      <c r="AD77">
        <v>0.21999999999999992</v>
      </c>
      <c r="AG77">
        <v>42314</v>
      </c>
      <c r="AH77">
        <v>0</v>
      </c>
      <c r="AI77">
        <v>0</v>
      </c>
      <c r="AJ77">
        <v>0.76000000000000034</v>
      </c>
      <c r="AK77">
        <v>0.23999999999999966</v>
      </c>
      <c r="AO77">
        <v>41740</v>
      </c>
      <c r="AP77">
        <v>0.74000000000000032</v>
      </c>
      <c r="AQ77">
        <v>0.16</v>
      </c>
      <c r="AR77">
        <v>0</v>
      </c>
      <c r="AS77">
        <v>9.9999999999999672E-2</v>
      </c>
      <c r="AV77">
        <v>41747</v>
      </c>
      <c r="AW77">
        <v>0.14000000000000001</v>
      </c>
      <c r="AX77">
        <v>0.36000000000000004</v>
      </c>
      <c r="AY77">
        <v>0.48000000000000015</v>
      </c>
      <c r="AZ77">
        <v>1.9999999999999796E-2</v>
      </c>
      <c r="BC77">
        <v>41229</v>
      </c>
      <c r="BD77">
        <v>0.16</v>
      </c>
      <c r="BE77">
        <v>0.58000000000000018</v>
      </c>
      <c r="BF77">
        <v>0</v>
      </c>
      <c r="BG77">
        <v>0.25999999999999979</v>
      </c>
    </row>
    <row r="78" spans="1:59" x14ac:dyDescent="0.3">
      <c r="A78">
        <v>42083</v>
      </c>
      <c r="B78">
        <v>0.4200000000000001</v>
      </c>
      <c r="C78">
        <v>0.32</v>
      </c>
      <c r="D78">
        <v>0.08</v>
      </c>
      <c r="E78">
        <v>0.17999999999999983</v>
      </c>
      <c r="J78">
        <v>41957</v>
      </c>
      <c r="K78">
        <v>0.6000000000000002</v>
      </c>
      <c r="L78">
        <v>0</v>
      </c>
      <c r="M78">
        <v>0.38000000000000006</v>
      </c>
      <c r="N78">
        <v>1.999999999999974E-2</v>
      </c>
      <c r="R78">
        <v>42601</v>
      </c>
      <c r="S78">
        <v>0.66000000000000025</v>
      </c>
      <c r="T78">
        <v>0</v>
      </c>
      <c r="U78">
        <v>0</v>
      </c>
      <c r="V78">
        <v>0.33999999999999975</v>
      </c>
      <c r="Z78">
        <v>42377</v>
      </c>
      <c r="AA78">
        <v>0.38000000000000006</v>
      </c>
      <c r="AB78">
        <v>0.25999999999999995</v>
      </c>
      <c r="AC78">
        <v>0.14000000000000001</v>
      </c>
      <c r="AD78">
        <v>0.21999999999999992</v>
      </c>
      <c r="AG78">
        <v>42321</v>
      </c>
      <c r="AH78">
        <v>0</v>
      </c>
      <c r="AI78">
        <v>0</v>
      </c>
      <c r="AJ78">
        <v>0.76000000000000034</v>
      </c>
      <c r="AK78">
        <v>0.23999999999999966</v>
      </c>
      <c r="AO78">
        <v>41747</v>
      </c>
      <c r="AP78">
        <v>0.74000000000000032</v>
      </c>
      <c r="AQ78">
        <v>0.18</v>
      </c>
      <c r="AR78">
        <v>0</v>
      </c>
      <c r="AS78">
        <v>7.9999999999999682E-2</v>
      </c>
      <c r="AV78">
        <v>41754</v>
      </c>
      <c r="AW78">
        <v>0.08</v>
      </c>
      <c r="AX78">
        <v>0.36000000000000004</v>
      </c>
      <c r="AY78">
        <v>0.50000000000000011</v>
      </c>
      <c r="AZ78">
        <v>5.9999999999999942E-2</v>
      </c>
      <c r="BC78">
        <v>41236</v>
      </c>
      <c r="BD78">
        <v>0.16</v>
      </c>
      <c r="BE78">
        <v>0.56000000000000016</v>
      </c>
      <c r="BF78">
        <v>0</v>
      </c>
      <c r="BG78">
        <v>0.2799999999999998</v>
      </c>
    </row>
    <row r="79" spans="1:59" x14ac:dyDescent="0.3">
      <c r="A79">
        <v>42090</v>
      </c>
      <c r="B79">
        <v>0.46000000000000013</v>
      </c>
      <c r="C79">
        <v>0.32</v>
      </c>
      <c r="D79">
        <v>0.08</v>
      </c>
      <c r="E79">
        <v>0.13999999999999979</v>
      </c>
      <c r="J79">
        <v>41964</v>
      </c>
      <c r="K79">
        <v>0.62000000000000022</v>
      </c>
      <c r="L79">
        <v>0</v>
      </c>
      <c r="M79">
        <v>0.36000000000000004</v>
      </c>
      <c r="N79">
        <v>1.999999999999974E-2</v>
      </c>
      <c r="R79">
        <v>42608</v>
      </c>
      <c r="S79">
        <v>0.62000000000000022</v>
      </c>
      <c r="T79">
        <v>0.06</v>
      </c>
      <c r="U79">
        <v>0</v>
      </c>
      <c r="V79">
        <v>0.31999999999999978</v>
      </c>
      <c r="Z79">
        <v>42384</v>
      </c>
      <c r="AA79">
        <v>0.52000000000000013</v>
      </c>
      <c r="AB79">
        <v>0</v>
      </c>
      <c r="AC79">
        <v>0.32</v>
      </c>
      <c r="AD79">
        <v>0.15999999999999986</v>
      </c>
      <c r="AG79">
        <v>42328</v>
      </c>
      <c r="AH79">
        <v>0</v>
      </c>
      <c r="AI79">
        <v>0</v>
      </c>
      <c r="AJ79">
        <v>0.76000000000000034</v>
      </c>
      <c r="AK79">
        <v>0.23999999999999966</v>
      </c>
      <c r="AO79">
        <v>41754</v>
      </c>
      <c r="AP79">
        <v>0.78000000000000036</v>
      </c>
      <c r="AQ79">
        <v>0.14000000000000001</v>
      </c>
      <c r="AR79">
        <v>0</v>
      </c>
      <c r="AS79">
        <v>7.9999999999999627E-2</v>
      </c>
      <c r="AV79">
        <v>41759</v>
      </c>
      <c r="AW79">
        <v>0.1</v>
      </c>
      <c r="AX79">
        <v>0.38000000000000006</v>
      </c>
      <c r="AY79">
        <v>0.48000000000000015</v>
      </c>
      <c r="AZ79">
        <v>3.9999999999999869E-2</v>
      </c>
      <c r="BC79">
        <v>41243</v>
      </c>
      <c r="BD79">
        <v>0.18</v>
      </c>
      <c r="BE79">
        <v>0.56000000000000016</v>
      </c>
      <c r="BF79">
        <v>0</v>
      </c>
      <c r="BG79">
        <v>0.2599999999999999</v>
      </c>
    </row>
    <row r="80" spans="1:59" x14ac:dyDescent="0.3">
      <c r="A80">
        <v>42097</v>
      </c>
      <c r="B80">
        <v>0.44000000000000011</v>
      </c>
      <c r="C80">
        <v>0.32</v>
      </c>
      <c r="D80">
        <v>0.08</v>
      </c>
      <c r="E80">
        <v>0.15999999999999981</v>
      </c>
      <c r="J80">
        <v>41971</v>
      </c>
      <c r="K80">
        <v>0.62000000000000022</v>
      </c>
      <c r="L80">
        <v>0</v>
      </c>
      <c r="M80">
        <v>0.36000000000000004</v>
      </c>
      <c r="N80">
        <v>1.999999999999974E-2</v>
      </c>
      <c r="R80">
        <v>42615</v>
      </c>
      <c r="S80">
        <v>0.70000000000000029</v>
      </c>
      <c r="T80">
        <v>0</v>
      </c>
      <c r="U80">
        <v>0</v>
      </c>
      <c r="V80">
        <v>0.29999999999999971</v>
      </c>
      <c r="Z80">
        <v>42391</v>
      </c>
      <c r="AA80">
        <v>0.48000000000000015</v>
      </c>
      <c r="AB80">
        <v>0</v>
      </c>
      <c r="AC80">
        <v>0.32</v>
      </c>
      <c r="AD80">
        <v>0.19999999999999979</v>
      </c>
      <c r="AG80">
        <v>42335</v>
      </c>
      <c r="AH80">
        <v>0</v>
      </c>
      <c r="AI80">
        <v>0</v>
      </c>
      <c r="AJ80">
        <v>0.76000000000000034</v>
      </c>
      <c r="AK80">
        <v>0.23999999999999966</v>
      </c>
      <c r="AO80">
        <v>41759</v>
      </c>
      <c r="AP80">
        <v>0.88000000000000045</v>
      </c>
      <c r="AQ80">
        <v>0</v>
      </c>
      <c r="AR80">
        <v>0</v>
      </c>
      <c r="AS80">
        <v>0.11999999999999955</v>
      </c>
      <c r="AV80">
        <v>41768</v>
      </c>
      <c r="AW80">
        <v>0.16</v>
      </c>
      <c r="AX80">
        <v>0.25999999999999995</v>
      </c>
      <c r="AY80">
        <v>0.56000000000000016</v>
      </c>
      <c r="AZ80">
        <v>1.9999999999999907E-2</v>
      </c>
      <c r="BC80">
        <v>41250</v>
      </c>
      <c r="BD80">
        <v>0.04</v>
      </c>
      <c r="BE80">
        <v>0.58000000000000018</v>
      </c>
      <c r="BF80">
        <v>0.19999999999999998</v>
      </c>
      <c r="BG80">
        <v>0.1799999999999998</v>
      </c>
    </row>
    <row r="81" spans="1:59" x14ac:dyDescent="0.3">
      <c r="A81">
        <v>42104</v>
      </c>
      <c r="B81">
        <v>0.48000000000000015</v>
      </c>
      <c r="C81">
        <v>0.3</v>
      </c>
      <c r="D81">
        <v>0.08</v>
      </c>
      <c r="E81">
        <v>0.13999999999999979</v>
      </c>
      <c r="J81">
        <v>41978</v>
      </c>
      <c r="K81">
        <v>0.54000000000000015</v>
      </c>
      <c r="L81">
        <v>0</v>
      </c>
      <c r="M81">
        <v>0.44000000000000011</v>
      </c>
      <c r="N81">
        <v>1.999999999999974E-2</v>
      </c>
      <c r="R81">
        <v>42622</v>
      </c>
      <c r="S81">
        <v>0.70000000000000029</v>
      </c>
      <c r="T81">
        <v>0</v>
      </c>
      <c r="U81">
        <v>0</v>
      </c>
      <c r="V81">
        <v>0.29999999999999971</v>
      </c>
      <c r="Z81">
        <v>42398</v>
      </c>
      <c r="AA81">
        <v>0.44000000000000011</v>
      </c>
      <c r="AB81">
        <v>0</v>
      </c>
      <c r="AC81">
        <v>0.34</v>
      </c>
      <c r="AD81">
        <v>0.21999999999999981</v>
      </c>
      <c r="AG81">
        <v>42342</v>
      </c>
      <c r="AH81">
        <v>0</v>
      </c>
      <c r="AI81">
        <v>0</v>
      </c>
      <c r="AJ81">
        <v>0.76000000000000034</v>
      </c>
      <c r="AK81">
        <v>0.23999999999999966</v>
      </c>
      <c r="AO81">
        <v>41768</v>
      </c>
      <c r="AP81">
        <v>0.88000000000000045</v>
      </c>
      <c r="AQ81">
        <v>0</v>
      </c>
      <c r="AR81">
        <v>0</v>
      </c>
      <c r="AS81">
        <v>0.11999999999999955</v>
      </c>
      <c r="AV81">
        <v>41775</v>
      </c>
      <c r="AW81">
        <v>0.18</v>
      </c>
      <c r="AX81">
        <v>0.1</v>
      </c>
      <c r="AY81">
        <v>0.68000000000000027</v>
      </c>
      <c r="AZ81">
        <v>3.9999999999999813E-2</v>
      </c>
      <c r="BC81">
        <v>41257</v>
      </c>
      <c r="BD81">
        <v>0.12000000000000001</v>
      </c>
      <c r="BE81">
        <v>0.32</v>
      </c>
      <c r="BF81">
        <v>0.46000000000000013</v>
      </c>
      <c r="BG81">
        <v>9.9999999999999922E-2</v>
      </c>
    </row>
    <row r="82" spans="1:59" x14ac:dyDescent="0.3">
      <c r="A82">
        <v>42111</v>
      </c>
      <c r="B82">
        <v>0.48000000000000015</v>
      </c>
      <c r="C82">
        <v>0.23999999999999996</v>
      </c>
      <c r="D82">
        <v>0.12000000000000001</v>
      </c>
      <c r="E82">
        <v>0.15999999999999981</v>
      </c>
      <c r="J82">
        <v>41985</v>
      </c>
      <c r="K82">
        <v>0.56000000000000016</v>
      </c>
      <c r="L82">
        <v>0</v>
      </c>
      <c r="M82">
        <v>0.38000000000000006</v>
      </c>
      <c r="N82">
        <v>5.9999999999999776E-2</v>
      </c>
      <c r="R82">
        <v>42627</v>
      </c>
      <c r="S82">
        <v>0.70000000000000029</v>
      </c>
      <c r="T82">
        <v>0</v>
      </c>
      <c r="U82">
        <v>0</v>
      </c>
      <c r="V82">
        <v>0.29999999999999971</v>
      </c>
      <c r="Z82">
        <v>42405</v>
      </c>
      <c r="AA82">
        <v>0.38000000000000006</v>
      </c>
      <c r="AB82">
        <v>0.27999999999999997</v>
      </c>
      <c r="AC82">
        <v>0.16</v>
      </c>
      <c r="AD82">
        <v>0.17999999999999991</v>
      </c>
      <c r="AG82">
        <v>42349</v>
      </c>
      <c r="AH82">
        <v>0</v>
      </c>
      <c r="AI82">
        <v>0</v>
      </c>
      <c r="AJ82">
        <v>0.76000000000000034</v>
      </c>
      <c r="AK82">
        <v>0.23999999999999966</v>
      </c>
      <c r="AO82">
        <v>41775</v>
      </c>
      <c r="AP82">
        <v>0.88000000000000045</v>
      </c>
      <c r="AQ82">
        <v>0</v>
      </c>
      <c r="AR82">
        <v>0</v>
      </c>
      <c r="AS82">
        <v>0.11999999999999955</v>
      </c>
      <c r="AV82">
        <v>41782</v>
      </c>
      <c r="AW82">
        <v>0.19999999999999998</v>
      </c>
      <c r="AX82">
        <v>0.02</v>
      </c>
      <c r="AY82">
        <v>0.72000000000000031</v>
      </c>
      <c r="AZ82">
        <v>5.999999999999972E-2</v>
      </c>
      <c r="BC82">
        <v>41264</v>
      </c>
      <c r="BD82">
        <v>0.18</v>
      </c>
      <c r="BE82">
        <v>0.3</v>
      </c>
      <c r="BF82">
        <v>0.38000000000000006</v>
      </c>
      <c r="BG82">
        <v>0.13999999999999996</v>
      </c>
    </row>
    <row r="83" spans="1:59" x14ac:dyDescent="0.3">
      <c r="A83">
        <v>42118</v>
      </c>
      <c r="B83">
        <v>0.38000000000000006</v>
      </c>
      <c r="C83">
        <v>0.32</v>
      </c>
      <c r="D83">
        <v>0.12000000000000001</v>
      </c>
      <c r="E83">
        <v>0.17999999999999988</v>
      </c>
      <c r="J83">
        <v>41992</v>
      </c>
      <c r="K83">
        <v>0.58000000000000018</v>
      </c>
      <c r="L83">
        <v>0</v>
      </c>
      <c r="M83">
        <v>0.38000000000000006</v>
      </c>
      <c r="N83">
        <v>3.9999999999999758E-2</v>
      </c>
      <c r="R83">
        <v>42636</v>
      </c>
      <c r="S83">
        <v>0.74000000000000032</v>
      </c>
      <c r="T83">
        <v>0</v>
      </c>
      <c r="U83">
        <v>0</v>
      </c>
      <c r="V83">
        <v>0.25999999999999968</v>
      </c>
      <c r="Z83">
        <v>42419</v>
      </c>
      <c r="AA83">
        <v>0.48000000000000015</v>
      </c>
      <c r="AB83">
        <v>0.08</v>
      </c>
      <c r="AC83">
        <v>0.25999999999999995</v>
      </c>
      <c r="AD83">
        <v>0.17999999999999983</v>
      </c>
      <c r="AG83">
        <v>42356</v>
      </c>
      <c r="AH83">
        <v>0</v>
      </c>
      <c r="AI83">
        <v>0</v>
      </c>
      <c r="AJ83">
        <v>0.76000000000000034</v>
      </c>
      <c r="AK83">
        <v>0.23999999999999966</v>
      </c>
      <c r="AO83">
        <v>41782</v>
      </c>
      <c r="AP83">
        <v>0.88000000000000045</v>
      </c>
      <c r="AQ83">
        <v>0</v>
      </c>
      <c r="AR83">
        <v>0</v>
      </c>
      <c r="AS83">
        <v>0.11999999999999955</v>
      </c>
      <c r="AV83">
        <v>41789</v>
      </c>
      <c r="AW83">
        <v>0.21999999999999997</v>
      </c>
      <c r="AX83">
        <v>0.1</v>
      </c>
      <c r="AY83">
        <v>0.62000000000000022</v>
      </c>
      <c r="AZ83">
        <v>5.9999999999999831E-2</v>
      </c>
      <c r="BC83">
        <v>41271</v>
      </c>
      <c r="BD83">
        <v>0.14000000000000001</v>
      </c>
      <c r="BE83">
        <v>0.44000000000000011</v>
      </c>
      <c r="BF83">
        <v>0.3</v>
      </c>
      <c r="BG83">
        <v>0.11999999999999988</v>
      </c>
    </row>
    <row r="84" spans="1:59" x14ac:dyDescent="0.3">
      <c r="A84">
        <v>42124</v>
      </c>
      <c r="B84">
        <v>0.36000000000000004</v>
      </c>
      <c r="C84">
        <v>0.25999999999999995</v>
      </c>
      <c r="D84">
        <v>0.19999999999999998</v>
      </c>
      <c r="E84">
        <v>0.17999999999999997</v>
      </c>
      <c r="J84">
        <v>41999</v>
      </c>
      <c r="K84">
        <v>0.4200000000000001</v>
      </c>
      <c r="L84">
        <v>0</v>
      </c>
      <c r="M84">
        <v>0.48000000000000015</v>
      </c>
      <c r="N84">
        <v>9.99999999999997E-2</v>
      </c>
      <c r="R84">
        <v>42643</v>
      </c>
      <c r="S84">
        <v>0.72000000000000031</v>
      </c>
      <c r="T84">
        <v>0</v>
      </c>
      <c r="U84">
        <v>0</v>
      </c>
      <c r="V84">
        <v>0.27999999999999969</v>
      </c>
      <c r="Z84">
        <v>42426</v>
      </c>
      <c r="AA84">
        <v>0.34</v>
      </c>
      <c r="AB84">
        <v>0.48000000000000015</v>
      </c>
      <c r="AC84">
        <v>0.02</v>
      </c>
      <c r="AD84">
        <v>0.15999999999999978</v>
      </c>
      <c r="AG84">
        <v>42363</v>
      </c>
      <c r="AH84">
        <v>0</v>
      </c>
      <c r="AI84">
        <v>0</v>
      </c>
      <c r="AJ84">
        <v>0.72000000000000031</v>
      </c>
      <c r="AK84">
        <v>0.27999999999999969</v>
      </c>
      <c r="AO84">
        <v>41789</v>
      </c>
      <c r="AP84">
        <v>0.88000000000000045</v>
      </c>
      <c r="AQ84">
        <v>0</v>
      </c>
      <c r="AR84">
        <v>0</v>
      </c>
      <c r="AS84">
        <v>0.11999999999999955</v>
      </c>
      <c r="AV84">
        <v>41796</v>
      </c>
      <c r="AW84">
        <v>0.18</v>
      </c>
      <c r="AX84">
        <v>0.3</v>
      </c>
      <c r="AY84">
        <v>0.50000000000000011</v>
      </c>
      <c r="AZ84">
        <v>1.9999999999999907E-2</v>
      </c>
      <c r="BC84">
        <v>41278</v>
      </c>
      <c r="BD84">
        <v>0.1</v>
      </c>
      <c r="BE84">
        <v>0.68000000000000027</v>
      </c>
      <c r="BF84">
        <v>0.06</v>
      </c>
      <c r="BG84">
        <v>0.15999999999999975</v>
      </c>
    </row>
    <row r="85" spans="1:59" x14ac:dyDescent="0.3">
      <c r="A85">
        <v>42132</v>
      </c>
      <c r="B85">
        <v>0.36000000000000004</v>
      </c>
      <c r="C85">
        <v>0.25999999999999995</v>
      </c>
      <c r="D85">
        <v>0.19999999999999998</v>
      </c>
      <c r="E85">
        <v>0.17999999999999997</v>
      </c>
      <c r="J85">
        <v>42004</v>
      </c>
      <c r="K85">
        <v>0.4200000000000001</v>
      </c>
      <c r="L85">
        <v>0</v>
      </c>
      <c r="M85">
        <v>0.46000000000000013</v>
      </c>
      <c r="N85">
        <v>0.11999999999999972</v>
      </c>
      <c r="R85">
        <v>42657</v>
      </c>
      <c r="S85">
        <v>0.74000000000000032</v>
      </c>
      <c r="T85">
        <v>0.02</v>
      </c>
      <c r="U85">
        <v>0</v>
      </c>
      <c r="V85">
        <v>0.23999999999999969</v>
      </c>
      <c r="Z85">
        <v>42433</v>
      </c>
      <c r="AA85">
        <v>0.38000000000000006</v>
      </c>
      <c r="AB85">
        <v>0.50000000000000011</v>
      </c>
      <c r="AC85">
        <v>0</v>
      </c>
      <c r="AD85">
        <v>0.11999999999999977</v>
      </c>
      <c r="AG85">
        <v>42369</v>
      </c>
      <c r="AH85">
        <v>0</v>
      </c>
      <c r="AI85">
        <v>0</v>
      </c>
      <c r="AJ85">
        <v>0.72000000000000031</v>
      </c>
      <c r="AK85">
        <v>0.27999999999999969</v>
      </c>
      <c r="AO85">
        <v>41796</v>
      </c>
      <c r="AP85">
        <v>0.88000000000000045</v>
      </c>
      <c r="AQ85">
        <v>0</v>
      </c>
      <c r="AR85">
        <v>0</v>
      </c>
      <c r="AS85">
        <v>0.11999999999999955</v>
      </c>
      <c r="AV85">
        <v>41803</v>
      </c>
      <c r="AW85">
        <v>0.14000000000000001</v>
      </c>
      <c r="AX85">
        <v>0.36000000000000004</v>
      </c>
      <c r="AY85">
        <v>0.46000000000000013</v>
      </c>
      <c r="AZ85">
        <v>3.9999999999999813E-2</v>
      </c>
      <c r="BC85">
        <v>41285</v>
      </c>
      <c r="BD85">
        <v>0.3</v>
      </c>
      <c r="BE85">
        <v>0.1</v>
      </c>
      <c r="BF85">
        <v>0.44000000000000011</v>
      </c>
      <c r="BG85">
        <v>0.15999999999999986</v>
      </c>
    </row>
    <row r="86" spans="1:59" x14ac:dyDescent="0.3">
      <c r="A86">
        <v>42139</v>
      </c>
      <c r="B86">
        <v>0.38000000000000006</v>
      </c>
      <c r="C86">
        <v>0.18</v>
      </c>
      <c r="D86">
        <v>0.25999999999999995</v>
      </c>
      <c r="E86">
        <v>0.17999999999999994</v>
      </c>
      <c r="J86">
        <v>42013</v>
      </c>
      <c r="K86">
        <v>0.40000000000000008</v>
      </c>
      <c r="L86">
        <v>0</v>
      </c>
      <c r="M86">
        <v>0.56000000000000016</v>
      </c>
      <c r="N86">
        <v>3.9999999999999702E-2</v>
      </c>
      <c r="R86">
        <v>42664</v>
      </c>
      <c r="S86">
        <v>0.72000000000000031</v>
      </c>
      <c r="T86">
        <v>0.12000000000000001</v>
      </c>
      <c r="U86">
        <v>0</v>
      </c>
      <c r="V86">
        <v>0.1599999999999997</v>
      </c>
      <c r="Z86">
        <v>42440</v>
      </c>
      <c r="AA86">
        <v>0.38000000000000006</v>
      </c>
      <c r="AB86">
        <v>0.50000000000000011</v>
      </c>
      <c r="AC86">
        <v>0</v>
      </c>
      <c r="AD86">
        <v>0.11999999999999977</v>
      </c>
      <c r="AG86">
        <v>42377</v>
      </c>
      <c r="AH86">
        <v>0</v>
      </c>
      <c r="AI86">
        <v>0</v>
      </c>
      <c r="AJ86">
        <v>0.72000000000000031</v>
      </c>
      <c r="AK86">
        <v>0.27999999999999969</v>
      </c>
      <c r="AO86">
        <v>41803</v>
      </c>
      <c r="AP86">
        <v>0.90000000000000047</v>
      </c>
      <c r="AQ86">
        <v>0</v>
      </c>
      <c r="AR86">
        <v>0</v>
      </c>
      <c r="AS86">
        <v>9.9999999999999534E-2</v>
      </c>
      <c r="AV86">
        <v>41810</v>
      </c>
      <c r="AW86">
        <v>0.1</v>
      </c>
      <c r="AX86">
        <v>0.40000000000000008</v>
      </c>
      <c r="AY86">
        <v>0.4200000000000001</v>
      </c>
      <c r="AZ86">
        <v>7.9999999999999849E-2</v>
      </c>
      <c r="BC86">
        <v>41292</v>
      </c>
      <c r="BD86">
        <v>0.32</v>
      </c>
      <c r="BE86">
        <v>0</v>
      </c>
      <c r="BF86">
        <v>0.50000000000000011</v>
      </c>
      <c r="BG86">
        <v>0.17999999999999983</v>
      </c>
    </row>
    <row r="87" spans="1:59" x14ac:dyDescent="0.3">
      <c r="A87">
        <v>42146</v>
      </c>
      <c r="B87">
        <v>0.38000000000000006</v>
      </c>
      <c r="C87">
        <v>0.14000000000000001</v>
      </c>
      <c r="D87">
        <v>0.3</v>
      </c>
      <c r="E87">
        <v>0.17999999999999988</v>
      </c>
      <c r="J87">
        <v>42020</v>
      </c>
      <c r="K87">
        <v>0.36000000000000004</v>
      </c>
      <c r="L87">
        <v>0</v>
      </c>
      <c r="M87">
        <v>0.58000000000000018</v>
      </c>
      <c r="N87">
        <v>5.999999999999972E-2</v>
      </c>
      <c r="R87">
        <v>42671</v>
      </c>
      <c r="S87">
        <v>0.72000000000000031</v>
      </c>
      <c r="T87">
        <v>0.12000000000000001</v>
      </c>
      <c r="U87">
        <v>0</v>
      </c>
      <c r="V87">
        <v>0.1599999999999997</v>
      </c>
      <c r="Z87">
        <v>42447</v>
      </c>
      <c r="AA87">
        <v>0.66000000000000025</v>
      </c>
      <c r="AB87">
        <v>0.27999999999999997</v>
      </c>
      <c r="AC87">
        <v>0</v>
      </c>
      <c r="AD87">
        <v>5.9999999999999776E-2</v>
      </c>
      <c r="AG87">
        <v>42384</v>
      </c>
      <c r="AH87">
        <v>0</v>
      </c>
      <c r="AI87">
        <v>0</v>
      </c>
      <c r="AJ87">
        <v>0.68000000000000027</v>
      </c>
      <c r="AK87">
        <v>0.31999999999999973</v>
      </c>
      <c r="AO87">
        <v>41810</v>
      </c>
      <c r="AP87">
        <v>0.74000000000000032</v>
      </c>
      <c r="AQ87">
        <v>0</v>
      </c>
      <c r="AR87">
        <v>0</v>
      </c>
      <c r="AS87">
        <v>0.25999999999999968</v>
      </c>
      <c r="AV87">
        <v>41817</v>
      </c>
      <c r="AW87">
        <v>0.1</v>
      </c>
      <c r="AX87">
        <v>0.34</v>
      </c>
      <c r="AY87">
        <v>0.48000000000000015</v>
      </c>
      <c r="AZ87">
        <v>7.9999999999999905E-2</v>
      </c>
      <c r="BC87">
        <v>41299</v>
      </c>
      <c r="BD87">
        <v>0.25999999999999995</v>
      </c>
      <c r="BE87">
        <v>0</v>
      </c>
      <c r="BF87">
        <v>0.52000000000000013</v>
      </c>
      <c r="BG87">
        <v>0.21999999999999986</v>
      </c>
    </row>
    <row r="88" spans="1:59" x14ac:dyDescent="0.3">
      <c r="A88">
        <v>42153</v>
      </c>
      <c r="B88">
        <v>0.38000000000000006</v>
      </c>
      <c r="C88">
        <v>0.14000000000000001</v>
      </c>
      <c r="D88">
        <v>0.3</v>
      </c>
      <c r="E88">
        <v>0.17999999999999988</v>
      </c>
      <c r="J88">
        <v>42027</v>
      </c>
      <c r="K88">
        <v>0.3</v>
      </c>
      <c r="L88">
        <v>0</v>
      </c>
      <c r="M88">
        <v>0.56000000000000016</v>
      </c>
      <c r="N88">
        <v>0.13999999999999979</v>
      </c>
      <c r="R88">
        <v>42678</v>
      </c>
      <c r="S88">
        <v>0.72000000000000031</v>
      </c>
      <c r="T88">
        <v>0.12000000000000001</v>
      </c>
      <c r="U88">
        <v>0</v>
      </c>
      <c r="V88">
        <v>0.1599999999999997</v>
      </c>
      <c r="Z88">
        <v>42454</v>
      </c>
      <c r="AA88">
        <v>0.64000000000000024</v>
      </c>
      <c r="AB88">
        <v>0.21999999999999997</v>
      </c>
      <c r="AC88">
        <v>0</v>
      </c>
      <c r="AD88">
        <v>0.13999999999999979</v>
      </c>
      <c r="AG88">
        <v>42391</v>
      </c>
      <c r="AH88">
        <v>0</v>
      </c>
      <c r="AI88">
        <v>0</v>
      </c>
      <c r="AJ88">
        <v>0.72000000000000031</v>
      </c>
      <c r="AK88">
        <v>0.27999999999999969</v>
      </c>
      <c r="AO88">
        <v>41817</v>
      </c>
      <c r="AP88">
        <v>0.72000000000000031</v>
      </c>
      <c r="AQ88">
        <v>0</v>
      </c>
      <c r="AR88">
        <v>0</v>
      </c>
      <c r="AS88">
        <v>0.27999999999999969</v>
      </c>
      <c r="AV88">
        <v>41824</v>
      </c>
      <c r="AW88">
        <v>0.04</v>
      </c>
      <c r="AX88">
        <v>0.64000000000000024</v>
      </c>
      <c r="AY88">
        <v>0.19999999999999998</v>
      </c>
      <c r="AZ88">
        <v>0.11999999999999975</v>
      </c>
      <c r="BC88">
        <v>41306</v>
      </c>
      <c r="BD88">
        <v>0.25999999999999995</v>
      </c>
      <c r="BE88">
        <v>0</v>
      </c>
      <c r="BF88">
        <v>0.50000000000000011</v>
      </c>
      <c r="BG88">
        <v>0.23999999999999988</v>
      </c>
    </row>
    <row r="89" spans="1:59" x14ac:dyDescent="0.3">
      <c r="A89">
        <v>42160</v>
      </c>
      <c r="B89">
        <v>0.34</v>
      </c>
      <c r="C89">
        <v>0.21999999999999997</v>
      </c>
      <c r="D89">
        <v>0.25999999999999995</v>
      </c>
      <c r="E89">
        <v>0.18</v>
      </c>
      <c r="J89">
        <v>42034</v>
      </c>
      <c r="K89">
        <v>0.32</v>
      </c>
      <c r="L89">
        <v>0</v>
      </c>
      <c r="M89">
        <v>0.54000000000000015</v>
      </c>
      <c r="N89">
        <v>0.13999999999999979</v>
      </c>
      <c r="R89">
        <v>42685</v>
      </c>
      <c r="S89">
        <v>0.74000000000000032</v>
      </c>
      <c r="T89">
        <v>0.1</v>
      </c>
      <c r="U89">
        <v>0</v>
      </c>
      <c r="V89">
        <v>0.15999999999999967</v>
      </c>
      <c r="Z89">
        <v>42461</v>
      </c>
      <c r="AA89">
        <v>0.62000000000000022</v>
      </c>
      <c r="AB89">
        <v>0.23999999999999996</v>
      </c>
      <c r="AC89">
        <v>0</v>
      </c>
      <c r="AD89">
        <v>0.13999999999999982</v>
      </c>
      <c r="AG89">
        <v>42398</v>
      </c>
      <c r="AH89">
        <v>0</v>
      </c>
      <c r="AI89">
        <v>0</v>
      </c>
      <c r="AJ89">
        <v>0.72000000000000031</v>
      </c>
      <c r="AK89">
        <v>0.27999999999999969</v>
      </c>
      <c r="AO89">
        <v>41824</v>
      </c>
      <c r="AP89">
        <v>0.74000000000000032</v>
      </c>
      <c r="AQ89">
        <v>0</v>
      </c>
      <c r="AR89">
        <v>0</v>
      </c>
      <c r="AS89">
        <v>0.25999999999999968</v>
      </c>
      <c r="AV89">
        <v>41831</v>
      </c>
      <c r="AW89">
        <v>0.08</v>
      </c>
      <c r="AX89">
        <v>0.4200000000000001</v>
      </c>
      <c r="AY89">
        <v>0.38000000000000006</v>
      </c>
      <c r="AZ89">
        <v>0.11999999999999988</v>
      </c>
      <c r="BC89">
        <v>41313</v>
      </c>
      <c r="BD89">
        <v>0.25999999999999995</v>
      </c>
      <c r="BE89">
        <v>0</v>
      </c>
      <c r="BF89">
        <v>0.4200000000000001</v>
      </c>
      <c r="BG89">
        <v>0.3199999999999999</v>
      </c>
    </row>
    <row r="90" spans="1:59" x14ac:dyDescent="0.3">
      <c r="A90">
        <v>42167</v>
      </c>
      <c r="B90">
        <v>0.34</v>
      </c>
      <c r="C90">
        <v>0.23999999999999996</v>
      </c>
      <c r="D90">
        <v>0.23999999999999996</v>
      </c>
      <c r="E90">
        <v>0.17999999999999997</v>
      </c>
      <c r="J90">
        <v>42041</v>
      </c>
      <c r="K90">
        <v>0.25999999999999995</v>
      </c>
      <c r="L90">
        <v>0</v>
      </c>
      <c r="M90">
        <v>0.58000000000000018</v>
      </c>
      <c r="N90">
        <v>0.15999999999999981</v>
      </c>
      <c r="R90">
        <v>42692</v>
      </c>
      <c r="S90">
        <v>0.74000000000000032</v>
      </c>
      <c r="T90">
        <v>0.1</v>
      </c>
      <c r="U90">
        <v>0</v>
      </c>
      <c r="V90">
        <v>0.15999999999999967</v>
      </c>
      <c r="Z90">
        <v>42468</v>
      </c>
      <c r="AA90">
        <v>0.6000000000000002</v>
      </c>
      <c r="AB90">
        <v>0.25999999999999995</v>
      </c>
      <c r="AC90">
        <v>0</v>
      </c>
      <c r="AD90">
        <v>0.13999999999999985</v>
      </c>
      <c r="AG90">
        <v>42405</v>
      </c>
      <c r="AH90">
        <v>0</v>
      </c>
      <c r="AI90">
        <v>0</v>
      </c>
      <c r="AJ90">
        <v>0.74000000000000032</v>
      </c>
      <c r="AK90">
        <v>0.25999999999999968</v>
      </c>
      <c r="AO90">
        <v>41831</v>
      </c>
      <c r="AP90">
        <v>0.76000000000000034</v>
      </c>
      <c r="AQ90">
        <v>0</v>
      </c>
      <c r="AR90">
        <v>0</v>
      </c>
      <c r="AS90">
        <v>0.23999999999999966</v>
      </c>
      <c r="AV90">
        <v>41838</v>
      </c>
      <c r="AW90">
        <v>0.1</v>
      </c>
      <c r="AX90">
        <v>0.27999999999999997</v>
      </c>
      <c r="AY90">
        <v>0.48000000000000015</v>
      </c>
      <c r="AZ90">
        <v>0.13999999999999996</v>
      </c>
      <c r="BC90">
        <v>41327</v>
      </c>
      <c r="BD90">
        <v>0.23999999999999996</v>
      </c>
      <c r="BE90">
        <v>0</v>
      </c>
      <c r="BF90">
        <v>0.46000000000000013</v>
      </c>
      <c r="BG90">
        <v>0.29999999999999988</v>
      </c>
    </row>
    <row r="91" spans="1:59" x14ac:dyDescent="0.3">
      <c r="A91">
        <v>42174</v>
      </c>
      <c r="B91">
        <v>0.34</v>
      </c>
      <c r="C91">
        <v>0.23999999999999996</v>
      </c>
      <c r="D91">
        <v>0.23999999999999996</v>
      </c>
      <c r="E91">
        <v>0.17999999999999997</v>
      </c>
      <c r="J91">
        <v>42048</v>
      </c>
      <c r="K91">
        <v>0.27999999999999997</v>
      </c>
      <c r="L91">
        <v>0</v>
      </c>
      <c r="M91">
        <v>0.56000000000000016</v>
      </c>
      <c r="N91">
        <v>0.15999999999999981</v>
      </c>
      <c r="R91">
        <v>42699</v>
      </c>
      <c r="S91">
        <v>0.72000000000000031</v>
      </c>
      <c r="T91">
        <v>0.21999999999999997</v>
      </c>
      <c r="U91">
        <v>0</v>
      </c>
      <c r="V91">
        <v>5.999999999999972E-2</v>
      </c>
      <c r="Z91">
        <v>42475</v>
      </c>
      <c r="AA91">
        <v>0.76000000000000034</v>
      </c>
      <c r="AB91">
        <v>0.14000000000000001</v>
      </c>
      <c r="AC91">
        <v>0</v>
      </c>
      <c r="AD91">
        <v>9.9999999999999645E-2</v>
      </c>
      <c r="AG91">
        <v>42419</v>
      </c>
      <c r="AH91">
        <v>0</v>
      </c>
      <c r="AI91">
        <v>0</v>
      </c>
      <c r="AJ91">
        <v>0.72000000000000031</v>
      </c>
      <c r="AK91">
        <v>0.27999999999999969</v>
      </c>
      <c r="AO91">
        <v>41838</v>
      </c>
      <c r="AP91">
        <v>0.66000000000000025</v>
      </c>
      <c r="AQ91">
        <v>0</v>
      </c>
      <c r="AR91">
        <v>0</v>
      </c>
      <c r="AS91">
        <v>0.33999999999999975</v>
      </c>
      <c r="AV91">
        <v>41845</v>
      </c>
      <c r="AW91">
        <v>0.21999999999999997</v>
      </c>
      <c r="AX91">
        <v>0</v>
      </c>
      <c r="AY91">
        <v>0.66000000000000025</v>
      </c>
      <c r="AZ91">
        <v>0.11999999999999977</v>
      </c>
      <c r="BC91">
        <v>41334</v>
      </c>
      <c r="BD91">
        <v>0.1</v>
      </c>
      <c r="BE91">
        <v>0</v>
      </c>
      <c r="BF91">
        <v>0.56000000000000016</v>
      </c>
      <c r="BG91">
        <v>0.33999999999999986</v>
      </c>
    </row>
    <row r="92" spans="1:59" x14ac:dyDescent="0.3">
      <c r="A92">
        <v>42181</v>
      </c>
      <c r="B92">
        <v>0.23999999999999996</v>
      </c>
      <c r="C92">
        <v>0.32</v>
      </c>
      <c r="D92">
        <v>0.19999999999999998</v>
      </c>
      <c r="E92">
        <v>0.24000000000000002</v>
      </c>
      <c r="J92">
        <v>42052</v>
      </c>
      <c r="K92">
        <v>0.27999999999999997</v>
      </c>
      <c r="L92">
        <v>0</v>
      </c>
      <c r="M92">
        <v>0.52000000000000013</v>
      </c>
      <c r="N92">
        <v>0.19999999999999984</v>
      </c>
      <c r="R92">
        <v>42706</v>
      </c>
      <c r="S92">
        <v>0.54000000000000015</v>
      </c>
      <c r="T92">
        <v>0.32</v>
      </c>
      <c r="U92">
        <v>0</v>
      </c>
      <c r="V92">
        <v>0.13999999999999985</v>
      </c>
      <c r="Z92">
        <v>42482</v>
      </c>
      <c r="AA92">
        <v>0.74000000000000032</v>
      </c>
      <c r="AB92">
        <v>0.16</v>
      </c>
      <c r="AC92">
        <v>0</v>
      </c>
      <c r="AD92">
        <v>9.9999999999999672E-2</v>
      </c>
      <c r="AG92">
        <v>42426</v>
      </c>
      <c r="AH92">
        <v>0</v>
      </c>
      <c r="AI92">
        <v>0</v>
      </c>
      <c r="AJ92">
        <v>0.70000000000000029</v>
      </c>
      <c r="AK92">
        <v>0.29999999999999971</v>
      </c>
      <c r="AO92">
        <v>41845</v>
      </c>
      <c r="AP92">
        <v>0.58000000000000018</v>
      </c>
      <c r="AQ92">
        <v>0</v>
      </c>
      <c r="AR92">
        <v>0</v>
      </c>
      <c r="AS92">
        <v>0.41999999999999982</v>
      </c>
      <c r="AV92">
        <v>41852</v>
      </c>
      <c r="AW92">
        <v>0.18</v>
      </c>
      <c r="AX92">
        <v>0.32</v>
      </c>
      <c r="AY92">
        <v>0.4200000000000001</v>
      </c>
      <c r="AZ92">
        <v>7.9999999999999905E-2</v>
      </c>
      <c r="BC92">
        <v>41341</v>
      </c>
      <c r="BD92">
        <v>0</v>
      </c>
      <c r="BE92">
        <v>0.25999999999999995</v>
      </c>
      <c r="BF92">
        <v>0.36000000000000004</v>
      </c>
      <c r="BG92">
        <v>0.37999999999999995</v>
      </c>
    </row>
    <row r="93" spans="1:59" x14ac:dyDescent="0.3">
      <c r="A93">
        <v>42188</v>
      </c>
      <c r="B93">
        <v>0.3</v>
      </c>
      <c r="C93">
        <v>0.27999999999999997</v>
      </c>
      <c r="D93">
        <v>0.21999999999999997</v>
      </c>
      <c r="E93">
        <v>0.2</v>
      </c>
      <c r="J93">
        <v>42062</v>
      </c>
      <c r="K93">
        <v>0.40000000000000008</v>
      </c>
      <c r="L93">
        <v>0</v>
      </c>
      <c r="M93">
        <v>0.44000000000000011</v>
      </c>
      <c r="N93">
        <v>0.15999999999999975</v>
      </c>
      <c r="R93">
        <v>42713</v>
      </c>
      <c r="S93">
        <v>0.48000000000000015</v>
      </c>
      <c r="T93">
        <v>0.38000000000000006</v>
      </c>
      <c r="U93">
        <v>0</v>
      </c>
      <c r="V93">
        <v>0.13999999999999974</v>
      </c>
      <c r="Z93">
        <v>42489</v>
      </c>
      <c r="AA93">
        <v>0.6000000000000002</v>
      </c>
      <c r="AB93">
        <v>0.27999999999999997</v>
      </c>
      <c r="AC93">
        <v>0</v>
      </c>
      <c r="AD93">
        <v>0.11999999999999983</v>
      </c>
      <c r="AG93">
        <v>42433</v>
      </c>
      <c r="AH93">
        <v>0</v>
      </c>
      <c r="AI93">
        <v>0</v>
      </c>
      <c r="AJ93">
        <v>0.68000000000000027</v>
      </c>
      <c r="AK93">
        <v>0.31999999999999973</v>
      </c>
      <c r="AO93">
        <v>41852</v>
      </c>
      <c r="AP93">
        <v>0.58000000000000018</v>
      </c>
      <c r="AQ93">
        <v>0.02</v>
      </c>
      <c r="AR93">
        <v>0</v>
      </c>
      <c r="AS93">
        <v>0.3999999999999998</v>
      </c>
      <c r="AV93">
        <v>41859</v>
      </c>
      <c r="AW93">
        <v>0.16</v>
      </c>
      <c r="AX93">
        <v>0.27999999999999997</v>
      </c>
      <c r="AY93">
        <v>0.46000000000000013</v>
      </c>
      <c r="AZ93">
        <v>9.9999999999999922E-2</v>
      </c>
      <c r="BC93">
        <v>41348</v>
      </c>
      <c r="BD93">
        <v>0.02</v>
      </c>
      <c r="BE93">
        <v>0.06</v>
      </c>
      <c r="BF93">
        <v>0.52000000000000013</v>
      </c>
      <c r="BG93">
        <v>0.3999999999999998</v>
      </c>
    </row>
    <row r="94" spans="1:59" x14ac:dyDescent="0.3">
      <c r="A94">
        <v>42195</v>
      </c>
      <c r="B94">
        <v>0.3</v>
      </c>
      <c r="C94">
        <v>0.32</v>
      </c>
      <c r="D94">
        <v>0.19999999999999998</v>
      </c>
      <c r="E94">
        <v>0.17999999999999997</v>
      </c>
      <c r="J94">
        <v>42069</v>
      </c>
      <c r="K94">
        <v>0.18</v>
      </c>
      <c r="L94">
        <v>0.36000000000000004</v>
      </c>
      <c r="M94">
        <v>0.25999999999999995</v>
      </c>
      <c r="N94">
        <v>0.20000000000000007</v>
      </c>
      <c r="R94">
        <v>42720</v>
      </c>
      <c r="S94">
        <v>0.44000000000000011</v>
      </c>
      <c r="T94">
        <v>0.38000000000000006</v>
      </c>
      <c r="U94">
        <v>0</v>
      </c>
      <c r="V94">
        <v>0.17999999999999977</v>
      </c>
      <c r="Z94">
        <v>42496</v>
      </c>
      <c r="AA94">
        <v>0.64000000000000024</v>
      </c>
      <c r="AB94">
        <v>0.27999999999999997</v>
      </c>
      <c r="AC94">
        <v>0</v>
      </c>
      <c r="AD94">
        <v>7.9999999999999793E-2</v>
      </c>
      <c r="AG94">
        <v>42440</v>
      </c>
      <c r="AH94">
        <v>0.21999999999999997</v>
      </c>
      <c r="AI94">
        <v>0</v>
      </c>
      <c r="AJ94">
        <v>0.56000000000000016</v>
      </c>
      <c r="AK94">
        <v>0.21999999999999986</v>
      </c>
      <c r="AO94">
        <v>41859</v>
      </c>
      <c r="AP94">
        <v>0.44000000000000011</v>
      </c>
      <c r="AQ94">
        <v>0.16</v>
      </c>
      <c r="AR94">
        <v>0</v>
      </c>
      <c r="AS94">
        <v>0.3999999999999998</v>
      </c>
      <c r="AV94">
        <v>41866</v>
      </c>
      <c r="AW94">
        <v>0.18</v>
      </c>
      <c r="AX94">
        <v>0.34</v>
      </c>
      <c r="AY94">
        <v>0.34</v>
      </c>
      <c r="AZ94">
        <v>0.14000000000000001</v>
      </c>
      <c r="BC94">
        <v>41355</v>
      </c>
      <c r="BD94">
        <v>0.04</v>
      </c>
      <c r="BE94">
        <v>0.06</v>
      </c>
      <c r="BF94">
        <v>0.52000000000000013</v>
      </c>
      <c r="BG94">
        <v>0.37999999999999978</v>
      </c>
    </row>
    <row r="95" spans="1:59" x14ac:dyDescent="0.3">
      <c r="A95">
        <v>42202</v>
      </c>
      <c r="B95">
        <v>0.23999999999999996</v>
      </c>
      <c r="C95">
        <v>0.14000000000000001</v>
      </c>
      <c r="D95">
        <v>0.38000000000000006</v>
      </c>
      <c r="E95">
        <v>0.23999999999999994</v>
      </c>
      <c r="J95">
        <v>42076</v>
      </c>
      <c r="K95">
        <v>0.12000000000000001</v>
      </c>
      <c r="L95">
        <v>0.48000000000000015</v>
      </c>
      <c r="M95">
        <v>0.18</v>
      </c>
      <c r="N95">
        <v>0.21999999999999986</v>
      </c>
      <c r="R95">
        <v>42727</v>
      </c>
      <c r="S95">
        <v>0.68000000000000027</v>
      </c>
      <c r="T95">
        <v>0.3</v>
      </c>
      <c r="U95">
        <v>0</v>
      </c>
      <c r="V95">
        <v>1.999999999999974E-2</v>
      </c>
      <c r="Z95">
        <v>42503</v>
      </c>
      <c r="AA95">
        <v>0.64000000000000024</v>
      </c>
      <c r="AB95">
        <v>0.27999999999999997</v>
      </c>
      <c r="AC95">
        <v>0</v>
      </c>
      <c r="AD95">
        <v>7.9999999999999793E-2</v>
      </c>
      <c r="AG95">
        <v>42447</v>
      </c>
      <c r="AH95">
        <v>0.38000000000000006</v>
      </c>
      <c r="AI95">
        <v>0</v>
      </c>
      <c r="AJ95">
        <v>0.44000000000000011</v>
      </c>
      <c r="AK95">
        <v>0.17999999999999977</v>
      </c>
      <c r="AO95">
        <v>41866</v>
      </c>
      <c r="AP95">
        <v>0.46000000000000013</v>
      </c>
      <c r="AQ95">
        <v>0.14000000000000001</v>
      </c>
      <c r="AR95">
        <v>0</v>
      </c>
      <c r="AS95">
        <v>0.3999999999999998</v>
      </c>
      <c r="AV95">
        <v>41873</v>
      </c>
      <c r="AW95">
        <v>0.19999999999999998</v>
      </c>
      <c r="AX95">
        <v>0.38000000000000006</v>
      </c>
      <c r="AY95">
        <v>0.27999999999999997</v>
      </c>
      <c r="AZ95">
        <v>0.14000000000000001</v>
      </c>
      <c r="BC95">
        <v>41362</v>
      </c>
      <c r="BD95">
        <v>0.02</v>
      </c>
      <c r="BE95">
        <v>0</v>
      </c>
      <c r="BF95">
        <v>0.56000000000000016</v>
      </c>
      <c r="BG95">
        <v>0.41999999999999982</v>
      </c>
    </row>
    <row r="96" spans="1:59" x14ac:dyDescent="0.3">
      <c r="A96">
        <v>42209</v>
      </c>
      <c r="B96">
        <v>0.23999999999999996</v>
      </c>
      <c r="C96">
        <v>0.16</v>
      </c>
      <c r="D96">
        <v>0.36000000000000004</v>
      </c>
      <c r="E96">
        <v>0.23999999999999994</v>
      </c>
      <c r="J96">
        <v>42083</v>
      </c>
      <c r="K96">
        <v>0.16</v>
      </c>
      <c r="L96">
        <v>0.40000000000000008</v>
      </c>
      <c r="M96">
        <v>0.23999999999999996</v>
      </c>
      <c r="N96">
        <v>0.19999999999999993</v>
      </c>
      <c r="R96">
        <v>42734</v>
      </c>
      <c r="S96">
        <v>0.84000000000000041</v>
      </c>
      <c r="T96">
        <v>0.14000000000000001</v>
      </c>
      <c r="U96">
        <v>0</v>
      </c>
      <c r="V96">
        <v>1.9999999999999574E-2</v>
      </c>
      <c r="Z96">
        <v>42510</v>
      </c>
      <c r="AA96">
        <v>0.48000000000000015</v>
      </c>
      <c r="AB96">
        <v>0.48000000000000015</v>
      </c>
      <c r="AC96">
        <v>0</v>
      </c>
      <c r="AD96">
        <v>3.9999999999999647E-2</v>
      </c>
      <c r="AG96">
        <v>42454</v>
      </c>
      <c r="AH96">
        <v>0.34</v>
      </c>
      <c r="AI96">
        <v>0</v>
      </c>
      <c r="AJ96">
        <v>0.3</v>
      </c>
      <c r="AK96">
        <v>0.35999999999999993</v>
      </c>
      <c r="AO96">
        <v>41873</v>
      </c>
      <c r="AP96">
        <v>0.54000000000000015</v>
      </c>
      <c r="AQ96">
        <v>0</v>
      </c>
      <c r="AR96">
        <v>0</v>
      </c>
      <c r="AS96">
        <v>0.45999999999999985</v>
      </c>
      <c r="AV96">
        <v>41880</v>
      </c>
      <c r="AW96">
        <v>0.19999999999999998</v>
      </c>
      <c r="AX96">
        <v>0.36000000000000004</v>
      </c>
      <c r="AY96">
        <v>0.3</v>
      </c>
      <c r="AZ96">
        <v>0.14000000000000001</v>
      </c>
      <c r="BC96">
        <v>41367</v>
      </c>
      <c r="BD96">
        <v>0</v>
      </c>
      <c r="BE96">
        <v>0</v>
      </c>
      <c r="BF96">
        <v>0.58000000000000018</v>
      </c>
      <c r="BG96">
        <v>0.41999999999999982</v>
      </c>
    </row>
    <row r="97" spans="1:59" x14ac:dyDescent="0.3">
      <c r="A97">
        <v>42216</v>
      </c>
      <c r="B97">
        <v>0.23999999999999996</v>
      </c>
      <c r="C97">
        <v>0.19999999999999998</v>
      </c>
      <c r="D97">
        <v>0.32</v>
      </c>
      <c r="E97">
        <v>0.24000000000000005</v>
      </c>
      <c r="J97">
        <v>42090</v>
      </c>
      <c r="K97">
        <v>0.12000000000000001</v>
      </c>
      <c r="L97">
        <v>0.44000000000000011</v>
      </c>
      <c r="M97">
        <v>0.21999999999999997</v>
      </c>
      <c r="N97">
        <v>0.21999999999999992</v>
      </c>
      <c r="R97">
        <v>42741</v>
      </c>
      <c r="S97">
        <v>0.84000000000000041</v>
      </c>
      <c r="T97">
        <v>0.14000000000000001</v>
      </c>
      <c r="U97">
        <v>0</v>
      </c>
      <c r="V97">
        <v>1.9999999999999574E-2</v>
      </c>
      <c r="Z97">
        <v>42517</v>
      </c>
      <c r="AA97">
        <v>0.46000000000000013</v>
      </c>
      <c r="AB97">
        <v>0.50000000000000011</v>
      </c>
      <c r="AC97">
        <v>0</v>
      </c>
      <c r="AD97">
        <v>3.9999999999999702E-2</v>
      </c>
      <c r="AG97">
        <v>42461</v>
      </c>
      <c r="AH97">
        <v>0.27999999999999997</v>
      </c>
      <c r="AI97">
        <v>0</v>
      </c>
      <c r="AJ97">
        <v>0.34</v>
      </c>
      <c r="AK97">
        <v>0.37999999999999995</v>
      </c>
      <c r="AO97">
        <v>41880</v>
      </c>
      <c r="AP97">
        <v>0.56000000000000016</v>
      </c>
      <c r="AQ97">
        <v>0</v>
      </c>
      <c r="AR97">
        <v>0</v>
      </c>
      <c r="AS97">
        <v>0.43999999999999984</v>
      </c>
      <c r="AV97">
        <v>41887</v>
      </c>
      <c r="AW97">
        <v>0.19999999999999998</v>
      </c>
      <c r="AX97">
        <v>0.4200000000000001</v>
      </c>
      <c r="AY97">
        <v>0.27999999999999997</v>
      </c>
      <c r="AZ97">
        <v>9.9999999999999978E-2</v>
      </c>
      <c r="BC97">
        <v>41376</v>
      </c>
      <c r="BD97">
        <v>0</v>
      </c>
      <c r="BE97">
        <v>0</v>
      </c>
      <c r="BF97">
        <v>0.58000000000000018</v>
      </c>
      <c r="BG97">
        <v>0.41999999999999982</v>
      </c>
    </row>
    <row r="98" spans="1:59" x14ac:dyDescent="0.3">
      <c r="A98">
        <v>42223</v>
      </c>
      <c r="B98">
        <v>0.23999999999999996</v>
      </c>
      <c r="C98">
        <v>0.21999999999999997</v>
      </c>
      <c r="D98">
        <v>0.3</v>
      </c>
      <c r="E98">
        <v>0.24000000000000005</v>
      </c>
      <c r="J98">
        <v>42097</v>
      </c>
      <c r="K98">
        <v>0.14000000000000001</v>
      </c>
      <c r="L98">
        <v>0.4200000000000001</v>
      </c>
      <c r="M98">
        <v>0.21999999999999997</v>
      </c>
      <c r="N98">
        <v>0.21999999999999992</v>
      </c>
      <c r="R98">
        <v>42748</v>
      </c>
      <c r="S98">
        <v>0.84000000000000041</v>
      </c>
      <c r="T98">
        <v>0.14000000000000001</v>
      </c>
      <c r="U98">
        <v>0</v>
      </c>
      <c r="V98">
        <v>1.9999999999999574E-2</v>
      </c>
      <c r="Z98">
        <v>42524</v>
      </c>
      <c r="AA98">
        <v>0.46000000000000013</v>
      </c>
      <c r="AB98">
        <v>0.50000000000000011</v>
      </c>
      <c r="AC98">
        <v>0</v>
      </c>
      <c r="AD98">
        <v>3.9999999999999702E-2</v>
      </c>
      <c r="AG98">
        <v>42468</v>
      </c>
      <c r="AH98">
        <v>0.3</v>
      </c>
      <c r="AI98">
        <v>0</v>
      </c>
      <c r="AJ98">
        <v>0.34</v>
      </c>
      <c r="AK98">
        <v>0.35999999999999993</v>
      </c>
      <c r="AO98">
        <v>41887</v>
      </c>
      <c r="AP98">
        <v>0.54000000000000015</v>
      </c>
      <c r="AQ98">
        <v>0</v>
      </c>
      <c r="AR98">
        <v>0</v>
      </c>
      <c r="AS98">
        <v>0.45999999999999985</v>
      </c>
      <c r="AV98">
        <v>41894</v>
      </c>
      <c r="AW98">
        <v>0.18</v>
      </c>
      <c r="AX98">
        <v>0.54000000000000015</v>
      </c>
      <c r="AY98">
        <v>0.16</v>
      </c>
      <c r="AZ98">
        <v>0.11999999999999991</v>
      </c>
      <c r="BC98">
        <v>41383</v>
      </c>
      <c r="BD98">
        <v>0</v>
      </c>
      <c r="BE98">
        <v>0</v>
      </c>
      <c r="BF98">
        <v>0.58000000000000018</v>
      </c>
      <c r="BG98">
        <v>0.41999999999999982</v>
      </c>
    </row>
    <row r="99" spans="1:59" x14ac:dyDescent="0.3">
      <c r="A99">
        <v>42230</v>
      </c>
      <c r="B99">
        <v>0.25999999999999995</v>
      </c>
      <c r="C99">
        <v>0.19999999999999998</v>
      </c>
      <c r="D99">
        <v>0.3</v>
      </c>
      <c r="E99">
        <v>0.24000000000000005</v>
      </c>
      <c r="J99">
        <v>42104</v>
      </c>
      <c r="K99">
        <v>0.18</v>
      </c>
      <c r="L99">
        <v>0.38000000000000006</v>
      </c>
      <c r="M99">
        <v>0.23999999999999996</v>
      </c>
      <c r="N99">
        <v>0.20000000000000004</v>
      </c>
      <c r="R99">
        <v>42755</v>
      </c>
      <c r="S99">
        <v>0.86000000000000043</v>
      </c>
      <c r="T99">
        <v>0.12000000000000001</v>
      </c>
      <c r="U99">
        <v>0</v>
      </c>
      <c r="V99">
        <v>1.999999999999956E-2</v>
      </c>
      <c r="Z99">
        <v>42529</v>
      </c>
      <c r="AA99">
        <v>0.4200000000000001</v>
      </c>
      <c r="AB99">
        <v>0.48000000000000015</v>
      </c>
      <c r="AC99">
        <v>0</v>
      </c>
      <c r="AD99">
        <v>9.99999999999997E-2</v>
      </c>
      <c r="AG99">
        <v>42475</v>
      </c>
      <c r="AH99">
        <v>0.19999999999999998</v>
      </c>
      <c r="AI99">
        <v>0</v>
      </c>
      <c r="AJ99">
        <v>0.38000000000000006</v>
      </c>
      <c r="AK99">
        <v>0.42</v>
      </c>
      <c r="AO99">
        <v>41894</v>
      </c>
      <c r="AP99">
        <v>0.52000000000000013</v>
      </c>
      <c r="AQ99">
        <v>0</v>
      </c>
      <c r="AR99">
        <v>0</v>
      </c>
      <c r="AS99">
        <v>0.47999999999999987</v>
      </c>
      <c r="AV99">
        <v>41901</v>
      </c>
      <c r="AW99">
        <v>0.19999999999999998</v>
      </c>
      <c r="AX99">
        <v>0.48000000000000015</v>
      </c>
      <c r="AY99">
        <v>0.19999999999999998</v>
      </c>
      <c r="AZ99">
        <v>0.11999999999999991</v>
      </c>
      <c r="BC99">
        <v>41390</v>
      </c>
      <c r="BD99">
        <v>0</v>
      </c>
      <c r="BE99">
        <v>0</v>
      </c>
      <c r="BF99">
        <v>0.56000000000000016</v>
      </c>
      <c r="BG99">
        <v>0.43999999999999984</v>
      </c>
    </row>
    <row r="100" spans="1:59" x14ac:dyDescent="0.3">
      <c r="A100">
        <v>42237</v>
      </c>
      <c r="B100">
        <v>0.23999999999999996</v>
      </c>
      <c r="C100">
        <v>0.23999999999999996</v>
      </c>
      <c r="D100">
        <v>0.3</v>
      </c>
      <c r="E100">
        <v>0.22000000000000003</v>
      </c>
      <c r="J100">
        <v>42111</v>
      </c>
      <c r="K100">
        <v>0.16</v>
      </c>
      <c r="L100">
        <v>0.36000000000000004</v>
      </c>
      <c r="M100">
        <v>0.25999999999999995</v>
      </c>
      <c r="N100">
        <v>0.21999999999999997</v>
      </c>
      <c r="R100">
        <v>42761</v>
      </c>
      <c r="S100">
        <v>0.84000000000000041</v>
      </c>
      <c r="T100">
        <v>0.14000000000000001</v>
      </c>
      <c r="U100">
        <v>0</v>
      </c>
      <c r="V100">
        <v>1.9999999999999574E-2</v>
      </c>
      <c r="Z100">
        <v>42538</v>
      </c>
      <c r="AA100">
        <v>0.4200000000000001</v>
      </c>
      <c r="AB100">
        <v>0.48000000000000015</v>
      </c>
      <c r="AC100">
        <v>0</v>
      </c>
      <c r="AD100">
        <v>9.99999999999997E-2</v>
      </c>
      <c r="AG100">
        <v>42482</v>
      </c>
      <c r="AH100">
        <v>0.18</v>
      </c>
      <c r="AI100">
        <v>0.04</v>
      </c>
      <c r="AJ100">
        <v>0.32</v>
      </c>
      <c r="AK100">
        <v>0.46</v>
      </c>
      <c r="AO100">
        <v>41901</v>
      </c>
      <c r="AP100">
        <v>0.52000000000000013</v>
      </c>
      <c r="AQ100">
        <v>0</v>
      </c>
      <c r="AR100">
        <v>0</v>
      </c>
      <c r="AS100">
        <v>0.47999999999999987</v>
      </c>
      <c r="AV100">
        <v>41908</v>
      </c>
      <c r="AW100">
        <v>0.19999999999999998</v>
      </c>
      <c r="AX100">
        <v>0.46000000000000013</v>
      </c>
      <c r="AY100">
        <v>0.21999999999999997</v>
      </c>
      <c r="AZ100">
        <v>0.11999999999999994</v>
      </c>
      <c r="BC100">
        <v>41397</v>
      </c>
      <c r="BD100">
        <v>0</v>
      </c>
      <c r="BE100">
        <v>0</v>
      </c>
      <c r="BF100">
        <v>0.56000000000000016</v>
      </c>
      <c r="BG100">
        <v>0.43999999999999984</v>
      </c>
    </row>
    <row r="101" spans="1:59" x14ac:dyDescent="0.3">
      <c r="A101">
        <v>42244</v>
      </c>
      <c r="B101">
        <v>0</v>
      </c>
      <c r="C101">
        <v>0.44000000000000011</v>
      </c>
      <c r="D101">
        <v>0.14000000000000001</v>
      </c>
      <c r="E101">
        <v>0.41999999999999982</v>
      </c>
      <c r="J101">
        <v>42118</v>
      </c>
      <c r="K101">
        <v>0.25999999999999995</v>
      </c>
      <c r="L101">
        <v>0.23999999999999996</v>
      </c>
      <c r="M101">
        <v>0.32</v>
      </c>
      <c r="N101">
        <v>0.18</v>
      </c>
      <c r="R101">
        <v>42769</v>
      </c>
      <c r="S101">
        <v>0.80000000000000038</v>
      </c>
      <c r="T101">
        <v>0.16</v>
      </c>
      <c r="U101">
        <v>0</v>
      </c>
      <c r="V101">
        <v>3.9999999999999619E-2</v>
      </c>
      <c r="Z101">
        <v>42545</v>
      </c>
      <c r="AA101">
        <v>0.52000000000000013</v>
      </c>
      <c r="AB101">
        <v>0.4200000000000001</v>
      </c>
      <c r="AC101">
        <v>0</v>
      </c>
      <c r="AD101">
        <v>5.9999999999999776E-2</v>
      </c>
      <c r="AG101">
        <v>42489</v>
      </c>
      <c r="AH101">
        <v>0</v>
      </c>
      <c r="AI101">
        <v>0.3</v>
      </c>
      <c r="AJ101">
        <v>0.18</v>
      </c>
      <c r="AK101">
        <v>0.52</v>
      </c>
      <c r="AO101">
        <v>41908</v>
      </c>
      <c r="AP101">
        <v>0.52000000000000013</v>
      </c>
      <c r="AQ101">
        <v>0</v>
      </c>
      <c r="AR101">
        <v>0</v>
      </c>
      <c r="AS101">
        <v>0.47999999999999987</v>
      </c>
      <c r="AV101">
        <v>41912</v>
      </c>
      <c r="AW101">
        <v>0.19999999999999998</v>
      </c>
      <c r="AX101">
        <v>0.54000000000000015</v>
      </c>
      <c r="AY101">
        <v>0.19999999999999998</v>
      </c>
      <c r="AZ101">
        <v>5.9999999999999915E-2</v>
      </c>
      <c r="BC101">
        <v>41404</v>
      </c>
      <c r="BD101">
        <v>0</v>
      </c>
      <c r="BE101">
        <v>0</v>
      </c>
      <c r="BF101">
        <v>0.54000000000000015</v>
      </c>
      <c r="BG101">
        <v>0.45999999999999985</v>
      </c>
    </row>
    <row r="102" spans="1:59" x14ac:dyDescent="0.3">
      <c r="A102">
        <v>42249</v>
      </c>
      <c r="B102">
        <v>0</v>
      </c>
      <c r="C102">
        <v>0.50000000000000011</v>
      </c>
      <c r="D102">
        <v>0.1</v>
      </c>
      <c r="E102">
        <v>0.39999999999999991</v>
      </c>
      <c r="J102">
        <v>42124</v>
      </c>
      <c r="K102">
        <v>0.23999999999999996</v>
      </c>
      <c r="L102">
        <v>0.25999999999999995</v>
      </c>
      <c r="M102">
        <v>0.32</v>
      </c>
      <c r="N102">
        <v>0.18</v>
      </c>
      <c r="R102">
        <v>42776</v>
      </c>
      <c r="S102">
        <v>0.76000000000000034</v>
      </c>
      <c r="T102">
        <v>0.18</v>
      </c>
      <c r="U102">
        <v>0</v>
      </c>
      <c r="V102">
        <v>5.9999999999999665E-2</v>
      </c>
      <c r="Z102">
        <v>42552</v>
      </c>
      <c r="AA102">
        <v>0.52000000000000013</v>
      </c>
      <c r="AB102">
        <v>0.4200000000000001</v>
      </c>
      <c r="AC102">
        <v>0</v>
      </c>
      <c r="AD102">
        <v>5.9999999999999776E-2</v>
      </c>
      <c r="AG102">
        <v>42496</v>
      </c>
      <c r="AH102">
        <v>0</v>
      </c>
      <c r="AI102">
        <v>0.50000000000000011</v>
      </c>
      <c r="AJ102">
        <v>0.04</v>
      </c>
      <c r="AK102">
        <v>0.45999999999999991</v>
      </c>
      <c r="AO102">
        <v>41912</v>
      </c>
      <c r="AP102">
        <v>0.52000000000000013</v>
      </c>
      <c r="AQ102">
        <v>0.04</v>
      </c>
      <c r="AR102">
        <v>0</v>
      </c>
      <c r="AS102">
        <v>0.43999999999999989</v>
      </c>
      <c r="AV102">
        <v>41922</v>
      </c>
      <c r="AW102">
        <v>0.18</v>
      </c>
      <c r="AX102">
        <v>0.62000000000000022</v>
      </c>
      <c r="AY102">
        <v>0.16</v>
      </c>
      <c r="AZ102">
        <v>3.9999999999999841E-2</v>
      </c>
      <c r="BC102">
        <v>41411</v>
      </c>
      <c r="BD102">
        <v>0</v>
      </c>
      <c r="BE102">
        <v>0</v>
      </c>
      <c r="BF102">
        <v>0.58000000000000018</v>
      </c>
      <c r="BG102">
        <v>0.41999999999999982</v>
      </c>
    </row>
    <row r="103" spans="1:59" x14ac:dyDescent="0.3">
      <c r="A103">
        <v>42258</v>
      </c>
      <c r="B103">
        <v>0.04</v>
      </c>
      <c r="C103">
        <v>0.46000000000000013</v>
      </c>
      <c r="D103">
        <v>0.1</v>
      </c>
      <c r="E103">
        <v>0.3999999999999998</v>
      </c>
      <c r="J103">
        <v>42132</v>
      </c>
      <c r="K103">
        <v>0.23999999999999996</v>
      </c>
      <c r="L103">
        <v>0.23999999999999996</v>
      </c>
      <c r="M103">
        <v>0.34</v>
      </c>
      <c r="N103">
        <v>0.18</v>
      </c>
      <c r="R103">
        <v>42783</v>
      </c>
      <c r="S103">
        <v>0.78000000000000036</v>
      </c>
      <c r="T103">
        <v>0.18</v>
      </c>
      <c r="U103">
        <v>0</v>
      </c>
      <c r="V103">
        <v>3.9999999999999647E-2</v>
      </c>
      <c r="Z103">
        <v>42559</v>
      </c>
      <c r="AA103">
        <v>0.56000000000000016</v>
      </c>
      <c r="AB103">
        <v>0.40000000000000008</v>
      </c>
      <c r="AC103">
        <v>0</v>
      </c>
      <c r="AD103">
        <v>3.9999999999999758E-2</v>
      </c>
      <c r="AG103">
        <v>42503</v>
      </c>
      <c r="AH103">
        <v>0</v>
      </c>
      <c r="AI103">
        <v>0.50000000000000011</v>
      </c>
      <c r="AJ103">
        <v>0.04</v>
      </c>
      <c r="AK103">
        <v>0.45999999999999991</v>
      </c>
      <c r="AO103">
        <v>41922</v>
      </c>
      <c r="AP103">
        <v>0.52000000000000013</v>
      </c>
      <c r="AQ103">
        <v>0.06</v>
      </c>
      <c r="AR103">
        <v>0</v>
      </c>
      <c r="AS103">
        <v>0.41999999999999987</v>
      </c>
      <c r="AV103">
        <v>41929</v>
      </c>
      <c r="AW103">
        <v>0.19999999999999998</v>
      </c>
      <c r="AX103">
        <v>0.54000000000000015</v>
      </c>
      <c r="AY103">
        <v>0.19999999999999998</v>
      </c>
      <c r="AZ103">
        <v>5.9999999999999915E-2</v>
      </c>
      <c r="BC103">
        <v>41418</v>
      </c>
      <c r="BD103">
        <v>0</v>
      </c>
      <c r="BE103">
        <v>0</v>
      </c>
      <c r="BF103">
        <v>0.54000000000000015</v>
      </c>
      <c r="BG103">
        <v>0.45999999999999985</v>
      </c>
    </row>
    <row r="104" spans="1:59" x14ac:dyDescent="0.3">
      <c r="A104">
        <v>42265</v>
      </c>
      <c r="B104">
        <v>0.27999999999999997</v>
      </c>
      <c r="C104">
        <v>0.36000000000000004</v>
      </c>
      <c r="D104">
        <v>0</v>
      </c>
      <c r="E104">
        <v>0.35999999999999993</v>
      </c>
      <c r="J104">
        <v>42139</v>
      </c>
      <c r="K104">
        <v>0.21999999999999997</v>
      </c>
      <c r="L104">
        <v>0.36000000000000004</v>
      </c>
      <c r="M104">
        <v>0.23999999999999996</v>
      </c>
      <c r="N104">
        <v>0.18000000000000002</v>
      </c>
      <c r="R104">
        <v>42790</v>
      </c>
      <c r="S104">
        <v>0.78000000000000036</v>
      </c>
      <c r="T104">
        <v>0.18</v>
      </c>
      <c r="U104">
        <v>0</v>
      </c>
      <c r="V104">
        <v>3.9999999999999647E-2</v>
      </c>
      <c r="Z104">
        <v>42566</v>
      </c>
      <c r="AA104">
        <v>0.68000000000000027</v>
      </c>
      <c r="AB104">
        <v>0.21999999999999997</v>
      </c>
      <c r="AC104">
        <v>0</v>
      </c>
      <c r="AD104">
        <v>9.9999999999999756E-2</v>
      </c>
      <c r="AG104">
        <v>42510</v>
      </c>
      <c r="AH104">
        <v>0</v>
      </c>
      <c r="AI104">
        <v>0.34</v>
      </c>
      <c r="AJ104">
        <v>0.25999999999999995</v>
      </c>
      <c r="AK104">
        <v>0.39999999999999997</v>
      </c>
      <c r="AO104">
        <v>41929</v>
      </c>
      <c r="AP104">
        <v>0.54000000000000015</v>
      </c>
      <c r="AQ104">
        <v>0.02</v>
      </c>
      <c r="AR104">
        <v>0</v>
      </c>
      <c r="AS104">
        <v>0.43999999999999984</v>
      </c>
      <c r="AV104">
        <v>41936</v>
      </c>
      <c r="AW104">
        <v>0.23999999999999996</v>
      </c>
      <c r="AX104">
        <v>0.32</v>
      </c>
      <c r="AY104">
        <v>0.32</v>
      </c>
      <c r="AZ104">
        <v>0.12</v>
      </c>
      <c r="BC104">
        <v>41425</v>
      </c>
      <c r="BD104">
        <v>0</v>
      </c>
      <c r="BE104">
        <v>0</v>
      </c>
      <c r="BF104">
        <v>0.58000000000000018</v>
      </c>
      <c r="BG104">
        <v>0.41999999999999982</v>
      </c>
    </row>
    <row r="105" spans="1:59" x14ac:dyDescent="0.3">
      <c r="A105">
        <v>42272</v>
      </c>
      <c r="B105">
        <v>0.27999999999999997</v>
      </c>
      <c r="C105">
        <v>0.36000000000000004</v>
      </c>
      <c r="D105">
        <v>0</v>
      </c>
      <c r="E105">
        <v>0.35999999999999993</v>
      </c>
      <c r="J105">
        <v>42146</v>
      </c>
      <c r="K105">
        <v>0.19999999999999998</v>
      </c>
      <c r="L105">
        <v>0.36000000000000004</v>
      </c>
      <c r="M105">
        <v>0.25999999999999995</v>
      </c>
      <c r="N105">
        <v>0.18000000000000005</v>
      </c>
      <c r="R105">
        <v>42797</v>
      </c>
      <c r="S105">
        <v>0.78000000000000036</v>
      </c>
      <c r="T105">
        <v>0.18</v>
      </c>
      <c r="U105">
        <v>0</v>
      </c>
      <c r="V105">
        <v>3.9999999999999647E-2</v>
      </c>
      <c r="Z105">
        <v>42573</v>
      </c>
      <c r="AA105">
        <v>0.54000000000000015</v>
      </c>
      <c r="AB105">
        <v>0.25999999999999995</v>
      </c>
      <c r="AC105">
        <v>0</v>
      </c>
      <c r="AD105">
        <v>0.1999999999999999</v>
      </c>
      <c r="AG105">
        <v>42517</v>
      </c>
      <c r="AH105">
        <v>0</v>
      </c>
      <c r="AI105">
        <v>0.38000000000000006</v>
      </c>
      <c r="AJ105">
        <v>0.19999999999999998</v>
      </c>
      <c r="AK105">
        <v>0.41999999999999993</v>
      </c>
      <c r="AO105">
        <v>41936</v>
      </c>
      <c r="AP105">
        <v>0.54000000000000015</v>
      </c>
      <c r="AQ105">
        <v>0</v>
      </c>
      <c r="AR105">
        <v>0</v>
      </c>
      <c r="AS105">
        <v>0.45999999999999985</v>
      </c>
      <c r="AV105">
        <v>41943</v>
      </c>
      <c r="AW105">
        <v>0.23999999999999996</v>
      </c>
      <c r="AX105">
        <v>0.32</v>
      </c>
      <c r="AY105">
        <v>0.32</v>
      </c>
      <c r="AZ105">
        <v>0.12</v>
      </c>
      <c r="BC105">
        <v>41432</v>
      </c>
      <c r="BD105">
        <v>0</v>
      </c>
      <c r="BE105">
        <v>0</v>
      </c>
      <c r="BF105">
        <v>0.62000000000000022</v>
      </c>
      <c r="BG105">
        <v>0.37999999999999978</v>
      </c>
    </row>
    <row r="106" spans="1:59" x14ac:dyDescent="0.3">
      <c r="A106">
        <v>42277</v>
      </c>
      <c r="B106">
        <v>0.23999999999999996</v>
      </c>
      <c r="C106">
        <v>0.38000000000000006</v>
      </c>
      <c r="D106">
        <v>0</v>
      </c>
      <c r="E106">
        <v>0.37999999999999995</v>
      </c>
      <c r="J106">
        <v>42153</v>
      </c>
      <c r="K106">
        <v>0.19999999999999998</v>
      </c>
      <c r="L106">
        <v>0.36000000000000004</v>
      </c>
      <c r="M106">
        <v>0.23999999999999996</v>
      </c>
      <c r="N106">
        <v>0.20000000000000004</v>
      </c>
      <c r="R106">
        <v>42804</v>
      </c>
      <c r="S106">
        <v>0.80000000000000038</v>
      </c>
      <c r="T106">
        <v>0.18</v>
      </c>
      <c r="U106">
        <v>0</v>
      </c>
      <c r="V106">
        <v>1.9999999999999629E-2</v>
      </c>
      <c r="Z106">
        <v>42580</v>
      </c>
      <c r="AA106">
        <v>0.6000000000000002</v>
      </c>
      <c r="AB106">
        <v>0.23999999999999996</v>
      </c>
      <c r="AC106">
        <v>0</v>
      </c>
      <c r="AD106">
        <v>0.15999999999999984</v>
      </c>
      <c r="AG106">
        <v>42524</v>
      </c>
      <c r="AH106">
        <v>0</v>
      </c>
      <c r="AI106">
        <v>0.36000000000000004</v>
      </c>
      <c r="AJ106">
        <v>0.21999999999999997</v>
      </c>
      <c r="AK106">
        <v>0.41999999999999993</v>
      </c>
      <c r="AO106">
        <v>41943</v>
      </c>
      <c r="AP106">
        <v>0.54000000000000015</v>
      </c>
      <c r="AQ106">
        <v>0</v>
      </c>
      <c r="AR106">
        <v>0</v>
      </c>
      <c r="AS106">
        <v>0.45999999999999985</v>
      </c>
      <c r="AV106">
        <v>41950</v>
      </c>
      <c r="AW106">
        <v>0.23999999999999996</v>
      </c>
      <c r="AX106">
        <v>0.36000000000000004</v>
      </c>
      <c r="AY106">
        <v>0.32</v>
      </c>
      <c r="AZ106">
        <v>7.999999999999996E-2</v>
      </c>
      <c r="BC106">
        <v>41439</v>
      </c>
      <c r="BD106">
        <v>0</v>
      </c>
      <c r="BE106">
        <v>0</v>
      </c>
      <c r="BF106">
        <v>0.68000000000000027</v>
      </c>
      <c r="BG106">
        <v>0.31999999999999973</v>
      </c>
    </row>
    <row r="107" spans="1:59" x14ac:dyDescent="0.3">
      <c r="A107">
        <v>42286</v>
      </c>
      <c r="B107">
        <v>0.27999999999999997</v>
      </c>
      <c r="C107">
        <v>0.34</v>
      </c>
      <c r="D107">
        <v>0</v>
      </c>
      <c r="E107">
        <v>0.37999999999999995</v>
      </c>
      <c r="J107">
        <v>42160</v>
      </c>
      <c r="K107">
        <v>0.21999999999999997</v>
      </c>
      <c r="L107">
        <v>0.32</v>
      </c>
      <c r="M107">
        <v>0.25999999999999995</v>
      </c>
      <c r="N107">
        <v>0.20000000000000007</v>
      </c>
      <c r="R107">
        <v>42811</v>
      </c>
      <c r="S107">
        <v>0.8200000000000004</v>
      </c>
      <c r="T107">
        <v>0.16</v>
      </c>
      <c r="U107">
        <v>0</v>
      </c>
      <c r="V107">
        <v>1.9999999999999601E-2</v>
      </c>
      <c r="Z107">
        <v>42587</v>
      </c>
      <c r="AA107">
        <v>0.40000000000000008</v>
      </c>
      <c r="AB107">
        <v>0.54000000000000015</v>
      </c>
      <c r="AC107">
        <v>0</v>
      </c>
      <c r="AD107">
        <v>5.999999999999972E-2</v>
      </c>
      <c r="AG107">
        <v>42529</v>
      </c>
      <c r="AH107">
        <v>0</v>
      </c>
      <c r="AI107">
        <v>0.4200000000000001</v>
      </c>
      <c r="AJ107">
        <v>0.06</v>
      </c>
      <c r="AK107">
        <v>0.5199999999999998</v>
      </c>
      <c r="AO107">
        <v>41950</v>
      </c>
      <c r="AP107">
        <v>0.54000000000000015</v>
      </c>
      <c r="AQ107">
        <v>0.02</v>
      </c>
      <c r="AR107">
        <v>0</v>
      </c>
      <c r="AS107">
        <v>0.43999999999999984</v>
      </c>
      <c r="AV107">
        <v>41957</v>
      </c>
      <c r="AW107">
        <v>0.21999999999999997</v>
      </c>
      <c r="AX107">
        <v>0.46000000000000013</v>
      </c>
      <c r="AY107">
        <v>0.23999999999999996</v>
      </c>
      <c r="AZ107">
        <v>7.9999999999999932E-2</v>
      </c>
      <c r="BC107">
        <v>41446</v>
      </c>
      <c r="BD107">
        <v>0</v>
      </c>
      <c r="BE107">
        <v>0</v>
      </c>
      <c r="BF107">
        <v>0.68000000000000027</v>
      </c>
      <c r="BG107">
        <v>0.31999999999999973</v>
      </c>
    </row>
    <row r="108" spans="1:59" x14ac:dyDescent="0.3">
      <c r="A108">
        <v>42293</v>
      </c>
      <c r="B108">
        <v>0.56000000000000016</v>
      </c>
      <c r="C108">
        <v>0.12000000000000001</v>
      </c>
      <c r="D108">
        <v>0</v>
      </c>
      <c r="E108">
        <v>0.31999999999999984</v>
      </c>
      <c r="J108">
        <v>42167</v>
      </c>
      <c r="K108">
        <v>0.23999999999999996</v>
      </c>
      <c r="L108">
        <v>0.32</v>
      </c>
      <c r="M108">
        <v>0.25999999999999995</v>
      </c>
      <c r="N108">
        <v>0.18000000000000005</v>
      </c>
      <c r="R108">
        <v>42818</v>
      </c>
      <c r="S108">
        <v>0.8200000000000004</v>
      </c>
      <c r="T108">
        <v>0.16</v>
      </c>
      <c r="U108">
        <v>0</v>
      </c>
      <c r="V108">
        <v>1.9999999999999601E-2</v>
      </c>
      <c r="Z108">
        <v>42594</v>
      </c>
      <c r="AA108">
        <v>0.4200000000000001</v>
      </c>
      <c r="AB108">
        <v>0.52000000000000013</v>
      </c>
      <c r="AC108">
        <v>0</v>
      </c>
      <c r="AD108">
        <v>5.999999999999972E-2</v>
      </c>
      <c r="AG108">
        <v>42538</v>
      </c>
      <c r="AH108">
        <v>0</v>
      </c>
      <c r="AI108">
        <v>0.44000000000000011</v>
      </c>
      <c r="AJ108">
        <v>0.04</v>
      </c>
      <c r="AK108">
        <v>0.5199999999999998</v>
      </c>
      <c r="AO108">
        <v>41957</v>
      </c>
      <c r="AP108">
        <v>0.54000000000000015</v>
      </c>
      <c r="AQ108">
        <v>0.06</v>
      </c>
      <c r="AR108">
        <v>0</v>
      </c>
      <c r="AS108">
        <v>0.39999999999999986</v>
      </c>
      <c r="AV108">
        <v>41964</v>
      </c>
      <c r="AW108">
        <v>0.21999999999999997</v>
      </c>
      <c r="AX108">
        <v>0.56000000000000016</v>
      </c>
      <c r="AY108">
        <v>0.16</v>
      </c>
      <c r="AZ108">
        <v>5.9999999999999859E-2</v>
      </c>
      <c r="BC108">
        <v>41453</v>
      </c>
      <c r="BD108">
        <v>0</v>
      </c>
      <c r="BE108">
        <v>0</v>
      </c>
      <c r="BF108">
        <v>0.68000000000000027</v>
      </c>
      <c r="BG108">
        <v>0.31999999999999973</v>
      </c>
    </row>
    <row r="109" spans="1:59" x14ac:dyDescent="0.3">
      <c r="A109">
        <v>42300</v>
      </c>
      <c r="B109">
        <v>0.56000000000000016</v>
      </c>
      <c r="C109">
        <v>0.08</v>
      </c>
      <c r="D109">
        <v>0</v>
      </c>
      <c r="E109">
        <v>0.35999999999999982</v>
      </c>
      <c r="J109">
        <v>42174</v>
      </c>
      <c r="K109">
        <v>0.23999999999999996</v>
      </c>
      <c r="L109">
        <v>0.32</v>
      </c>
      <c r="M109">
        <v>0.25999999999999995</v>
      </c>
      <c r="N109">
        <v>0.18000000000000005</v>
      </c>
      <c r="R109">
        <v>42825</v>
      </c>
      <c r="S109">
        <v>0.78000000000000036</v>
      </c>
      <c r="T109">
        <v>0.16</v>
      </c>
      <c r="U109">
        <v>0</v>
      </c>
      <c r="V109">
        <v>5.9999999999999637E-2</v>
      </c>
      <c r="Z109">
        <v>42601</v>
      </c>
      <c r="AA109">
        <v>0.40000000000000008</v>
      </c>
      <c r="AB109">
        <v>0.54000000000000015</v>
      </c>
      <c r="AC109">
        <v>0</v>
      </c>
      <c r="AD109">
        <v>5.999999999999972E-2</v>
      </c>
      <c r="AG109">
        <v>42545</v>
      </c>
      <c r="AH109">
        <v>0</v>
      </c>
      <c r="AI109">
        <v>0.52000000000000013</v>
      </c>
      <c r="AJ109">
        <v>0</v>
      </c>
      <c r="AK109">
        <v>0.47999999999999987</v>
      </c>
      <c r="AO109">
        <v>41964</v>
      </c>
      <c r="AP109">
        <v>0.50000000000000011</v>
      </c>
      <c r="AQ109">
        <v>0.14000000000000001</v>
      </c>
      <c r="AR109">
        <v>0</v>
      </c>
      <c r="AS109">
        <v>0.35999999999999988</v>
      </c>
      <c r="AV109">
        <v>41971</v>
      </c>
      <c r="AW109">
        <v>0.21999999999999997</v>
      </c>
      <c r="AX109">
        <v>0.56000000000000016</v>
      </c>
      <c r="AY109">
        <v>0.12000000000000001</v>
      </c>
      <c r="AZ109">
        <v>9.9999999999999853E-2</v>
      </c>
      <c r="BC109">
        <v>41460</v>
      </c>
      <c r="BD109">
        <v>0.02</v>
      </c>
      <c r="BE109">
        <v>0</v>
      </c>
      <c r="BF109">
        <v>0.8200000000000004</v>
      </c>
      <c r="BG109">
        <v>0.15999999999999959</v>
      </c>
    </row>
    <row r="110" spans="1:59" x14ac:dyDescent="0.3">
      <c r="A110">
        <v>42307</v>
      </c>
      <c r="B110">
        <v>0.56000000000000016</v>
      </c>
      <c r="C110">
        <v>0.1</v>
      </c>
      <c r="D110">
        <v>0</v>
      </c>
      <c r="E110">
        <v>0.33999999999999986</v>
      </c>
      <c r="J110">
        <v>42181</v>
      </c>
      <c r="K110">
        <v>0.23999999999999996</v>
      </c>
      <c r="L110">
        <v>0.32</v>
      </c>
      <c r="M110">
        <v>0.25999999999999995</v>
      </c>
      <c r="N110">
        <v>0.18000000000000005</v>
      </c>
      <c r="R110">
        <v>42832</v>
      </c>
      <c r="S110">
        <v>0.78000000000000036</v>
      </c>
      <c r="T110">
        <v>0.16</v>
      </c>
      <c r="U110">
        <v>0</v>
      </c>
      <c r="V110">
        <v>5.9999999999999637E-2</v>
      </c>
      <c r="Z110">
        <v>42608</v>
      </c>
      <c r="AA110">
        <v>0.4200000000000001</v>
      </c>
      <c r="AB110">
        <v>0.52000000000000013</v>
      </c>
      <c r="AC110">
        <v>0</v>
      </c>
      <c r="AD110">
        <v>5.999999999999972E-2</v>
      </c>
      <c r="AG110">
        <v>42552</v>
      </c>
      <c r="AH110">
        <v>0</v>
      </c>
      <c r="AI110">
        <v>0.52000000000000013</v>
      </c>
      <c r="AJ110">
        <v>0</v>
      </c>
      <c r="AK110">
        <v>0.47999999999999987</v>
      </c>
      <c r="AO110">
        <v>41971</v>
      </c>
      <c r="AP110">
        <v>0.48000000000000015</v>
      </c>
      <c r="AQ110">
        <v>0.18</v>
      </c>
      <c r="AR110">
        <v>0</v>
      </c>
      <c r="AS110">
        <v>0.3399999999999998</v>
      </c>
      <c r="AV110">
        <v>41978</v>
      </c>
      <c r="AW110">
        <v>0.14000000000000001</v>
      </c>
      <c r="AX110">
        <v>0.78000000000000036</v>
      </c>
      <c r="AY110">
        <v>0</v>
      </c>
      <c r="AZ110">
        <v>7.9999999999999627E-2</v>
      </c>
      <c r="BC110">
        <v>41467</v>
      </c>
      <c r="BD110">
        <v>0</v>
      </c>
      <c r="BE110">
        <v>0</v>
      </c>
      <c r="BF110">
        <v>0.74000000000000032</v>
      </c>
      <c r="BG110">
        <v>0.25999999999999968</v>
      </c>
    </row>
    <row r="111" spans="1:59" x14ac:dyDescent="0.3">
      <c r="A111">
        <v>42314</v>
      </c>
      <c r="B111">
        <v>0.56000000000000016</v>
      </c>
      <c r="C111">
        <v>0.1</v>
      </c>
      <c r="D111">
        <v>0</v>
      </c>
      <c r="E111">
        <v>0.33999999999999986</v>
      </c>
      <c r="J111">
        <v>42188</v>
      </c>
      <c r="K111">
        <v>0.23999999999999996</v>
      </c>
      <c r="L111">
        <v>0.34</v>
      </c>
      <c r="M111">
        <v>0.23999999999999996</v>
      </c>
      <c r="N111">
        <v>0.18000000000000002</v>
      </c>
      <c r="R111">
        <v>42839</v>
      </c>
      <c r="S111">
        <v>0.66000000000000025</v>
      </c>
      <c r="T111">
        <v>0.12000000000000001</v>
      </c>
      <c r="U111">
        <v>0</v>
      </c>
      <c r="V111">
        <v>0.21999999999999975</v>
      </c>
      <c r="Z111">
        <v>42615</v>
      </c>
      <c r="AA111">
        <v>0.6000000000000002</v>
      </c>
      <c r="AB111">
        <v>0.36000000000000004</v>
      </c>
      <c r="AC111">
        <v>0</v>
      </c>
      <c r="AD111">
        <v>3.9999999999999758E-2</v>
      </c>
      <c r="AG111">
        <v>42559</v>
      </c>
      <c r="AH111">
        <v>0.08</v>
      </c>
      <c r="AI111">
        <v>0.50000000000000011</v>
      </c>
      <c r="AJ111">
        <v>0</v>
      </c>
      <c r="AK111">
        <v>0.41999999999999993</v>
      </c>
      <c r="AO111">
        <v>41978</v>
      </c>
      <c r="AP111">
        <v>0.52000000000000013</v>
      </c>
      <c r="AQ111">
        <v>0.14000000000000001</v>
      </c>
      <c r="AR111">
        <v>0</v>
      </c>
      <c r="AS111">
        <v>0.33999999999999986</v>
      </c>
      <c r="AV111">
        <v>41985</v>
      </c>
      <c r="AW111">
        <v>0.14000000000000001</v>
      </c>
      <c r="AX111">
        <v>0.74000000000000032</v>
      </c>
      <c r="AY111">
        <v>0.02</v>
      </c>
      <c r="AZ111">
        <v>9.9999999999999659E-2</v>
      </c>
      <c r="BC111">
        <v>41474</v>
      </c>
      <c r="BD111">
        <v>0.02</v>
      </c>
      <c r="BE111">
        <v>0</v>
      </c>
      <c r="BF111">
        <v>0.74000000000000032</v>
      </c>
      <c r="BG111">
        <v>0.23999999999999966</v>
      </c>
    </row>
    <row r="112" spans="1:59" x14ac:dyDescent="0.3">
      <c r="A112">
        <v>42321</v>
      </c>
      <c r="B112">
        <v>0.70000000000000029</v>
      </c>
      <c r="C112">
        <v>0</v>
      </c>
      <c r="D112">
        <v>0.02</v>
      </c>
      <c r="E112">
        <v>0.27999999999999969</v>
      </c>
      <c r="J112">
        <v>42195</v>
      </c>
      <c r="K112">
        <v>0.21999999999999997</v>
      </c>
      <c r="L112">
        <v>0.44000000000000011</v>
      </c>
      <c r="M112">
        <v>0.19999999999999998</v>
      </c>
      <c r="N112">
        <v>0.13999999999999993</v>
      </c>
      <c r="R112">
        <v>42846</v>
      </c>
      <c r="S112">
        <v>0.64000000000000024</v>
      </c>
      <c r="T112">
        <v>0.1</v>
      </c>
      <c r="U112">
        <v>0</v>
      </c>
      <c r="V112">
        <v>0.25999999999999979</v>
      </c>
      <c r="Z112">
        <v>42622</v>
      </c>
      <c r="AA112">
        <v>0.6000000000000002</v>
      </c>
      <c r="AB112">
        <v>0.38000000000000006</v>
      </c>
      <c r="AC112">
        <v>0</v>
      </c>
      <c r="AD112">
        <v>1.999999999999974E-2</v>
      </c>
      <c r="AG112">
        <v>42566</v>
      </c>
      <c r="AH112">
        <v>0.08</v>
      </c>
      <c r="AI112">
        <v>0.50000000000000011</v>
      </c>
      <c r="AJ112">
        <v>0</v>
      </c>
      <c r="AK112">
        <v>0.41999999999999993</v>
      </c>
      <c r="AO112">
        <v>41985</v>
      </c>
      <c r="AP112">
        <v>0.54000000000000015</v>
      </c>
      <c r="AQ112">
        <v>0.16</v>
      </c>
      <c r="AR112">
        <v>0</v>
      </c>
      <c r="AS112">
        <v>0.29999999999999982</v>
      </c>
      <c r="AV112">
        <v>41992</v>
      </c>
      <c r="AW112">
        <v>0.16</v>
      </c>
      <c r="AX112">
        <v>0.64000000000000024</v>
      </c>
      <c r="AY112">
        <v>0.1</v>
      </c>
      <c r="AZ112">
        <v>9.9999999999999728E-2</v>
      </c>
      <c r="BC112">
        <v>41481</v>
      </c>
      <c r="BD112">
        <v>0.02</v>
      </c>
      <c r="BE112">
        <v>0</v>
      </c>
      <c r="BF112">
        <v>0.74000000000000032</v>
      </c>
      <c r="BG112">
        <v>0.23999999999999966</v>
      </c>
    </row>
    <row r="113" spans="1:59" x14ac:dyDescent="0.3">
      <c r="A113">
        <v>42328</v>
      </c>
      <c r="B113">
        <v>0.68000000000000027</v>
      </c>
      <c r="C113">
        <v>0.02</v>
      </c>
      <c r="D113">
        <v>0.02</v>
      </c>
      <c r="E113">
        <v>0.27999999999999969</v>
      </c>
      <c r="J113">
        <v>42202</v>
      </c>
      <c r="K113">
        <v>0.19999999999999998</v>
      </c>
      <c r="L113">
        <v>0.36000000000000004</v>
      </c>
      <c r="M113">
        <v>0.27999999999999997</v>
      </c>
      <c r="N113">
        <v>0.16000000000000003</v>
      </c>
      <c r="R113">
        <v>42853</v>
      </c>
      <c r="S113">
        <v>0.66000000000000025</v>
      </c>
      <c r="T113">
        <v>0.06</v>
      </c>
      <c r="U113">
        <v>0</v>
      </c>
      <c r="V113">
        <v>0.27999999999999975</v>
      </c>
      <c r="Z113">
        <v>42627</v>
      </c>
      <c r="AA113">
        <v>0.68000000000000027</v>
      </c>
      <c r="AB113">
        <v>0.25999999999999995</v>
      </c>
      <c r="AC113">
        <v>0</v>
      </c>
      <c r="AD113">
        <v>5.9999999999999776E-2</v>
      </c>
      <c r="AG113">
        <v>42573</v>
      </c>
      <c r="AH113">
        <v>0.08</v>
      </c>
      <c r="AI113">
        <v>0.50000000000000011</v>
      </c>
      <c r="AJ113">
        <v>0</v>
      </c>
      <c r="AK113">
        <v>0.41999999999999993</v>
      </c>
      <c r="AO113">
        <v>41992</v>
      </c>
      <c r="AP113">
        <v>0.56000000000000016</v>
      </c>
      <c r="AQ113">
        <v>0.12000000000000001</v>
      </c>
      <c r="AR113">
        <v>0</v>
      </c>
      <c r="AS113">
        <v>0.31999999999999984</v>
      </c>
      <c r="AV113">
        <v>41999</v>
      </c>
      <c r="AW113">
        <v>0.3</v>
      </c>
      <c r="AX113">
        <v>0.16</v>
      </c>
      <c r="AY113">
        <v>0.44000000000000011</v>
      </c>
      <c r="AZ113">
        <v>9.9999999999999811E-2</v>
      </c>
      <c r="BC113">
        <v>41488</v>
      </c>
      <c r="BD113">
        <v>0.02</v>
      </c>
      <c r="BE113">
        <v>0</v>
      </c>
      <c r="BF113">
        <v>0.78000000000000036</v>
      </c>
      <c r="BG113">
        <v>0.19999999999999962</v>
      </c>
    </row>
    <row r="114" spans="1:59" x14ac:dyDescent="0.3">
      <c r="A114">
        <v>42335</v>
      </c>
      <c r="B114">
        <v>0.70000000000000029</v>
      </c>
      <c r="C114">
        <v>0.02</v>
      </c>
      <c r="D114">
        <v>0</v>
      </c>
      <c r="E114">
        <v>0.27999999999999969</v>
      </c>
      <c r="J114">
        <v>42209</v>
      </c>
      <c r="K114">
        <v>0.38000000000000006</v>
      </c>
      <c r="L114">
        <v>0</v>
      </c>
      <c r="M114">
        <v>0.46000000000000013</v>
      </c>
      <c r="N114">
        <v>0.15999999999999975</v>
      </c>
      <c r="R114">
        <v>42860</v>
      </c>
      <c r="S114">
        <v>0.66000000000000025</v>
      </c>
      <c r="T114">
        <v>0.06</v>
      </c>
      <c r="U114">
        <v>0</v>
      </c>
      <c r="V114">
        <v>0.27999999999999975</v>
      </c>
      <c r="Z114">
        <v>42636</v>
      </c>
      <c r="AA114">
        <v>0.68000000000000027</v>
      </c>
      <c r="AB114">
        <v>0.23999999999999996</v>
      </c>
      <c r="AC114">
        <v>0</v>
      </c>
      <c r="AD114">
        <v>7.9999999999999766E-2</v>
      </c>
      <c r="AG114">
        <v>42580</v>
      </c>
      <c r="AH114">
        <v>0.06</v>
      </c>
      <c r="AI114">
        <v>0.52000000000000013</v>
      </c>
      <c r="AJ114">
        <v>0</v>
      </c>
      <c r="AK114">
        <v>0.41999999999999982</v>
      </c>
      <c r="AO114">
        <v>41999</v>
      </c>
      <c r="AP114">
        <v>0.72000000000000031</v>
      </c>
      <c r="AQ114">
        <v>0</v>
      </c>
      <c r="AR114">
        <v>0</v>
      </c>
      <c r="AS114">
        <v>0.27999999999999969</v>
      </c>
      <c r="AV114">
        <v>42004</v>
      </c>
      <c r="AW114">
        <v>0.23999999999999996</v>
      </c>
      <c r="AX114">
        <v>0.12000000000000001</v>
      </c>
      <c r="AY114">
        <v>0.58000000000000018</v>
      </c>
      <c r="AZ114">
        <v>5.9999999999999831E-2</v>
      </c>
      <c r="BC114">
        <v>41495</v>
      </c>
      <c r="BD114">
        <v>0</v>
      </c>
      <c r="BE114">
        <v>0</v>
      </c>
      <c r="BF114">
        <v>0.78000000000000036</v>
      </c>
      <c r="BG114">
        <v>0.21999999999999964</v>
      </c>
    </row>
    <row r="115" spans="1:59" x14ac:dyDescent="0.3">
      <c r="A115">
        <v>42342</v>
      </c>
      <c r="B115">
        <v>0.74000000000000032</v>
      </c>
      <c r="C115">
        <v>0</v>
      </c>
      <c r="D115">
        <v>0</v>
      </c>
      <c r="E115">
        <v>0.25999999999999968</v>
      </c>
      <c r="J115">
        <v>42216</v>
      </c>
      <c r="K115">
        <v>0.36000000000000004</v>
      </c>
      <c r="L115">
        <v>0</v>
      </c>
      <c r="M115">
        <v>0.48000000000000015</v>
      </c>
      <c r="N115">
        <v>0.15999999999999975</v>
      </c>
      <c r="R115">
        <v>42867</v>
      </c>
      <c r="S115">
        <v>0.64000000000000024</v>
      </c>
      <c r="T115">
        <v>0.06</v>
      </c>
      <c r="U115">
        <v>0</v>
      </c>
      <c r="V115">
        <v>0.29999999999999977</v>
      </c>
      <c r="Z115">
        <v>42643</v>
      </c>
      <c r="AA115">
        <v>0.66000000000000025</v>
      </c>
      <c r="AB115">
        <v>0.25999999999999995</v>
      </c>
      <c r="AC115">
        <v>0</v>
      </c>
      <c r="AD115">
        <v>7.9999999999999793E-2</v>
      </c>
      <c r="AG115">
        <v>42587</v>
      </c>
      <c r="AH115">
        <v>0</v>
      </c>
      <c r="AI115">
        <v>0.62000000000000022</v>
      </c>
      <c r="AJ115">
        <v>0</v>
      </c>
      <c r="AK115">
        <v>0.37999999999999978</v>
      </c>
      <c r="AO115">
        <v>42004</v>
      </c>
      <c r="AP115">
        <v>0.72000000000000031</v>
      </c>
      <c r="AQ115">
        <v>0</v>
      </c>
      <c r="AR115">
        <v>0</v>
      </c>
      <c r="AS115">
        <v>0.27999999999999969</v>
      </c>
      <c r="AV115">
        <v>42013</v>
      </c>
      <c r="AW115">
        <v>0.14000000000000001</v>
      </c>
      <c r="AX115">
        <v>0.21999999999999997</v>
      </c>
      <c r="AY115">
        <v>0.58000000000000018</v>
      </c>
      <c r="AZ115">
        <v>5.9999999999999831E-2</v>
      </c>
      <c r="BC115">
        <v>41502</v>
      </c>
      <c r="BD115">
        <v>0</v>
      </c>
      <c r="BE115">
        <v>0</v>
      </c>
      <c r="BF115">
        <v>0.80000000000000038</v>
      </c>
      <c r="BG115">
        <v>0.19999999999999962</v>
      </c>
    </row>
    <row r="116" spans="1:59" x14ac:dyDescent="0.3">
      <c r="A116">
        <v>42349</v>
      </c>
      <c r="B116">
        <v>0.74000000000000032</v>
      </c>
      <c r="C116">
        <v>0</v>
      </c>
      <c r="D116">
        <v>0</v>
      </c>
      <c r="E116">
        <v>0.25999999999999968</v>
      </c>
      <c r="J116">
        <v>42223</v>
      </c>
      <c r="K116">
        <v>0.36000000000000004</v>
      </c>
      <c r="L116">
        <v>0</v>
      </c>
      <c r="M116">
        <v>0.48000000000000015</v>
      </c>
      <c r="N116">
        <v>0.15999999999999975</v>
      </c>
      <c r="R116">
        <v>42874</v>
      </c>
      <c r="S116">
        <v>0.64000000000000024</v>
      </c>
      <c r="T116">
        <v>0.1</v>
      </c>
      <c r="U116">
        <v>0</v>
      </c>
      <c r="V116">
        <v>0.25999999999999979</v>
      </c>
      <c r="Z116">
        <v>42657</v>
      </c>
      <c r="AA116">
        <v>0.64000000000000024</v>
      </c>
      <c r="AB116">
        <v>0.34</v>
      </c>
      <c r="AC116">
        <v>0</v>
      </c>
      <c r="AD116">
        <v>1.999999999999974E-2</v>
      </c>
      <c r="AG116">
        <v>42594</v>
      </c>
      <c r="AH116">
        <v>0</v>
      </c>
      <c r="AI116">
        <v>0.62000000000000022</v>
      </c>
      <c r="AJ116">
        <v>0</v>
      </c>
      <c r="AK116">
        <v>0.37999999999999978</v>
      </c>
      <c r="AO116">
        <v>42013</v>
      </c>
      <c r="AP116">
        <v>0.6000000000000002</v>
      </c>
      <c r="AQ116">
        <v>0.08</v>
      </c>
      <c r="AR116">
        <v>0.08</v>
      </c>
      <c r="AS116">
        <v>0.23999999999999977</v>
      </c>
      <c r="AV116">
        <v>42020</v>
      </c>
      <c r="AW116">
        <v>0.14000000000000001</v>
      </c>
      <c r="AX116">
        <v>0.21999999999999997</v>
      </c>
      <c r="AY116">
        <v>0.58000000000000018</v>
      </c>
      <c r="AZ116">
        <v>5.9999999999999831E-2</v>
      </c>
      <c r="BC116">
        <v>41509</v>
      </c>
      <c r="BD116">
        <v>0.02</v>
      </c>
      <c r="BE116">
        <v>0</v>
      </c>
      <c r="BF116">
        <v>0.78000000000000036</v>
      </c>
      <c r="BG116">
        <v>0.19999999999999962</v>
      </c>
    </row>
    <row r="117" spans="1:59" x14ac:dyDescent="0.3">
      <c r="A117">
        <v>42356</v>
      </c>
      <c r="B117">
        <v>0.74000000000000032</v>
      </c>
      <c r="C117">
        <v>0</v>
      </c>
      <c r="D117">
        <v>0</v>
      </c>
      <c r="E117">
        <v>0.25999999999999968</v>
      </c>
      <c r="J117">
        <v>42230</v>
      </c>
      <c r="K117">
        <v>0.34</v>
      </c>
      <c r="L117">
        <v>0</v>
      </c>
      <c r="M117">
        <v>0.48000000000000015</v>
      </c>
      <c r="N117">
        <v>0.17999999999999977</v>
      </c>
      <c r="R117">
        <v>42881</v>
      </c>
      <c r="S117">
        <v>0.6000000000000002</v>
      </c>
      <c r="T117">
        <v>0.06</v>
      </c>
      <c r="U117">
        <v>0</v>
      </c>
      <c r="V117">
        <v>0.3399999999999998</v>
      </c>
      <c r="Z117">
        <v>42664</v>
      </c>
      <c r="AA117">
        <v>0.6000000000000002</v>
      </c>
      <c r="AB117">
        <v>0.36000000000000004</v>
      </c>
      <c r="AC117">
        <v>0</v>
      </c>
      <c r="AD117">
        <v>3.9999999999999758E-2</v>
      </c>
      <c r="AG117">
        <v>42601</v>
      </c>
      <c r="AH117">
        <v>0</v>
      </c>
      <c r="AI117">
        <v>0.6000000000000002</v>
      </c>
      <c r="AJ117">
        <v>0</v>
      </c>
      <c r="AK117">
        <v>0.3999999999999998</v>
      </c>
      <c r="AO117">
        <v>42020</v>
      </c>
      <c r="AP117">
        <v>0.64000000000000024</v>
      </c>
      <c r="AQ117">
        <v>0.02</v>
      </c>
      <c r="AR117">
        <v>0.1</v>
      </c>
      <c r="AS117">
        <v>0.23999999999999974</v>
      </c>
      <c r="AV117">
        <v>42027</v>
      </c>
      <c r="AW117">
        <v>0.12000000000000001</v>
      </c>
      <c r="AX117">
        <v>0.16</v>
      </c>
      <c r="AY117">
        <v>0.62000000000000022</v>
      </c>
      <c r="AZ117">
        <v>9.9999999999999756E-2</v>
      </c>
      <c r="BC117">
        <v>41516</v>
      </c>
      <c r="BD117">
        <v>0.02</v>
      </c>
      <c r="BE117">
        <v>0</v>
      </c>
      <c r="BF117">
        <v>0.78000000000000036</v>
      </c>
      <c r="BG117">
        <v>0.19999999999999962</v>
      </c>
    </row>
    <row r="118" spans="1:59" x14ac:dyDescent="0.3">
      <c r="A118">
        <v>42363</v>
      </c>
      <c r="B118">
        <v>0.76000000000000034</v>
      </c>
      <c r="C118">
        <v>0</v>
      </c>
      <c r="D118">
        <v>0</v>
      </c>
      <c r="E118">
        <v>0.23999999999999966</v>
      </c>
      <c r="J118">
        <v>42237</v>
      </c>
      <c r="K118">
        <v>0.36000000000000004</v>
      </c>
      <c r="L118">
        <v>0</v>
      </c>
      <c r="M118">
        <v>0.48000000000000015</v>
      </c>
      <c r="N118">
        <v>0.15999999999999975</v>
      </c>
      <c r="R118">
        <v>42888</v>
      </c>
      <c r="S118">
        <v>0.58000000000000018</v>
      </c>
      <c r="T118">
        <v>0.08</v>
      </c>
      <c r="U118">
        <v>0</v>
      </c>
      <c r="V118">
        <v>0.3399999999999998</v>
      </c>
      <c r="Z118">
        <v>42671</v>
      </c>
      <c r="AA118">
        <v>0.6000000000000002</v>
      </c>
      <c r="AB118">
        <v>0.36000000000000004</v>
      </c>
      <c r="AC118">
        <v>0</v>
      </c>
      <c r="AD118">
        <v>3.9999999999999758E-2</v>
      </c>
      <c r="AG118">
        <v>42608</v>
      </c>
      <c r="AH118">
        <v>0.02</v>
      </c>
      <c r="AI118">
        <v>0.54000000000000015</v>
      </c>
      <c r="AJ118">
        <v>0</v>
      </c>
      <c r="AK118">
        <v>0.43999999999999984</v>
      </c>
      <c r="AO118">
        <v>42027</v>
      </c>
      <c r="AP118">
        <v>0.62000000000000022</v>
      </c>
      <c r="AQ118">
        <v>0</v>
      </c>
      <c r="AR118">
        <v>0.08</v>
      </c>
      <c r="AS118">
        <v>0.29999999999999977</v>
      </c>
      <c r="AV118">
        <v>42034</v>
      </c>
      <c r="AW118">
        <v>0.1</v>
      </c>
      <c r="AX118">
        <v>0.12000000000000001</v>
      </c>
      <c r="AY118">
        <v>0.70000000000000029</v>
      </c>
      <c r="AZ118">
        <v>7.9999999999999738E-2</v>
      </c>
      <c r="BC118">
        <v>41523</v>
      </c>
      <c r="BD118">
        <v>0.06</v>
      </c>
      <c r="BE118">
        <v>0</v>
      </c>
      <c r="BF118">
        <v>0.74000000000000032</v>
      </c>
      <c r="BG118">
        <v>0.19999999999999962</v>
      </c>
    </row>
    <row r="119" spans="1:59" x14ac:dyDescent="0.3">
      <c r="A119">
        <v>42369</v>
      </c>
      <c r="B119">
        <v>0.74000000000000032</v>
      </c>
      <c r="C119">
        <v>0</v>
      </c>
      <c r="D119">
        <v>0</v>
      </c>
      <c r="E119">
        <v>0.25999999999999968</v>
      </c>
      <c r="J119">
        <v>42244</v>
      </c>
      <c r="K119">
        <v>0.27999999999999997</v>
      </c>
      <c r="L119">
        <v>0.06</v>
      </c>
      <c r="M119">
        <v>0.44000000000000011</v>
      </c>
      <c r="N119">
        <v>0.21999999999999981</v>
      </c>
      <c r="R119">
        <v>42895</v>
      </c>
      <c r="S119">
        <v>0.52000000000000013</v>
      </c>
      <c r="T119">
        <v>0.1</v>
      </c>
      <c r="U119">
        <v>0</v>
      </c>
      <c r="V119">
        <v>0.37999999999999989</v>
      </c>
      <c r="Z119">
        <v>42678</v>
      </c>
      <c r="AA119">
        <v>0.6000000000000002</v>
      </c>
      <c r="AB119">
        <v>0.36000000000000004</v>
      </c>
      <c r="AC119">
        <v>0</v>
      </c>
      <c r="AD119">
        <v>3.9999999999999758E-2</v>
      </c>
      <c r="AG119">
        <v>42615</v>
      </c>
      <c r="AH119">
        <v>0.21999999999999997</v>
      </c>
      <c r="AI119">
        <v>0.38000000000000006</v>
      </c>
      <c r="AJ119">
        <v>0</v>
      </c>
      <c r="AK119">
        <v>0.39999999999999997</v>
      </c>
      <c r="AO119">
        <v>42034</v>
      </c>
      <c r="AP119">
        <v>0.64000000000000024</v>
      </c>
      <c r="AQ119">
        <v>0</v>
      </c>
      <c r="AR119">
        <v>0.08</v>
      </c>
      <c r="AS119">
        <v>0.27999999999999975</v>
      </c>
      <c r="AV119">
        <v>42041</v>
      </c>
      <c r="AW119">
        <v>0.14000000000000001</v>
      </c>
      <c r="AX119">
        <v>0.14000000000000001</v>
      </c>
      <c r="AY119">
        <v>0.70000000000000029</v>
      </c>
      <c r="AZ119">
        <v>1.9999999999999685E-2</v>
      </c>
      <c r="BC119">
        <v>41530</v>
      </c>
      <c r="BD119">
        <v>0.06</v>
      </c>
      <c r="BE119">
        <v>0.02</v>
      </c>
      <c r="BF119">
        <v>0.72000000000000031</v>
      </c>
      <c r="BG119">
        <v>0.19999999999999962</v>
      </c>
    </row>
    <row r="120" spans="1:59" x14ac:dyDescent="0.3">
      <c r="A120">
        <v>42377</v>
      </c>
      <c r="B120">
        <v>0.76000000000000034</v>
      </c>
      <c r="C120">
        <v>0</v>
      </c>
      <c r="D120">
        <v>0</v>
      </c>
      <c r="E120">
        <v>0.23999999999999966</v>
      </c>
      <c r="J120">
        <v>42249</v>
      </c>
      <c r="K120">
        <v>0.3</v>
      </c>
      <c r="L120">
        <v>0.02</v>
      </c>
      <c r="M120">
        <v>0.46000000000000013</v>
      </c>
      <c r="N120">
        <v>0.21999999999999981</v>
      </c>
      <c r="R120">
        <v>42902</v>
      </c>
      <c r="S120">
        <v>0.50000000000000011</v>
      </c>
      <c r="T120">
        <v>0.18</v>
      </c>
      <c r="U120">
        <v>0</v>
      </c>
      <c r="V120">
        <v>0.3199999999999999</v>
      </c>
      <c r="Z120">
        <v>42685</v>
      </c>
      <c r="AA120">
        <v>0.64000000000000024</v>
      </c>
      <c r="AB120">
        <v>0.34</v>
      </c>
      <c r="AC120">
        <v>0</v>
      </c>
      <c r="AD120">
        <v>1.999999999999974E-2</v>
      </c>
      <c r="AG120">
        <v>42622</v>
      </c>
      <c r="AH120">
        <v>0.19999999999999998</v>
      </c>
      <c r="AI120">
        <v>0.4200000000000001</v>
      </c>
      <c r="AJ120">
        <v>0</v>
      </c>
      <c r="AK120">
        <v>0.37999999999999995</v>
      </c>
      <c r="AO120">
        <v>42041</v>
      </c>
      <c r="AP120">
        <v>0.62000000000000022</v>
      </c>
      <c r="AQ120">
        <v>0</v>
      </c>
      <c r="AR120">
        <v>0.06</v>
      </c>
      <c r="AS120">
        <v>0.31999999999999978</v>
      </c>
      <c r="AV120">
        <v>42048</v>
      </c>
      <c r="AW120">
        <v>0.12000000000000001</v>
      </c>
      <c r="AX120">
        <v>0.14000000000000001</v>
      </c>
      <c r="AY120">
        <v>0.72000000000000031</v>
      </c>
      <c r="AZ120">
        <v>1.9999999999999685E-2</v>
      </c>
      <c r="BC120">
        <v>41535</v>
      </c>
      <c r="BD120">
        <v>0.1</v>
      </c>
      <c r="BE120">
        <v>0</v>
      </c>
      <c r="BF120">
        <v>0.72000000000000031</v>
      </c>
      <c r="BG120">
        <v>0.17999999999999972</v>
      </c>
    </row>
    <row r="121" spans="1:59" x14ac:dyDescent="0.3">
      <c r="A121">
        <v>42384</v>
      </c>
      <c r="B121">
        <v>0.80000000000000038</v>
      </c>
      <c r="C121">
        <v>0</v>
      </c>
      <c r="D121">
        <v>0</v>
      </c>
      <c r="E121">
        <v>0.19999999999999962</v>
      </c>
      <c r="J121">
        <v>42258</v>
      </c>
      <c r="K121">
        <v>0.32</v>
      </c>
      <c r="L121">
        <v>0.02</v>
      </c>
      <c r="M121">
        <v>0.44000000000000011</v>
      </c>
      <c r="N121">
        <v>0.21999999999999981</v>
      </c>
      <c r="R121">
        <v>42909</v>
      </c>
      <c r="S121">
        <v>0.46000000000000013</v>
      </c>
      <c r="T121">
        <v>0.16</v>
      </c>
      <c r="U121">
        <v>0</v>
      </c>
      <c r="V121">
        <v>0.37999999999999978</v>
      </c>
      <c r="Z121">
        <v>42692</v>
      </c>
      <c r="AA121">
        <v>0.66000000000000025</v>
      </c>
      <c r="AB121">
        <v>0.32</v>
      </c>
      <c r="AC121">
        <v>0</v>
      </c>
      <c r="AD121">
        <v>1.999999999999974E-2</v>
      </c>
      <c r="AG121">
        <v>42627</v>
      </c>
      <c r="AH121">
        <v>0.3</v>
      </c>
      <c r="AI121">
        <v>0.27999999999999997</v>
      </c>
      <c r="AJ121">
        <v>0</v>
      </c>
      <c r="AK121">
        <v>0.42</v>
      </c>
      <c r="AO121">
        <v>42048</v>
      </c>
      <c r="AP121">
        <v>0.58000000000000018</v>
      </c>
      <c r="AQ121">
        <v>0</v>
      </c>
      <c r="AR121">
        <v>0.06</v>
      </c>
      <c r="AS121">
        <v>0.35999999999999982</v>
      </c>
      <c r="AV121">
        <v>42052</v>
      </c>
      <c r="AW121">
        <v>0.08</v>
      </c>
      <c r="AX121">
        <v>0.21999999999999997</v>
      </c>
      <c r="AY121">
        <v>0.68000000000000027</v>
      </c>
      <c r="AZ121">
        <v>1.9999999999999796E-2</v>
      </c>
      <c r="BC121">
        <v>41544</v>
      </c>
      <c r="BD121">
        <v>0.12000000000000001</v>
      </c>
      <c r="BE121">
        <v>0</v>
      </c>
      <c r="BF121">
        <v>0.70000000000000029</v>
      </c>
      <c r="BG121">
        <v>0.17999999999999972</v>
      </c>
    </row>
    <row r="122" spans="1:59" x14ac:dyDescent="0.3">
      <c r="A122">
        <v>42391</v>
      </c>
      <c r="B122">
        <v>0.78000000000000036</v>
      </c>
      <c r="C122">
        <v>0</v>
      </c>
      <c r="D122">
        <v>0</v>
      </c>
      <c r="E122">
        <v>0.21999999999999964</v>
      </c>
      <c r="J122">
        <v>42265</v>
      </c>
      <c r="K122">
        <v>0.44000000000000011</v>
      </c>
      <c r="L122">
        <v>0</v>
      </c>
      <c r="M122">
        <v>0.36000000000000004</v>
      </c>
      <c r="N122">
        <v>0.19999999999999979</v>
      </c>
      <c r="R122">
        <v>42916</v>
      </c>
      <c r="S122">
        <v>0.46000000000000013</v>
      </c>
      <c r="T122">
        <v>0.1</v>
      </c>
      <c r="U122">
        <v>0</v>
      </c>
      <c r="V122">
        <v>0.43999999999999984</v>
      </c>
      <c r="Z122">
        <v>42699</v>
      </c>
      <c r="AA122">
        <v>0.66000000000000025</v>
      </c>
      <c r="AB122">
        <v>0.32</v>
      </c>
      <c r="AC122">
        <v>0</v>
      </c>
      <c r="AD122">
        <v>1.999999999999974E-2</v>
      </c>
      <c r="AG122">
        <v>42636</v>
      </c>
      <c r="AH122">
        <v>0.3</v>
      </c>
      <c r="AI122">
        <v>0.27999999999999997</v>
      </c>
      <c r="AJ122">
        <v>0</v>
      </c>
      <c r="AK122">
        <v>0.42</v>
      </c>
      <c r="AO122">
        <v>42052</v>
      </c>
      <c r="AP122">
        <v>0.58000000000000018</v>
      </c>
      <c r="AQ122">
        <v>0</v>
      </c>
      <c r="AR122">
        <v>0.08</v>
      </c>
      <c r="AS122">
        <v>0.3399999999999998</v>
      </c>
      <c r="AV122">
        <v>42062</v>
      </c>
      <c r="AW122">
        <v>0.16</v>
      </c>
      <c r="AX122">
        <v>0.25999999999999995</v>
      </c>
      <c r="AY122">
        <v>0.58000000000000018</v>
      </c>
      <c r="AZ122">
        <v>-1.1102230246251565E-16</v>
      </c>
      <c r="BC122">
        <v>41547</v>
      </c>
      <c r="BD122">
        <v>0.04</v>
      </c>
      <c r="BE122">
        <v>0</v>
      </c>
      <c r="BF122">
        <v>0.68000000000000027</v>
      </c>
      <c r="BG122">
        <v>0.27999999999999969</v>
      </c>
    </row>
    <row r="123" spans="1:59" x14ac:dyDescent="0.3">
      <c r="A123">
        <v>42398</v>
      </c>
      <c r="B123">
        <v>0.78000000000000036</v>
      </c>
      <c r="C123">
        <v>0</v>
      </c>
      <c r="D123">
        <v>0</v>
      </c>
      <c r="E123">
        <v>0.21999999999999964</v>
      </c>
      <c r="J123">
        <v>42272</v>
      </c>
      <c r="K123">
        <v>0.38000000000000006</v>
      </c>
      <c r="L123">
        <v>0</v>
      </c>
      <c r="M123">
        <v>0.40000000000000008</v>
      </c>
      <c r="N123">
        <v>0.21999999999999981</v>
      </c>
      <c r="R123">
        <v>42923</v>
      </c>
      <c r="S123">
        <v>0.44000000000000011</v>
      </c>
      <c r="T123">
        <v>0.08</v>
      </c>
      <c r="U123">
        <v>0</v>
      </c>
      <c r="V123">
        <v>0.47999999999999982</v>
      </c>
      <c r="Z123">
        <v>42706</v>
      </c>
      <c r="AA123">
        <v>0.68000000000000027</v>
      </c>
      <c r="AB123">
        <v>0.3</v>
      </c>
      <c r="AC123">
        <v>0</v>
      </c>
      <c r="AD123">
        <v>1.999999999999974E-2</v>
      </c>
      <c r="AG123">
        <v>42643</v>
      </c>
      <c r="AH123">
        <v>0.3</v>
      </c>
      <c r="AI123">
        <v>0.25999999999999995</v>
      </c>
      <c r="AJ123">
        <v>0</v>
      </c>
      <c r="AK123">
        <v>0.44</v>
      </c>
      <c r="AO123">
        <v>42062</v>
      </c>
      <c r="AP123">
        <v>0.66000000000000025</v>
      </c>
      <c r="AQ123">
        <v>0.02</v>
      </c>
      <c r="AR123">
        <v>0</v>
      </c>
      <c r="AS123">
        <v>0.31999999999999973</v>
      </c>
      <c r="AV123">
        <v>42069</v>
      </c>
      <c r="AW123">
        <v>0</v>
      </c>
      <c r="AX123">
        <v>0.54000000000000015</v>
      </c>
      <c r="AY123">
        <v>0.44000000000000011</v>
      </c>
      <c r="AZ123">
        <v>1.999999999999974E-2</v>
      </c>
      <c r="BC123">
        <v>41558</v>
      </c>
      <c r="BD123">
        <v>0.04</v>
      </c>
      <c r="BE123">
        <v>0</v>
      </c>
      <c r="BF123">
        <v>0.68000000000000027</v>
      </c>
      <c r="BG123">
        <v>0.27999999999999969</v>
      </c>
    </row>
    <row r="124" spans="1:59" x14ac:dyDescent="0.3">
      <c r="A124">
        <v>42405</v>
      </c>
      <c r="B124">
        <v>0.8200000000000004</v>
      </c>
      <c r="C124">
        <v>0</v>
      </c>
      <c r="D124">
        <v>0</v>
      </c>
      <c r="E124">
        <v>0.1799999999999996</v>
      </c>
      <c r="J124">
        <v>42277</v>
      </c>
      <c r="K124">
        <v>0.44000000000000011</v>
      </c>
      <c r="L124">
        <v>0</v>
      </c>
      <c r="M124">
        <v>0.36000000000000004</v>
      </c>
      <c r="N124">
        <v>0.19999999999999979</v>
      </c>
      <c r="R124">
        <v>42930</v>
      </c>
      <c r="S124">
        <v>0.34</v>
      </c>
      <c r="T124">
        <v>0.12000000000000001</v>
      </c>
      <c r="U124">
        <v>0</v>
      </c>
      <c r="V124">
        <v>0.53999999999999992</v>
      </c>
      <c r="Z124">
        <v>42713</v>
      </c>
      <c r="AA124">
        <v>0.88000000000000045</v>
      </c>
      <c r="AB124">
        <v>0.1</v>
      </c>
      <c r="AC124">
        <v>0</v>
      </c>
      <c r="AD124">
        <v>1.9999999999999546E-2</v>
      </c>
      <c r="AG124">
        <v>42657</v>
      </c>
      <c r="AH124">
        <v>0.3</v>
      </c>
      <c r="AI124">
        <v>0.3</v>
      </c>
      <c r="AJ124">
        <v>0</v>
      </c>
      <c r="AK124">
        <v>0.39999999999999997</v>
      </c>
      <c r="AO124">
        <v>42069</v>
      </c>
      <c r="AP124">
        <v>0.64000000000000024</v>
      </c>
      <c r="AQ124">
        <v>0.04</v>
      </c>
      <c r="AR124">
        <v>0</v>
      </c>
      <c r="AS124">
        <v>0.31999999999999978</v>
      </c>
      <c r="AV124">
        <v>42076</v>
      </c>
      <c r="AW124">
        <v>0</v>
      </c>
      <c r="AX124">
        <v>0.66000000000000025</v>
      </c>
      <c r="AY124">
        <v>0.32</v>
      </c>
      <c r="AZ124">
        <v>1.999999999999974E-2</v>
      </c>
      <c r="BC124">
        <v>41565</v>
      </c>
      <c r="BD124">
        <v>0.1</v>
      </c>
      <c r="BE124">
        <v>0</v>
      </c>
      <c r="BF124">
        <v>0.68000000000000027</v>
      </c>
      <c r="BG124">
        <v>0.21999999999999975</v>
      </c>
    </row>
    <row r="125" spans="1:59" x14ac:dyDescent="0.3">
      <c r="A125">
        <v>42419</v>
      </c>
      <c r="B125">
        <v>0.84000000000000041</v>
      </c>
      <c r="C125">
        <v>0</v>
      </c>
      <c r="D125">
        <v>0</v>
      </c>
      <c r="E125">
        <v>0.15999999999999959</v>
      </c>
      <c r="J125">
        <v>42286</v>
      </c>
      <c r="K125">
        <v>0.44000000000000011</v>
      </c>
      <c r="L125">
        <v>0</v>
      </c>
      <c r="M125">
        <v>0.36000000000000004</v>
      </c>
      <c r="N125">
        <v>0.19999999999999979</v>
      </c>
      <c r="R125">
        <v>42937</v>
      </c>
      <c r="S125">
        <v>0.3</v>
      </c>
      <c r="T125">
        <v>0.16</v>
      </c>
      <c r="U125">
        <v>0</v>
      </c>
      <c r="V125">
        <v>0.53999999999999992</v>
      </c>
      <c r="Z125">
        <v>42720</v>
      </c>
      <c r="AA125">
        <v>0.9400000000000005</v>
      </c>
      <c r="AB125">
        <v>0.04</v>
      </c>
      <c r="AC125">
        <v>0</v>
      </c>
      <c r="AD125">
        <v>1.9999999999999497E-2</v>
      </c>
      <c r="AG125">
        <v>42664</v>
      </c>
      <c r="AH125">
        <v>0.25999999999999995</v>
      </c>
      <c r="AI125">
        <v>0.34</v>
      </c>
      <c r="AJ125">
        <v>0</v>
      </c>
      <c r="AK125">
        <v>0.39999999999999997</v>
      </c>
      <c r="AO125">
        <v>42076</v>
      </c>
      <c r="AP125">
        <v>0.66000000000000025</v>
      </c>
      <c r="AQ125">
        <v>0.02</v>
      </c>
      <c r="AR125">
        <v>0</v>
      </c>
      <c r="AS125">
        <v>0.31999999999999973</v>
      </c>
      <c r="AV125">
        <v>42083</v>
      </c>
      <c r="AW125">
        <v>0</v>
      </c>
      <c r="AX125">
        <v>0.70000000000000029</v>
      </c>
      <c r="AY125">
        <v>0.27999999999999997</v>
      </c>
      <c r="AZ125">
        <v>1.999999999999974E-2</v>
      </c>
      <c r="BC125">
        <v>41572</v>
      </c>
      <c r="BD125">
        <v>0.12000000000000001</v>
      </c>
      <c r="BE125">
        <v>0</v>
      </c>
      <c r="BF125">
        <v>0.66000000000000025</v>
      </c>
      <c r="BG125">
        <v>0.21999999999999975</v>
      </c>
    </row>
    <row r="126" spans="1:59" x14ac:dyDescent="0.3">
      <c r="A126">
        <v>42426</v>
      </c>
      <c r="B126">
        <v>0.84000000000000041</v>
      </c>
      <c r="C126">
        <v>0</v>
      </c>
      <c r="D126">
        <v>0</v>
      </c>
      <c r="E126">
        <v>0.15999999999999959</v>
      </c>
      <c r="J126">
        <v>42293</v>
      </c>
      <c r="K126">
        <v>0.40000000000000008</v>
      </c>
      <c r="L126">
        <v>0</v>
      </c>
      <c r="M126">
        <v>0.38000000000000006</v>
      </c>
      <c r="N126">
        <v>0.21999999999999981</v>
      </c>
      <c r="R126">
        <v>42944</v>
      </c>
      <c r="S126">
        <v>0.32</v>
      </c>
      <c r="T126">
        <v>0</v>
      </c>
      <c r="U126">
        <v>0.14000000000000001</v>
      </c>
      <c r="V126">
        <v>0.53999999999999992</v>
      </c>
      <c r="Z126">
        <v>42727</v>
      </c>
      <c r="AA126">
        <v>0.96000000000000052</v>
      </c>
      <c r="AB126">
        <v>0.02</v>
      </c>
      <c r="AC126">
        <v>0</v>
      </c>
      <c r="AD126">
        <v>1.999999999999948E-2</v>
      </c>
      <c r="AG126">
        <v>42671</v>
      </c>
      <c r="AH126">
        <v>0.25999999999999995</v>
      </c>
      <c r="AI126">
        <v>0.34</v>
      </c>
      <c r="AJ126">
        <v>0</v>
      </c>
      <c r="AK126">
        <v>0.39999999999999997</v>
      </c>
      <c r="AO126">
        <v>42083</v>
      </c>
      <c r="AP126">
        <v>0.66000000000000025</v>
      </c>
      <c r="AQ126">
        <v>0.02</v>
      </c>
      <c r="AR126">
        <v>0</v>
      </c>
      <c r="AS126">
        <v>0.31999999999999973</v>
      </c>
      <c r="AV126">
        <v>42090</v>
      </c>
      <c r="AW126">
        <v>0</v>
      </c>
      <c r="AX126">
        <v>0.70000000000000029</v>
      </c>
      <c r="AY126">
        <v>0.27999999999999997</v>
      </c>
      <c r="AZ126">
        <v>1.999999999999974E-2</v>
      </c>
      <c r="BC126">
        <v>41579</v>
      </c>
      <c r="BD126">
        <v>0.08</v>
      </c>
      <c r="BE126">
        <v>0</v>
      </c>
      <c r="BF126">
        <v>0.62000000000000022</v>
      </c>
      <c r="BG126">
        <v>0.29999999999999982</v>
      </c>
    </row>
    <row r="127" spans="1:59" x14ac:dyDescent="0.3">
      <c r="A127">
        <v>42433</v>
      </c>
      <c r="B127">
        <v>0.88000000000000045</v>
      </c>
      <c r="C127">
        <v>0.02</v>
      </c>
      <c r="D127">
        <v>0</v>
      </c>
      <c r="E127">
        <v>9.9999999999999548E-2</v>
      </c>
      <c r="J127">
        <v>42300</v>
      </c>
      <c r="K127">
        <v>0.36000000000000004</v>
      </c>
      <c r="L127">
        <v>0</v>
      </c>
      <c r="M127">
        <v>0.40000000000000008</v>
      </c>
      <c r="N127">
        <v>0.23999999999999982</v>
      </c>
      <c r="R127">
        <v>42951</v>
      </c>
      <c r="S127">
        <v>0.32</v>
      </c>
      <c r="T127">
        <v>0.12000000000000001</v>
      </c>
      <c r="U127">
        <v>0.04</v>
      </c>
      <c r="V127">
        <v>0.51999999999999991</v>
      </c>
      <c r="Z127">
        <v>42734</v>
      </c>
      <c r="AA127">
        <v>0.88000000000000045</v>
      </c>
      <c r="AB127">
        <v>0.1</v>
      </c>
      <c r="AC127">
        <v>0</v>
      </c>
      <c r="AD127">
        <v>1.9999999999999546E-2</v>
      </c>
      <c r="AG127">
        <v>42678</v>
      </c>
      <c r="AH127">
        <v>0.27999999999999997</v>
      </c>
      <c r="AI127">
        <v>0.32</v>
      </c>
      <c r="AJ127">
        <v>0</v>
      </c>
      <c r="AK127">
        <v>0.39999999999999997</v>
      </c>
      <c r="AO127">
        <v>42090</v>
      </c>
      <c r="AP127">
        <v>0.64000000000000024</v>
      </c>
      <c r="AQ127">
        <v>0.04</v>
      </c>
      <c r="AR127">
        <v>0</v>
      </c>
      <c r="AS127">
        <v>0.31999999999999978</v>
      </c>
      <c r="AV127">
        <v>42097</v>
      </c>
      <c r="AW127">
        <v>0</v>
      </c>
      <c r="AX127">
        <v>0.68000000000000027</v>
      </c>
      <c r="AY127">
        <v>0.27999999999999997</v>
      </c>
      <c r="AZ127">
        <v>3.9999999999999758E-2</v>
      </c>
      <c r="BC127">
        <v>41586</v>
      </c>
      <c r="BD127">
        <v>0.04</v>
      </c>
      <c r="BE127">
        <v>0</v>
      </c>
      <c r="BF127">
        <v>0.62000000000000022</v>
      </c>
      <c r="BG127">
        <v>0.33999999999999975</v>
      </c>
    </row>
    <row r="128" spans="1:59" x14ac:dyDescent="0.3">
      <c r="A128">
        <v>42440</v>
      </c>
      <c r="B128">
        <v>0.70000000000000029</v>
      </c>
      <c r="C128">
        <v>0.14000000000000001</v>
      </c>
      <c r="D128">
        <v>0</v>
      </c>
      <c r="E128">
        <v>0.1599999999999997</v>
      </c>
      <c r="J128">
        <v>42307</v>
      </c>
      <c r="K128">
        <v>0.38000000000000006</v>
      </c>
      <c r="L128">
        <v>0</v>
      </c>
      <c r="M128">
        <v>0.40000000000000008</v>
      </c>
      <c r="N128">
        <v>0.21999999999999981</v>
      </c>
      <c r="R128">
        <v>42958</v>
      </c>
      <c r="S128">
        <v>0.27999999999999997</v>
      </c>
      <c r="T128">
        <v>0.18</v>
      </c>
      <c r="U128">
        <v>0</v>
      </c>
      <c r="V128">
        <v>0.54</v>
      </c>
      <c r="Z128">
        <v>42741</v>
      </c>
      <c r="AA128">
        <v>0.84000000000000041</v>
      </c>
      <c r="AB128">
        <v>0.14000000000000001</v>
      </c>
      <c r="AC128">
        <v>0</v>
      </c>
      <c r="AD128">
        <v>1.9999999999999574E-2</v>
      </c>
      <c r="AG128">
        <v>42685</v>
      </c>
      <c r="AH128">
        <v>0.32</v>
      </c>
      <c r="AI128">
        <v>0.32</v>
      </c>
      <c r="AJ128">
        <v>0</v>
      </c>
      <c r="AK128">
        <v>0.35999999999999993</v>
      </c>
      <c r="AO128">
        <v>42097</v>
      </c>
      <c r="AP128">
        <v>0.68000000000000027</v>
      </c>
      <c r="AQ128">
        <v>0</v>
      </c>
      <c r="AR128">
        <v>0</v>
      </c>
      <c r="AS128">
        <v>0.31999999999999973</v>
      </c>
      <c r="AV128">
        <v>42104</v>
      </c>
      <c r="AW128">
        <v>0</v>
      </c>
      <c r="AX128">
        <v>0.74000000000000032</v>
      </c>
      <c r="AY128">
        <v>0.23999999999999996</v>
      </c>
      <c r="AZ128">
        <v>1.9999999999999712E-2</v>
      </c>
      <c r="BC128">
        <v>41593</v>
      </c>
      <c r="BD128">
        <v>0</v>
      </c>
      <c r="BE128">
        <v>0</v>
      </c>
      <c r="BF128">
        <v>0.64000000000000024</v>
      </c>
      <c r="BG128">
        <v>0.35999999999999976</v>
      </c>
    </row>
    <row r="129" spans="1:59" x14ac:dyDescent="0.3">
      <c r="A129">
        <v>42447</v>
      </c>
      <c r="B129">
        <v>0.74000000000000032</v>
      </c>
      <c r="C129">
        <v>0.1</v>
      </c>
      <c r="D129">
        <v>0</v>
      </c>
      <c r="E129">
        <v>0.15999999999999967</v>
      </c>
      <c r="J129">
        <v>42314</v>
      </c>
      <c r="K129">
        <v>0.38000000000000006</v>
      </c>
      <c r="L129">
        <v>0</v>
      </c>
      <c r="M129">
        <v>0.40000000000000008</v>
      </c>
      <c r="N129">
        <v>0.21999999999999981</v>
      </c>
      <c r="R129">
        <v>42965</v>
      </c>
      <c r="S129">
        <v>0.27999999999999997</v>
      </c>
      <c r="T129">
        <v>0.18</v>
      </c>
      <c r="U129">
        <v>0</v>
      </c>
      <c r="V129">
        <v>0.54</v>
      </c>
      <c r="Z129">
        <v>42748</v>
      </c>
      <c r="AA129">
        <v>0.68000000000000027</v>
      </c>
      <c r="AB129">
        <v>0.3</v>
      </c>
      <c r="AC129">
        <v>0</v>
      </c>
      <c r="AD129">
        <v>1.999999999999974E-2</v>
      </c>
      <c r="AG129">
        <v>42692</v>
      </c>
      <c r="AH129">
        <v>0.34</v>
      </c>
      <c r="AI129">
        <v>0.27999999999999997</v>
      </c>
      <c r="AJ129">
        <v>0</v>
      </c>
      <c r="AK129">
        <v>0.37999999999999995</v>
      </c>
      <c r="AO129">
        <v>42104</v>
      </c>
      <c r="AP129">
        <v>0.68000000000000027</v>
      </c>
      <c r="AQ129">
        <v>0</v>
      </c>
      <c r="AR129">
        <v>0</v>
      </c>
      <c r="AS129">
        <v>0.31999999999999973</v>
      </c>
      <c r="AV129">
        <v>42111</v>
      </c>
      <c r="AW129">
        <v>0</v>
      </c>
      <c r="AX129">
        <v>0.70000000000000029</v>
      </c>
      <c r="AY129">
        <v>0.25999999999999995</v>
      </c>
      <c r="AZ129">
        <v>3.9999999999999758E-2</v>
      </c>
      <c r="BC129">
        <v>41600</v>
      </c>
      <c r="BD129">
        <v>0.02</v>
      </c>
      <c r="BE129">
        <v>0</v>
      </c>
      <c r="BF129">
        <v>0.62000000000000022</v>
      </c>
      <c r="BG129">
        <v>0.35999999999999976</v>
      </c>
    </row>
    <row r="130" spans="1:59" x14ac:dyDescent="0.3">
      <c r="A130">
        <v>42454</v>
      </c>
      <c r="B130">
        <v>0.76000000000000034</v>
      </c>
      <c r="C130">
        <v>0.06</v>
      </c>
      <c r="D130">
        <v>0</v>
      </c>
      <c r="E130">
        <v>0.17999999999999966</v>
      </c>
      <c r="J130">
        <v>42321</v>
      </c>
      <c r="K130">
        <v>0.34</v>
      </c>
      <c r="L130">
        <v>0</v>
      </c>
      <c r="M130">
        <v>0.4200000000000001</v>
      </c>
      <c r="N130">
        <v>0.23999999999999982</v>
      </c>
      <c r="R130">
        <v>42972</v>
      </c>
      <c r="S130">
        <v>0.25999999999999995</v>
      </c>
      <c r="T130">
        <v>0.16</v>
      </c>
      <c r="U130">
        <v>0</v>
      </c>
      <c r="V130">
        <v>0.57999999999999996</v>
      </c>
      <c r="Z130">
        <v>42755</v>
      </c>
      <c r="AA130">
        <v>0.70000000000000029</v>
      </c>
      <c r="AB130">
        <v>0.27999999999999997</v>
      </c>
      <c r="AC130">
        <v>0</v>
      </c>
      <c r="AD130">
        <v>1.999999999999974E-2</v>
      </c>
      <c r="AG130">
        <v>42699</v>
      </c>
      <c r="AH130">
        <v>0.32</v>
      </c>
      <c r="AI130">
        <v>0.27999999999999997</v>
      </c>
      <c r="AJ130">
        <v>0</v>
      </c>
      <c r="AK130">
        <v>0.39999999999999997</v>
      </c>
      <c r="AO130">
        <v>42111</v>
      </c>
      <c r="AP130">
        <v>0.66000000000000025</v>
      </c>
      <c r="AQ130">
        <v>0</v>
      </c>
      <c r="AR130">
        <v>0</v>
      </c>
      <c r="AS130">
        <v>0.33999999999999975</v>
      </c>
      <c r="AV130">
        <v>42118</v>
      </c>
      <c r="AW130">
        <v>0.1</v>
      </c>
      <c r="AX130">
        <v>0.6000000000000002</v>
      </c>
      <c r="AY130">
        <v>0.27999999999999997</v>
      </c>
      <c r="AZ130">
        <v>1.9999999999999851E-2</v>
      </c>
      <c r="BC130">
        <v>41607</v>
      </c>
      <c r="BD130">
        <v>0.02</v>
      </c>
      <c r="BE130">
        <v>0</v>
      </c>
      <c r="BF130">
        <v>0.66000000000000025</v>
      </c>
      <c r="BG130">
        <v>0.31999999999999973</v>
      </c>
    </row>
    <row r="131" spans="1:59" x14ac:dyDescent="0.3">
      <c r="A131">
        <v>42461</v>
      </c>
      <c r="B131">
        <v>0.64000000000000024</v>
      </c>
      <c r="C131">
        <v>0.12000000000000001</v>
      </c>
      <c r="D131">
        <v>0</v>
      </c>
      <c r="E131">
        <v>0.23999999999999977</v>
      </c>
      <c r="J131">
        <v>42328</v>
      </c>
      <c r="K131">
        <v>0.3</v>
      </c>
      <c r="L131">
        <v>0</v>
      </c>
      <c r="M131">
        <v>0.44000000000000011</v>
      </c>
      <c r="N131">
        <v>0.25999999999999984</v>
      </c>
      <c r="R131">
        <v>42979</v>
      </c>
      <c r="S131">
        <v>0.3</v>
      </c>
      <c r="T131">
        <v>0.12000000000000001</v>
      </c>
      <c r="U131">
        <v>0</v>
      </c>
      <c r="V131">
        <v>0.57999999999999996</v>
      </c>
      <c r="Z131">
        <v>42761</v>
      </c>
      <c r="AA131">
        <v>0.6000000000000002</v>
      </c>
      <c r="AB131">
        <v>0.38000000000000006</v>
      </c>
      <c r="AC131">
        <v>0</v>
      </c>
      <c r="AD131">
        <v>1.999999999999974E-2</v>
      </c>
      <c r="AG131">
        <v>42706</v>
      </c>
      <c r="AH131">
        <v>0.36000000000000004</v>
      </c>
      <c r="AI131">
        <v>0.27999999999999997</v>
      </c>
      <c r="AJ131">
        <v>0</v>
      </c>
      <c r="AK131">
        <v>0.35999999999999993</v>
      </c>
      <c r="AO131">
        <v>42118</v>
      </c>
      <c r="AP131">
        <v>0.6000000000000002</v>
      </c>
      <c r="AQ131">
        <v>0.04</v>
      </c>
      <c r="AR131">
        <v>0</v>
      </c>
      <c r="AS131">
        <v>0.35999999999999982</v>
      </c>
      <c r="AV131">
        <v>42124</v>
      </c>
      <c r="AW131">
        <v>0.08</v>
      </c>
      <c r="AX131">
        <v>0.68000000000000027</v>
      </c>
      <c r="AY131">
        <v>0.21999999999999997</v>
      </c>
      <c r="AZ131">
        <v>1.9999999999999796E-2</v>
      </c>
      <c r="BC131">
        <v>41614</v>
      </c>
      <c r="BD131">
        <v>0.06</v>
      </c>
      <c r="BE131">
        <v>0</v>
      </c>
      <c r="BF131">
        <v>0.64000000000000024</v>
      </c>
      <c r="BG131">
        <v>0.29999999999999971</v>
      </c>
    </row>
    <row r="132" spans="1:59" x14ac:dyDescent="0.3">
      <c r="A132">
        <v>42468</v>
      </c>
      <c r="B132">
        <v>0.62000000000000022</v>
      </c>
      <c r="C132">
        <v>0.16</v>
      </c>
      <c r="D132">
        <v>0</v>
      </c>
      <c r="E132">
        <v>0.21999999999999978</v>
      </c>
      <c r="J132">
        <v>42335</v>
      </c>
      <c r="K132">
        <v>0.3</v>
      </c>
      <c r="L132">
        <v>0</v>
      </c>
      <c r="M132">
        <v>0.44000000000000011</v>
      </c>
      <c r="N132">
        <v>0.25999999999999984</v>
      </c>
      <c r="R132">
        <v>42986</v>
      </c>
      <c r="S132">
        <v>0.32</v>
      </c>
      <c r="T132">
        <v>0.16</v>
      </c>
      <c r="U132">
        <v>0</v>
      </c>
      <c r="V132">
        <v>0.51999999999999991</v>
      </c>
      <c r="Z132">
        <v>42769</v>
      </c>
      <c r="AA132">
        <v>0.6000000000000002</v>
      </c>
      <c r="AB132">
        <v>0.38000000000000006</v>
      </c>
      <c r="AC132">
        <v>0</v>
      </c>
      <c r="AD132">
        <v>1.999999999999974E-2</v>
      </c>
      <c r="AG132">
        <v>42713</v>
      </c>
      <c r="AH132">
        <v>0.6000000000000002</v>
      </c>
      <c r="AI132">
        <v>0</v>
      </c>
      <c r="AJ132">
        <v>0</v>
      </c>
      <c r="AK132">
        <v>0.3999999999999998</v>
      </c>
      <c r="AO132">
        <v>42124</v>
      </c>
      <c r="AP132">
        <v>0.64000000000000024</v>
      </c>
      <c r="AQ132">
        <v>0</v>
      </c>
      <c r="AR132">
        <v>0</v>
      </c>
      <c r="AS132">
        <v>0.35999999999999976</v>
      </c>
      <c r="AV132">
        <v>42132</v>
      </c>
      <c r="AW132">
        <v>0.12000000000000001</v>
      </c>
      <c r="AX132">
        <v>0.56000000000000016</v>
      </c>
      <c r="AY132">
        <v>0.3</v>
      </c>
      <c r="AZ132">
        <v>1.9999999999999851E-2</v>
      </c>
      <c r="BC132">
        <v>41621</v>
      </c>
      <c r="BD132">
        <v>0.08</v>
      </c>
      <c r="BE132">
        <v>0</v>
      </c>
      <c r="BF132">
        <v>0.62000000000000022</v>
      </c>
      <c r="BG132">
        <v>0.29999999999999982</v>
      </c>
    </row>
    <row r="133" spans="1:59" x14ac:dyDescent="0.3">
      <c r="A133">
        <v>42475</v>
      </c>
      <c r="B133">
        <v>0.56000000000000016</v>
      </c>
      <c r="C133">
        <v>0.18</v>
      </c>
      <c r="D133">
        <v>0</v>
      </c>
      <c r="E133">
        <v>0.25999999999999984</v>
      </c>
      <c r="J133">
        <v>42342</v>
      </c>
      <c r="K133">
        <v>0.32</v>
      </c>
      <c r="L133">
        <v>0.02</v>
      </c>
      <c r="M133">
        <v>0.4200000000000001</v>
      </c>
      <c r="N133">
        <v>0.23999999999999982</v>
      </c>
      <c r="R133">
        <v>42993</v>
      </c>
      <c r="S133">
        <v>0.34</v>
      </c>
      <c r="T133">
        <v>0.16</v>
      </c>
      <c r="U133">
        <v>0</v>
      </c>
      <c r="V133">
        <v>0.49999999999999989</v>
      </c>
      <c r="Z133">
        <v>42776</v>
      </c>
      <c r="AA133">
        <v>0.62000000000000022</v>
      </c>
      <c r="AB133">
        <v>0.36000000000000004</v>
      </c>
      <c r="AC133">
        <v>0</v>
      </c>
      <c r="AD133">
        <v>1.999999999999974E-2</v>
      </c>
      <c r="AG133">
        <v>42720</v>
      </c>
      <c r="AH133">
        <v>0.58000000000000018</v>
      </c>
      <c r="AI133">
        <v>0</v>
      </c>
      <c r="AJ133">
        <v>0</v>
      </c>
      <c r="AK133">
        <v>0.41999999999999982</v>
      </c>
      <c r="AO133">
        <v>42132</v>
      </c>
      <c r="AP133">
        <v>0.64000000000000024</v>
      </c>
      <c r="AQ133">
        <v>0</v>
      </c>
      <c r="AR133">
        <v>0</v>
      </c>
      <c r="AS133">
        <v>0.35999999999999976</v>
      </c>
      <c r="AV133">
        <v>42139</v>
      </c>
      <c r="AW133">
        <v>0.1</v>
      </c>
      <c r="AX133">
        <v>0.68000000000000027</v>
      </c>
      <c r="AY133">
        <v>0.19999999999999998</v>
      </c>
      <c r="AZ133">
        <v>1.9999999999999768E-2</v>
      </c>
      <c r="BC133">
        <v>41628</v>
      </c>
      <c r="BD133">
        <v>0.12000000000000001</v>
      </c>
      <c r="BE133">
        <v>0</v>
      </c>
      <c r="BF133">
        <v>0.58000000000000018</v>
      </c>
      <c r="BG133">
        <v>0.29999999999999982</v>
      </c>
    </row>
    <row r="134" spans="1:59" x14ac:dyDescent="0.3">
      <c r="A134">
        <v>42482</v>
      </c>
      <c r="B134">
        <v>0.56000000000000016</v>
      </c>
      <c r="C134">
        <v>0.19999999999999998</v>
      </c>
      <c r="D134">
        <v>0</v>
      </c>
      <c r="E134">
        <v>0.23999999999999985</v>
      </c>
      <c r="J134">
        <v>42349</v>
      </c>
      <c r="K134">
        <v>0.32</v>
      </c>
      <c r="L134">
        <v>0.02</v>
      </c>
      <c r="M134">
        <v>0.4200000000000001</v>
      </c>
      <c r="N134">
        <v>0.23999999999999982</v>
      </c>
      <c r="R134">
        <v>43000</v>
      </c>
      <c r="S134">
        <v>0.32</v>
      </c>
      <c r="T134">
        <v>0.16</v>
      </c>
      <c r="U134">
        <v>0</v>
      </c>
      <c r="V134">
        <v>0.51999999999999991</v>
      </c>
      <c r="Z134">
        <v>42783</v>
      </c>
      <c r="AA134">
        <v>0.6000000000000002</v>
      </c>
      <c r="AB134">
        <v>0.38000000000000006</v>
      </c>
      <c r="AC134">
        <v>0</v>
      </c>
      <c r="AD134">
        <v>1.999999999999974E-2</v>
      </c>
      <c r="AG134">
        <v>42727</v>
      </c>
      <c r="AH134">
        <v>0.76000000000000034</v>
      </c>
      <c r="AI134">
        <v>0</v>
      </c>
      <c r="AJ134">
        <v>0</v>
      </c>
      <c r="AK134">
        <v>0.23999999999999966</v>
      </c>
      <c r="AO134">
        <v>42139</v>
      </c>
      <c r="AP134">
        <v>0.64000000000000024</v>
      </c>
      <c r="AQ134">
        <v>0</v>
      </c>
      <c r="AR134">
        <v>0</v>
      </c>
      <c r="AS134">
        <v>0.35999999999999976</v>
      </c>
      <c r="AV134">
        <v>42146</v>
      </c>
      <c r="AW134">
        <v>0.12000000000000001</v>
      </c>
      <c r="AX134">
        <v>0.64000000000000024</v>
      </c>
      <c r="AY134">
        <v>0.21999999999999997</v>
      </c>
      <c r="AZ134">
        <v>1.9999999999999796E-2</v>
      </c>
      <c r="BC134">
        <v>41635</v>
      </c>
      <c r="BD134">
        <v>0.16</v>
      </c>
      <c r="BE134">
        <v>0</v>
      </c>
      <c r="BF134">
        <v>0.58000000000000018</v>
      </c>
      <c r="BG134">
        <v>0.25999999999999979</v>
      </c>
    </row>
    <row r="135" spans="1:59" x14ac:dyDescent="0.3">
      <c r="A135">
        <v>42489</v>
      </c>
      <c r="B135">
        <v>0.54000000000000015</v>
      </c>
      <c r="C135">
        <v>0.23999999999999996</v>
      </c>
      <c r="D135">
        <v>0</v>
      </c>
      <c r="E135">
        <v>0.21999999999999989</v>
      </c>
      <c r="J135">
        <v>42356</v>
      </c>
      <c r="K135">
        <v>0.34</v>
      </c>
      <c r="L135">
        <v>0</v>
      </c>
      <c r="M135">
        <v>0.4200000000000001</v>
      </c>
      <c r="N135">
        <v>0.23999999999999982</v>
      </c>
      <c r="R135">
        <v>43007</v>
      </c>
      <c r="S135">
        <v>0.3</v>
      </c>
      <c r="T135">
        <v>0.16</v>
      </c>
      <c r="U135">
        <v>0</v>
      </c>
      <c r="V135">
        <v>0.53999999999999992</v>
      </c>
      <c r="Z135">
        <v>42790</v>
      </c>
      <c r="AA135">
        <v>0.64000000000000024</v>
      </c>
      <c r="AB135">
        <v>0.34</v>
      </c>
      <c r="AC135">
        <v>0</v>
      </c>
      <c r="AD135">
        <v>1.999999999999974E-2</v>
      </c>
      <c r="AG135">
        <v>42734</v>
      </c>
      <c r="AH135">
        <v>0.80000000000000038</v>
      </c>
      <c r="AI135">
        <v>0</v>
      </c>
      <c r="AJ135">
        <v>0</v>
      </c>
      <c r="AK135">
        <v>0.19999999999999962</v>
      </c>
      <c r="AO135">
        <v>42146</v>
      </c>
      <c r="AP135">
        <v>0.64000000000000024</v>
      </c>
      <c r="AQ135">
        <v>0</v>
      </c>
      <c r="AR135">
        <v>0</v>
      </c>
      <c r="AS135">
        <v>0.35999999999999976</v>
      </c>
      <c r="AV135">
        <v>42153</v>
      </c>
      <c r="AW135">
        <v>0.12000000000000001</v>
      </c>
      <c r="AX135">
        <v>0.64000000000000024</v>
      </c>
      <c r="AY135">
        <v>0.21999999999999997</v>
      </c>
      <c r="AZ135">
        <v>1.9999999999999796E-2</v>
      </c>
      <c r="BC135">
        <v>41642</v>
      </c>
      <c r="BD135">
        <v>0.16</v>
      </c>
      <c r="BE135">
        <v>0</v>
      </c>
      <c r="BF135">
        <v>0.56000000000000016</v>
      </c>
      <c r="BG135">
        <v>0.2799999999999998</v>
      </c>
    </row>
    <row r="136" spans="1:59" x14ac:dyDescent="0.3">
      <c r="A136">
        <v>42496</v>
      </c>
      <c r="B136">
        <v>0.56000000000000016</v>
      </c>
      <c r="C136">
        <v>0.23999999999999996</v>
      </c>
      <c r="D136">
        <v>0</v>
      </c>
      <c r="E136">
        <v>0.19999999999999987</v>
      </c>
      <c r="J136">
        <v>42363</v>
      </c>
      <c r="K136">
        <v>0.32</v>
      </c>
      <c r="L136">
        <v>0.04</v>
      </c>
      <c r="M136">
        <v>0.38000000000000006</v>
      </c>
      <c r="N136">
        <v>0.25999999999999984</v>
      </c>
      <c r="R136">
        <v>43021</v>
      </c>
      <c r="S136">
        <v>0.32</v>
      </c>
      <c r="T136">
        <v>0.16</v>
      </c>
      <c r="U136">
        <v>0</v>
      </c>
      <c r="V136">
        <v>0.51999999999999991</v>
      </c>
      <c r="Z136">
        <v>42797</v>
      </c>
      <c r="AA136">
        <v>0.64000000000000024</v>
      </c>
      <c r="AB136">
        <v>0.34</v>
      </c>
      <c r="AC136">
        <v>0</v>
      </c>
      <c r="AD136">
        <v>1.999999999999974E-2</v>
      </c>
      <c r="AG136">
        <v>42741</v>
      </c>
      <c r="AH136">
        <v>0.8200000000000004</v>
      </c>
      <c r="AI136">
        <v>0</v>
      </c>
      <c r="AJ136">
        <v>0</v>
      </c>
      <c r="AK136">
        <v>0.1799999999999996</v>
      </c>
      <c r="AO136">
        <v>42153</v>
      </c>
      <c r="AP136">
        <v>0.62000000000000022</v>
      </c>
      <c r="AQ136">
        <v>0</v>
      </c>
      <c r="AR136">
        <v>0</v>
      </c>
      <c r="AS136">
        <v>0.37999999999999978</v>
      </c>
      <c r="AV136">
        <v>42160</v>
      </c>
      <c r="AW136">
        <v>0.12000000000000001</v>
      </c>
      <c r="AX136">
        <v>0.64000000000000024</v>
      </c>
      <c r="AY136">
        <v>0.21999999999999997</v>
      </c>
      <c r="AZ136">
        <v>1.9999999999999796E-2</v>
      </c>
      <c r="BC136">
        <v>41649</v>
      </c>
      <c r="BD136">
        <v>0.16</v>
      </c>
      <c r="BE136">
        <v>0</v>
      </c>
      <c r="BF136">
        <v>0.58000000000000018</v>
      </c>
      <c r="BG136">
        <v>0.25999999999999979</v>
      </c>
    </row>
    <row r="137" spans="1:59" x14ac:dyDescent="0.3">
      <c r="A137">
        <v>42503</v>
      </c>
      <c r="B137">
        <v>0.58000000000000018</v>
      </c>
      <c r="C137">
        <v>0.23999999999999996</v>
      </c>
      <c r="D137">
        <v>0</v>
      </c>
      <c r="E137">
        <v>0.17999999999999985</v>
      </c>
      <c r="J137">
        <v>42369</v>
      </c>
      <c r="K137">
        <v>0.3</v>
      </c>
      <c r="L137">
        <v>0.08</v>
      </c>
      <c r="M137">
        <v>0.36000000000000004</v>
      </c>
      <c r="N137">
        <v>0.25999999999999995</v>
      </c>
      <c r="R137">
        <v>43028</v>
      </c>
      <c r="S137">
        <v>0.3</v>
      </c>
      <c r="T137">
        <v>0.18</v>
      </c>
      <c r="U137">
        <v>0</v>
      </c>
      <c r="V137">
        <v>0.52</v>
      </c>
      <c r="Z137">
        <v>42804</v>
      </c>
      <c r="AA137">
        <v>0.66000000000000025</v>
      </c>
      <c r="AB137">
        <v>0.32</v>
      </c>
      <c r="AC137">
        <v>0</v>
      </c>
      <c r="AD137">
        <v>1.999999999999974E-2</v>
      </c>
      <c r="AG137">
        <v>42748</v>
      </c>
      <c r="AH137">
        <v>0.38000000000000006</v>
      </c>
      <c r="AI137">
        <v>0.21999999999999997</v>
      </c>
      <c r="AJ137">
        <v>0</v>
      </c>
      <c r="AK137">
        <v>0.39999999999999991</v>
      </c>
      <c r="AO137">
        <v>42160</v>
      </c>
      <c r="AP137">
        <v>0.62000000000000022</v>
      </c>
      <c r="AQ137">
        <v>0</v>
      </c>
      <c r="AR137">
        <v>0</v>
      </c>
      <c r="AS137">
        <v>0.37999999999999978</v>
      </c>
      <c r="AV137">
        <v>42167</v>
      </c>
      <c r="AW137">
        <v>0.08</v>
      </c>
      <c r="AX137">
        <v>0.74000000000000032</v>
      </c>
      <c r="AY137">
        <v>0.16</v>
      </c>
      <c r="AZ137">
        <v>1.9999999999999712E-2</v>
      </c>
      <c r="BC137">
        <v>41656</v>
      </c>
      <c r="BD137">
        <v>0.14000000000000001</v>
      </c>
      <c r="BE137">
        <v>0</v>
      </c>
      <c r="BF137">
        <v>0.58000000000000018</v>
      </c>
      <c r="BG137">
        <v>0.2799999999999998</v>
      </c>
    </row>
    <row r="138" spans="1:59" x14ac:dyDescent="0.3">
      <c r="A138">
        <v>42510</v>
      </c>
      <c r="B138">
        <v>0.48000000000000015</v>
      </c>
      <c r="C138">
        <v>0.34</v>
      </c>
      <c r="D138">
        <v>0</v>
      </c>
      <c r="E138">
        <v>0.17999999999999977</v>
      </c>
      <c r="J138">
        <v>42377</v>
      </c>
      <c r="K138">
        <v>0.27999999999999997</v>
      </c>
      <c r="L138">
        <v>0</v>
      </c>
      <c r="M138">
        <v>0.44000000000000011</v>
      </c>
      <c r="N138">
        <v>0.27999999999999986</v>
      </c>
      <c r="R138">
        <v>43035</v>
      </c>
      <c r="S138">
        <v>0.32</v>
      </c>
      <c r="T138">
        <v>0.14000000000000001</v>
      </c>
      <c r="U138">
        <v>0.04</v>
      </c>
      <c r="V138">
        <v>0.49999999999999994</v>
      </c>
      <c r="Z138">
        <v>42811</v>
      </c>
      <c r="AA138">
        <v>0.66000000000000025</v>
      </c>
      <c r="AB138">
        <v>0.32</v>
      </c>
      <c r="AC138">
        <v>0</v>
      </c>
      <c r="AD138">
        <v>1.999999999999974E-2</v>
      </c>
      <c r="AG138">
        <v>42755</v>
      </c>
      <c r="AH138">
        <v>0.40000000000000008</v>
      </c>
      <c r="AI138">
        <v>0.18</v>
      </c>
      <c r="AJ138">
        <v>0</v>
      </c>
      <c r="AK138">
        <v>0.41999999999999987</v>
      </c>
      <c r="AO138">
        <v>42167</v>
      </c>
      <c r="AP138">
        <v>0.62000000000000022</v>
      </c>
      <c r="AQ138">
        <v>0</v>
      </c>
      <c r="AR138">
        <v>0</v>
      </c>
      <c r="AS138">
        <v>0.37999999999999978</v>
      </c>
      <c r="AV138">
        <v>42174</v>
      </c>
      <c r="AW138">
        <v>0.1</v>
      </c>
      <c r="AX138">
        <v>0.68000000000000027</v>
      </c>
      <c r="AY138">
        <v>0.19999999999999998</v>
      </c>
      <c r="AZ138">
        <v>1.9999999999999768E-2</v>
      </c>
      <c r="BC138">
        <v>41663</v>
      </c>
      <c r="BD138">
        <v>0.14000000000000001</v>
      </c>
      <c r="BE138">
        <v>0</v>
      </c>
      <c r="BF138">
        <v>0.58000000000000018</v>
      </c>
      <c r="BG138">
        <v>0.2799999999999998</v>
      </c>
    </row>
    <row r="139" spans="1:59" x14ac:dyDescent="0.3">
      <c r="A139">
        <v>42517</v>
      </c>
      <c r="B139">
        <v>0.46000000000000013</v>
      </c>
      <c r="C139">
        <v>0.34</v>
      </c>
      <c r="D139">
        <v>0</v>
      </c>
      <c r="E139">
        <v>0.19999999999999979</v>
      </c>
      <c r="J139">
        <v>42384</v>
      </c>
      <c r="K139">
        <v>0.27999999999999997</v>
      </c>
      <c r="L139">
        <v>0</v>
      </c>
      <c r="M139">
        <v>0.44000000000000011</v>
      </c>
      <c r="N139">
        <v>0.27999999999999986</v>
      </c>
      <c r="R139">
        <v>43042</v>
      </c>
      <c r="S139">
        <v>0.34</v>
      </c>
      <c r="T139">
        <v>0.04</v>
      </c>
      <c r="U139">
        <v>0.12000000000000001</v>
      </c>
      <c r="V139">
        <v>0.49999999999999989</v>
      </c>
      <c r="Z139">
        <v>42818</v>
      </c>
      <c r="AA139">
        <v>0.66000000000000025</v>
      </c>
      <c r="AB139">
        <v>0.32</v>
      </c>
      <c r="AC139">
        <v>0</v>
      </c>
      <c r="AD139">
        <v>1.999999999999974E-2</v>
      </c>
      <c r="AG139">
        <v>42761</v>
      </c>
      <c r="AH139">
        <v>0.4200000000000001</v>
      </c>
      <c r="AI139">
        <v>0.25999999999999995</v>
      </c>
      <c r="AJ139">
        <v>0</v>
      </c>
      <c r="AK139">
        <v>0.3199999999999999</v>
      </c>
      <c r="AO139">
        <v>42174</v>
      </c>
      <c r="AP139">
        <v>0.62000000000000022</v>
      </c>
      <c r="AQ139">
        <v>0</v>
      </c>
      <c r="AR139">
        <v>0</v>
      </c>
      <c r="AS139">
        <v>0.37999999999999978</v>
      </c>
      <c r="AV139">
        <v>42181</v>
      </c>
      <c r="AW139">
        <v>0.12000000000000001</v>
      </c>
      <c r="AX139">
        <v>0.64000000000000024</v>
      </c>
      <c r="AY139">
        <v>0.21999999999999997</v>
      </c>
      <c r="AZ139">
        <v>1.9999999999999796E-2</v>
      </c>
      <c r="BC139">
        <v>41669</v>
      </c>
      <c r="BD139">
        <v>0.14000000000000001</v>
      </c>
      <c r="BE139">
        <v>0</v>
      </c>
      <c r="BF139">
        <v>0.56000000000000016</v>
      </c>
      <c r="BG139">
        <v>0.29999999999999982</v>
      </c>
    </row>
    <row r="140" spans="1:59" x14ac:dyDescent="0.3">
      <c r="A140">
        <v>42524</v>
      </c>
      <c r="B140">
        <v>0.44000000000000011</v>
      </c>
      <c r="C140">
        <v>0.36000000000000004</v>
      </c>
      <c r="D140">
        <v>0</v>
      </c>
      <c r="E140">
        <v>0.19999999999999979</v>
      </c>
      <c r="J140">
        <v>42391</v>
      </c>
      <c r="K140">
        <v>0.27999999999999997</v>
      </c>
      <c r="L140">
        <v>0</v>
      </c>
      <c r="M140">
        <v>0.4200000000000001</v>
      </c>
      <c r="N140">
        <v>0.29999999999999988</v>
      </c>
      <c r="R140">
        <v>43049</v>
      </c>
      <c r="S140">
        <v>0.34</v>
      </c>
      <c r="T140">
        <v>0.14000000000000001</v>
      </c>
      <c r="U140">
        <v>0.04</v>
      </c>
      <c r="V140">
        <v>0.47999999999999993</v>
      </c>
      <c r="Z140">
        <v>42825</v>
      </c>
      <c r="AA140">
        <v>0.66000000000000025</v>
      </c>
      <c r="AB140">
        <v>0.32</v>
      </c>
      <c r="AC140">
        <v>0</v>
      </c>
      <c r="AD140">
        <v>1.999999999999974E-2</v>
      </c>
      <c r="AG140">
        <v>42769</v>
      </c>
      <c r="AH140">
        <v>0.46000000000000013</v>
      </c>
      <c r="AI140">
        <v>0.23999999999999996</v>
      </c>
      <c r="AJ140">
        <v>0</v>
      </c>
      <c r="AK140">
        <v>0.29999999999999982</v>
      </c>
      <c r="AO140">
        <v>42181</v>
      </c>
      <c r="AP140">
        <v>0.6000000000000002</v>
      </c>
      <c r="AQ140">
        <v>0</v>
      </c>
      <c r="AR140">
        <v>0</v>
      </c>
      <c r="AS140">
        <v>0.3999999999999998</v>
      </c>
      <c r="AV140">
        <v>42188</v>
      </c>
      <c r="AW140">
        <v>0.1</v>
      </c>
      <c r="AX140">
        <v>0.64000000000000024</v>
      </c>
      <c r="AY140">
        <v>0.21999999999999997</v>
      </c>
      <c r="AZ140">
        <v>3.9999999999999813E-2</v>
      </c>
      <c r="BC140">
        <v>41677</v>
      </c>
      <c r="BD140">
        <v>0.1</v>
      </c>
      <c r="BE140">
        <v>0</v>
      </c>
      <c r="BF140">
        <v>0.58000000000000018</v>
      </c>
      <c r="BG140">
        <v>0.31999999999999984</v>
      </c>
    </row>
    <row r="141" spans="1:59" x14ac:dyDescent="0.3">
      <c r="A141">
        <v>42529</v>
      </c>
      <c r="B141">
        <v>0.4200000000000001</v>
      </c>
      <c r="C141">
        <v>0.40000000000000008</v>
      </c>
      <c r="D141">
        <v>0</v>
      </c>
      <c r="E141">
        <v>0.17999999999999977</v>
      </c>
      <c r="J141">
        <v>42398</v>
      </c>
      <c r="K141">
        <v>0.27999999999999997</v>
      </c>
      <c r="L141">
        <v>0</v>
      </c>
      <c r="M141">
        <v>0.4200000000000001</v>
      </c>
      <c r="N141">
        <v>0.29999999999999988</v>
      </c>
      <c r="R141">
        <v>43056</v>
      </c>
      <c r="S141">
        <v>0.34</v>
      </c>
      <c r="T141">
        <v>0.16</v>
      </c>
      <c r="U141">
        <v>0.02</v>
      </c>
      <c r="V141">
        <v>0.47999999999999987</v>
      </c>
      <c r="Z141">
        <v>42832</v>
      </c>
      <c r="AA141">
        <v>0.64000000000000024</v>
      </c>
      <c r="AB141">
        <v>0.34</v>
      </c>
      <c r="AC141">
        <v>0</v>
      </c>
      <c r="AD141">
        <v>1.999999999999974E-2</v>
      </c>
      <c r="AG141">
        <v>42776</v>
      </c>
      <c r="AH141">
        <v>0.52000000000000013</v>
      </c>
      <c r="AI141">
        <v>0.21999999999999997</v>
      </c>
      <c r="AJ141">
        <v>0</v>
      </c>
      <c r="AK141">
        <v>0.2599999999999999</v>
      </c>
      <c r="AO141">
        <v>42188</v>
      </c>
      <c r="AP141">
        <v>0.64000000000000024</v>
      </c>
      <c r="AQ141">
        <v>0</v>
      </c>
      <c r="AR141">
        <v>0</v>
      </c>
      <c r="AS141">
        <v>0.35999999999999976</v>
      </c>
      <c r="AV141">
        <v>42195</v>
      </c>
      <c r="AW141">
        <v>0.1</v>
      </c>
      <c r="AX141">
        <v>0.56000000000000016</v>
      </c>
      <c r="AY141">
        <v>0.25999999999999995</v>
      </c>
      <c r="AZ141">
        <v>7.9999999999999905E-2</v>
      </c>
      <c r="BC141">
        <v>41684</v>
      </c>
      <c r="BD141">
        <v>0.12000000000000001</v>
      </c>
      <c r="BE141">
        <v>0</v>
      </c>
      <c r="BF141">
        <v>0.56000000000000016</v>
      </c>
      <c r="BG141">
        <v>0.31999999999999984</v>
      </c>
    </row>
    <row r="142" spans="1:59" x14ac:dyDescent="0.3">
      <c r="A142">
        <v>42538</v>
      </c>
      <c r="B142">
        <v>0.4200000000000001</v>
      </c>
      <c r="C142">
        <v>0.40000000000000008</v>
      </c>
      <c r="D142">
        <v>0</v>
      </c>
      <c r="E142">
        <v>0.17999999999999977</v>
      </c>
      <c r="J142">
        <v>42405</v>
      </c>
      <c r="K142">
        <v>0.27999999999999997</v>
      </c>
      <c r="L142">
        <v>0.06</v>
      </c>
      <c r="M142">
        <v>0.40000000000000008</v>
      </c>
      <c r="N142">
        <v>0.25999999999999984</v>
      </c>
      <c r="R142">
        <v>43063</v>
      </c>
      <c r="S142">
        <v>0.3</v>
      </c>
      <c r="T142">
        <v>0.18</v>
      </c>
      <c r="U142">
        <v>0.04</v>
      </c>
      <c r="V142">
        <v>0.48000000000000004</v>
      </c>
      <c r="Z142">
        <v>42839</v>
      </c>
      <c r="AA142">
        <v>0.64000000000000024</v>
      </c>
      <c r="AB142">
        <v>0.34</v>
      </c>
      <c r="AC142">
        <v>0</v>
      </c>
      <c r="AD142">
        <v>1.999999999999974E-2</v>
      </c>
      <c r="AG142">
        <v>42783</v>
      </c>
      <c r="AH142">
        <v>0.50000000000000011</v>
      </c>
      <c r="AI142">
        <v>0.21999999999999997</v>
      </c>
      <c r="AJ142">
        <v>0</v>
      </c>
      <c r="AK142">
        <v>0.27999999999999992</v>
      </c>
      <c r="AO142">
        <v>42195</v>
      </c>
      <c r="AP142">
        <v>0.58000000000000018</v>
      </c>
      <c r="AQ142">
        <v>0</v>
      </c>
      <c r="AR142">
        <v>0</v>
      </c>
      <c r="AS142">
        <v>0.41999999999999982</v>
      </c>
      <c r="AV142">
        <v>42202</v>
      </c>
      <c r="AW142">
        <v>0.08</v>
      </c>
      <c r="AX142">
        <v>0.62000000000000022</v>
      </c>
      <c r="AY142">
        <v>0.19999999999999998</v>
      </c>
      <c r="AZ142">
        <v>9.9999999999999839E-2</v>
      </c>
      <c r="BC142">
        <v>41691</v>
      </c>
      <c r="BD142">
        <v>0.27999999999999997</v>
      </c>
      <c r="BE142">
        <v>0.02</v>
      </c>
      <c r="BF142">
        <v>0.54000000000000015</v>
      </c>
      <c r="BG142">
        <v>0.15999999999999981</v>
      </c>
    </row>
    <row r="143" spans="1:59" x14ac:dyDescent="0.3">
      <c r="A143">
        <v>42545</v>
      </c>
      <c r="B143">
        <v>0.34</v>
      </c>
      <c r="C143">
        <v>0.4200000000000001</v>
      </c>
      <c r="D143">
        <v>0</v>
      </c>
      <c r="E143">
        <v>0.23999999999999982</v>
      </c>
      <c r="J143">
        <v>42419</v>
      </c>
      <c r="K143">
        <v>0.32</v>
      </c>
      <c r="L143">
        <v>0.06</v>
      </c>
      <c r="M143">
        <v>0.38000000000000006</v>
      </c>
      <c r="N143">
        <v>0.23999999999999982</v>
      </c>
      <c r="R143">
        <v>43070</v>
      </c>
      <c r="S143">
        <v>0.3</v>
      </c>
      <c r="T143">
        <v>0.18</v>
      </c>
      <c r="U143">
        <v>0.04</v>
      </c>
      <c r="V143">
        <v>0.48000000000000004</v>
      </c>
      <c r="Z143">
        <v>42846</v>
      </c>
      <c r="AA143">
        <v>0.64000000000000024</v>
      </c>
      <c r="AB143">
        <v>0.34</v>
      </c>
      <c r="AC143">
        <v>0</v>
      </c>
      <c r="AD143">
        <v>1.999999999999974E-2</v>
      </c>
      <c r="AG143">
        <v>42790</v>
      </c>
      <c r="AH143">
        <v>0.50000000000000011</v>
      </c>
      <c r="AI143">
        <v>0.21999999999999997</v>
      </c>
      <c r="AJ143">
        <v>0</v>
      </c>
      <c r="AK143">
        <v>0.27999999999999992</v>
      </c>
      <c r="AO143">
        <v>42202</v>
      </c>
      <c r="AP143">
        <v>0.56000000000000016</v>
      </c>
      <c r="AQ143">
        <v>0</v>
      </c>
      <c r="AR143">
        <v>0</v>
      </c>
      <c r="AS143">
        <v>0.43999999999999984</v>
      </c>
      <c r="AV143">
        <v>42209</v>
      </c>
      <c r="AW143">
        <v>0.32</v>
      </c>
      <c r="AX143">
        <v>0.12000000000000001</v>
      </c>
      <c r="AY143">
        <v>0.46000000000000013</v>
      </c>
      <c r="AZ143">
        <v>9.9999999999999811E-2</v>
      </c>
      <c r="BC143">
        <v>41698</v>
      </c>
      <c r="BD143">
        <v>0.34</v>
      </c>
      <c r="BE143">
        <v>0</v>
      </c>
      <c r="BF143">
        <v>0.52000000000000013</v>
      </c>
      <c r="BG143">
        <v>0.13999999999999979</v>
      </c>
    </row>
    <row r="144" spans="1:59" x14ac:dyDescent="0.3">
      <c r="A144">
        <v>42552</v>
      </c>
      <c r="B144">
        <v>0.36000000000000004</v>
      </c>
      <c r="C144">
        <v>0.4200000000000001</v>
      </c>
      <c r="D144">
        <v>0</v>
      </c>
      <c r="E144">
        <v>0.21999999999999981</v>
      </c>
      <c r="J144">
        <v>42426</v>
      </c>
      <c r="K144">
        <v>0.3</v>
      </c>
      <c r="L144">
        <v>0.06</v>
      </c>
      <c r="M144">
        <v>0.40000000000000008</v>
      </c>
      <c r="N144">
        <v>0.23999999999999982</v>
      </c>
      <c r="R144">
        <v>43077</v>
      </c>
      <c r="S144">
        <v>0.32</v>
      </c>
      <c r="T144">
        <v>0.16</v>
      </c>
      <c r="U144">
        <v>0.04</v>
      </c>
      <c r="V144">
        <v>0.47999999999999993</v>
      </c>
      <c r="Z144">
        <v>42853</v>
      </c>
      <c r="AA144">
        <v>0.54000000000000015</v>
      </c>
      <c r="AB144">
        <v>0.44000000000000011</v>
      </c>
      <c r="AC144">
        <v>0</v>
      </c>
      <c r="AD144">
        <v>1.999999999999974E-2</v>
      </c>
      <c r="AG144">
        <v>42797</v>
      </c>
      <c r="AH144">
        <v>0.48000000000000015</v>
      </c>
      <c r="AI144">
        <v>0.21999999999999997</v>
      </c>
      <c r="AJ144">
        <v>0</v>
      </c>
      <c r="AK144">
        <v>0.29999999999999982</v>
      </c>
      <c r="AO144">
        <v>42209</v>
      </c>
      <c r="AP144">
        <v>0.58000000000000018</v>
      </c>
      <c r="AQ144">
        <v>0</v>
      </c>
      <c r="AR144">
        <v>0</v>
      </c>
      <c r="AS144">
        <v>0.41999999999999982</v>
      </c>
      <c r="AV144">
        <v>42216</v>
      </c>
      <c r="AW144">
        <v>0.34</v>
      </c>
      <c r="AX144">
        <v>0</v>
      </c>
      <c r="AY144">
        <v>0.56000000000000016</v>
      </c>
      <c r="AZ144">
        <v>9.9999999999999756E-2</v>
      </c>
      <c r="BC144">
        <v>41705</v>
      </c>
      <c r="BD144">
        <v>0.21999999999999997</v>
      </c>
      <c r="BE144">
        <v>0</v>
      </c>
      <c r="BF144">
        <v>0.52000000000000013</v>
      </c>
      <c r="BG144">
        <v>0.2599999999999999</v>
      </c>
    </row>
    <row r="145" spans="1:59" x14ac:dyDescent="0.3">
      <c r="A145">
        <v>42559</v>
      </c>
      <c r="B145">
        <v>0.6000000000000002</v>
      </c>
      <c r="C145">
        <v>0.23999999999999996</v>
      </c>
      <c r="D145">
        <v>0</v>
      </c>
      <c r="E145">
        <v>0.15999999999999984</v>
      </c>
      <c r="J145">
        <v>42433</v>
      </c>
      <c r="K145">
        <v>0.27999999999999997</v>
      </c>
      <c r="L145">
        <v>0.16</v>
      </c>
      <c r="M145">
        <v>0.32</v>
      </c>
      <c r="N145">
        <v>0.23999999999999994</v>
      </c>
      <c r="R145">
        <v>43084</v>
      </c>
      <c r="S145">
        <v>0.34</v>
      </c>
      <c r="T145">
        <v>0.1</v>
      </c>
      <c r="U145">
        <v>0.08</v>
      </c>
      <c r="V145">
        <v>0.47999999999999993</v>
      </c>
      <c r="Z145">
        <v>42860</v>
      </c>
      <c r="AA145">
        <v>0.54000000000000015</v>
      </c>
      <c r="AB145">
        <v>0.44000000000000011</v>
      </c>
      <c r="AC145">
        <v>0</v>
      </c>
      <c r="AD145">
        <v>1.999999999999974E-2</v>
      </c>
      <c r="AG145">
        <v>42804</v>
      </c>
      <c r="AH145">
        <v>0.54000000000000015</v>
      </c>
      <c r="AI145">
        <v>0.19999999999999998</v>
      </c>
      <c r="AJ145">
        <v>0</v>
      </c>
      <c r="AK145">
        <v>0.2599999999999999</v>
      </c>
      <c r="AO145">
        <v>42216</v>
      </c>
      <c r="AP145">
        <v>0.58000000000000018</v>
      </c>
      <c r="AQ145">
        <v>0</v>
      </c>
      <c r="AR145">
        <v>0</v>
      </c>
      <c r="AS145">
        <v>0.41999999999999982</v>
      </c>
      <c r="AV145">
        <v>42223</v>
      </c>
      <c r="AW145">
        <v>0.36000000000000004</v>
      </c>
      <c r="AX145">
        <v>0</v>
      </c>
      <c r="AY145">
        <v>0.56000000000000016</v>
      </c>
      <c r="AZ145">
        <v>7.9999999999999738E-2</v>
      </c>
      <c r="BC145">
        <v>41712</v>
      </c>
      <c r="BD145">
        <v>0.18</v>
      </c>
      <c r="BE145">
        <v>0</v>
      </c>
      <c r="BF145">
        <v>0.54000000000000015</v>
      </c>
      <c r="BG145">
        <v>0.27999999999999992</v>
      </c>
    </row>
    <row r="146" spans="1:59" x14ac:dyDescent="0.3">
      <c r="A146">
        <v>42566</v>
      </c>
      <c r="B146">
        <v>0.68000000000000027</v>
      </c>
      <c r="C146">
        <v>0.14000000000000001</v>
      </c>
      <c r="D146">
        <v>0</v>
      </c>
      <c r="E146">
        <v>0.17999999999999972</v>
      </c>
      <c r="J146">
        <v>42440</v>
      </c>
      <c r="K146">
        <v>0.38000000000000006</v>
      </c>
      <c r="L146">
        <v>0.06</v>
      </c>
      <c r="M146">
        <v>0.36000000000000004</v>
      </c>
      <c r="N146">
        <v>0.19999999999999979</v>
      </c>
      <c r="R146">
        <v>43091</v>
      </c>
      <c r="S146">
        <v>0.34</v>
      </c>
      <c r="T146">
        <v>0.12000000000000001</v>
      </c>
      <c r="U146">
        <v>0.06</v>
      </c>
      <c r="V146">
        <v>0.47999999999999993</v>
      </c>
      <c r="Z146">
        <v>42867</v>
      </c>
      <c r="AA146">
        <v>0.54000000000000015</v>
      </c>
      <c r="AB146">
        <v>0.44000000000000011</v>
      </c>
      <c r="AC146">
        <v>0</v>
      </c>
      <c r="AD146">
        <v>1.999999999999974E-2</v>
      </c>
      <c r="AG146">
        <v>42811</v>
      </c>
      <c r="AH146">
        <v>0.54000000000000015</v>
      </c>
      <c r="AI146">
        <v>0.19999999999999998</v>
      </c>
      <c r="AJ146">
        <v>0</v>
      </c>
      <c r="AK146">
        <v>0.2599999999999999</v>
      </c>
      <c r="AO146">
        <v>42223</v>
      </c>
      <c r="AP146">
        <v>0.58000000000000018</v>
      </c>
      <c r="AQ146">
        <v>0</v>
      </c>
      <c r="AR146">
        <v>0</v>
      </c>
      <c r="AS146">
        <v>0.41999999999999982</v>
      </c>
      <c r="AV146">
        <v>42230</v>
      </c>
      <c r="AW146">
        <v>0.34</v>
      </c>
      <c r="AX146">
        <v>0</v>
      </c>
      <c r="AY146">
        <v>0.56000000000000016</v>
      </c>
      <c r="AZ146">
        <v>9.9999999999999756E-2</v>
      </c>
      <c r="BC146">
        <v>41719</v>
      </c>
      <c r="BD146">
        <v>0.18</v>
      </c>
      <c r="BE146">
        <v>0</v>
      </c>
      <c r="BF146">
        <v>0.56000000000000016</v>
      </c>
      <c r="BG146">
        <v>0.2599999999999999</v>
      </c>
    </row>
    <row r="147" spans="1:59" x14ac:dyDescent="0.3">
      <c r="A147">
        <v>42573</v>
      </c>
      <c r="B147">
        <v>0.56000000000000016</v>
      </c>
      <c r="C147">
        <v>0.16</v>
      </c>
      <c r="D147">
        <v>0</v>
      </c>
      <c r="E147">
        <v>0.2799999999999998</v>
      </c>
      <c r="J147">
        <v>42447</v>
      </c>
      <c r="K147">
        <v>0.52000000000000013</v>
      </c>
      <c r="L147">
        <v>0.19999999999999998</v>
      </c>
      <c r="M147">
        <v>0.14000000000000001</v>
      </c>
      <c r="N147">
        <v>0.1399999999999999</v>
      </c>
      <c r="R147">
        <v>43098</v>
      </c>
      <c r="S147">
        <v>0.34</v>
      </c>
      <c r="T147">
        <v>0.06</v>
      </c>
      <c r="U147">
        <v>0.12000000000000001</v>
      </c>
      <c r="V147">
        <v>0.47999999999999987</v>
      </c>
      <c r="Z147">
        <v>42874</v>
      </c>
      <c r="AA147">
        <v>0.50000000000000011</v>
      </c>
      <c r="AB147">
        <v>0.48000000000000015</v>
      </c>
      <c r="AC147">
        <v>0</v>
      </c>
      <c r="AD147">
        <v>1.999999999999974E-2</v>
      </c>
      <c r="AG147">
        <v>42818</v>
      </c>
      <c r="AH147">
        <v>0.56000000000000016</v>
      </c>
      <c r="AI147">
        <v>0.18</v>
      </c>
      <c r="AJ147">
        <v>0</v>
      </c>
      <c r="AK147">
        <v>0.25999999999999984</v>
      </c>
      <c r="AO147">
        <v>42230</v>
      </c>
      <c r="AP147">
        <v>0.58000000000000018</v>
      </c>
      <c r="AQ147">
        <v>0</v>
      </c>
      <c r="AR147">
        <v>0</v>
      </c>
      <c r="AS147">
        <v>0.41999999999999982</v>
      </c>
      <c r="AV147">
        <v>42237</v>
      </c>
      <c r="AW147">
        <v>0.32</v>
      </c>
      <c r="AX147">
        <v>0</v>
      </c>
      <c r="AY147">
        <v>0.6000000000000002</v>
      </c>
      <c r="AZ147">
        <v>7.9999999999999738E-2</v>
      </c>
      <c r="BC147">
        <v>41726</v>
      </c>
      <c r="BD147">
        <v>0.23999999999999996</v>
      </c>
      <c r="BE147">
        <v>0</v>
      </c>
      <c r="BF147">
        <v>0.56000000000000016</v>
      </c>
      <c r="BG147">
        <v>0.19999999999999984</v>
      </c>
    </row>
    <row r="148" spans="1:59" x14ac:dyDescent="0.3">
      <c r="A148">
        <v>42580</v>
      </c>
      <c r="B148">
        <v>0.62000000000000022</v>
      </c>
      <c r="C148">
        <v>0.14000000000000001</v>
      </c>
      <c r="D148">
        <v>0</v>
      </c>
      <c r="E148">
        <v>0.23999999999999977</v>
      </c>
      <c r="J148">
        <v>42454</v>
      </c>
      <c r="K148">
        <v>0.40000000000000008</v>
      </c>
      <c r="L148">
        <v>0.36000000000000004</v>
      </c>
      <c r="M148">
        <v>0</v>
      </c>
      <c r="N148">
        <v>0.23999999999999982</v>
      </c>
      <c r="R148">
        <v>43105</v>
      </c>
      <c r="S148">
        <v>0.36000000000000004</v>
      </c>
      <c r="T148">
        <v>0</v>
      </c>
      <c r="U148">
        <v>0.16</v>
      </c>
      <c r="V148">
        <v>0.47999999999999987</v>
      </c>
      <c r="Z148">
        <v>42881</v>
      </c>
      <c r="AA148">
        <v>0.50000000000000011</v>
      </c>
      <c r="AB148">
        <v>0.48000000000000015</v>
      </c>
      <c r="AC148">
        <v>0</v>
      </c>
      <c r="AD148">
        <v>1.999999999999974E-2</v>
      </c>
      <c r="AG148">
        <v>42825</v>
      </c>
      <c r="AH148">
        <v>0.50000000000000011</v>
      </c>
      <c r="AI148">
        <v>0.18</v>
      </c>
      <c r="AJ148">
        <v>0</v>
      </c>
      <c r="AK148">
        <v>0.3199999999999999</v>
      </c>
      <c r="AO148">
        <v>42237</v>
      </c>
      <c r="AP148">
        <v>0.6000000000000002</v>
      </c>
      <c r="AQ148">
        <v>0</v>
      </c>
      <c r="AR148">
        <v>0</v>
      </c>
      <c r="AS148">
        <v>0.3999999999999998</v>
      </c>
      <c r="AV148">
        <v>42244</v>
      </c>
      <c r="AW148">
        <v>0.19999999999999998</v>
      </c>
      <c r="AX148">
        <v>0</v>
      </c>
      <c r="AY148">
        <v>0.62000000000000022</v>
      </c>
      <c r="AZ148">
        <v>0.17999999999999983</v>
      </c>
      <c r="BC148">
        <v>41733</v>
      </c>
      <c r="BD148">
        <v>0.23999999999999996</v>
      </c>
      <c r="BE148">
        <v>0</v>
      </c>
      <c r="BF148">
        <v>0.54000000000000015</v>
      </c>
      <c r="BG148">
        <v>0.21999999999999986</v>
      </c>
    </row>
    <row r="149" spans="1:59" x14ac:dyDescent="0.3">
      <c r="A149">
        <v>42587</v>
      </c>
      <c r="B149">
        <v>0.58000000000000018</v>
      </c>
      <c r="C149">
        <v>0.19999999999999998</v>
      </c>
      <c r="D149">
        <v>0</v>
      </c>
      <c r="E149">
        <v>0.21999999999999983</v>
      </c>
      <c r="J149">
        <v>42461</v>
      </c>
      <c r="K149">
        <v>0.40000000000000008</v>
      </c>
      <c r="L149">
        <v>0.36000000000000004</v>
      </c>
      <c r="M149">
        <v>0</v>
      </c>
      <c r="N149">
        <v>0.23999999999999982</v>
      </c>
      <c r="R149">
        <v>43112</v>
      </c>
      <c r="S149">
        <v>0.38000000000000006</v>
      </c>
      <c r="T149">
        <v>0</v>
      </c>
      <c r="U149">
        <v>0.16</v>
      </c>
      <c r="V149">
        <v>0.45999999999999985</v>
      </c>
      <c r="Z149">
        <v>42888</v>
      </c>
      <c r="AA149">
        <v>0.62000000000000022</v>
      </c>
      <c r="AB149">
        <v>0.36000000000000004</v>
      </c>
      <c r="AC149">
        <v>0</v>
      </c>
      <c r="AD149">
        <v>1.999999999999974E-2</v>
      </c>
      <c r="AG149">
        <v>42832</v>
      </c>
      <c r="AH149">
        <v>0.48000000000000015</v>
      </c>
      <c r="AI149">
        <v>0.18</v>
      </c>
      <c r="AJ149">
        <v>0</v>
      </c>
      <c r="AK149">
        <v>0.3399999999999998</v>
      </c>
      <c r="AO149">
        <v>42244</v>
      </c>
      <c r="AP149">
        <v>0.56000000000000016</v>
      </c>
      <c r="AQ149">
        <v>0</v>
      </c>
      <c r="AR149">
        <v>0.02</v>
      </c>
      <c r="AS149">
        <v>0.41999999999999982</v>
      </c>
      <c r="AV149">
        <v>42249</v>
      </c>
      <c r="AW149">
        <v>0.21999999999999997</v>
      </c>
      <c r="AX149">
        <v>0</v>
      </c>
      <c r="AY149">
        <v>0.6000000000000002</v>
      </c>
      <c r="AZ149">
        <v>0.17999999999999983</v>
      </c>
      <c r="BC149">
        <v>41740</v>
      </c>
      <c r="BD149">
        <v>0.25999999999999995</v>
      </c>
      <c r="BE149">
        <v>0</v>
      </c>
      <c r="BF149">
        <v>0.52000000000000013</v>
      </c>
      <c r="BG149">
        <v>0.21999999999999986</v>
      </c>
    </row>
    <row r="150" spans="1:59" x14ac:dyDescent="0.3">
      <c r="A150">
        <v>42594</v>
      </c>
      <c r="B150">
        <v>0.58000000000000018</v>
      </c>
      <c r="C150">
        <v>0.18</v>
      </c>
      <c r="D150">
        <v>0</v>
      </c>
      <c r="E150">
        <v>0.23999999999999982</v>
      </c>
      <c r="J150">
        <v>42468</v>
      </c>
      <c r="K150">
        <v>0.4200000000000001</v>
      </c>
      <c r="L150">
        <v>0.36000000000000004</v>
      </c>
      <c r="M150">
        <v>0</v>
      </c>
      <c r="N150">
        <v>0.21999999999999981</v>
      </c>
      <c r="R150">
        <v>43119</v>
      </c>
      <c r="S150">
        <v>0.38000000000000006</v>
      </c>
      <c r="T150">
        <v>0</v>
      </c>
      <c r="U150">
        <v>0.16</v>
      </c>
      <c r="V150">
        <v>0.45999999999999985</v>
      </c>
      <c r="Z150">
        <v>42895</v>
      </c>
      <c r="AA150">
        <v>0.64000000000000024</v>
      </c>
      <c r="AB150">
        <v>0.34</v>
      </c>
      <c r="AC150">
        <v>0</v>
      </c>
      <c r="AD150">
        <v>1.999999999999974E-2</v>
      </c>
      <c r="AG150">
        <v>42839</v>
      </c>
      <c r="AH150">
        <v>0.46000000000000013</v>
      </c>
      <c r="AI150">
        <v>0.18</v>
      </c>
      <c r="AJ150">
        <v>0</v>
      </c>
      <c r="AK150">
        <v>0.35999999999999982</v>
      </c>
      <c r="AO150">
        <v>42249</v>
      </c>
      <c r="AP150">
        <v>0.62000000000000022</v>
      </c>
      <c r="AQ150">
        <v>0.06</v>
      </c>
      <c r="AR150">
        <v>0</v>
      </c>
      <c r="AS150">
        <v>0.31999999999999978</v>
      </c>
      <c r="AV150">
        <v>42258</v>
      </c>
      <c r="AW150">
        <v>0.21999999999999997</v>
      </c>
      <c r="AX150">
        <v>0</v>
      </c>
      <c r="AY150">
        <v>0.6000000000000002</v>
      </c>
      <c r="AZ150">
        <v>0.17999999999999983</v>
      </c>
      <c r="BC150">
        <v>41747</v>
      </c>
      <c r="BD150">
        <v>0.27999999999999997</v>
      </c>
      <c r="BE150">
        <v>0</v>
      </c>
      <c r="BF150">
        <v>0.50000000000000011</v>
      </c>
      <c r="BG150">
        <v>0.21999999999999986</v>
      </c>
    </row>
    <row r="151" spans="1:59" x14ac:dyDescent="0.3">
      <c r="A151">
        <v>42601</v>
      </c>
      <c r="B151">
        <v>0.66000000000000025</v>
      </c>
      <c r="C151">
        <v>0.16</v>
      </c>
      <c r="D151">
        <v>0</v>
      </c>
      <c r="E151">
        <v>0.17999999999999974</v>
      </c>
      <c r="J151">
        <v>42475</v>
      </c>
      <c r="K151">
        <v>0.52000000000000013</v>
      </c>
      <c r="L151">
        <v>0.27999999999999997</v>
      </c>
      <c r="M151">
        <v>0</v>
      </c>
      <c r="N151">
        <v>0.1999999999999999</v>
      </c>
      <c r="R151">
        <v>43126</v>
      </c>
      <c r="S151">
        <v>0.36000000000000004</v>
      </c>
      <c r="T151">
        <v>0</v>
      </c>
      <c r="U151">
        <v>0.18</v>
      </c>
      <c r="V151">
        <v>0.45999999999999991</v>
      </c>
      <c r="Z151">
        <v>42902</v>
      </c>
      <c r="AA151">
        <v>0.64000000000000024</v>
      </c>
      <c r="AB151">
        <v>0.3</v>
      </c>
      <c r="AC151">
        <v>0</v>
      </c>
      <c r="AD151">
        <v>5.9999999999999776E-2</v>
      </c>
      <c r="AG151">
        <v>42846</v>
      </c>
      <c r="AH151">
        <v>0.44000000000000011</v>
      </c>
      <c r="AI151">
        <v>0.19999999999999998</v>
      </c>
      <c r="AJ151">
        <v>0</v>
      </c>
      <c r="AK151">
        <v>0.35999999999999988</v>
      </c>
      <c r="AO151">
        <v>42258</v>
      </c>
      <c r="AP151">
        <v>0.68000000000000027</v>
      </c>
      <c r="AQ151">
        <v>0</v>
      </c>
      <c r="AR151">
        <v>0</v>
      </c>
      <c r="AS151">
        <v>0.31999999999999973</v>
      </c>
      <c r="AV151">
        <v>42265</v>
      </c>
      <c r="AW151">
        <v>0.1</v>
      </c>
      <c r="AX151">
        <v>0</v>
      </c>
      <c r="AY151">
        <v>0.70000000000000029</v>
      </c>
      <c r="AZ151">
        <v>0.19999999999999973</v>
      </c>
      <c r="BC151">
        <v>41754</v>
      </c>
      <c r="BD151">
        <v>0.23999999999999996</v>
      </c>
      <c r="BE151">
        <v>0</v>
      </c>
      <c r="BF151">
        <v>0.52000000000000013</v>
      </c>
      <c r="BG151">
        <v>0.23999999999999988</v>
      </c>
    </row>
    <row r="152" spans="1:59" x14ac:dyDescent="0.3">
      <c r="A152">
        <v>42608</v>
      </c>
      <c r="B152">
        <v>0.6000000000000002</v>
      </c>
      <c r="C152">
        <v>0.19999999999999998</v>
      </c>
      <c r="D152">
        <v>0</v>
      </c>
      <c r="E152">
        <v>0.19999999999999982</v>
      </c>
      <c r="J152">
        <v>42482</v>
      </c>
      <c r="K152">
        <v>0.56000000000000016</v>
      </c>
      <c r="L152">
        <v>0.19999999999999998</v>
      </c>
      <c r="M152">
        <v>0.06</v>
      </c>
      <c r="N152">
        <v>0.17999999999999985</v>
      </c>
      <c r="R152">
        <v>43133</v>
      </c>
      <c r="S152">
        <v>0.36000000000000004</v>
      </c>
      <c r="T152">
        <v>0</v>
      </c>
      <c r="U152">
        <v>0.16</v>
      </c>
      <c r="V152">
        <v>0.47999999999999987</v>
      </c>
      <c r="Z152">
        <v>42909</v>
      </c>
      <c r="AA152">
        <v>0.66000000000000025</v>
      </c>
      <c r="AB152">
        <v>0.32</v>
      </c>
      <c r="AC152">
        <v>0</v>
      </c>
      <c r="AD152">
        <v>1.999999999999974E-2</v>
      </c>
      <c r="AG152">
        <v>42853</v>
      </c>
      <c r="AH152">
        <v>0.4200000000000001</v>
      </c>
      <c r="AI152">
        <v>0.27999999999999997</v>
      </c>
      <c r="AJ152">
        <v>0</v>
      </c>
      <c r="AK152">
        <v>0.29999999999999988</v>
      </c>
      <c r="AO152">
        <v>42265</v>
      </c>
      <c r="AP152">
        <v>0.62000000000000022</v>
      </c>
      <c r="AQ152">
        <v>0</v>
      </c>
      <c r="AR152">
        <v>0.04</v>
      </c>
      <c r="AS152">
        <v>0.3399999999999998</v>
      </c>
      <c r="AV152">
        <v>42272</v>
      </c>
      <c r="AW152">
        <v>0</v>
      </c>
      <c r="AX152">
        <v>0</v>
      </c>
      <c r="AY152">
        <v>0.78000000000000036</v>
      </c>
      <c r="AZ152">
        <v>0.21999999999999964</v>
      </c>
      <c r="BC152">
        <v>41759</v>
      </c>
      <c r="BD152">
        <v>0.27999999999999997</v>
      </c>
      <c r="BE152">
        <v>0</v>
      </c>
      <c r="BF152">
        <v>0.46000000000000013</v>
      </c>
      <c r="BG152">
        <v>0.25999999999999984</v>
      </c>
    </row>
    <row r="153" spans="1:59" x14ac:dyDescent="0.3">
      <c r="A153">
        <v>42615</v>
      </c>
      <c r="B153">
        <v>0.72000000000000031</v>
      </c>
      <c r="C153">
        <v>0.14000000000000001</v>
      </c>
      <c r="D153">
        <v>0</v>
      </c>
      <c r="E153">
        <v>0.13999999999999968</v>
      </c>
      <c r="J153">
        <v>42489</v>
      </c>
      <c r="K153">
        <v>0.44000000000000011</v>
      </c>
      <c r="L153">
        <v>0.34</v>
      </c>
      <c r="M153">
        <v>0</v>
      </c>
      <c r="N153">
        <v>0.21999999999999981</v>
      </c>
      <c r="R153">
        <v>43140</v>
      </c>
      <c r="S153">
        <v>0.36000000000000004</v>
      </c>
      <c r="T153">
        <v>0</v>
      </c>
      <c r="U153">
        <v>0.18</v>
      </c>
      <c r="V153">
        <v>0.45999999999999991</v>
      </c>
      <c r="Z153">
        <v>42916</v>
      </c>
      <c r="AA153">
        <v>0.68000000000000027</v>
      </c>
      <c r="AB153">
        <v>0.3</v>
      </c>
      <c r="AC153">
        <v>0</v>
      </c>
      <c r="AD153">
        <v>1.999999999999974E-2</v>
      </c>
      <c r="AG153">
        <v>42860</v>
      </c>
      <c r="AH153">
        <v>0.44000000000000011</v>
      </c>
      <c r="AI153">
        <v>0.32</v>
      </c>
      <c r="AJ153">
        <v>0</v>
      </c>
      <c r="AK153">
        <v>0.23999999999999982</v>
      </c>
      <c r="AO153">
        <v>42272</v>
      </c>
      <c r="AP153">
        <v>0.6000000000000002</v>
      </c>
      <c r="AQ153">
        <v>0</v>
      </c>
      <c r="AR153">
        <v>0.06</v>
      </c>
      <c r="AS153">
        <v>0.3399999999999998</v>
      </c>
      <c r="AV153">
        <v>42277</v>
      </c>
      <c r="AW153">
        <v>0.02</v>
      </c>
      <c r="AX153">
        <v>0</v>
      </c>
      <c r="AY153">
        <v>0.76000000000000034</v>
      </c>
      <c r="AZ153">
        <v>0.21999999999999964</v>
      </c>
      <c r="BC153">
        <v>41768</v>
      </c>
      <c r="BD153">
        <v>0.25999999999999995</v>
      </c>
      <c r="BE153">
        <v>0</v>
      </c>
      <c r="BF153">
        <v>0.48000000000000015</v>
      </c>
      <c r="BG153">
        <v>0.25999999999999984</v>
      </c>
    </row>
    <row r="154" spans="1:59" x14ac:dyDescent="0.3">
      <c r="A154">
        <v>42622</v>
      </c>
      <c r="B154">
        <v>0.72000000000000031</v>
      </c>
      <c r="C154">
        <v>0.14000000000000001</v>
      </c>
      <c r="D154">
        <v>0</v>
      </c>
      <c r="E154">
        <v>0.13999999999999968</v>
      </c>
      <c r="J154">
        <v>42496</v>
      </c>
      <c r="K154">
        <v>0.4200000000000001</v>
      </c>
      <c r="L154">
        <v>0.34</v>
      </c>
      <c r="M154">
        <v>0</v>
      </c>
      <c r="N154">
        <v>0.23999999999999982</v>
      </c>
      <c r="R154">
        <v>43145</v>
      </c>
      <c r="S154">
        <v>0.44000000000000011</v>
      </c>
      <c r="T154">
        <v>0</v>
      </c>
      <c r="U154">
        <v>0.16</v>
      </c>
      <c r="V154">
        <v>0.3999999999999998</v>
      </c>
      <c r="Z154">
        <v>42923</v>
      </c>
      <c r="AA154">
        <v>0.68000000000000027</v>
      </c>
      <c r="AB154">
        <v>0.3</v>
      </c>
      <c r="AC154">
        <v>0</v>
      </c>
      <c r="AD154">
        <v>1.999999999999974E-2</v>
      </c>
      <c r="AG154">
        <v>42867</v>
      </c>
      <c r="AH154">
        <v>0.46000000000000013</v>
      </c>
      <c r="AI154">
        <v>0.32</v>
      </c>
      <c r="AJ154">
        <v>0</v>
      </c>
      <c r="AK154">
        <v>0.21999999999999981</v>
      </c>
      <c r="AO154">
        <v>42277</v>
      </c>
      <c r="AP154">
        <v>0.6000000000000002</v>
      </c>
      <c r="AQ154">
        <v>0</v>
      </c>
      <c r="AR154">
        <v>0.06</v>
      </c>
      <c r="AS154">
        <v>0.3399999999999998</v>
      </c>
      <c r="AV154">
        <v>42286</v>
      </c>
      <c r="AW154">
        <v>0.02</v>
      </c>
      <c r="AX154">
        <v>0</v>
      </c>
      <c r="AY154">
        <v>0.78000000000000036</v>
      </c>
      <c r="AZ154">
        <v>0.19999999999999962</v>
      </c>
      <c r="BC154">
        <v>41775</v>
      </c>
      <c r="BD154">
        <v>0.25999999999999995</v>
      </c>
      <c r="BE154">
        <v>0</v>
      </c>
      <c r="BF154">
        <v>0.46000000000000013</v>
      </c>
      <c r="BG154">
        <v>0.27999999999999986</v>
      </c>
    </row>
    <row r="155" spans="1:59" x14ac:dyDescent="0.3">
      <c r="A155">
        <v>42627</v>
      </c>
      <c r="B155">
        <v>0.72000000000000031</v>
      </c>
      <c r="C155">
        <v>0.14000000000000001</v>
      </c>
      <c r="D155">
        <v>0</v>
      </c>
      <c r="E155">
        <v>0.13999999999999968</v>
      </c>
      <c r="J155">
        <v>42503</v>
      </c>
      <c r="K155">
        <v>0.38000000000000006</v>
      </c>
      <c r="L155">
        <v>0.36000000000000004</v>
      </c>
      <c r="M155">
        <v>0</v>
      </c>
      <c r="N155">
        <v>0.25999999999999984</v>
      </c>
      <c r="R155">
        <v>43154</v>
      </c>
      <c r="S155">
        <v>0.54000000000000015</v>
      </c>
      <c r="T155">
        <v>0.04</v>
      </c>
      <c r="U155">
        <v>0.12000000000000001</v>
      </c>
      <c r="V155">
        <v>0.29999999999999988</v>
      </c>
      <c r="Z155">
        <v>42930</v>
      </c>
      <c r="AA155">
        <v>0.64000000000000024</v>
      </c>
      <c r="AB155">
        <v>0.34</v>
      </c>
      <c r="AC155">
        <v>0</v>
      </c>
      <c r="AD155">
        <v>1.999999999999974E-2</v>
      </c>
      <c r="AG155">
        <v>42874</v>
      </c>
      <c r="AH155">
        <v>0.4200000000000001</v>
      </c>
      <c r="AI155">
        <v>0.38000000000000006</v>
      </c>
      <c r="AJ155">
        <v>0</v>
      </c>
      <c r="AK155">
        <v>0.19999999999999979</v>
      </c>
      <c r="AO155">
        <v>42286</v>
      </c>
      <c r="AP155">
        <v>0.64000000000000024</v>
      </c>
      <c r="AQ155">
        <v>0</v>
      </c>
      <c r="AR155">
        <v>0.02</v>
      </c>
      <c r="AS155">
        <v>0.33999999999999975</v>
      </c>
      <c r="AV155">
        <v>42293</v>
      </c>
      <c r="AW155">
        <v>0.04</v>
      </c>
      <c r="AX155">
        <v>0</v>
      </c>
      <c r="AY155">
        <v>0.76000000000000034</v>
      </c>
      <c r="AZ155">
        <v>0.19999999999999962</v>
      </c>
      <c r="BC155">
        <v>41782</v>
      </c>
      <c r="BD155">
        <v>0.27999999999999997</v>
      </c>
      <c r="BE155">
        <v>0</v>
      </c>
      <c r="BF155">
        <v>0.46000000000000013</v>
      </c>
      <c r="BG155">
        <v>0.25999999999999984</v>
      </c>
    </row>
    <row r="156" spans="1:59" x14ac:dyDescent="0.3">
      <c r="A156">
        <v>42636</v>
      </c>
      <c r="B156">
        <v>0.70000000000000029</v>
      </c>
      <c r="C156">
        <v>0.16</v>
      </c>
      <c r="D156">
        <v>0</v>
      </c>
      <c r="E156">
        <v>0.13999999999999971</v>
      </c>
      <c r="J156">
        <v>42510</v>
      </c>
      <c r="K156">
        <v>0.34</v>
      </c>
      <c r="L156">
        <v>0.4200000000000001</v>
      </c>
      <c r="M156">
        <v>0</v>
      </c>
      <c r="N156">
        <v>0.23999999999999982</v>
      </c>
      <c r="R156">
        <v>43161</v>
      </c>
      <c r="S156">
        <v>0.52000000000000013</v>
      </c>
      <c r="T156">
        <v>0.12000000000000001</v>
      </c>
      <c r="U156">
        <v>0.06</v>
      </c>
      <c r="V156">
        <v>0.29999999999999988</v>
      </c>
      <c r="Z156">
        <v>42937</v>
      </c>
      <c r="AA156">
        <v>0.68000000000000027</v>
      </c>
      <c r="AB156">
        <v>0.3</v>
      </c>
      <c r="AC156">
        <v>0</v>
      </c>
      <c r="AD156">
        <v>1.999999999999974E-2</v>
      </c>
      <c r="AG156">
        <v>42881</v>
      </c>
      <c r="AH156">
        <v>0.4200000000000001</v>
      </c>
      <c r="AI156">
        <v>0.38000000000000006</v>
      </c>
      <c r="AJ156">
        <v>0</v>
      </c>
      <c r="AK156">
        <v>0.19999999999999979</v>
      </c>
      <c r="AO156">
        <v>42293</v>
      </c>
      <c r="AP156">
        <v>0.68000000000000027</v>
      </c>
      <c r="AQ156">
        <v>0</v>
      </c>
      <c r="AR156">
        <v>0</v>
      </c>
      <c r="AS156">
        <v>0.31999999999999973</v>
      </c>
      <c r="AV156">
        <v>42300</v>
      </c>
      <c r="AW156">
        <v>0.04</v>
      </c>
      <c r="AX156">
        <v>0</v>
      </c>
      <c r="AY156">
        <v>0.74000000000000032</v>
      </c>
      <c r="AZ156">
        <v>0.21999999999999964</v>
      </c>
      <c r="BC156">
        <v>41789</v>
      </c>
      <c r="BD156">
        <v>0.27999999999999997</v>
      </c>
      <c r="BE156">
        <v>0</v>
      </c>
      <c r="BF156">
        <v>0.44000000000000011</v>
      </c>
      <c r="BG156">
        <v>0.27999999999999986</v>
      </c>
    </row>
    <row r="157" spans="1:59" x14ac:dyDescent="0.3">
      <c r="A157">
        <v>42643</v>
      </c>
      <c r="B157">
        <v>0.72000000000000031</v>
      </c>
      <c r="C157">
        <v>0.12000000000000001</v>
      </c>
      <c r="D157">
        <v>0</v>
      </c>
      <c r="E157">
        <v>0.1599999999999997</v>
      </c>
      <c r="J157">
        <v>42517</v>
      </c>
      <c r="K157">
        <v>0.32</v>
      </c>
      <c r="L157">
        <v>0.4200000000000001</v>
      </c>
      <c r="M157">
        <v>0</v>
      </c>
      <c r="N157">
        <v>0.25999999999999984</v>
      </c>
      <c r="R157">
        <v>43168</v>
      </c>
      <c r="S157">
        <v>0.54000000000000015</v>
      </c>
      <c r="T157">
        <v>0.16</v>
      </c>
      <c r="U157">
        <v>0</v>
      </c>
      <c r="V157">
        <v>0.29999999999999982</v>
      </c>
      <c r="Z157">
        <v>42944</v>
      </c>
      <c r="AA157">
        <v>0.64000000000000024</v>
      </c>
      <c r="AB157">
        <v>0.34</v>
      </c>
      <c r="AC157">
        <v>0</v>
      </c>
      <c r="AD157">
        <v>1.999999999999974E-2</v>
      </c>
      <c r="AG157">
        <v>42888</v>
      </c>
      <c r="AH157">
        <v>0.62000000000000022</v>
      </c>
      <c r="AI157">
        <v>0.16</v>
      </c>
      <c r="AJ157">
        <v>0</v>
      </c>
      <c r="AK157">
        <v>0.21999999999999978</v>
      </c>
      <c r="AO157">
        <v>42300</v>
      </c>
      <c r="AP157">
        <v>0.64000000000000024</v>
      </c>
      <c r="AQ157">
        <v>0</v>
      </c>
      <c r="AR157">
        <v>0.02</v>
      </c>
      <c r="AS157">
        <v>0.33999999999999975</v>
      </c>
      <c r="AV157">
        <v>42307</v>
      </c>
      <c r="AW157">
        <v>0.02</v>
      </c>
      <c r="AX157">
        <v>0</v>
      </c>
      <c r="AY157">
        <v>0.78000000000000036</v>
      </c>
      <c r="AZ157">
        <v>0.19999999999999962</v>
      </c>
      <c r="BC157">
        <v>41796</v>
      </c>
      <c r="BD157">
        <v>0.3</v>
      </c>
      <c r="BE157">
        <v>0</v>
      </c>
      <c r="BF157">
        <v>0.44000000000000011</v>
      </c>
      <c r="BG157">
        <v>0.25999999999999984</v>
      </c>
    </row>
    <row r="158" spans="1:59" x14ac:dyDescent="0.3">
      <c r="A158">
        <v>42657</v>
      </c>
      <c r="B158">
        <v>0.72000000000000031</v>
      </c>
      <c r="C158">
        <v>0.1</v>
      </c>
      <c r="D158">
        <v>0</v>
      </c>
      <c r="E158">
        <v>0.17999999999999969</v>
      </c>
      <c r="J158">
        <v>42524</v>
      </c>
      <c r="K158">
        <v>0.36000000000000004</v>
      </c>
      <c r="L158">
        <v>0.40000000000000008</v>
      </c>
      <c r="M158">
        <v>0</v>
      </c>
      <c r="N158">
        <v>0.23999999999999982</v>
      </c>
      <c r="R158" t="s">
        <v>58</v>
      </c>
      <c r="S158" t="s">
        <v>58</v>
      </c>
      <c r="T158" t="s">
        <v>58</v>
      </c>
      <c r="U158" t="s">
        <v>58</v>
      </c>
      <c r="V158" t="s">
        <v>58</v>
      </c>
      <c r="Z158">
        <v>42951</v>
      </c>
      <c r="AA158">
        <v>0.68000000000000027</v>
      </c>
      <c r="AB158">
        <v>0.3</v>
      </c>
      <c r="AC158">
        <v>0</v>
      </c>
      <c r="AD158">
        <v>1.999999999999974E-2</v>
      </c>
      <c r="AG158">
        <v>42895</v>
      </c>
      <c r="AH158">
        <v>0.70000000000000029</v>
      </c>
      <c r="AI158">
        <v>0.16</v>
      </c>
      <c r="AJ158">
        <v>0</v>
      </c>
      <c r="AK158">
        <v>0.13999999999999971</v>
      </c>
      <c r="AO158">
        <v>42307</v>
      </c>
      <c r="AP158">
        <v>0.66000000000000025</v>
      </c>
      <c r="AQ158">
        <v>0</v>
      </c>
      <c r="AR158">
        <v>0.02</v>
      </c>
      <c r="AS158">
        <v>0.31999999999999973</v>
      </c>
      <c r="AV158">
        <v>42314</v>
      </c>
      <c r="AW158">
        <v>0.04</v>
      </c>
      <c r="AX158">
        <v>0</v>
      </c>
      <c r="AY158">
        <v>0.78000000000000036</v>
      </c>
      <c r="AZ158">
        <v>0.1799999999999996</v>
      </c>
      <c r="BC158">
        <v>41803</v>
      </c>
      <c r="BD158">
        <v>0.32</v>
      </c>
      <c r="BE158">
        <v>0</v>
      </c>
      <c r="BF158">
        <v>0.44000000000000011</v>
      </c>
      <c r="BG158">
        <v>0.23999999999999982</v>
      </c>
    </row>
    <row r="159" spans="1:59" x14ac:dyDescent="0.3">
      <c r="A159">
        <v>42664</v>
      </c>
      <c r="B159">
        <v>0.72000000000000031</v>
      </c>
      <c r="C159">
        <v>0.12000000000000001</v>
      </c>
      <c r="D159">
        <v>0</v>
      </c>
      <c r="E159">
        <v>0.1599999999999997</v>
      </c>
      <c r="J159">
        <v>42529</v>
      </c>
      <c r="K159">
        <v>0.32</v>
      </c>
      <c r="L159">
        <v>0.38000000000000006</v>
      </c>
      <c r="M159">
        <v>0</v>
      </c>
      <c r="N159">
        <v>0.29999999999999988</v>
      </c>
      <c r="R159" t="s">
        <v>58</v>
      </c>
      <c r="S159" t="s">
        <v>58</v>
      </c>
      <c r="T159" t="s">
        <v>58</v>
      </c>
      <c r="U159" t="s">
        <v>58</v>
      </c>
      <c r="V159" t="s">
        <v>58</v>
      </c>
      <c r="Z159">
        <v>42958</v>
      </c>
      <c r="AA159">
        <v>0.68000000000000027</v>
      </c>
      <c r="AB159">
        <v>0.3</v>
      </c>
      <c r="AC159">
        <v>0</v>
      </c>
      <c r="AD159">
        <v>1.999999999999974E-2</v>
      </c>
      <c r="AG159">
        <v>42902</v>
      </c>
      <c r="AH159">
        <v>0.68000000000000027</v>
      </c>
      <c r="AI159">
        <v>0.04</v>
      </c>
      <c r="AJ159">
        <v>0</v>
      </c>
      <c r="AK159">
        <v>0.27999999999999975</v>
      </c>
      <c r="AO159">
        <v>42314</v>
      </c>
      <c r="AP159">
        <v>0.66000000000000025</v>
      </c>
      <c r="AQ159">
        <v>0</v>
      </c>
      <c r="AR159">
        <v>0.02</v>
      </c>
      <c r="AS159">
        <v>0.31999999999999973</v>
      </c>
      <c r="AV159">
        <v>42321</v>
      </c>
      <c r="AW159">
        <v>0</v>
      </c>
      <c r="AX159">
        <v>0</v>
      </c>
      <c r="AY159">
        <v>0.78000000000000036</v>
      </c>
      <c r="AZ159">
        <v>0.21999999999999964</v>
      </c>
      <c r="BC159">
        <v>41810</v>
      </c>
      <c r="BD159">
        <v>0.3</v>
      </c>
      <c r="BE159">
        <v>0</v>
      </c>
      <c r="BF159">
        <v>0.44000000000000011</v>
      </c>
      <c r="BG159">
        <v>0.25999999999999984</v>
      </c>
    </row>
    <row r="160" spans="1:59" x14ac:dyDescent="0.3">
      <c r="A160">
        <v>42671</v>
      </c>
      <c r="B160">
        <v>0.74000000000000032</v>
      </c>
      <c r="C160">
        <v>0.12000000000000001</v>
      </c>
      <c r="D160">
        <v>0</v>
      </c>
      <c r="E160">
        <v>0.13999999999999968</v>
      </c>
      <c r="J160">
        <v>42538</v>
      </c>
      <c r="K160">
        <v>0.27999999999999997</v>
      </c>
      <c r="L160">
        <v>0.40000000000000008</v>
      </c>
      <c r="M160">
        <v>0</v>
      </c>
      <c r="N160">
        <v>0.3199999999999999</v>
      </c>
      <c r="R160" t="s">
        <v>58</v>
      </c>
      <c r="S160" t="s">
        <v>58</v>
      </c>
      <c r="T160" t="s">
        <v>58</v>
      </c>
      <c r="U160" t="s">
        <v>58</v>
      </c>
      <c r="V160" t="s">
        <v>58</v>
      </c>
      <c r="Z160">
        <v>42965</v>
      </c>
      <c r="AA160">
        <v>0.68000000000000027</v>
      </c>
      <c r="AB160">
        <v>0.3</v>
      </c>
      <c r="AC160">
        <v>0</v>
      </c>
      <c r="AD160">
        <v>1.999999999999974E-2</v>
      </c>
      <c r="AG160">
        <v>42909</v>
      </c>
      <c r="AH160">
        <v>0.78000000000000036</v>
      </c>
      <c r="AI160">
        <v>0.12000000000000001</v>
      </c>
      <c r="AJ160">
        <v>0</v>
      </c>
      <c r="AK160">
        <v>9.9999999999999631E-2</v>
      </c>
      <c r="AO160">
        <v>42321</v>
      </c>
      <c r="AP160">
        <v>0.72000000000000031</v>
      </c>
      <c r="AQ160">
        <v>0</v>
      </c>
      <c r="AR160">
        <v>0</v>
      </c>
      <c r="AS160">
        <v>0.27999999999999969</v>
      </c>
      <c r="AV160">
        <v>42328</v>
      </c>
      <c r="AW160">
        <v>0</v>
      </c>
      <c r="AX160">
        <v>0</v>
      </c>
      <c r="AY160">
        <v>0.78000000000000036</v>
      </c>
      <c r="AZ160">
        <v>0.21999999999999964</v>
      </c>
      <c r="BC160">
        <v>41817</v>
      </c>
      <c r="BD160">
        <v>0.3</v>
      </c>
      <c r="BE160">
        <v>0</v>
      </c>
      <c r="BF160">
        <v>0.44000000000000011</v>
      </c>
      <c r="BG160">
        <v>0.25999999999999984</v>
      </c>
    </row>
    <row r="161" spans="1:59" x14ac:dyDescent="0.3">
      <c r="A161">
        <v>42678</v>
      </c>
      <c r="B161">
        <v>0.76000000000000034</v>
      </c>
      <c r="C161">
        <v>0.1</v>
      </c>
      <c r="D161">
        <v>0</v>
      </c>
      <c r="E161">
        <v>0.13999999999999965</v>
      </c>
      <c r="J161">
        <v>42545</v>
      </c>
      <c r="K161">
        <v>0.25999999999999995</v>
      </c>
      <c r="L161">
        <v>0.40000000000000008</v>
      </c>
      <c r="M161">
        <v>0</v>
      </c>
      <c r="N161">
        <v>0.33999999999999991</v>
      </c>
      <c r="R161" t="s">
        <v>58</v>
      </c>
      <c r="S161" t="s">
        <v>58</v>
      </c>
      <c r="T161" t="s">
        <v>58</v>
      </c>
      <c r="U161" t="s">
        <v>58</v>
      </c>
      <c r="V161" t="s">
        <v>58</v>
      </c>
      <c r="Z161">
        <v>42972</v>
      </c>
      <c r="AA161">
        <v>0.64000000000000024</v>
      </c>
      <c r="AB161">
        <v>0.34</v>
      </c>
      <c r="AC161">
        <v>0</v>
      </c>
      <c r="AD161">
        <v>1.999999999999974E-2</v>
      </c>
      <c r="AG161">
        <v>42916</v>
      </c>
      <c r="AH161">
        <v>0.78000000000000036</v>
      </c>
      <c r="AI161">
        <v>0.14000000000000001</v>
      </c>
      <c r="AJ161">
        <v>0</v>
      </c>
      <c r="AK161">
        <v>7.9999999999999627E-2</v>
      </c>
      <c r="AO161">
        <v>42328</v>
      </c>
      <c r="AP161">
        <v>0.72000000000000031</v>
      </c>
      <c r="AQ161">
        <v>0</v>
      </c>
      <c r="AR161">
        <v>0</v>
      </c>
      <c r="AS161">
        <v>0.27999999999999969</v>
      </c>
      <c r="AV161">
        <v>42335</v>
      </c>
      <c r="AW161">
        <v>0</v>
      </c>
      <c r="AX161">
        <v>0</v>
      </c>
      <c r="AY161">
        <v>0.78000000000000036</v>
      </c>
      <c r="AZ161">
        <v>0.21999999999999964</v>
      </c>
      <c r="BC161">
        <v>41824</v>
      </c>
      <c r="BD161">
        <v>0.16</v>
      </c>
      <c r="BE161">
        <v>0</v>
      </c>
      <c r="BF161">
        <v>0.54000000000000015</v>
      </c>
      <c r="BG161">
        <v>0.29999999999999982</v>
      </c>
    </row>
    <row r="162" spans="1:59" x14ac:dyDescent="0.3">
      <c r="A162">
        <v>42685</v>
      </c>
      <c r="B162">
        <v>0.78000000000000036</v>
      </c>
      <c r="C162">
        <v>0.06</v>
      </c>
      <c r="D162">
        <v>0.02</v>
      </c>
      <c r="E162">
        <v>0.13999999999999965</v>
      </c>
      <c r="J162">
        <v>42552</v>
      </c>
      <c r="K162">
        <v>0.27999999999999997</v>
      </c>
      <c r="L162">
        <v>0.40000000000000008</v>
      </c>
      <c r="M162">
        <v>0</v>
      </c>
      <c r="N162">
        <v>0.3199999999999999</v>
      </c>
      <c r="R162" t="s">
        <v>58</v>
      </c>
      <c r="S162" t="s">
        <v>58</v>
      </c>
      <c r="T162" t="s">
        <v>58</v>
      </c>
      <c r="U162" t="s">
        <v>58</v>
      </c>
      <c r="V162" t="s">
        <v>58</v>
      </c>
      <c r="Z162">
        <v>42979</v>
      </c>
      <c r="AA162">
        <v>0.66000000000000025</v>
      </c>
      <c r="AB162">
        <v>0.32</v>
      </c>
      <c r="AC162">
        <v>0</v>
      </c>
      <c r="AD162">
        <v>1.999999999999974E-2</v>
      </c>
      <c r="AG162">
        <v>42923</v>
      </c>
      <c r="AH162">
        <v>0.78000000000000036</v>
      </c>
      <c r="AI162">
        <v>0.18</v>
      </c>
      <c r="AJ162">
        <v>0</v>
      </c>
      <c r="AK162">
        <v>3.9999999999999647E-2</v>
      </c>
      <c r="AO162">
        <v>42335</v>
      </c>
      <c r="AP162">
        <v>0.68000000000000027</v>
      </c>
      <c r="AQ162">
        <v>0</v>
      </c>
      <c r="AR162">
        <v>0.02</v>
      </c>
      <c r="AS162">
        <v>0.29999999999999971</v>
      </c>
      <c r="AV162">
        <v>42342</v>
      </c>
      <c r="AW162">
        <v>0</v>
      </c>
      <c r="AX162">
        <v>0</v>
      </c>
      <c r="AY162">
        <v>0.78000000000000036</v>
      </c>
      <c r="AZ162">
        <v>0.21999999999999964</v>
      </c>
      <c r="BC162">
        <v>41831</v>
      </c>
      <c r="BD162">
        <v>0.14000000000000001</v>
      </c>
      <c r="BE162">
        <v>0</v>
      </c>
      <c r="BF162">
        <v>0.6000000000000002</v>
      </c>
      <c r="BG162">
        <v>0.25999999999999979</v>
      </c>
    </row>
    <row r="163" spans="1:59" x14ac:dyDescent="0.3">
      <c r="A163">
        <v>42692</v>
      </c>
      <c r="B163">
        <v>0.8200000000000004</v>
      </c>
      <c r="C163">
        <v>0.1</v>
      </c>
      <c r="D163">
        <v>0</v>
      </c>
      <c r="E163">
        <v>7.9999999999999599E-2</v>
      </c>
      <c r="J163">
        <v>42559</v>
      </c>
      <c r="K163">
        <v>0.23999999999999996</v>
      </c>
      <c r="L163">
        <v>0.36000000000000004</v>
      </c>
      <c r="M163">
        <v>0</v>
      </c>
      <c r="N163">
        <v>0.39999999999999997</v>
      </c>
      <c r="R163" t="s">
        <v>58</v>
      </c>
      <c r="S163" t="s">
        <v>58</v>
      </c>
      <c r="T163" t="s">
        <v>58</v>
      </c>
      <c r="U163" t="s">
        <v>58</v>
      </c>
      <c r="V163" t="s">
        <v>58</v>
      </c>
      <c r="Z163">
        <v>42986</v>
      </c>
      <c r="AA163">
        <v>0.66000000000000025</v>
      </c>
      <c r="AB163">
        <v>0.32</v>
      </c>
      <c r="AC163">
        <v>0</v>
      </c>
      <c r="AD163">
        <v>1.999999999999974E-2</v>
      </c>
      <c r="AG163">
        <v>42930</v>
      </c>
      <c r="AH163">
        <v>0.78000000000000036</v>
      </c>
      <c r="AI163">
        <v>0.18</v>
      </c>
      <c r="AJ163">
        <v>0</v>
      </c>
      <c r="AK163">
        <v>3.9999999999999647E-2</v>
      </c>
      <c r="AO163">
        <v>42342</v>
      </c>
      <c r="AP163">
        <v>0.68000000000000027</v>
      </c>
      <c r="AQ163">
        <v>0</v>
      </c>
      <c r="AR163">
        <v>0.02</v>
      </c>
      <c r="AS163">
        <v>0.29999999999999971</v>
      </c>
      <c r="AV163">
        <v>42349</v>
      </c>
      <c r="AW163">
        <v>0</v>
      </c>
      <c r="AX163">
        <v>0</v>
      </c>
      <c r="AY163">
        <v>0.78000000000000036</v>
      </c>
      <c r="AZ163">
        <v>0.21999999999999964</v>
      </c>
      <c r="BC163">
        <v>41838</v>
      </c>
      <c r="BD163">
        <v>0.19999999999999998</v>
      </c>
      <c r="BE163">
        <v>0</v>
      </c>
      <c r="BF163">
        <v>0.6000000000000002</v>
      </c>
      <c r="BG163">
        <v>0.19999999999999984</v>
      </c>
    </row>
    <row r="164" spans="1:59" x14ac:dyDescent="0.3">
      <c r="A164">
        <v>42699</v>
      </c>
      <c r="B164">
        <v>0.8200000000000004</v>
      </c>
      <c r="C164">
        <v>0.12000000000000001</v>
      </c>
      <c r="D164">
        <v>0</v>
      </c>
      <c r="E164">
        <v>5.9999999999999595E-2</v>
      </c>
      <c r="J164">
        <v>42566</v>
      </c>
      <c r="K164">
        <v>0.21999999999999997</v>
      </c>
      <c r="L164">
        <v>0.40000000000000008</v>
      </c>
      <c r="M164">
        <v>0</v>
      </c>
      <c r="N164">
        <v>0.37999999999999995</v>
      </c>
      <c r="R164" t="s">
        <v>58</v>
      </c>
      <c r="S164" t="s">
        <v>58</v>
      </c>
      <c r="T164" t="s">
        <v>58</v>
      </c>
      <c r="U164" t="s">
        <v>58</v>
      </c>
      <c r="V164" t="s">
        <v>58</v>
      </c>
      <c r="Z164">
        <v>42993</v>
      </c>
      <c r="AA164">
        <v>0.70000000000000029</v>
      </c>
      <c r="AB164">
        <v>0.27999999999999997</v>
      </c>
      <c r="AC164">
        <v>0</v>
      </c>
      <c r="AD164">
        <v>1.999999999999974E-2</v>
      </c>
      <c r="AG164">
        <v>42937</v>
      </c>
      <c r="AH164">
        <v>0.84000000000000041</v>
      </c>
      <c r="AI164">
        <v>0.12000000000000001</v>
      </c>
      <c r="AJ164">
        <v>0</v>
      </c>
      <c r="AK164">
        <v>3.9999999999999578E-2</v>
      </c>
      <c r="AO164">
        <v>42349</v>
      </c>
      <c r="AP164">
        <v>0.64000000000000024</v>
      </c>
      <c r="AQ164">
        <v>0</v>
      </c>
      <c r="AR164">
        <v>0.04</v>
      </c>
      <c r="AS164">
        <v>0.31999999999999978</v>
      </c>
      <c r="AV164">
        <v>42356</v>
      </c>
      <c r="AW164">
        <v>0</v>
      </c>
      <c r="AX164">
        <v>0</v>
      </c>
      <c r="AY164">
        <v>0.78000000000000036</v>
      </c>
      <c r="AZ164">
        <v>0.21999999999999964</v>
      </c>
      <c r="BC164">
        <v>41845</v>
      </c>
      <c r="BD164">
        <v>0.32</v>
      </c>
      <c r="BE164">
        <v>0</v>
      </c>
      <c r="BF164">
        <v>0.52000000000000013</v>
      </c>
      <c r="BG164">
        <v>0.15999999999999981</v>
      </c>
    </row>
    <row r="165" spans="1:59" x14ac:dyDescent="0.3">
      <c r="A165">
        <v>42706</v>
      </c>
      <c r="B165">
        <v>0.70000000000000029</v>
      </c>
      <c r="C165">
        <v>0.18</v>
      </c>
      <c r="D165">
        <v>0</v>
      </c>
      <c r="E165">
        <v>0.11999999999999972</v>
      </c>
      <c r="J165">
        <v>42573</v>
      </c>
      <c r="K165">
        <v>0.16</v>
      </c>
      <c r="L165">
        <v>0.4200000000000001</v>
      </c>
      <c r="M165">
        <v>0</v>
      </c>
      <c r="N165">
        <v>0.41999999999999987</v>
      </c>
      <c r="R165" t="s">
        <v>58</v>
      </c>
      <c r="S165" t="s">
        <v>58</v>
      </c>
      <c r="T165" t="s">
        <v>58</v>
      </c>
      <c r="U165" t="s">
        <v>58</v>
      </c>
      <c r="V165" t="s">
        <v>58</v>
      </c>
      <c r="Z165">
        <v>43000</v>
      </c>
      <c r="AA165">
        <v>0.64000000000000024</v>
      </c>
      <c r="AB165">
        <v>0.27999999999999997</v>
      </c>
      <c r="AC165">
        <v>0</v>
      </c>
      <c r="AD165">
        <v>7.9999999999999793E-2</v>
      </c>
      <c r="AG165">
        <v>42944</v>
      </c>
      <c r="AH165">
        <v>0.78000000000000036</v>
      </c>
      <c r="AI165">
        <v>0.16</v>
      </c>
      <c r="AJ165">
        <v>0</v>
      </c>
      <c r="AK165">
        <v>5.9999999999999637E-2</v>
      </c>
      <c r="AO165">
        <v>42356</v>
      </c>
      <c r="AP165">
        <v>0.64000000000000024</v>
      </c>
      <c r="AQ165">
        <v>0</v>
      </c>
      <c r="AR165">
        <v>0.04</v>
      </c>
      <c r="AS165">
        <v>0.31999999999999978</v>
      </c>
      <c r="AV165">
        <v>42363</v>
      </c>
      <c r="AW165">
        <v>0</v>
      </c>
      <c r="AX165">
        <v>0</v>
      </c>
      <c r="AY165">
        <v>0.76000000000000034</v>
      </c>
      <c r="AZ165">
        <v>0.23999999999999966</v>
      </c>
      <c r="BC165">
        <v>41852</v>
      </c>
      <c r="BD165">
        <v>0.32</v>
      </c>
      <c r="BE165">
        <v>0</v>
      </c>
      <c r="BF165">
        <v>0.52000000000000013</v>
      </c>
      <c r="BG165">
        <v>0.15999999999999981</v>
      </c>
    </row>
    <row r="166" spans="1:59" x14ac:dyDescent="0.3">
      <c r="A166">
        <v>42713</v>
      </c>
      <c r="B166">
        <v>0.72000000000000031</v>
      </c>
      <c r="C166">
        <v>0.16</v>
      </c>
      <c r="D166">
        <v>0</v>
      </c>
      <c r="E166">
        <v>0.11999999999999969</v>
      </c>
      <c r="J166">
        <v>42580</v>
      </c>
      <c r="K166">
        <v>0.3</v>
      </c>
      <c r="L166">
        <v>0.40000000000000008</v>
      </c>
      <c r="M166">
        <v>0</v>
      </c>
      <c r="N166">
        <v>0.29999999999999988</v>
      </c>
      <c r="R166" t="s">
        <v>58</v>
      </c>
      <c r="S166" t="s">
        <v>58</v>
      </c>
      <c r="T166" t="s">
        <v>58</v>
      </c>
      <c r="U166" t="s">
        <v>58</v>
      </c>
      <c r="V166" t="s">
        <v>58</v>
      </c>
      <c r="Z166">
        <v>43007</v>
      </c>
      <c r="AA166">
        <v>0.64000000000000024</v>
      </c>
      <c r="AB166">
        <v>0.3</v>
      </c>
      <c r="AC166">
        <v>0</v>
      </c>
      <c r="AD166">
        <v>5.9999999999999776E-2</v>
      </c>
      <c r="AG166">
        <v>42951</v>
      </c>
      <c r="AH166">
        <v>0.84000000000000041</v>
      </c>
      <c r="AI166">
        <v>0.14000000000000001</v>
      </c>
      <c r="AJ166">
        <v>0</v>
      </c>
      <c r="AK166">
        <v>1.9999999999999574E-2</v>
      </c>
      <c r="AO166">
        <v>42363</v>
      </c>
      <c r="AP166">
        <v>0.70000000000000029</v>
      </c>
      <c r="AQ166">
        <v>0</v>
      </c>
      <c r="AR166">
        <v>0</v>
      </c>
      <c r="AS166">
        <v>0.29999999999999971</v>
      </c>
      <c r="AV166">
        <v>42369</v>
      </c>
      <c r="AW166">
        <v>0</v>
      </c>
      <c r="AX166">
        <v>0</v>
      </c>
      <c r="AY166">
        <v>0.76000000000000034</v>
      </c>
      <c r="AZ166">
        <v>0.23999999999999966</v>
      </c>
      <c r="BC166">
        <v>41859</v>
      </c>
      <c r="BD166">
        <v>0.27999999999999997</v>
      </c>
      <c r="BE166">
        <v>0</v>
      </c>
      <c r="BF166">
        <v>0.56000000000000016</v>
      </c>
      <c r="BG166">
        <v>0.15999999999999981</v>
      </c>
    </row>
    <row r="167" spans="1:59" x14ac:dyDescent="0.3">
      <c r="A167">
        <v>42720</v>
      </c>
      <c r="B167">
        <v>0.78000000000000036</v>
      </c>
      <c r="C167">
        <v>0.08</v>
      </c>
      <c r="D167">
        <v>0</v>
      </c>
      <c r="E167">
        <v>0.13999999999999962</v>
      </c>
      <c r="J167">
        <v>42587</v>
      </c>
      <c r="K167">
        <v>0.19999999999999998</v>
      </c>
      <c r="L167">
        <v>0.32</v>
      </c>
      <c r="M167">
        <v>0.23999999999999996</v>
      </c>
      <c r="N167">
        <v>0.24000000000000007</v>
      </c>
      <c r="R167" t="s">
        <v>58</v>
      </c>
      <c r="S167" t="s">
        <v>58</v>
      </c>
      <c r="T167" t="s">
        <v>58</v>
      </c>
      <c r="U167" t="s">
        <v>58</v>
      </c>
      <c r="V167" t="s">
        <v>58</v>
      </c>
      <c r="Z167">
        <v>43021</v>
      </c>
      <c r="AA167">
        <v>0.66000000000000025</v>
      </c>
      <c r="AB167">
        <v>0.27999999999999997</v>
      </c>
      <c r="AC167">
        <v>0</v>
      </c>
      <c r="AD167">
        <v>5.9999999999999776E-2</v>
      </c>
      <c r="AG167">
        <v>42958</v>
      </c>
      <c r="AH167">
        <v>0.84000000000000041</v>
      </c>
      <c r="AI167">
        <v>0.14000000000000001</v>
      </c>
      <c r="AJ167">
        <v>0</v>
      </c>
      <c r="AK167">
        <v>1.9999999999999574E-2</v>
      </c>
      <c r="AO167">
        <v>42369</v>
      </c>
      <c r="AP167">
        <v>0.68000000000000027</v>
      </c>
      <c r="AQ167">
        <v>0</v>
      </c>
      <c r="AR167">
        <v>0</v>
      </c>
      <c r="AS167">
        <v>0.31999999999999973</v>
      </c>
      <c r="AV167">
        <v>42377</v>
      </c>
      <c r="AW167">
        <v>0</v>
      </c>
      <c r="AX167">
        <v>0</v>
      </c>
      <c r="AY167">
        <v>0.76000000000000034</v>
      </c>
      <c r="AZ167">
        <v>0.23999999999999966</v>
      </c>
      <c r="BC167">
        <v>41866</v>
      </c>
      <c r="BD167">
        <v>0.25999999999999995</v>
      </c>
      <c r="BE167">
        <v>0</v>
      </c>
      <c r="BF167">
        <v>0.6000000000000002</v>
      </c>
      <c r="BG167">
        <v>0.13999999999999979</v>
      </c>
    </row>
    <row r="168" spans="1:59" x14ac:dyDescent="0.3">
      <c r="A168">
        <v>42727</v>
      </c>
      <c r="B168">
        <v>0.84000000000000041</v>
      </c>
      <c r="C168">
        <v>0.04</v>
      </c>
      <c r="D168">
        <v>0.02</v>
      </c>
      <c r="E168">
        <v>9.9999999999999575E-2</v>
      </c>
      <c r="J168">
        <v>42594</v>
      </c>
      <c r="K168">
        <v>0.21999999999999997</v>
      </c>
      <c r="L168">
        <v>0.19999999999999998</v>
      </c>
      <c r="M168">
        <v>0.32</v>
      </c>
      <c r="N168">
        <v>0.26000000000000006</v>
      </c>
      <c r="R168" t="s">
        <v>58</v>
      </c>
      <c r="S168" t="s">
        <v>58</v>
      </c>
      <c r="T168" t="s">
        <v>58</v>
      </c>
      <c r="U168" t="s">
        <v>58</v>
      </c>
      <c r="V168" t="s">
        <v>58</v>
      </c>
      <c r="Z168">
        <v>43028</v>
      </c>
      <c r="AA168">
        <v>0.62000000000000022</v>
      </c>
      <c r="AB168">
        <v>0.32</v>
      </c>
      <c r="AC168">
        <v>0</v>
      </c>
      <c r="AD168">
        <v>5.9999999999999776E-2</v>
      </c>
      <c r="AG168">
        <v>42965</v>
      </c>
      <c r="AH168">
        <v>0.84000000000000041</v>
      </c>
      <c r="AI168">
        <v>0.14000000000000001</v>
      </c>
      <c r="AJ168">
        <v>0</v>
      </c>
      <c r="AK168">
        <v>1.9999999999999574E-2</v>
      </c>
      <c r="AO168">
        <v>42377</v>
      </c>
      <c r="AP168">
        <v>0.70000000000000029</v>
      </c>
      <c r="AQ168">
        <v>0</v>
      </c>
      <c r="AR168">
        <v>0</v>
      </c>
      <c r="AS168">
        <v>0.29999999999999971</v>
      </c>
      <c r="AV168">
        <v>42384</v>
      </c>
      <c r="AW168">
        <v>0</v>
      </c>
      <c r="AX168">
        <v>0</v>
      </c>
      <c r="AY168">
        <v>0.74000000000000032</v>
      </c>
      <c r="AZ168">
        <v>0.25999999999999968</v>
      </c>
      <c r="BC168">
        <v>41873</v>
      </c>
      <c r="BD168">
        <v>0.25999999999999995</v>
      </c>
      <c r="BE168">
        <v>0</v>
      </c>
      <c r="BF168">
        <v>0.64000000000000024</v>
      </c>
      <c r="BG168">
        <v>9.9999999999999756E-2</v>
      </c>
    </row>
    <row r="169" spans="1:59" x14ac:dyDescent="0.3">
      <c r="A169">
        <v>42734</v>
      </c>
      <c r="B169">
        <v>0.88000000000000045</v>
      </c>
      <c r="C169">
        <v>0</v>
      </c>
      <c r="D169">
        <v>0.04</v>
      </c>
      <c r="E169">
        <v>7.9999999999999544E-2</v>
      </c>
      <c r="J169">
        <v>42601</v>
      </c>
      <c r="K169">
        <v>0.21999999999999997</v>
      </c>
      <c r="L169">
        <v>0.1</v>
      </c>
      <c r="M169">
        <v>0.40000000000000008</v>
      </c>
      <c r="N169">
        <v>0.27999999999999997</v>
      </c>
      <c r="R169" t="s">
        <v>58</v>
      </c>
      <c r="S169" t="s">
        <v>58</v>
      </c>
      <c r="T169" t="s">
        <v>58</v>
      </c>
      <c r="U169" t="s">
        <v>58</v>
      </c>
      <c r="V169" t="s">
        <v>58</v>
      </c>
      <c r="Z169">
        <v>43035</v>
      </c>
      <c r="AA169">
        <v>0.6000000000000002</v>
      </c>
      <c r="AB169">
        <v>0.36000000000000004</v>
      </c>
      <c r="AC169">
        <v>0</v>
      </c>
      <c r="AD169">
        <v>3.9999999999999758E-2</v>
      </c>
      <c r="AG169">
        <v>42972</v>
      </c>
      <c r="AH169">
        <v>0.80000000000000038</v>
      </c>
      <c r="AI169">
        <v>0.18</v>
      </c>
      <c r="AJ169">
        <v>0</v>
      </c>
      <c r="AK169">
        <v>1.9999999999999629E-2</v>
      </c>
      <c r="AO169">
        <v>42384</v>
      </c>
      <c r="AP169">
        <v>0.70000000000000029</v>
      </c>
      <c r="AQ169">
        <v>0</v>
      </c>
      <c r="AR169">
        <v>0</v>
      </c>
      <c r="AS169">
        <v>0.29999999999999971</v>
      </c>
      <c r="AV169">
        <v>42391</v>
      </c>
      <c r="AW169">
        <v>0.1</v>
      </c>
      <c r="AX169">
        <v>0</v>
      </c>
      <c r="AY169">
        <v>0.76000000000000034</v>
      </c>
      <c r="AZ169">
        <v>0.13999999999999968</v>
      </c>
      <c r="BC169">
        <v>41880</v>
      </c>
      <c r="BD169">
        <v>0.23999999999999996</v>
      </c>
      <c r="BE169">
        <v>0</v>
      </c>
      <c r="BF169">
        <v>0.68000000000000027</v>
      </c>
      <c r="BG169">
        <v>7.9999999999999738E-2</v>
      </c>
    </row>
    <row r="170" spans="1:59" x14ac:dyDescent="0.3">
      <c r="A170">
        <v>42741</v>
      </c>
      <c r="B170">
        <v>0.84000000000000041</v>
      </c>
      <c r="C170">
        <v>0.08</v>
      </c>
      <c r="D170">
        <v>0</v>
      </c>
      <c r="E170">
        <v>7.9999999999999585E-2</v>
      </c>
      <c r="J170">
        <v>42608</v>
      </c>
      <c r="K170">
        <v>0.23999999999999996</v>
      </c>
      <c r="L170">
        <v>0.16</v>
      </c>
      <c r="M170">
        <v>0.27999999999999997</v>
      </c>
      <c r="N170">
        <v>0.32</v>
      </c>
      <c r="R170" t="s">
        <v>58</v>
      </c>
      <c r="S170" t="s">
        <v>58</v>
      </c>
      <c r="T170" t="s">
        <v>58</v>
      </c>
      <c r="U170" t="s">
        <v>58</v>
      </c>
      <c r="V170" t="s">
        <v>58</v>
      </c>
      <c r="Z170">
        <v>43042</v>
      </c>
      <c r="AA170">
        <v>0.6000000000000002</v>
      </c>
      <c r="AB170">
        <v>0.36000000000000004</v>
      </c>
      <c r="AC170">
        <v>0</v>
      </c>
      <c r="AD170">
        <v>3.9999999999999758E-2</v>
      </c>
      <c r="AG170">
        <v>42979</v>
      </c>
      <c r="AH170">
        <v>0.80000000000000038</v>
      </c>
      <c r="AI170">
        <v>0.18</v>
      </c>
      <c r="AJ170">
        <v>0</v>
      </c>
      <c r="AK170">
        <v>1.9999999999999629E-2</v>
      </c>
      <c r="AO170">
        <v>42391</v>
      </c>
      <c r="AP170">
        <v>0.64000000000000024</v>
      </c>
      <c r="AQ170">
        <v>0</v>
      </c>
      <c r="AR170">
        <v>0</v>
      </c>
      <c r="AS170">
        <v>0.35999999999999976</v>
      </c>
      <c r="AV170">
        <v>42398</v>
      </c>
      <c r="AW170">
        <v>0.06</v>
      </c>
      <c r="AX170">
        <v>0</v>
      </c>
      <c r="AY170">
        <v>0.78000000000000036</v>
      </c>
      <c r="AZ170">
        <v>0.15999999999999959</v>
      </c>
      <c r="BC170">
        <v>41887</v>
      </c>
      <c r="BD170">
        <v>0.25999999999999995</v>
      </c>
      <c r="BE170">
        <v>0</v>
      </c>
      <c r="BF170">
        <v>0.72000000000000031</v>
      </c>
      <c r="BG170">
        <v>1.9999999999999685E-2</v>
      </c>
    </row>
    <row r="171" spans="1:59" x14ac:dyDescent="0.3">
      <c r="A171">
        <v>42748</v>
      </c>
      <c r="B171">
        <v>0.50000000000000011</v>
      </c>
      <c r="C171">
        <v>0.23999999999999996</v>
      </c>
      <c r="D171">
        <v>0</v>
      </c>
      <c r="E171">
        <v>0.2599999999999999</v>
      </c>
      <c r="J171">
        <v>42615</v>
      </c>
      <c r="K171">
        <v>0.32</v>
      </c>
      <c r="L171">
        <v>0.40000000000000008</v>
      </c>
      <c r="M171">
        <v>0</v>
      </c>
      <c r="N171">
        <v>0.27999999999999986</v>
      </c>
      <c r="R171" t="s">
        <v>58</v>
      </c>
      <c r="S171" t="s">
        <v>58</v>
      </c>
      <c r="T171" t="s">
        <v>58</v>
      </c>
      <c r="U171" t="s">
        <v>58</v>
      </c>
      <c r="V171" t="s">
        <v>58</v>
      </c>
      <c r="Z171">
        <v>43049</v>
      </c>
      <c r="AA171">
        <v>0.6000000000000002</v>
      </c>
      <c r="AB171">
        <v>0.34</v>
      </c>
      <c r="AC171">
        <v>0</v>
      </c>
      <c r="AD171">
        <v>5.9999999999999776E-2</v>
      </c>
      <c r="AG171">
        <v>42986</v>
      </c>
      <c r="AH171">
        <v>0.80000000000000038</v>
      </c>
      <c r="AI171">
        <v>0.18</v>
      </c>
      <c r="AJ171">
        <v>0</v>
      </c>
      <c r="AK171">
        <v>1.9999999999999629E-2</v>
      </c>
      <c r="AO171">
        <v>42398</v>
      </c>
      <c r="AP171">
        <v>0.58000000000000018</v>
      </c>
      <c r="AQ171">
        <v>0</v>
      </c>
      <c r="AR171">
        <v>0.02</v>
      </c>
      <c r="AS171">
        <v>0.3999999999999998</v>
      </c>
      <c r="AV171">
        <v>42405</v>
      </c>
      <c r="AW171">
        <v>0.06</v>
      </c>
      <c r="AX171">
        <v>0</v>
      </c>
      <c r="AY171">
        <v>0.78000000000000036</v>
      </c>
      <c r="AZ171">
        <v>0.15999999999999959</v>
      </c>
      <c r="BC171">
        <v>41894</v>
      </c>
      <c r="BD171">
        <v>0.27999999999999997</v>
      </c>
      <c r="BE171">
        <v>0</v>
      </c>
      <c r="BF171">
        <v>0.70000000000000029</v>
      </c>
      <c r="BG171">
        <v>1.9999999999999685E-2</v>
      </c>
    </row>
    <row r="172" spans="1:59" x14ac:dyDescent="0.3">
      <c r="A172">
        <v>42755</v>
      </c>
      <c r="B172">
        <v>0.50000000000000011</v>
      </c>
      <c r="C172">
        <v>0.19999999999999998</v>
      </c>
      <c r="D172">
        <v>0</v>
      </c>
      <c r="E172">
        <v>0.29999999999999993</v>
      </c>
      <c r="J172">
        <v>42622</v>
      </c>
      <c r="K172">
        <v>0.32</v>
      </c>
      <c r="L172">
        <v>0.4200000000000001</v>
      </c>
      <c r="M172">
        <v>0</v>
      </c>
      <c r="N172">
        <v>0.25999999999999984</v>
      </c>
      <c r="R172" t="s">
        <v>58</v>
      </c>
      <c r="S172" t="s">
        <v>58</v>
      </c>
      <c r="T172" t="s">
        <v>58</v>
      </c>
      <c r="U172" t="s">
        <v>58</v>
      </c>
      <c r="V172" t="s">
        <v>58</v>
      </c>
      <c r="Z172">
        <v>43056</v>
      </c>
      <c r="AA172">
        <v>0.58000000000000018</v>
      </c>
      <c r="AB172">
        <v>0.34</v>
      </c>
      <c r="AC172">
        <v>0</v>
      </c>
      <c r="AD172">
        <v>7.9999999999999793E-2</v>
      </c>
      <c r="AG172">
        <v>42993</v>
      </c>
      <c r="AH172">
        <v>0.84000000000000041</v>
      </c>
      <c r="AI172">
        <v>0.08</v>
      </c>
      <c r="AJ172">
        <v>0</v>
      </c>
      <c r="AK172">
        <v>7.9999999999999585E-2</v>
      </c>
      <c r="AO172">
        <v>42405</v>
      </c>
      <c r="AP172">
        <v>0.62000000000000022</v>
      </c>
      <c r="AQ172">
        <v>0</v>
      </c>
      <c r="AR172">
        <v>0.02</v>
      </c>
      <c r="AS172">
        <v>0.35999999999999976</v>
      </c>
      <c r="AV172">
        <v>42419</v>
      </c>
      <c r="AW172">
        <v>0.1</v>
      </c>
      <c r="AX172">
        <v>0</v>
      </c>
      <c r="AY172">
        <v>0.72000000000000031</v>
      </c>
      <c r="AZ172">
        <v>0.17999999999999972</v>
      </c>
      <c r="BC172">
        <v>41901</v>
      </c>
      <c r="BD172">
        <v>0.27999999999999997</v>
      </c>
      <c r="BE172">
        <v>0</v>
      </c>
      <c r="BF172">
        <v>0.70000000000000029</v>
      </c>
      <c r="BG172">
        <v>1.9999999999999685E-2</v>
      </c>
    </row>
    <row r="173" spans="1:59" x14ac:dyDescent="0.3">
      <c r="A173">
        <v>42761</v>
      </c>
      <c r="B173">
        <v>0.56000000000000016</v>
      </c>
      <c r="C173">
        <v>0.25999999999999995</v>
      </c>
      <c r="D173">
        <v>0</v>
      </c>
      <c r="E173">
        <v>0.17999999999999988</v>
      </c>
      <c r="J173">
        <v>42627</v>
      </c>
      <c r="K173">
        <v>0.44000000000000011</v>
      </c>
      <c r="L173">
        <v>0.12000000000000001</v>
      </c>
      <c r="M173">
        <v>0.14000000000000001</v>
      </c>
      <c r="N173">
        <v>0.29999999999999982</v>
      </c>
      <c r="R173" t="s">
        <v>58</v>
      </c>
      <c r="S173" t="s">
        <v>58</v>
      </c>
      <c r="T173" t="s">
        <v>58</v>
      </c>
      <c r="U173" t="s">
        <v>58</v>
      </c>
      <c r="V173" t="s">
        <v>58</v>
      </c>
      <c r="Z173">
        <v>43063</v>
      </c>
      <c r="AA173">
        <v>0.56000000000000016</v>
      </c>
      <c r="AB173">
        <v>0.36000000000000004</v>
      </c>
      <c r="AC173">
        <v>0</v>
      </c>
      <c r="AD173">
        <v>7.9999999999999793E-2</v>
      </c>
      <c r="AG173">
        <v>43000</v>
      </c>
      <c r="AH173">
        <v>0.92000000000000048</v>
      </c>
      <c r="AI173">
        <v>0.06</v>
      </c>
      <c r="AJ173">
        <v>0</v>
      </c>
      <c r="AK173">
        <v>1.9999999999999518E-2</v>
      </c>
      <c r="AO173">
        <v>42419</v>
      </c>
      <c r="AP173">
        <v>0.68000000000000027</v>
      </c>
      <c r="AQ173">
        <v>0</v>
      </c>
      <c r="AR173">
        <v>0</v>
      </c>
      <c r="AS173">
        <v>0.31999999999999973</v>
      </c>
      <c r="AV173">
        <v>42426</v>
      </c>
      <c r="AW173">
        <v>0.1</v>
      </c>
      <c r="AX173">
        <v>0</v>
      </c>
      <c r="AY173">
        <v>0.74000000000000032</v>
      </c>
      <c r="AZ173">
        <v>0.1599999999999997</v>
      </c>
      <c r="BC173">
        <v>41908</v>
      </c>
      <c r="BD173">
        <v>0.27999999999999997</v>
      </c>
      <c r="BE173">
        <v>0</v>
      </c>
      <c r="BF173">
        <v>0.70000000000000029</v>
      </c>
      <c r="BG173">
        <v>1.9999999999999685E-2</v>
      </c>
    </row>
    <row r="174" spans="1:59" x14ac:dyDescent="0.3">
      <c r="A174">
        <v>42769</v>
      </c>
      <c r="B174">
        <v>0.54000000000000015</v>
      </c>
      <c r="C174">
        <v>0.25999999999999995</v>
      </c>
      <c r="D174">
        <v>0</v>
      </c>
      <c r="E174">
        <v>0.1999999999999999</v>
      </c>
      <c r="J174">
        <v>42636</v>
      </c>
      <c r="K174">
        <v>0.44000000000000011</v>
      </c>
      <c r="L174">
        <v>0.19999999999999998</v>
      </c>
      <c r="M174">
        <v>0.08</v>
      </c>
      <c r="N174">
        <v>0.27999999999999986</v>
      </c>
      <c r="R174" t="s">
        <v>58</v>
      </c>
      <c r="S174" t="s">
        <v>58</v>
      </c>
      <c r="T174" t="s">
        <v>58</v>
      </c>
      <c r="U174" t="s">
        <v>58</v>
      </c>
      <c r="V174" t="s">
        <v>58</v>
      </c>
      <c r="Z174">
        <v>43070</v>
      </c>
      <c r="AA174">
        <v>0.58000000000000018</v>
      </c>
      <c r="AB174">
        <v>0.34</v>
      </c>
      <c r="AC174">
        <v>0</v>
      </c>
      <c r="AD174">
        <v>7.9999999999999793E-2</v>
      </c>
      <c r="AG174">
        <v>43007</v>
      </c>
      <c r="AH174">
        <v>0.92000000000000048</v>
      </c>
      <c r="AI174">
        <v>0.06</v>
      </c>
      <c r="AJ174">
        <v>0</v>
      </c>
      <c r="AK174">
        <v>1.9999999999999518E-2</v>
      </c>
      <c r="AO174">
        <v>42426</v>
      </c>
      <c r="AP174">
        <v>0.62000000000000022</v>
      </c>
      <c r="AQ174">
        <v>0.08</v>
      </c>
      <c r="AR174">
        <v>0</v>
      </c>
      <c r="AS174">
        <v>0.29999999999999977</v>
      </c>
      <c r="AV174">
        <v>42433</v>
      </c>
      <c r="AW174">
        <v>0.06</v>
      </c>
      <c r="AX174">
        <v>0</v>
      </c>
      <c r="AY174">
        <v>0.70000000000000029</v>
      </c>
      <c r="AZ174">
        <v>0.23999999999999966</v>
      </c>
      <c r="BC174">
        <v>41912</v>
      </c>
      <c r="BD174">
        <v>0.27999999999999997</v>
      </c>
      <c r="BE174">
        <v>0</v>
      </c>
      <c r="BF174">
        <v>0.70000000000000029</v>
      </c>
      <c r="BG174">
        <v>1.9999999999999685E-2</v>
      </c>
    </row>
    <row r="175" spans="1:59" x14ac:dyDescent="0.3">
      <c r="A175">
        <v>42776</v>
      </c>
      <c r="B175">
        <v>0.48000000000000015</v>
      </c>
      <c r="C175">
        <v>0.27999999999999997</v>
      </c>
      <c r="D175">
        <v>0</v>
      </c>
      <c r="E175">
        <v>0.23999999999999982</v>
      </c>
      <c r="J175">
        <v>42643</v>
      </c>
      <c r="K175">
        <v>0.46000000000000013</v>
      </c>
      <c r="L175">
        <v>0.18</v>
      </c>
      <c r="M175">
        <v>0.08</v>
      </c>
      <c r="N175">
        <v>0.2799999999999998</v>
      </c>
      <c r="R175" t="s">
        <v>58</v>
      </c>
      <c r="S175" t="s">
        <v>58</v>
      </c>
      <c r="T175" t="s">
        <v>58</v>
      </c>
      <c r="U175" t="s">
        <v>58</v>
      </c>
      <c r="V175" t="s">
        <v>58</v>
      </c>
      <c r="Z175">
        <v>43077</v>
      </c>
      <c r="AA175">
        <v>0.58000000000000018</v>
      </c>
      <c r="AB175">
        <v>0.34</v>
      </c>
      <c r="AC175">
        <v>0</v>
      </c>
      <c r="AD175">
        <v>7.9999999999999793E-2</v>
      </c>
      <c r="AG175">
        <v>43021</v>
      </c>
      <c r="AH175">
        <v>0.92000000000000048</v>
      </c>
      <c r="AI175">
        <v>0.06</v>
      </c>
      <c r="AJ175">
        <v>0</v>
      </c>
      <c r="AK175">
        <v>1.9999999999999518E-2</v>
      </c>
      <c r="AO175">
        <v>42433</v>
      </c>
      <c r="AP175">
        <v>0.68000000000000027</v>
      </c>
      <c r="AQ175">
        <v>0.08</v>
      </c>
      <c r="AR175">
        <v>0</v>
      </c>
      <c r="AS175">
        <v>0.23999999999999971</v>
      </c>
      <c r="AV175">
        <v>42440</v>
      </c>
      <c r="AW175">
        <v>0.18</v>
      </c>
      <c r="AX175">
        <v>0</v>
      </c>
      <c r="AY175">
        <v>0.64000000000000024</v>
      </c>
      <c r="AZ175">
        <v>0.17999999999999983</v>
      </c>
      <c r="BC175">
        <v>41922</v>
      </c>
      <c r="BD175">
        <v>0.25999999999999995</v>
      </c>
      <c r="BE175">
        <v>0</v>
      </c>
      <c r="BF175">
        <v>0.72000000000000031</v>
      </c>
      <c r="BG175">
        <v>1.9999999999999685E-2</v>
      </c>
    </row>
    <row r="176" spans="1:59" x14ac:dyDescent="0.3">
      <c r="A176">
        <v>42783</v>
      </c>
      <c r="B176">
        <v>0.46000000000000013</v>
      </c>
      <c r="C176">
        <v>0.27999999999999997</v>
      </c>
      <c r="D176">
        <v>0</v>
      </c>
      <c r="E176">
        <v>0.25999999999999984</v>
      </c>
      <c r="J176">
        <v>42657</v>
      </c>
      <c r="K176">
        <v>0.44000000000000011</v>
      </c>
      <c r="L176">
        <v>0.21999999999999997</v>
      </c>
      <c r="M176">
        <v>0.06</v>
      </c>
      <c r="N176">
        <v>0.27999999999999986</v>
      </c>
      <c r="R176" t="s">
        <v>58</v>
      </c>
      <c r="S176" t="s">
        <v>58</v>
      </c>
      <c r="T176" t="s">
        <v>58</v>
      </c>
      <c r="U176" t="s">
        <v>58</v>
      </c>
      <c r="V176" t="s">
        <v>58</v>
      </c>
      <c r="Z176">
        <v>43084</v>
      </c>
      <c r="AA176">
        <v>0.58000000000000018</v>
      </c>
      <c r="AB176">
        <v>0.34</v>
      </c>
      <c r="AC176">
        <v>0</v>
      </c>
      <c r="AD176">
        <v>7.9999999999999793E-2</v>
      </c>
      <c r="AG176">
        <v>43028</v>
      </c>
      <c r="AH176">
        <v>0.92000000000000048</v>
      </c>
      <c r="AI176">
        <v>0.06</v>
      </c>
      <c r="AJ176">
        <v>0</v>
      </c>
      <c r="AK176">
        <v>1.9999999999999518E-2</v>
      </c>
      <c r="AO176">
        <v>42440</v>
      </c>
      <c r="AP176">
        <v>0.76000000000000034</v>
      </c>
      <c r="AQ176">
        <v>0.04</v>
      </c>
      <c r="AR176">
        <v>0</v>
      </c>
      <c r="AS176">
        <v>0.19999999999999965</v>
      </c>
      <c r="AV176">
        <v>42447</v>
      </c>
      <c r="AW176">
        <v>0.32</v>
      </c>
      <c r="AX176">
        <v>0</v>
      </c>
      <c r="AY176">
        <v>0.54000000000000015</v>
      </c>
      <c r="AZ176">
        <v>0.13999999999999979</v>
      </c>
      <c r="BC176">
        <v>41929</v>
      </c>
      <c r="BD176">
        <v>0.25999999999999995</v>
      </c>
      <c r="BE176">
        <v>0</v>
      </c>
      <c r="BF176">
        <v>0.72000000000000031</v>
      </c>
      <c r="BG176">
        <v>1.9999999999999685E-2</v>
      </c>
    </row>
    <row r="177" spans="1:59" x14ac:dyDescent="0.3">
      <c r="A177">
        <v>42790</v>
      </c>
      <c r="B177">
        <v>0.44000000000000011</v>
      </c>
      <c r="C177">
        <v>0.27999999999999997</v>
      </c>
      <c r="D177">
        <v>0</v>
      </c>
      <c r="E177">
        <v>0.27999999999999986</v>
      </c>
      <c r="J177">
        <v>42664</v>
      </c>
      <c r="K177">
        <v>0.4200000000000001</v>
      </c>
      <c r="L177">
        <v>0.25999999999999995</v>
      </c>
      <c r="M177">
        <v>0.04</v>
      </c>
      <c r="N177">
        <v>0.27999999999999992</v>
      </c>
      <c r="R177" t="s">
        <v>58</v>
      </c>
      <c r="S177" t="s">
        <v>58</v>
      </c>
      <c r="T177" t="s">
        <v>58</v>
      </c>
      <c r="U177" t="s">
        <v>58</v>
      </c>
      <c r="V177" t="s">
        <v>58</v>
      </c>
      <c r="Z177">
        <v>43091</v>
      </c>
      <c r="AA177">
        <v>0.58000000000000018</v>
      </c>
      <c r="AB177">
        <v>0.34</v>
      </c>
      <c r="AC177">
        <v>0</v>
      </c>
      <c r="AD177">
        <v>7.9999999999999793E-2</v>
      </c>
      <c r="AG177">
        <v>43035</v>
      </c>
      <c r="AH177">
        <v>0.90000000000000047</v>
      </c>
      <c r="AI177">
        <v>0.08</v>
      </c>
      <c r="AJ177">
        <v>0</v>
      </c>
      <c r="AK177">
        <v>1.9999999999999532E-2</v>
      </c>
      <c r="AO177">
        <v>42447</v>
      </c>
      <c r="AP177">
        <v>0.80000000000000038</v>
      </c>
      <c r="AQ177">
        <v>0</v>
      </c>
      <c r="AR177">
        <v>0</v>
      </c>
      <c r="AS177">
        <v>0.19999999999999962</v>
      </c>
      <c r="AV177">
        <v>42454</v>
      </c>
      <c r="AW177">
        <v>0.04</v>
      </c>
      <c r="AX177">
        <v>0.44000000000000011</v>
      </c>
      <c r="AY177">
        <v>0.12000000000000001</v>
      </c>
      <c r="AZ177">
        <v>0.3999999999999998</v>
      </c>
      <c r="BC177">
        <v>41936</v>
      </c>
      <c r="BD177">
        <v>0.3</v>
      </c>
      <c r="BE177">
        <v>0</v>
      </c>
      <c r="BF177">
        <v>0.68000000000000027</v>
      </c>
      <c r="BG177">
        <v>1.9999999999999685E-2</v>
      </c>
    </row>
    <row r="178" spans="1:59" x14ac:dyDescent="0.3">
      <c r="A178">
        <v>42797</v>
      </c>
      <c r="B178">
        <v>0.46000000000000013</v>
      </c>
      <c r="C178">
        <v>0.3</v>
      </c>
      <c r="D178">
        <v>0</v>
      </c>
      <c r="E178">
        <v>0.23999999999999982</v>
      </c>
      <c r="J178">
        <v>42671</v>
      </c>
      <c r="K178">
        <v>0.46000000000000013</v>
      </c>
      <c r="L178">
        <v>0.06</v>
      </c>
      <c r="M178">
        <v>0.19999999999999998</v>
      </c>
      <c r="N178">
        <v>0.2799999999999998</v>
      </c>
      <c r="R178" t="s">
        <v>58</v>
      </c>
      <c r="S178" t="s">
        <v>58</v>
      </c>
      <c r="T178" t="s">
        <v>58</v>
      </c>
      <c r="U178" t="s">
        <v>58</v>
      </c>
      <c r="V178" t="s">
        <v>58</v>
      </c>
      <c r="Z178">
        <v>43098</v>
      </c>
      <c r="AA178">
        <v>0.56000000000000016</v>
      </c>
      <c r="AB178">
        <v>0.36000000000000004</v>
      </c>
      <c r="AC178">
        <v>0</v>
      </c>
      <c r="AD178">
        <v>7.9999999999999793E-2</v>
      </c>
      <c r="AG178">
        <v>43042</v>
      </c>
      <c r="AH178">
        <v>0.90000000000000047</v>
      </c>
      <c r="AI178">
        <v>0.08</v>
      </c>
      <c r="AJ178">
        <v>0</v>
      </c>
      <c r="AK178">
        <v>1.9999999999999532E-2</v>
      </c>
      <c r="AO178">
        <v>42454</v>
      </c>
      <c r="AP178">
        <v>0.8200000000000004</v>
      </c>
      <c r="AQ178">
        <v>0</v>
      </c>
      <c r="AR178">
        <v>0</v>
      </c>
      <c r="AS178">
        <v>0.1799999999999996</v>
      </c>
      <c r="AV178">
        <v>42461</v>
      </c>
      <c r="AW178">
        <v>0.1</v>
      </c>
      <c r="AX178">
        <v>0.38000000000000006</v>
      </c>
      <c r="AY178">
        <v>0.14000000000000001</v>
      </c>
      <c r="AZ178">
        <v>0.38</v>
      </c>
      <c r="BC178">
        <v>41943</v>
      </c>
      <c r="BD178">
        <v>0.3</v>
      </c>
      <c r="BE178">
        <v>0</v>
      </c>
      <c r="BF178">
        <v>0.68000000000000027</v>
      </c>
      <c r="BG178">
        <v>1.9999999999999685E-2</v>
      </c>
    </row>
    <row r="179" spans="1:59" x14ac:dyDescent="0.3">
      <c r="A179">
        <v>42804</v>
      </c>
      <c r="B179">
        <v>0.48000000000000015</v>
      </c>
      <c r="C179">
        <v>0.19999999999999998</v>
      </c>
      <c r="D179">
        <v>0.08</v>
      </c>
      <c r="E179">
        <v>0.23999999999999982</v>
      </c>
      <c r="J179">
        <v>42678</v>
      </c>
      <c r="K179">
        <v>0.48000000000000015</v>
      </c>
      <c r="L179">
        <v>0.02</v>
      </c>
      <c r="M179">
        <v>0.21999999999999997</v>
      </c>
      <c r="N179">
        <v>0.2799999999999998</v>
      </c>
      <c r="R179" t="s">
        <v>58</v>
      </c>
      <c r="S179" t="s">
        <v>58</v>
      </c>
      <c r="T179" t="s">
        <v>58</v>
      </c>
      <c r="U179" t="s">
        <v>58</v>
      </c>
      <c r="V179" t="s">
        <v>58</v>
      </c>
      <c r="Z179">
        <v>43105</v>
      </c>
      <c r="AA179">
        <v>0.56000000000000016</v>
      </c>
      <c r="AB179">
        <v>0.36000000000000004</v>
      </c>
      <c r="AC179">
        <v>0</v>
      </c>
      <c r="AD179">
        <v>7.9999999999999793E-2</v>
      </c>
      <c r="AG179">
        <v>43049</v>
      </c>
      <c r="AH179">
        <v>0.86000000000000043</v>
      </c>
      <c r="AI179">
        <v>0.12000000000000001</v>
      </c>
      <c r="AJ179">
        <v>0</v>
      </c>
      <c r="AK179">
        <v>1.999999999999956E-2</v>
      </c>
      <c r="AO179">
        <v>42461</v>
      </c>
      <c r="AP179">
        <v>0.78000000000000036</v>
      </c>
      <c r="AQ179">
        <v>0</v>
      </c>
      <c r="AR179">
        <v>0</v>
      </c>
      <c r="AS179">
        <v>0.21999999999999964</v>
      </c>
      <c r="AV179">
        <v>42468</v>
      </c>
      <c r="AW179">
        <v>0.1</v>
      </c>
      <c r="AX179">
        <v>0.36000000000000004</v>
      </c>
      <c r="AY179">
        <v>0.14000000000000001</v>
      </c>
      <c r="AZ179">
        <v>0.4</v>
      </c>
      <c r="BC179">
        <v>41950</v>
      </c>
      <c r="BD179">
        <v>0.3</v>
      </c>
      <c r="BE179">
        <v>0</v>
      </c>
      <c r="BF179">
        <v>0.68000000000000027</v>
      </c>
      <c r="BG179">
        <v>1.9999999999999685E-2</v>
      </c>
    </row>
    <row r="180" spans="1:59" x14ac:dyDescent="0.3">
      <c r="A180">
        <v>42811</v>
      </c>
      <c r="B180">
        <v>0.46000000000000013</v>
      </c>
      <c r="C180">
        <v>0.23999999999999996</v>
      </c>
      <c r="D180">
        <v>0.06</v>
      </c>
      <c r="E180">
        <v>0.23999999999999982</v>
      </c>
      <c r="J180">
        <v>42685</v>
      </c>
      <c r="K180">
        <v>0.46000000000000013</v>
      </c>
      <c r="L180">
        <v>0.3</v>
      </c>
      <c r="M180">
        <v>0</v>
      </c>
      <c r="N180">
        <v>0.23999999999999982</v>
      </c>
      <c r="R180" t="s">
        <v>58</v>
      </c>
      <c r="S180" t="s">
        <v>58</v>
      </c>
      <c r="T180" t="s">
        <v>58</v>
      </c>
      <c r="U180" t="s">
        <v>58</v>
      </c>
      <c r="V180" t="s">
        <v>58</v>
      </c>
      <c r="Z180">
        <v>43112</v>
      </c>
      <c r="AA180">
        <v>0.56000000000000016</v>
      </c>
      <c r="AB180">
        <v>0.36000000000000004</v>
      </c>
      <c r="AC180">
        <v>0</v>
      </c>
      <c r="AD180">
        <v>7.9999999999999793E-2</v>
      </c>
      <c r="AG180">
        <v>43056</v>
      </c>
      <c r="AH180">
        <v>0.78000000000000036</v>
      </c>
      <c r="AI180">
        <v>0.19999999999999998</v>
      </c>
      <c r="AJ180">
        <v>0</v>
      </c>
      <c r="AK180">
        <v>1.9999999999999657E-2</v>
      </c>
      <c r="AO180">
        <v>42468</v>
      </c>
      <c r="AP180">
        <v>0.76000000000000034</v>
      </c>
      <c r="AQ180">
        <v>0</v>
      </c>
      <c r="AR180">
        <v>0</v>
      </c>
      <c r="AS180">
        <v>0.23999999999999966</v>
      </c>
      <c r="AV180">
        <v>42475</v>
      </c>
      <c r="AW180">
        <v>0.3</v>
      </c>
      <c r="AX180">
        <v>0.12000000000000001</v>
      </c>
      <c r="AY180">
        <v>0.23999999999999996</v>
      </c>
      <c r="AZ180">
        <v>0.33999999999999997</v>
      </c>
      <c r="BC180">
        <v>41957</v>
      </c>
      <c r="BD180">
        <v>0.27999999999999997</v>
      </c>
      <c r="BE180">
        <v>0</v>
      </c>
      <c r="BF180">
        <v>0.70000000000000029</v>
      </c>
      <c r="BG180">
        <v>1.9999999999999685E-2</v>
      </c>
    </row>
    <row r="181" spans="1:59" x14ac:dyDescent="0.3">
      <c r="A181">
        <v>42818</v>
      </c>
      <c r="B181">
        <v>0.48000000000000015</v>
      </c>
      <c r="C181">
        <v>0.19999999999999998</v>
      </c>
      <c r="D181">
        <v>0.08</v>
      </c>
      <c r="E181">
        <v>0.23999999999999982</v>
      </c>
      <c r="J181">
        <v>42692</v>
      </c>
      <c r="K181">
        <v>0.46000000000000013</v>
      </c>
      <c r="L181">
        <v>0.36000000000000004</v>
      </c>
      <c r="M181">
        <v>0</v>
      </c>
      <c r="N181">
        <v>0.17999999999999977</v>
      </c>
      <c r="R181" t="s">
        <v>58</v>
      </c>
      <c r="S181" t="s">
        <v>58</v>
      </c>
      <c r="T181" t="s">
        <v>58</v>
      </c>
      <c r="U181" t="s">
        <v>58</v>
      </c>
      <c r="V181" t="s">
        <v>58</v>
      </c>
      <c r="Z181">
        <v>43119</v>
      </c>
      <c r="AA181">
        <v>0.62000000000000022</v>
      </c>
      <c r="AB181">
        <v>0.27999999999999997</v>
      </c>
      <c r="AC181">
        <v>0</v>
      </c>
      <c r="AD181">
        <v>9.9999999999999811E-2</v>
      </c>
      <c r="AG181">
        <v>43063</v>
      </c>
      <c r="AH181">
        <v>0.78000000000000036</v>
      </c>
      <c r="AI181">
        <v>0.19999999999999998</v>
      </c>
      <c r="AJ181">
        <v>0</v>
      </c>
      <c r="AK181">
        <v>1.9999999999999657E-2</v>
      </c>
      <c r="AO181">
        <v>42475</v>
      </c>
      <c r="AP181">
        <v>0.76000000000000034</v>
      </c>
      <c r="AQ181">
        <v>0</v>
      </c>
      <c r="AR181">
        <v>0</v>
      </c>
      <c r="AS181">
        <v>0.23999999999999966</v>
      </c>
      <c r="AV181">
        <v>42482</v>
      </c>
      <c r="AW181">
        <v>0.23999999999999996</v>
      </c>
      <c r="AX181">
        <v>0.19999999999999998</v>
      </c>
      <c r="AY181">
        <v>0.19999999999999998</v>
      </c>
      <c r="AZ181">
        <v>0.3600000000000001</v>
      </c>
      <c r="BC181">
        <v>41964</v>
      </c>
      <c r="BD181">
        <v>0.3</v>
      </c>
      <c r="BE181">
        <v>0</v>
      </c>
      <c r="BF181">
        <v>0.68000000000000027</v>
      </c>
      <c r="BG181">
        <v>1.9999999999999685E-2</v>
      </c>
    </row>
    <row r="182" spans="1:59" x14ac:dyDescent="0.3">
      <c r="A182">
        <v>42825</v>
      </c>
      <c r="B182">
        <v>0.40000000000000008</v>
      </c>
      <c r="C182">
        <v>0.14000000000000001</v>
      </c>
      <c r="D182">
        <v>0.12000000000000001</v>
      </c>
      <c r="E182">
        <v>0.33999999999999986</v>
      </c>
      <c r="J182">
        <v>42699</v>
      </c>
      <c r="K182">
        <v>0.46000000000000013</v>
      </c>
      <c r="L182">
        <v>0.38000000000000006</v>
      </c>
      <c r="M182">
        <v>0</v>
      </c>
      <c r="N182">
        <v>0.15999999999999975</v>
      </c>
      <c r="R182" t="s">
        <v>58</v>
      </c>
      <c r="S182" t="s">
        <v>58</v>
      </c>
      <c r="T182" t="s">
        <v>58</v>
      </c>
      <c r="U182" t="s">
        <v>58</v>
      </c>
      <c r="V182" t="s">
        <v>58</v>
      </c>
      <c r="Z182">
        <v>43126</v>
      </c>
      <c r="AA182">
        <v>0.62000000000000022</v>
      </c>
      <c r="AB182">
        <v>0.27999999999999997</v>
      </c>
      <c r="AC182">
        <v>0</v>
      </c>
      <c r="AD182">
        <v>9.9999999999999811E-2</v>
      </c>
      <c r="AG182">
        <v>43070</v>
      </c>
      <c r="AH182">
        <v>0.80000000000000038</v>
      </c>
      <c r="AI182">
        <v>0.18</v>
      </c>
      <c r="AJ182">
        <v>0</v>
      </c>
      <c r="AK182">
        <v>1.9999999999999629E-2</v>
      </c>
      <c r="AO182">
        <v>42482</v>
      </c>
      <c r="AP182">
        <v>0.80000000000000038</v>
      </c>
      <c r="AQ182">
        <v>0</v>
      </c>
      <c r="AR182">
        <v>0</v>
      </c>
      <c r="AS182">
        <v>0.19999999999999962</v>
      </c>
      <c r="AV182">
        <v>42489</v>
      </c>
      <c r="AW182">
        <v>0.08</v>
      </c>
      <c r="AX182">
        <v>0.46000000000000013</v>
      </c>
      <c r="AY182">
        <v>0.06</v>
      </c>
      <c r="AZ182">
        <v>0.39999999999999991</v>
      </c>
      <c r="BC182">
        <v>41971</v>
      </c>
      <c r="BD182">
        <v>0.3</v>
      </c>
      <c r="BE182">
        <v>0</v>
      </c>
      <c r="BF182">
        <v>0.68000000000000027</v>
      </c>
      <c r="BG182">
        <v>1.9999999999999685E-2</v>
      </c>
    </row>
    <row r="183" spans="1:59" x14ac:dyDescent="0.3">
      <c r="A183">
        <v>42832</v>
      </c>
      <c r="B183">
        <v>0.46000000000000013</v>
      </c>
      <c r="C183">
        <v>0.1</v>
      </c>
      <c r="D183">
        <v>0.18</v>
      </c>
      <c r="E183">
        <v>0.25999999999999984</v>
      </c>
      <c r="J183">
        <v>42706</v>
      </c>
      <c r="K183">
        <v>0.62000000000000022</v>
      </c>
      <c r="L183">
        <v>0.3</v>
      </c>
      <c r="M183">
        <v>0</v>
      </c>
      <c r="N183">
        <v>7.9999999999999793E-2</v>
      </c>
      <c r="R183" t="s">
        <v>58</v>
      </c>
      <c r="S183" t="s">
        <v>58</v>
      </c>
      <c r="T183" t="s">
        <v>58</v>
      </c>
      <c r="U183" t="s">
        <v>58</v>
      </c>
      <c r="V183" t="s">
        <v>58</v>
      </c>
      <c r="Z183">
        <v>43133</v>
      </c>
      <c r="AA183">
        <v>0.6000000000000002</v>
      </c>
      <c r="AB183">
        <v>0.3</v>
      </c>
      <c r="AC183">
        <v>0</v>
      </c>
      <c r="AD183">
        <v>9.9999999999999811E-2</v>
      </c>
      <c r="AG183">
        <v>43077</v>
      </c>
      <c r="AH183">
        <v>0.80000000000000038</v>
      </c>
      <c r="AI183">
        <v>0.18</v>
      </c>
      <c r="AJ183">
        <v>0</v>
      </c>
      <c r="AK183">
        <v>1.9999999999999629E-2</v>
      </c>
      <c r="AO183">
        <v>42489</v>
      </c>
      <c r="AP183">
        <v>0.84000000000000041</v>
      </c>
      <c r="AQ183">
        <v>0</v>
      </c>
      <c r="AR183">
        <v>0</v>
      </c>
      <c r="AS183">
        <v>0.15999999999999959</v>
      </c>
      <c r="AV183">
        <v>42496</v>
      </c>
      <c r="AW183">
        <v>0.16</v>
      </c>
      <c r="AX183">
        <v>0.54000000000000015</v>
      </c>
      <c r="AY183">
        <v>0</v>
      </c>
      <c r="AZ183">
        <v>0.29999999999999982</v>
      </c>
      <c r="BC183">
        <v>41978</v>
      </c>
      <c r="BD183">
        <v>0.25999999999999995</v>
      </c>
      <c r="BE183">
        <v>0</v>
      </c>
      <c r="BF183">
        <v>0.72000000000000031</v>
      </c>
      <c r="BG183">
        <v>1.9999999999999685E-2</v>
      </c>
    </row>
    <row r="184" spans="1:59" x14ac:dyDescent="0.3">
      <c r="A184">
        <v>42839</v>
      </c>
      <c r="B184">
        <v>0.4200000000000001</v>
      </c>
      <c r="C184">
        <v>0.12000000000000001</v>
      </c>
      <c r="D184">
        <v>0.16</v>
      </c>
      <c r="E184">
        <v>0.29999999999999982</v>
      </c>
      <c r="J184">
        <v>42713</v>
      </c>
      <c r="K184">
        <v>0.78000000000000036</v>
      </c>
      <c r="L184">
        <v>0.12000000000000001</v>
      </c>
      <c r="M184">
        <v>0</v>
      </c>
      <c r="N184">
        <v>9.9999999999999631E-2</v>
      </c>
      <c r="R184" t="s">
        <v>58</v>
      </c>
      <c r="S184" t="s">
        <v>58</v>
      </c>
      <c r="T184" t="s">
        <v>58</v>
      </c>
      <c r="U184" t="s">
        <v>58</v>
      </c>
      <c r="V184" t="s">
        <v>58</v>
      </c>
      <c r="Z184">
        <v>43140</v>
      </c>
      <c r="AA184">
        <v>0.6000000000000002</v>
      </c>
      <c r="AB184">
        <v>0.27999999999999997</v>
      </c>
      <c r="AC184">
        <v>0</v>
      </c>
      <c r="AD184">
        <v>0.11999999999999983</v>
      </c>
      <c r="AG184">
        <v>43084</v>
      </c>
      <c r="AH184">
        <v>0.80000000000000038</v>
      </c>
      <c r="AI184">
        <v>0.18</v>
      </c>
      <c r="AJ184">
        <v>0</v>
      </c>
      <c r="AK184">
        <v>1.9999999999999629E-2</v>
      </c>
      <c r="AO184">
        <v>42496</v>
      </c>
      <c r="AP184">
        <v>0.86000000000000043</v>
      </c>
      <c r="AQ184">
        <v>0</v>
      </c>
      <c r="AR184">
        <v>0</v>
      </c>
      <c r="AS184">
        <v>0.13999999999999957</v>
      </c>
      <c r="AV184">
        <v>42503</v>
      </c>
      <c r="AW184">
        <v>0.18</v>
      </c>
      <c r="AX184">
        <v>0.52000000000000013</v>
      </c>
      <c r="AY184">
        <v>0</v>
      </c>
      <c r="AZ184">
        <v>0.29999999999999993</v>
      </c>
      <c r="BC184">
        <v>41985</v>
      </c>
      <c r="BD184">
        <v>0.16</v>
      </c>
      <c r="BE184">
        <v>0</v>
      </c>
      <c r="BF184">
        <v>0.80000000000000038</v>
      </c>
      <c r="BG184">
        <v>3.9999999999999591E-2</v>
      </c>
    </row>
    <row r="185" spans="1:59" x14ac:dyDescent="0.3">
      <c r="A185">
        <v>42846</v>
      </c>
      <c r="B185">
        <v>0.40000000000000008</v>
      </c>
      <c r="C185">
        <v>0.3</v>
      </c>
      <c r="D185">
        <v>0.06</v>
      </c>
      <c r="E185">
        <v>0.23999999999999988</v>
      </c>
      <c r="J185">
        <v>42720</v>
      </c>
      <c r="K185">
        <v>0.90000000000000047</v>
      </c>
      <c r="L185">
        <v>0.04</v>
      </c>
      <c r="M185">
        <v>0</v>
      </c>
      <c r="N185">
        <v>5.9999999999999533E-2</v>
      </c>
      <c r="R185" t="s">
        <v>58</v>
      </c>
      <c r="S185" t="s">
        <v>58</v>
      </c>
      <c r="T185" t="s">
        <v>58</v>
      </c>
      <c r="U185" t="s">
        <v>58</v>
      </c>
      <c r="V185" t="s">
        <v>58</v>
      </c>
      <c r="Z185">
        <v>43145</v>
      </c>
      <c r="AA185">
        <v>0.64000000000000024</v>
      </c>
      <c r="AB185">
        <v>0.25999999999999995</v>
      </c>
      <c r="AC185">
        <v>0</v>
      </c>
      <c r="AD185">
        <v>9.9999999999999811E-2</v>
      </c>
      <c r="AG185">
        <v>43091</v>
      </c>
      <c r="AH185">
        <v>0.8200000000000004</v>
      </c>
      <c r="AI185">
        <v>0.16</v>
      </c>
      <c r="AJ185">
        <v>0</v>
      </c>
      <c r="AK185">
        <v>1.9999999999999601E-2</v>
      </c>
      <c r="AO185">
        <v>42503</v>
      </c>
      <c r="AP185">
        <v>0.90000000000000047</v>
      </c>
      <c r="AQ185">
        <v>0</v>
      </c>
      <c r="AR185">
        <v>0</v>
      </c>
      <c r="AS185">
        <v>9.9999999999999534E-2</v>
      </c>
      <c r="AV185">
        <v>42510</v>
      </c>
      <c r="AW185">
        <v>0</v>
      </c>
      <c r="AX185">
        <v>0.6000000000000002</v>
      </c>
      <c r="AY185">
        <v>0.19999999999999998</v>
      </c>
      <c r="AZ185">
        <v>0.19999999999999982</v>
      </c>
      <c r="BC185">
        <v>41992</v>
      </c>
      <c r="BD185">
        <v>0.14000000000000001</v>
      </c>
      <c r="BE185">
        <v>0.14000000000000001</v>
      </c>
      <c r="BF185">
        <v>0.70000000000000029</v>
      </c>
      <c r="BG185">
        <v>1.9999999999999685E-2</v>
      </c>
    </row>
    <row r="186" spans="1:59" x14ac:dyDescent="0.3">
      <c r="A186">
        <v>42853</v>
      </c>
      <c r="B186">
        <v>0.4200000000000001</v>
      </c>
      <c r="C186">
        <v>0.21999999999999997</v>
      </c>
      <c r="D186">
        <v>0.18</v>
      </c>
      <c r="E186">
        <v>0.17999999999999988</v>
      </c>
      <c r="J186">
        <v>42727</v>
      </c>
      <c r="K186">
        <v>0.84000000000000041</v>
      </c>
      <c r="L186">
        <v>0.02</v>
      </c>
      <c r="M186">
        <v>0.02</v>
      </c>
      <c r="N186">
        <v>0.11999999999999959</v>
      </c>
      <c r="R186" t="s">
        <v>58</v>
      </c>
      <c r="S186" t="s">
        <v>58</v>
      </c>
      <c r="T186" t="s">
        <v>58</v>
      </c>
      <c r="U186" t="s">
        <v>58</v>
      </c>
      <c r="V186" t="s">
        <v>58</v>
      </c>
      <c r="Z186">
        <v>43154</v>
      </c>
      <c r="AA186">
        <v>0.70000000000000029</v>
      </c>
      <c r="AB186">
        <v>0.25999999999999995</v>
      </c>
      <c r="AC186">
        <v>0</v>
      </c>
      <c r="AD186">
        <v>3.9999999999999758E-2</v>
      </c>
      <c r="AG186">
        <v>43098</v>
      </c>
      <c r="AH186">
        <v>0.76000000000000034</v>
      </c>
      <c r="AI186">
        <v>0.19999999999999998</v>
      </c>
      <c r="AJ186">
        <v>0</v>
      </c>
      <c r="AK186">
        <v>3.9999999999999675E-2</v>
      </c>
      <c r="AO186">
        <v>42510</v>
      </c>
      <c r="AP186">
        <v>0.98000000000000054</v>
      </c>
      <c r="AQ186">
        <v>0</v>
      </c>
      <c r="AR186">
        <v>0</v>
      </c>
      <c r="AS186">
        <v>1.9999999999999463E-2</v>
      </c>
      <c r="AV186">
        <v>42517</v>
      </c>
      <c r="AW186">
        <v>0</v>
      </c>
      <c r="AX186">
        <v>0.6000000000000002</v>
      </c>
      <c r="AY186">
        <v>0.19999999999999998</v>
      </c>
      <c r="AZ186">
        <v>0.19999999999999982</v>
      </c>
      <c r="BC186">
        <v>41999</v>
      </c>
      <c r="BD186">
        <v>0.1</v>
      </c>
      <c r="BE186">
        <v>0</v>
      </c>
      <c r="BF186">
        <v>0.84000000000000041</v>
      </c>
      <c r="BG186">
        <v>5.9999999999999609E-2</v>
      </c>
    </row>
    <row r="187" spans="1:59" x14ac:dyDescent="0.3">
      <c r="A187">
        <v>42860</v>
      </c>
      <c r="B187">
        <v>0.44000000000000011</v>
      </c>
      <c r="C187">
        <v>0.25999999999999995</v>
      </c>
      <c r="D187">
        <v>0.16</v>
      </c>
      <c r="E187">
        <v>0.13999999999999987</v>
      </c>
      <c r="J187">
        <v>42734</v>
      </c>
      <c r="K187">
        <v>0.74000000000000032</v>
      </c>
      <c r="L187">
        <v>0.14000000000000001</v>
      </c>
      <c r="M187">
        <v>0</v>
      </c>
      <c r="N187">
        <v>0.11999999999999966</v>
      </c>
      <c r="R187" t="s">
        <v>58</v>
      </c>
      <c r="S187" t="s">
        <v>58</v>
      </c>
      <c r="T187" t="s">
        <v>58</v>
      </c>
      <c r="U187" t="s">
        <v>58</v>
      </c>
      <c r="V187" t="s">
        <v>58</v>
      </c>
      <c r="Z187">
        <v>43161</v>
      </c>
      <c r="AA187">
        <v>0.70000000000000029</v>
      </c>
      <c r="AB187">
        <v>0.27999999999999997</v>
      </c>
      <c r="AC187">
        <v>0</v>
      </c>
      <c r="AD187">
        <v>1.999999999999974E-2</v>
      </c>
      <c r="AG187">
        <v>43105</v>
      </c>
      <c r="AH187">
        <v>0.76000000000000034</v>
      </c>
      <c r="AI187">
        <v>0.19999999999999998</v>
      </c>
      <c r="AJ187">
        <v>0</v>
      </c>
      <c r="AK187">
        <v>3.9999999999999675E-2</v>
      </c>
      <c r="AO187">
        <v>42517</v>
      </c>
      <c r="AP187">
        <v>0.9400000000000005</v>
      </c>
      <c r="AQ187">
        <v>0</v>
      </c>
      <c r="AR187">
        <v>0</v>
      </c>
      <c r="AS187">
        <v>5.9999999999999498E-2</v>
      </c>
      <c r="AV187">
        <v>42524</v>
      </c>
      <c r="AW187">
        <v>0</v>
      </c>
      <c r="AX187">
        <v>0.54000000000000015</v>
      </c>
      <c r="AY187">
        <v>0.23999999999999996</v>
      </c>
      <c r="AZ187">
        <v>0.21999999999999989</v>
      </c>
      <c r="BC187">
        <v>42004</v>
      </c>
      <c r="BD187">
        <v>0.06</v>
      </c>
      <c r="BE187">
        <v>0</v>
      </c>
      <c r="BF187">
        <v>0.92000000000000048</v>
      </c>
      <c r="BG187">
        <v>1.9999999999999463E-2</v>
      </c>
    </row>
    <row r="188" spans="1:59" x14ac:dyDescent="0.3">
      <c r="A188">
        <v>42867</v>
      </c>
      <c r="B188">
        <v>0.44000000000000011</v>
      </c>
      <c r="C188">
        <v>0.3</v>
      </c>
      <c r="D188">
        <v>0.14000000000000001</v>
      </c>
      <c r="E188">
        <v>0.11999999999999983</v>
      </c>
      <c r="J188">
        <v>42741</v>
      </c>
      <c r="K188">
        <v>0.72000000000000031</v>
      </c>
      <c r="L188">
        <v>0.16</v>
      </c>
      <c r="M188">
        <v>0</v>
      </c>
      <c r="N188">
        <v>0.11999999999999969</v>
      </c>
      <c r="R188" t="s">
        <v>58</v>
      </c>
      <c r="S188" t="s">
        <v>58</v>
      </c>
      <c r="T188" t="s">
        <v>58</v>
      </c>
      <c r="U188" t="s">
        <v>58</v>
      </c>
      <c r="V188" t="s">
        <v>58</v>
      </c>
      <c r="Z188">
        <v>43168</v>
      </c>
      <c r="AA188">
        <v>0.76000000000000034</v>
      </c>
      <c r="AB188">
        <v>0.21999999999999997</v>
      </c>
      <c r="AC188">
        <v>0</v>
      </c>
      <c r="AD188">
        <v>1.9999999999999685E-2</v>
      </c>
      <c r="AG188">
        <v>43112</v>
      </c>
      <c r="AH188">
        <v>0.74000000000000032</v>
      </c>
      <c r="AI188">
        <v>0.19999999999999998</v>
      </c>
      <c r="AJ188">
        <v>0</v>
      </c>
      <c r="AK188">
        <v>5.9999999999999692E-2</v>
      </c>
      <c r="AO188">
        <v>42524</v>
      </c>
      <c r="AP188">
        <v>0.92000000000000048</v>
      </c>
      <c r="AQ188">
        <v>0</v>
      </c>
      <c r="AR188">
        <v>0</v>
      </c>
      <c r="AS188">
        <v>7.9999999999999516E-2</v>
      </c>
      <c r="AV188">
        <v>42529</v>
      </c>
      <c r="AW188">
        <v>0</v>
      </c>
      <c r="AX188">
        <v>0.58000000000000018</v>
      </c>
      <c r="AY188">
        <v>0.12000000000000001</v>
      </c>
      <c r="AZ188">
        <v>0.29999999999999982</v>
      </c>
      <c r="BC188">
        <v>42013</v>
      </c>
      <c r="BD188">
        <v>0.04</v>
      </c>
      <c r="BE188">
        <v>0</v>
      </c>
      <c r="BF188">
        <v>0.9400000000000005</v>
      </c>
      <c r="BG188">
        <v>1.9999999999999463E-2</v>
      </c>
    </row>
    <row r="189" spans="1:59" x14ac:dyDescent="0.3">
      <c r="A189">
        <v>42874</v>
      </c>
      <c r="B189">
        <v>0.38000000000000006</v>
      </c>
      <c r="C189">
        <v>0.52000000000000013</v>
      </c>
      <c r="D189">
        <v>0.06</v>
      </c>
      <c r="E189">
        <v>3.9999999999999758E-2</v>
      </c>
      <c r="J189">
        <v>42748</v>
      </c>
      <c r="K189">
        <v>0.68000000000000027</v>
      </c>
      <c r="L189">
        <v>0.19999999999999998</v>
      </c>
      <c r="M189">
        <v>0</v>
      </c>
      <c r="N189">
        <v>0.11999999999999975</v>
      </c>
      <c r="R189" t="s">
        <v>58</v>
      </c>
      <c r="S189" t="s">
        <v>58</v>
      </c>
      <c r="T189" t="s">
        <v>58</v>
      </c>
      <c r="U189" t="s">
        <v>58</v>
      </c>
      <c r="V189" t="s">
        <v>58</v>
      </c>
      <c r="Z189" t="s">
        <v>58</v>
      </c>
      <c r="AA189" t="s">
        <v>58</v>
      </c>
      <c r="AB189" t="s">
        <v>58</v>
      </c>
      <c r="AC189" t="s">
        <v>58</v>
      </c>
      <c r="AD189" t="s">
        <v>58</v>
      </c>
      <c r="AG189">
        <v>43119</v>
      </c>
      <c r="AH189">
        <v>0.76000000000000034</v>
      </c>
      <c r="AI189">
        <v>0.16</v>
      </c>
      <c r="AJ189">
        <v>0</v>
      </c>
      <c r="AK189">
        <v>7.9999999999999655E-2</v>
      </c>
      <c r="AO189">
        <v>42529</v>
      </c>
      <c r="AP189">
        <v>0.78000000000000036</v>
      </c>
      <c r="AQ189">
        <v>0</v>
      </c>
      <c r="AR189">
        <v>0</v>
      </c>
      <c r="AS189">
        <v>0.21999999999999964</v>
      </c>
      <c r="AV189">
        <v>42538</v>
      </c>
      <c r="AW189">
        <v>0</v>
      </c>
      <c r="AX189">
        <v>0.66000000000000025</v>
      </c>
      <c r="AY189">
        <v>0.04</v>
      </c>
      <c r="AZ189">
        <v>0.29999999999999977</v>
      </c>
      <c r="BC189">
        <v>42020</v>
      </c>
      <c r="BD189">
        <v>0.08</v>
      </c>
      <c r="BE189">
        <v>0</v>
      </c>
      <c r="BF189">
        <v>0.90000000000000047</v>
      </c>
      <c r="BG189">
        <v>1.9999999999999574E-2</v>
      </c>
    </row>
    <row r="190" spans="1:59" x14ac:dyDescent="0.3">
      <c r="A190">
        <v>42881</v>
      </c>
      <c r="B190">
        <v>0.40000000000000008</v>
      </c>
      <c r="C190">
        <v>0.50000000000000011</v>
      </c>
      <c r="D190">
        <v>0.08</v>
      </c>
      <c r="E190">
        <v>1.9999999999999754E-2</v>
      </c>
      <c r="J190">
        <v>42755</v>
      </c>
      <c r="K190">
        <v>0.66000000000000025</v>
      </c>
      <c r="L190">
        <v>0.19999999999999998</v>
      </c>
      <c r="M190">
        <v>0</v>
      </c>
      <c r="N190">
        <v>0.13999999999999976</v>
      </c>
      <c r="R190" t="s">
        <v>58</v>
      </c>
      <c r="S190" t="s">
        <v>58</v>
      </c>
      <c r="T190" t="s">
        <v>58</v>
      </c>
      <c r="U190" t="s">
        <v>58</v>
      </c>
      <c r="V190" t="s">
        <v>58</v>
      </c>
      <c r="Z190" t="s">
        <v>58</v>
      </c>
      <c r="AA190" t="s">
        <v>58</v>
      </c>
      <c r="AB190" t="s">
        <v>58</v>
      </c>
      <c r="AC190" t="s">
        <v>58</v>
      </c>
      <c r="AD190" t="s">
        <v>58</v>
      </c>
      <c r="AG190">
        <v>43126</v>
      </c>
      <c r="AH190">
        <v>0.80000000000000038</v>
      </c>
      <c r="AI190">
        <v>0.14000000000000001</v>
      </c>
      <c r="AJ190">
        <v>0</v>
      </c>
      <c r="AK190">
        <v>5.9999999999999609E-2</v>
      </c>
      <c r="AO190">
        <v>42538</v>
      </c>
      <c r="AP190">
        <v>0.78000000000000036</v>
      </c>
      <c r="AQ190">
        <v>0</v>
      </c>
      <c r="AR190">
        <v>0</v>
      </c>
      <c r="AS190">
        <v>0.21999999999999964</v>
      </c>
      <c r="AV190">
        <v>42545</v>
      </c>
      <c r="AW190">
        <v>0</v>
      </c>
      <c r="AX190">
        <v>0.76000000000000034</v>
      </c>
      <c r="AY190">
        <v>0</v>
      </c>
      <c r="AZ190">
        <v>0.23999999999999966</v>
      </c>
      <c r="BC190">
        <v>42027</v>
      </c>
      <c r="BD190">
        <v>0.08</v>
      </c>
      <c r="BE190">
        <v>0</v>
      </c>
      <c r="BF190">
        <v>0.90000000000000047</v>
      </c>
      <c r="BG190">
        <v>1.9999999999999574E-2</v>
      </c>
    </row>
    <row r="191" spans="1:59" x14ac:dyDescent="0.3">
      <c r="A191">
        <v>42888</v>
      </c>
      <c r="B191">
        <v>0.44000000000000011</v>
      </c>
      <c r="C191">
        <v>0.50000000000000011</v>
      </c>
      <c r="D191">
        <v>0</v>
      </c>
      <c r="E191">
        <v>5.999999999999972E-2</v>
      </c>
      <c r="J191">
        <v>42761</v>
      </c>
      <c r="K191">
        <v>0.72000000000000031</v>
      </c>
      <c r="L191">
        <v>0.25999999999999995</v>
      </c>
      <c r="M191">
        <v>0</v>
      </c>
      <c r="N191">
        <v>1.999999999999974E-2</v>
      </c>
      <c r="R191" t="s">
        <v>58</v>
      </c>
      <c r="S191" t="s">
        <v>58</v>
      </c>
      <c r="T191" t="s">
        <v>58</v>
      </c>
      <c r="U191" t="s">
        <v>58</v>
      </c>
      <c r="V191" t="s">
        <v>58</v>
      </c>
      <c r="Z191" t="s">
        <v>58</v>
      </c>
      <c r="AA191" t="s">
        <v>58</v>
      </c>
      <c r="AB191" t="s">
        <v>58</v>
      </c>
      <c r="AC191" t="s">
        <v>58</v>
      </c>
      <c r="AD191" t="s">
        <v>58</v>
      </c>
      <c r="AG191">
        <v>43133</v>
      </c>
      <c r="AH191">
        <v>0.80000000000000038</v>
      </c>
      <c r="AI191">
        <v>0.14000000000000001</v>
      </c>
      <c r="AJ191">
        <v>0</v>
      </c>
      <c r="AK191">
        <v>5.9999999999999609E-2</v>
      </c>
      <c r="AO191">
        <v>42545</v>
      </c>
      <c r="AP191">
        <v>0.86000000000000043</v>
      </c>
      <c r="AQ191">
        <v>0</v>
      </c>
      <c r="AR191">
        <v>0</v>
      </c>
      <c r="AS191">
        <v>0.13999999999999957</v>
      </c>
      <c r="AV191">
        <v>42552</v>
      </c>
      <c r="AW191">
        <v>0.02</v>
      </c>
      <c r="AX191">
        <v>0.74000000000000032</v>
      </c>
      <c r="AY191">
        <v>0</v>
      </c>
      <c r="AZ191">
        <v>0.23999999999999966</v>
      </c>
      <c r="BC191">
        <v>42034</v>
      </c>
      <c r="BD191">
        <v>0.02</v>
      </c>
      <c r="BE191">
        <v>0</v>
      </c>
      <c r="BF191">
        <v>0.92000000000000048</v>
      </c>
      <c r="BG191">
        <v>5.9999999999999498E-2</v>
      </c>
    </row>
    <row r="192" spans="1:59" x14ac:dyDescent="0.3">
      <c r="A192">
        <v>42895</v>
      </c>
      <c r="B192">
        <v>0.48000000000000015</v>
      </c>
      <c r="C192">
        <v>0.46000000000000013</v>
      </c>
      <c r="D192">
        <v>0.04</v>
      </c>
      <c r="E192">
        <v>1.9999999999999664E-2</v>
      </c>
      <c r="J192">
        <v>42769</v>
      </c>
      <c r="K192">
        <v>0.74000000000000032</v>
      </c>
      <c r="L192">
        <v>0.23999999999999996</v>
      </c>
      <c r="M192">
        <v>0</v>
      </c>
      <c r="N192">
        <v>1.9999999999999712E-2</v>
      </c>
      <c r="R192" t="s">
        <v>58</v>
      </c>
      <c r="S192" t="s">
        <v>58</v>
      </c>
      <c r="T192" t="s">
        <v>58</v>
      </c>
      <c r="U192" t="s">
        <v>58</v>
      </c>
      <c r="V192" t="s">
        <v>58</v>
      </c>
      <c r="Z192" t="s">
        <v>58</v>
      </c>
      <c r="AA192" t="s">
        <v>58</v>
      </c>
      <c r="AB192" t="s">
        <v>58</v>
      </c>
      <c r="AC192" t="s">
        <v>58</v>
      </c>
      <c r="AD192" t="s">
        <v>58</v>
      </c>
      <c r="AG192">
        <v>43140</v>
      </c>
      <c r="AH192">
        <v>0.76000000000000034</v>
      </c>
      <c r="AI192">
        <v>0.14000000000000001</v>
      </c>
      <c r="AJ192">
        <v>0</v>
      </c>
      <c r="AK192">
        <v>9.9999999999999645E-2</v>
      </c>
      <c r="AO192">
        <v>42552</v>
      </c>
      <c r="AP192">
        <v>0.86000000000000043</v>
      </c>
      <c r="AQ192">
        <v>0</v>
      </c>
      <c r="AR192">
        <v>0</v>
      </c>
      <c r="AS192">
        <v>0.13999999999999957</v>
      </c>
      <c r="AV192">
        <v>42559</v>
      </c>
      <c r="AW192">
        <v>0</v>
      </c>
      <c r="AX192">
        <v>0.78000000000000036</v>
      </c>
      <c r="AY192">
        <v>0</v>
      </c>
      <c r="AZ192">
        <v>0.21999999999999964</v>
      </c>
      <c r="BC192">
        <v>42041</v>
      </c>
      <c r="BD192">
        <v>0.02</v>
      </c>
      <c r="BE192">
        <v>0</v>
      </c>
      <c r="BF192">
        <v>0.96000000000000052</v>
      </c>
      <c r="BG192">
        <v>1.9999999999999463E-2</v>
      </c>
    </row>
    <row r="193" spans="1:59" x14ac:dyDescent="0.3">
      <c r="A193">
        <v>42902</v>
      </c>
      <c r="B193">
        <v>0.46000000000000013</v>
      </c>
      <c r="C193">
        <v>0.44000000000000011</v>
      </c>
      <c r="D193">
        <v>0.04</v>
      </c>
      <c r="E193">
        <v>5.9999999999999699E-2</v>
      </c>
      <c r="J193">
        <v>42776</v>
      </c>
      <c r="K193">
        <v>0.76000000000000034</v>
      </c>
      <c r="L193">
        <v>0.21999999999999997</v>
      </c>
      <c r="M193">
        <v>0</v>
      </c>
      <c r="N193">
        <v>1.9999999999999685E-2</v>
      </c>
      <c r="R193" t="s">
        <v>58</v>
      </c>
      <c r="S193" t="s">
        <v>58</v>
      </c>
      <c r="T193" t="s">
        <v>58</v>
      </c>
      <c r="U193" t="s">
        <v>58</v>
      </c>
      <c r="V193" t="s">
        <v>58</v>
      </c>
      <c r="Z193" t="s">
        <v>58</v>
      </c>
      <c r="AA193" t="s">
        <v>58</v>
      </c>
      <c r="AB193" t="s">
        <v>58</v>
      </c>
      <c r="AC193" t="s">
        <v>58</v>
      </c>
      <c r="AD193" t="s">
        <v>58</v>
      </c>
      <c r="AG193">
        <v>43145</v>
      </c>
      <c r="AH193">
        <v>0.4200000000000001</v>
      </c>
      <c r="AI193">
        <v>0.23999999999999996</v>
      </c>
      <c r="AJ193">
        <v>0</v>
      </c>
      <c r="AK193">
        <v>0.33999999999999986</v>
      </c>
      <c r="AO193">
        <v>42559</v>
      </c>
      <c r="AP193">
        <v>0.74000000000000032</v>
      </c>
      <c r="AQ193">
        <v>0</v>
      </c>
      <c r="AR193">
        <v>0</v>
      </c>
      <c r="AS193">
        <v>0.25999999999999968</v>
      </c>
      <c r="AV193">
        <v>42566</v>
      </c>
      <c r="AW193">
        <v>0</v>
      </c>
      <c r="AX193">
        <v>0.70000000000000029</v>
      </c>
      <c r="AY193">
        <v>0.04</v>
      </c>
      <c r="AZ193">
        <v>0.25999999999999973</v>
      </c>
      <c r="BC193">
        <v>42048</v>
      </c>
      <c r="BD193">
        <v>0</v>
      </c>
      <c r="BE193">
        <v>0</v>
      </c>
      <c r="BF193">
        <v>0.98000000000000054</v>
      </c>
      <c r="BG193">
        <v>1.9999999999999463E-2</v>
      </c>
    </row>
    <row r="194" spans="1:59" x14ac:dyDescent="0.3">
      <c r="A194">
        <v>42909</v>
      </c>
      <c r="B194">
        <v>0.4200000000000001</v>
      </c>
      <c r="C194">
        <v>0.44000000000000011</v>
      </c>
      <c r="D194">
        <v>0.04</v>
      </c>
      <c r="E194">
        <v>9.9999999999999728E-2</v>
      </c>
      <c r="J194">
        <v>42783</v>
      </c>
      <c r="K194">
        <v>0.76000000000000034</v>
      </c>
      <c r="L194">
        <v>0.21999999999999997</v>
      </c>
      <c r="M194">
        <v>0</v>
      </c>
      <c r="N194">
        <v>1.9999999999999685E-2</v>
      </c>
      <c r="R194" t="s">
        <v>58</v>
      </c>
      <c r="S194" t="s">
        <v>58</v>
      </c>
      <c r="T194" t="s">
        <v>58</v>
      </c>
      <c r="U194" t="s">
        <v>58</v>
      </c>
      <c r="V194" t="s">
        <v>58</v>
      </c>
      <c r="Z194" t="s">
        <v>58</v>
      </c>
      <c r="AA194" t="s">
        <v>58</v>
      </c>
      <c r="AB194" t="s">
        <v>58</v>
      </c>
      <c r="AC194" t="s">
        <v>58</v>
      </c>
      <c r="AD194" t="s">
        <v>58</v>
      </c>
      <c r="AG194">
        <v>43154</v>
      </c>
      <c r="AH194">
        <v>0.36000000000000004</v>
      </c>
      <c r="AI194">
        <v>0.23999999999999996</v>
      </c>
      <c r="AJ194">
        <v>0</v>
      </c>
      <c r="AK194">
        <v>0.39999999999999991</v>
      </c>
      <c r="AO194">
        <v>42566</v>
      </c>
      <c r="AP194">
        <v>0.68000000000000027</v>
      </c>
      <c r="AQ194">
        <v>0</v>
      </c>
      <c r="AR194">
        <v>0</v>
      </c>
      <c r="AS194">
        <v>0.31999999999999973</v>
      </c>
      <c r="AV194">
        <v>42573</v>
      </c>
      <c r="AW194">
        <v>0</v>
      </c>
      <c r="AX194">
        <v>0.78000000000000036</v>
      </c>
      <c r="AY194">
        <v>0</v>
      </c>
      <c r="AZ194">
        <v>0.21999999999999964</v>
      </c>
      <c r="BC194">
        <v>42052</v>
      </c>
      <c r="BD194">
        <v>0.08</v>
      </c>
      <c r="BE194">
        <v>0</v>
      </c>
      <c r="BF194">
        <v>0.90000000000000047</v>
      </c>
      <c r="BG194">
        <v>1.9999999999999574E-2</v>
      </c>
    </row>
    <row r="195" spans="1:59" x14ac:dyDescent="0.3">
      <c r="A195">
        <v>42916</v>
      </c>
      <c r="B195">
        <v>0.58000000000000018</v>
      </c>
      <c r="C195">
        <v>0.27999999999999997</v>
      </c>
      <c r="D195">
        <v>0.04</v>
      </c>
      <c r="E195">
        <v>9.9999999999999839E-2</v>
      </c>
      <c r="J195">
        <v>42790</v>
      </c>
      <c r="K195">
        <v>0.76000000000000034</v>
      </c>
      <c r="L195">
        <v>0.21999999999999997</v>
      </c>
      <c r="M195">
        <v>0</v>
      </c>
      <c r="N195">
        <v>1.9999999999999685E-2</v>
      </c>
      <c r="R195" t="s">
        <v>58</v>
      </c>
      <c r="S195" t="s">
        <v>58</v>
      </c>
      <c r="T195" t="s">
        <v>58</v>
      </c>
      <c r="U195" t="s">
        <v>58</v>
      </c>
      <c r="V195" t="s">
        <v>58</v>
      </c>
      <c r="Z195" t="s">
        <v>58</v>
      </c>
      <c r="AA195" t="s">
        <v>58</v>
      </c>
      <c r="AB195" t="s">
        <v>58</v>
      </c>
      <c r="AC195" t="s">
        <v>58</v>
      </c>
      <c r="AD195" t="s">
        <v>58</v>
      </c>
      <c r="AG195">
        <v>43161</v>
      </c>
      <c r="AH195">
        <v>0.48000000000000015</v>
      </c>
      <c r="AI195">
        <v>0.25999999999999995</v>
      </c>
      <c r="AJ195">
        <v>0</v>
      </c>
      <c r="AK195">
        <v>0.25999999999999984</v>
      </c>
      <c r="AO195">
        <v>42573</v>
      </c>
      <c r="AP195">
        <v>0.52000000000000013</v>
      </c>
      <c r="AQ195">
        <v>0</v>
      </c>
      <c r="AR195">
        <v>0</v>
      </c>
      <c r="AS195">
        <v>0.47999999999999987</v>
      </c>
      <c r="AV195">
        <v>42580</v>
      </c>
      <c r="AW195">
        <v>0</v>
      </c>
      <c r="AX195">
        <v>0.80000000000000038</v>
      </c>
      <c r="AY195">
        <v>0</v>
      </c>
      <c r="AZ195">
        <v>0.19999999999999962</v>
      </c>
      <c r="BC195">
        <v>42062</v>
      </c>
      <c r="BD195">
        <v>0.08</v>
      </c>
      <c r="BE195">
        <v>0</v>
      </c>
      <c r="BF195">
        <v>0.90000000000000047</v>
      </c>
      <c r="BG195">
        <v>1.9999999999999574E-2</v>
      </c>
    </row>
    <row r="196" spans="1:59" x14ac:dyDescent="0.3">
      <c r="A196">
        <v>42923</v>
      </c>
      <c r="B196">
        <v>0.58000000000000018</v>
      </c>
      <c r="C196">
        <v>0.27999999999999997</v>
      </c>
      <c r="D196">
        <v>0.02</v>
      </c>
      <c r="E196">
        <v>0.11999999999999984</v>
      </c>
      <c r="J196">
        <v>42797</v>
      </c>
      <c r="K196">
        <v>0.78000000000000036</v>
      </c>
      <c r="L196">
        <v>0.19999999999999998</v>
      </c>
      <c r="M196">
        <v>0</v>
      </c>
      <c r="N196">
        <v>1.9999999999999657E-2</v>
      </c>
      <c r="R196" t="s">
        <v>58</v>
      </c>
      <c r="S196" t="s">
        <v>58</v>
      </c>
      <c r="T196" t="s">
        <v>58</v>
      </c>
      <c r="U196" t="s">
        <v>58</v>
      </c>
      <c r="V196" t="s">
        <v>58</v>
      </c>
      <c r="Z196" t="s">
        <v>58</v>
      </c>
      <c r="AA196" t="s">
        <v>58</v>
      </c>
      <c r="AB196" t="s">
        <v>58</v>
      </c>
      <c r="AC196" t="s">
        <v>58</v>
      </c>
      <c r="AD196" t="s">
        <v>58</v>
      </c>
      <c r="AG196">
        <v>43168</v>
      </c>
      <c r="AH196">
        <v>0.40000000000000008</v>
      </c>
      <c r="AI196">
        <v>0.32</v>
      </c>
      <c r="AJ196">
        <v>0</v>
      </c>
      <c r="AK196">
        <v>0.27999999999999986</v>
      </c>
      <c r="AO196">
        <v>42580</v>
      </c>
      <c r="AP196">
        <v>0.50000000000000011</v>
      </c>
      <c r="AQ196">
        <v>0</v>
      </c>
      <c r="AR196">
        <v>0</v>
      </c>
      <c r="AS196">
        <v>0.49999999999999989</v>
      </c>
      <c r="AV196">
        <v>42587</v>
      </c>
      <c r="AW196">
        <v>0</v>
      </c>
      <c r="AX196">
        <v>0.86000000000000043</v>
      </c>
      <c r="AY196">
        <v>0</v>
      </c>
      <c r="AZ196">
        <v>0.13999999999999957</v>
      </c>
      <c r="BC196">
        <v>42069</v>
      </c>
      <c r="BD196">
        <v>0</v>
      </c>
      <c r="BE196">
        <v>0</v>
      </c>
      <c r="BF196">
        <v>0.98000000000000054</v>
      </c>
      <c r="BG196">
        <v>1.9999999999999463E-2</v>
      </c>
    </row>
    <row r="197" spans="1:59" x14ac:dyDescent="0.3">
      <c r="A197">
        <v>42930</v>
      </c>
      <c r="B197">
        <v>0.40000000000000008</v>
      </c>
      <c r="C197">
        <v>0.38000000000000006</v>
      </c>
      <c r="D197">
        <v>0</v>
      </c>
      <c r="E197">
        <v>0.21999999999999981</v>
      </c>
      <c r="J197">
        <v>42804</v>
      </c>
      <c r="K197">
        <v>0.8200000000000004</v>
      </c>
      <c r="L197">
        <v>0</v>
      </c>
      <c r="M197">
        <v>0.16</v>
      </c>
      <c r="N197">
        <v>1.9999999999999601E-2</v>
      </c>
      <c r="R197" t="s">
        <v>58</v>
      </c>
      <c r="S197" t="s">
        <v>58</v>
      </c>
      <c r="T197" t="s">
        <v>58</v>
      </c>
      <c r="U197" t="s">
        <v>58</v>
      </c>
      <c r="V197" t="s">
        <v>58</v>
      </c>
      <c r="Z197" t="s">
        <v>58</v>
      </c>
      <c r="AA197" t="s">
        <v>58</v>
      </c>
      <c r="AB197" t="s">
        <v>58</v>
      </c>
      <c r="AC197" t="s">
        <v>58</v>
      </c>
      <c r="AD197" t="s">
        <v>58</v>
      </c>
      <c r="AG197" t="s">
        <v>58</v>
      </c>
      <c r="AH197" t="s">
        <v>58</v>
      </c>
      <c r="AI197" t="s">
        <v>58</v>
      </c>
      <c r="AJ197" t="s">
        <v>58</v>
      </c>
      <c r="AK197" t="s">
        <v>58</v>
      </c>
      <c r="AO197">
        <v>42587</v>
      </c>
      <c r="AP197">
        <v>0.48000000000000015</v>
      </c>
      <c r="AQ197">
        <v>0.12000000000000001</v>
      </c>
      <c r="AR197">
        <v>0</v>
      </c>
      <c r="AS197">
        <v>0.3999999999999998</v>
      </c>
      <c r="AV197">
        <v>42594</v>
      </c>
      <c r="AW197">
        <v>0</v>
      </c>
      <c r="AX197">
        <v>0.86000000000000043</v>
      </c>
      <c r="AY197">
        <v>0</v>
      </c>
      <c r="AZ197">
        <v>0.13999999999999957</v>
      </c>
      <c r="BC197">
        <v>42076</v>
      </c>
      <c r="BD197">
        <v>0</v>
      </c>
      <c r="BE197">
        <v>0</v>
      </c>
      <c r="BF197">
        <v>0.98000000000000054</v>
      </c>
      <c r="BG197">
        <v>1.9999999999999463E-2</v>
      </c>
    </row>
    <row r="198" spans="1:59" x14ac:dyDescent="0.3">
      <c r="A198">
        <v>42937</v>
      </c>
      <c r="B198">
        <v>0.4200000000000001</v>
      </c>
      <c r="C198">
        <v>0.34</v>
      </c>
      <c r="D198">
        <v>0</v>
      </c>
      <c r="E198">
        <v>0.23999999999999982</v>
      </c>
      <c r="J198">
        <v>42811</v>
      </c>
      <c r="K198">
        <v>0.84000000000000041</v>
      </c>
      <c r="L198">
        <v>0</v>
      </c>
      <c r="M198">
        <v>0.14000000000000001</v>
      </c>
      <c r="N198">
        <v>1.9999999999999574E-2</v>
      </c>
      <c r="R198" t="s">
        <v>58</v>
      </c>
      <c r="S198" t="s">
        <v>58</v>
      </c>
      <c r="T198" t="s">
        <v>58</v>
      </c>
      <c r="U198" t="s">
        <v>58</v>
      </c>
      <c r="V198" t="s">
        <v>58</v>
      </c>
      <c r="Z198" t="s">
        <v>58</v>
      </c>
      <c r="AA198" t="s">
        <v>58</v>
      </c>
      <c r="AB198" t="s">
        <v>58</v>
      </c>
      <c r="AC198" t="s">
        <v>58</v>
      </c>
      <c r="AD198" t="s">
        <v>58</v>
      </c>
      <c r="AG198" t="s">
        <v>58</v>
      </c>
      <c r="AH198" t="s">
        <v>58</v>
      </c>
      <c r="AI198" t="s">
        <v>58</v>
      </c>
      <c r="AJ198" t="s">
        <v>58</v>
      </c>
      <c r="AK198" t="s">
        <v>58</v>
      </c>
      <c r="AO198">
        <v>42594</v>
      </c>
      <c r="AP198">
        <v>0.50000000000000011</v>
      </c>
      <c r="AQ198">
        <v>0.1</v>
      </c>
      <c r="AR198">
        <v>0</v>
      </c>
      <c r="AS198">
        <v>0.39999999999999991</v>
      </c>
      <c r="AV198">
        <v>42601</v>
      </c>
      <c r="AW198">
        <v>0</v>
      </c>
      <c r="AX198">
        <v>0.86000000000000043</v>
      </c>
      <c r="AY198">
        <v>0</v>
      </c>
      <c r="AZ198">
        <v>0.13999999999999957</v>
      </c>
      <c r="BC198">
        <v>42083</v>
      </c>
      <c r="BD198">
        <v>0</v>
      </c>
      <c r="BE198">
        <v>0</v>
      </c>
      <c r="BF198">
        <v>0.96000000000000052</v>
      </c>
      <c r="BG198">
        <v>3.999999999999948E-2</v>
      </c>
    </row>
    <row r="199" spans="1:59" x14ac:dyDescent="0.3">
      <c r="A199">
        <v>42944</v>
      </c>
      <c r="B199">
        <v>0.40000000000000008</v>
      </c>
      <c r="C199">
        <v>0.36000000000000004</v>
      </c>
      <c r="D199">
        <v>0</v>
      </c>
      <c r="E199">
        <v>0.23999999999999982</v>
      </c>
      <c r="J199">
        <v>42818</v>
      </c>
      <c r="K199">
        <v>0.84000000000000041</v>
      </c>
      <c r="L199">
        <v>0</v>
      </c>
      <c r="M199">
        <v>0.14000000000000001</v>
      </c>
      <c r="N199">
        <v>1.9999999999999574E-2</v>
      </c>
      <c r="R199" t="s">
        <v>58</v>
      </c>
      <c r="S199" t="s">
        <v>58</v>
      </c>
      <c r="T199" t="s">
        <v>58</v>
      </c>
      <c r="U199" t="s">
        <v>58</v>
      </c>
      <c r="V199" t="s">
        <v>58</v>
      </c>
      <c r="Z199" t="s">
        <v>58</v>
      </c>
      <c r="AA199" t="s">
        <v>58</v>
      </c>
      <c r="AB199" t="s">
        <v>58</v>
      </c>
      <c r="AC199" t="s">
        <v>58</v>
      </c>
      <c r="AD199" t="s">
        <v>58</v>
      </c>
      <c r="AG199" t="s">
        <v>58</v>
      </c>
      <c r="AH199" t="s">
        <v>58</v>
      </c>
      <c r="AI199" t="s">
        <v>58</v>
      </c>
      <c r="AJ199" t="s">
        <v>58</v>
      </c>
      <c r="AK199" t="s">
        <v>58</v>
      </c>
      <c r="AO199">
        <v>42601</v>
      </c>
      <c r="AP199">
        <v>0.46000000000000013</v>
      </c>
      <c r="AQ199">
        <v>0.16</v>
      </c>
      <c r="AR199">
        <v>0</v>
      </c>
      <c r="AS199">
        <v>0.37999999999999978</v>
      </c>
      <c r="AV199">
        <v>42608</v>
      </c>
      <c r="AW199">
        <v>0</v>
      </c>
      <c r="AX199">
        <v>0.92000000000000048</v>
      </c>
      <c r="AY199">
        <v>0.04</v>
      </c>
      <c r="AZ199">
        <v>3.9999999999999515E-2</v>
      </c>
      <c r="BC199">
        <v>42090</v>
      </c>
      <c r="BD199">
        <v>0</v>
      </c>
      <c r="BE199">
        <v>0.04</v>
      </c>
      <c r="BF199">
        <v>0.9400000000000005</v>
      </c>
      <c r="BG199">
        <v>1.9999999999999463E-2</v>
      </c>
    </row>
    <row r="200" spans="1:59" x14ac:dyDescent="0.3">
      <c r="A200">
        <v>42951</v>
      </c>
      <c r="B200">
        <v>0.48000000000000015</v>
      </c>
      <c r="C200">
        <v>0.32</v>
      </c>
      <c r="D200">
        <v>0</v>
      </c>
      <c r="E200">
        <v>0.19999999999999979</v>
      </c>
      <c r="J200">
        <v>42825</v>
      </c>
      <c r="K200">
        <v>0.8200000000000004</v>
      </c>
      <c r="L200">
        <v>0</v>
      </c>
      <c r="M200">
        <v>0.16</v>
      </c>
      <c r="N200">
        <v>1.9999999999999601E-2</v>
      </c>
      <c r="R200" t="s">
        <v>58</v>
      </c>
      <c r="S200" t="s">
        <v>58</v>
      </c>
      <c r="T200" t="s">
        <v>58</v>
      </c>
      <c r="U200" t="s">
        <v>58</v>
      </c>
      <c r="V200" t="s">
        <v>58</v>
      </c>
      <c r="Z200" t="s">
        <v>58</v>
      </c>
      <c r="AA200" t="s">
        <v>58</v>
      </c>
      <c r="AB200" t="s">
        <v>58</v>
      </c>
      <c r="AC200" t="s">
        <v>58</v>
      </c>
      <c r="AD200" t="s">
        <v>58</v>
      </c>
      <c r="AG200" t="s">
        <v>58</v>
      </c>
      <c r="AH200" t="s">
        <v>58</v>
      </c>
      <c r="AI200" t="s">
        <v>58</v>
      </c>
      <c r="AJ200" t="s">
        <v>58</v>
      </c>
      <c r="AK200" t="s">
        <v>58</v>
      </c>
      <c r="AO200">
        <v>42608</v>
      </c>
      <c r="AP200">
        <v>0.40000000000000008</v>
      </c>
      <c r="AQ200">
        <v>0.27999999999999997</v>
      </c>
      <c r="AR200">
        <v>0</v>
      </c>
      <c r="AS200">
        <v>0.3199999999999999</v>
      </c>
      <c r="AV200">
        <v>42615</v>
      </c>
      <c r="AW200">
        <v>0</v>
      </c>
      <c r="AX200">
        <v>0.9400000000000005</v>
      </c>
      <c r="AY200">
        <v>0</v>
      </c>
      <c r="AZ200">
        <v>5.9999999999999498E-2</v>
      </c>
      <c r="BC200">
        <v>42097</v>
      </c>
      <c r="BD200">
        <v>0</v>
      </c>
      <c r="BE200">
        <v>0</v>
      </c>
      <c r="BF200">
        <v>0.96000000000000052</v>
      </c>
      <c r="BG200">
        <v>3.999999999999948E-2</v>
      </c>
    </row>
    <row r="201" spans="1:59" x14ac:dyDescent="0.3">
      <c r="A201">
        <v>42958</v>
      </c>
      <c r="B201">
        <v>0.44000000000000011</v>
      </c>
      <c r="C201">
        <v>0.34</v>
      </c>
      <c r="D201">
        <v>0</v>
      </c>
      <c r="E201">
        <v>0.21999999999999981</v>
      </c>
      <c r="J201">
        <v>42832</v>
      </c>
      <c r="K201">
        <v>0.8200000000000004</v>
      </c>
      <c r="L201">
        <v>0</v>
      </c>
      <c r="M201">
        <v>0.16</v>
      </c>
      <c r="N201">
        <v>1.9999999999999601E-2</v>
      </c>
      <c r="R201" t="s">
        <v>58</v>
      </c>
      <c r="S201" t="s">
        <v>58</v>
      </c>
      <c r="T201" t="s">
        <v>58</v>
      </c>
      <c r="U201" t="s">
        <v>58</v>
      </c>
      <c r="V201" t="s">
        <v>58</v>
      </c>
      <c r="Z201" t="s">
        <v>58</v>
      </c>
      <c r="AA201" t="s">
        <v>58</v>
      </c>
      <c r="AB201" t="s">
        <v>58</v>
      </c>
      <c r="AC201" t="s">
        <v>58</v>
      </c>
      <c r="AD201" t="s">
        <v>58</v>
      </c>
      <c r="AG201" t="s">
        <v>58</v>
      </c>
      <c r="AH201" t="s">
        <v>58</v>
      </c>
      <c r="AI201" t="s">
        <v>58</v>
      </c>
      <c r="AJ201" t="s">
        <v>58</v>
      </c>
      <c r="AK201" t="s">
        <v>58</v>
      </c>
      <c r="AO201">
        <v>42615</v>
      </c>
      <c r="AP201">
        <v>0.52000000000000013</v>
      </c>
      <c r="AQ201">
        <v>0.14000000000000001</v>
      </c>
      <c r="AR201">
        <v>0</v>
      </c>
      <c r="AS201">
        <v>0.33999999999999986</v>
      </c>
      <c r="AV201">
        <v>42622</v>
      </c>
      <c r="AW201">
        <v>0</v>
      </c>
      <c r="AX201">
        <v>0.92000000000000048</v>
      </c>
      <c r="AY201">
        <v>0</v>
      </c>
      <c r="AZ201">
        <v>7.9999999999999516E-2</v>
      </c>
      <c r="BC201">
        <v>42104</v>
      </c>
      <c r="BD201">
        <v>0</v>
      </c>
      <c r="BE201">
        <v>0.04</v>
      </c>
      <c r="BF201">
        <v>0.9400000000000005</v>
      </c>
      <c r="BG201">
        <v>1.9999999999999463E-2</v>
      </c>
    </row>
    <row r="202" spans="1:59" x14ac:dyDescent="0.3">
      <c r="A202">
        <v>42965</v>
      </c>
      <c r="B202">
        <v>0.46000000000000013</v>
      </c>
      <c r="C202">
        <v>0.32</v>
      </c>
      <c r="D202">
        <v>0</v>
      </c>
      <c r="E202">
        <v>0.21999999999999981</v>
      </c>
      <c r="J202">
        <v>42839</v>
      </c>
      <c r="K202">
        <v>0.84000000000000041</v>
      </c>
      <c r="L202">
        <v>0</v>
      </c>
      <c r="M202">
        <v>0.14000000000000001</v>
      </c>
      <c r="N202">
        <v>1.9999999999999574E-2</v>
      </c>
      <c r="R202" t="s">
        <v>58</v>
      </c>
      <c r="S202" t="s">
        <v>58</v>
      </c>
      <c r="T202" t="s">
        <v>58</v>
      </c>
      <c r="U202" t="s">
        <v>58</v>
      </c>
      <c r="V202" t="s">
        <v>58</v>
      </c>
      <c r="Z202" t="s">
        <v>58</v>
      </c>
      <c r="AA202" t="s">
        <v>58</v>
      </c>
      <c r="AB202" t="s">
        <v>58</v>
      </c>
      <c r="AC202" t="s">
        <v>58</v>
      </c>
      <c r="AD202" t="s">
        <v>58</v>
      </c>
      <c r="AG202" t="s">
        <v>58</v>
      </c>
      <c r="AH202" t="s">
        <v>58</v>
      </c>
      <c r="AI202" t="s">
        <v>58</v>
      </c>
      <c r="AJ202" t="s">
        <v>58</v>
      </c>
      <c r="AK202" t="s">
        <v>58</v>
      </c>
      <c r="AO202">
        <v>42622</v>
      </c>
      <c r="AP202">
        <v>0.54000000000000015</v>
      </c>
      <c r="AQ202">
        <v>0.1</v>
      </c>
      <c r="AR202">
        <v>0</v>
      </c>
      <c r="AS202">
        <v>0.35999999999999988</v>
      </c>
      <c r="AV202">
        <v>42627</v>
      </c>
      <c r="AW202">
        <v>0</v>
      </c>
      <c r="AX202">
        <v>0.92000000000000048</v>
      </c>
      <c r="AY202">
        <v>0</v>
      </c>
      <c r="AZ202">
        <v>7.9999999999999516E-2</v>
      </c>
      <c r="BC202">
        <v>42111</v>
      </c>
      <c r="BD202">
        <v>0</v>
      </c>
      <c r="BE202">
        <v>0.06</v>
      </c>
      <c r="BF202">
        <v>0.92000000000000048</v>
      </c>
      <c r="BG202">
        <v>1.9999999999999463E-2</v>
      </c>
    </row>
    <row r="203" spans="1:59" x14ac:dyDescent="0.3">
      <c r="A203">
        <v>42972</v>
      </c>
      <c r="B203">
        <v>0.36000000000000004</v>
      </c>
      <c r="C203">
        <v>0.32</v>
      </c>
      <c r="D203">
        <v>0</v>
      </c>
      <c r="E203">
        <v>0.3199999999999999</v>
      </c>
      <c r="J203">
        <v>42846</v>
      </c>
      <c r="K203">
        <v>0.84000000000000041</v>
      </c>
      <c r="L203">
        <v>0</v>
      </c>
      <c r="M203">
        <v>0.14000000000000001</v>
      </c>
      <c r="N203">
        <v>1.9999999999999574E-2</v>
      </c>
      <c r="R203" t="s">
        <v>58</v>
      </c>
      <c r="S203" t="s">
        <v>58</v>
      </c>
      <c r="T203" t="s">
        <v>58</v>
      </c>
      <c r="U203" t="s">
        <v>58</v>
      </c>
      <c r="V203" t="s">
        <v>58</v>
      </c>
      <c r="Z203" t="s">
        <v>58</v>
      </c>
      <c r="AA203" t="s">
        <v>58</v>
      </c>
      <c r="AB203" t="s">
        <v>58</v>
      </c>
      <c r="AC203" t="s">
        <v>58</v>
      </c>
      <c r="AD203" t="s">
        <v>58</v>
      </c>
      <c r="AG203" t="s">
        <v>58</v>
      </c>
      <c r="AH203" t="s">
        <v>58</v>
      </c>
      <c r="AI203" t="s">
        <v>58</v>
      </c>
      <c r="AJ203" t="s">
        <v>58</v>
      </c>
      <c r="AK203" t="s">
        <v>58</v>
      </c>
      <c r="AO203">
        <v>42627</v>
      </c>
      <c r="AP203">
        <v>0.54000000000000015</v>
      </c>
      <c r="AQ203">
        <v>0.1</v>
      </c>
      <c r="AR203">
        <v>0</v>
      </c>
      <c r="AS203">
        <v>0.35999999999999988</v>
      </c>
      <c r="AV203">
        <v>42636</v>
      </c>
      <c r="AW203">
        <v>0</v>
      </c>
      <c r="AX203">
        <v>0.90000000000000047</v>
      </c>
      <c r="AY203">
        <v>0</v>
      </c>
      <c r="AZ203">
        <v>9.9999999999999534E-2</v>
      </c>
      <c r="BC203">
        <v>42118</v>
      </c>
      <c r="BD203">
        <v>0.1</v>
      </c>
      <c r="BE203">
        <v>0</v>
      </c>
      <c r="BF203">
        <v>0.88000000000000045</v>
      </c>
      <c r="BG203">
        <v>1.9999999999999574E-2</v>
      </c>
    </row>
    <row r="204" spans="1:59" x14ac:dyDescent="0.3">
      <c r="A204">
        <v>42979</v>
      </c>
      <c r="B204">
        <v>0.36000000000000004</v>
      </c>
      <c r="C204">
        <v>0.32</v>
      </c>
      <c r="D204">
        <v>0</v>
      </c>
      <c r="E204">
        <v>0.3199999999999999</v>
      </c>
      <c r="J204">
        <v>42853</v>
      </c>
      <c r="K204">
        <v>0.80000000000000038</v>
      </c>
      <c r="L204">
        <v>0</v>
      </c>
      <c r="M204">
        <v>0.18</v>
      </c>
      <c r="N204">
        <v>1.9999999999999629E-2</v>
      </c>
      <c r="R204" t="s">
        <v>58</v>
      </c>
      <c r="S204" t="s">
        <v>58</v>
      </c>
      <c r="T204" t="s">
        <v>58</v>
      </c>
      <c r="U204" t="s">
        <v>58</v>
      </c>
      <c r="V204" t="s">
        <v>58</v>
      </c>
      <c r="Z204" t="s">
        <v>58</v>
      </c>
      <c r="AA204" t="s">
        <v>58</v>
      </c>
      <c r="AB204" t="s">
        <v>58</v>
      </c>
      <c r="AC204" t="s">
        <v>58</v>
      </c>
      <c r="AD204" t="s">
        <v>58</v>
      </c>
      <c r="AG204" t="s">
        <v>58</v>
      </c>
      <c r="AH204" t="s">
        <v>58</v>
      </c>
      <c r="AI204" t="s">
        <v>58</v>
      </c>
      <c r="AJ204" t="s">
        <v>58</v>
      </c>
      <c r="AK204" t="s">
        <v>58</v>
      </c>
      <c r="AO204">
        <v>42636</v>
      </c>
      <c r="AP204">
        <v>0.52000000000000013</v>
      </c>
      <c r="AQ204">
        <v>0.06</v>
      </c>
      <c r="AR204">
        <v>0</v>
      </c>
      <c r="AS204">
        <v>0.41999999999999987</v>
      </c>
      <c r="AV204">
        <v>42643</v>
      </c>
      <c r="AW204">
        <v>0</v>
      </c>
      <c r="AX204">
        <v>0.88000000000000045</v>
      </c>
      <c r="AY204">
        <v>0</v>
      </c>
      <c r="AZ204">
        <v>0.11999999999999955</v>
      </c>
      <c r="BC204">
        <v>42124</v>
      </c>
      <c r="BD204">
        <v>0.12000000000000001</v>
      </c>
      <c r="BE204">
        <v>0.1</v>
      </c>
      <c r="BF204">
        <v>0.76000000000000034</v>
      </c>
      <c r="BG204">
        <v>1.9999999999999685E-2</v>
      </c>
    </row>
    <row r="205" spans="1:59" x14ac:dyDescent="0.3">
      <c r="A205">
        <v>42986</v>
      </c>
      <c r="B205">
        <v>0.48000000000000015</v>
      </c>
      <c r="C205">
        <v>0.3</v>
      </c>
      <c r="D205">
        <v>0</v>
      </c>
      <c r="E205">
        <v>0.21999999999999981</v>
      </c>
      <c r="J205">
        <v>42860</v>
      </c>
      <c r="K205">
        <v>0.80000000000000038</v>
      </c>
      <c r="L205">
        <v>0</v>
      </c>
      <c r="M205">
        <v>0.18</v>
      </c>
      <c r="N205">
        <v>1.9999999999999629E-2</v>
      </c>
      <c r="R205" t="s">
        <v>58</v>
      </c>
      <c r="S205" t="s">
        <v>58</v>
      </c>
      <c r="T205" t="s">
        <v>58</v>
      </c>
      <c r="U205" t="s">
        <v>58</v>
      </c>
      <c r="V205" t="s">
        <v>58</v>
      </c>
      <c r="Z205" t="s">
        <v>58</v>
      </c>
      <c r="AA205" t="s">
        <v>58</v>
      </c>
      <c r="AB205" t="s">
        <v>58</v>
      </c>
      <c r="AC205" t="s">
        <v>58</v>
      </c>
      <c r="AD205" t="s">
        <v>58</v>
      </c>
      <c r="AG205" t="s">
        <v>58</v>
      </c>
      <c r="AH205" t="s">
        <v>58</v>
      </c>
      <c r="AI205" t="s">
        <v>58</v>
      </c>
      <c r="AJ205" t="s">
        <v>58</v>
      </c>
      <c r="AK205" t="s">
        <v>58</v>
      </c>
      <c r="AO205">
        <v>42643</v>
      </c>
      <c r="AP205">
        <v>0.56000000000000016</v>
      </c>
      <c r="AQ205">
        <v>0</v>
      </c>
      <c r="AR205">
        <v>0</v>
      </c>
      <c r="AS205">
        <v>0.43999999999999984</v>
      </c>
      <c r="AV205">
        <v>42657</v>
      </c>
      <c r="AW205">
        <v>0</v>
      </c>
      <c r="AX205">
        <v>0.9400000000000005</v>
      </c>
      <c r="AY205">
        <v>0</v>
      </c>
      <c r="AZ205">
        <v>5.9999999999999498E-2</v>
      </c>
      <c r="BC205">
        <v>42132</v>
      </c>
      <c r="BD205">
        <v>0.12000000000000001</v>
      </c>
      <c r="BE205">
        <v>0.1</v>
      </c>
      <c r="BF205">
        <v>0.76000000000000034</v>
      </c>
      <c r="BG205">
        <v>1.9999999999999685E-2</v>
      </c>
    </row>
    <row r="206" spans="1:59" x14ac:dyDescent="0.3">
      <c r="A206">
        <v>42993</v>
      </c>
      <c r="B206">
        <v>0.48000000000000015</v>
      </c>
      <c r="C206">
        <v>0.23999999999999996</v>
      </c>
      <c r="D206">
        <v>0</v>
      </c>
      <c r="E206">
        <v>0.2799999999999998</v>
      </c>
      <c r="J206">
        <v>42867</v>
      </c>
      <c r="K206">
        <v>0.80000000000000038</v>
      </c>
      <c r="L206">
        <v>0</v>
      </c>
      <c r="M206">
        <v>0.18</v>
      </c>
      <c r="N206">
        <v>1.9999999999999629E-2</v>
      </c>
      <c r="R206" t="s">
        <v>58</v>
      </c>
      <c r="S206" t="s">
        <v>58</v>
      </c>
      <c r="T206" t="s">
        <v>58</v>
      </c>
      <c r="U206" t="s">
        <v>58</v>
      </c>
      <c r="V206" t="s">
        <v>58</v>
      </c>
      <c r="Z206" t="s">
        <v>58</v>
      </c>
      <c r="AA206" t="s">
        <v>58</v>
      </c>
      <c r="AB206" t="s">
        <v>58</v>
      </c>
      <c r="AC206" t="s">
        <v>58</v>
      </c>
      <c r="AD206" t="s">
        <v>58</v>
      </c>
      <c r="AG206" t="s">
        <v>58</v>
      </c>
      <c r="AH206" t="s">
        <v>58</v>
      </c>
      <c r="AI206" t="s">
        <v>58</v>
      </c>
      <c r="AJ206" t="s">
        <v>58</v>
      </c>
      <c r="AK206" t="s">
        <v>58</v>
      </c>
      <c r="AO206">
        <v>42657</v>
      </c>
      <c r="AP206">
        <v>0.54000000000000015</v>
      </c>
      <c r="AQ206">
        <v>0.14000000000000001</v>
      </c>
      <c r="AR206">
        <v>0</v>
      </c>
      <c r="AS206">
        <v>0.31999999999999984</v>
      </c>
      <c r="AV206">
        <v>42664</v>
      </c>
      <c r="AW206">
        <v>0</v>
      </c>
      <c r="AX206">
        <v>0.9400000000000005</v>
      </c>
      <c r="AY206">
        <v>0</v>
      </c>
      <c r="AZ206">
        <v>5.9999999999999498E-2</v>
      </c>
      <c r="BC206">
        <v>42139</v>
      </c>
      <c r="BD206">
        <v>0.08</v>
      </c>
      <c r="BE206">
        <v>0.27999999999999997</v>
      </c>
      <c r="BF206">
        <v>0.62000000000000022</v>
      </c>
      <c r="BG206">
        <v>1.9999999999999907E-2</v>
      </c>
    </row>
    <row r="207" spans="1:59" x14ac:dyDescent="0.3">
      <c r="A207">
        <v>43000</v>
      </c>
      <c r="B207">
        <v>0.54000000000000015</v>
      </c>
      <c r="C207">
        <v>0.23999999999999996</v>
      </c>
      <c r="D207">
        <v>0</v>
      </c>
      <c r="E207">
        <v>0.21999999999999989</v>
      </c>
      <c r="J207">
        <v>42874</v>
      </c>
      <c r="K207">
        <v>0.8200000000000004</v>
      </c>
      <c r="L207">
        <v>0</v>
      </c>
      <c r="M207">
        <v>0.16</v>
      </c>
      <c r="N207">
        <v>1.9999999999999601E-2</v>
      </c>
      <c r="R207" t="s">
        <v>58</v>
      </c>
      <c r="S207" t="s">
        <v>58</v>
      </c>
      <c r="T207" t="s">
        <v>58</v>
      </c>
      <c r="U207" t="s">
        <v>58</v>
      </c>
      <c r="V207" t="s">
        <v>58</v>
      </c>
      <c r="Z207" t="s">
        <v>58</v>
      </c>
      <c r="AA207" t="s">
        <v>58</v>
      </c>
      <c r="AB207" t="s">
        <v>58</v>
      </c>
      <c r="AC207" t="s">
        <v>58</v>
      </c>
      <c r="AD207" t="s">
        <v>58</v>
      </c>
      <c r="AG207" t="s">
        <v>58</v>
      </c>
      <c r="AH207" t="s">
        <v>58</v>
      </c>
      <c r="AI207" t="s">
        <v>58</v>
      </c>
      <c r="AJ207" t="s">
        <v>58</v>
      </c>
      <c r="AK207" t="s">
        <v>58</v>
      </c>
      <c r="AO207">
        <v>42664</v>
      </c>
      <c r="AP207">
        <v>0.56000000000000016</v>
      </c>
      <c r="AQ207">
        <v>0.18</v>
      </c>
      <c r="AR207">
        <v>0</v>
      </c>
      <c r="AS207">
        <v>0.25999999999999984</v>
      </c>
      <c r="AV207">
        <v>42671</v>
      </c>
      <c r="AW207">
        <v>0</v>
      </c>
      <c r="AX207">
        <v>0.9400000000000005</v>
      </c>
      <c r="AY207">
        <v>0</v>
      </c>
      <c r="AZ207">
        <v>5.9999999999999498E-2</v>
      </c>
      <c r="BC207">
        <v>42146</v>
      </c>
      <c r="BD207">
        <v>0.1</v>
      </c>
      <c r="BE207">
        <v>0.27999999999999997</v>
      </c>
      <c r="BF207">
        <v>0.6000000000000002</v>
      </c>
      <c r="BG207">
        <v>1.9999999999999907E-2</v>
      </c>
    </row>
    <row r="208" spans="1:59" x14ac:dyDescent="0.3">
      <c r="A208">
        <v>43007</v>
      </c>
      <c r="B208">
        <v>0.56000000000000016</v>
      </c>
      <c r="C208">
        <v>0.23999999999999996</v>
      </c>
      <c r="D208">
        <v>0</v>
      </c>
      <c r="E208">
        <v>0.19999999999999987</v>
      </c>
      <c r="J208">
        <v>42881</v>
      </c>
      <c r="K208">
        <v>0.8200000000000004</v>
      </c>
      <c r="L208">
        <v>0</v>
      </c>
      <c r="M208">
        <v>0.16</v>
      </c>
      <c r="N208">
        <v>1.9999999999999601E-2</v>
      </c>
      <c r="R208" t="s">
        <v>58</v>
      </c>
      <c r="S208" t="s">
        <v>58</v>
      </c>
      <c r="T208" t="s">
        <v>58</v>
      </c>
      <c r="U208" t="s">
        <v>58</v>
      </c>
      <c r="V208" t="s">
        <v>58</v>
      </c>
      <c r="Z208" t="s">
        <v>58</v>
      </c>
      <c r="AA208" t="s">
        <v>58</v>
      </c>
      <c r="AB208" t="s">
        <v>58</v>
      </c>
      <c r="AC208" t="s">
        <v>58</v>
      </c>
      <c r="AD208" t="s">
        <v>58</v>
      </c>
      <c r="AG208" t="s">
        <v>58</v>
      </c>
      <c r="AH208" t="s">
        <v>58</v>
      </c>
      <c r="AI208" t="s">
        <v>58</v>
      </c>
      <c r="AJ208" t="s">
        <v>58</v>
      </c>
      <c r="AK208" t="s">
        <v>58</v>
      </c>
      <c r="AO208">
        <v>42671</v>
      </c>
      <c r="AP208">
        <v>0.6000000000000002</v>
      </c>
      <c r="AQ208">
        <v>0.16</v>
      </c>
      <c r="AR208">
        <v>0</v>
      </c>
      <c r="AS208">
        <v>0.2399999999999998</v>
      </c>
      <c r="AV208">
        <v>42678</v>
      </c>
      <c r="AW208">
        <v>0</v>
      </c>
      <c r="AX208">
        <v>0.9400000000000005</v>
      </c>
      <c r="AY208">
        <v>0</v>
      </c>
      <c r="AZ208">
        <v>5.9999999999999498E-2</v>
      </c>
      <c r="BC208">
        <v>42153</v>
      </c>
      <c r="BD208">
        <v>0.12000000000000001</v>
      </c>
      <c r="BE208">
        <v>0.25999999999999995</v>
      </c>
      <c r="BF208">
        <v>0.6000000000000002</v>
      </c>
      <c r="BG208">
        <v>1.9999999999999907E-2</v>
      </c>
    </row>
    <row r="209" spans="1:59" x14ac:dyDescent="0.3">
      <c r="A209">
        <v>43021</v>
      </c>
      <c r="B209">
        <v>0.56000000000000016</v>
      </c>
      <c r="C209">
        <v>0.23999999999999996</v>
      </c>
      <c r="D209">
        <v>0</v>
      </c>
      <c r="E209">
        <v>0.19999999999999987</v>
      </c>
      <c r="J209">
        <v>42888</v>
      </c>
      <c r="K209">
        <v>0.86000000000000043</v>
      </c>
      <c r="L209">
        <v>0</v>
      </c>
      <c r="M209">
        <v>0.12000000000000001</v>
      </c>
      <c r="N209">
        <v>1.999999999999956E-2</v>
      </c>
      <c r="R209" t="s">
        <v>58</v>
      </c>
      <c r="S209" t="s">
        <v>58</v>
      </c>
      <c r="T209" t="s">
        <v>58</v>
      </c>
      <c r="U209" t="s">
        <v>58</v>
      </c>
      <c r="V209" t="s">
        <v>58</v>
      </c>
      <c r="Z209" t="s">
        <v>58</v>
      </c>
      <c r="AA209" t="s">
        <v>58</v>
      </c>
      <c r="AB209" t="s">
        <v>58</v>
      </c>
      <c r="AC209" t="s">
        <v>58</v>
      </c>
      <c r="AD209" t="s">
        <v>58</v>
      </c>
      <c r="AG209" t="s">
        <v>58</v>
      </c>
      <c r="AH209" t="s">
        <v>58</v>
      </c>
      <c r="AI209" t="s">
        <v>58</v>
      </c>
      <c r="AJ209" t="s">
        <v>58</v>
      </c>
      <c r="AK209" t="s">
        <v>58</v>
      </c>
      <c r="AO209">
        <v>42678</v>
      </c>
      <c r="AP209">
        <v>0.56000000000000016</v>
      </c>
      <c r="AQ209">
        <v>0.19999999999999998</v>
      </c>
      <c r="AR209">
        <v>0</v>
      </c>
      <c r="AS209">
        <v>0.23999999999999985</v>
      </c>
      <c r="AV209">
        <v>42685</v>
      </c>
      <c r="AW209">
        <v>0</v>
      </c>
      <c r="AX209">
        <v>0.9400000000000005</v>
      </c>
      <c r="AY209">
        <v>0</v>
      </c>
      <c r="AZ209">
        <v>5.9999999999999498E-2</v>
      </c>
      <c r="BC209">
        <v>42160</v>
      </c>
      <c r="BD209">
        <v>0.1</v>
      </c>
      <c r="BE209">
        <v>0.3</v>
      </c>
      <c r="BF209">
        <v>0.58000000000000018</v>
      </c>
      <c r="BG209">
        <v>1.9999999999999907E-2</v>
      </c>
    </row>
    <row r="210" spans="1:59" x14ac:dyDescent="0.3">
      <c r="A210">
        <v>43028</v>
      </c>
      <c r="B210">
        <v>0.48000000000000015</v>
      </c>
      <c r="C210">
        <v>0.32</v>
      </c>
      <c r="D210">
        <v>0</v>
      </c>
      <c r="E210">
        <v>0.19999999999999979</v>
      </c>
      <c r="J210">
        <v>42895</v>
      </c>
      <c r="K210">
        <v>0.90000000000000047</v>
      </c>
      <c r="L210">
        <v>0</v>
      </c>
      <c r="M210">
        <v>0.08</v>
      </c>
      <c r="N210">
        <v>1.9999999999999532E-2</v>
      </c>
      <c r="R210" t="s">
        <v>58</v>
      </c>
      <c r="S210" t="s">
        <v>58</v>
      </c>
      <c r="T210" t="s">
        <v>58</v>
      </c>
      <c r="U210" t="s">
        <v>58</v>
      </c>
      <c r="V210" t="s">
        <v>58</v>
      </c>
      <c r="Z210" t="s">
        <v>58</v>
      </c>
      <c r="AA210" t="s">
        <v>58</v>
      </c>
      <c r="AB210" t="s">
        <v>58</v>
      </c>
      <c r="AC210" t="s">
        <v>58</v>
      </c>
      <c r="AD210" t="s">
        <v>58</v>
      </c>
      <c r="AG210" t="s">
        <v>58</v>
      </c>
      <c r="AH210" t="s">
        <v>58</v>
      </c>
      <c r="AI210" t="s">
        <v>58</v>
      </c>
      <c r="AJ210" t="s">
        <v>58</v>
      </c>
      <c r="AK210" t="s">
        <v>58</v>
      </c>
      <c r="AO210">
        <v>42685</v>
      </c>
      <c r="AP210">
        <v>0.64000000000000024</v>
      </c>
      <c r="AQ210">
        <v>0.18</v>
      </c>
      <c r="AR210">
        <v>0</v>
      </c>
      <c r="AS210">
        <v>0.17999999999999977</v>
      </c>
      <c r="AV210">
        <v>42692</v>
      </c>
      <c r="AW210">
        <v>0</v>
      </c>
      <c r="AX210">
        <v>0.80000000000000038</v>
      </c>
      <c r="AY210">
        <v>0</v>
      </c>
      <c r="AZ210">
        <v>0.19999999999999962</v>
      </c>
      <c r="BC210">
        <v>42167</v>
      </c>
      <c r="BD210">
        <v>0.1</v>
      </c>
      <c r="BE210">
        <v>0.3</v>
      </c>
      <c r="BF210">
        <v>0.58000000000000018</v>
      </c>
      <c r="BG210">
        <v>1.9999999999999907E-2</v>
      </c>
    </row>
    <row r="211" spans="1:59" x14ac:dyDescent="0.3">
      <c r="A211">
        <v>43035</v>
      </c>
      <c r="B211">
        <v>0.46000000000000013</v>
      </c>
      <c r="C211">
        <v>0.34</v>
      </c>
      <c r="D211">
        <v>0</v>
      </c>
      <c r="E211">
        <v>0.19999999999999979</v>
      </c>
      <c r="J211">
        <v>42902</v>
      </c>
      <c r="K211">
        <v>0.9400000000000005</v>
      </c>
      <c r="L211">
        <v>0</v>
      </c>
      <c r="M211">
        <v>0.04</v>
      </c>
      <c r="N211">
        <v>1.9999999999999497E-2</v>
      </c>
      <c r="R211" t="s">
        <v>58</v>
      </c>
      <c r="S211" t="s">
        <v>58</v>
      </c>
      <c r="T211" t="s">
        <v>58</v>
      </c>
      <c r="U211" t="s">
        <v>58</v>
      </c>
      <c r="V211" t="s">
        <v>58</v>
      </c>
      <c r="Z211" t="s">
        <v>58</v>
      </c>
      <c r="AA211" t="s">
        <v>58</v>
      </c>
      <c r="AB211" t="s">
        <v>58</v>
      </c>
      <c r="AC211" t="s">
        <v>58</v>
      </c>
      <c r="AD211" t="s">
        <v>58</v>
      </c>
      <c r="AG211" t="s">
        <v>58</v>
      </c>
      <c r="AH211" t="s">
        <v>58</v>
      </c>
      <c r="AI211" t="s">
        <v>58</v>
      </c>
      <c r="AJ211" t="s">
        <v>58</v>
      </c>
      <c r="AK211" t="s">
        <v>58</v>
      </c>
      <c r="AO211">
        <v>42692</v>
      </c>
      <c r="AP211">
        <v>0.68000000000000027</v>
      </c>
      <c r="AQ211">
        <v>0.19999999999999998</v>
      </c>
      <c r="AR211">
        <v>0</v>
      </c>
      <c r="AS211">
        <v>0.11999999999999975</v>
      </c>
      <c r="AV211">
        <v>42699</v>
      </c>
      <c r="AW211">
        <v>0</v>
      </c>
      <c r="AX211">
        <v>0.90000000000000047</v>
      </c>
      <c r="AY211">
        <v>0</v>
      </c>
      <c r="AZ211">
        <v>9.9999999999999534E-2</v>
      </c>
      <c r="BC211">
        <v>42174</v>
      </c>
      <c r="BD211">
        <v>0.08</v>
      </c>
      <c r="BE211">
        <v>0.34</v>
      </c>
      <c r="BF211">
        <v>0.56000000000000016</v>
      </c>
      <c r="BG211">
        <v>1.9999999999999907E-2</v>
      </c>
    </row>
    <row r="212" spans="1:59" x14ac:dyDescent="0.3">
      <c r="A212">
        <v>43042</v>
      </c>
      <c r="B212">
        <v>0.44000000000000011</v>
      </c>
      <c r="C212">
        <v>0.36000000000000004</v>
      </c>
      <c r="D212">
        <v>0</v>
      </c>
      <c r="E212">
        <v>0.19999999999999979</v>
      </c>
      <c r="J212">
        <v>42909</v>
      </c>
      <c r="K212">
        <v>0.96000000000000052</v>
      </c>
      <c r="L212">
        <v>0</v>
      </c>
      <c r="M212">
        <v>0.02</v>
      </c>
      <c r="N212">
        <v>1.999999999999948E-2</v>
      </c>
      <c r="R212" t="s">
        <v>58</v>
      </c>
      <c r="S212" t="s">
        <v>58</v>
      </c>
      <c r="T212" t="s">
        <v>58</v>
      </c>
      <c r="U212" t="s">
        <v>58</v>
      </c>
      <c r="V212" t="s">
        <v>58</v>
      </c>
      <c r="Z212" t="s">
        <v>58</v>
      </c>
      <c r="AA212" t="s">
        <v>58</v>
      </c>
      <c r="AB212" t="s">
        <v>58</v>
      </c>
      <c r="AC212" t="s">
        <v>58</v>
      </c>
      <c r="AD212" t="s">
        <v>58</v>
      </c>
      <c r="AG212" t="s">
        <v>58</v>
      </c>
      <c r="AH212" t="s">
        <v>58</v>
      </c>
      <c r="AI212" t="s">
        <v>58</v>
      </c>
      <c r="AJ212" t="s">
        <v>58</v>
      </c>
      <c r="AK212" t="s">
        <v>58</v>
      </c>
      <c r="AO212">
        <v>42699</v>
      </c>
      <c r="AP212">
        <v>0.68000000000000027</v>
      </c>
      <c r="AQ212">
        <v>0.16</v>
      </c>
      <c r="AR212">
        <v>0</v>
      </c>
      <c r="AS212">
        <v>0.15999999999999973</v>
      </c>
      <c r="AV212">
        <v>42706</v>
      </c>
      <c r="AW212">
        <v>0.08</v>
      </c>
      <c r="AX212">
        <v>0.90000000000000047</v>
      </c>
      <c r="AY212">
        <v>0</v>
      </c>
      <c r="AZ212">
        <v>1.9999999999999574E-2</v>
      </c>
      <c r="BC212">
        <v>42181</v>
      </c>
      <c r="BD212">
        <v>0.08</v>
      </c>
      <c r="BE212">
        <v>0.27999999999999997</v>
      </c>
      <c r="BF212">
        <v>0.6000000000000002</v>
      </c>
      <c r="BG212">
        <v>3.9999999999999925E-2</v>
      </c>
    </row>
    <row r="213" spans="1:59" x14ac:dyDescent="0.3">
      <c r="A213">
        <v>43049</v>
      </c>
      <c r="B213">
        <v>0.46000000000000013</v>
      </c>
      <c r="C213">
        <v>0.38000000000000006</v>
      </c>
      <c r="D213">
        <v>0</v>
      </c>
      <c r="E213">
        <v>0.15999999999999975</v>
      </c>
      <c r="J213">
        <v>42916</v>
      </c>
      <c r="K213">
        <v>0.9400000000000005</v>
      </c>
      <c r="L213">
        <v>0</v>
      </c>
      <c r="M213">
        <v>0.04</v>
      </c>
      <c r="N213">
        <v>1.9999999999999497E-2</v>
      </c>
      <c r="R213" t="s">
        <v>58</v>
      </c>
      <c r="S213" t="s">
        <v>58</v>
      </c>
      <c r="T213" t="s">
        <v>58</v>
      </c>
      <c r="U213" t="s">
        <v>58</v>
      </c>
      <c r="V213" t="s">
        <v>58</v>
      </c>
      <c r="Z213" t="s">
        <v>58</v>
      </c>
      <c r="AA213" t="s">
        <v>58</v>
      </c>
      <c r="AB213" t="s">
        <v>58</v>
      </c>
      <c r="AC213" t="s">
        <v>58</v>
      </c>
      <c r="AD213" t="s">
        <v>58</v>
      </c>
      <c r="AG213" t="s">
        <v>58</v>
      </c>
      <c r="AH213" t="s">
        <v>58</v>
      </c>
      <c r="AI213" t="s">
        <v>58</v>
      </c>
      <c r="AJ213" t="s">
        <v>58</v>
      </c>
      <c r="AK213" t="s">
        <v>58</v>
      </c>
      <c r="AO213">
        <v>42706</v>
      </c>
      <c r="AP213">
        <v>0.80000000000000038</v>
      </c>
      <c r="AQ213">
        <v>0.08</v>
      </c>
      <c r="AR213">
        <v>0</v>
      </c>
      <c r="AS213">
        <v>0.11999999999999962</v>
      </c>
      <c r="AV213">
        <v>42713</v>
      </c>
      <c r="AW213">
        <v>0.34</v>
      </c>
      <c r="AX213">
        <v>0.6000000000000002</v>
      </c>
      <c r="AY213">
        <v>0</v>
      </c>
      <c r="AZ213">
        <v>5.999999999999972E-2</v>
      </c>
      <c r="BC213">
        <v>42188</v>
      </c>
      <c r="BD213">
        <v>0.06</v>
      </c>
      <c r="BE213">
        <v>0.27999999999999997</v>
      </c>
      <c r="BF213">
        <v>0.6000000000000002</v>
      </c>
      <c r="BG213">
        <v>5.999999999999972E-2</v>
      </c>
    </row>
    <row r="214" spans="1:59" x14ac:dyDescent="0.3">
      <c r="A214">
        <v>43056</v>
      </c>
      <c r="B214">
        <v>0.40000000000000008</v>
      </c>
      <c r="C214">
        <v>0.44000000000000011</v>
      </c>
      <c r="D214">
        <v>0</v>
      </c>
      <c r="E214">
        <v>0.15999999999999975</v>
      </c>
      <c r="J214">
        <v>42923</v>
      </c>
      <c r="K214">
        <v>0.92000000000000048</v>
      </c>
      <c r="L214">
        <v>0</v>
      </c>
      <c r="M214">
        <v>0.06</v>
      </c>
      <c r="N214">
        <v>1.9999999999999518E-2</v>
      </c>
      <c r="R214" t="s">
        <v>58</v>
      </c>
      <c r="S214" t="s">
        <v>58</v>
      </c>
      <c r="T214" t="s">
        <v>58</v>
      </c>
      <c r="U214" t="s">
        <v>58</v>
      </c>
      <c r="V214" t="s">
        <v>58</v>
      </c>
      <c r="Z214" t="s">
        <v>58</v>
      </c>
      <c r="AA214" t="s">
        <v>58</v>
      </c>
      <c r="AB214" t="s">
        <v>58</v>
      </c>
      <c r="AC214" t="s">
        <v>58</v>
      </c>
      <c r="AD214" t="s">
        <v>58</v>
      </c>
      <c r="AG214" t="s">
        <v>58</v>
      </c>
      <c r="AH214" t="s">
        <v>58</v>
      </c>
      <c r="AI214" t="s">
        <v>58</v>
      </c>
      <c r="AJ214" t="s">
        <v>58</v>
      </c>
      <c r="AK214" t="s">
        <v>58</v>
      </c>
      <c r="AO214">
        <v>42713</v>
      </c>
      <c r="AP214">
        <v>0.8200000000000004</v>
      </c>
      <c r="AQ214">
        <v>0</v>
      </c>
      <c r="AR214">
        <v>0</v>
      </c>
      <c r="AS214">
        <v>0.1799999999999996</v>
      </c>
      <c r="AV214">
        <v>42720</v>
      </c>
      <c r="AW214">
        <v>0.46000000000000013</v>
      </c>
      <c r="AX214">
        <v>0.52000000000000013</v>
      </c>
      <c r="AY214">
        <v>0</v>
      </c>
      <c r="AZ214">
        <v>1.9999999999999685E-2</v>
      </c>
      <c r="BC214">
        <v>42195</v>
      </c>
      <c r="BD214">
        <v>0.04</v>
      </c>
      <c r="BE214">
        <v>0.36000000000000004</v>
      </c>
      <c r="BF214">
        <v>0.56000000000000016</v>
      </c>
      <c r="BG214">
        <v>3.9999999999999702E-2</v>
      </c>
    </row>
    <row r="215" spans="1:59" x14ac:dyDescent="0.3">
      <c r="A215">
        <v>43063</v>
      </c>
      <c r="B215">
        <v>0.36000000000000004</v>
      </c>
      <c r="C215">
        <v>0.52000000000000013</v>
      </c>
      <c r="D215">
        <v>0</v>
      </c>
      <c r="E215">
        <v>0.11999999999999977</v>
      </c>
      <c r="J215">
        <v>42930</v>
      </c>
      <c r="K215">
        <v>0.9400000000000005</v>
      </c>
      <c r="L215">
        <v>0</v>
      </c>
      <c r="M215">
        <v>0.04</v>
      </c>
      <c r="N215">
        <v>1.9999999999999497E-2</v>
      </c>
      <c r="R215" t="s">
        <v>58</v>
      </c>
      <c r="S215" t="s">
        <v>58</v>
      </c>
      <c r="T215" t="s">
        <v>58</v>
      </c>
      <c r="U215" t="s">
        <v>58</v>
      </c>
      <c r="V215" t="s">
        <v>58</v>
      </c>
      <c r="Z215" t="s">
        <v>58</v>
      </c>
      <c r="AA215" t="s">
        <v>58</v>
      </c>
      <c r="AB215" t="s">
        <v>58</v>
      </c>
      <c r="AC215" t="s">
        <v>58</v>
      </c>
      <c r="AD215" t="s">
        <v>58</v>
      </c>
      <c r="AG215" t="s">
        <v>58</v>
      </c>
      <c r="AH215" t="s">
        <v>58</v>
      </c>
      <c r="AI215" t="s">
        <v>58</v>
      </c>
      <c r="AJ215" t="s">
        <v>58</v>
      </c>
      <c r="AK215" t="s">
        <v>58</v>
      </c>
      <c r="AO215">
        <v>42720</v>
      </c>
      <c r="AP215">
        <v>0.84000000000000041</v>
      </c>
      <c r="AQ215">
        <v>0</v>
      </c>
      <c r="AR215">
        <v>0</v>
      </c>
      <c r="AS215">
        <v>0.15999999999999959</v>
      </c>
      <c r="AV215">
        <v>42727</v>
      </c>
      <c r="AW215">
        <v>0.48000000000000015</v>
      </c>
      <c r="AX215">
        <v>0.50000000000000011</v>
      </c>
      <c r="AY215">
        <v>0</v>
      </c>
      <c r="AZ215">
        <v>1.9999999999999685E-2</v>
      </c>
      <c r="BC215">
        <v>42202</v>
      </c>
      <c r="BD215">
        <v>0.06</v>
      </c>
      <c r="BE215">
        <v>0.52000000000000013</v>
      </c>
      <c r="BF215">
        <v>0.40000000000000008</v>
      </c>
      <c r="BG215">
        <v>1.999999999999974E-2</v>
      </c>
    </row>
    <row r="216" spans="1:59" x14ac:dyDescent="0.3">
      <c r="A216">
        <v>43070</v>
      </c>
      <c r="B216">
        <v>0.34</v>
      </c>
      <c r="C216">
        <v>0.54000000000000015</v>
      </c>
      <c r="D216">
        <v>0</v>
      </c>
      <c r="E216">
        <v>0.11999999999999977</v>
      </c>
      <c r="J216">
        <v>42937</v>
      </c>
      <c r="K216">
        <v>0.98000000000000054</v>
      </c>
      <c r="L216">
        <v>0</v>
      </c>
      <c r="M216">
        <v>0</v>
      </c>
      <c r="N216">
        <v>1.9999999999999463E-2</v>
      </c>
      <c r="R216" t="s">
        <v>58</v>
      </c>
      <c r="S216" t="s">
        <v>58</v>
      </c>
      <c r="T216" t="s">
        <v>58</v>
      </c>
      <c r="U216" t="s">
        <v>58</v>
      </c>
      <c r="V216" t="s">
        <v>58</v>
      </c>
      <c r="Z216" t="s">
        <v>58</v>
      </c>
      <c r="AA216" t="s">
        <v>58</v>
      </c>
      <c r="AB216" t="s">
        <v>58</v>
      </c>
      <c r="AC216" t="s">
        <v>58</v>
      </c>
      <c r="AD216" t="s">
        <v>58</v>
      </c>
      <c r="AG216" t="s">
        <v>58</v>
      </c>
      <c r="AH216" t="s">
        <v>58</v>
      </c>
      <c r="AI216" t="s">
        <v>58</v>
      </c>
      <c r="AJ216" t="s">
        <v>58</v>
      </c>
      <c r="AK216" t="s">
        <v>58</v>
      </c>
      <c r="AO216">
        <v>42727</v>
      </c>
      <c r="AP216">
        <v>0.84000000000000041</v>
      </c>
      <c r="AQ216">
        <v>0</v>
      </c>
      <c r="AR216">
        <v>0</v>
      </c>
      <c r="AS216">
        <v>0.15999999999999959</v>
      </c>
      <c r="AV216">
        <v>42734</v>
      </c>
      <c r="AW216">
        <v>0.40000000000000008</v>
      </c>
      <c r="AX216">
        <v>0.58000000000000018</v>
      </c>
      <c r="AY216">
        <v>0</v>
      </c>
      <c r="AZ216">
        <v>1.9999999999999685E-2</v>
      </c>
      <c r="BC216">
        <v>42209</v>
      </c>
      <c r="BD216">
        <v>0.27999999999999997</v>
      </c>
      <c r="BE216">
        <v>0.02</v>
      </c>
      <c r="BF216">
        <v>0.66000000000000025</v>
      </c>
      <c r="BG216">
        <v>3.9999999999999702E-2</v>
      </c>
    </row>
    <row r="217" spans="1:59" x14ac:dyDescent="0.3">
      <c r="A217">
        <v>43077</v>
      </c>
      <c r="B217">
        <v>0.4200000000000001</v>
      </c>
      <c r="C217">
        <v>0.50000000000000011</v>
      </c>
      <c r="D217">
        <v>0</v>
      </c>
      <c r="E217">
        <v>7.9999999999999738E-2</v>
      </c>
      <c r="J217">
        <v>42944</v>
      </c>
      <c r="K217">
        <v>0.98000000000000054</v>
      </c>
      <c r="L217">
        <v>0</v>
      </c>
      <c r="M217">
        <v>0</v>
      </c>
      <c r="N217">
        <v>1.9999999999999463E-2</v>
      </c>
      <c r="R217" t="s">
        <v>58</v>
      </c>
      <c r="S217" t="s">
        <v>58</v>
      </c>
      <c r="T217" t="s">
        <v>58</v>
      </c>
      <c r="U217" t="s">
        <v>58</v>
      </c>
      <c r="V217" t="s">
        <v>58</v>
      </c>
      <c r="Z217" t="s">
        <v>58</v>
      </c>
      <c r="AA217" t="s">
        <v>58</v>
      </c>
      <c r="AB217" t="s">
        <v>58</v>
      </c>
      <c r="AC217" t="s">
        <v>58</v>
      </c>
      <c r="AD217" t="s">
        <v>58</v>
      </c>
      <c r="AG217" t="s">
        <v>58</v>
      </c>
      <c r="AH217" t="s">
        <v>58</v>
      </c>
      <c r="AI217" t="s">
        <v>58</v>
      </c>
      <c r="AJ217" t="s">
        <v>58</v>
      </c>
      <c r="AK217" t="s">
        <v>58</v>
      </c>
      <c r="AO217">
        <v>42734</v>
      </c>
      <c r="AP217">
        <v>0.8200000000000004</v>
      </c>
      <c r="AQ217">
        <v>0</v>
      </c>
      <c r="AR217">
        <v>0</v>
      </c>
      <c r="AS217">
        <v>0.1799999999999996</v>
      </c>
      <c r="AV217">
        <v>42741</v>
      </c>
      <c r="AW217">
        <v>0.40000000000000008</v>
      </c>
      <c r="AX217">
        <v>0.58000000000000018</v>
      </c>
      <c r="AY217">
        <v>0</v>
      </c>
      <c r="AZ217">
        <v>1.9999999999999685E-2</v>
      </c>
      <c r="BC217">
        <v>42216</v>
      </c>
      <c r="BD217">
        <v>0.32</v>
      </c>
      <c r="BE217">
        <v>0</v>
      </c>
      <c r="BF217">
        <v>0.64000000000000024</v>
      </c>
      <c r="BG217">
        <v>3.9999999999999702E-2</v>
      </c>
    </row>
    <row r="218" spans="1:59" x14ac:dyDescent="0.3">
      <c r="A218">
        <v>43084</v>
      </c>
      <c r="B218">
        <v>0.40000000000000008</v>
      </c>
      <c r="C218">
        <v>0.52000000000000013</v>
      </c>
      <c r="D218">
        <v>0</v>
      </c>
      <c r="E218">
        <v>7.9999999999999738E-2</v>
      </c>
      <c r="J218">
        <v>42951</v>
      </c>
      <c r="K218">
        <v>0.98000000000000054</v>
      </c>
      <c r="L218">
        <v>0</v>
      </c>
      <c r="M218">
        <v>0</v>
      </c>
      <c r="N218">
        <v>1.9999999999999463E-2</v>
      </c>
      <c r="R218" t="s">
        <v>58</v>
      </c>
      <c r="S218" t="s">
        <v>58</v>
      </c>
      <c r="T218" t="s">
        <v>58</v>
      </c>
      <c r="U218" t="s">
        <v>58</v>
      </c>
      <c r="V218" t="s">
        <v>58</v>
      </c>
      <c r="Z218" t="s">
        <v>58</v>
      </c>
      <c r="AA218" t="s">
        <v>58</v>
      </c>
      <c r="AB218" t="s">
        <v>58</v>
      </c>
      <c r="AC218" t="s">
        <v>58</v>
      </c>
      <c r="AD218" t="s">
        <v>58</v>
      </c>
      <c r="AG218" t="s">
        <v>58</v>
      </c>
      <c r="AH218" t="s">
        <v>58</v>
      </c>
      <c r="AI218" t="s">
        <v>58</v>
      </c>
      <c r="AJ218" t="s">
        <v>58</v>
      </c>
      <c r="AK218" t="s">
        <v>58</v>
      </c>
      <c r="AO218">
        <v>42741</v>
      </c>
      <c r="AP218">
        <v>0.86000000000000043</v>
      </c>
      <c r="AQ218">
        <v>0</v>
      </c>
      <c r="AR218">
        <v>0</v>
      </c>
      <c r="AS218">
        <v>0.13999999999999957</v>
      </c>
      <c r="AV218">
        <v>42748</v>
      </c>
      <c r="AW218">
        <v>0.14000000000000001</v>
      </c>
      <c r="AX218">
        <v>0.76000000000000034</v>
      </c>
      <c r="AY218">
        <v>0</v>
      </c>
      <c r="AZ218">
        <v>9.9999999999999645E-2</v>
      </c>
      <c r="BC218">
        <v>42223</v>
      </c>
      <c r="BD218">
        <v>0.32</v>
      </c>
      <c r="BE218">
        <v>0</v>
      </c>
      <c r="BF218">
        <v>0.64000000000000024</v>
      </c>
      <c r="BG218">
        <v>3.9999999999999702E-2</v>
      </c>
    </row>
    <row r="219" spans="1:59" x14ac:dyDescent="0.3">
      <c r="A219">
        <v>43091</v>
      </c>
      <c r="B219">
        <v>0.40000000000000008</v>
      </c>
      <c r="C219">
        <v>0.52000000000000013</v>
      </c>
      <c r="D219">
        <v>0</v>
      </c>
      <c r="E219">
        <v>7.9999999999999738E-2</v>
      </c>
      <c r="J219">
        <v>42958</v>
      </c>
      <c r="K219">
        <v>0.98000000000000054</v>
      </c>
      <c r="L219">
        <v>0</v>
      </c>
      <c r="M219">
        <v>0</v>
      </c>
      <c r="N219">
        <v>1.9999999999999463E-2</v>
      </c>
      <c r="R219" t="s">
        <v>58</v>
      </c>
      <c r="S219" t="s">
        <v>58</v>
      </c>
      <c r="T219" t="s">
        <v>58</v>
      </c>
      <c r="U219" t="s">
        <v>58</v>
      </c>
      <c r="V219" t="s">
        <v>58</v>
      </c>
      <c r="Z219" t="s">
        <v>58</v>
      </c>
      <c r="AA219" t="s">
        <v>58</v>
      </c>
      <c r="AB219" t="s">
        <v>58</v>
      </c>
      <c r="AC219" t="s">
        <v>58</v>
      </c>
      <c r="AD219" t="s">
        <v>58</v>
      </c>
      <c r="AG219" t="s">
        <v>58</v>
      </c>
      <c r="AH219" t="s">
        <v>58</v>
      </c>
      <c r="AI219" t="s">
        <v>58</v>
      </c>
      <c r="AJ219" t="s">
        <v>58</v>
      </c>
      <c r="AK219" t="s">
        <v>58</v>
      </c>
      <c r="AO219">
        <v>42748</v>
      </c>
      <c r="AP219">
        <v>0.64000000000000024</v>
      </c>
      <c r="AQ219">
        <v>0</v>
      </c>
      <c r="AR219">
        <v>0</v>
      </c>
      <c r="AS219">
        <v>0.35999999999999976</v>
      </c>
      <c r="AV219">
        <v>42755</v>
      </c>
      <c r="AW219">
        <v>0.12000000000000001</v>
      </c>
      <c r="AX219">
        <v>0.76000000000000034</v>
      </c>
      <c r="AY219">
        <v>0</v>
      </c>
      <c r="AZ219">
        <v>0.11999999999999966</v>
      </c>
      <c r="BC219">
        <v>42230</v>
      </c>
      <c r="BD219">
        <v>0.3</v>
      </c>
      <c r="BE219">
        <v>0.02</v>
      </c>
      <c r="BF219">
        <v>0.64000000000000024</v>
      </c>
      <c r="BG219">
        <v>3.9999999999999702E-2</v>
      </c>
    </row>
    <row r="220" spans="1:59" x14ac:dyDescent="0.3">
      <c r="A220">
        <v>43098</v>
      </c>
      <c r="B220">
        <v>0.38000000000000006</v>
      </c>
      <c r="C220">
        <v>0.52000000000000013</v>
      </c>
      <c r="D220">
        <v>0</v>
      </c>
      <c r="E220">
        <v>9.9999999999999756E-2</v>
      </c>
      <c r="J220">
        <v>42965</v>
      </c>
      <c r="K220">
        <v>0.98000000000000054</v>
      </c>
      <c r="L220">
        <v>0</v>
      </c>
      <c r="M220">
        <v>0</v>
      </c>
      <c r="N220">
        <v>1.9999999999999463E-2</v>
      </c>
      <c r="R220" t="s">
        <v>58</v>
      </c>
      <c r="S220" t="s">
        <v>58</v>
      </c>
      <c r="T220" t="s">
        <v>58</v>
      </c>
      <c r="U220" t="s">
        <v>58</v>
      </c>
      <c r="V220" t="s">
        <v>58</v>
      </c>
      <c r="Z220" t="s">
        <v>58</v>
      </c>
      <c r="AA220" t="s">
        <v>58</v>
      </c>
      <c r="AB220" t="s">
        <v>58</v>
      </c>
      <c r="AC220" t="s">
        <v>58</v>
      </c>
      <c r="AD220" t="s">
        <v>58</v>
      </c>
      <c r="AG220" t="s">
        <v>58</v>
      </c>
      <c r="AH220" t="s">
        <v>58</v>
      </c>
      <c r="AI220" t="s">
        <v>58</v>
      </c>
      <c r="AJ220" t="s">
        <v>58</v>
      </c>
      <c r="AK220" t="s">
        <v>58</v>
      </c>
      <c r="AO220">
        <v>42755</v>
      </c>
      <c r="AP220">
        <v>0.6000000000000002</v>
      </c>
      <c r="AQ220">
        <v>0</v>
      </c>
      <c r="AR220">
        <v>0</v>
      </c>
      <c r="AS220">
        <v>0.3999999999999998</v>
      </c>
      <c r="AV220">
        <v>42761</v>
      </c>
      <c r="AW220">
        <v>0.19999999999999998</v>
      </c>
      <c r="AX220">
        <v>0.68000000000000027</v>
      </c>
      <c r="AY220">
        <v>0.1</v>
      </c>
      <c r="AZ220">
        <v>1.9999999999999768E-2</v>
      </c>
      <c r="BC220">
        <v>42237</v>
      </c>
      <c r="BD220">
        <v>0.3</v>
      </c>
      <c r="BE220">
        <v>0.02</v>
      </c>
      <c r="BF220">
        <v>0.64000000000000024</v>
      </c>
      <c r="BG220">
        <v>3.9999999999999702E-2</v>
      </c>
    </row>
    <row r="221" spans="1:59" x14ac:dyDescent="0.3">
      <c r="A221">
        <v>43105</v>
      </c>
      <c r="B221">
        <v>0.38000000000000006</v>
      </c>
      <c r="C221">
        <v>0.52000000000000013</v>
      </c>
      <c r="D221">
        <v>0</v>
      </c>
      <c r="E221">
        <v>9.9999999999999756E-2</v>
      </c>
      <c r="J221">
        <v>42972</v>
      </c>
      <c r="K221">
        <v>0.98000000000000054</v>
      </c>
      <c r="L221">
        <v>0</v>
      </c>
      <c r="M221">
        <v>0</v>
      </c>
      <c r="N221">
        <v>1.9999999999999463E-2</v>
      </c>
      <c r="R221" t="s">
        <v>58</v>
      </c>
      <c r="S221" t="s">
        <v>58</v>
      </c>
      <c r="T221" t="s">
        <v>58</v>
      </c>
      <c r="U221" t="s">
        <v>58</v>
      </c>
      <c r="V221" t="s">
        <v>58</v>
      </c>
      <c r="Z221" t="s">
        <v>58</v>
      </c>
      <c r="AA221" t="s">
        <v>58</v>
      </c>
      <c r="AB221" t="s">
        <v>58</v>
      </c>
      <c r="AC221" t="s">
        <v>58</v>
      </c>
      <c r="AD221" t="s">
        <v>58</v>
      </c>
      <c r="AG221" t="s">
        <v>58</v>
      </c>
      <c r="AH221" t="s">
        <v>58</v>
      </c>
      <c r="AI221" t="s">
        <v>58</v>
      </c>
      <c r="AJ221" t="s">
        <v>58</v>
      </c>
      <c r="AK221" t="s">
        <v>58</v>
      </c>
      <c r="AO221">
        <v>42761</v>
      </c>
      <c r="AP221">
        <v>0.68000000000000027</v>
      </c>
      <c r="AQ221">
        <v>0</v>
      </c>
      <c r="AR221">
        <v>0</v>
      </c>
      <c r="AS221">
        <v>0.31999999999999973</v>
      </c>
      <c r="AV221">
        <v>42769</v>
      </c>
      <c r="AW221">
        <v>0</v>
      </c>
      <c r="AX221">
        <v>0.88000000000000045</v>
      </c>
      <c r="AY221">
        <v>0.02</v>
      </c>
      <c r="AZ221">
        <v>9.9999999999999548E-2</v>
      </c>
      <c r="BC221">
        <v>42244</v>
      </c>
      <c r="BD221">
        <v>0.21999999999999997</v>
      </c>
      <c r="BE221">
        <v>0</v>
      </c>
      <c r="BF221">
        <v>0.68000000000000027</v>
      </c>
      <c r="BG221">
        <v>9.9999999999999756E-2</v>
      </c>
    </row>
    <row r="222" spans="1:59" x14ac:dyDescent="0.3">
      <c r="A222">
        <v>43112</v>
      </c>
      <c r="B222">
        <v>0.44000000000000011</v>
      </c>
      <c r="C222">
        <v>0.52000000000000013</v>
      </c>
      <c r="D222">
        <v>0</v>
      </c>
      <c r="E222">
        <v>3.9999999999999702E-2</v>
      </c>
      <c r="J222">
        <v>42979</v>
      </c>
      <c r="K222">
        <v>0.98000000000000054</v>
      </c>
      <c r="L222">
        <v>0</v>
      </c>
      <c r="M222">
        <v>0</v>
      </c>
      <c r="N222">
        <v>1.9999999999999463E-2</v>
      </c>
      <c r="R222" t="s">
        <v>58</v>
      </c>
      <c r="S222" t="s">
        <v>58</v>
      </c>
      <c r="T222" t="s">
        <v>58</v>
      </c>
      <c r="U222" t="s">
        <v>58</v>
      </c>
      <c r="V222" t="s">
        <v>58</v>
      </c>
      <c r="Z222" t="s">
        <v>58</v>
      </c>
      <c r="AA222" t="s">
        <v>58</v>
      </c>
      <c r="AB222" t="s">
        <v>58</v>
      </c>
      <c r="AC222" t="s">
        <v>58</v>
      </c>
      <c r="AD222" t="s">
        <v>58</v>
      </c>
      <c r="AG222" t="s">
        <v>58</v>
      </c>
      <c r="AH222" t="s">
        <v>58</v>
      </c>
      <c r="AI222" t="s">
        <v>58</v>
      </c>
      <c r="AJ222" t="s">
        <v>58</v>
      </c>
      <c r="AK222" t="s">
        <v>58</v>
      </c>
      <c r="AO222">
        <v>42769</v>
      </c>
      <c r="AP222">
        <v>0.70000000000000029</v>
      </c>
      <c r="AQ222">
        <v>0</v>
      </c>
      <c r="AR222">
        <v>0</v>
      </c>
      <c r="AS222">
        <v>0.29999999999999971</v>
      </c>
      <c r="AV222">
        <v>42776</v>
      </c>
      <c r="AW222">
        <v>0.16</v>
      </c>
      <c r="AX222">
        <v>0.8200000000000004</v>
      </c>
      <c r="AY222">
        <v>0</v>
      </c>
      <c r="AZ222">
        <v>1.9999999999999574E-2</v>
      </c>
      <c r="BC222">
        <v>42249</v>
      </c>
      <c r="BD222">
        <v>0.21999999999999997</v>
      </c>
      <c r="BE222">
        <v>0</v>
      </c>
      <c r="BF222">
        <v>0.68000000000000027</v>
      </c>
      <c r="BG222">
        <v>9.9999999999999756E-2</v>
      </c>
    </row>
    <row r="223" spans="1:59" x14ac:dyDescent="0.3">
      <c r="A223">
        <v>43119</v>
      </c>
      <c r="B223">
        <v>0.50000000000000011</v>
      </c>
      <c r="C223">
        <v>0.46000000000000013</v>
      </c>
      <c r="D223">
        <v>0</v>
      </c>
      <c r="E223">
        <v>3.9999999999999758E-2</v>
      </c>
      <c r="J223">
        <v>42986</v>
      </c>
      <c r="K223">
        <v>0.98000000000000054</v>
      </c>
      <c r="L223">
        <v>0</v>
      </c>
      <c r="M223">
        <v>0</v>
      </c>
      <c r="N223">
        <v>1.9999999999999463E-2</v>
      </c>
      <c r="R223" t="s">
        <v>58</v>
      </c>
      <c r="S223" t="s">
        <v>58</v>
      </c>
      <c r="T223" t="s">
        <v>58</v>
      </c>
      <c r="U223" t="s">
        <v>58</v>
      </c>
      <c r="V223" t="s">
        <v>58</v>
      </c>
      <c r="Z223" t="s">
        <v>58</v>
      </c>
      <c r="AA223" t="s">
        <v>58</v>
      </c>
      <c r="AB223" t="s">
        <v>58</v>
      </c>
      <c r="AC223" t="s">
        <v>58</v>
      </c>
      <c r="AD223" t="s">
        <v>58</v>
      </c>
      <c r="AG223" t="s">
        <v>58</v>
      </c>
      <c r="AH223" t="s">
        <v>58</v>
      </c>
      <c r="AI223" t="s">
        <v>58</v>
      </c>
      <c r="AJ223" t="s">
        <v>58</v>
      </c>
      <c r="AK223" t="s">
        <v>58</v>
      </c>
      <c r="AO223">
        <v>42776</v>
      </c>
      <c r="AP223">
        <v>0.72000000000000031</v>
      </c>
      <c r="AQ223">
        <v>0</v>
      </c>
      <c r="AR223">
        <v>0</v>
      </c>
      <c r="AS223">
        <v>0.27999999999999969</v>
      </c>
      <c r="AV223">
        <v>42783</v>
      </c>
      <c r="AW223">
        <v>0.16</v>
      </c>
      <c r="AX223">
        <v>0.8200000000000004</v>
      </c>
      <c r="AY223">
        <v>0</v>
      </c>
      <c r="AZ223">
        <v>1.9999999999999574E-2</v>
      </c>
      <c r="BC223">
        <v>42258</v>
      </c>
      <c r="BD223">
        <v>0.23999999999999996</v>
      </c>
      <c r="BE223">
        <v>0</v>
      </c>
      <c r="BF223">
        <v>0.66000000000000025</v>
      </c>
      <c r="BG223">
        <v>9.9999999999999756E-2</v>
      </c>
    </row>
    <row r="224" spans="1:59" x14ac:dyDescent="0.3">
      <c r="A224">
        <v>43126</v>
      </c>
      <c r="B224">
        <v>0.48000000000000015</v>
      </c>
      <c r="C224">
        <v>0.48000000000000015</v>
      </c>
      <c r="D224">
        <v>0</v>
      </c>
      <c r="E224">
        <v>3.9999999999999647E-2</v>
      </c>
      <c r="J224">
        <v>42993</v>
      </c>
      <c r="K224">
        <v>0.98000000000000054</v>
      </c>
      <c r="L224">
        <v>0</v>
      </c>
      <c r="M224">
        <v>0</v>
      </c>
      <c r="N224">
        <v>1.9999999999999463E-2</v>
      </c>
      <c r="R224" t="s">
        <v>58</v>
      </c>
      <c r="S224" t="s">
        <v>58</v>
      </c>
      <c r="T224" t="s">
        <v>58</v>
      </c>
      <c r="U224" t="s">
        <v>58</v>
      </c>
      <c r="V224" t="s">
        <v>58</v>
      </c>
      <c r="Z224" t="s">
        <v>58</v>
      </c>
      <c r="AA224" t="s">
        <v>58</v>
      </c>
      <c r="AB224" t="s">
        <v>58</v>
      </c>
      <c r="AC224" t="s">
        <v>58</v>
      </c>
      <c r="AD224" t="s">
        <v>58</v>
      </c>
      <c r="AG224" t="s">
        <v>58</v>
      </c>
      <c r="AH224" t="s">
        <v>58</v>
      </c>
      <c r="AI224" t="s">
        <v>58</v>
      </c>
      <c r="AJ224" t="s">
        <v>58</v>
      </c>
      <c r="AK224" t="s">
        <v>58</v>
      </c>
      <c r="AO224">
        <v>42783</v>
      </c>
      <c r="AP224">
        <v>0.68000000000000027</v>
      </c>
      <c r="AQ224">
        <v>0</v>
      </c>
      <c r="AR224">
        <v>0</v>
      </c>
      <c r="AS224">
        <v>0.31999999999999973</v>
      </c>
      <c r="AV224">
        <v>42790</v>
      </c>
      <c r="AW224">
        <v>0.08</v>
      </c>
      <c r="AX224">
        <v>0.88000000000000045</v>
      </c>
      <c r="AY224">
        <v>0.02</v>
      </c>
      <c r="AZ224">
        <v>1.9999999999999591E-2</v>
      </c>
      <c r="BC224">
        <v>42265</v>
      </c>
      <c r="BD224">
        <v>0</v>
      </c>
      <c r="BE224">
        <v>0</v>
      </c>
      <c r="BF224">
        <v>0.84000000000000041</v>
      </c>
      <c r="BG224">
        <v>0.15999999999999959</v>
      </c>
    </row>
    <row r="225" spans="1:59" x14ac:dyDescent="0.3">
      <c r="A225">
        <v>43133</v>
      </c>
      <c r="B225">
        <v>0.48000000000000015</v>
      </c>
      <c r="C225">
        <v>0.44000000000000011</v>
      </c>
      <c r="D225">
        <v>0</v>
      </c>
      <c r="E225">
        <v>7.9999999999999682E-2</v>
      </c>
      <c r="J225">
        <v>43000</v>
      </c>
      <c r="K225">
        <v>0.90000000000000047</v>
      </c>
      <c r="L225">
        <v>0</v>
      </c>
      <c r="M225">
        <v>0.02</v>
      </c>
      <c r="N225">
        <v>7.999999999999953E-2</v>
      </c>
      <c r="R225" t="s">
        <v>58</v>
      </c>
      <c r="S225" t="s">
        <v>58</v>
      </c>
      <c r="T225" t="s">
        <v>58</v>
      </c>
      <c r="U225" t="s">
        <v>58</v>
      </c>
      <c r="V225" t="s">
        <v>58</v>
      </c>
      <c r="Z225" t="s">
        <v>58</v>
      </c>
      <c r="AA225" t="s">
        <v>58</v>
      </c>
      <c r="AB225" t="s">
        <v>58</v>
      </c>
      <c r="AC225" t="s">
        <v>58</v>
      </c>
      <c r="AD225" t="s">
        <v>58</v>
      </c>
      <c r="AG225" t="s">
        <v>58</v>
      </c>
      <c r="AH225" t="s">
        <v>58</v>
      </c>
      <c r="AI225" t="s">
        <v>58</v>
      </c>
      <c r="AJ225" t="s">
        <v>58</v>
      </c>
      <c r="AK225" t="s">
        <v>58</v>
      </c>
      <c r="AO225">
        <v>42790</v>
      </c>
      <c r="AP225">
        <v>0.70000000000000029</v>
      </c>
      <c r="AQ225">
        <v>0</v>
      </c>
      <c r="AR225">
        <v>0</v>
      </c>
      <c r="AS225">
        <v>0.29999999999999971</v>
      </c>
      <c r="AV225">
        <v>42797</v>
      </c>
      <c r="AW225">
        <v>0.1</v>
      </c>
      <c r="AX225">
        <v>0.8200000000000004</v>
      </c>
      <c r="AY225">
        <v>0.06</v>
      </c>
      <c r="AZ225">
        <v>1.9999999999999629E-2</v>
      </c>
      <c r="BC225">
        <v>42272</v>
      </c>
      <c r="BD225">
        <v>0</v>
      </c>
      <c r="BE225">
        <v>0</v>
      </c>
      <c r="BF225">
        <v>0.84000000000000041</v>
      </c>
      <c r="BG225">
        <v>0.15999999999999959</v>
      </c>
    </row>
    <row r="226" spans="1:59" x14ac:dyDescent="0.3">
      <c r="A226">
        <v>43140</v>
      </c>
      <c r="B226">
        <v>0.44000000000000011</v>
      </c>
      <c r="C226">
        <v>0.48000000000000015</v>
      </c>
      <c r="D226">
        <v>0</v>
      </c>
      <c r="E226">
        <v>7.9999999999999682E-2</v>
      </c>
      <c r="J226">
        <v>43007</v>
      </c>
      <c r="K226">
        <v>0.92000000000000048</v>
      </c>
      <c r="L226">
        <v>0.06</v>
      </c>
      <c r="M226">
        <v>0</v>
      </c>
      <c r="N226">
        <v>1.9999999999999518E-2</v>
      </c>
      <c r="R226" t="s">
        <v>58</v>
      </c>
      <c r="S226" t="s">
        <v>58</v>
      </c>
      <c r="T226" t="s">
        <v>58</v>
      </c>
      <c r="U226" t="s">
        <v>58</v>
      </c>
      <c r="V226" t="s">
        <v>58</v>
      </c>
      <c r="Z226" t="s">
        <v>58</v>
      </c>
      <c r="AA226" t="s">
        <v>58</v>
      </c>
      <c r="AB226" t="s">
        <v>58</v>
      </c>
      <c r="AC226" t="s">
        <v>58</v>
      </c>
      <c r="AD226" t="s">
        <v>58</v>
      </c>
      <c r="AG226" t="s">
        <v>58</v>
      </c>
      <c r="AH226" t="s">
        <v>58</v>
      </c>
      <c r="AI226" t="s">
        <v>58</v>
      </c>
      <c r="AJ226" t="s">
        <v>58</v>
      </c>
      <c r="AK226" t="s">
        <v>58</v>
      </c>
      <c r="AO226">
        <v>42797</v>
      </c>
      <c r="AP226">
        <v>0.58000000000000018</v>
      </c>
      <c r="AQ226">
        <v>0</v>
      </c>
      <c r="AR226">
        <v>0</v>
      </c>
      <c r="AS226">
        <v>0.41999999999999982</v>
      </c>
      <c r="AV226">
        <v>42804</v>
      </c>
      <c r="AW226">
        <v>0.14000000000000001</v>
      </c>
      <c r="AX226">
        <v>0.84000000000000041</v>
      </c>
      <c r="AY226">
        <v>0</v>
      </c>
      <c r="AZ226">
        <v>1.9999999999999574E-2</v>
      </c>
      <c r="BC226">
        <v>42277</v>
      </c>
      <c r="BD226">
        <v>0.02</v>
      </c>
      <c r="BE226">
        <v>0</v>
      </c>
      <c r="BF226">
        <v>0.8200000000000004</v>
      </c>
      <c r="BG226">
        <v>0.15999999999999959</v>
      </c>
    </row>
    <row r="227" spans="1:59" x14ac:dyDescent="0.3">
      <c r="A227">
        <v>43145</v>
      </c>
      <c r="B227">
        <v>0.58000000000000018</v>
      </c>
      <c r="C227">
        <v>0.40000000000000008</v>
      </c>
      <c r="D227">
        <v>0</v>
      </c>
      <c r="E227">
        <v>1.999999999999974E-2</v>
      </c>
      <c r="J227">
        <v>43021</v>
      </c>
      <c r="K227">
        <v>0.92000000000000048</v>
      </c>
      <c r="L227">
        <v>0.06</v>
      </c>
      <c r="M227">
        <v>0</v>
      </c>
      <c r="N227">
        <v>1.9999999999999518E-2</v>
      </c>
      <c r="R227" t="s">
        <v>58</v>
      </c>
      <c r="S227" t="s">
        <v>58</v>
      </c>
      <c r="T227" t="s">
        <v>58</v>
      </c>
      <c r="U227" t="s">
        <v>58</v>
      </c>
      <c r="V227" t="s">
        <v>58</v>
      </c>
      <c r="Z227" t="s">
        <v>58</v>
      </c>
      <c r="AA227" t="s">
        <v>58</v>
      </c>
      <c r="AB227" t="s">
        <v>58</v>
      </c>
      <c r="AC227" t="s">
        <v>58</v>
      </c>
      <c r="AD227" t="s">
        <v>58</v>
      </c>
      <c r="AG227" t="s">
        <v>58</v>
      </c>
      <c r="AH227" t="s">
        <v>58</v>
      </c>
      <c r="AI227" t="s">
        <v>58</v>
      </c>
      <c r="AJ227" t="s">
        <v>58</v>
      </c>
      <c r="AK227" t="s">
        <v>58</v>
      </c>
      <c r="AO227">
        <v>42804</v>
      </c>
      <c r="AP227">
        <v>0.56000000000000016</v>
      </c>
      <c r="AQ227">
        <v>0</v>
      </c>
      <c r="AR227">
        <v>0</v>
      </c>
      <c r="AS227">
        <v>0.43999999999999984</v>
      </c>
      <c r="AV227">
        <v>42811</v>
      </c>
      <c r="AW227">
        <v>0.18</v>
      </c>
      <c r="AX227">
        <v>0.80000000000000038</v>
      </c>
      <c r="AY227">
        <v>0</v>
      </c>
      <c r="AZ227">
        <v>1.9999999999999685E-2</v>
      </c>
      <c r="BC227">
        <v>42286</v>
      </c>
      <c r="BD227">
        <v>0.02</v>
      </c>
      <c r="BE227">
        <v>0</v>
      </c>
      <c r="BF227">
        <v>0.8200000000000004</v>
      </c>
      <c r="BG227">
        <v>0.15999999999999959</v>
      </c>
    </row>
    <row r="228" spans="1:59" x14ac:dyDescent="0.3">
      <c r="A228">
        <v>43154</v>
      </c>
      <c r="B228">
        <v>0.58000000000000018</v>
      </c>
      <c r="C228">
        <v>0.40000000000000008</v>
      </c>
      <c r="D228">
        <v>0</v>
      </c>
      <c r="E228">
        <v>1.999999999999974E-2</v>
      </c>
      <c r="J228">
        <v>43028</v>
      </c>
      <c r="K228">
        <v>0.88000000000000045</v>
      </c>
      <c r="L228">
        <v>0.08</v>
      </c>
      <c r="M228">
        <v>0</v>
      </c>
      <c r="N228">
        <v>3.999999999999955E-2</v>
      </c>
      <c r="R228" t="s">
        <v>58</v>
      </c>
      <c r="S228" t="s">
        <v>58</v>
      </c>
      <c r="T228" t="s">
        <v>58</v>
      </c>
      <c r="U228" t="s">
        <v>58</v>
      </c>
      <c r="V228" t="s">
        <v>58</v>
      </c>
      <c r="Z228" t="s">
        <v>58</v>
      </c>
      <c r="AA228" t="s">
        <v>58</v>
      </c>
      <c r="AB228" t="s">
        <v>58</v>
      </c>
      <c r="AC228" t="s">
        <v>58</v>
      </c>
      <c r="AD228" t="s">
        <v>58</v>
      </c>
      <c r="AG228" t="s">
        <v>58</v>
      </c>
      <c r="AH228" t="s">
        <v>58</v>
      </c>
      <c r="AI228" t="s">
        <v>58</v>
      </c>
      <c r="AJ228" t="s">
        <v>58</v>
      </c>
      <c r="AK228" t="s">
        <v>58</v>
      </c>
      <c r="AO228">
        <v>42811</v>
      </c>
      <c r="AP228">
        <v>0.58000000000000018</v>
      </c>
      <c r="AQ228">
        <v>0</v>
      </c>
      <c r="AR228">
        <v>0</v>
      </c>
      <c r="AS228">
        <v>0.41999999999999982</v>
      </c>
      <c r="AV228">
        <v>42818</v>
      </c>
      <c r="AW228">
        <v>0.18</v>
      </c>
      <c r="AX228">
        <v>0.80000000000000038</v>
      </c>
      <c r="AY228">
        <v>0</v>
      </c>
      <c r="AZ228">
        <v>1.9999999999999685E-2</v>
      </c>
      <c r="BC228">
        <v>42293</v>
      </c>
      <c r="BD228">
        <v>0.04</v>
      </c>
      <c r="BE228">
        <v>0</v>
      </c>
      <c r="BF228">
        <v>0.8200000000000004</v>
      </c>
      <c r="BG228">
        <v>0.13999999999999957</v>
      </c>
    </row>
    <row r="229" spans="1:59" x14ac:dyDescent="0.3">
      <c r="A229">
        <v>43161</v>
      </c>
      <c r="B229">
        <v>0.58000000000000018</v>
      </c>
      <c r="C229">
        <v>0.40000000000000008</v>
      </c>
      <c r="D229">
        <v>0</v>
      </c>
      <c r="E229">
        <v>1.999999999999974E-2</v>
      </c>
      <c r="J229">
        <v>43035</v>
      </c>
      <c r="K229">
        <v>0.90000000000000047</v>
      </c>
      <c r="L229">
        <v>0.08</v>
      </c>
      <c r="M229">
        <v>0</v>
      </c>
      <c r="N229">
        <v>1.9999999999999532E-2</v>
      </c>
      <c r="R229" t="s">
        <v>58</v>
      </c>
      <c r="S229" t="s">
        <v>58</v>
      </c>
      <c r="T229" t="s">
        <v>58</v>
      </c>
      <c r="U229" t="s">
        <v>58</v>
      </c>
      <c r="V229" t="s">
        <v>58</v>
      </c>
      <c r="Z229" t="s">
        <v>58</v>
      </c>
      <c r="AA229" t="s">
        <v>58</v>
      </c>
      <c r="AB229" t="s">
        <v>58</v>
      </c>
      <c r="AC229" t="s">
        <v>58</v>
      </c>
      <c r="AD229" t="s">
        <v>58</v>
      </c>
      <c r="AG229" t="s">
        <v>58</v>
      </c>
      <c r="AH229" t="s">
        <v>58</v>
      </c>
      <c r="AI229" t="s">
        <v>58</v>
      </c>
      <c r="AJ229" t="s">
        <v>58</v>
      </c>
      <c r="AK229" t="s">
        <v>58</v>
      </c>
      <c r="AO229">
        <v>42818</v>
      </c>
      <c r="AP229">
        <v>0.58000000000000018</v>
      </c>
      <c r="AQ229">
        <v>0</v>
      </c>
      <c r="AR229">
        <v>0</v>
      </c>
      <c r="AS229">
        <v>0.41999999999999982</v>
      </c>
      <c r="AV229">
        <v>42825</v>
      </c>
      <c r="AW229">
        <v>0.18</v>
      </c>
      <c r="AX229">
        <v>0.80000000000000038</v>
      </c>
      <c r="AY229">
        <v>0</v>
      </c>
      <c r="AZ229">
        <v>1.9999999999999685E-2</v>
      </c>
      <c r="BC229">
        <v>42300</v>
      </c>
      <c r="BD229">
        <v>0.04</v>
      </c>
      <c r="BE229">
        <v>0</v>
      </c>
      <c r="BF229">
        <v>0.8200000000000004</v>
      </c>
      <c r="BG229">
        <v>0.13999999999999957</v>
      </c>
    </row>
    <row r="230" spans="1:59" x14ac:dyDescent="0.3">
      <c r="A230">
        <v>43168</v>
      </c>
      <c r="B230">
        <v>0.66000000000000025</v>
      </c>
      <c r="C230">
        <v>0.32</v>
      </c>
      <c r="D230">
        <v>0</v>
      </c>
      <c r="E230">
        <v>1.999999999999974E-2</v>
      </c>
      <c r="J230">
        <v>43042</v>
      </c>
      <c r="K230">
        <v>0.88000000000000045</v>
      </c>
      <c r="L230">
        <v>0.1</v>
      </c>
      <c r="M230">
        <v>0</v>
      </c>
      <c r="N230">
        <v>1.9999999999999546E-2</v>
      </c>
      <c r="R230" t="s">
        <v>58</v>
      </c>
      <c r="S230" t="s">
        <v>58</v>
      </c>
      <c r="T230" t="s">
        <v>58</v>
      </c>
      <c r="U230" t="s">
        <v>58</v>
      </c>
      <c r="V230" t="s">
        <v>58</v>
      </c>
      <c r="Z230" t="s">
        <v>58</v>
      </c>
      <c r="AA230" t="s">
        <v>58</v>
      </c>
      <c r="AB230" t="s">
        <v>58</v>
      </c>
      <c r="AC230" t="s">
        <v>58</v>
      </c>
      <c r="AD230" t="s">
        <v>58</v>
      </c>
      <c r="AG230" t="s">
        <v>58</v>
      </c>
      <c r="AH230" t="s">
        <v>58</v>
      </c>
      <c r="AI230" t="s">
        <v>58</v>
      </c>
      <c r="AJ230" t="s">
        <v>58</v>
      </c>
      <c r="AK230" t="s">
        <v>58</v>
      </c>
      <c r="AO230">
        <v>42825</v>
      </c>
      <c r="AP230">
        <v>0.38000000000000006</v>
      </c>
      <c r="AQ230">
        <v>0</v>
      </c>
      <c r="AR230">
        <v>0</v>
      </c>
      <c r="AS230">
        <v>0.61999999999999988</v>
      </c>
      <c r="AV230">
        <v>42832</v>
      </c>
      <c r="AW230">
        <v>0.16</v>
      </c>
      <c r="AX230">
        <v>0.8200000000000004</v>
      </c>
      <c r="AY230">
        <v>0</v>
      </c>
      <c r="AZ230">
        <v>1.9999999999999574E-2</v>
      </c>
      <c r="BC230">
        <v>42307</v>
      </c>
      <c r="BD230">
        <v>0.06</v>
      </c>
      <c r="BE230">
        <v>0</v>
      </c>
      <c r="BF230">
        <v>0.80000000000000038</v>
      </c>
      <c r="BG230">
        <v>0.13999999999999957</v>
      </c>
    </row>
    <row r="231" spans="1:59" x14ac:dyDescent="0.3">
      <c r="A231" t="s">
        <v>58</v>
      </c>
      <c r="B231" t="s">
        <v>58</v>
      </c>
      <c r="C231" t="s">
        <v>58</v>
      </c>
      <c r="D231" t="s">
        <v>58</v>
      </c>
      <c r="E231" t="s">
        <v>58</v>
      </c>
      <c r="J231">
        <v>43049</v>
      </c>
      <c r="K231">
        <v>0.88000000000000045</v>
      </c>
      <c r="L231">
        <v>0</v>
      </c>
      <c r="M231">
        <v>0.04</v>
      </c>
      <c r="N231">
        <v>7.9999999999999544E-2</v>
      </c>
      <c r="R231" t="s">
        <v>58</v>
      </c>
      <c r="S231" t="s">
        <v>58</v>
      </c>
      <c r="T231" t="s">
        <v>58</v>
      </c>
      <c r="U231" t="s">
        <v>58</v>
      </c>
      <c r="V231" t="s">
        <v>58</v>
      </c>
      <c r="Z231" t="s">
        <v>58</v>
      </c>
      <c r="AA231" t="s">
        <v>58</v>
      </c>
      <c r="AB231" t="s">
        <v>58</v>
      </c>
      <c r="AC231" t="s">
        <v>58</v>
      </c>
      <c r="AD231" t="s">
        <v>58</v>
      </c>
      <c r="AG231" t="s">
        <v>58</v>
      </c>
      <c r="AH231" t="s">
        <v>58</v>
      </c>
      <c r="AI231" t="s">
        <v>58</v>
      </c>
      <c r="AJ231" t="s">
        <v>58</v>
      </c>
      <c r="AK231" t="s">
        <v>58</v>
      </c>
      <c r="AO231">
        <v>42832</v>
      </c>
      <c r="AP231">
        <v>0.36000000000000004</v>
      </c>
      <c r="AQ231">
        <v>0</v>
      </c>
      <c r="AR231">
        <v>0</v>
      </c>
      <c r="AS231">
        <v>0.6399999999999999</v>
      </c>
      <c r="AV231">
        <v>42839</v>
      </c>
      <c r="AW231">
        <v>0.21999999999999997</v>
      </c>
      <c r="AX231">
        <v>0.76000000000000034</v>
      </c>
      <c r="AY231">
        <v>0</v>
      </c>
      <c r="AZ231">
        <v>1.9999999999999685E-2</v>
      </c>
      <c r="BC231">
        <v>42314</v>
      </c>
      <c r="BD231">
        <v>0.04</v>
      </c>
      <c r="BE231">
        <v>0</v>
      </c>
      <c r="BF231">
        <v>0.80000000000000038</v>
      </c>
      <c r="BG231">
        <v>0.15999999999999959</v>
      </c>
    </row>
    <row r="232" spans="1:59" x14ac:dyDescent="0.3">
      <c r="A232" t="s">
        <v>58</v>
      </c>
      <c r="B232" t="s">
        <v>58</v>
      </c>
      <c r="C232" t="s">
        <v>58</v>
      </c>
      <c r="D232" t="s">
        <v>58</v>
      </c>
      <c r="E232" t="s">
        <v>58</v>
      </c>
      <c r="J232">
        <v>43056</v>
      </c>
      <c r="K232">
        <v>0.88000000000000045</v>
      </c>
      <c r="L232">
        <v>0</v>
      </c>
      <c r="M232">
        <v>0.04</v>
      </c>
      <c r="N232">
        <v>7.9999999999999544E-2</v>
      </c>
      <c r="R232" t="s">
        <v>58</v>
      </c>
      <c r="S232" t="s">
        <v>58</v>
      </c>
      <c r="T232" t="s">
        <v>58</v>
      </c>
      <c r="U232" t="s">
        <v>58</v>
      </c>
      <c r="V232" t="s">
        <v>58</v>
      </c>
      <c r="Z232" t="s">
        <v>58</v>
      </c>
      <c r="AA232" t="s">
        <v>58</v>
      </c>
      <c r="AB232" t="s">
        <v>58</v>
      </c>
      <c r="AC232" t="s">
        <v>58</v>
      </c>
      <c r="AD232" t="s">
        <v>58</v>
      </c>
      <c r="AG232" t="s">
        <v>58</v>
      </c>
      <c r="AH232" t="s">
        <v>58</v>
      </c>
      <c r="AI232" t="s">
        <v>58</v>
      </c>
      <c r="AJ232" t="s">
        <v>58</v>
      </c>
      <c r="AK232" t="s">
        <v>58</v>
      </c>
      <c r="AO232">
        <v>42839</v>
      </c>
      <c r="AP232">
        <v>0.3</v>
      </c>
      <c r="AQ232">
        <v>0</v>
      </c>
      <c r="AR232">
        <v>0</v>
      </c>
      <c r="AS232">
        <v>0.7</v>
      </c>
      <c r="AV232">
        <v>42846</v>
      </c>
      <c r="AW232">
        <v>0.12000000000000001</v>
      </c>
      <c r="AX232">
        <v>0.86000000000000043</v>
      </c>
      <c r="AY232">
        <v>0</v>
      </c>
      <c r="AZ232">
        <v>1.9999999999999574E-2</v>
      </c>
      <c r="BC232">
        <v>42321</v>
      </c>
      <c r="BD232">
        <v>0</v>
      </c>
      <c r="BE232">
        <v>0</v>
      </c>
      <c r="BF232">
        <v>0.8200000000000004</v>
      </c>
      <c r="BG232">
        <v>0.1799999999999996</v>
      </c>
    </row>
    <row r="233" spans="1:59" x14ac:dyDescent="0.3">
      <c r="A233" t="s">
        <v>58</v>
      </c>
      <c r="B233" t="s">
        <v>58</v>
      </c>
      <c r="C233" t="s">
        <v>58</v>
      </c>
      <c r="D233" t="s">
        <v>58</v>
      </c>
      <c r="E233" t="s">
        <v>58</v>
      </c>
      <c r="J233">
        <v>43063</v>
      </c>
      <c r="K233">
        <v>0.88000000000000045</v>
      </c>
      <c r="L233">
        <v>0</v>
      </c>
      <c r="M233">
        <v>0.04</v>
      </c>
      <c r="N233">
        <v>7.9999999999999544E-2</v>
      </c>
      <c r="R233" t="s">
        <v>58</v>
      </c>
      <c r="S233" t="s">
        <v>58</v>
      </c>
      <c r="T233" t="s">
        <v>58</v>
      </c>
      <c r="U233" t="s">
        <v>58</v>
      </c>
      <c r="V233" t="s">
        <v>58</v>
      </c>
      <c r="Z233" t="s">
        <v>58</v>
      </c>
      <c r="AA233" t="s">
        <v>58</v>
      </c>
      <c r="AB233" t="s">
        <v>58</v>
      </c>
      <c r="AC233" t="s">
        <v>58</v>
      </c>
      <c r="AD233" t="s">
        <v>58</v>
      </c>
      <c r="AG233" t="s">
        <v>58</v>
      </c>
      <c r="AH233" t="s">
        <v>58</v>
      </c>
      <c r="AI233" t="s">
        <v>58</v>
      </c>
      <c r="AJ233" t="s">
        <v>58</v>
      </c>
      <c r="AK233" t="s">
        <v>58</v>
      </c>
      <c r="AO233">
        <v>42846</v>
      </c>
      <c r="AP233">
        <v>0.32</v>
      </c>
      <c r="AQ233">
        <v>0</v>
      </c>
      <c r="AR233">
        <v>0</v>
      </c>
      <c r="AS233">
        <v>0.67999999999999994</v>
      </c>
      <c r="AV233">
        <v>42853</v>
      </c>
      <c r="AW233">
        <v>0.02</v>
      </c>
      <c r="AX233">
        <v>0.96000000000000052</v>
      </c>
      <c r="AY233">
        <v>0</v>
      </c>
      <c r="AZ233">
        <v>1.9999999999999463E-2</v>
      </c>
      <c r="BC233">
        <v>42328</v>
      </c>
      <c r="BD233">
        <v>0</v>
      </c>
      <c r="BE233">
        <v>0</v>
      </c>
      <c r="BF233">
        <v>0.8200000000000004</v>
      </c>
      <c r="BG233">
        <v>0.1799999999999996</v>
      </c>
    </row>
    <row r="234" spans="1:59" x14ac:dyDescent="0.3">
      <c r="A234" t="s">
        <v>58</v>
      </c>
      <c r="B234" t="s">
        <v>58</v>
      </c>
      <c r="C234" t="s">
        <v>58</v>
      </c>
      <c r="D234" t="s">
        <v>58</v>
      </c>
      <c r="E234" t="s">
        <v>58</v>
      </c>
      <c r="J234">
        <v>43070</v>
      </c>
      <c r="K234">
        <v>0.90000000000000047</v>
      </c>
      <c r="L234">
        <v>0</v>
      </c>
      <c r="M234">
        <v>0.02</v>
      </c>
      <c r="N234">
        <v>7.999999999999953E-2</v>
      </c>
      <c r="R234" t="s">
        <v>58</v>
      </c>
      <c r="S234" t="s">
        <v>58</v>
      </c>
      <c r="T234" t="s">
        <v>58</v>
      </c>
      <c r="U234" t="s">
        <v>58</v>
      </c>
      <c r="V234" t="s">
        <v>58</v>
      </c>
      <c r="Z234" t="s">
        <v>58</v>
      </c>
      <c r="AA234" t="s">
        <v>58</v>
      </c>
      <c r="AB234" t="s">
        <v>58</v>
      </c>
      <c r="AC234" t="s">
        <v>58</v>
      </c>
      <c r="AD234" t="s">
        <v>58</v>
      </c>
      <c r="AG234" t="s">
        <v>58</v>
      </c>
      <c r="AH234" t="s">
        <v>58</v>
      </c>
      <c r="AI234" t="s">
        <v>58</v>
      </c>
      <c r="AJ234" t="s">
        <v>58</v>
      </c>
      <c r="AK234" t="s">
        <v>58</v>
      </c>
      <c r="AO234">
        <v>42853</v>
      </c>
      <c r="AP234">
        <v>0.36000000000000004</v>
      </c>
      <c r="AQ234">
        <v>0.04</v>
      </c>
      <c r="AR234">
        <v>0</v>
      </c>
      <c r="AS234">
        <v>0.59999999999999987</v>
      </c>
      <c r="AV234">
        <v>42860</v>
      </c>
      <c r="AW234">
        <v>0.02</v>
      </c>
      <c r="AX234">
        <v>0.96000000000000052</v>
      </c>
      <c r="AY234">
        <v>0</v>
      </c>
      <c r="AZ234">
        <v>1.9999999999999463E-2</v>
      </c>
      <c r="BC234">
        <v>42335</v>
      </c>
      <c r="BD234">
        <v>0</v>
      </c>
      <c r="BE234">
        <v>0</v>
      </c>
      <c r="BF234">
        <v>0.8200000000000004</v>
      </c>
      <c r="BG234">
        <v>0.1799999999999996</v>
      </c>
    </row>
    <row r="235" spans="1:59" x14ac:dyDescent="0.3">
      <c r="A235" t="s">
        <v>58</v>
      </c>
      <c r="B235" t="s">
        <v>58</v>
      </c>
      <c r="C235" t="s">
        <v>58</v>
      </c>
      <c r="D235" t="s">
        <v>58</v>
      </c>
      <c r="E235" t="s">
        <v>58</v>
      </c>
      <c r="J235">
        <v>43077</v>
      </c>
      <c r="K235">
        <v>0.86000000000000043</v>
      </c>
      <c r="L235">
        <v>0</v>
      </c>
      <c r="M235">
        <v>0.04</v>
      </c>
      <c r="N235">
        <v>9.9999999999999561E-2</v>
      </c>
      <c r="R235" t="s">
        <v>58</v>
      </c>
      <c r="S235" t="s">
        <v>58</v>
      </c>
      <c r="T235" t="s">
        <v>58</v>
      </c>
      <c r="U235" t="s">
        <v>58</v>
      </c>
      <c r="V235" t="s">
        <v>58</v>
      </c>
      <c r="Z235" t="s">
        <v>58</v>
      </c>
      <c r="AA235" t="s">
        <v>58</v>
      </c>
      <c r="AB235" t="s">
        <v>58</v>
      </c>
      <c r="AC235" t="s">
        <v>58</v>
      </c>
      <c r="AD235" t="s">
        <v>58</v>
      </c>
      <c r="AG235" t="s">
        <v>58</v>
      </c>
      <c r="AH235" t="s">
        <v>58</v>
      </c>
      <c r="AI235" t="s">
        <v>58</v>
      </c>
      <c r="AJ235" t="s">
        <v>58</v>
      </c>
      <c r="AK235" t="s">
        <v>58</v>
      </c>
      <c r="AO235">
        <v>42860</v>
      </c>
      <c r="AP235">
        <v>0.34</v>
      </c>
      <c r="AQ235">
        <v>0.06</v>
      </c>
      <c r="AR235">
        <v>0</v>
      </c>
      <c r="AS235">
        <v>0.59999999999999987</v>
      </c>
      <c r="AV235">
        <v>42867</v>
      </c>
      <c r="AW235">
        <v>0.02</v>
      </c>
      <c r="AX235">
        <v>0.96000000000000052</v>
      </c>
      <c r="AY235">
        <v>0</v>
      </c>
      <c r="AZ235">
        <v>1.9999999999999463E-2</v>
      </c>
      <c r="BC235">
        <v>42342</v>
      </c>
      <c r="BD235">
        <v>0</v>
      </c>
      <c r="BE235">
        <v>0</v>
      </c>
      <c r="BF235">
        <v>0.80000000000000038</v>
      </c>
      <c r="BG235">
        <v>0.19999999999999962</v>
      </c>
    </row>
    <row r="236" spans="1:59" x14ac:dyDescent="0.3">
      <c r="A236" t="s">
        <v>58</v>
      </c>
      <c r="B236" t="s">
        <v>58</v>
      </c>
      <c r="C236" t="s">
        <v>58</v>
      </c>
      <c r="D236" t="s">
        <v>58</v>
      </c>
      <c r="E236" t="s">
        <v>58</v>
      </c>
      <c r="J236">
        <v>43084</v>
      </c>
      <c r="K236">
        <v>0.84000000000000041</v>
      </c>
      <c r="L236">
        <v>0.06</v>
      </c>
      <c r="M236">
        <v>0.02</v>
      </c>
      <c r="N236">
        <v>7.9999999999999585E-2</v>
      </c>
      <c r="R236" t="s">
        <v>58</v>
      </c>
      <c r="S236" t="s">
        <v>58</v>
      </c>
      <c r="T236" t="s">
        <v>58</v>
      </c>
      <c r="U236" t="s">
        <v>58</v>
      </c>
      <c r="V236" t="s">
        <v>58</v>
      </c>
      <c r="Z236" t="s">
        <v>58</v>
      </c>
      <c r="AA236" t="s">
        <v>58</v>
      </c>
      <c r="AB236" t="s">
        <v>58</v>
      </c>
      <c r="AC236" t="s">
        <v>58</v>
      </c>
      <c r="AD236" t="s">
        <v>58</v>
      </c>
      <c r="AG236" t="s">
        <v>58</v>
      </c>
      <c r="AH236" t="s">
        <v>58</v>
      </c>
      <c r="AI236" t="s">
        <v>58</v>
      </c>
      <c r="AJ236" t="s">
        <v>58</v>
      </c>
      <c r="AK236" t="s">
        <v>58</v>
      </c>
      <c r="AO236">
        <v>42867</v>
      </c>
      <c r="AP236">
        <v>0.40000000000000008</v>
      </c>
      <c r="AQ236">
        <v>0.08</v>
      </c>
      <c r="AR236">
        <v>0</v>
      </c>
      <c r="AS236">
        <v>0.51999999999999991</v>
      </c>
      <c r="AV236">
        <v>42874</v>
      </c>
      <c r="AW236">
        <v>0</v>
      </c>
      <c r="AX236">
        <v>0.98000000000000054</v>
      </c>
      <c r="AY236">
        <v>0</v>
      </c>
      <c r="AZ236">
        <v>1.9999999999999463E-2</v>
      </c>
      <c r="BC236">
        <v>42349</v>
      </c>
      <c r="BD236">
        <v>0.02</v>
      </c>
      <c r="BE236">
        <v>0</v>
      </c>
      <c r="BF236">
        <v>0.80000000000000038</v>
      </c>
      <c r="BG236">
        <v>0.1799999999999996</v>
      </c>
    </row>
    <row r="237" spans="1:59" x14ac:dyDescent="0.3">
      <c r="A237" t="s">
        <v>58</v>
      </c>
      <c r="B237" t="s">
        <v>58</v>
      </c>
      <c r="C237" t="s">
        <v>58</v>
      </c>
      <c r="D237" t="s">
        <v>58</v>
      </c>
      <c r="E237" t="s">
        <v>58</v>
      </c>
      <c r="J237">
        <v>43091</v>
      </c>
      <c r="K237">
        <v>0.84000000000000041</v>
      </c>
      <c r="L237">
        <v>0.08</v>
      </c>
      <c r="M237">
        <v>0</v>
      </c>
      <c r="N237">
        <v>7.9999999999999585E-2</v>
      </c>
      <c r="R237" t="s">
        <v>58</v>
      </c>
      <c r="S237" t="s">
        <v>58</v>
      </c>
      <c r="T237" t="s">
        <v>58</v>
      </c>
      <c r="U237" t="s">
        <v>58</v>
      </c>
      <c r="V237" t="s">
        <v>58</v>
      </c>
      <c r="Z237" t="s">
        <v>58</v>
      </c>
      <c r="AA237" t="s">
        <v>58</v>
      </c>
      <c r="AB237" t="s">
        <v>58</v>
      </c>
      <c r="AC237" t="s">
        <v>58</v>
      </c>
      <c r="AD237" t="s">
        <v>58</v>
      </c>
      <c r="AG237" t="s">
        <v>58</v>
      </c>
      <c r="AH237" t="s">
        <v>58</v>
      </c>
      <c r="AI237" t="s">
        <v>58</v>
      </c>
      <c r="AJ237" t="s">
        <v>58</v>
      </c>
      <c r="AK237" t="s">
        <v>58</v>
      </c>
      <c r="AO237">
        <v>42874</v>
      </c>
      <c r="AP237">
        <v>0.38000000000000006</v>
      </c>
      <c r="AQ237">
        <v>0.16</v>
      </c>
      <c r="AR237">
        <v>0</v>
      </c>
      <c r="AS237">
        <v>0.45999999999999985</v>
      </c>
      <c r="AV237">
        <v>42881</v>
      </c>
      <c r="AW237">
        <v>0</v>
      </c>
      <c r="AX237">
        <v>0.98000000000000054</v>
      </c>
      <c r="AY237">
        <v>0</v>
      </c>
      <c r="AZ237">
        <v>1.9999999999999463E-2</v>
      </c>
      <c r="BC237">
        <v>42356</v>
      </c>
      <c r="BD237">
        <v>0.02</v>
      </c>
      <c r="BE237">
        <v>0</v>
      </c>
      <c r="BF237">
        <v>0.80000000000000038</v>
      </c>
      <c r="BG237">
        <v>0.1799999999999996</v>
      </c>
    </row>
    <row r="238" spans="1:59" x14ac:dyDescent="0.3">
      <c r="A238" t="s">
        <v>58</v>
      </c>
      <c r="B238" t="s">
        <v>58</v>
      </c>
      <c r="C238" t="s">
        <v>58</v>
      </c>
      <c r="D238" t="s">
        <v>58</v>
      </c>
      <c r="E238" t="s">
        <v>58</v>
      </c>
      <c r="J238">
        <v>43098</v>
      </c>
      <c r="K238">
        <v>0.8200000000000004</v>
      </c>
      <c r="L238">
        <v>0.08</v>
      </c>
      <c r="M238">
        <v>0</v>
      </c>
      <c r="N238">
        <v>9.9999999999999603E-2</v>
      </c>
      <c r="R238" t="s">
        <v>58</v>
      </c>
      <c r="S238" t="s">
        <v>58</v>
      </c>
      <c r="T238" t="s">
        <v>58</v>
      </c>
      <c r="U238" t="s">
        <v>58</v>
      </c>
      <c r="V238" t="s">
        <v>58</v>
      </c>
      <c r="Z238" t="s">
        <v>58</v>
      </c>
      <c r="AA238" t="s">
        <v>58</v>
      </c>
      <c r="AB238" t="s">
        <v>58</v>
      </c>
      <c r="AC238" t="s">
        <v>58</v>
      </c>
      <c r="AD238" t="s">
        <v>58</v>
      </c>
      <c r="AG238" t="s">
        <v>58</v>
      </c>
      <c r="AH238" t="s">
        <v>58</v>
      </c>
      <c r="AI238" t="s">
        <v>58</v>
      </c>
      <c r="AJ238" t="s">
        <v>58</v>
      </c>
      <c r="AK238" t="s">
        <v>58</v>
      </c>
      <c r="AO238">
        <v>42881</v>
      </c>
      <c r="AP238">
        <v>0.54000000000000015</v>
      </c>
      <c r="AQ238">
        <v>0.14000000000000001</v>
      </c>
      <c r="AR238">
        <v>0</v>
      </c>
      <c r="AS238">
        <v>0.31999999999999984</v>
      </c>
      <c r="AV238">
        <v>42888</v>
      </c>
      <c r="AW238">
        <v>0</v>
      </c>
      <c r="AX238">
        <v>0.98000000000000054</v>
      </c>
      <c r="AY238">
        <v>0</v>
      </c>
      <c r="AZ238">
        <v>1.9999999999999463E-2</v>
      </c>
      <c r="BC238">
        <v>42363</v>
      </c>
      <c r="BD238">
        <v>0.06</v>
      </c>
      <c r="BE238">
        <v>0</v>
      </c>
      <c r="BF238">
        <v>0.76000000000000034</v>
      </c>
      <c r="BG238">
        <v>0.1799999999999996</v>
      </c>
    </row>
    <row r="239" spans="1:59" x14ac:dyDescent="0.3">
      <c r="A239" t="s">
        <v>58</v>
      </c>
      <c r="B239" t="s">
        <v>58</v>
      </c>
      <c r="C239" t="s">
        <v>58</v>
      </c>
      <c r="D239" t="s">
        <v>58</v>
      </c>
      <c r="E239" t="s">
        <v>58</v>
      </c>
      <c r="J239">
        <v>43105</v>
      </c>
      <c r="K239">
        <v>0.8200000000000004</v>
      </c>
      <c r="L239">
        <v>0.08</v>
      </c>
      <c r="M239">
        <v>0</v>
      </c>
      <c r="N239">
        <v>9.9999999999999603E-2</v>
      </c>
      <c r="R239" t="s">
        <v>58</v>
      </c>
      <c r="S239" t="s">
        <v>58</v>
      </c>
      <c r="T239" t="s">
        <v>58</v>
      </c>
      <c r="U239" t="s">
        <v>58</v>
      </c>
      <c r="V239" t="s">
        <v>58</v>
      </c>
      <c r="Z239" t="s">
        <v>58</v>
      </c>
      <c r="AA239" t="s">
        <v>58</v>
      </c>
      <c r="AB239" t="s">
        <v>58</v>
      </c>
      <c r="AC239" t="s">
        <v>58</v>
      </c>
      <c r="AD239" t="s">
        <v>58</v>
      </c>
      <c r="AG239" t="s">
        <v>58</v>
      </c>
      <c r="AH239" t="s">
        <v>58</v>
      </c>
      <c r="AI239" t="s">
        <v>58</v>
      </c>
      <c r="AJ239" t="s">
        <v>58</v>
      </c>
      <c r="AK239" t="s">
        <v>58</v>
      </c>
      <c r="AO239">
        <v>42888</v>
      </c>
      <c r="AP239">
        <v>0.66000000000000025</v>
      </c>
      <c r="AQ239">
        <v>0.02</v>
      </c>
      <c r="AR239">
        <v>0</v>
      </c>
      <c r="AS239">
        <v>0.31999999999999973</v>
      </c>
      <c r="AV239">
        <v>42895</v>
      </c>
      <c r="AW239">
        <v>0.02</v>
      </c>
      <c r="AX239">
        <v>0.96000000000000052</v>
      </c>
      <c r="AY239">
        <v>0</v>
      </c>
      <c r="AZ239">
        <v>1.9999999999999463E-2</v>
      </c>
      <c r="BC239">
        <v>42369</v>
      </c>
      <c r="BD239">
        <v>0.06</v>
      </c>
      <c r="BE239">
        <v>0</v>
      </c>
      <c r="BF239">
        <v>0.76000000000000034</v>
      </c>
      <c r="BG239">
        <v>0.1799999999999996</v>
      </c>
    </row>
    <row r="240" spans="1:59" x14ac:dyDescent="0.3">
      <c r="A240" t="s">
        <v>58</v>
      </c>
      <c r="B240" t="s">
        <v>58</v>
      </c>
      <c r="C240" t="s">
        <v>58</v>
      </c>
      <c r="D240" t="s">
        <v>58</v>
      </c>
      <c r="E240" t="s">
        <v>58</v>
      </c>
      <c r="J240">
        <v>43112</v>
      </c>
      <c r="K240">
        <v>0.80000000000000038</v>
      </c>
      <c r="L240">
        <v>0.08</v>
      </c>
      <c r="M240">
        <v>0</v>
      </c>
      <c r="N240">
        <v>0.11999999999999962</v>
      </c>
      <c r="R240" t="s">
        <v>58</v>
      </c>
      <c r="S240" t="s">
        <v>58</v>
      </c>
      <c r="T240" t="s">
        <v>58</v>
      </c>
      <c r="U240" t="s">
        <v>58</v>
      </c>
      <c r="V240" t="s">
        <v>58</v>
      </c>
      <c r="Z240" t="s">
        <v>58</v>
      </c>
      <c r="AA240" t="s">
        <v>58</v>
      </c>
      <c r="AB240" t="s">
        <v>58</v>
      </c>
      <c r="AC240" t="s">
        <v>58</v>
      </c>
      <c r="AD240" t="s">
        <v>58</v>
      </c>
      <c r="AG240" t="s">
        <v>58</v>
      </c>
      <c r="AH240" t="s">
        <v>58</v>
      </c>
      <c r="AI240" t="s">
        <v>58</v>
      </c>
      <c r="AJ240" t="s">
        <v>58</v>
      </c>
      <c r="AK240" t="s">
        <v>58</v>
      </c>
      <c r="AO240">
        <v>42895</v>
      </c>
      <c r="AP240">
        <v>0.78000000000000036</v>
      </c>
      <c r="AQ240">
        <v>0</v>
      </c>
      <c r="AR240">
        <v>0</v>
      </c>
      <c r="AS240">
        <v>0.21999999999999964</v>
      </c>
      <c r="AV240">
        <v>42902</v>
      </c>
      <c r="AW240">
        <v>0.14000000000000001</v>
      </c>
      <c r="AX240">
        <v>0.84000000000000041</v>
      </c>
      <c r="AY240">
        <v>0</v>
      </c>
      <c r="AZ240">
        <v>1.9999999999999574E-2</v>
      </c>
      <c r="BC240">
        <v>42377</v>
      </c>
      <c r="BD240">
        <v>0.06</v>
      </c>
      <c r="BE240">
        <v>0</v>
      </c>
      <c r="BF240">
        <v>0.76000000000000034</v>
      </c>
      <c r="BG240">
        <v>0.1799999999999996</v>
      </c>
    </row>
    <row r="241" spans="1:59" x14ac:dyDescent="0.3">
      <c r="A241" t="s">
        <v>58</v>
      </c>
      <c r="B241" t="s">
        <v>58</v>
      </c>
      <c r="C241" t="s">
        <v>58</v>
      </c>
      <c r="D241" t="s">
        <v>58</v>
      </c>
      <c r="E241" t="s">
        <v>58</v>
      </c>
      <c r="J241">
        <v>43119</v>
      </c>
      <c r="K241">
        <v>0.78000000000000036</v>
      </c>
      <c r="L241">
        <v>0.12000000000000001</v>
      </c>
      <c r="M241">
        <v>0</v>
      </c>
      <c r="N241">
        <v>9.9999999999999631E-2</v>
      </c>
      <c r="R241" t="s">
        <v>58</v>
      </c>
      <c r="S241" t="s">
        <v>58</v>
      </c>
      <c r="T241" t="s">
        <v>58</v>
      </c>
      <c r="U241" t="s">
        <v>58</v>
      </c>
      <c r="V241" t="s">
        <v>58</v>
      </c>
      <c r="Z241" t="s">
        <v>58</v>
      </c>
      <c r="AA241" t="s">
        <v>58</v>
      </c>
      <c r="AB241" t="s">
        <v>58</v>
      </c>
      <c r="AC241" t="s">
        <v>58</v>
      </c>
      <c r="AD241" t="s">
        <v>58</v>
      </c>
      <c r="AG241" t="s">
        <v>58</v>
      </c>
      <c r="AH241" t="s">
        <v>58</v>
      </c>
      <c r="AI241" t="s">
        <v>58</v>
      </c>
      <c r="AJ241" t="s">
        <v>58</v>
      </c>
      <c r="AK241" t="s">
        <v>58</v>
      </c>
      <c r="AO241">
        <v>42902</v>
      </c>
      <c r="AP241">
        <v>0.70000000000000029</v>
      </c>
      <c r="AQ241">
        <v>0</v>
      </c>
      <c r="AR241">
        <v>0</v>
      </c>
      <c r="AS241">
        <v>0.29999999999999971</v>
      </c>
      <c r="AV241">
        <v>42909</v>
      </c>
      <c r="AW241">
        <v>0.25999999999999995</v>
      </c>
      <c r="AX241">
        <v>0.72000000000000031</v>
      </c>
      <c r="AY241">
        <v>0</v>
      </c>
      <c r="AZ241">
        <v>1.9999999999999685E-2</v>
      </c>
      <c r="BC241">
        <v>42384</v>
      </c>
      <c r="BD241">
        <v>0.02</v>
      </c>
      <c r="BE241">
        <v>0.04</v>
      </c>
      <c r="BF241">
        <v>0.70000000000000029</v>
      </c>
      <c r="BG241">
        <v>0.23999999999999966</v>
      </c>
    </row>
    <row r="242" spans="1:59" x14ac:dyDescent="0.3">
      <c r="A242" t="s">
        <v>58</v>
      </c>
      <c r="B242" t="s">
        <v>58</v>
      </c>
      <c r="C242" t="s">
        <v>58</v>
      </c>
      <c r="D242" t="s">
        <v>58</v>
      </c>
      <c r="E242" t="s">
        <v>58</v>
      </c>
      <c r="J242">
        <v>43126</v>
      </c>
      <c r="K242">
        <v>0.76000000000000034</v>
      </c>
      <c r="L242">
        <v>0.12000000000000001</v>
      </c>
      <c r="M242">
        <v>0</v>
      </c>
      <c r="N242">
        <v>0.11999999999999965</v>
      </c>
      <c r="R242" t="s">
        <v>58</v>
      </c>
      <c r="S242" t="s">
        <v>58</v>
      </c>
      <c r="T242" t="s">
        <v>58</v>
      </c>
      <c r="U242" t="s">
        <v>58</v>
      </c>
      <c r="V242" t="s">
        <v>58</v>
      </c>
      <c r="Z242" t="s">
        <v>58</v>
      </c>
      <c r="AA242" t="s">
        <v>58</v>
      </c>
      <c r="AB242" t="s">
        <v>58</v>
      </c>
      <c r="AC242" t="s">
        <v>58</v>
      </c>
      <c r="AD242" t="s">
        <v>58</v>
      </c>
      <c r="AG242" t="s">
        <v>58</v>
      </c>
      <c r="AH242" t="s">
        <v>58</v>
      </c>
      <c r="AI242" t="s">
        <v>58</v>
      </c>
      <c r="AJ242" t="s">
        <v>58</v>
      </c>
      <c r="AK242" t="s">
        <v>58</v>
      </c>
      <c r="AO242">
        <v>42909</v>
      </c>
      <c r="AP242">
        <v>0.86000000000000043</v>
      </c>
      <c r="AQ242">
        <v>0</v>
      </c>
      <c r="AR242">
        <v>0</v>
      </c>
      <c r="AS242">
        <v>0.13999999999999957</v>
      </c>
      <c r="AV242">
        <v>42916</v>
      </c>
      <c r="AW242">
        <v>0</v>
      </c>
      <c r="AX242">
        <v>0.98000000000000054</v>
      </c>
      <c r="AY242">
        <v>0</v>
      </c>
      <c r="AZ242">
        <v>1.9999999999999463E-2</v>
      </c>
      <c r="BC242">
        <v>42391</v>
      </c>
      <c r="BD242">
        <v>0.04</v>
      </c>
      <c r="BE242">
        <v>0.02</v>
      </c>
      <c r="BF242">
        <v>0.72000000000000031</v>
      </c>
      <c r="BG242">
        <v>0.21999999999999964</v>
      </c>
    </row>
    <row r="243" spans="1:59" x14ac:dyDescent="0.3">
      <c r="A243" t="s">
        <v>58</v>
      </c>
      <c r="B243" t="s">
        <v>58</v>
      </c>
      <c r="C243" t="s">
        <v>58</v>
      </c>
      <c r="D243" t="s">
        <v>58</v>
      </c>
      <c r="E243" t="s">
        <v>58</v>
      </c>
      <c r="J243">
        <v>43133</v>
      </c>
      <c r="K243">
        <v>0.76000000000000034</v>
      </c>
      <c r="L243">
        <v>0.14000000000000001</v>
      </c>
      <c r="M243">
        <v>0</v>
      </c>
      <c r="N243">
        <v>9.9999999999999645E-2</v>
      </c>
      <c r="R243" t="s">
        <v>58</v>
      </c>
      <c r="S243" t="s">
        <v>58</v>
      </c>
      <c r="T243" t="s">
        <v>58</v>
      </c>
      <c r="U243" t="s">
        <v>58</v>
      </c>
      <c r="V243" t="s">
        <v>58</v>
      </c>
      <c r="Z243" t="s">
        <v>58</v>
      </c>
      <c r="AA243" t="s">
        <v>58</v>
      </c>
      <c r="AB243" t="s">
        <v>58</v>
      </c>
      <c r="AC243" t="s">
        <v>58</v>
      </c>
      <c r="AD243" t="s">
        <v>58</v>
      </c>
      <c r="AG243" t="s">
        <v>58</v>
      </c>
      <c r="AH243" t="s">
        <v>58</v>
      </c>
      <c r="AI243" t="s">
        <v>58</v>
      </c>
      <c r="AJ243" t="s">
        <v>58</v>
      </c>
      <c r="AK243" t="s">
        <v>58</v>
      </c>
      <c r="AO243">
        <v>42916</v>
      </c>
      <c r="AP243">
        <v>0.8200000000000004</v>
      </c>
      <c r="AQ243">
        <v>0.06</v>
      </c>
      <c r="AR243">
        <v>0</v>
      </c>
      <c r="AS243">
        <v>0.11999999999999961</v>
      </c>
      <c r="AV243">
        <v>42923</v>
      </c>
      <c r="AW243">
        <v>0</v>
      </c>
      <c r="AX243">
        <v>0.98000000000000054</v>
      </c>
      <c r="AY243">
        <v>0</v>
      </c>
      <c r="AZ243">
        <v>1.9999999999999463E-2</v>
      </c>
      <c r="BC243">
        <v>42398</v>
      </c>
      <c r="BD243">
        <v>0</v>
      </c>
      <c r="BE243">
        <v>0</v>
      </c>
      <c r="BF243">
        <v>0.76000000000000034</v>
      </c>
      <c r="BG243">
        <v>0.23999999999999966</v>
      </c>
    </row>
    <row r="244" spans="1:59" x14ac:dyDescent="0.3">
      <c r="A244" t="s">
        <v>58</v>
      </c>
      <c r="B244" t="s">
        <v>58</v>
      </c>
      <c r="C244" t="s">
        <v>58</v>
      </c>
      <c r="D244" t="s">
        <v>58</v>
      </c>
      <c r="E244" t="s">
        <v>58</v>
      </c>
      <c r="J244">
        <v>43140</v>
      </c>
      <c r="K244">
        <v>0.76000000000000034</v>
      </c>
      <c r="L244">
        <v>0.1</v>
      </c>
      <c r="M244">
        <v>0</v>
      </c>
      <c r="N244">
        <v>0.13999999999999965</v>
      </c>
      <c r="R244" t="s">
        <v>58</v>
      </c>
      <c r="S244" t="s">
        <v>58</v>
      </c>
      <c r="T244" t="s">
        <v>58</v>
      </c>
      <c r="U244" t="s">
        <v>58</v>
      </c>
      <c r="V244" t="s">
        <v>58</v>
      </c>
      <c r="Z244" t="s">
        <v>58</v>
      </c>
      <c r="AA244" t="s">
        <v>58</v>
      </c>
      <c r="AB244" t="s">
        <v>58</v>
      </c>
      <c r="AC244" t="s">
        <v>58</v>
      </c>
      <c r="AD244" t="s">
        <v>58</v>
      </c>
      <c r="AG244" t="s">
        <v>58</v>
      </c>
      <c r="AH244" t="s">
        <v>58</v>
      </c>
      <c r="AI244" t="s">
        <v>58</v>
      </c>
      <c r="AJ244" t="s">
        <v>58</v>
      </c>
      <c r="AK244" t="s">
        <v>58</v>
      </c>
      <c r="AO244">
        <v>42923</v>
      </c>
      <c r="AP244">
        <v>0.84000000000000041</v>
      </c>
      <c r="AQ244">
        <v>0.14000000000000001</v>
      </c>
      <c r="AR244">
        <v>0</v>
      </c>
      <c r="AS244">
        <v>1.9999999999999574E-2</v>
      </c>
      <c r="AV244">
        <v>42930</v>
      </c>
      <c r="AW244">
        <v>0.12000000000000001</v>
      </c>
      <c r="AX244">
        <v>0.86000000000000043</v>
      </c>
      <c r="AY244">
        <v>0</v>
      </c>
      <c r="AZ244">
        <v>1.9999999999999574E-2</v>
      </c>
      <c r="BC244">
        <v>42405</v>
      </c>
      <c r="BD244">
        <v>0</v>
      </c>
      <c r="BE244">
        <v>0</v>
      </c>
      <c r="BF244">
        <v>0.74000000000000032</v>
      </c>
      <c r="BG244">
        <v>0.25999999999999968</v>
      </c>
    </row>
    <row r="245" spans="1:59" x14ac:dyDescent="0.3">
      <c r="A245" t="s">
        <v>58</v>
      </c>
      <c r="B245" t="s">
        <v>58</v>
      </c>
      <c r="C245" t="s">
        <v>58</v>
      </c>
      <c r="D245" t="s">
        <v>58</v>
      </c>
      <c r="E245" t="s">
        <v>58</v>
      </c>
      <c r="J245">
        <v>43145</v>
      </c>
      <c r="K245">
        <v>0.72000000000000031</v>
      </c>
      <c r="L245">
        <v>0.12000000000000001</v>
      </c>
      <c r="M245">
        <v>0</v>
      </c>
      <c r="N245">
        <v>0.1599999999999997</v>
      </c>
      <c r="R245" t="s">
        <v>58</v>
      </c>
      <c r="S245" t="s">
        <v>58</v>
      </c>
      <c r="T245" t="s">
        <v>58</v>
      </c>
      <c r="U245" t="s">
        <v>58</v>
      </c>
      <c r="V245" t="s">
        <v>58</v>
      </c>
      <c r="Z245" t="s">
        <v>58</v>
      </c>
      <c r="AA245" t="s">
        <v>58</v>
      </c>
      <c r="AB245" t="s">
        <v>58</v>
      </c>
      <c r="AC245" t="s">
        <v>58</v>
      </c>
      <c r="AD245" t="s">
        <v>58</v>
      </c>
      <c r="AG245" t="s">
        <v>58</v>
      </c>
      <c r="AH245" t="s">
        <v>58</v>
      </c>
      <c r="AI245" t="s">
        <v>58</v>
      </c>
      <c r="AJ245" t="s">
        <v>58</v>
      </c>
      <c r="AK245" t="s">
        <v>58</v>
      </c>
      <c r="AO245">
        <v>42930</v>
      </c>
      <c r="AP245">
        <v>0.80000000000000038</v>
      </c>
      <c r="AQ245">
        <v>0.18</v>
      </c>
      <c r="AR245">
        <v>0</v>
      </c>
      <c r="AS245">
        <v>1.9999999999999629E-2</v>
      </c>
      <c r="AV245">
        <v>42937</v>
      </c>
      <c r="AW245">
        <v>0.16</v>
      </c>
      <c r="AX245">
        <v>0.8200000000000004</v>
      </c>
      <c r="AY245">
        <v>0</v>
      </c>
      <c r="AZ245">
        <v>1.9999999999999574E-2</v>
      </c>
      <c r="BC245">
        <v>42419</v>
      </c>
      <c r="BD245">
        <v>0</v>
      </c>
      <c r="BE245">
        <v>0</v>
      </c>
      <c r="BF245">
        <v>0.72000000000000031</v>
      </c>
      <c r="BG245">
        <v>0.27999999999999969</v>
      </c>
    </row>
    <row r="246" spans="1:59" x14ac:dyDescent="0.3">
      <c r="A246" t="s">
        <v>58</v>
      </c>
      <c r="B246" t="s">
        <v>58</v>
      </c>
      <c r="C246" t="s">
        <v>58</v>
      </c>
      <c r="D246" t="s">
        <v>58</v>
      </c>
      <c r="E246" t="s">
        <v>58</v>
      </c>
      <c r="J246">
        <v>43154</v>
      </c>
      <c r="K246">
        <v>0.66000000000000025</v>
      </c>
      <c r="L246">
        <v>0.04</v>
      </c>
      <c r="M246">
        <v>0.06</v>
      </c>
      <c r="N246">
        <v>0.23999999999999977</v>
      </c>
      <c r="R246" t="s">
        <v>58</v>
      </c>
      <c r="S246" t="s">
        <v>58</v>
      </c>
      <c r="T246" t="s">
        <v>58</v>
      </c>
      <c r="U246" t="s">
        <v>58</v>
      </c>
      <c r="V246" t="s">
        <v>58</v>
      </c>
      <c r="Z246" t="s">
        <v>58</v>
      </c>
      <c r="AA246" t="s">
        <v>58</v>
      </c>
      <c r="AB246" t="s">
        <v>58</v>
      </c>
      <c r="AC246" t="s">
        <v>58</v>
      </c>
      <c r="AD246" t="s">
        <v>58</v>
      </c>
      <c r="AG246" t="s">
        <v>58</v>
      </c>
      <c r="AH246" t="s">
        <v>58</v>
      </c>
      <c r="AI246" t="s">
        <v>58</v>
      </c>
      <c r="AJ246" t="s">
        <v>58</v>
      </c>
      <c r="AK246" t="s">
        <v>58</v>
      </c>
      <c r="AO246">
        <v>42937</v>
      </c>
      <c r="AP246">
        <v>0.88000000000000045</v>
      </c>
      <c r="AQ246">
        <v>0.1</v>
      </c>
      <c r="AR246">
        <v>0</v>
      </c>
      <c r="AS246">
        <v>1.9999999999999546E-2</v>
      </c>
      <c r="AV246">
        <v>42944</v>
      </c>
      <c r="AW246">
        <v>0.14000000000000001</v>
      </c>
      <c r="AX246">
        <v>0.84000000000000041</v>
      </c>
      <c r="AY246">
        <v>0</v>
      </c>
      <c r="AZ246">
        <v>1.9999999999999574E-2</v>
      </c>
      <c r="BC246">
        <v>42426</v>
      </c>
      <c r="BD246">
        <v>0</v>
      </c>
      <c r="BE246">
        <v>0</v>
      </c>
      <c r="BF246">
        <v>0.72000000000000031</v>
      </c>
      <c r="BG246">
        <v>0.27999999999999969</v>
      </c>
    </row>
    <row r="247" spans="1:59" x14ac:dyDescent="0.3">
      <c r="A247" t="s">
        <v>58</v>
      </c>
      <c r="B247" t="s">
        <v>58</v>
      </c>
      <c r="C247" t="s">
        <v>58</v>
      </c>
      <c r="D247" t="s">
        <v>58</v>
      </c>
      <c r="E247" t="s">
        <v>58</v>
      </c>
      <c r="J247">
        <v>43161</v>
      </c>
      <c r="K247">
        <v>0.78000000000000036</v>
      </c>
      <c r="L247">
        <v>0.12000000000000001</v>
      </c>
      <c r="M247">
        <v>0</v>
      </c>
      <c r="N247">
        <v>9.9999999999999631E-2</v>
      </c>
      <c r="R247" t="s">
        <v>58</v>
      </c>
      <c r="S247" t="s">
        <v>58</v>
      </c>
      <c r="T247" t="s">
        <v>58</v>
      </c>
      <c r="U247" t="s">
        <v>58</v>
      </c>
      <c r="V247" t="s">
        <v>58</v>
      </c>
      <c r="Z247" t="s">
        <v>58</v>
      </c>
      <c r="AA247" t="s">
        <v>58</v>
      </c>
      <c r="AB247" t="s">
        <v>58</v>
      </c>
      <c r="AC247" t="s">
        <v>58</v>
      </c>
      <c r="AD247" t="s">
        <v>58</v>
      </c>
      <c r="AG247" t="s">
        <v>58</v>
      </c>
      <c r="AH247" t="s">
        <v>58</v>
      </c>
      <c r="AI247" t="s">
        <v>58</v>
      </c>
      <c r="AJ247" t="s">
        <v>58</v>
      </c>
      <c r="AK247" t="s">
        <v>58</v>
      </c>
      <c r="AO247">
        <v>42944</v>
      </c>
      <c r="AP247">
        <v>0.84000000000000041</v>
      </c>
      <c r="AQ247">
        <v>0.14000000000000001</v>
      </c>
      <c r="AR247">
        <v>0</v>
      </c>
      <c r="AS247">
        <v>1.9999999999999574E-2</v>
      </c>
      <c r="AV247">
        <v>42951</v>
      </c>
      <c r="AW247">
        <v>0.08</v>
      </c>
      <c r="AX247">
        <v>0.90000000000000047</v>
      </c>
      <c r="AY247">
        <v>0</v>
      </c>
      <c r="AZ247">
        <v>1.9999999999999574E-2</v>
      </c>
      <c r="BC247">
        <v>42433</v>
      </c>
      <c r="BD247">
        <v>0</v>
      </c>
      <c r="BE247">
        <v>0</v>
      </c>
      <c r="BF247">
        <v>0.70000000000000029</v>
      </c>
      <c r="BG247">
        <v>0.29999999999999971</v>
      </c>
    </row>
    <row r="248" spans="1:59" x14ac:dyDescent="0.3">
      <c r="A248" t="s">
        <v>58</v>
      </c>
      <c r="B248" t="s">
        <v>58</v>
      </c>
      <c r="C248" t="s">
        <v>58</v>
      </c>
      <c r="D248" t="s">
        <v>58</v>
      </c>
      <c r="E248" t="s">
        <v>58</v>
      </c>
      <c r="J248">
        <v>43168</v>
      </c>
      <c r="K248">
        <v>0.78000000000000036</v>
      </c>
      <c r="L248">
        <v>0.12000000000000001</v>
      </c>
      <c r="M248">
        <v>0</v>
      </c>
      <c r="N248">
        <v>9.9999999999999631E-2</v>
      </c>
      <c r="R248" t="s">
        <v>58</v>
      </c>
      <c r="S248" t="s">
        <v>58</v>
      </c>
      <c r="T248" t="s">
        <v>58</v>
      </c>
      <c r="U248" t="s">
        <v>58</v>
      </c>
      <c r="V248" t="s">
        <v>58</v>
      </c>
      <c r="Z248" t="s">
        <v>58</v>
      </c>
      <c r="AA248" t="s">
        <v>58</v>
      </c>
      <c r="AB248" t="s">
        <v>58</v>
      </c>
      <c r="AC248" t="s">
        <v>58</v>
      </c>
      <c r="AD248" t="s">
        <v>58</v>
      </c>
      <c r="AG248" t="s">
        <v>58</v>
      </c>
      <c r="AH248" t="s">
        <v>58</v>
      </c>
      <c r="AI248" t="s">
        <v>58</v>
      </c>
      <c r="AJ248" t="s">
        <v>58</v>
      </c>
      <c r="AK248" t="s">
        <v>58</v>
      </c>
      <c r="AO248">
        <v>42951</v>
      </c>
      <c r="AP248">
        <v>0.90000000000000047</v>
      </c>
      <c r="AQ248">
        <v>0.08</v>
      </c>
      <c r="AR248">
        <v>0</v>
      </c>
      <c r="AS248">
        <v>1.9999999999999532E-2</v>
      </c>
      <c r="AV248">
        <v>42958</v>
      </c>
      <c r="AW248">
        <v>0.08</v>
      </c>
      <c r="AX248">
        <v>0.90000000000000047</v>
      </c>
      <c r="AY248">
        <v>0</v>
      </c>
      <c r="AZ248">
        <v>1.9999999999999574E-2</v>
      </c>
      <c r="BC248">
        <v>42440</v>
      </c>
      <c r="BD248">
        <v>0.04</v>
      </c>
      <c r="BE248">
        <v>0</v>
      </c>
      <c r="BF248">
        <v>0.68000000000000027</v>
      </c>
      <c r="BG248">
        <v>0.27999999999999969</v>
      </c>
    </row>
    <row r="249" spans="1:59" x14ac:dyDescent="0.3">
      <c r="A249" t="s">
        <v>58</v>
      </c>
      <c r="B249" t="s">
        <v>58</v>
      </c>
      <c r="C249" t="s">
        <v>58</v>
      </c>
      <c r="D249" t="s">
        <v>58</v>
      </c>
      <c r="E249" t="s">
        <v>58</v>
      </c>
      <c r="J249" t="s">
        <v>58</v>
      </c>
      <c r="K249" t="s">
        <v>58</v>
      </c>
      <c r="L249" t="s">
        <v>58</v>
      </c>
      <c r="M249" t="s">
        <v>58</v>
      </c>
      <c r="N249" t="s">
        <v>58</v>
      </c>
      <c r="R249" t="s">
        <v>58</v>
      </c>
      <c r="S249" t="s">
        <v>58</v>
      </c>
      <c r="T249" t="s">
        <v>58</v>
      </c>
      <c r="U249" t="s">
        <v>58</v>
      </c>
      <c r="V249" t="s">
        <v>58</v>
      </c>
      <c r="Z249" t="s">
        <v>58</v>
      </c>
      <c r="AA249" t="s">
        <v>58</v>
      </c>
      <c r="AB249" t="s">
        <v>58</v>
      </c>
      <c r="AC249" t="s">
        <v>58</v>
      </c>
      <c r="AD249" t="s">
        <v>58</v>
      </c>
      <c r="AG249" t="s">
        <v>58</v>
      </c>
      <c r="AH249" t="s">
        <v>58</v>
      </c>
      <c r="AI249" t="s">
        <v>58</v>
      </c>
      <c r="AJ249" t="s">
        <v>58</v>
      </c>
      <c r="AK249" t="s">
        <v>58</v>
      </c>
      <c r="AO249">
        <v>42958</v>
      </c>
      <c r="AP249">
        <v>0.88000000000000045</v>
      </c>
      <c r="AQ249">
        <v>0.1</v>
      </c>
      <c r="AR249">
        <v>0</v>
      </c>
      <c r="AS249">
        <v>1.9999999999999546E-2</v>
      </c>
      <c r="AV249">
        <v>42965</v>
      </c>
      <c r="AW249">
        <v>0.08</v>
      </c>
      <c r="AX249">
        <v>0.90000000000000047</v>
      </c>
      <c r="AY249">
        <v>0</v>
      </c>
      <c r="AZ249">
        <v>1.9999999999999574E-2</v>
      </c>
      <c r="BC249">
        <v>42447</v>
      </c>
      <c r="BD249">
        <v>0.1</v>
      </c>
      <c r="BE249">
        <v>0</v>
      </c>
      <c r="BF249">
        <v>0.66000000000000025</v>
      </c>
      <c r="BG249">
        <v>0.23999999999999977</v>
      </c>
    </row>
    <row r="250" spans="1:59" x14ac:dyDescent="0.3">
      <c r="A250" t="s">
        <v>58</v>
      </c>
      <c r="B250" t="s">
        <v>58</v>
      </c>
      <c r="C250" t="s">
        <v>58</v>
      </c>
      <c r="D250" t="s">
        <v>58</v>
      </c>
      <c r="E250" t="s">
        <v>58</v>
      </c>
      <c r="J250" t="s">
        <v>58</v>
      </c>
      <c r="K250" t="s">
        <v>58</v>
      </c>
      <c r="L250" t="s">
        <v>58</v>
      </c>
      <c r="M250" t="s">
        <v>58</v>
      </c>
      <c r="N250" t="s">
        <v>58</v>
      </c>
      <c r="R250" t="s">
        <v>58</v>
      </c>
      <c r="S250" t="s">
        <v>58</v>
      </c>
      <c r="T250" t="s">
        <v>58</v>
      </c>
      <c r="U250" t="s">
        <v>58</v>
      </c>
      <c r="V250" t="s">
        <v>58</v>
      </c>
      <c r="Z250" t="s">
        <v>58</v>
      </c>
      <c r="AA250" t="s">
        <v>58</v>
      </c>
      <c r="AB250" t="s">
        <v>58</v>
      </c>
      <c r="AC250" t="s">
        <v>58</v>
      </c>
      <c r="AD250" t="s">
        <v>58</v>
      </c>
      <c r="AG250" t="s">
        <v>58</v>
      </c>
      <c r="AH250" t="s">
        <v>58</v>
      </c>
      <c r="AI250" t="s">
        <v>58</v>
      </c>
      <c r="AJ250" t="s">
        <v>58</v>
      </c>
      <c r="AK250" t="s">
        <v>58</v>
      </c>
      <c r="AO250">
        <v>42965</v>
      </c>
      <c r="AP250">
        <v>0.92000000000000048</v>
      </c>
      <c r="AQ250">
        <v>0.06</v>
      </c>
      <c r="AR250">
        <v>0</v>
      </c>
      <c r="AS250">
        <v>1.9999999999999518E-2</v>
      </c>
      <c r="AV250">
        <v>42972</v>
      </c>
      <c r="AW250">
        <v>0.02</v>
      </c>
      <c r="AX250">
        <v>0.96000000000000052</v>
      </c>
      <c r="AY250">
        <v>0</v>
      </c>
      <c r="AZ250">
        <v>1.9999999999999463E-2</v>
      </c>
      <c r="BC250">
        <v>42454</v>
      </c>
      <c r="BD250">
        <v>0.08</v>
      </c>
      <c r="BE250">
        <v>0</v>
      </c>
      <c r="BF250">
        <v>0.64000000000000024</v>
      </c>
      <c r="BG250">
        <v>0.2799999999999998</v>
      </c>
    </row>
    <row r="251" spans="1:59" x14ac:dyDescent="0.3">
      <c r="A251" t="s">
        <v>58</v>
      </c>
      <c r="B251" t="s">
        <v>58</v>
      </c>
      <c r="C251" t="s">
        <v>58</v>
      </c>
      <c r="D251" t="s">
        <v>58</v>
      </c>
      <c r="E251" t="s">
        <v>58</v>
      </c>
      <c r="J251" t="s">
        <v>58</v>
      </c>
      <c r="K251" t="s">
        <v>58</v>
      </c>
      <c r="L251" t="s">
        <v>58</v>
      </c>
      <c r="M251" t="s">
        <v>58</v>
      </c>
      <c r="N251" t="s">
        <v>58</v>
      </c>
      <c r="R251" t="s">
        <v>58</v>
      </c>
      <c r="S251" t="s">
        <v>58</v>
      </c>
      <c r="T251" t="s">
        <v>58</v>
      </c>
      <c r="U251" t="s">
        <v>58</v>
      </c>
      <c r="V251" t="s">
        <v>58</v>
      </c>
      <c r="Z251" t="s">
        <v>58</v>
      </c>
      <c r="AA251" t="s">
        <v>58</v>
      </c>
      <c r="AB251" t="s">
        <v>58</v>
      </c>
      <c r="AC251" t="s">
        <v>58</v>
      </c>
      <c r="AD251" t="s">
        <v>58</v>
      </c>
      <c r="AG251" t="s">
        <v>58</v>
      </c>
      <c r="AH251" t="s">
        <v>58</v>
      </c>
      <c r="AI251" t="s">
        <v>58</v>
      </c>
      <c r="AJ251" t="s">
        <v>58</v>
      </c>
      <c r="AK251" t="s">
        <v>58</v>
      </c>
      <c r="AO251">
        <v>42972</v>
      </c>
      <c r="AP251">
        <v>0.96000000000000052</v>
      </c>
      <c r="AQ251">
        <v>0.02</v>
      </c>
      <c r="AR251">
        <v>0</v>
      </c>
      <c r="AS251">
        <v>1.999999999999948E-2</v>
      </c>
      <c r="AV251">
        <v>42979</v>
      </c>
      <c r="AW251">
        <v>0</v>
      </c>
      <c r="AX251">
        <v>0.98000000000000054</v>
      </c>
      <c r="AY251">
        <v>0</v>
      </c>
      <c r="AZ251">
        <v>1.9999999999999463E-2</v>
      </c>
      <c r="BC251">
        <v>42461</v>
      </c>
      <c r="BD251">
        <v>0.06</v>
      </c>
      <c r="BE251">
        <v>0</v>
      </c>
      <c r="BF251">
        <v>0.66000000000000025</v>
      </c>
      <c r="BG251">
        <v>0.27999999999999969</v>
      </c>
    </row>
    <row r="252" spans="1:59" x14ac:dyDescent="0.3">
      <c r="A252" t="s">
        <v>58</v>
      </c>
      <c r="B252" t="s">
        <v>58</v>
      </c>
      <c r="C252" t="s">
        <v>58</v>
      </c>
      <c r="D252" t="s">
        <v>58</v>
      </c>
      <c r="E252" t="s">
        <v>58</v>
      </c>
      <c r="J252" t="s">
        <v>58</v>
      </c>
      <c r="K252" t="s">
        <v>58</v>
      </c>
      <c r="L252" t="s">
        <v>58</v>
      </c>
      <c r="M252" t="s">
        <v>58</v>
      </c>
      <c r="N252" t="s">
        <v>58</v>
      </c>
      <c r="R252" t="s">
        <v>58</v>
      </c>
      <c r="S252" t="s">
        <v>58</v>
      </c>
      <c r="T252" t="s">
        <v>58</v>
      </c>
      <c r="U252" t="s">
        <v>58</v>
      </c>
      <c r="V252" t="s">
        <v>58</v>
      </c>
      <c r="Z252" t="s">
        <v>58</v>
      </c>
      <c r="AA252" t="s">
        <v>58</v>
      </c>
      <c r="AB252" t="s">
        <v>58</v>
      </c>
      <c r="AC252" t="s">
        <v>58</v>
      </c>
      <c r="AD252" t="s">
        <v>58</v>
      </c>
      <c r="AG252" t="s">
        <v>58</v>
      </c>
      <c r="AH252" t="s">
        <v>58</v>
      </c>
      <c r="AI252" t="s">
        <v>58</v>
      </c>
      <c r="AJ252" t="s">
        <v>58</v>
      </c>
      <c r="AK252" t="s">
        <v>58</v>
      </c>
      <c r="AO252">
        <v>42979</v>
      </c>
      <c r="AP252">
        <v>0.88000000000000045</v>
      </c>
      <c r="AQ252">
        <v>0.1</v>
      </c>
      <c r="AR252">
        <v>0</v>
      </c>
      <c r="AS252">
        <v>1.9999999999999546E-2</v>
      </c>
      <c r="AV252">
        <v>42986</v>
      </c>
      <c r="AW252">
        <v>0.06</v>
      </c>
      <c r="AX252">
        <v>0.92000000000000048</v>
      </c>
      <c r="AY252">
        <v>0</v>
      </c>
      <c r="AZ252">
        <v>1.9999999999999463E-2</v>
      </c>
      <c r="BC252">
        <v>42468</v>
      </c>
      <c r="BD252">
        <v>0.08</v>
      </c>
      <c r="BE252">
        <v>0</v>
      </c>
      <c r="BF252">
        <v>0.66000000000000025</v>
      </c>
      <c r="BG252">
        <v>0.25999999999999979</v>
      </c>
    </row>
    <row r="253" spans="1:59" x14ac:dyDescent="0.3">
      <c r="A253" t="s">
        <v>58</v>
      </c>
      <c r="B253" t="s">
        <v>58</v>
      </c>
      <c r="C253" t="s">
        <v>58</v>
      </c>
      <c r="D253" t="s">
        <v>58</v>
      </c>
      <c r="E253" t="s">
        <v>58</v>
      </c>
      <c r="J253" t="s">
        <v>58</v>
      </c>
      <c r="K253" t="s">
        <v>58</v>
      </c>
      <c r="L253" t="s">
        <v>58</v>
      </c>
      <c r="M253" t="s">
        <v>58</v>
      </c>
      <c r="N253" t="s">
        <v>58</v>
      </c>
      <c r="R253" t="s">
        <v>58</v>
      </c>
      <c r="S253" t="s">
        <v>58</v>
      </c>
      <c r="T253" t="s">
        <v>58</v>
      </c>
      <c r="U253" t="s">
        <v>58</v>
      </c>
      <c r="V253" t="s">
        <v>58</v>
      </c>
      <c r="Z253" t="s">
        <v>58</v>
      </c>
      <c r="AA253" t="s">
        <v>58</v>
      </c>
      <c r="AB253" t="s">
        <v>58</v>
      </c>
      <c r="AC253" t="s">
        <v>58</v>
      </c>
      <c r="AD253" t="s">
        <v>58</v>
      </c>
      <c r="AG253" t="s">
        <v>58</v>
      </c>
      <c r="AH253" t="s">
        <v>58</v>
      </c>
      <c r="AI253" t="s">
        <v>58</v>
      </c>
      <c r="AJ253" t="s">
        <v>58</v>
      </c>
      <c r="AK253" t="s">
        <v>58</v>
      </c>
      <c r="AO253">
        <v>42986</v>
      </c>
      <c r="AP253">
        <v>0.88000000000000045</v>
      </c>
      <c r="AQ253">
        <v>0.1</v>
      </c>
      <c r="AR253">
        <v>0</v>
      </c>
      <c r="AS253">
        <v>1.9999999999999546E-2</v>
      </c>
      <c r="AV253">
        <v>42993</v>
      </c>
      <c r="AW253">
        <v>0.04</v>
      </c>
      <c r="AX253">
        <v>0.76000000000000034</v>
      </c>
      <c r="AY253">
        <v>0</v>
      </c>
      <c r="AZ253">
        <v>0.19999999999999962</v>
      </c>
      <c r="BC253">
        <v>42475</v>
      </c>
      <c r="BD253">
        <v>0.06</v>
      </c>
      <c r="BE253">
        <v>0</v>
      </c>
      <c r="BF253">
        <v>0.66000000000000025</v>
      </c>
      <c r="BG253">
        <v>0.27999999999999969</v>
      </c>
    </row>
    <row r="254" spans="1:59" x14ac:dyDescent="0.3">
      <c r="A254" t="s">
        <v>58</v>
      </c>
      <c r="B254" t="s">
        <v>58</v>
      </c>
      <c r="C254" t="s">
        <v>58</v>
      </c>
      <c r="D254" t="s">
        <v>58</v>
      </c>
      <c r="E254" t="s">
        <v>58</v>
      </c>
      <c r="J254" t="s">
        <v>58</v>
      </c>
      <c r="K254" t="s">
        <v>58</v>
      </c>
      <c r="L254" t="s">
        <v>58</v>
      </c>
      <c r="M254" t="s">
        <v>58</v>
      </c>
      <c r="N254" t="s">
        <v>58</v>
      </c>
      <c r="R254" t="s">
        <v>58</v>
      </c>
      <c r="S254" t="s">
        <v>58</v>
      </c>
      <c r="T254" t="s">
        <v>58</v>
      </c>
      <c r="U254" t="s">
        <v>58</v>
      </c>
      <c r="V254" t="s">
        <v>58</v>
      </c>
      <c r="Z254" t="s">
        <v>58</v>
      </c>
      <c r="AA254" t="s">
        <v>58</v>
      </c>
      <c r="AB254" t="s">
        <v>58</v>
      </c>
      <c r="AC254" t="s">
        <v>58</v>
      </c>
      <c r="AD254" t="s">
        <v>58</v>
      </c>
      <c r="AG254" t="s">
        <v>58</v>
      </c>
      <c r="AH254" t="s">
        <v>58</v>
      </c>
      <c r="AI254" t="s">
        <v>58</v>
      </c>
      <c r="AJ254" t="s">
        <v>58</v>
      </c>
      <c r="AK254" t="s">
        <v>58</v>
      </c>
      <c r="AO254">
        <v>42993</v>
      </c>
      <c r="AP254">
        <v>0.86000000000000043</v>
      </c>
      <c r="AQ254">
        <v>0.12000000000000001</v>
      </c>
      <c r="AR254">
        <v>0</v>
      </c>
      <c r="AS254">
        <v>1.999999999999956E-2</v>
      </c>
      <c r="AV254">
        <v>43000</v>
      </c>
      <c r="AW254">
        <v>0.1</v>
      </c>
      <c r="AX254">
        <v>0.76000000000000034</v>
      </c>
      <c r="AY254">
        <v>0</v>
      </c>
      <c r="AZ254">
        <v>0.13999999999999968</v>
      </c>
      <c r="BC254">
        <v>42482</v>
      </c>
      <c r="BD254">
        <v>0.04</v>
      </c>
      <c r="BE254">
        <v>0</v>
      </c>
      <c r="BF254">
        <v>0.68000000000000027</v>
      </c>
      <c r="BG254">
        <v>0.27999999999999969</v>
      </c>
    </row>
    <row r="255" spans="1:59" x14ac:dyDescent="0.3">
      <c r="A255" t="s">
        <v>58</v>
      </c>
      <c r="B255" t="s">
        <v>58</v>
      </c>
      <c r="C255" t="s">
        <v>58</v>
      </c>
      <c r="D255" t="s">
        <v>58</v>
      </c>
      <c r="E255" t="s">
        <v>58</v>
      </c>
      <c r="J255" t="s">
        <v>58</v>
      </c>
      <c r="K255" t="s">
        <v>58</v>
      </c>
      <c r="L255" t="s">
        <v>58</v>
      </c>
      <c r="M255" t="s">
        <v>58</v>
      </c>
      <c r="N255" t="s">
        <v>58</v>
      </c>
      <c r="R255" t="s">
        <v>58</v>
      </c>
      <c r="S255" t="s">
        <v>58</v>
      </c>
      <c r="T255" t="s">
        <v>58</v>
      </c>
      <c r="U255" t="s">
        <v>58</v>
      </c>
      <c r="V255" t="s">
        <v>58</v>
      </c>
      <c r="Z255" t="s">
        <v>58</v>
      </c>
      <c r="AA255" t="s">
        <v>58</v>
      </c>
      <c r="AB255" t="s">
        <v>58</v>
      </c>
      <c r="AC255" t="s">
        <v>58</v>
      </c>
      <c r="AD255" t="s">
        <v>58</v>
      </c>
      <c r="AG255" t="s">
        <v>58</v>
      </c>
      <c r="AH255" t="s">
        <v>58</v>
      </c>
      <c r="AI255" t="s">
        <v>58</v>
      </c>
      <c r="AJ255" t="s">
        <v>58</v>
      </c>
      <c r="AK255" t="s">
        <v>58</v>
      </c>
      <c r="AO255">
        <v>43000</v>
      </c>
      <c r="AP255">
        <v>0.84000000000000041</v>
      </c>
      <c r="AQ255">
        <v>0.14000000000000001</v>
      </c>
      <c r="AR255">
        <v>0</v>
      </c>
      <c r="AS255">
        <v>1.9999999999999574E-2</v>
      </c>
      <c r="AV255">
        <v>43007</v>
      </c>
      <c r="AW255">
        <v>0.12000000000000001</v>
      </c>
      <c r="AX255">
        <v>0.78000000000000036</v>
      </c>
      <c r="AY255">
        <v>0</v>
      </c>
      <c r="AZ255">
        <v>9.9999999999999645E-2</v>
      </c>
      <c r="BC255">
        <v>42489</v>
      </c>
      <c r="BD255">
        <v>0.02</v>
      </c>
      <c r="BE255">
        <v>0</v>
      </c>
      <c r="BF255">
        <v>0.70000000000000029</v>
      </c>
      <c r="BG255">
        <v>0.27999999999999969</v>
      </c>
    </row>
    <row r="256" spans="1:59" x14ac:dyDescent="0.3">
      <c r="A256" t="s">
        <v>58</v>
      </c>
      <c r="B256" t="s">
        <v>58</v>
      </c>
      <c r="C256" t="s">
        <v>58</v>
      </c>
      <c r="D256" t="s">
        <v>58</v>
      </c>
      <c r="E256" t="s">
        <v>58</v>
      </c>
      <c r="J256" t="s">
        <v>58</v>
      </c>
      <c r="K256" t="s">
        <v>58</v>
      </c>
      <c r="L256" t="s">
        <v>58</v>
      </c>
      <c r="M256" t="s">
        <v>58</v>
      </c>
      <c r="N256" t="s">
        <v>58</v>
      </c>
      <c r="R256" t="s">
        <v>58</v>
      </c>
      <c r="S256" t="s">
        <v>58</v>
      </c>
      <c r="T256" t="s">
        <v>58</v>
      </c>
      <c r="U256" t="s">
        <v>58</v>
      </c>
      <c r="V256" t="s">
        <v>58</v>
      </c>
      <c r="Z256" t="s">
        <v>58</v>
      </c>
      <c r="AA256" t="s">
        <v>58</v>
      </c>
      <c r="AB256" t="s">
        <v>58</v>
      </c>
      <c r="AC256" t="s">
        <v>58</v>
      </c>
      <c r="AD256" t="s">
        <v>58</v>
      </c>
      <c r="AG256" t="s">
        <v>58</v>
      </c>
      <c r="AH256" t="s">
        <v>58</v>
      </c>
      <c r="AI256" t="s">
        <v>58</v>
      </c>
      <c r="AJ256" t="s">
        <v>58</v>
      </c>
      <c r="AK256" t="s">
        <v>58</v>
      </c>
      <c r="AO256">
        <v>43007</v>
      </c>
      <c r="AP256">
        <v>0.84000000000000041</v>
      </c>
      <c r="AQ256">
        <v>0.14000000000000001</v>
      </c>
      <c r="AR256">
        <v>0</v>
      </c>
      <c r="AS256">
        <v>1.9999999999999574E-2</v>
      </c>
      <c r="AV256">
        <v>43021</v>
      </c>
      <c r="AW256">
        <v>0.12000000000000001</v>
      </c>
      <c r="AX256">
        <v>0.78000000000000036</v>
      </c>
      <c r="AY256">
        <v>0</v>
      </c>
      <c r="AZ256">
        <v>9.9999999999999645E-2</v>
      </c>
      <c r="BC256">
        <v>42496</v>
      </c>
      <c r="BD256">
        <v>0.08</v>
      </c>
      <c r="BE256">
        <v>0</v>
      </c>
      <c r="BF256">
        <v>0.68000000000000027</v>
      </c>
      <c r="BG256">
        <v>0.23999999999999977</v>
      </c>
    </row>
    <row r="257" spans="1:59" x14ac:dyDescent="0.3">
      <c r="A257" t="s">
        <v>58</v>
      </c>
      <c r="B257" t="s">
        <v>58</v>
      </c>
      <c r="C257" t="s">
        <v>58</v>
      </c>
      <c r="D257" t="s">
        <v>58</v>
      </c>
      <c r="E257" t="s">
        <v>58</v>
      </c>
      <c r="J257" t="s">
        <v>58</v>
      </c>
      <c r="K257" t="s">
        <v>58</v>
      </c>
      <c r="L257" t="s">
        <v>58</v>
      </c>
      <c r="M257" t="s">
        <v>58</v>
      </c>
      <c r="N257" t="s">
        <v>58</v>
      </c>
      <c r="R257" t="s">
        <v>58</v>
      </c>
      <c r="S257" t="s">
        <v>58</v>
      </c>
      <c r="T257" t="s">
        <v>58</v>
      </c>
      <c r="U257" t="s">
        <v>58</v>
      </c>
      <c r="V257" t="s">
        <v>58</v>
      </c>
      <c r="Z257" t="s">
        <v>58</v>
      </c>
      <c r="AA257" t="s">
        <v>58</v>
      </c>
      <c r="AB257" t="s">
        <v>58</v>
      </c>
      <c r="AC257" t="s">
        <v>58</v>
      </c>
      <c r="AD257" t="s">
        <v>58</v>
      </c>
      <c r="AG257" t="s">
        <v>58</v>
      </c>
      <c r="AH257" t="s">
        <v>58</v>
      </c>
      <c r="AI257" t="s">
        <v>58</v>
      </c>
      <c r="AJ257" t="s">
        <v>58</v>
      </c>
      <c r="AK257" t="s">
        <v>58</v>
      </c>
      <c r="AO257">
        <v>43021</v>
      </c>
      <c r="AP257">
        <v>0.84000000000000041</v>
      </c>
      <c r="AQ257">
        <v>0.14000000000000001</v>
      </c>
      <c r="AR257">
        <v>0</v>
      </c>
      <c r="AS257">
        <v>1.9999999999999574E-2</v>
      </c>
      <c r="AV257">
        <v>43028</v>
      </c>
      <c r="AW257">
        <v>0.14000000000000001</v>
      </c>
      <c r="AX257">
        <v>0.78000000000000036</v>
      </c>
      <c r="AY257">
        <v>0</v>
      </c>
      <c r="AZ257">
        <v>7.9999999999999627E-2</v>
      </c>
      <c r="BC257">
        <v>42503</v>
      </c>
      <c r="BD257">
        <v>0.1</v>
      </c>
      <c r="BE257">
        <v>0</v>
      </c>
      <c r="BF257">
        <v>0.68000000000000027</v>
      </c>
      <c r="BG257">
        <v>0.21999999999999975</v>
      </c>
    </row>
    <row r="258" spans="1:59" x14ac:dyDescent="0.3">
      <c r="A258" t="s">
        <v>58</v>
      </c>
      <c r="B258" t="s">
        <v>58</v>
      </c>
      <c r="C258" t="s">
        <v>58</v>
      </c>
      <c r="D258" t="s">
        <v>58</v>
      </c>
      <c r="E258" t="s">
        <v>58</v>
      </c>
      <c r="J258" t="s">
        <v>58</v>
      </c>
      <c r="K258" t="s">
        <v>58</v>
      </c>
      <c r="L258" t="s">
        <v>58</v>
      </c>
      <c r="M258" t="s">
        <v>58</v>
      </c>
      <c r="N258" t="s">
        <v>58</v>
      </c>
      <c r="R258" t="s">
        <v>58</v>
      </c>
      <c r="S258" t="s">
        <v>58</v>
      </c>
      <c r="T258" t="s">
        <v>58</v>
      </c>
      <c r="U258" t="s">
        <v>58</v>
      </c>
      <c r="V258" t="s">
        <v>58</v>
      </c>
      <c r="Z258" t="s">
        <v>58</v>
      </c>
      <c r="AA258" t="s">
        <v>58</v>
      </c>
      <c r="AB258" t="s">
        <v>58</v>
      </c>
      <c r="AC258" t="s">
        <v>58</v>
      </c>
      <c r="AD258" t="s">
        <v>58</v>
      </c>
      <c r="AG258" t="s">
        <v>58</v>
      </c>
      <c r="AH258" t="s">
        <v>58</v>
      </c>
      <c r="AI258" t="s">
        <v>58</v>
      </c>
      <c r="AJ258" t="s">
        <v>58</v>
      </c>
      <c r="AK258" t="s">
        <v>58</v>
      </c>
      <c r="AO258">
        <v>43028</v>
      </c>
      <c r="AP258">
        <v>0.8200000000000004</v>
      </c>
      <c r="AQ258">
        <v>0.16</v>
      </c>
      <c r="AR258">
        <v>0</v>
      </c>
      <c r="AS258">
        <v>1.9999999999999601E-2</v>
      </c>
      <c r="AV258">
        <v>43035</v>
      </c>
      <c r="AW258">
        <v>0.14000000000000001</v>
      </c>
      <c r="AX258">
        <v>0.78000000000000036</v>
      </c>
      <c r="AY258">
        <v>0</v>
      </c>
      <c r="AZ258">
        <v>7.9999999999999627E-2</v>
      </c>
      <c r="BC258">
        <v>42510</v>
      </c>
      <c r="BD258">
        <v>0</v>
      </c>
      <c r="BE258">
        <v>0</v>
      </c>
      <c r="BF258">
        <v>0.8200000000000004</v>
      </c>
      <c r="BG258">
        <v>0.1799999999999996</v>
      </c>
    </row>
    <row r="259" spans="1:59" x14ac:dyDescent="0.3">
      <c r="A259" t="s">
        <v>58</v>
      </c>
      <c r="B259" t="s">
        <v>58</v>
      </c>
      <c r="C259" t="s">
        <v>58</v>
      </c>
      <c r="D259" t="s">
        <v>58</v>
      </c>
      <c r="E259" t="s">
        <v>58</v>
      </c>
      <c r="J259" t="s">
        <v>58</v>
      </c>
      <c r="K259" t="s">
        <v>58</v>
      </c>
      <c r="L259" t="s">
        <v>58</v>
      </c>
      <c r="M259" t="s">
        <v>58</v>
      </c>
      <c r="N259" t="s">
        <v>58</v>
      </c>
      <c r="R259" t="s">
        <v>58</v>
      </c>
      <c r="S259" t="s">
        <v>58</v>
      </c>
      <c r="T259" t="s">
        <v>58</v>
      </c>
      <c r="U259" t="s">
        <v>58</v>
      </c>
      <c r="V259" t="s">
        <v>58</v>
      </c>
      <c r="Z259" t="s">
        <v>58</v>
      </c>
      <c r="AA259" t="s">
        <v>58</v>
      </c>
      <c r="AB259" t="s">
        <v>58</v>
      </c>
      <c r="AC259" t="s">
        <v>58</v>
      </c>
      <c r="AD259" t="s">
        <v>58</v>
      </c>
      <c r="AG259" t="s">
        <v>58</v>
      </c>
      <c r="AH259" t="s">
        <v>58</v>
      </c>
      <c r="AI259" t="s">
        <v>58</v>
      </c>
      <c r="AJ259" t="s">
        <v>58</v>
      </c>
      <c r="AK259" t="s">
        <v>58</v>
      </c>
      <c r="AO259">
        <v>43035</v>
      </c>
      <c r="AP259">
        <v>0.78000000000000036</v>
      </c>
      <c r="AQ259">
        <v>0.19999999999999998</v>
      </c>
      <c r="AR259">
        <v>0</v>
      </c>
      <c r="AS259">
        <v>1.9999999999999657E-2</v>
      </c>
      <c r="AV259">
        <v>43042</v>
      </c>
      <c r="AW259">
        <v>0.1</v>
      </c>
      <c r="AX259">
        <v>0.78000000000000036</v>
      </c>
      <c r="AY259">
        <v>0</v>
      </c>
      <c r="AZ259">
        <v>0.11999999999999966</v>
      </c>
      <c r="BC259">
        <v>42517</v>
      </c>
      <c r="BD259">
        <v>0</v>
      </c>
      <c r="BE259">
        <v>0</v>
      </c>
      <c r="BF259">
        <v>0.80000000000000038</v>
      </c>
      <c r="BG259">
        <v>0.19999999999999962</v>
      </c>
    </row>
    <row r="260" spans="1:59" x14ac:dyDescent="0.3">
      <c r="A260" t="s">
        <v>58</v>
      </c>
      <c r="B260" t="s">
        <v>58</v>
      </c>
      <c r="C260" t="s">
        <v>58</v>
      </c>
      <c r="D260" t="s">
        <v>58</v>
      </c>
      <c r="E260" t="s">
        <v>58</v>
      </c>
      <c r="J260" t="s">
        <v>58</v>
      </c>
      <c r="K260" t="s">
        <v>58</v>
      </c>
      <c r="L260" t="s">
        <v>58</v>
      </c>
      <c r="M260" t="s">
        <v>58</v>
      </c>
      <c r="N260" t="s">
        <v>58</v>
      </c>
      <c r="R260" t="s">
        <v>58</v>
      </c>
      <c r="S260" t="s">
        <v>58</v>
      </c>
      <c r="T260" t="s">
        <v>58</v>
      </c>
      <c r="U260" t="s">
        <v>58</v>
      </c>
      <c r="V260" t="s">
        <v>58</v>
      </c>
      <c r="Z260" t="s">
        <v>58</v>
      </c>
      <c r="AA260" t="s">
        <v>58</v>
      </c>
      <c r="AB260" t="s">
        <v>58</v>
      </c>
      <c r="AC260" t="s">
        <v>58</v>
      </c>
      <c r="AD260" t="s">
        <v>58</v>
      </c>
      <c r="AG260" t="s">
        <v>58</v>
      </c>
      <c r="AH260" t="s">
        <v>58</v>
      </c>
      <c r="AI260" t="s">
        <v>58</v>
      </c>
      <c r="AJ260" t="s">
        <v>58</v>
      </c>
      <c r="AK260" t="s">
        <v>58</v>
      </c>
      <c r="AO260">
        <v>43042</v>
      </c>
      <c r="AP260">
        <v>0.76000000000000034</v>
      </c>
      <c r="AQ260">
        <v>0.21999999999999997</v>
      </c>
      <c r="AR260">
        <v>0</v>
      </c>
      <c r="AS260">
        <v>1.9999999999999685E-2</v>
      </c>
      <c r="AV260">
        <v>43049</v>
      </c>
      <c r="AW260">
        <v>0.08</v>
      </c>
      <c r="AX260">
        <v>0.84000000000000041</v>
      </c>
      <c r="AY260">
        <v>0</v>
      </c>
      <c r="AZ260">
        <v>7.9999999999999627E-2</v>
      </c>
      <c r="BC260">
        <v>42524</v>
      </c>
      <c r="BD260">
        <v>0</v>
      </c>
      <c r="BE260">
        <v>0</v>
      </c>
      <c r="BF260">
        <v>0.80000000000000038</v>
      </c>
      <c r="BG260">
        <v>0.19999999999999962</v>
      </c>
    </row>
    <row r="261" spans="1:59" x14ac:dyDescent="0.3">
      <c r="A261" t="s">
        <v>58</v>
      </c>
      <c r="B261" t="s">
        <v>58</v>
      </c>
      <c r="C261" t="s">
        <v>58</v>
      </c>
      <c r="D261" t="s">
        <v>58</v>
      </c>
      <c r="E261" t="s">
        <v>58</v>
      </c>
      <c r="J261" t="s">
        <v>58</v>
      </c>
      <c r="K261" t="s">
        <v>58</v>
      </c>
      <c r="L261" t="s">
        <v>58</v>
      </c>
      <c r="M261" t="s">
        <v>58</v>
      </c>
      <c r="N261" t="s">
        <v>58</v>
      </c>
      <c r="R261" t="s">
        <v>58</v>
      </c>
      <c r="S261" t="s">
        <v>58</v>
      </c>
      <c r="T261" t="s">
        <v>58</v>
      </c>
      <c r="U261" t="s">
        <v>58</v>
      </c>
      <c r="V261" t="s">
        <v>58</v>
      </c>
      <c r="Z261" t="s">
        <v>58</v>
      </c>
      <c r="AA261" t="s">
        <v>58</v>
      </c>
      <c r="AB261" t="s">
        <v>58</v>
      </c>
      <c r="AC261" t="s">
        <v>58</v>
      </c>
      <c r="AD261" t="s">
        <v>58</v>
      </c>
      <c r="AG261" t="s">
        <v>58</v>
      </c>
      <c r="AH261" t="s">
        <v>58</v>
      </c>
      <c r="AI261" t="s">
        <v>58</v>
      </c>
      <c r="AJ261" t="s">
        <v>58</v>
      </c>
      <c r="AK261" t="s">
        <v>58</v>
      </c>
      <c r="AO261">
        <v>43049</v>
      </c>
      <c r="AP261">
        <v>0.78000000000000036</v>
      </c>
      <c r="AQ261">
        <v>0.19999999999999998</v>
      </c>
      <c r="AR261">
        <v>0</v>
      </c>
      <c r="AS261">
        <v>1.9999999999999657E-2</v>
      </c>
      <c r="AV261">
        <v>43056</v>
      </c>
      <c r="AW261">
        <v>0.02</v>
      </c>
      <c r="AX261">
        <v>0.88000000000000045</v>
      </c>
      <c r="AY261">
        <v>0</v>
      </c>
      <c r="AZ261">
        <v>9.9999999999999534E-2</v>
      </c>
      <c r="BC261">
        <v>42529</v>
      </c>
      <c r="BD261">
        <v>0</v>
      </c>
      <c r="BE261">
        <v>0</v>
      </c>
      <c r="BF261">
        <v>0.72000000000000031</v>
      </c>
      <c r="BG261">
        <v>0.27999999999999969</v>
      </c>
    </row>
    <row r="262" spans="1:59" x14ac:dyDescent="0.3">
      <c r="A262" t="s">
        <v>58</v>
      </c>
      <c r="B262" t="s">
        <v>58</v>
      </c>
      <c r="C262" t="s">
        <v>58</v>
      </c>
      <c r="D262" t="s">
        <v>58</v>
      </c>
      <c r="E262" t="s">
        <v>58</v>
      </c>
      <c r="J262" t="s">
        <v>58</v>
      </c>
      <c r="K262" t="s">
        <v>58</v>
      </c>
      <c r="L262" t="s">
        <v>58</v>
      </c>
      <c r="M262" t="s">
        <v>58</v>
      </c>
      <c r="N262" t="s">
        <v>58</v>
      </c>
      <c r="R262" t="s">
        <v>58</v>
      </c>
      <c r="S262" t="s">
        <v>58</v>
      </c>
      <c r="T262" t="s">
        <v>58</v>
      </c>
      <c r="U262" t="s">
        <v>58</v>
      </c>
      <c r="V262" t="s">
        <v>58</v>
      </c>
      <c r="Z262" t="s">
        <v>58</v>
      </c>
      <c r="AA262" t="s">
        <v>58</v>
      </c>
      <c r="AB262" t="s">
        <v>58</v>
      </c>
      <c r="AC262" t="s">
        <v>58</v>
      </c>
      <c r="AD262" t="s">
        <v>58</v>
      </c>
      <c r="AG262" t="s">
        <v>58</v>
      </c>
      <c r="AH262" t="s">
        <v>58</v>
      </c>
      <c r="AI262" t="s">
        <v>58</v>
      </c>
      <c r="AJ262" t="s">
        <v>58</v>
      </c>
      <c r="AK262" t="s">
        <v>58</v>
      </c>
      <c r="AO262">
        <v>43056</v>
      </c>
      <c r="AP262">
        <v>0.90000000000000047</v>
      </c>
      <c r="AQ262">
        <v>0</v>
      </c>
      <c r="AR262">
        <v>0.08</v>
      </c>
      <c r="AS262">
        <v>1.9999999999999532E-2</v>
      </c>
      <c r="AV262">
        <v>43063</v>
      </c>
      <c r="AW262">
        <v>0.08</v>
      </c>
      <c r="AX262">
        <v>0.8200000000000004</v>
      </c>
      <c r="AY262">
        <v>0</v>
      </c>
      <c r="AZ262">
        <v>9.9999999999999645E-2</v>
      </c>
      <c r="BC262">
        <v>42538</v>
      </c>
      <c r="BD262">
        <v>0</v>
      </c>
      <c r="BE262">
        <v>0.06</v>
      </c>
      <c r="BF262">
        <v>0.66000000000000025</v>
      </c>
      <c r="BG262">
        <v>0.27999999999999969</v>
      </c>
    </row>
    <row r="263" spans="1:59" x14ac:dyDescent="0.3">
      <c r="A263" t="s">
        <v>58</v>
      </c>
      <c r="B263" t="s">
        <v>58</v>
      </c>
      <c r="C263" t="s">
        <v>58</v>
      </c>
      <c r="D263" t="s">
        <v>58</v>
      </c>
      <c r="E263" t="s">
        <v>58</v>
      </c>
      <c r="J263" t="s">
        <v>58</v>
      </c>
      <c r="K263" t="s">
        <v>58</v>
      </c>
      <c r="L263" t="s">
        <v>58</v>
      </c>
      <c r="M263" t="s">
        <v>58</v>
      </c>
      <c r="N263" t="s">
        <v>58</v>
      </c>
      <c r="R263" t="s">
        <v>58</v>
      </c>
      <c r="S263" t="s">
        <v>58</v>
      </c>
      <c r="T263" t="s">
        <v>58</v>
      </c>
      <c r="U263" t="s">
        <v>58</v>
      </c>
      <c r="V263" t="s">
        <v>58</v>
      </c>
      <c r="Z263" t="s">
        <v>58</v>
      </c>
      <c r="AA263" t="s">
        <v>58</v>
      </c>
      <c r="AB263" t="s">
        <v>58</v>
      </c>
      <c r="AC263" t="s">
        <v>58</v>
      </c>
      <c r="AD263" t="s">
        <v>58</v>
      </c>
      <c r="AG263" t="s">
        <v>58</v>
      </c>
      <c r="AH263" t="s">
        <v>58</v>
      </c>
      <c r="AI263" t="s">
        <v>58</v>
      </c>
      <c r="AJ263" t="s">
        <v>58</v>
      </c>
      <c r="AK263" t="s">
        <v>58</v>
      </c>
      <c r="AO263">
        <v>43063</v>
      </c>
      <c r="AP263">
        <v>0.90000000000000047</v>
      </c>
      <c r="AQ263">
        <v>0</v>
      </c>
      <c r="AR263">
        <v>0.04</v>
      </c>
      <c r="AS263">
        <v>5.9999999999999533E-2</v>
      </c>
      <c r="AV263">
        <v>43070</v>
      </c>
      <c r="AW263">
        <v>0.1</v>
      </c>
      <c r="AX263">
        <v>0.80000000000000038</v>
      </c>
      <c r="AY263">
        <v>0</v>
      </c>
      <c r="AZ263">
        <v>9.9999999999999645E-2</v>
      </c>
      <c r="BC263">
        <v>42545</v>
      </c>
      <c r="BD263">
        <v>0</v>
      </c>
      <c r="BE263">
        <v>0.1</v>
      </c>
      <c r="BF263">
        <v>0.6000000000000002</v>
      </c>
      <c r="BG263">
        <v>0.29999999999999982</v>
      </c>
    </row>
    <row r="264" spans="1:59" x14ac:dyDescent="0.3">
      <c r="A264" t="s">
        <v>58</v>
      </c>
      <c r="B264" t="s">
        <v>58</v>
      </c>
      <c r="C264" t="s">
        <v>58</v>
      </c>
      <c r="D264" t="s">
        <v>58</v>
      </c>
      <c r="E264" t="s">
        <v>58</v>
      </c>
      <c r="J264" t="s">
        <v>58</v>
      </c>
      <c r="K264" t="s">
        <v>58</v>
      </c>
      <c r="L264" t="s">
        <v>58</v>
      </c>
      <c r="M264" t="s">
        <v>58</v>
      </c>
      <c r="N264" t="s">
        <v>58</v>
      </c>
      <c r="R264" t="s">
        <v>58</v>
      </c>
      <c r="S264" t="s">
        <v>58</v>
      </c>
      <c r="T264" t="s">
        <v>58</v>
      </c>
      <c r="U264" t="s">
        <v>58</v>
      </c>
      <c r="V264" t="s">
        <v>58</v>
      </c>
      <c r="Z264" t="s">
        <v>58</v>
      </c>
      <c r="AA264" t="s">
        <v>58</v>
      </c>
      <c r="AB264" t="s">
        <v>58</v>
      </c>
      <c r="AC264" t="s">
        <v>58</v>
      </c>
      <c r="AD264" t="s">
        <v>58</v>
      </c>
      <c r="AG264" t="s">
        <v>58</v>
      </c>
      <c r="AH264" t="s">
        <v>58</v>
      </c>
      <c r="AI264" t="s">
        <v>58</v>
      </c>
      <c r="AJ264" t="s">
        <v>58</v>
      </c>
      <c r="AK264" t="s">
        <v>58</v>
      </c>
      <c r="AO264">
        <v>43070</v>
      </c>
      <c r="AP264">
        <v>0.92000000000000048</v>
      </c>
      <c r="AQ264">
        <v>0</v>
      </c>
      <c r="AR264">
        <v>0.02</v>
      </c>
      <c r="AS264">
        <v>5.9999999999999512E-2</v>
      </c>
      <c r="AV264">
        <v>43077</v>
      </c>
      <c r="AW264">
        <v>0.06</v>
      </c>
      <c r="AX264">
        <v>0.84000000000000041</v>
      </c>
      <c r="AY264">
        <v>0</v>
      </c>
      <c r="AZ264">
        <v>9.9999999999999534E-2</v>
      </c>
      <c r="BC264">
        <v>42552</v>
      </c>
      <c r="BD264">
        <v>0</v>
      </c>
      <c r="BE264">
        <v>0.12000000000000001</v>
      </c>
      <c r="BF264">
        <v>0.58000000000000018</v>
      </c>
      <c r="BG264">
        <v>0.29999999999999982</v>
      </c>
    </row>
    <row r="265" spans="1:59" x14ac:dyDescent="0.3">
      <c r="A265" t="s">
        <v>58</v>
      </c>
      <c r="B265" t="s">
        <v>58</v>
      </c>
      <c r="C265" t="s">
        <v>58</v>
      </c>
      <c r="D265" t="s">
        <v>58</v>
      </c>
      <c r="E265" t="s">
        <v>58</v>
      </c>
      <c r="J265" t="s">
        <v>58</v>
      </c>
      <c r="K265" t="s">
        <v>58</v>
      </c>
      <c r="L265" t="s">
        <v>58</v>
      </c>
      <c r="M265" t="s">
        <v>58</v>
      </c>
      <c r="N265" t="s">
        <v>58</v>
      </c>
      <c r="R265" t="s">
        <v>58</v>
      </c>
      <c r="S265" t="s">
        <v>58</v>
      </c>
      <c r="T265" t="s">
        <v>58</v>
      </c>
      <c r="U265" t="s">
        <v>58</v>
      </c>
      <c r="V265" t="s">
        <v>58</v>
      </c>
      <c r="Z265" t="s">
        <v>58</v>
      </c>
      <c r="AA265" t="s">
        <v>58</v>
      </c>
      <c r="AB265" t="s">
        <v>58</v>
      </c>
      <c r="AC265" t="s">
        <v>58</v>
      </c>
      <c r="AD265" t="s">
        <v>58</v>
      </c>
      <c r="AG265" t="s">
        <v>58</v>
      </c>
      <c r="AH265" t="s">
        <v>58</v>
      </c>
      <c r="AI265" t="s">
        <v>58</v>
      </c>
      <c r="AJ265" t="s">
        <v>58</v>
      </c>
      <c r="AK265" t="s">
        <v>58</v>
      </c>
      <c r="AO265">
        <v>43077</v>
      </c>
      <c r="AP265">
        <v>0.90000000000000047</v>
      </c>
      <c r="AQ265">
        <v>0</v>
      </c>
      <c r="AR265">
        <v>0</v>
      </c>
      <c r="AS265">
        <v>9.9999999999999534E-2</v>
      </c>
      <c r="AV265">
        <v>43084</v>
      </c>
      <c r="AW265">
        <v>0.04</v>
      </c>
      <c r="AX265">
        <v>0.86000000000000043</v>
      </c>
      <c r="AY265">
        <v>0</v>
      </c>
      <c r="AZ265">
        <v>9.9999999999999534E-2</v>
      </c>
      <c r="BC265">
        <v>42559</v>
      </c>
      <c r="BD265">
        <v>0.04</v>
      </c>
      <c r="BE265">
        <v>0.25999999999999995</v>
      </c>
      <c r="BF265">
        <v>0.48000000000000015</v>
      </c>
      <c r="BG265">
        <v>0.21999999999999981</v>
      </c>
    </row>
    <row r="266" spans="1:59" x14ac:dyDescent="0.3">
      <c r="A266" t="s">
        <v>58</v>
      </c>
      <c r="B266" t="s">
        <v>58</v>
      </c>
      <c r="C266" t="s">
        <v>58</v>
      </c>
      <c r="D266" t="s">
        <v>58</v>
      </c>
      <c r="E266" t="s">
        <v>58</v>
      </c>
      <c r="J266" t="s">
        <v>58</v>
      </c>
      <c r="K266" t="s">
        <v>58</v>
      </c>
      <c r="L266" t="s">
        <v>58</v>
      </c>
      <c r="M266" t="s">
        <v>58</v>
      </c>
      <c r="N266" t="s">
        <v>58</v>
      </c>
      <c r="R266" t="s">
        <v>58</v>
      </c>
      <c r="S266" t="s">
        <v>58</v>
      </c>
      <c r="T266" t="s">
        <v>58</v>
      </c>
      <c r="U266" t="s">
        <v>58</v>
      </c>
      <c r="V266" t="s">
        <v>58</v>
      </c>
      <c r="Z266" t="s">
        <v>58</v>
      </c>
      <c r="AA266" t="s">
        <v>58</v>
      </c>
      <c r="AB266" t="s">
        <v>58</v>
      </c>
      <c r="AC266" t="s">
        <v>58</v>
      </c>
      <c r="AD266" t="s">
        <v>58</v>
      </c>
      <c r="AG266" t="s">
        <v>58</v>
      </c>
      <c r="AH266" t="s">
        <v>58</v>
      </c>
      <c r="AI266" t="s">
        <v>58</v>
      </c>
      <c r="AJ266" t="s">
        <v>58</v>
      </c>
      <c r="AK266" t="s">
        <v>58</v>
      </c>
      <c r="AO266">
        <v>43084</v>
      </c>
      <c r="AP266">
        <v>0.88000000000000045</v>
      </c>
      <c r="AQ266">
        <v>0.02</v>
      </c>
      <c r="AR266">
        <v>0</v>
      </c>
      <c r="AS266">
        <v>9.9999999999999548E-2</v>
      </c>
      <c r="AV266">
        <v>43091</v>
      </c>
      <c r="AW266">
        <v>0.02</v>
      </c>
      <c r="AX266">
        <v>0.88000000000000045</v>
      </c>
      <c r="AY266">
        <v>0</v>
      </c>
      <c r="AZ266">
        <v>9.9999999999999534E-2</v>
      </c>
      <c r="BC266">
        <v>42566</v>
      </c>
      <c r="BD266">
        <v>0.08</v>
      </c>
      <c r="BE266">
        <v>0.27999999999999997</v>
      </c>
      <c r="BF266">
        <v>0.4200000000000001</v>
      </c>
      <c r="BG266">
        <v>0.22000000000000003</v>
      </c>
    </row>
    <row r="267" spans="1:59" x14ac:dyDescent="0.3">
      <c r="A267" t="s">
        <v>58</v>
      </c>
      <c r="B267" t="s">
        <v>58</v>
      </c>
      <c r="C267" t="s">
        <v>58</v>
      </c>
      <c r="D267" t="s">
        <v>58</v>
      </c>
      <c r="E267" t="s">
        <v>58</v>
      </c>
      <c r="J267" t="s">
        <v>58</v>
      </c>
      <c r="K267" t="s">
        <v>58</v>
      </c>
      <c r="L267" t="s">
        <v>58</v>
      </c>
      <c r="M267" t="s">
        <v>58</v>
      </c>
      <c r="N267" t="s">
        <v>58</v>
      </c>
      <c r="R267" t="s">
        <v>58</v>
      </c>
      <c r="S267" t="s">
        <v>58</v>
      </c>
      <c r="T267" t="s">
        <v>58</v>
      </c>
      <c r="U267" t="s">
        <v>58</v>
      </c>
      <c r="V267" t="s">
        <v>58</v>
      </c>
      <c r="Z267" t="s">
        <v>58</v>
      </c>
      <c r="AA267" t="s">
        <v>58</v>
      </c>
      <c r="AB267" t="s">
        <v>58</v>
      </c>
      <c r="AC267" t="s">
        <v>58</v>
      </c>
      <c r="AD267" t="s">
        <v>58</v>
      </c>
      <c r="AG267" t="s">
        <v>58</v>
      </c>
      <c r="AH267" t="s">
        <v>58</v>
      </c>
      <c r="AI267" t="s">
        <v>58</v>
      </c>
      <c r="AJ267" t="s">
        <v>58</v>
      </c>
      <c r="AK267" t="s">
        <v>58</v>
      </c>
      <c r="AO267">
        <v>43091</v>
      </c>
      <c r="AP267">
        <v>0.90000000000000047</v>
      </c>
      <c r="AQ267">
        <v>0.02</v>
      </c>
      <c r="AR267">
        <v>0</v>
      </c>
      <c r="AS267">
        <v>7.999999999999953E-2</v>
      </c>
      <c r="AV267">
        <v>43098</v>
      </c>
      <c r="AW267">
        <v>0.06</v>
      </c>
      <c r="AX267">
        <v>0.86000000000000043</v>
      </c>
      <c r="AY267">
        <v>0</v>
      </c>
      <c r="AZ267">
        <v>7.9999999999999516E-2</v>
      </c>
      <c r="BC267">
        <v>42573</v>
      </c>
      <c r="BD267">
        <v>0.14000000000000001</v>
      </c>
      <c r="BE267">
        <v>0.23999999999999996</v>
      </c>
      <c r="BF267">
        <v>0.44000000000000011</v>
      </c>
      <c r="BG267">
        <v>0.17999999999999988</v>
      </c>
    </row>
    <row r="268" spans="1:59" x14ac:dyDescent="0.3">
      <c r="A268" t="s">
        <v>58</v>
      </c>
      <c r="B268" t="s">
        <v>58</v>
      </c>
      <c r="C268" t="s">
        <v>58</v>
      </c>
      <c r="D268" t="s">
        <v>58</v>
      </c>
      <c r="E268" t="s">
        <v>58</v>
      </c>
      <c r="J268" t="s">
        <v>58</v>
      </c>
      <c r="K268" t="s">
        <v>58</v>
      </c>
      <c r="L268" t="s">
        <v>58</v>
      </c>
      <c r="M268" t="s">
        <v>58</v>
      </c>
      <c r="N268" t="s">
        <v>58</v>
      </c>
      <c r="R268" t="s">
        <v>58</v>
      </c>
      <c r="S268" t="s">
        <v>58</v>
      </c>
      <c r="T268" t="s">
        <v>58</v>
      </c>
      <c r="U268" t="s">
        <v>58</v>
      </c>
      <c r="V268" t="s">
        <v>58</v>
      </c>
      <c r="Z268" t="s">
        <v>58</v>
      </c>
      <c r="AA268" t="s">
        <v>58</v>
      </c>
      <c r="AB268" t="s">
        <v>58</v>
      </c>
      <c r="AC268" t="s">
        <v>58</v>
      </c>
      <c r="AD268" t="s">
        <v>58</v>
      </c>
      <c r="AG268" t="s">
        <v>58</v>
      </c>
      <c r="AH268" t="s">
        <v>58</v>
      </c>
      <c r="AI268" t="s">
        <v>58</v>
      </c>
      <c r="AJ268" t="s">
        <v>58</v>
      </c>
      <c r="AK268" t="s">
        <v>58</v>
      </c>
      <c r="AO268">
        <v>43098</v>
      </c>
      <c r="AP268">
        <v>0.88000000000000045</v>
      </c>
      <c r="AQ268">
        <v>0</v>
      </c>
      <c r="AR268">
        <v>0.04</v>
      </c>
      <c r="AS268">
        <v>7.9999999999999544E-2</v>
      </c>
      <c r="AV268">
        <v>43105</v>
      </c>
      <c r="AW268">
        <v>0.06</v>
      </c>
      <c r="AX268">
        <v>0.86000000000000043</v>
      </c>
      <c r="AY268">
        <v>0</v>
      </c>
      <c r="AZ268">
        <v>7.9999999999999516E-2</v>
      </c>
      <c r="BC268">
        <v>42580</v>
      </c>
      <c r="BD268">
        <v>0.23999999999999996</v>
      </c>
      <c r="BE268">
        <v>0</v>
      </c>
      <c r="BF268">
        <v>0.62000000000000022</v>
      </c>
      <c r="BG268">
        <v>0.13999999999999979</v>
      </c>
    </row>
    <row r="269" spans="1:59" x14ac:dyDescent="0.3">
      <c r="A269" t="s">
        <v>58</v>
      </c>
      <c r="B269" t="s">
        <v>58</v>
      </c>
      <c r="C269" t="s">
        <v>58</v>
      </c>
      <c r="D269" t="s">
        <v>58</v>
      </c>
      <c r="E269" t="s">
        <v>58</v>
      </c>
      <c r="J269" t="s">
        <v>58</v>
      </c>
      <c r="K269" t="s">
        <v>58</v>
      </c>
      <c r="L269" t="s">
        <v>58</v>
      </c>
      <c r="M269" t="s">
        <v>58</v>
      </c>
      <c r="N269" t="s">
        <v>58</v>
      </c>
      <c r="R269" t="s">
        <v>58</v>
      </c>
      <c r="S269" t="s">
        <v>58</v>
      </c>
      <c r="T269" t="s">
        <v>58</v>
      </c>
      <c r="U269" t="s">
        <v>58</v>
      </c>
      <c r="V269" t="s">
        <v>58</v>
      </c>
      <c r="Z269" t="s">
        <v>58</v>
      </c>
      <c r="AA269" t="s">
        <v>58</v>
      </c>
      <c r="AB269" t="s">
        <v>58</v>
      </c>
      <c r="AC269" t="s">
        <v>58</v>
      </c>
      <c r="AD269" t="s">
        <v>58</v>
      </c>
      <c r="AG269" t="s">
        <v>58</v>
      </c>
      <c r="AH269" t="s">
        <v>58</v>
      </c>
      <c r="AI269" t="s">
        <v>58</v>
      </c>
      <c r="AJ269" t="s">
        <v>58</v>
      </c>
      <c r="AK269" t="s">
        <v>58</v>
      </c>
      <c r="AO269">
        <v>43105</v>
      </c>
      <c r="AP269">
        <v>0.90000000000000047</v>
      </c>
      <c r="AQ269">
        <v>0</v>
      </c>
      <c r="AR269">
        <v>0.02</v>
      </c>
      <c r="AS269">
        <v>7.999999999999953E-2</v>
      </c>
      <c r="AV269">
        <v>43112</v>
      </c>
      <c r="AW269">
        <v>0.02</v>
      </c>
      <c r="AX269">
        <v>0.86000000000000043</v>
      </c>
      <c r="AY269">
        <v>0</v>
      </c>
      <c r="AZ269">
        <v>0.11999999999999955</v>
      </c>
      <c r="BC269">
        <v>42587</v>
      </c>
      <c r="BD269">
        <v>0.25999999999999995</v>
      </c>
      <c r="BE269">
        <v>0.08</v>
      </c>
      <c r="BF269">
        <v>0.50000000000000011</v>
      </c>
      <c r="BG269">
        <v>0.15999999999999992</v>
      </c>
    </row>
    <row r="270" spans="1:59" x14ac:dyDescent="0.3">
      <c r="A270" t="s">
        <v>58</v>
      </c>
      <c r="B270" t="s">
        <v>58</v>
      </c>
      <c r="C270" t="s">
        <v>58</v>
      </c>
      <c r="D270" t="s">
        <v>58</v>
      </c>
      <c r="E270" t="s">
        <v>58</v>
      </c>
      <c r="J270" t="s">
        <v>58</v>
      </c>
      <c r="K270" t="s">
        <v>58</v>
      </c>
      <c r="L270" t="s">
        <v>58</v>
      </c>
      <c r="M270" t="s">
        <v>58</v>
      </c>
      <c r="N270" t="s">
        <v>58</v>
      </c>
      <c r="R270" t="s">
        <v>58</v>
      </c>
      <c r="S270" t="s">
        <v>58</v>
      </c>
      <c r="T270" t="s">
        <v>58</v>
      </c>
      <c r="U270" t="s">
        <v>58</v>
      </c>
      <c r="V270" t="s">
        <v>58</v>
      </c>
      <c r="Z270" t="s">
        <v>58</v>
      </c>
      <c r="AA270" t="s">
        <v>58</v>
      </c>
      <c r="AB270" t="s">
        <v>58</v>
      </c>
      <c r="AC270" t="s">
        <v>58</v>
      </c>
      <c r="AD270" t="s">
        <v>58</v>
      </c>
      <c r="AG270" t="s">
        <v>58</v>
      </c>
      <c r="AH270" t="s">
        <v>58</v>
      </c>
      <c r="AI270" t="s">
        <v>58</v>
      </c>
      <c r="AJ270" t="s">
        <v>58</v>
      </c>
      <c r="AK270" t="s">
        <v>58</v>
      </c>
      <c r="AO270">
        <v>43112</v>
      </c>
      <c r="AP270">
        <v>0.86000000000000043</v>
      </c>
      <c r="AQ270">
        <v>0</v>
      </c>
      <c r="AR270">
        <v>0.04</v>
      </c>
      <c r="AS270">
        <v>9.9999999999999561E-2</v>
      </c>
      <c r="AV270">
        <v>43119</v>
      </c>
      <c r="AW270">
        <v>0.1</v>
      </c>
      <c r="AX270">
        <v>0.76000000000000034</v>
      </c>
      <c r="AY270">
        <v>0</v>
      </c>
      <c r="AZ270">
        <v>0.13999999999999968</v>
      </c>
      <c r="BC270">
        <v>42594</v>
      </c>
      <c r="BD270">
        <v>0.25999999999999995</v>
      </c>
      <c r="BE270">
        <v>0.08</v>
      </c>
      <c r="BF270">
        <v>0.50000000000000011</v>
      </c>
      <c r="BG270">
        <v>0.15999999999999992</v>
      </c>
    </row>
    <row r="271" spans="1:59" x14ac:dyDescent="0.3">
      <c r="A271" t="s">
        <v>58</v>
      </c>
      <c r="B271" t="s">
        <v>58</v>
      </c>
      <c r="C271" t="s">
        <v>58</v>
      </c>
      <c r="D271" t="s">
        <v>58</v>
      </c>
      <c r="E271" t="s">
        <v>58</v>
      </c>
      <c r="J271" t="s">
        <v>58</v>
      </c>
      <c r="K271" t="s">
        <v>58</v>
      </c>
      <c r="L271" t="s">
        <v>58</v>
      </c>
      <c r="M271" t="s">
        <v>58</v>
      </c>
      <c r="N271" t="s">
        <v>58</v>
      </c>
      <c r="R271" t="s">
        <v>58</v>
      </c>
      <c r="S271" t="s">
        <v>58</v>
      </c>
      <c r="T271" t="s">
        <v>58</v>
      </c>
      <c r="U271" t="s">
        <v>58</v>
      </c>
      <c r="V271" t="s">
        <v>58</v>
      </c>
      <c r="Z271" t="s">
        <v>58</v>
      </c>
      <c r="AA271" t="s">
        <v>58</v>
      </c>
      <c r="AB271" t="s">
        <v>58</v>
      </c>
      <c r="AC271" t="s">
        <v>58</v>
      </c>
      <c r="AD271" t="s">
        <v>58</v>
      </c>
      <c r="AG271" t="s">
        <v>58</v>
      </c>
      <c r="AH271" t="s">
        <v>58</v>
      </c>
      <c r="AI271" t="s">
        <v>58</v>
      </c>
      <c r="AJ271" t="s">
        <v>58</v>
      </c>
      <c r="AK271" t="s">
        <v>58</v>
      </c>
      <c r="AO271">
        <v>43119</v>
      </c>
      <c r="AP271">
        <v>0.86000000000000043</v>
      </c>
      <c r="AQ271">
        <v>0</v>
      </c>
      <c r="AR271">
        <v>0</v>
      </c>
      <c r="AS271">
        <v>0.13999999999999957</v>
      </c>
      <c r="AV271">
        <v>43126</v>
      </c>
      <c r="AW271">
        <v>0.16</v>
      </c>
      <c r="AX271">
        <v>0.72000000000000031</v>
      </c>
      <c r="AY271">
        <v>0</v>
      </c>
      <c r="AZ271">
        <v>0.11999999999999966</v>
      </c>
      <c r="BC271">
        <v>42601</v>
      </c>
      <c r="BD271">
        <v>0.3</v>
      </c>
      <c r="BE271">
        <v>0.06</v>
      </c>
      <c r="BF271">
        <v>0.50000000000000011</v>
      </c>
      <c r="BG271">
        <v>0.13999999999999979</v>
      </c>
    </row>
    <row r="272" spans="1:59" x14ac:dyDescent="0.3">
      <c r="A272" t="s">
        <v>58</v>
      </c>
      <c r="B272" t="s">
        <v>58</v>
      </c>
      <c r="C272" t="s">
        <v>58</v>
      </c>
      <c r="D272" t="s">
        <v>58</v>
      </c>
      <c r="E272" t="s">
        <v>58</v>
      </c>
      <c r="J272" t="s">
        <v>58</v>
      </c>
      <c r="K272" t="s">
        <v>58</v>
      </c>
      <c r="L272" t="s">
        <v>58</v>
      </c>
      <c r="M272" t="s">
        <v>58</v>
      </c>
      <c r="N272" t="s">
        <v>58</v>
      </c>
      <c r="R272" t="s">
        <v>58</v>
      </c>
      <c r="S272" t="s">
        <v>58</v>
      </c>
      <c r="T272" t="s">
        <v>58</v>
      </c>
      <c r="U272" t="s">
        <v>58</v>
      </c>
      <c r="V272" t="s">
        <v>58</v>
      </c>
      <c r="Z272" t="s">
        <v>58</v>
      </c>
      <c r="AA272" t="s">
        <v>58</v>
      </c>
      <c r="AB272" t="s">
        <v>58</v>
      </c>
      <c r="AC272" t="s">
        <v>58</v>
      </c>
      <c r="AD272" t="s">
        <v>58</v>
      </c>
      <c r="AG272" t="s">
        <v>58</v>
      </c>
      <c r="AH272" t="s">
        <v>58</v>
      </c>
      <c r="AI272" t="s">
        <v>58</v>
      </c>
      <c r="AJ272" t="s">
        <v>58</v>
      </c>
      <c r="AK272" t="s">
        <v>58</v>
      </c>
      <c r="AO272">
        <v>43126</v>
      </c>
      <c r="AP272">
        <v>0.88000000000000045</v>
      </c>
      <c r="AQ272">
        <v>0</v>
      </c>
      <c r="AR272">
        <v>0</v>
      </c>
      <c r="AS272">
        <v>0.11999999999999955</v>
      </c>
      <c r="AV272">
        <v>43133</v>
      </c>
      <c r="AW272">
        <v>0.18</v>
      </c>
      <c r="AX272">
        <v>0.68000000000000027</v>
      </c>
      <c r="AY272">
        <v>0</v>
      </c>
      <c r="AZ272">
        <v>0.13999999999999979</v>
      </c>
      <c r="BC272">
        <v>42608</v>
      </c>
      <c r="BD272">
        <v>0.3</v>
      </c>
      <c r="BE272">
        <v>0.04</v>
      </c>
      <c r="BF272">
        <v>0.50000000000000011</v>
      </c>
      <c r="BG272">
        <v>0.15999999999999981</v>
      </c>
    </row>
    <row r="273" spans="1:59" x14ac:dyDescent="0.3">
      <c r="A273" t="s">
        <v>58</v>
      </c>
      <c r="B273" t="s">
        <v>58</v>
      </c>
      <c r="C273" t="s">
        <v>58</v>
      </c>
      <c r="D273" t="s">
        <v>58</v>
      </c>
      <c r="E273" t="s">
        <v>58</v>
      </c>
      <c r="J273" t="s">
        <v>58</v>
      </c>
      <c r="K273" t="s">
        <v>58</v>
      </c>
      <c r="L273" t="s">
        <v>58</v>
      </c>
      <c r="M273" t="s">
        <v>58</v>
      </c>
      <c r="N273" t="s">
        <v>58</v>
      </c>
      <c r="R273" t="s">
        <v>58</v>
      </c>
      <c r="S273" t="s">
        <v>58</v>
      </c>
      <c r="T273" t="s">
        <v>58</v>
      </c>
      <c r="U273" t="s">
        <v>58</v>
      </c>
      <c r="V273" t="s">
        <v>58</v>
      </c>
      <c r="Z273" t="s">
        <v>58</v>
      </c>
      <c r="AA273" t="s">
        <v>58</v>
      </c>
      <c r="AB273" t="s">
        <v>58</v>
      </c>
      <c r="AC273" t="s">
        <v>58</v>
      </c>
      <c r="AD273" t="s">
        <v>58</v>
      </c>
      <c r="AG273" t="s">
        <v>58</v>
      </c>
      <c r="AH273" t="s">
        <v>58</v>
      </c>
      <c r="AI273" t="s">
        <v>58</v>
      </c>
      <c r="AJ273" t="s">
        <v>58</v>
      </c>
      <c r="AK273" t="s">
        <v>58</v>
      </c>
      <c r="AO273">
        <v>43133</v>
      </c>
      <c r="AP273">
        <v>0.88000000000000045</v>
      </c>
      <c r="AQ273">
        <v>0</v>
      </c>
      <c r="AR273">
        <v>0</v>
      </c>
      <c r="AS273">
        <v>0.11999999999999955</v>
      </c>
      <c r="AV273">
        <v>43140</v>
      </c>
      <c r="AW273">
        <v>0.14000000000000001</v>
      </c>
      <c r="AX273">
        <v>0.68000000000000027</v>
      </c>
      <c r="AY273">
        <v>0</v>
      </c>
      <c r="AZ273">
        <v>0.17999999999999972</v>
      </c>
      <c r="BC273">
        <v>42615</v>
      </c>
      <c r="BD273">
        <v>0.40000000000000008</v>
      </c>
      <c r="BE273">
        <v>0.40000000000000008</v>
      </c>
      <c r="BF273">
        <v>0.1</v>
      </c>
      <c r="BG273">
        <v>9.9999999999999784E-2</v>
      </c>
    </row>
    <row r="274" spans="1:59" x14ac:dyDescent="0.3">
      <c r="A274" t="s">
        <v>58</v>
      </c>
      <c r="B274" t="s">
        <v>58</v>
      </c>
      <c r="C274" t="s">
        <v>58</v>
      </c>
      <c r="D274" t="s">
        <v>58</v>
      </c>
      <c r="E274" t="s">
        <v>58</v>
      </c>
      <c r="J274" t="s">
        <v>58</v>
      </c>
      <c r="K274" t="s">
        <v>58</v>
      </c>
      <c r="L274" t="s">
        <v>58</v>
      </c>
      <c r="M274" t="s">
        <v>58</v>
      </c>
      <c r="N274" t="s">
        <v>58</v>
      </c>
      <c r="R274" t="s">
        <v>58</v>
      </c>
      <c r="S274" t="s">
        <v>58</v>
      </c>
      <c r="T274" t="s">
        <v>58</v>
      </c>
      <c r="U274" t="s">
        <v>58</v>
      </c>
      <c r="V274" t="s">
        <v>58</v>
      </c>
      <c r="Z274" t="s">
        <v>58</v>
      </c>
      <c r="AA274" t="s">
        <v>58</v>
      </c>
      <c r="AB274" t="s">
        <v>58</v>
      </c>
      <c r="AC274" t="s">
        <v>58</v>
      </c>
      <c r="AD274" t="s">
        <v>58</v>
      </c>
      <c r="AG274" t="s">
        <v>58</v>
      </c>
      <c r="AH274" t="s">
        <v>58</v>
      </c>
      <c r="AI274" t="s">
        <v>58</v>
      </c>
      <c r="AJ274" t="s">
        <v>58</v>
      </c>
      <c r="AK274" t="s">
        <v>58</v>
      </c>
      <c r="AO274">
        <v>43140</v>
      </c>
      <c r="AP274">
        <v>0.8200000000000004</v>
      </c>
      <c r="AQ274">
        <v>0</v>
      </c>
      <c r="AR274">
        <v>0</v>
      </c>
      <c r="AS274">
        <v>0.1799999999999996</v>
      </c>
      <c r="AV274">
        <v>43145</v>
      </c>
      <c r="AW274">
        <v>0.04</v>
      </c>
      <c r="AX274">
        <v>0.72000000000000031</v>
      </c>
      <c r="AY274">
        <v>0</v>
      </c>
      <c r="AZ274">
        <v>0.23999999999999966</v>
      </c>
      <c r="BC274">
        <v>42622</v>
      </c>
      <c r="BD274">
        <v>0.48000000000000015</v>
      </c>
      <c r="BE274">
        <v>0.23999999999999996</v>
      </c>
      <c r="BF274">
        <v>0.16</v>
      </c>
      <c r="BG274">
        <v>0.1199999999999998</v>
      </c>
    </row>
    <row r="275" spans="1:59" x14ac:dyDescent="0.3">
      <c r="A275" t="s">
        <v>58</v>
      </c>
      <c r="B275" t="s">
        <v>58</v>
      </c>
      <c r="C275" t="s">
        <v>58</v>
      </c>
      <c r="D275" t="s">
        <v>58</v>
      </c>
      <c r="E275" t="s">
        <v>58</v>
      </c>
      <c r="J275" t="s">
        <v>58</v>
      </c>
      <c r="K275" t="s">
        <v>58</v>
      </c>
      <c r="L275" t="s">
        <v>58</v>
      </c>
      <c r="M275" t="s">
        <v>58</v>
      </c>
      <c r="N275" t="s">
        <v>58</v>
      </c>
      <c r="R275" t="s">
        <v>58</v>
      </c>
      <c r="S275" t="s">
        <v>58</v>
      </c>
      <c r="T275" t="s">
        <v>58</v>
      </c>
      <c r="U275" t="s">
        <v>58</v>
      </c>
      <c r="V275" t="s">
        <v>58</v>
      </c>
      <c r="Z275" t="s">
        <v>58</v>
      </c>
      <c r="AA275" t="s">
        <v>58</v>
      </c>
      <c r="AB275" t="s">
        <v>58</v>
      </c>
      <c r="AC275" t="s">
        <v>58</v>
      </c>
      <c r="AD275" t="s">
        <v>58</v>
      </c>
      <c r="AG275" t="s">
        <v>58</v>
      </c>
      <c r="AH275" t="s">
        <v>58</v>
      </c>
      <c r="AI275" t="s">
        <v>58</v>
      </c>
      <c r="AJ275" t="s">
        <v>58</v>
      </c>
      <c r="AK275" t="s">
        <v>58</v>
      </c>
      <c r="AO275">
        <v>43145</v>
      </c>
      <c r="AP275">
        <v>0.78000000000000036</v>
      </c>
      <c r="AQ275">
        <v>0</v>
      </c>
      <c r="AR275">
        <v>0</v>
      </c>
      <c r="AS275">
        <v>0.21999999999999964</v>
      </c>
      <c r="AV275">
        <v>43154</v>
      </c>
      <c r="AW275">
        <v>0.12000000000000001</v>
      </c>
      <c r="AX275">
        <v>0.72000000000000031</v>
      </c>
      <c r="AY275">
        <v>0</v>
      </c>
      <c r="AZ275">
        <v>0.1599999999999997</v>
      </c>
      <c r="BC275">
        <v>42627</v>
      </c>
      <c r="BD275">
        <v>0.56000000000000016</v>
      </c>
      <c r="BE275">
        <v>0</v>
      </c>
      <c r="BF275">
        <v>0.3</v>
      </c>
      <c r="BG275">
        <v>0.13999999999999985</v>
      </c>
    </row>
    <row r="276" spans="1:59" x14ac:dyDescent="0.3">
      <c r="A276" t="s">
        <v>58</v>
      </c>
      <c r="B276" t="s">
        <v>58</v>
      </c>
      <c r="C276" t="s">
        <v>58</v>
      </c>
      <c r="D276" t="s">
        <v>58</v>
      </c>
      <c r="E276" t="s">
        <v>58</v>
      </c>
      <c r="J276" t="s">
        <v>58</v>
      </c>
      <c r="K276" t="s">
        <v>58</v>
      </c>
      <c r="L276" t="s">
        <v>58</v>
      </c>
      <c r="M276" t="s">
        <v>58</v>
      </c>
      <c r="N276" t="s">
        <v>58</v>
      </c>
      <c r="R276" t="s">
        <v>58</v>
      </c>
      <c r="S276" t="s">
        <v>58</v>
      </c>
      <c r="T276" t="s">
        <v>58</v>
      </c>
      <c r="U276" t="s">
        <v>58</v>
      </c>
      <c r="V276" t="s">
        <v>58</v>
      </c>
      <c r="Z276" t="s">
        <v>58</v>
      </c>
      <c r="AA276" t="s">
        <v>58</v>
      </c>
      <c r="AB276" t="s">
        <v>58</v>
      </c>
      <c r="AC276" t="s">
        <v>58</v>
      </c>
      <c r="AD276" t="s">
        <v>58</v>
      </c>
      <c r="AG276" t="s">
        <v>58</v>
      </c>
      <c r="AH276" t="s">
        <v>58</v>
      </c>
      <c r="AI276" t="s">
        <v>58</v>
      </c>
      <c r="AJ276" t="s">
        <v>58</v>
      </c>
      <c r="AK276" t="s">
        <v>58</v>
      </c>
      <c r="AO276">
        <v>43154</v>
      </c>
      <c r="AP276">
        <v>0.72000000000000031</v>
      </c>
      <c r="AQ276">
        <v>0</v>
      </c>
      <c r="AR276">
        <v>0</v>
      </c>
      <c r="AS276">
        <v>0.27999999999999969</v>
      </c>
      <c r="AV276">
        <v>43161</v>
      </c>
      <c r="AW276">
        <v>0.19999999999999998</v>
      </c>
      <c r="AX276">
        <v>0.72000000000000031</v>
      </c>
      <c r="AY276">
        <v>0</v>
      </c>
      <c r="AZ276">
        <v>7.9999999999999738E-2</v>
      </c>
      <c r="BC276">
        <v>42636</v>
      </c>
      <c r="BD276">
        <v>0.54000000000000015</v>
      </c>
      <c r="BE276">
        <v>0</v>
      </c>
      <c r="BF276">
        <v>0.3</v>
      </c>
      <c r="BG276">
        <v>0.15999999999999986</v>
      </c>
    </row>
    <row r="277" spans="1:59" x14ac:dyDescent="0.3">
      <c r="A277" t="s">
        <v>58</v>
      </c>
      <c r="B277" t="s">
        <v>58</v>
      </c>
      <c r="C277" t="s">
        <v>58</v>
      </c>
      <c r="D277" t="s">
        <v>58</v>
      </c>
      <c r="E277" t="s">
        <v>58</v>
      </c>
      <c r="J277" t="s">
        <v>58</v>
      </c>
      <c r="K277" t="s">
        <v>58</v>
      </c>
      <c r="L277" t="s">
        <v>58</v>
      </c>
      <c r="M277" t="s">
        <v>58</v>
      </c>
      <c r="N277" t="s">
        <v>58</v>
      </c>
      <c r="R277" t="s">
        <v>58</v>
      </c>
      <c r="S277" t="s">
        <v>58</v>
      </c>
      <c r="T277" t="s">
        <v>58</v>
      </c>
      <c r="U277" t="s">
        <v>58</v>
      </c>
      <c r="V277" t="s">
        <v>58</v>
      </c>
      <c r="Z277" t="s">
        <v>58</v>
      </c>
      <c r="AA277" t="s">
        <v>58</v>
      </c>
      <c r="AB277" t="s">
        <v>58</v>
      </c>
      <c r="AC277" t="s">
        <v>58</v>
      </c>
      <c r="AD277" t="s">
        <v>58</v>
      </c>
      <c r="AG277" t="s">
        <v>58</v>
      </c>
      <c r="AH277" t="s">
        <v>58</v>
      </c>
      <c r="AI277" t="s">
        <v>58</v>
      </c>
      <c r="AJ277" t="s">
        <v>58</v>
      </c>
      <c r="AK277" t="s">
        <v>58</v>
      </c>
      <c r="AO277">
        <v>43161</v>
      </c>
      <c r="AP277">
        <v>0.8200000000000004</v>
      </c>
      <c r="AQ277">
        <v>0</v>
      </c>
      <c r="AR277">
        <v>0</v>
      </c>
      <c r="AS277">
        <v>0.1799999999999996</v>
      </c>
      <c r="AV277">
        <v>43168</v>
      </c>
      <c r="AW277">
        <v>0.23999999999999996</v>
      </c>
      <c r="AX277">
        <v>0.70000000000000029</v>
      </c>
      <c r="AY277">
        <v>0</v>
      </c>
      <c r="AZ277">
        <v>5.999999999999972E-2</v>
      </c>
      <c r="BC277">
        <v>42643</v>
      </c>
      <c r="BD277">
        <v>0.54000000000000015</v>
      </c>
      <c r="BE277">
        <v>0</v>
      </c>
      <c r="BF277">
        <v>0.27999999999999997</v>
      </c>
      <c r="BG277">
        <v>0.17999999999999988</v>
      </c>
    </row>
    <row r="278" spans="1:59" x14ac:dyDescent="0.3">
      <c r="A278" t="s">
        <v>58</v>
      </c>
      <c r="B278" t="s">
        <v>58</v>
      </c>
      <c r="C278" t="s">
        <v>58</v>
      </c>
      <c r="D278" t="s">
        <v>58</v>
      </c>
      <c r="E278" t="s">
        <v>58</v>
      </c>
      <c r="J278" t="s">
        <v>58</v>
      </c>
      <c r="K278" t="s">
        <v>58</v>
      </c>
      <c r="L278" t="s">
        <v>58</v>
      </c>
      <c r="M278" t="s">
        <v>58</v>
      </c>
      <c r="N278" t="s">
        <v>58</v>
      </c>
      <c r="R278" t="s">
        <v>58</v>
      </c>
      <c r="S278" t="s">
        <v>58</v>
      </c>
      <c r="T278" t="s">
        <v>58</v>
      </c>
      <c r="U278" t="s">
        <v>58</v>
      </c>
      <c r="V278" t="s">
        <v>58</v>
      </c>
      <c r="Z278" t="s">
        <v>58</v>
      </c>
      <c r="AA278" t="s">
        <v>58</v>
      </c>
      <c r="AB278" t="s">
        <v>58</v>
      </c>
      <c r="AC278" t="s">
        <v>58</v>
      </c>
      <c r="AD278" t="s">
        <v>58</v>
      </c>
      <c r="AG278" t="s">
        <v>58</v>
      </c>
      <c r="AH278" t="s">
        <v>58</v>
      </c>
      <c r="AI278" t="s">
        <v>58</v>
      </c>
      <c r="AJ278" t="s">
        <v>58</v>
      </c>
      <c r="AK278" t="s">
        <v>58</v>
      </c>
      <c r="AO278">
        <v>43168</v>
      </c>
      <c r="AP278">
        <v>0.84000000000000041</v>
      </c>
      <c r="AQ278">
        <v>0</v>
      </c>
      <c r="AR278">
        <v>0</v>
      </c>
      <c r="AS278">
        <v>0.15999999999999959</v>
      </c>
      <c r="AV278" t="s">
        <v>58</v>
      </c>
      <c r="AW278" t="s">
        <v>58</v>
      </c>
      <c r="AX278" t="s">
        <v>58</v>
      </c>
      <c r="AY278" t="s">
        <v>58</v>
      </c>
      <c r="AZ278" t="s">
        <v>58</v>
      </c>
      <c r="BC278">
        <v>42657</v>
      </c>
      <c r="BD278">
        <v>0.56000000000000016</v>
      </c>
      <c r="BE278">
        <v>0</v>
      </c>
      <c r="BF278">
        <v>0.32</v>
      </c>
      <c r="BG278">
        <v>0.11999999999999983</v>
      </c>
    </row>
    <row r="279" spans="1:59" x14ac:dyDescent="0.3">
      <c r="A279" t="s">
        <v>58</v>
      </c>
      <c r="B279" t="s">
        <v>58</v>
      </c>
      <c r="C279" t="s">
        <v>58</v>
      </c>
      <c r="D279" t="s">
        <v>58</v>
      </c>
      <c r="E279" t="s">
        <v>58</v>
      </c>
      <c r="J279" t="s">
        <v>58</v>
      </c>
      <c r="K279" t="s">
        <v>58</v>
      </c>
      <c r="L279" t="s">
        <v>58</v>
      </c>
      <c r="M279" t="s">
        <v>58</v>
      </c>
      <c r="N279" t="s">
        <v>58</v>
      </c>
      <c r="R279" t="s">
        <v>58</v>
      </c>
      <c r="S279" t="s">
        <v>58</v>
      </c>
      <c r="T279" t="s">
        <v>58</v>
      </c>
      <c r="U279" t="s">
        <v>58</v>
      </c>
      <c r="V279" t="s">
        <v>58</v>
      </c>
      <c r="Z279" t="s">
        <v>58</v>
      </c>
      <c r="AA279" t="s">
        <v>58</v>
      </c>
      <c r="AB279" t="s">
        <v>58</v>
      </c>
      <c r="AC279" t="s">
        <v>58</v>
      </c>
      <c r="AD279" t="s">
        <v>58</v>
      </c>
      <c r="AG279" t="s">
        <v>58</v>
      </c>
      <c r="AH279" t="s">
        <v>58</v>
      </c>
      <c r="AI279" t="s">
        <v>58</v>
      </c>
      <c r="AJ279" t="s">
        <v>58</v>
      </c>
      <c r="AK279" t="s">
        <v>58</v>
      </c>
      <c r="AO279" t="s">
        <v>58</v>
      </c>
      <c r="AP279" t="s">
        <v>58</v>
      </c>
      <c r="AQ279" t="s">
        <v>58</v>
      </c>
      <c r="AR279" t="s">
        <v>58</v>
      </c>
      <c r="AS279" t="s">
        <v>58</v>
      </c>
      <c r="AV279" t="s">
        <v>58</v>
      </c>
      <c r="AW279" t="s">
        <v>58</v>
      </c>
      <c r="AX279" t="s">
        <v>58</v>
      </c>
      <c r="AY279" t="s">
        <v>58</v>
      </c>
      <c r="AZ279" t="s">
        <v>58</v>
      </c>
      <c r="BC279">
        <v>42664</v>
      </c>
      <c r="BD279">
        <v>0.44000000000000011</v>
      </c>
      <c r="BE279">
        <v>0.21999999999999997</v>
      </c>
      <c r="BF279">
        <v>0.21999999999999997</v>
      </c>
      <c r="BG279">
        <v>0.11999999999999988</v>
      </c>
    </row>
    <row r="280" spans="1:59" x14ac:dyDescent="0.3">
      <c r="A280" t="s">
        <v>58</v>
      </c>
      <c r="B280" t="s">
        <v>58</v>
      </c>
      <c r="C280" t="s">
        <v>58</v>
      </c>
      <c r="D280" t="s">
        <v>58</v>
      </c>
      <c r="E280" t="s">
        <v>58</v>
      </c>
      <c r="J280" t="s">
        <v>58</v>
      </c>
      <c r="K280" t="s">
        <v>58</v>
      </c>
      <c r="L280" t="s">
        <v>58</v>
      </c>
      <c r="M280" t="s">
        <v>58</v>
      </c>
      <c r="N280" t="s">
        <v>58</v>
      </c>
      <c r="R280" t="s">
        <v>58</v>
      </c>
      <c r="S280" t="s">
        <v>58</v>
      </c>
      <c r="T280" t="s">
        <v>58</v>
      </c>
      <c r="U280" t="s">
        <v>58</v>
      </c>
      <c r="V280" t="s">
        <v>58</v>
      </c>
      <c r="Z280" t="s">
        <v>58</v>
      </c>
      <c r="AA280" t="s">
        <v>58</v>
      </c>
      <c r="AB280" t="s">
        <v>58</v>
      </c>
      <c r="AC280" t="s">
        <v>58</v>
      </c>
      <c r="AD280" t="s">
        <v>58</v>
      </c>
      <c r="AG280" t="s">
        <v>58</v>
      </c>
      <c r="AH280" t="s">
        <v>58</v>
      </c>
      <c r="AI280" t="s">
        <v>58</v>
      </c>
      <c r="AJ280" t="s">
        <v>58</v>
      </c>
      <c r="AK280" t="s">
        <v>58</v>
      </c>
      <c r="AO280" t="s">
        <v>58</v>
      </c>
      <c r="AP280" t="s">
        <v>58</v>
      </c>
      <c r="AQ280" t="s">
        <v>58</v>
      </c>
      <c r="AR280" t="s">
        <v>58</v>
      </c>
      <c r="AS280" t="s">
        <v>58</v>
      </c>
      <c r="AV280" t="s">
        <v>58</v>
      </c>
      <c r="AW280" t="s">
        <v>58</v>
      </c>
      <c r="AX280" t="s">
        <v>58</v>
      </c>
      <c r="AY280" t="s">
        <v>58</v>
      </c>
      <c r="AZ280" t="s">
        <v>58</v>
      </c>
      <c r="BC280">
        <v>42671</v>
      </c>
      <c r="BD280">
        <v>0.46000000000000013</v>
      </c>
      <c r="BE280">
        <v>0.02</v>
      </c>
      <c r="BF280">
        <v>0.38000000000000006</v>
      </c>
      <c r="BG280">
        <v>0.13999999999999974</v>
      </c>
    </row>
    <row r="281" spans="1:59" x14ac:dyDescent="0.3">
      <c r="A281" t="s">
        <v>58</v>
      </c>
      <c r="B281" t="s">
        <v>58</v>
      </c>
      <c r="C281" t="s">
        <v>58</v>
      </c>
      <c r="D281" t="s">
        <v>58</v>
      </c>
      <c r="E281" t="s">
        <v>58</v>
      </c>
      <c r="J281" t="s">
        <v>58</v>
      </c>
      <c r="K281" t="s">
        <v>58</v>
      </c>
      <c r="L281" t="s">
        <v>58</v>
      </c>
      <c r="M281" t="s">
        <v>58</v>
      </c>
      <c r="N281" t="s">
        <v>58</v>
      </c>
      <c r="R281" t="s">
        <v>58</v>
      </c>
      <c r="S281" t="s">
        <v>58</v>
      </c>
      <c r="T281" t="s">
        <v>58</v>
      </c>
      <c r="U281" t="s">
        <v>58</v>
      </c>
      <c r="V281" t="s">
        <v>58</v>
      </c>
      <c r="Z281" t="s">
        <v>58</v>
      </c>
      <c r="AA281" t="s">
        <v>58</v>
      </c>
      <c r="AB281" t="s">
        <v>58</v>
      </c>
      <c r="AC281" t="s">
        <v>58</v>
      </c>
      <c r="AD281" t="s">
        <v>58</v>
      </c>
      <c r="AG281" t="s">
        <v>58</v>
      </c>
      <c r="AH281" t="s">
        <v>58</v>
      </c>
      <c r="AI281" t="s">
        <v>58</v>
      </c>
      <c r="AJ281" t="s">
        <v>58</v>
      </c>
      <c r="AK281" t="s">
        <v>58</v>
      </c>
      <c r="AO281" t="s">
        <v>58</v>
      </c>
      <c r="AP281" t="s">
        <v>58</v>
      </c>
      <c r="AQ281" t="s">
        <v>58</v>
      </c>
      <c r="AR281" t="s">
        <v>58</v>
      </c>
      <c r="AS281" t="s">
        <v>58</v>
      </c>
      <c r="AV281" t="s">
        <v>58</v>
      </c>
      <c r="AW281" t="s">
        <v>58</v>
      </c>
      <c r="AX281" t="s">
        <v>58</v>
      </c>
      <c r="AY281" t="s">
        <v>58</v>
      </c>
      <c r="AZ281" t="s">
        <v>58</v>
      </c>
      <c r="BC281">
        <v>42678</v>
      </c>
      <c r="BD281">
        <v>0.48000000000000015</v>
      </c>
      <c r="BE281">
        <v>0</v>
      </c>
      <c r="BF281">
        <v>0.38000000000000006</v>
      </c>
      <c r="BG281">
        <v>0.13999999999999974</v>
      </c>
    </row>
    <row r="282" spans="1:59" x14ac:dyDescent="0.3">
      <c r="A282" t="s">
        <v>58</v>
      </c>
      <c r="B282" t="s">
        <v>58</v>
      </c>
      <c r="C282" t="s">
        <v>58</v>
      </c>
      <c r="D282" t="s">
        <v>58</v>
      </c>
      <c r="E282" t="s">
        <v>58</v>
      </c>
      <c r="J282" t="s">
        <v>58</v>
      </c>
      <c r="K282" t="s">
        <v>58</v>
      </c>
      <c r="L282" t="s">
        <v>58</v>
      </c>
      <c r="M282" t="s">
        <v>58</v>
      </c>
      <c r="N282" t="s">
        <v>58</v>
      </c>
      <c r="R282" t="s">
        <v>58</v>
      </c>
      <c r="S282" t="s">
        <v>58</v>
      </c>
      <c r="T282" t="s">
        <v>58</v>
      </c>
      <c r="U282" t="s">
        <v>58</v>
      </c>
      <c r="V282" t="s">
        <v>58</v>
      </c>
      <c r="Z282" t="s">
        <v>58</v>
      </c>
      <c r="AA282" t="s">
        <v>58</v>
      </c>
      <c r="AB282" t="s">
        <v>58</v>
      </c>
      <c r="AC282" t="s">
        <v>58</v>
      </c>
      <c r="AD282" t="s">
        <v>58</v>
      </c>
      <c r="AG282" t="s">
        <v>58</v>
      </c>
      <c r="AH282" t="s">
        <v>58</v>
      </c>
      <c r="AI282" t="s">
        <v>58</v>
      </c>
      <c r="AJ282" t="s">
        <v>58</v>
      </c>
      <c r="AK282" t="s">
        <v>58</v>
      </c>
      <c r="AO282" t="s">
        <v>58</v>
      </c>
      <c r="AP282" t="s">
        <v>58</v>
      </c>
      <c r="AQ282" t="s">
        <v>58</v>
      </c>
      <c r="AR282" t="s">
        <v>58</v>
      </c>
      <c r="AS282" t="s">
        <v>58</v>
      </c>
      <c r="AV282" t="s">
        <v>58</v>
      </c>
      <c r="AW282" t="s">
        <v>58</v>
      </c>
      <c r="AX282" t="s">
        <v>58</v>
      </c>
      <c r="AY282" t="s">
        <v>58</v>
      </c>
      <c r="AZ282" t="s">
        <v>58</v>
      </c>
      <c r="BC282">
        <v>42685</v>
      </c>
      <c r="BD282">
        <v>0.48000000000000015</v>
      </c>
      <c r="BE282">
        <v>0.48000000000000015</v>
      </c>
      <c r="BF282">
        <v>0</v>
      </c>
      <c r="BG282">
        <v>3.9999999999999647E-2</v>
      </c>
    </row>
    <row r="283" spans="1:59" x14ac:dyDescent="0.3">
      <c r="A283" t="s">
        <v>58</v>
      </c>
      <c r="B283" t="s">
        <v>58</v>
      </c>
      <c r="C283" t="s">
        <v>58</v>
      </c>
      <c r="D283" t="s">
        <v>58</v>
      </c>
      <c r="E283" t="s">
        <v>58</v>
      </c>
      <c r="J283" t="s">
        <v>58</v>
      </c>
      <c r="K283" t="s">
        <v>58</v>
      </c>
      <c r="L283" t="s">
        <v>58</v>
      </c>
      <c r="M283" t="s">
        <v>58</v>
      </c>
      <c r="N283" t="s">
        <v>58</v>
      </c>
      <c r="R283" t="s">
        <v>58</v>
      </c>
      <c r="S283" t="s">
        <v>58</v>
      </c>
      <c r="T283" t="s">
        <v>58</v>
      </c>
      <c r="U283" t="s">
        <v>58</v>
      </c>
      <c r="V283" t="s">
        <v>58</v>
      </c>
      <c r="Z283" t="s">
        <v>58</v>
      </c>
      <c r="AA283" t="s">
        <v>58</v>
      </c>
      <c r="AB283" t="s">
        <v>58</v>
      </c>
      <c r="AC283" t="s">
        <v>58</v>
      </c>
      <c r="AD283" t="s">
        <v>58</v>
      </c>
      <c r="AG283" t="s">
        <v>58</v>
      </c>
      <c r="AH283" t="s">
        <v>58</v>
      </c>
      <c r="AI283" t="s">
        <v>58</v>
      </c>
      <c r="AJ283" t="s">
        <v>58</v>
      </c>
      <c r="AK283" t="s">
        <v>58</v>
      </c>
      <c r="AO283" t="s">
        <v>58</v>
      </c>
      <c r="AP283" t="s">
        <v>58</v>
      </c>
      <c r="AQ283" t="s">
        <v>58</v>
      </c>
      <c r="AR283" t="s">
        <v>58</v>
      </c>
      <c r="AS283" t="s">
        <v>58</v>
      </c>
      <c r="AV283" t="s">
        <v>58</v>
      </c>
      <c r="AW283" t="s">
        <v>58</v>
      </c>
      <c r="AX283" t="s">
        <v>58</v>
      </c>
      <c r="AY283" t="s">
        <v>58</v>
      </c>
      <c r="AZ283" t="s">
        <v>58</v>
      </c>
      <c r="BC283">
        <v>42692</v>
      </c>
      <c r="BD283">
        <v>0.50000000000000011</v>
      </c>
      <c r="BE283">
        <v>0.48000000000000015</v>
      </c>
      <c r="BF283">
        <v>0</v>
      </c>
      <c r="BG283">
        <v>1.999999999999974E-2</v>
      </c>
    </row>
    <row r="284" spans="1:59" x14ac:dyDescent="0.3">
      <c r="A284" t="s">
        <v>58</v>
      </c>
      <c r="B284" t="s">
        <v>58</v>
      </c>
      <c r="C284" t="s">
        <v>58</v>
      </c>
      <c r="D284" t="s">
        <v>58</v>
      </c>
      <c r="E284" t="s">
        <v>58</v>
      </c>
      <c r="J284" t="s">
        <v>58</v>
      </c>
      <c r="K284" t="s">
        <v>58</v>
      </c>
      <c r="L284" t="s">
        <v>58</v>
      </c>
      <c r="M284" t="s">
        <v>58</v>
      </c>
      <c r="N284" t="s">
        <v>58</v>
      </c>
      <c r="R284" t="s">
        <v>58</v>
      </c>
      <c r="S284" t="s">
        <v>58</v>
      </c>
      <c r="T284" t="s">
        <v>58</v>
      </c>
      <c r="U284" t="s">
        <v>58</v>
      </c>
      <c r="V284" t="s">
        <v>58</v>
      </c>
      <c r="Z284" t="s">
        <v>58</v>
      </c>
      <c r="AA284" t="s">
        <v>58</v>
      </c>
      <c r="AB284" t="s">
        <v>58</v>
      </c>
      <c r="AC284" t="s">
        <v>58</v>
      </c>
      <c r="AD284" t="s">
        <v>58</v>
      </c>
      <c r="AG284" t="s">
        <v>58</v>
      </c>
      <c r="AH284" t="s">
        <v>58</v>
      </c>
      <c r="AI284" t="s">
        <v>58</v>
      </c>
      <c r="AJ284" t="s">
        <v>58</v>
      </c>
      <c r="AK284" t="s">
        <v>58</v>
      </c>
      <c r="AO284" t="s">
        <v>58</v>
      </c>
      <c r="AP284" t="s">
        <v>58</v>
      </c>
      <c r="AQ284" t="s">
        <v>58</v>
      </c>
      <c r="AR284" t="s">
        <v>58</v>
      </c>
      <c r="AS284" t="s">
        <v>58</v>
      </c>
      <c r="AV284" t="s">
        <v>58</v>
      </c>
      <c r="AW284" t="s">
        <v>58</v>
      </c>
      <c r="AX284" t="s">
        <v>58</v>
      </c>
      <c r="AY284" t="s">
        <v>58</v>
      </c>
      <c r="AZ284" t="s">
        <v>58</v>
      </c>
      <c r="BC284">
        <v>42699</v>
      </c>
      <c r="BD284">
        <v>0.54000000000000015</v>
      </c>
      <c r="BE284">
        <v>0.44000000000000011</v>
      </c>
      <c r="BF284">
        <v>0</v>
      </c>
      <c r="BG284">
        <v>1.999999999999974E-2</v>
      </c>
    </row>
    <row r="285" spans="1:59" x14ac:dyDescent="0.3">
      <c r="A285" t="s">
        <v>58</v>
      </c>
      <c r="B285" t="s">
        <v>58</v>
      </c>
      <c r="C285" t="s">
        <v>58</v>
      </c>
      <c r="D285" t="s">
        <v>58</v>
      </c>
      <c r="E285" t="s">
        <v>58</v>
      </c>
      <c r="J285" t="s">
        <v>58</v>
      </c>
      <c r="K285" t="s">
        <v>58</v>
      </c>
      <c r="L285" t="s">
        <v>58</v>
      </c>
      <c r="M285" t="s">
        <v>58</v>
      </c>
      <c r="N285" t="s">
        <v>58</v>
      </c>
      <c r="R285" t="s">
        <v>58</v>
      </c>
      <c r="S285" t="s">
        <v>58</v>
      </c>
      <c r="T285" t="s">
        <v>58</v>
      </c>
      <c r="U285" t="s">
        <v>58</v>
      </c>
      <c r="V285" t="s">
        <v>58</v>
      </c>
      <c r="Z285" t="s">
        <v>58</v>
      </c>
      <c r="AA285" t="s">
        <v>58</v>
      </c>
      <c r="AB285" t="s">
        <v>58</v>
      </c>
      <c r="AC285" t="s">
        <v>58</v>
      </c>
      <c r="AD285" t="s">
        <v>58</v>
      </c>
      <c r="AG285" t="s">
        <v>58</v>
      </c>
      <c r="AH285" t="s">
        <v>58</v>
      </c>
      <c r="AI285" t="s">
        <v>58</v>
      </c>
      <c r="AJ285" t="s">
        <v>58</v>
      </c>
      <c r="AK285" t="s">
        <v>58</v>
      </c>
      <c r="AO285" t="s">
        <v>58</v>
      </c>
      <c r="AP285" t="s">
        <v>58</v>
      </c>
      <c r="AQ285" t="s">
        <v>58</v>
      </c>
      <c r="AR285" t="s">
        <v>58</v>
      </c>
      <c r="AS285" t="s">
        <v>58</v>
      </c>
      <c r="AV285" t="s">
        <v>58</v>
      </c>
      <c r="AW285" t="s">
        <v>58</v>
      </c>
      <c r="AX285" t="s">
        <v>58</v>
      </c>
      <c r="AY285" t="s">
        <v>58</v>
      </c>
      <c r="AZ285" t="s">
        <v>58</v>
      </c>
      <c r="BC285">
        <v>42706</v>
      </c>
      <c r="BD285">
        <v>0.6000000000000002</v>
      </c>
      <c r="BE285">
        <v>0.25999999999999995</v>
      </c>
      <c r="BF285">
        <v>0.14000000000000001</v>
      </c>
      <c r="BG285">
        <v>-1.6653345369377348E-16</v>
      </c>
    </row>
    <row r="286" spans="1:59" x14ac:dyDescent="0.3">
      <c r="A286" t="s">
        <v>58</v>
      </c>
      <c r="B286" t="s">
        <v>58</v>
      </c>
      <c r="C286" t="s">
        <v>58</v>
      </c>
      <c r="D286" t="s">
        <v>58</v>
      </c>
      <c r="E286" t="s">
        <v>58</v>
      </c>
      <c r="J286" t="s">
        <v>58</v>
      </c>
      <c r="K286" t="s">
        <v>58</v>
      </c>
      <c r="L286" t="s">
        <v>58</v>
      </c>
      <c r="M286" t="s">
        <v>58</v>
      </c>
      <c r="N286" t="s">
        <v>58</v>
      </c>
      <c r="R286" t="s">
        <v>58</v>
      </c>
      <c r="S286" t="s">
        <v>58</v>
      </c>
      <c r="T286" t="s">
        <v>58</v>
      </c>
      <c r="U286" t="s">
        <v>58</v>
      </c>
      <c r="V286" t="s">
        <v>58</v>
      </c>
      <c r="Z286" t="s">
        <v>58</v>
      </c>
      <c r="AA286" t="s">
        <v>58</v>
      </c>
      <c r="AB286" t="s">
        <v>58</v>
      </c>
      <c r="AC286" t="s">
        <v>58</v>
      </c>
      <c r="AD286" t="s">
        <v>58</v>
      </c>
      <c r="AG286" t="s">
        <v>58</v>
      </c>
      <c r="AH286" t="s">
        <v>58</v>
      </c>
      <c r="AI286" t="s">
        <v>58</v>
      </c>
      <c r="AJ286" t="s">
        <v>58</v>
      </c>
      <c r="AK286" t="s">
        <v>58</v>
      </c>
      <c r="AO286" t="s">
        <v>58</v>
      </c>
      <c r="AP286" t="s">
        <v>58</v>
      </c>
      <c r="AQ286" t="s">
        <v>58</v>
      </c>
      <c r="AR286" t="s">
        <v>58</v>
      </c>
      <c r="AS286" t="s">
        <v>58</v>
      </c>
      <c r="AV286" t="s">
        <v>58</v>
      </c>
      <c r="AW286" t="s">
        <v>58</v>
      </c>
      <c r="AX286" t="s">
        <v>58</v>
      </c>
      <c r="AY286" t="s">
        <v>58</v>
      </c>
      <c r="AZ286" t="s">
        <v>58</v>
      </c>
      <c r="BC286">
        <v>42713</v>
      </c>
      <c r="BD286">
        <v>0.98000000000000054</v>
      </c>
      <c r="BE286">
        <v>0</v>
      </c>
      <c r="BF286">
        <v>0</v>
      </c>
      <c r="BG286">
        <v>1.9999999999999463E-2</v>
      </c>
    </row>
    <row r="287" spans="1:59" x14ac:dyDescent="0.3">
      <c r="A287" t="s">
        <v>58</v>
      </c>
      <c r="B287" t="s">
        <v>58</v>
      </c>
      <c r="C287" t="s">
        <v>58</v>
      </c>
      <c r="D287" t="s">
        <v>58</v>
      </c>
      <c r="E287" t="s">
        <v>58</v>
      </c>
      <c r="J287" t="s">
        <v>58</v>
      </c>
      <c r="K287" t="s">
        <v>58</v>
      </c>
      <c r="L287" t="s">
        <v>58</v>
      </c>
      <c r="M287" t="s">
        <v>58</v>
      </c>
      <c r="N287" t="s">
        <v>58</v>
      </c>
      <c r="R287" t="s">
        <v>58</v>
      </c>
      <c r="S287" t="s">
        <v>58</v>
      </c>
      <c r="T287" t="s">
        <v>58</v>
      </c>
      <c r="U287" t="s">
        <v>58</v>
      </c>
      <c r="V287" t="s">
        <v>58</v>
      </c>
      <c r="Z287" t="s">
        <v>58</v>
      </c>
      <c r="AA287" t="s">
        <v>58</v>
      </c>
      <c r="AB287" t="s">
        <v>58</v>
      </c>
      <c r="AC287" t="s">
        <v>58</v>
      </c>
      <c r="AD287" t="s">
        <v>58</v>
      </c>
      <c r="AG287" t="s">
        <v>58</v>
      </c>
      <c r="AH287" t="s">
        <v>58</v>
      </c>
      <c r="AI287" t="s">
        <v>58</v>
      </c>
      <c r="AJ287" t="s">
        <v>58</v>
      </c>
      <c r="AK287" t="s">
        <v>58</v>
      </c>
      <c r="AO287" t="s">
        <v>58</v>
      </c>
      <c r="AP287" t="s">
        <v>58</v>
      </c>
      <c r="AQ287" t="s">
        <v>58</v>
      </c>
      <c r="AR287" t="s">
        <v>58</v>
      </c>
      <c r="AS287" t="s">
        <v>58</v>
      </c>
      <c r="AV287" t="s">
        <v>58</v>
      </c>
      <c r="AW287" t="s">
        <v>58</v>
      </c>
      <c r="AX287" t="s">
        <v>58</v>
      </c>
      <c r="AY287" t="s">
        <v>58</v>
      </c>
      <c r="AZ287" t="s">
        <v>58</v>
      </c>
      <c r="BC287">
        <v>42720</v>
      </c>
      <c r="BD287">
        <v>0.98000000000000054</v>
      </c>
      <c r="BE287">
        <v>0</v>
      </c>
      <c r="BF287">
        <v>0</v>
      </c>
      <c r="BG287">
        <v>1.9999999999999463E-2</v>
      </c>
    </row>
    <row r="288" spans="1:59" x14ac:dyDescent="0.3">
      <c r="A288" t="s">
        <v>58</v>
      </c>
      <c r="B288" t="s">
        <v>58</v>
      </c>
      <c r="C288" t="s">
        <v>58</v>
      </c>
      <c r="D288" t="s">
        <v>58</v>
      </c>
      <c r="E288" t="s">
        <v>58</v>
      </c>
      <c r="J288" t="s">
        <v>58</v>
      </c>
      <c r="K288" t="s">
        <v>58</v>
      </c>
      <c r="L288" t="s">
        <v>58</v>
      </c>
      <c r="M288" t="s">
        <v>58</v>
      </c>
      <c r="N288" t="s">
        <v>58</v>
      </c>
      <c r="R288" t="s">
        <v>58</v>
      </c>
      <c r="S288" t="s">
        <v>58</v>
      </c>
      <c r="T288" t="s">
        <v>58</v>
      </c>
      <c r="U288" t="s">
        <v>58</v>
      </c>
      <c r="V288" t="s">
        <v>58</v>
      </c>
      <c r="Z288" t="s">
        <v>58</v>
      </c>
      <c r="AA288" t="s">
        <v>58</v>
      </c>
      <c r="AB288" t="s">
        <v>58</v>
      </c>
      <c r="AC288" t="s">
        <v>58</v>
      </c>
      <c r="AD288" t="s">
        <v>58</v>
      </c>
      <c r="AG288" t="s">
        <v>58</v>
      </c>
      <c r="AH288" t="s">
        <v>58</v>
      </c>
      <c r="AI288" t="s">
        <v>58</v>
      </c>
      <c r="AJ288" t="s">
        <v>58</v>
      </c>
      <c r="AK288" t="s">
        <v>58</v>
      </c>
      <c r="AO288" t="s">
        <v>58</v>
      </c>
      <c r="AP288" t="s">
        <v>58</v>
      </c>
      <c r="AQ288" t="s">
        <v>58</v>
      </c>
      <c r="AR288" t="s">
        <v>58</v>
      </c>
      <c r="AS288" t="s">
        <v>58</v>
      </c>
      <c r="AV288" t="s">
        <v>58</v>
      </c>
      <c r="AW288" t="s">
        <v>58</v>
      </c>
      <c r="AX288" t="s">
        <v>58</v>
      </c>
      <c r="AY288" t="s">
        <v>58</v>
      </c>
      <c r="AZ288" t="s">
        <v>58</v>
      </c>
      <c r="BC288">
        <v>42727</v>
      </c>
      <c r="BD288">
        <v>0.98000000000000054</v>
      </c>
      <c r="BE288">
        <v>0</v>
      </c>
      <c r="BF288">
        <v>0</v>
      </c>
      <c r="BG288">
        <v>1.9999999999999463E-2</v>
      </c>
    </row>
    <row r="289" spans="1:59" x14ac:dyDescent="0.3">
      <c r="A289" t="s">
        <v>58</v>
      </c>
      <c r="B289" t="s">
        <v>58</v>
      </c>
      <c r="C289" t="s">
        <v>58</v>
      </c>
      <c r="D289" t="s">
        <v>58</v>
      </c>
      <c r="E289" t="s">
        <v>58</v>
      </c>
      <c r="J289" t="s">
        <v>58</v>
      </c>
      <c r="K289" t="s">
        <v>58</v>
      </c>
      <c r="L289" t="s">
        <v>58</v>
      </c>
      <c r="M289" t="s">
        <v>58</v>
      </c>
      <c r="N289" t="s">
        <v>58</v>
      </c>
      <c r="R289" t="s">
        <v>58</v>
      </c>
      <c r="S289" t="s">
        <v>58</v>
      </c>
      <c r="T289" t="s">
        <v>58</v>
      </c>
      <c r="U289" t="s">
        <v>58</v>
      </c>
      <c r="V289" t="s">
        <v>58</v>
      </c>
      <c r="Z289" t="s">
        <v>58</v>
      </c>
      <c r="AA289" t="s">
        <v>58</v>
      </c>
      <c r="AB289" t="s">
        <v>58</v>
      </c>
      <c r="AC289" t="s">
        <v>58</v>
      </c>
      <c r="AD289" t="s">
        <v>58</v>
      </c>
      <c r="AG289" t="s">
        <v>58</v>
      </c>
      <c r="AH289" t="s">
        <v>58</v>
      </c>
      <c r="AI289" t="s">
        <v>58</v>
      </c>
      <c r="AJ289" t="s">
        <v>58</v>
      </c>
      <c r="AK289" t="s">
        <v>58</v>
      </c>
      <c r="AO289" t="s">
        <v>58</v>
      </c>
      <c r="AP289" t="s">
        <v>58</v>
      </c>
      <c r="AQ289" t="s">
        <v>58</v>
      </c>
      <c r="AR289" t="s">
        <v>58</v>
      </c>
      <c r="AS289" t="s">
        <v>58</v>
      </c>
      <c r="AV289" t="s">
        <v>58</v>
      </c>
      <c r="AW289" t="s">
        <v>58</v>
      </c>
      <c r="AX289" t="s">
        <v>58</v>
      </c>
      <c r="AY289" t="s">
        <v>58</v>
      </c>
      <c r="AZ289" t="s">
        <v>58</v>
      </c>
      <c r="BC289">
        <v>42734</v>
      </c>
      <c r="BD289">
        <v>0.98000000000000054</v>
      </c>
      <c r="BE289">
        <v>0</v>
      </c>
      <c r="BF289">
        <v>0</v>
      </c>
      <c r="BG289">
        <v>1.9999999999999463E-2</v>
      </c>
    </row>
    <row r="290" spans="1:59" x14ac:dyDescent="0.3">
      <c r="A290" t="s">
        <v>58</v>
      </c>
      <c r="B290" t="s">
        <v>58</v>
      </c>
      <c r="C290" t="s">
        <v>58</v>
      </c>
      <c r="D290" t="s">
        <v>58</v>
      </c>
      <c r="E290" t="s">
        <v>58</v>
      </c>
      <c r="J290" t="s">
        <v>58</v>
      </c>
      <c r="K290" t="s">
        <v>58</v>
      </c>
      <c r="L290" t="s">
        <v>58</v>
      </c>
      <c r="M290" t="s">
        <v>58</v>
      </c>
      <c r="N290" t="s">
        <v>58</v>
      </c>
      <c r="R290" t="s">
        <v>58</v>
      </c>
      <c r="S290" t="s">
        <v>58</v>
      </c>
      <c r="T290" t="s">
        <v>58</v>
      </c>
      <c r="U290" t="s">
        <v>58</v>
      </c>
      <c r="V290" t="s">
        <v>58</v>
      </c>
      <c r="Z290" t="s">
        <v>58</v>
      </c>
      <c r="AA290" t="s">
        <v>58</v>
      </c>
      <c r="AB290" t="s">
        <v>58</v>
      </c>
      <c r="AC290" t="s">
        <v>58</v>
      </c>
      <c r="AD290" t="s">
        <v>58</v>
      </c>
      <c r="AG290" t="s">
        <v>58</v>
      </c>
      <c r="AH290" t="s">
        <v>58</v>
      </c>
      <c r="AI290" t="s">
        <v>58</v>
      </c>
      <c r="AJ290" t="s">
        <v>58</v>
      </c>
      <c r="AK290" t="s">
        <v>58</v>
      </c>
      <c r="AO290" t="s">
        <v>58</v>
      </c>
      <c r="AP290" t="s">
        <v>58</v>
      </c>
      <c r="AQ290" t="s">
        <v>58</v>
      </c>
      <c r="AR290" t="s">
        <v>58</v>
      </c>
      <c r="AS290" t="s">
        <v>58</v>
      </c>
      <c r="AV290" t="s">
        <v>58</v>
      </c>
      <c r="AW290" t="s">
        <v>58</v>
      </c>
      <c r="AX290" t="s">
        <v>58</v>
      </c>
      <c r="AY290" t="s">
        <v>58</v>
      </c>
      <c r="AZ290" t="s">
        <v>58</v>
      </c>
      <c r="BC290">
        <v>42741</v>
      </c>
      <c r="BD290">
        <v>0.98000000000000054</v>
      </c>
      <c r="BE290">
        <v>0</v>
      </c>
      <c r="BF290">
        <v>0</v>
      </c>
      <c r="BG290">
        <v>1.9999999999999463E-2</v>
      </c>
    </row>
    <row r="291" spans="1:59" x14ac:dyDescent="0.3">
      <c r="A291" t="s">
        <v>58</v>
      </c>
      <c r="B291" t="s">
        <v>58</v>
      </c>
      <c r="C291" t="s">
        <v>58</v>
      </c>
      <c r="D291" t="s">
        <v>58</v>
      </c>
      <c r="E291" t="s">
        <v>58</v>
      </c>
      <c r="J291" t="s">
        <v>58</v>
      </c>
      <c r="K291" t="s">
        <v>58</v>
      </c>
      <c r="L291" t="s">
        <v>58</v>
      </c>
      <c r="M291" t="s">
        <v>58</v>
      </c>
      <c r="N291" t="s">
        <v>58</v>
      </c>
      <c r="R291" t="s">
        <v>58</v>
      </c>
      <c r="S291" t="s">
        <v>58</v>
      </c>
      <c r="T291" t="s">
        <v>58</v>
      </c>
      <c r="U291" t="s">
        <v>58</v>
      </c>
      <c r="V291" t="s">
        <v>58</v>
      </c>
      <c r="Z291" t="s">
        <v>58</v>
      </c>
      <c r="AA291" t="s">
        <v>58</v>
      </c>
      <c r="AB291" t="s">
        <v>58</v>
      </c>
      <c r="AC291" t="s">
        <v>58</v>
      </c>
      <c r="AD291" t="s">
        <v>58</v>
      </c>
      <c r="AG291" t="s">
        <v>58</v>
      </c>
      <c r="AH291" t="s">
        <v>58</v>
      </c>
      <c r="AI291" t="s">
        <v>58</v>
      </c>
      <c r="AJ291" t="s">
        <v>58</v>
      </c>
      <c r="AK291" t="s">
        <v>58</v>
      </c>
      <c r="AO291" t="s">
        <v>58</v>
      </c>
      <c r="AP291" t="s">
        <v>58</v>
      </c>
      <c r="AQ291" t="s">
        <v>58</v>
      </c>
      <c r="AR291" t="s">
        <v>58</v>
      </c>
      <c r="AS291" t="s">
        <v>58</v>
      </c>
      <c r="AV291" t="s">
        <v>58</v>
      </c>
      <c r="AW291" t="s">
        <v>58</v>
      </c>
      <c r="AX291" t="s">
        <v>58</v>
      </c>
      <c r="AY291" t="s">
        <v>58</v>
      </c>
      <c r="AZ291" t="s">
        <v>58</v>
      </c>
      <c r="BC291">
        <v>42748</v>
      </c>
      <c r="BD291">
        <v>0.78000000000000036</v>
      </c>
      <c r="BE291">
        <v>0.12000000000000001</v>
      </c>
      <c r="BF291">
        <v>0</v>
      </c>
      <c r="BG291">
        <v>9.9999999999999631E-2</v>
      </c>
    </row>
    <row r="292" spans="1:59" x14ac:dyDescent="0.3">
      <c r="A292" t="s">
        <v>58</v>
      </c>
      <c r="B292" t="s">
        <v>58</v>
      </c>
      <c r="C292" t="s">
        <v>58</v>
      </c>
      <c r="D292" t="s">
        <v>58</v>
      </c>
      <c r="E292" t="s">
        <v>58</v>
      </c>
      <c r="J292" t="s">
        <v>58</v>
      </c>
      <c r="K292" t="s">
        <v>58</v>
      </c>
      <c r="L292" t="s">
        <v>58</v>
      </c>
      <c r="M292" t="s">
        <v>58</v>
      </c>
      <c r="N292" t="s">
        <v>58</v>
      </c>
      <c r="R292" t="s">
        <v>58</v>
      </c>
      <c r="S292" t="s">
        <v>58</v>
      </c>
      <c r="T292" t="s">
        <v>58</v>
      </c>
      <c r="U292" t="s">
        <v>58</v>
      </c>
      <c r="V292" t="s">
        <v>58</v>
      </c>
      <c r="Z292" t="s">
        <v>58</v>
      </c>
      <c r="AA292" t="s">
        <v>58</v>
      </c>
      <c r="AB292" t="s">
        <v>58</v>
      </c>
      <c r="AC292" t="s">
        <v>58</v>
      </c>
      <c r="AD292" t="s">
        <v>58</v>
      </c>
      <c r="AG292" t="s">
        <v>58</v>
      </c>
      <c r="AH292" t="s">
        <v>58</v>
      </c>
      <c r="AI292" t="s">
        <v>58</v>
      </c>
      <c r="AJ292" t="s">
        <v>58</v>
      </c>
      <c r="AK292" t="s">
        <v>58</v>
      </c>
      <c r="AO292" t="s">
        <v>58</v>
      </c>
      <c r="AP292" t="s">
        <v>58</v>
      </c>
      <c r="AQ292" t="s">
        <v>58</v>
      </c>
      <c r="AR292" t="s">
        <v>58</v>
      </c>
      <c r="AS292" t="s">
        <v>58</v>
      </c>
      <c r="AV292" t="s">
        <v>58</v>
      </c>
      <c r="AW292" t="s">
        <v>58</v>
      </c>
      <c r="AX292" t="s">
        <v>58</v>
      </c>
      <c r="AY292" t="s">
        <v>58</v>
      </c>
      <c r="AZ292" t="s">
        <v>58</v>
      </c>
      <c r="BC292">
        <v>42755</v>
      </c>
      <c r="BD292">
        <v>0.74000000000000032</v>
      </c>
      <c r="BE292">
        <v>0.08</v>
      </c>
      <c r="BF292">
        <v>0</v>
      </c>
      <c r="BG292">
        <v>0.17999999999999966</v>
      </c>
    </row>
    <row r="293" spans="1:59" x14ac:dyDescent="0.3">
      <c r="A293" t="s">
        <v>58</v>
      </c>
      <c r="B293" t="s">
        <v>58</v>
      </c>
      <c r="C293" t="s">
        <v>58</v>
      </c>
      <c r="D293" t="s">
        <v>58</v>
      </c>
      <c r="E293" t="s">
        <v>58</v>
      </c>
      <c r="J293" t="s">
        <v>58</v>
      </c>
      <c r="K293" t="s">
        <v>58</v>
      </c>
      <c r="L293" t="s">
        <v>58</v>
      </c>
      <c r="M293" t="s">
        <v>58</v>
      </c>
      <c r="N293" t="s">
        <v>58</v>
      </c>
      <c r="R293" t="s">
        <v>58</v>
      </c>
      <c r="S293" t="s">
        <v>58</v>
      </c>
      <c r="T293" t="s">
        <v>58</v>
      </c>
      <c r="U293" t="s">
        <v>58</v>
      </c>
      <c r="V293" t="s">
        <v>58</v>
      </c>
      <c r="Z293" t="s">
        <v>58</v>
      </c>
      <c r="AA293" t="s">
        <v>58</v>
      </c>
      <c r="AB293" t="s">
        <v>58</v>
      </c>
      <c r="AC293" t="s">
        <v>58</v>
      </c>
      <c r="AD293" t="s">
        <v>58</v>
      </c>
      <c r="AG293" t="s">
        <v>58</v>
      </c>
      <c r="AH293" t="s">
        <v>58</v>
      </c>
      <c r="AI293" t="s">
        <v>58</v>
      </c>
      <c r="AJ293" t="s">
        <v>58</v>
      </c>
      <c r="AK293" t="s">
        <v>58</v>
      </c>
      <c r="AO293" t="s">
        <v>58</v>
      </c>
      <c r="AP293" t="s">
        <v>58</v>
      </c>
      <c r="AQ293" t="s">
        <v>58</v>
      </c>
      <c r="AR293" t="s">
        <v>58</v>
      </c>
      <c r="AS293" t="s">
        <v>58</v>
      </c>
      <c r="AV293" t="s">
        <v>58</v>
      </c>
      <c r="AW293" t="s">
        <v>58</v>
      </c>
      <c r="AX293" t="s">
        <v>58</v>
      </c>
      <c r="AY293" t="s">
        <v>58</v>
      </c>
      <c r="AZ293" t="s">
        <v>58</v>
      </c>
      <c r="BC293">
        <v>42761</v>
      </c>
      <c r="BD293">
        <v>0.84000000000000041</v>
      </c>
      <c r="BE293">
        <v>0.14000000000000001</v>
      </c>
      <c r="BF293">
        <v>0</v>
      </c>
      <c r="BG293">
        <v>1.9999999999999574E-2</v>
      </c>
    </row>
    <row r="294" spans="1:59" x14ac:dyDescent="0.3">
      <c r="A294" t="s">
        <v>58</v>
      </c>
      <c r="B294" t="s">
        <v>58</v>
      </c>
      <c r="C294" t="s">
        <v>58</v>
      </c>
      <c r="D294" t="s">
        <v>58</v>
      </c>
      <c r="E294" t="s">
        <v>58</v>
      </c>
      <c r="J294" t="s">
        <v>58</v>
      </c>
      <c r="K294" t="s">
        <v>58</v>
      </c>
      <c r="L294" t="s">
        <v>58</v>
      </c>
      <c r="M294" t="s">
        <v>58</v>
      </c>
      <c r="N294" t="s">
        <v>58</v>
      </c>
      <c r="R294" t="s">
        <v>58</v>
      </c>
      <c r="S294" t="s">
        <v>58</v>
      </c>
      <c r="T294" t="s">
        <v>58</v>
      </c>
      <c r="U294" t="s">
        <v>58</v>
      </c>
      <c r="V294" t="s">
        <v>58</v>
      </c>
      <c r="Z294" t="s">
        <v>58</v>
      </c>
      <c r="AA294" t="s">
        <v>58</v>
      </c>
      <c r="AB294" t="s">
        <v>58</v>
      </c>
      <c r="AC294" t="s">
        <v>58</v>
      </c>
      <c r="AD294" t="s">
        <v>58</v>
      </c>
      <c r="AG294" t="s">
        <v>58</v>
      </c>
      <c r="AH294" t="s">
        <v>58</v>
      </c>
      <c r="AI294" t="s">
        <v>58</v>
      </c>
      <c r="AJ294" t="s">
        <v>58</v>
      </c>
      <c r="AK294" t="s">
        <v>58</v>
      </c>
      <c r="AO294" t="s">
        <v>58</v>
      </c>
      <c r="AP294" t="s">
        <v>58</v>
      </c>
      <c r="AQ294" t="s">
        <v>58</v>
      </c>
      <c r="AR294" t="s">
        <v>58</v>
      </c>
      <c r="AS294" t="s">
        <v>58</v>
      </c>
      <c r="AV294" t="s">
        <v>58</v>
      </c>
      <c r="AW294" t="s">
        <v>58</v>
      </c>
      <c r="AX294" t="s">
        <v>58</v>
      </c>
      <c r="AY294" t="s">
        <v>58</v>
      </c>
      <c r="AZ294" t="s">
        <v>58</v>
      </c>
      <c r="BC294">
        <v>42769</v>
      </c>
      <c r="BD294">
        <v>0.86000000000000043</v>
      </c>
      <c r="BE294">
        <v>0.12000000000000001</v>
      </c>
      <c r="BF294">
        <v>0</v>
      </c>
      <c r="BG294">
        <v>1.999999999999956E-2</v>
      </c>
    </row>
    <row r="295" spans="1:59" x14ac:dyDescent="0.3">
      <c r="A295" t="s">
        <v>58</v>
      </c>
      <c r="B295" t="s">
        <v>58</v>
      </c>
      <c r="C295" t="s">
        <v>58</v>
      </c>
      <c r="D295" t="s">
        <v>58</v>
      </c>
      <c r="E295" t="s">
        <v>58</v>
      </c>
      <c r="J295" t="s">
        <v>58</v>
      </c>
      <c r="K295" t="s">
        <v>58</v>
      </c>
      <c r="L295" t="s">
        <v>58</v>
      </c>
      <c r="M295" t="s">
        <v>58</v>
      </c>
      <c r="N295" t="s">
        <v>58</v>
      </c>
      <c r="R295" t="s">
        <v>58</v>
      </c>
      <c r="S295" t="s">
        <v>58</v>
      </c>
      <c r="T295" t="s">
        <v>58</v>
      </c>
      <c r="U295" t="s">
        <v>58</v>
      </c>
      <c r="V295" t="s">
        <v>58</v>
      </c>
      <c r="Z295" t="s">
        <v>58</v>
      </c>
      <c r="AA295" t="s">
        <v>58</v>
      </c>
      <c r="AB295" t="s">
        <v>58</v>
      </c>
      <c r="AC295" t="s">
        <v>58</v>
      </c>
      <c r="AD295" t="s">
        <v>58</v>
      </c>
      <c r="AG295" t="s">
        <v>58</v>
      </c>
      <c r="AH295" t="s">
        <v>58</v>
      </c>
      <c r="AI295" t="s">
        <v>58</v>
      </c>
      <c r="AJ295" t="s">
        <v>58</v>
      </c>
      <c r="AK295" t="s">
        <v>58</v>
      </c>
      <c r="AO295" t="s">
        <v>58</v>
      </c>
      <c r="AP295" t="s">
        <v>58</v>
      </c>
      <c r="AQ295" t="s">
        <v>58</v>
      </c>
      <c r="AR295" t="s">
        <v>58</v>
      </c>
      <c r="AS295" t="s">
        <v>58</v>
      </c>
      <c r="AV295" t="s">
        <v>58</v>
      </c>
      <c r="AW295" t="s">
        <v>58</v>
      </c>
      <c r="AX295" t="s">
        <v>58</v>
      </c>
      <c r="AY295" t="s">
        <v>58</v>
      </c>
      <c r="AZ295" t="s">
        <v>58</v>
      </c>
      <c r="BC295">
        <v>42776</v>
      </c>
      <c r="BD295">
        <v>0.86000000000000043</v>
      </c>
      <c r="BE295">
        <v>0.12000000000000001</v>
      </c>
      <c r="BF295">
        <v>0</v>
      </c>
      <c r="BG295">
        <v>1.999999999999956E-2</v>
      </c>
    </row>
    <row r="296" spans="1:59" x14ac:dyDescent="0.3">
      <c r="A296" t="s">
        <v>58</v>
      </c>
      <c r="B296" t="s">
        <v>58</v>
      </c>
      <c r="C296" t="s">
        <v>58</v>
      </c>
      <c r="D296" t="s">
        <v>58</v>
      </c>
      <c r="E296" t="s">
        <v>58</v>
      </c>
      <c r="J296" t="s">
        <v>58</v>
      </c>
      <c r="K296" t="s">
        <v>58</v>
      </c>
      <c r="L296" t="s">
        <v>58</v>
      </c>
      <c r="M296" t="s">
        <v>58</v>
      </c>
      <c r="N296" t="s">
        <v>58</v>
      </c>
      <c r="R296" t="s">
        <v>58</v>
      </c>
      <c r="S296" t="s">
        <v>58</v>
      </c>
      <c r="T296" t="s">
        <v>58</v>
      </c>
      <c r="U296" t="s">
        <v>58</v>
      </c>
      <c r="V296" t="s">
        <v>58</v>
      </c>
      <c r="Z296" t="s">
        <v>58</v>
      </c>
      <c r="AA296" t="s">
        <v>58</v>
      </c>
      <c r="AB296" t="s">
        <v>58</v>
      </c>
      <c r="AC296" t="s">
        <v>58</v>
      </c>
      <c r="AD296" t="s">
        <v>58</v>
      </c>
      <c r="AG296" t="s">
        <v>58</v>
      </c>
      <c r="AH296" t="s">
        <v>58</v>
      </c>
      <c r="AI296" t="s">
        <v>58</v>
      </c>
      <c r="AJ296" t="s">
        <v>58</v>
      </c>
      <c r="AK296" t="s">
        <v>58</v>
      </c>
      <c r="AO296" t="s">
        <v>58</v>
      </c>
      <c r="AP296" t="s">
        <v>58</v>
      </c>
      <c r="AQ296" t="s">
        <v>58</v>
      </c>
      <c r="AR296" t="s">
        <v>58</v>
      </c>
      <c r="AS296" t="s">
        <v>58</v>
      </c>
      <c r="AV296" t="s">
        <v>58</v>
      </c>
      <c r="AW296" t="s">
        <v>58</v>
      </c>
      <c r="AX296" t="s">
        <v>58</v>
      </c>
      <c r="AY296" t="s">
        <v>58</v>
      </c>
      <c r="AZ296" t="s">
        <v>58</v>
      </c>
      <c r="BC296">
        <v>42783</v>
      </c>
      <c r="BD296">
        <v>0.86000000000000043</v>
      </c>
      <c r="BE296">
        <v>0.12000000000000001</v>
      </c>
      <c r="BF296">
        <v>0</v>
      </c>
      <c r="BG296">
        <v>1.999999999999956E-2</v>
      </c>
    </row>
    <row r="297" spans="1:59" x14ac:dyDescent="0.3">
      <c r="A297" t="s">
        <v>58</v>
      </c>
      <c r="B297" t="s">
        <v>58</v>
      </c>
      <c r="C297" t="s">
        <v>58</v>
      </c>
      <c r="D297" t="s">
        <v>58</v>
      </c>
      <c r="E297" t="s">
        <v>58</v>
      </c>
      <c r="J297" t="s">
        <v>58</v>
      </c>
      <c r="K297" t="s">
        <v>58</v>
      </c>
      <c r="L297" t="s">
        <v>58</v>
      </c>
      <c r="M297" t="s">
        <v>58</v>
      </c>
      <c r="N297" t="s">
        <v>58</v>
      </c>
      <c r="R297" t="s">
        <v>58</v>
      </c>
      <c r="S297" t="s">
        <v>58</v>
      </c>
      <c r="T297" t="s">
        <v>58</v>
      </c>
      <c r="U297" t="s">
        <v>58</v>
      </c>
      <c r="V297" t="s">
        <v>58</v>
      </c>
      <c r="Z297" t="s">
        <v>58</v>
      </c>
      <c r="AA297" t="s">
        <v>58</v>
      </c>
      <c r="AB297" t="s">
        <v>58</v>
      </c>
      <c r="AC297" t="s">
        <v>58</v>
      </c>
      <c r="AD297" t="s">
        <v>58</v>
      </c>
      <c r="AG297" t="s">
        <v>58</v>
      </c>
      <c r="AH297" t="s">
        <v>58</v>
      </c>
      <c r="AI297" t="s">
        <v>58</v>
      </c>
      <c r="AJ297" t="s">
        <v>58</v>
      </c>
      <c r="AK297" t="s">
        <v>58</v>
      </c>
      <c r="AO297" t="s">
        <v>58</v>
      </c>
      <c r="AP297" t="s">
        <v>58</v>
      </c>
      <c r="AQ297" t="s">
        <v>58</v>
      </c>
      <c r="AR297" t="s">
        <v>58</v>
      </c>
      <c r="AS297" t="s">
        <v>58</v>
      </c>
      <c r="AV297" t="s">
        <v>58</v>
      </c>
      <c r="AW297" t="s">
        <v>58</v>
      </c>
      <c r="AX297" t="s">
        <v>58</v>
      </c>
      <c r="AY297" t="s">
        <v>58</v>
      </c>
      <c r="AZ297" t="s">
        <v>58</v>
      </c>
      <c r="BC297">
        <v>42790</v>
      </c>
      <c r="BD297">
        <v>0.86000000000000043</v>
      </c>
      <c r="BE297">
        <v>0.12000000000000001</v>
      </c>
      <c r="BF297">
        <v>0</v>
      </c>
      <c r="BG297">
        <v>1.999999999999956E-2</v>
      </c>
    </row>
    <row r="298" spans="1:59" x14ac:dyDescent="0.3">
      <c r="A298" t="s">
        <v>58</v>
      </c>
      <c r="B298" t="s">
        <v>58</v>
      </c>
      <c r="C298" t="s">
        <v>58</v>
      </c>
      <c r="D298" t="s">
        <v>58</v>
      </c>
      <c r="E298" t="s">
        <v>58</v>
      </c>
      <c r="J298" t="s">
        <v>58</v>
      </c>
      <c r="K298" t="s">
        <v>58</v>
      </c>
      <c r="L298" t="s">
        <v>58</v>
      </c>
      <c r="M298" t="s">
        <v>58</v>
      </c>
      <c r="N298" t="s">
        <v>58</v>
      </c>
      <c r="R298" t="s">
        <v>58</v>
      </c>
      <c r="S298" t="s">
        <v>58</v>
      </c>
      <c r="T298" t="s">
        <v>58</v>
      </c>
      <c r="U298" t="s">
        <v>58</v>
      </c>
      <c r="V298" t="s">
        <v>58</v>
      </c>
      <c r="Z298" t="s">
        <v>58</v>
      </c>
      <c r="AA298" t="s">
        <v>58</v>
      </c>
      <c r="AB298" t="s">
        <v>58</v>
      </c>
      <c r="AC298" t="s">
        <v>58</v>
      </c>
      <c r="AD298" t="s">
        <v>58</v>
      </c>
      <c r="AG298" t="s">
        <v>58</v>
      </c>
      <c r="AH298" t="s">
        <v>58</v>
      </c>
      <c r="AI298" t="s">
        <v>58</v>
      </c>
      <c r="AJ298" t="s">
        <v>58</v>
      </c>
      <c r="AK298" t="s">
        <v>58</v>
      </c>
      <c r="AO298" t="s">
        <v>58</v>
      </c>
      <c r="AP298" t="s">
        <v>58</v>
      </c>
      <c r="AQ298" t="s">
        <v>58</v>
      </c>
      <c r="AR298" t="s">
        <v>58</v>
      </c>
      <c r="AS298" t="s">
        <v>58</v>
      </c>
      <c r="AV298" t="s">
        <v>58</v>
      </c>
      <c r="AW298" t="s">
        <v>58</v>
      </c>
      <c r="AX298" t="s">
        <v>58</v>
      </c>
      <c r="AY298" t="s">
        <v>58</v>
      </c>
      <c r="AZ298" t="s">
        <v>58</v>
      </c>
      <c r="BC298">
        <v>42797</v>
      </c>
      <c r="BD298">
        <v>0.86000000000000043</v>
      </c>
      <c r="BE298">
        <v>0.12000000000000001</v>
      </c>
      <c r="BF298">
        <v>0</v>
      </c>
      <c r="BG298">
        <v>1.999999999999956E-2</v>
      </c>
    </row>
    <row r="299" spans="1:59" x14ac:dyDescent="0.3">
      <c r="A299" t="s">
        <v>58</v>
      </c>
      <c r="B299" t="s">
        <v>58</v>
      </c>
      <c r="C299" t="s">
        <v>58</v>
      </c>
      <c r="D299" t="s">
        <v>58</v>
      </c>
      <c r="E299" t="s">
        <v>58</v>
      </c>
      <c r="J299" t="s">
        <v>58</v>
      </c>
      <c r="K299" t="s">
        <v>58</v>
      </c>
      <c r="L299" t="s">
        <v>58</v>
      </c>
      <c r="M299" t="s">
        <v>58</v>
      </c>
      <c r="N299" t="s">
        <v>58</v>
      </c>
      <c r="R299" t="s">
        <v>58</v>
      </c>
      <c r="S299" t="s">
        <v>58</v>
      </c>
      <c r="T299" t="s">
        <v>58</v>
      </c>
      <c r="U299" t="s">
        <v>58</v>
      </c>
      <c r="V299" t="s">
        <v>58</v>
      </c>
      <c r="Z299" t="s">
        <v>58</v>
      </c>
      <c r="AA299" t="s">
        <v>58</v>
      </c>
      <c r="AB299" t="s">
        <v>58</v>
      </c>
      <c r="AC299" t="s">
        <v>58</v>
      </c>
      <c r="AD299" t="s">
        <v>58</v>
      </c>
      <c r="AG299" t="s">
        <v>58</v>
      </c>
      <c r="AH299" t="s">
        <v>58</v>
      </c>
      <c r="AI299" t="s">
        <v>58</v>
      </c>
      <c r="AJ299" t="s">
        <v>58</v>
      </c>
      <c r="AK299" t="s">
        <v>58</v>
      </c>
      <c r="AO299" t="s">
        <v>58</v>
      </c>
      <c r="AP299" t="s">
        <v>58</v>
      </c>
      <c r="AQ299" t="s">
        <v>58</v>
      </c>
      <c r="AR299" t="s">
        <v>58</v>
      </c>
      <c r="AS299" t="s">
        <v>58</v>
      </c>
      <c r="AV299" t="s">
        <v>58</v>
      </c>
      <c r="AW299" t="s">
        <v>58</v>
      </c>
      <c r="AX299" t="s">
        <v>58</v>
      </c>
      <c r="AY299" t="s">
        <v>58</v>
      </c>
      <c r="AZ299" t="s">
        <v>58</v>
      </c>
      <c r="BC299">
        <v>42804</v>
      </c>
      <c r="BD299">
        <v>0.88000000000000045</v>
      </c>
      <c r="BE299">
        <v>0</v>
      </c>
      <c r="BF299">
        <v>0.1</v>
      </c>
      <c r="BG299">
        <v>1.9999999999999546E-2</v>
      </c>
    </row>
    <row r="300" spans="1:59" x14ac:dyDescent="0.3">
      <c r="A300" t="s">
        <v>58</v>
      </c>
      <c r="B300" t="s">
        <v>58</v>
      </c>
      <c r="C300" t="s">
        <v>58</v>
      </c>
      <c r="D300" t="s">
        <v>58</v>
      </c>
      <c r="E300" t="s">
        <v>58</v>
      </c>
      <c r="J300" t="s">
        <v>58</v>
      </c>
      <c r="K300" t="s">
        <v>58</v>
      </c>
      <c r="L300" t="s">
        <v>58</v>
      </c>
      <c r="M300" t="s">
        <v>58</v>
      </c>
      <c r="N300" t="s">
        <v>58</v>
      </c>
      <c r="R300" t="s">
        <v>58</v>
      </c>
      <c r="S300" t="s">
        <v>58</v>
      </c>
      <c r="T300" t="s">
        <v>58</v>
      </c>
      <c r="U300" t="s">
        <v>58</v>
      </c>
      <c r="V300" t="s">
        <v>58</v>
      </c>
      <c r="Z300" t="s">
        <v>58</v>
      </c>
      <c r="AA300" t="s">
        <v>58</v>
      </c>
      <c r="AB300" t="s">
        <v>58</v>
      </c>
      <c r="AC300" t="s">
        <v>58</v>
      </c>
      <c r="AD300" t="s">
        <v>58</v>
      </c>
      <c r="AG300" t="s">
        <v>58</v>
      </c>
      <c r="AH300" t="s">
        <v>58</v>
      </c>
      <c r="AI300" t="s">
        <v>58</v>
      </c>
      <c r="AJ300" t="s">
        <v>58</v>
      </c>
      <c r="AK300" t="s">
        <v>58</v>
      </c>
      <c r="AO300" t="s">
        <v>58</v>
      </c>
      <c r="AP300" t="s">
        <v>58</v>
      </c>
      <c r="AQ300" t="s">
        <v>58</v>
      </c>
      <c r="AR300" t="s">
        <v>58</v>
      </c>
      <c r="AS300" t="s">
        <v>58</v>
      </c>
      <c r="AV300" t="s">
        <v>58</v>
      </c>
      <c r="AW300" t="s">
        <v>58</v>
      </c>
      <c r="AX300" t="s">
        <v>58</v>
      </c>
      <c r="AY300" t="s">
        <v>58</v>
      </c>
      <c r="AZ300" t="s">
        <v>58</v>
      </c>
      <c r="BC300">
        <v>42811</v>
      </c>
      <c r="BD300">
        <v>0.88000000000000045</v>
      </c>
      <c r="BE300">
        <v>0</v>
      </c>
      <c r="BF300">
        <v>0.1</v>
      </c>
      <c r="BG300">
        <v>1.9999999999999546E-2</v>
      </c>
    </row>
    <row r="301" spans="1:59" x14ac:dyDescent="0.3">
      <c r="A301" t="s">
        <v>58</v>
      </c>
      <c r="B301" t="s">
        <v>58</v>
      </c>
      <c r="C301" t="s">
        <v>58</v>
      </c>
      <c r="D301" t="s">
        <v>58</v>
      </c>
      <c r="E301" t="s">
        <v>58</v>
      </c>
      <c r="J301" t="s">
        <v>58</v>
      </c>
      <c r="K301" t="s">
        <v>58</v>
      </c>
      <c r="L301" t="s">
        <v>58</v>
      </c>
      <c r="M301" t="s">
        <v>58</v>
      </c>
      <c r="N301" t="s">
        <v>58</v>
      </c>
      <c r="R301" t="s">
        <v>58</v>
      </c>
      <c r="S301" t="s">
        <v>58</v>
      </c>
      <c r="T301" t="s">
        <v>58</v>
      </c>
      <c r="U301" t="s">
        <v>58</v>
      </c>
      <c r="V301" t="s">
        <v>58</v>
      </c>
      <c r="Z301" t="s">
        <v>58</v>
      </c>
      <c r="AA301" t="s">
        <v>58</v>
      </c>
      <c r="AB301" t="s">
        <v>58</v>
      </c>
      <c r="AC301" t="s">
        <v>58</v>
      </c>
      <c r="AD301" t="s">
        <v>58</v>
      </c>
      <c r="AG301" t="s">
        <v>58</v>
      </c>
      <c r="AH301" t="s">
        <v>58</v>
      </c>
      <c r="AI301" t="s">
        <v>58</v>
      </c>
      <c r="AJ301" t="s">
        <v>58</v>
      </c>
      <c r="AK301" t="s">
        <v>58</v>
      </c>
      <c r="AO301" t="s">
        <v>58</v>
      </c>
      <c r="AP301" t="s">
        <v>58</v>
      </c>
      <c r="AQ301" t="s">
        <v>58</v>
      </c>
      <c r="AR301" t="s">
        <v>58</v>
      </c>
      <c r="AS301" t="s">
        <v>58</v>
      </c>
      <c r="AV301" t="s">
        <v>58</v>
      </c>
      <c r="AW301" t="s">
        <v>58</v>
      </c>
      <c r="AX301" t="s">
        <v>58</v>
      </c>
      <c r="AY301" t="s">
        <v>58</v>
      </c>
      <c r="AZ301" t="s">
        <v>58</v>
      </c>
      <c r="BC301">
        <v>42818</v>
      </c>
      <c r="BD301">
        <v>0.88000000000000045</v>
      </c>
      <c r="BE301">
        <v>0</v>
      </c>
      <c r="BF301">
        <v>0.1</v>
      </c>
      <c r="BG301">
        <v>1.9999999999999546E-2</v>
      </c>
    </row>
    <row r="302" spans="1:59" x14ac:dyDescent="0.3">
      <c r="A302" t="s">
        <v>58</v>
      </c>
      <c r="B302" t="s">
        <v>58</v>
      </c>
      <c r="C302" t="s">
        <v>58</v>
      </c>
      <c r="D302" t="s">
        <v>58</v>
      </c>
      <c r="E302" t="s">
        <v>58</v>
      </c>
      <c r="J302" t="s">
        <v>58</v>
      </c>
      <c r="K302" t="s">
        <v>58</v>
      </c>
      <c r="L302" t="s">
        <v>58</v>
      </c>
      <c r="M302" t="s">
        <v>58</v>
      </c>
      <c r="N302" t="s">
        <v>58</v>
      </c>
      <c r="R302" t="s">
        <v>58</v>
      </c>
      <c r="S302" t="s">
        <v>58</v>
      </c>
      <c r="T302" t="s">
        <v>58</v>
      </c>
      <c r="U302" t="s">
        <v>58</v>
      </c>
      <c r="V302" t="s">
        <v>58</v>
      </c>
      <c r="Z302" t="s">
        <v>58</v>
      </c>
      <c r="AA302" t="s">
        <v>58</v>
      </c>
      <c r="AB302" t="s">
        <v>58</v>
      </c>
      <c r="AC302" t="s">
        <v>58</v>
      </c>
      <c r="AD302" t="s">
        <v>58</v>
      </c>
      <c r="AG302" t="s">
        <v>58</v>
      </c>
      <c r="AH302" t="s">
        <v>58</v>
      </c>
      <c r="AI302" t="s">
        <v>58</v>
      </c>
      <c r="AJ302" t="s">
        <v>58</v>
      </c>
      <c r="AK302" t="s">
        <v>58</v>
      </c>
      <c r="AO302" t="s">
        <v>58</v>
      </c>
      <c r="AP302" t="s">
        <v>58</v>
      </c>
      <c r="AQ302" t="s">
        <v>58</v>
      </c>
      <c r="AR302" t="s">
        <v>58</v>
      </c>
      <c r="AS302" t="s">
        <v>58</v>
      </c>
      <c r="AV302" t="s">
        <v>58</v>
      </c>
      <c r="AW302" t="s">
        <v>58</v>
      </c>
      <c r="AX302" t="s">
        <v>58</v>
      </c>
      <c r="AY302" t="s">
        <v>58</v>
      </c>
      <c r="AZ302" t="s">
        <v>58</v>
      </c>
      <c r="BC302">
        <v>42825</v>
      </c>
      <c r="BD302">
        <v>0.86000000000000043</v>
      </c>
      <c r="BE302">
        <v>0</v>
      </c>
      <c r="BF302">
        <v>0.12000000000000001</v>
      </c>
      <c r="BG302">
        <v>1.999999999999956E-2</v>
      </c>
    </row>
    <row r="303" spans="1:59" x14ac:dyDescent="0.3">
      <c r="A303" t="s">
        <v>58</v>
      </c>
      <c r="B303" t="s">
        <v>58</v>
      </c>
      <c r="C303" t="s">
        <v>58</v>
      </c>
      <c r="D303" t="s">
        <v>58</v>
      </c>
      <c r="E303" t="s">
        <v>58</v>
      </c>
      <c r="J303" t="s">
        <v>58</v>
      </c>
      <c r="K303" t="s">
        <v>58</v>
      </c>
      <c r="L303" t="s">
        <v>58</v>
      </c>
      <c r="M303" t="s">
        <v>58</v>
      </c>
      <c r="N303" t="s">
        <v>58</v>
      </c>
      <c r="R303" t="s">
        <v>58</v>
      </c>
      <c r="S303" t="s">
        <v>58</v>
      </c>
      <c r="T303" t="s">
        <v>58</v>
      </c>
      <c r="U303" t="s">
        <v>58</v>
      </c>
      <c r="V303" t="s">
        <v>58</v>
      </c>
      <c r="Z303" t="s">
        <v>58</v>
      </c>
      <c r="AA303" t="s">
        <v>58</v>
      </c>
      <c r="AB303" t="s">
        <v>58</v>
      </c>
      <c r="AC303" t="s">
        <v>58</v>
      </c>
      <c r="AD303" t="s">
        <v>58</v>
      </c>
      <c r="AG303" t="s">
        <v>58</v>
      </c>
      <c r="AH303" t="s">
        <v>58</v>
      </c>
      <c r="AI303" t="s">
        <v>58</v>
      </c>
      <c r="AJ303" t="s">
        <v>58</v>
      </c>
      <c r="AK303" t="s">
        <v>58</v>
      </c>
      <c r="AO303" t="s">
        <v>58</v>
      </c>
      <c r="AP303" t="s">
        <v>58</v>
      </c>
      <c r="AQ303" t="s">
        <v>58</v>
      </c>
      <c r="AR303" t="s">
        <v>58</v>
      </c>
      <c r="AS303" t="s">
        <v>58</v>
      </c>
      <c r="AV303" t="s">
        <v>58</v>
      </c>
      <c r="AW303" t="s">
        <v>58</v>
      </c>
      <c r="AX303" t="s">
        <v>58</v>
      </c>
      <c r="AY303" t="s">
        <v>58</v>
      </c>
      <c r="AZ303" t="s">
        <v>58</v>
      </c>
      <c r="BC303">
        <v>42832</v>
      </c>
      <c r="BD303">
        <v>0.86000000000000043</v>
      </c>
      <c r="BE303">
        <v>0</v>
      </c>
      <c r="BF303">
        <v>0.12000000000000001</v>
      </c>
      <c r="BG303">
        <v>1.999999999999956E-2</v>
      </c>
    </row>
    <row r="304" spans="1:59" x14ac:dyDescent="0.3">
      <c r="A304" t="s">
        <v>58</v>
      </c>
      <c r="B304" t="s">
        <v>58</v>
      </c>
      <c r="C304" t="s">
        <v>58</v>
      </c>
      <c r="D304" t="s">
        <v>58</v>
      </c>
      <c r="E304" t="s">
        <v>58</v>
      </c>
      <c r="J304" t="s">
        <v>58</v>
      </c>
      <c r="K304" t="s">
        <v>58</v>
      </c>
      <c r="L304" t="s">
        <v>58</v>
      </c>
      <c r="M304" t="s">
        <v>58</v>
      </c>
      <c r="N304" t="s">
        <v>58</v>
      </c>
      <c r="R304" t="s">
        <v>58</v>
      </c>
      <c r="S304" t="s">
        <v>58</v>
      </c>
      <c r="T304" t="s">
        <v>58</v>
      </c>
      <c r="U304" t="s">
        <v>58</v>
      </c>
      <c r="V304" t="s">
        <v>58</v>
      </c>
      <c r="Z304" t="s">
        <v>58</v>
      </c>
      <c r="AA304" t="s">
        <v>58</v>
      </c>
      <c r="AB304" t="s">
        <v>58</v>
      </c>
      <c r="AC304" t="s">
        <v>58</v>
      </c>
      <c r="AD304" t="s">
        <v>58</v>
      </c>
      <c r="AG304" t="s">
        <v>58</v>
      </c>
      <c r="AH304" t="s">
        <v>58</v>
      </c>
      <c r="AI304" t="s">
        <v>58</v>
      </c>
      <c r="AJ304" t="s">
        <v>58</v>
      </c>
      <c r="AK304" t="s">
        <v>58</v>
      </c>
      <c r="AO304" t="s">
        <v>58</v>
      </c>
      <c r="AP304" t="s">
        <v>58</v>
      </c>
      <c r="AQ304" t="s">
        <v>58</v>
      </c>
      <c r="AR304" t="s">
        <v>58</v>
      </c>
      <c r="AS304" t="s">
        <v>58</v>
      </c>
      <c r="AV304" t="s">
        <v>58</v>
      </c>
      <c r="AW304" t="s">
        <v>58</v>
      </c>
      <c r="AX304" t="s">
        <v>58</v>
      </c>
      <c r="AY304" t="s">
        <v>58</v>
      </c>
      <c r="AZ304" t="s">
        <v>58</v>
      </c>
      <c r="BC304">
        <v>42839</v>
      </c>
      <c r="BD304">
        <v>0.84000000000000041</v>
      </c>
      <c r="BE304">
        <v>0</v>
      </c>
      <c r="BF304">
        <v>0.12000000000000001</v>
      </c>
      <c r="BG304">
        <v>3.9999999999999578E-2</v>
      </c>
    </row>
    <row r="305" spans="1:59" x14ac:dyDescent="0.3">
      <c r="A305" t="s">
        <v>58</v>
      </c>
      <c r="B305" t="s">
        <v>58</v>
      </c>
      <c r="C305" t="s">
        <v>58</v>
      </c>
      <c r="D305" t="s">
        <v>58</v>
      </c>
      <c r="E305" t="s">
        <v>58</v>
      </c>
      <c r="J305" t="s">
        <v>58</v>
      </c>
      <c r="K305" t="s">
        <v>58</v>
      </c>
      <c r="L305" t="s">
        <v>58</v>
      </c>
      <c r="M305" t="s">
        <v>58</v>
      </c>
      <c r="N305" t="s">
        <v>58</v>
      </c>
      <c r="R305" t="s">
        <v>58</v>
      </c>
      <c r="S305" t="s">
        <v>58</v>
      </c>
      <c r="T305" t="s">
        <v>58</v>
      </c>
      <c r="U305" t="s">
        <v>58</v>
      </c>
      <c r="V305" t="s">
        <v>58</v>
      </c>
      <c r="Z305" t="s">
        <v>58</v>
      </c>
      <c r="AA305" t="s">
        <v>58</v>
      </c>
      <c r="AB305" t="s">
        <v>58</v>
      </c>
      <c r="AC305" t="s">
        <v>58</v>
      </c>
      <c r="AD305" t="s">
        <v>58</v>
      </c>
      <c r="AG305" t="s">
        <v>58</v>
      </c>
      <c r="AH305" t="s">
        <v>58</v>
      </c>
      <c r="AI305" t="s">
        <v>58</v>
      </c>
      <c r="AJ305" t="s">
        <v>58</v>
      </c>
      <c r="AK305" t="s">
        <v>58</v>
      </c>
      <c r="AO305" t="s">
        <v>58</v>
      </c>
      <c r="AP305" t="s">
        <v>58</v>
      </c>
      <c r="AQ305" t="s">
        <v>58</v>
      </c>
      <c r="AR305" t="s">
        <v>58</v>
      </c>
      <c r="AS305" t="s">
        <v>58</v>
      </c>
      <c r="AV305" t="s">
        <v>58</v>
      </c>
      <c r="AW305" t="s">
        <v>58</v>
      </c>
      <c r="AX305" t="s">
        <v>58</v>
      </c>
      <c r="AY305" t="s">
        <v>58</v>
      </c>
      <c r="AZ305" t="s">
        <v>58</v>
      </c>
      <c r="BC305">
        <v>42846</v>
      </c>
      <c r="BD305">
        <v>0.80000000000000038</v>
      </c>
      <c r="BE305">
        <v>0.08</v>
      </c>
      <c r="BF305">
        <v>0.06</v>
      </c>
      <c r="BG305">
        <v>5.9999999999999623E-2</v>
      </c>
    </row>
    <row r="306" spans="1:59" x14ac:dyDescent="0.3">
      <c r="A306" t="s">
        <v>58</v>
      </c>
      <c r="B306" t="s">
        <v>58</v>
      </c>
      <c r="C306" t="s">
        <v>58</v>
      </c>
      <c r="D306" t="s">
        <v>58</v>
      </c>
      <c r="E306" t="s">
        <v>58</v>
      </c>
      <c r="J306" t="s">
        <v>58</v>
      </c>
      <c r="K306" t="s">
        <v>58</v>
      </c>
      <c r="L306" t="s">
        <v>58</v>
      </c>
      <c r="M306" t="s">
        <v>58</v>
      </c>
      <c r="N306" t="s">
        <v>58</v>
      </c>
      <c r="R306" t="s">
        <v>58</v>
      </c>
      <c r="S306" t="s">
        <v>58</v>
      </c>
      <c r="T306" t="s">
        <v>58</v>
      </c>
      <c r="U306" t="s">
        <v>58</v>
      </c>
      <c r="V306" t="s">
        <v>58</v>
      </c>
      <c r="Z306" t="s">
        <v>58</v>
      </c>
      <c r="AA306" t="s">
        <v>58</v>
      </c>
      <c r="AB306" t="s">
        <v>58</v>
      </c>
      <c r="AC306" t="s">
        <v>58</v>
      </c>
      <c r="AD306" t="s">
        <v>58</v>
      </c>
      <c r="AG306" t="s">
        <v>58</v>
      </c>
      <c r="AH306" t="s">
        <v>58</v>
      </c>
      <c r="AI306" t="s">
        <v>58</v>
      </c>
      <c r="AJ306" t="s">
        <v>58</v>
      </c>
      <c r="AK306" t="s">
        <v>58</v>
      </c>
      <c r="AO306" t="s">
        <v>58</v>
      </c>
      <c r="AP306" t="s">
        <v>58</v>
      </c>
      <c r="AQ306" t="s">
        <v>58</v>
      </c>
      <c r="AR306" t="s">
        <v>58</v>
      </c>
      <c r="AS306" t="s">
        <v>58</v>
      </c>
      <c r="AV306" t="s">
        <v>58</v>
      </c>
      <c r="AW306" t="s">
        <v>58</v>
      </c>
      <c r="AX306" t="s">
        <v>58</v>
      </c>
      <c r="AY306" t="s">
        <v>58</v>
      </c>
      <c r="AZ306" t="s">
        <v>58</v>
      </c>
      <c r="BC306">
        <v>42853</v>
      </c>
      <c r="BD306">
        <v>0.72000000000000031</v>
      </c>
      <c r="BE306">
        <v>0</v>
      </c>
      <c r="BF306">
        <v>0.25999999999999995</v>
      </c>
      <c r="BG306">
        <v>1.999999999999974E-2</v>
      </c>
    </row>
    <row r="307" spans="1:59" x14ac:dyDescent="0.3">
      <c r="A307" t="s">
        <v>58</v>
      </c>
      <c r="B307" t="s">
        <v>58</v>
      </c>
      <c r="C307" t="s">
        <v>58</v>
      </c>
      <c r="D307" t="s">
        <v>58</v>
      </c>
      <c r="E307" t="s">
        <v>58</v>
      </c>
      <c r="J307" t="s">
        <v>58</v>
      </c>
      <c r="K307" t="s">
        <v>58</v>
      </c>
      <c r="L307" t="s">
        <v>58</v>
      </c>
      <c r="M307" t="s">
        <v>58</v>
      </c>
      <c r="N307" t="s">
        <v>58</v>
      </c>
      <c r="R307" t="s">
        <v>58</v>
      </c>
      <c r="S307" t="s">
        <v>58</v>
      </c>
      <c r="T307" t="s">
        <v>58</v>
      </c>
      <c r="U307" t="s">
        <v>58</v>
      </c>
      <c r="V307" t="s">
        <v>58</v>
      </c>
      <c r="Z307" t="s">
        <v>58</v>
      </c>
      <c r="AA307" t="s">
        <v>58</v>
      </c>
      <c r="AB307" t="s">
        <v>58</v>
      </c>
      <c r="AC307" t="s">
        <v>58</v>
      </c>
      <c r="AD307" t="s">
        <v>58</v>
      </c>
      <c r="AG307" t="s">
        <v>58</v>
      </c>
      <c r="AH307" t="s">
        <v>58</v>
      </c>
      <c r="AI307" t="s">
        <v>58</v>
      </c>
      <c r="AJ307" t="s">
        <v>58</v>
      </c>
      <c r="AK307" t="s">
        <v>58</v>
      </c>
      <c r="AO307" t="s">
        <v>58</v>
      </c>
      <c r="AP307" t="s">
        <v>58</v>
      </c>
      <c r="AQ307" t="s">
        <v>58</v>
      </c>
      <c r="AR307" t="s">
        <v>58</v>
      </c>
      <c r="AS307" t="s">
        <v>58</v>
      </c>
      <c r="AV307" t="s">
        <v>58</v>
      </c>
      <c r="AW307" t="s">
        <v>58</v>
      </c>
      <c r="AX307" t="s">
        <v>58</v>
      </c>
      <c r="AY307" t="s">
        <v>58</v>
      </c>
      <c r="AZ307" t="s">
        <v>58</v>
      </c>
      <c r="BC307">
        <v>42860</v>
      </c>
      <c r="BD307">
        <v>0.72000000000000031</v>
      </c>
      <c r="BE307">
        <v>0</v>
      </c>
      <c r="BF307">
        <v>0.25999999999999995</v>
      </c>
      <c r="BG307">
        <v>1.999999999999974E-2</v>
      </c>
    </row>
    <row r="308" spans="1:59" x14ac:dyDescent="0.3">
      <c r="A308" t="s">
        <v>58</v>
      </c>
      <c r="B308" t="s">
        <v>58</v>
      </c>
      <c r="C308" t="s">
        <v>58</v>
      </c>
      <c r="D308" t="s">
        <v>58</v>
      </c>
      <c r="E308" t="s">
        <v>58</v>
      </c>
      <c r="J308" t="s">
        <v>58</v>
      </c>
      <c r="K308" t="s">
        <v>58</v>
      </c>
      <c r="L308" t="s">
        <v>58</v>
      </c>
      <c r="M308" t="s">
        <v>58</v>
      </c>
      <c r="N308" t="s">
        <v>58</v>
      </c>
      <c r="R308" t="s">
        <v>58</v>
      </c>
      <c r="S308" t="s">
        <v>58</v>
      </c>
      <c r="T308" t="s">
        <v>58</v>
      </c>
      <c r="U308" t="s">
        <v>58</v>
      </c>
      <c r="V308" t="s">
        <v>58</v>
      </c>
      <c r="Z308" t="s">
        <v>58</v>
      </c>
      <c r="AA308" t="s">
        <v>58</v>
      </c>
      <c r="AB308" t="s">
        <v>58</v>
      </c>
      <c r="AC308" t="s">
        <v>58</v>
      </c>
      <c r="AD308" t="s">
        <v>58</v>
      </c>
      <c r="AG308" t="s">
        <v>58</v>
      </c>
      <c r="AH308" t="s">
        <v>58</v>
      </c>
      <c r="AI308" t="s">
        <v>58</v>
      </c>
      <c r="AJ308" t="s">
        <v>58</v>
      </c>
      <c r="AK308" t="s">
        <v>58</v>
      </c>
      <c r="AO308" t="s">
        <v>58</v>
      </c>
      <c r="AP308" t="s">
        <v>58</v>
      </c>
      <c r="AQ308" t="s">
        <v>58</v>
      </c>
      <c r="AR308" t="s">
        <v>58</v>
      </c>
      <c r="AS308" t="s">
        <v>58</v>
      </c>
      <c r="AV308" t="s">
        <v>58</v>
      </c>
      <c r="AW308" t="s">
        <v>58</v>
      </c>
      <c r="AX308" t="s">
        <v>58</v>
      </c>
      <c r="AY308" t="s">
        <v>58</v>
      </c>
      <c r="AZ308" t="s">
        <v>58</v>
      </c>
      <c r="BC308">
        <v>42867</v>
      </c>
      <c r="BD308">
        <v>0.72000000000000031</v>
      </c>
      <c r="BE308">
        <v>0</v>
      </c>
      <c r="BF308">
        <v>0.25999999999999995</v>
      </c>
      <c r="BG308">
        <v>1.999999999999974E-2</v>
      </c>
    </row>
    <row r="309" spans="1:59" x14ac:dyDescent="0.3">
      <c r="A309" t="s">
        <v>58</v>
      </c>
      <c r="B309" t="s">
        <v>58</v>
      </c>
      <c r="C309" t="s">
        <v>58</v>
      </c>
      <c r="D309" t="s">
        <v>58</v>
      </c>
      <c r="E309" t="s">
        <v>58</v>
      </c>
      <c r="J309" t="s">
        <v>58</v>
      </c>
      <c r="K309" t="s">
        <v>58</v>
      </c>
      <c r="L309" t="s">
        <v>58</v>
      </c>
      <c r="M309" t="s">
        <v>58</v>
      </c>
      <c r="N309" t="s">
        <v>58</v>
      </c>
      <c r="R309" t="s">
        <v>58</v>
      </c>
      <c r="S309" t="s">
        <v>58</v>
      </c>
      <c r="T309" t="s">
        <v>58</v>
      </c>
      <c r="U309" t="s">
        <v>58</v>
      </c>
      <c r="V309" t="s">
        <v>58</v>
      </c>
      <c r="Z309" t="s">
        <v>58</v>
      </c>
      <c r="AA309" t="s">
        <v>58</v>
      </c>
      <c r="AB309" t="s">
        <v>58</v>
      </c>
      <c r="AC309" t="s">
        <v>58</v>
      </c>
      <c r="AD309" t="s">
        <v>58</v>
      </c>
      <c r="AG309" t="s">
        <v>58</v>
      </c>
      <c r="AH309" t="s">
        <v>58</v>
      </c>
      <c r="AI309" t="s">
        <v>58</v>
      </c>
      <c r="AJ309" t="s">
        <v>58</v>
      </c>
      <c r="AK309" t="s">
        <v>58</v>
      </c>
      <c r="AO309" t="s">
        <v>58</v>
      </c>
      <c r="AP309" t="s">
        <v>58</v>
      </c>
      <c r="AQ309" t="s">
        <v>58</v>
      </c>
      <c r="AR309" t="s">
        <v>58</v>
      </c>
      <c r="AS309" t="s">
        <v>58</v>
      </c>
      <c r="AV309" t="s">
        <v>58</v>
      </c>
      <c r="AW309" t="s">
        <v>58</v>
      </c>
      <c r="AX309" t="s">
        <v>58</v>
      </c>
      <c r="AY309" t="s">
        <v>58</v>
      </c>
      <c r="AZ309" t="s">
        <v>58</v>
      </c>
      <c r="BC309">
        <v>42874</v>
      </c>
      <c r="BD309">
        <v>0.70000000000000029</v>
      </c>
      <c r="BE309">
        <v>0.02</v>
      </c>
      <c r="BF309">
        <v>0.25999999999999995</v>
      </c>
      <c r="BG309">
        <v>1.999999999999974E-2</v>
      </c>
    </row>
    <row r="310" spans="1:59" x14ac:dyDescent="0.3">
      <c r="A310" t="s">
        <v>58</v>
      </c>
      <c r="B310" t="s">
        <v>58</v>
      </c>
      <c r="C310" t="s">
        <v>58</v>
      </c>
      <c r="D310" t="s">
        <v>58</v>
      </c>
      <c r="E310" t="s">
        <v>58</v>
      </c>
      <c r="J310" t="s">
        <v>58</v>
      </c>
      <c r="K310" t="s">
        <v>58</v>
      </c>
      <c r="L310" t="s">
        <v>58</v>
      </c>
      <c r="M310" t="s">
        <v>58</v>
      </c>
      <c r="N310" t="s">
        <v>58</v>
      </c>
      <c r="R310" t="s">
        <v>58</v>
      </c>
      <c r="S310" t="s">
        <v>58</v>
      </c>
      <c r="T310" t="s">
        <v>58</v>
      </c>
      <c r="U310" t="s">
        <v>58</v>
      </c>
      <c r="V310" t="s">
        <v>58</v>
      </c>
      <c r="Z310" t="s">
        <v>58</v>
      </c>
      <c r="AA310" t="s">
        <v>58</v>
      </c>
      <c r="AB310" t="s">
        <v>58</v>
      </c>
      <c r="AC310" t="s">
        <v>58</v>
      </c>
      <c r="AD310" t="s">
        <v>58</v>
      </c>
      <c r="AG310" t="s">
        <v>58</v>
      </c>
      <c r="AH310" t="s">
        <v>58</v>
      </c>
      <c r="AI310" t="s">
        <v>58</v>
      </c>
      <c r="AJ310" t="s">
        <v>58</v>
      </c>
      <c r="AK310" t="s">
        <v>58</v>
      </c>
      <c r="AO310" t="s">
        <v>58</v>
      </c>
      <c r="AP310" t="s">
        <v>58</v>
      </c>
      <c r="AQ310" t="s">
        <v>58</v>
      </c>
      <c r="AR310" t="s">
        <v>58</v>
      </c>
      <c r="AS310" t="s">
        <v>58</v>
      </c>
      <c r="AV310" t="s">
        <v>58</v>
      </c>
      <c r="AW310" t="s">
        <v>58</v>
      </c>
      <c r="AX310" t="s">
        <v>58</v>
      </c>
      <c r="AY310" t="s">
        <v>58</v>
      </c>
      <c r="AZ310" t="s">
        <v>58</v>
      </c>
      <c r="BC310">
        <v>42881</v>
      </c>
      <c r="BD310">
        <v>0.66000000000000025</v>
      </c>
      <c r="BE310">
        <v>0.12000000000000001</v>
      </c>
      <c r="BF310">
        <v>0.19999999999999998</v>
      </c>
      <c r="BG310">
        <v>1.9999999999999768E-2</v>
      </c>
    </row>
    <row r="311" spans="1:59" x14ac:dyDescent="0.3">
      <c r="A311" t="s">
        <v>58</v>
      </c>
      <c r="B311" t="s">
        <v>58</v>
      </c>
      <c r="C311" t="s">
        <v>58</v>
      </c>
      <c r="D311" t="s">
        <v>58</v>
      </c>
      <c r="E311" t="s">
        <v>58</v>
      </c>
      <c r="J311" t="s">
        <v>58</v>
      </c>
      <c r="K311" t="s">
        <v>58</v>
      </c>
      <c r="L311" t="s">
        <v>58</v>
      </c>
      <c r="M311" t="s">
        <v>58</v>
      </c>
      <c r="N311" t="s">
        <v>58</v>
      </c>
      <c r="R311" t="s">
        <v>58</v>
      </c>
      <c r="S311" t="s">
        <v>58</v>
      </c>
      <c r="T311" t="s">
        <v>58</v>
      </c>
      <c r="U311" t="s">
        <v>58</v>
      </c>
      <c r="V311" t="s">
        <v>58</v>
      </c>
      <c r="Z311" t="s">
        <v>58</v>
      </c>
      <c r="AA311" t="s">
        <v>58</v>
      </c>
      <c r="AB311" t="s">
        <v>58</v>
      </c>
      <c r="AC311" t="s">
        <v>58</v>
      </c>
      <c r="AD311" t="s">
        <v>58</v>
      </c>
      <c r="AG311" t="s">
        <v>58</v>
      </c>
      <c r="AH311" t="s">
        <v>58</v>
      </c>
      <c r="AI311" t="s">
        <v>58</v>
      </c>
      <c r="AJ311" t="s">
        <v>58</v>
      </c>
      <c r="AK311" t="s">
        <v>58</v>
      </c>
      <c r="AO311" t="s">
        <v>58</v>
      </c>
      <c r="AP311" t="s">
        <v>58</v>
      </c>
      <c r="AQ311" t="s">
        <v>58</v>
      </c>
      <c r="AR311" t="s">
        <v>58</v>
      </c>
      <c r="AS311" t="s">
        <v>58</v>
      </c>
      <c r="AV311" t="s">
        <v>58</v>
      </c>
      <c r="AW311" t="s">
        <v>58</v>
      </c>
      <c r="AX311" t="s">
        <v>58</v>
      </c>
      <c r="AY311" t="s">
        <v>58</v>
      </c>
      <c r="AZ311" t="s">
        <v>58</v>
      </c>
      <c r="BC311">
        <v>42888</v>
      </c>
      <c r="BD311">
        <v>0.74000000000000032</v>
      </c>
      <c r="BE311">
        <v>0.06</v>
      </c>
      <c r="BF311">
        <v>0.18</v>
      </c>
      <c r="BG311">
        <v>1.9999999999999685E-2</v>
      </c>
    </row>
    <row r="312" spans="1:59" x14ac:dyDescent="0.3">
      <c r="A312" t="s">
        <v>58</v>
      </c>
      <c r="B312" t="s">
        <v>58</v>
      </c>
      <c r="C312" t="s">
        <v>58</v>
      </c>
      <c r="D312" t="s">
        <v>58</v>
      </c>
      <c r="E312" t="s">
        <v>58</v>
      </c>
      <c r="J312" t="s">
        <v>58</v>
      </c>
      <c r="K312" t="s">
        <v>58</v>
      </c>
      <c r="L312" t="s">
        <v>58</v>
      </c>
      <c r="M312" t="s">
        <v>58</v>
      </c>
      <c r="N312" t="s">
        <v>58</v>
      </c>
      <c r="R312" t="s">
        <v>58</v>
      </c>
      <c r="S312" t="s">
        <v>58</v>
      </c>
      <c r="T312" t="s">
        <v>58</v>
      </c>
      <c r="U312" t="s">
        <v>58</v>
      </c>
      <c r="V312" t="s">
        <v>58</v>
      </c>
      <c r="Z312" t="s">
        <v>58</v>
      </c>
      <c r="AA312" t="s">
        <v>58</v>
      </c>
      <c r="AB312" t="s">
        <v>58</v>
      </c>
      <c r="AC312" t="s">
        <v>58</v>
      </c>
      <c r="AD312" t="s">
        <v>58</v>
      </c>
      <c r="AG312" t="s">
        <v>58</v>
      </c>
      <c r="AH312" t="s">
        <v>58</v>
      </c>
      <c r="AI312" t="s">
        <v>58</v>
      </c>
      <c r="AJ312" t="s">
        <v>58</v>
      </c>
      <c r="AK312" t="s">
        <v>58</v>
      </c>
      <c r="AO312" t="s">
        <v>58</v>
      </c>
      <c r="AP312" t="s">
        <v>58</v>
      </c>
      <c r="AQ312" t="s">
        <v>58</v>
      </c>
      <c r="AR312" t="s">
        <v>58</v>
      </c>
      <c r="AS312" t="s">
        <v>58</v>
      </c>
      <c r="AV312" t="s">
        <v>58</v>
      </c>
      <c r="AW312" t="s">
        <v>58</v>
      </c>
      <c r="AX312" t="s">
        <v>58</v>
      </c>
      <c r="AY312" t="s">
        <v>58</v>
      </c>
      <c r="AZ312" t="s">
        <v>58</v>
      </c>
      <c r="BC312">
        <v>42895</v>
      </c>
      <c r="BD312">
        <v>0.78000000000000036</v>
      </c>
      <c r="BE312">
        <v>0.08</v>
      </c>
      <c r="BF312">
        <v>0.12000000000000001</v>
      </c>
      <c r="BG312">
        <v>1.9999999999999615E-2</v>
      </c>
    </row>
    <row r="313" spans="1:59" x14ac:dyDescent="0.3">
      <c r="A313" t="s">
        <v>58</v>
      </c>
      <c r="B313" t="s">
        <v>58</v>
      </c>
      <c r="C313" t="s">
        <v>58</v>
      </c>
      <c r="D313" t="s">
        <v>58</v>
      </c>
      <c r="E313" t="s">
        <v>58</v>
      </c>
      <c r="J313" t="s">
        <v>58</v>
      </c>
      <c r="K313" t="s">
        <v>58</v>
      </c>
      <c r="L313" t="s">
        <v>58</v>
      </c>
      <c r="M313" t="s">
        <v>58</v>
      </c>
      <c r="N313" t="s">
        <v>58</v>
      </c>
      <c r="R313" t="s">
        <v>58</v>
      </c>
      <c r="S313" t="s">
        <v>58</v>
      </c>
      <c r="T313" t="s">
        <v>58</v>
      </c>
      <c r="U313" t="s">
        <v>58</v>
      </c>
      <c r="V313" t="s">
        <v>58</v>
      </c>
      <c r="Z313" t="s">
        <v>58</v>
      </c>
      <c r="AA313" t="s">
        <v>58</v>
      </c>
      <c r="AB313" t="s">
        <v>58</v>
      </c>
      <c r="AC313" t="s">
        <v>58</v>
      </c>
      <c r="AD313" t="s">
        <v>58</v>
      </c>
      <c r="AG313" t="s">
        <v>58</v>
      </c>
      <c r="AH313" t="s">
        <v>58</v>
      </c>
      <c r="AI313" t="s">
        <v>58</v>
      </c>
      <c r="AJ313" t="s">
        <v>58</v>
      </c>
      <c r="AK313" t="s">
        <v>58</v>
      </c>
      <c r="AO313" t="s">
        <v>58</v>
      </c>
      <c r="AP313" t="s">
        <v>58</v>
      </c>
      <c r="AQ313" t="s">
        <v>58</v>
      </c>
      <c r="AR313" t="s">
        <v>58</v>
      </c>
      <c r="AS313" t="s">
        <v>58</v>
      </c>
      <c r="AV313" t="s">
        <v>58</v>
      </c>
      <c r="AW313" t="s">
        <v>58</v>
      </c>
      <c r="AX313" t="s">
        <v>58</v>
      </c>
      <c r="AY313" t="s">
        <v>58</v>
      </c>
      <c r="AZ313" t="s">
        <v>58</v>
      </c>
      <c r="BC313">
        <v>42902</v>
      </c>
      <c r="BD313">
        <v>0.8200000000000004</v>
      </c>
      <c r="BE313">
        <v>0.02</v>
      </c>
      <c r="BF313">
        <v>0.14000000000000001</v>
      </c>
      <c r="BG313">
        <v>1.9999999999999601E-2</v>
      </c>
    </row>
    <row r="314" spans="1:59" x14ac:dyDescent="0.3">
      <c r="A314" t="s">
        <v>58</v>
      </c>
      <c r="B314" t="s">
        <v>58</v>
      </c>
      <c r="C314" t="s">
        <v>58</v>
      </c>
      <c r="D314" t="s">
        <v>58</v>
      </c>
      <c r="E314" t="s">
        <v>58</v>
      </c>
      <c r="J314" t="s">
        <v>58</v>
      </c>
      <c r="K314" t="s">
        <v>58</v>
      </c>
      <c r="L314" t="s">
        <v>58</v>
      </c>
      <c r="M314" t="s">
        <v>58</v>
      </c>
      <c r="N314" t="s">
        <v>58</v>
      </c>
      <c r="R314" t="s">
        <v>58</v>
      </c>
      <c r="S314" t="s">
        <v>58</v>
      </c>
      <c r="T314" t="s">
        <v>58</v>
      </c>
      <c r="U314" t="s">
        <v>58</v>
      </c>
      <c r="V314" t="s">
        <v>58</v>
      </c>
      <c r="Z314" t="s">
        <v>58</v>
      </c>
      <c r="AA314" t="s">
        <v>58</v>
      </c>
      <c r="AB314" t="s">
        <v>58</v>
      </c>
      <c r="AC314" t="s">
        <v>58</v>
      </c>
      <c r="AD314" t="s">
        <v>58</v>
      </c>
      <c r="AG314" t="s">
        <v>58</v>
      </c>
      <c r="AH314" t="s">
        <v>58</v>
      </c>
      <c r="AI314" t="s">
        <v>58</v>
      </c>
      <c r="AJ314" t="s">
        <v>58</v>
      </c>
      <c r="AK314" t="s">
        <v>58</v>
      </c>
      <c r="AO314" t="s">
        <v>58</v>
      </c>
      <c r="AP314" t="s">
        <v>58</v>
      </c>
      <c r="AQ314" t="s">
        <v>58</v>
      </c>
      <c r="AR314" t="s">
        <v>58</v>
      </c>
      <c r="AS314" t="s">
        <v>58</v>
      </c>
      <c r="AV314" t="s">
        <v>58</v>
      </c>
      <c r="AW314" t="s">
        <v>58</v>
      </c>
      <c r="AX314" t="s">
        <v>58</v>
      </c>
      <c r="AY314" t="s">
        <v>58</v>
      </c>
      <c r="AZ314" t="s">
        <v>58</v>
      </c>
      <c r="BC314">
        <v>42909</v>
      </c>
      <c r="BD314">
        <v>0.74000000000000032</v>
      </c>
      <c r="BE314">
        <v>0.23999999999999996</v>
      </c>
      <c r="BF314">
        <v>0</v>
      </c>
      <c r="BG314">
        <v>1.9999999999999712E-2</v>
      </c>
    </row>
    <row r="315" spans="1:59" x14ac:dyDescent="0.3">
      <c r="A315" t="s">
        <v>58</v>
      </c>
      <c r="B315" t="s">
        <v>58</v>
      </c>
      <c r="C315" t="s">
        <v>58</v>
      </c>
      <c r="D315" t="s">
        <v>58</v>
      </c>
      <c r="E315" t="s">
        <v>58</v>
      </c>
      <c r="J315" t="s">
        <v>58</v>
      </c>
      <c r="K315" t="s">
        <v>58</v>
      </c>
      <c r="L315" t="s">
        <v>58</v>
      </c>
      <c r="M315" t="s">
        <v>58</v>
      </c>
      <c r="N315" t="s">
        <v>58</v>
      </c>
      <c r="R315" t="s">
        <v>58</v>
      </c>
      <c r="S315" t="s">
        <v>58</v>
      </c>
      <c r="T315" t="s">
        <v>58</v>
      </c>
      <c r="U315" t="s">
        <v>58</v>
      </c>
      <c r="V315" t="s">
        <v>58</v>
      </c>
      <c r="Z315" t="s">
        <v>58</v>
      </c>
      <c r="AA315" t="s">
        <v>58</v>
      </c>
      <c r="AB315" t="s">
        <v>58</v>
      </c>
      <c r="AC315" t="s">
        <v>58</v>
      </c>
      <c r="AD315" t="s">
        <v>58</v>
      </c>
      <c r="AG315" t="s">
        <v>58</v>
      </c>
      <c r="AH315" t="s">
        <v>58</v>
      </c>
      <c r="AI315" t="s">
        <v>58</v>
      </c>
      <c r="AJ315" t="s">
        <v>58</v>
      </c>
      <c r="AK315" t="s">
        <v>58</v>
      </c>
      <c r="AO315" t="s">
        <v>58</v>
      </c>
      <c r="AP315" t="s">
        <v>58</v>
      </c>
      <c r="AQ315" t="s">
        <v>58</v>
      </c>
      <c r="AR315" t="s">
        <v>58</v>
      </c>
      <c r="AS315" t="s">
        <v>58</v>
      </c>
      <c r="AV315" t="s">
        <v>58</v>
      </c>
      <c r="AW315" t="s">
        <v>58</v>
      </c>
      <c r="AX315" t="s">
        <v>58</v>
      </c>
      <c r="AY315" t="s">
        <v>58</v>
      </c>
      <c r="AZ315" t="s">
        <v>58</v>
      </c>
      <c r="BC315">
        <v>42916</v>
      </c>
      <c r="BD315">
        <v>0.72000000000000031</v>
      </c>
      <c r="BE315">
        <v>0.25999999999999995</v>
      </c>
      <c r="BF315">
        <v>0</v>
      </c>
      <c r="BG315">
        <v>1.999999999999974E-2</v>
      </c>
    </row>
    <row r="316" spans="1:59" x14ac:dyDescent="0.3">
      <c r="A316" t="s">
        <v>58</v>
      </c>
      <c r="B316" t="s">
        <v>58</v>
      </c>
      <c r="C316" t="s">
        <v>58</v>
      </c>
      <c r="D316" t="s">
        <v>58</v>
      </c>
      <c r="E316" t="s">
        <v>58</v>
      </c>
      <c r="J316" t="s">
        <v>58</v>
      </c>
      <c r="K316" t="s">
        <v>58</v>
      </c>
      <c r="L316" t="s">
        <v>58</v>
      </c>
      <c r="M316" t="s">
        <v>58</v>
      </c>
      <c r="N316" t="s">
        <v>58</v>
      </c>
      <c r="R316" t="s">
        <v>58</v>
      </c>
      <c r="S316" t="s">
        <v>58</v>
      </c>
      <c r="T316" t="s">
        <v>58</v>
      </c>
      <c r="U316" t="s">
        <v>58</v>
      </c>
      <c r="V316" t="s">
        <v>58</v>
      </c>
      <c r="Z316" t="s">
        <v>58</v>
      </c>
      <c r="AA316" t="s">
        <v>58</v>
      </c>
      <c r="AB316" t="s">
        <v>58</v>
      </c>
      <c r="AC316" t="s">
        <v>58</v>
      </c>
      <c r="AD316" t="s">
        <v>58</v>
      </c>
      <c r="AG316" t="s">
        <v>58</v>
      </c>
      <c r="AH316" t="s">
        <v>58</v>
      </c>
      <c r="AI316" t="s">
        <v>58</v>
      </c>
      <c r="AJ316" t="s">
        <v>58</v>
      </c>
      <c r="AK316" t="s">
        <v>58</v>
      </c>
      <c r="AO316" t="s">
        <v>58</v>
      </c>
      <c r="AP316" t="s">
        <v>58</v>
      </c>
      <c r="AQ316" t="s">
        <v>58</v>
      </c>
      <c r="AR316" t="s">
        <v>58</v>
      </c>
      <c r="AS316" t="s">
        <v>58</v>
      </c>
      <c r="AV316" t="s">
        <v>58</v>
      </c>
      <c r="AW316" t="s">
        <v>58</v>
      </c>
      <c r="AX316" t="s">
        <v>58</v>
      </c>
      <c r="AY316" t="s">
        <v>58</v>
      </c>
      <c r="AZ316" t="s">
        <v>58</v>
      </c>
      <c r="BC316">
        <v>42923</v>
      </c>
      <c r="BD316">
        <v>0.68000000000000027</v>
      </c>
      <c r="BE316">
        <v>0.3</v>
      </c>
      <c r="BF316">
        <v>0</v>
      </c>
      <c r="BG316">
        <v>1.999999999999974E-2</v>
      </c>
    </row>
    <row r="317" spans="1:59" x14ac:dyDescent="0.3">
      <c r="A317" t="s">
        <v>58</v>
      </c>
      <c r="B317" t="s">
        <v>58</v>
      </c>
      <c r="C317" t="s">
        <v>58</v>
      </c>
      <c r="D317" t="s">
        <v>58</v>
      </c>
      <c r="E317" t="s">
        <v>58</v>
      </c>
      <c r="J317" t="s">
        <v>58</v>
      </c>
      <c r="K317" t="s">
        <v>58</v>
      </c>
      <c r="L317" t="s">
        <v>58</v>
      </c>
      <c r="M317" t="s">
        <v>58</v>
      </c>
      <c r="N317" t="s">
        <v>58</v>
      </c>
      <c r="R317" t="s">
        <v>58</v>
      </c>
      <c r="S317" t="s">
        <v>58</v>
      </c>
      <c r="T317" t="s">
        <v>58</v>
      </c>
      <c r="U317" t="s">
        <v>58</v>
      </c>
      <c r="V317" t="s">
        <v>58</v>
      </c>
      <c r="Z317" t="s">
        <v>58</v>
      </c>
      <c r="AA317" t="s">
        <v>58</v>
      </c>
      <c r="AB317" t="s">
        <v>58</v>
      </c>
      <c r="AC317" t="s">
        <v>58</v>
      </c>
      <c r="AD317" t="s">
        <v>58</v>
      </c>
      <c r="AG317" t="s">
        <v>58</v>
      </c>
      <c r="AH317" t="s">
        <v>58</v>
      </c>
      <c r="AI317" t="s">
        <v>58</v>
      </c>
      <c r="AJ317" t="s">
        <v>58</v>
      </c>
      <c r="AK317" t="s">
        <v>58</v>
      </c>
      <c r="AO317" t="s">
        <v>58</v>
      </c>
      <c r="AP317" t="s">
        <v>58</v>
      </c>
      <c r="AQ317" t="s">
        <v>58</v>
      </c>
      <c r="AR317" t="s">
        <v>58</v>
      </c>
      <c r="AS317" t="s">
        <v>58</v>
      </c>
      <c r="AV317" t="s">
        <v>58</v>
      </c>
      <c r="AW317" t="s">
        <v>58</v>
      </c>
      <c r="AX317" t="s">
        <v>58</v>
      </c>
      <c r="AY317" t="s">
        <v>58</v>
      </c>
      <c r="AZ317" t="s">
        <v>58</v>
      </c>
      <c r="BC317">
        <v>42930</v>
      </c>
      <c r="BD317">
        <v>0.64000000000000024</v>
      </c>
      <c r="BE317">
        <v>0.34</v>
      </c>
      <c r="BF317">
        <v>0</v>
      </c>
      <c r="BG317">
        <v>1.999999999999974E-2</v>
      </c>
    </row>
    <row r="318" spans="1:59" x14ac:dyDescent="0.3">
      <c r="A318" t="s">
        <v>58</v>
      </c>
      <c r="B318" t="s">
        <v>58</v>
      </c>
      <c r="C318" t="s">
        <v>58</v>
      </c>
      <c r="D318" t="s">
        <v>58</v>
      </c>
      <c r="E318" t="s">
        <v>58</v>
      </c>
      <c r="J318" t="s">
        <v>58</v>
      </c>
      <c r="K318" t="s">
        <v>58</v>
      </c>
      <c r="L318" t="s">
        <v>58</v>
      </c>
      <c r="M318" t="s">
        <v>58</v>
      </c>
      <c r="N318" t="s">
        <v>58</v>
      </c>
      <c r="R318" t="s">
        <v>58</v>
      </c>
      <c r="S318" t="s">
        <v>58</v>
      </c>
      <c r="T318" t="s">
        <v>58</v>
      </c>
      <c r="U318" t="s">
        <v>58</v>
      </c>
      <c r="V318" t="s">
        <v>58</v>
      </c>
      <c r="Z318" t="s">
        <v>58</v>
      </c>
      <c r="AA318" t="s">
        <v>58</v>
      </c>
      <c r="AB318" t="s">
        <v>58</v>
      </c>
      <c r="AC318" t="s">
        <v>58</v>
      </c>
      <c r="AD318" t="s">
        <v>58</v>
      </c>
      <c r="AG318" t="s">
        <v>58</v>
      </c>
      <c r="AH318" t="s">
        <v>58</v>
      </c>
      <c r="AI318" t="s">
        <v>58</v>
      </c>
      <c r="AJ318" t="s">
        <v>58</v>
      </c>
      <c r="AK318" t="s">
        <v>58</v>
      </c>
      <c r="AO318" t="s">
        <v>58</v>
      </c>
      <c r="AP318" t="s">
        <v>58</v>
      </c>
      <c r="AQ318" t="s">
        <v>58</v>
      </c>
      <c r="AR318" t="s">
        <v>58</v>
      </c>
      <c r="AS318" t="s">
        <v>58</v>
      </c>
      <c r="AV318" t="s">
        <v>58</v>
      </c>
      <c r="AW318" t="s">
        <v>58</v>
      </c>
      <c r="AX318" t="s">
        <v>58</v>
      </c>
      <c r="AY318" t="s">
        <v>58</v>
      </c>
      <c r="AZ318" t="s">
        <v>58</v>
      </c>
      <c r="BC318">
        <v>42937</v>
      </c>
      <c r="BD318">
        <v>0.66000000000000025</v>
      </c>
      <c r="BE318">
        <v>0.32</v>
      </c>
      <c r="BF318">
        <v>0</v>
      </c>
      <c r="BG318">
        <v>1.999999999999974E-2</v>
      </c>
    </row>
    <row r="319" spans="1:59" x14ac:dyDescent="0.3">
      <c r="A319" t="s">
        <v>58</v>
      </c>
      <c r="B319" t="s">
        <v>58</v>
      </c>
      <c r="C319" t="s">
        <v>58</v>
      </c>
      <c r="D319" t="s">
        <v>58</v>
      </c>
      <c r="E319" t="s">
        <v>58</v>
      </c>
      <c r="J319" t="s">
        <v>58</v>
      </c>
      <c r="K319" t="s">
        <v>58</v>
      </c>
      <c r="L319" t="s">
        <v>58</v>
      </c>
      <c r="M319" t="s">
        <v>58</v>
      </c>
      <c r="N319" t="s">
        <v>58</v>
      </c>
      <c r="R319" t="s">
        <v>58</v>
      </c>
      <c r="S319" t="s">
        <v>58</v>
      </c>
      <c r="T319" t="s">
        <v>58</v>
      </c>
      <c r="U319" t="s">
        <v>58</v>
      </c>
      <c r="V319" t="s">
        <v>58</v>
      </c>
      <c r="Z319" t="s">
        <v>58</v>
      </c>
      <c r="AA319" t="s">
        <v>58</v>
      </c>
      <c r="AB319" t="s">
        <v>58</v>
      </c>
      <c r="AC319" t="s">
        <v>58</v>
      </c>
      <c r="AD319" t="s">
        <v>58</v>
      </c>
      <c r="AG319" t="s">
        <v>58</v>
      </c>
      <c r="AH319" t="s">
        <v>58</v>
      </c>
      <c r="AI319" t="s">
        <v>58</v>
      </c>
      <c r="AJ319" t="s">
        <v>58</v>
      </c>
      <c r="AK319" t="s">
        <v>58</v>
      </c>
      <c r="AO319" t="s">
        <v>58</v>
      </c>
      <c r="AP319" t="s">
        <v>58</v>
      </c>
      <c r="AQ319" t="s">
        <v>58</v>
      </c>
      <c r="AR319" t="s">
        <v>58</v>
      </c>
      <c r="AS319" t="s">
        <v>58</v>
      </c>
      <c r="AV319" t="s">
        <v>58</v>
      </c>
      <c r="AW319" t="s">
        <v>58</v>
      </c>
      <c r="AX319" t="s">
        <v>58</v>
      </c>
      <c r="AY319" t="s">
        <v>58</v>
      </c>
      <c r="AZ319" t="s">
        <v>58</v>
      </c>
      <c r="BC319">
        <v>42944</v>
      </c>
      <c r="BD319">
        <v>0.66000000000000025</v>
      </c>
      <c r="BE319">
        <v>0.32</v>
      </c>
      <c r="BF319">
        <v>0</v>
      </c>
      <c r="BG319">
        <v>1.999999999999974E-2</v>
      </c>
    </row>
    <row r="320" spans="1:59" x14ac:dyDescent="0.3">
      <c r="A320" t="s">
        <v>58</v>
      </c>
      <c r="B320" t="s">
        <v>58</v>
      </c>
      <c r="C320" t="s">
        <v>58</v>
      </c>
      <c r="D320" t="s">
        <v>58</v>
      </c>
      <c r="E320" t="s">
        <v>58</v>
      </c>
      <c r="J320" t="s">
        <v>58</v>
      </c>
      <c r="K320" t="s">
        <v>58</v>
      </c>
      <c r="L320" t="s">
        <v>58</v>
      </c>
      <c r="M320" t="s">
        <v>58</v>
      </c>
      <c r="N320" t="s">
        <v>58</v>
      </c>
      <c r="R320" t="s">
        <v>58</v>
      </c>
      <c r="S320" t="s">
        <v>58</v>
      </c>
      <c r="T320" t="s">
        <v>58</v>
      </c>
      <c r="U320" t="s">
        <v>58</v>
      </c>
      <c r="V320" t="s">
        <v>58</v>
      </c>
      <c r="Z320" t="s">
        <v>58</v>
      </c>
      <c r="AA320" t="s">
        <v>58</v>
      </c>
      <c r="AB320" t="s">
        <v>58</v>
      </c>
      <c r="AC320" t="s">
        <v>58</v>
      </c>
      <c r="AD320" t="s">
        <v>58</v>
      </c>
      <c r="AG320" t="s">
        <v>58</v>
      </c>
      <c r="AH320" t="s">
        <v>58</v>
      </c>
      <c r="AI320" t="s">
        <v>58</v>
      </c>
      <c r="AJ320" t="s">
        <v>58</v>
      </c>
      <c r="AK320" t="s">
        <v>58</v>
      </c>
      <c r="AO320" t="s">
        <v>58</v>
      </c>
      <c r="AP320" t="s">
        <v>58</v>
      </c>
      <c r="AQ320" t="s">
        <v>58</v>
      </c>
      <c r="AR320" t="s">
        <v>58</v>
      </c>
      <c r="AS320" t="s">
        <v>58</v>
      </c>
      <c r="AV320" t="s">
        <v>58</v>
      </c>
      <c r="AW320" t="s">
        <v>58</v>
      </c>
      <c r="AX320" t="s">
        <v>58</v>
      </c>
      <c r="AY320" t="s">
        <v>58</v>
      </c>
      <c r="AZ320" t="s">
        <v>58</v>
      </c>
      <c r="BC320">
        <v>42951</v>
      </c>
      <c r="BD320">
        <v>0.70000000000000029</v>
      </c>
      <c r="BE320">
        <v>0.27999999999999997</v>
      </c>
      <c r="BF320">
        <v>0</v>
      </c>
      <c r="BG320">
        <v>1.999999999999974E-2</v>
      </c>
    </row>
    <row r="321" spans="1:59" x14ac:dyDescent="0.3">
      <c r="A321" t="s">
        <v>58</v>
      </c>
      <c r="B321" t="s">
        <v>58</v>
      </c>
      <c r="C321" t="s">
        <v>58</v>
      </c>
      <c r="D321" t="s">
        <v>58</v>
      </c>
      <c r="E321" t="s">
        <v>58</v>
      </c>
      <c r="J321" t="s">
        <v>58</v>
      </c>
      <c r="K321" t="s">
        <v>58</v>
      </c>
      <c r="L321" t="s">
        <v>58</v>
      </c>
      <c r="M321" t="s">
        <v>58</v>
      </c>
      <c r="N321" t="s">
        <v>58</v>
      </c>
      <c r="R321" t="s">
        <v>58</v>
      </c>
      <c r="S321" t="s">
        <v>58</v>
      </c>
      <c r="T321" t="s">
        <v>58</v>
      </c>
      <c r="U321" t="s">
        <v>58</v>
      </c>
      <c r="V321" t="s">
        <v>58</v>
      </c>
      <c r="Z321" t="s">
        <v>58</v>
      </c>
      <c r="AA321" t="s">
        <v>58</v>
      </c>
      <c r="AB321" t="s">
        <v>58</v>
      </c>
      <c r="AC321" t="s">
        <v>58</v>
      </c>
      <c r="AD321" t="s">
        <v>58</v>
      </c>
      <c r="AG321" t="s">
        <v>58</v>
      </c>
      <c r="AH321" t="s">
        <v>58</v>
      </c>
      <c r="AI321" t="s">
        <v>58</v>
      </c>
      <c r="AJ321" t="s">
        <v>58</v>
      </c>
      <c r="AK321" t="s">
        <v>58</v>
      </c>
      <c r="AO321" t="s">
        <v>58</v>
      </c>
      <c r="AP321" t="s">
        <v>58</v>
      </c>
      <c r="AQ321" t="s">
        <v>58</v>
      </c>
      <c r="AR321" t="s">
        <v>58</v>
      </c>
      <c r="AS321" t="s">
        <v>58</v>
      </c>
      <c r="AV321" t="s">
        <v>58</v>
      </c>
      <c r="AW321" t="s">
        <v>58</v>
      </c>
      <c r="AX321" t="s">
        <v>58</v>
      </c>
      <c r="AY321" t="s">
        <v>58</v>
      </c>
      <c r="AZ321" t="s">
        <v>58</v>
      </c>
      <c r="BC321">
        <v>42958</v>
      </c>
      <c r="BD321">
        <v>0.70000000000000029</v>
      </c>
      <c r="BE321">
        <v>0.27999999999999997</v>
      </c>
      <c r="BF321">
        <v>0</v>
      </c>
      <c r="BG321">
        <v>1.999999999999974E-2</v>
      </c>
    </row>
    <row r="322" spans="1:59" x14ac:dyDescent="0.3">
      <c r="A322" t="s">
        <v>58</v>
      </c>
      <c r="B322" t="s">
        <v>58</v>
      </c>
      <c r="C322" t="s">
        <v>58</v>
      </c>
      <c r="D322" t="s">
        <v>58</v>
      </c>
      <c r="E322" t="s">
        <v>58</v>
      </c>
      <c r="J322" t="s">
        <v>58</v>
      </c>
      <c r="K322" t="s">
        <v>58</v>
      </c>
      <c r="L322" t="s">
        <v>58</v>
      </c>
      <c r="M322" t="s">
        <v>58</v>
      </c>
      <c r="N322" t="s">
        <v>58</v>
      </c>
      <c r="R322" t="s">
        <v>58</v>
      </c>
      <c r="S322" t="s">
        <v>58</v>
      </c>
      <c r="T322" t="s">
        <v>58</v>
      </c>
      <c r="U322" t="s">
        <v>58</v>
      </c>
      <c r="V322" t="s">
        <v>58</v>
      </c>
      <c r="Z322" t="s">
        <v>58</v>
      </c>
      <c r="AA322" t="s">
        <v>58</v>
      </c>
      <c r="AB322" t="s">
        <v>58</v>
      </c>
      <c r="AC322" t="s">
        <v>58</v>
      </c>
      <c r="AD322" t="s">
        <v>58</v>
      </c>
      <c r="AG322" t="s">
        <v>58</v>
      </c>
      <c r="AH322" t="s">
        <v>58</v>
      </c>
      <c r="AI322" t="s">
        <v>58</v>
      </c>
      <c r="AJ322" t="s">
        <v>58</v>
      </c>
      <c r="AK322" t="s">
        <v>58</v>
      </c>
      <c r="AO322" t="s">
        <v>58</v>
      </c>
      <c r="AP322" t="s">
        <v>58</v>
      </c>
      <c r="AQ322" t="s">
        <v>58</v>
      </c>
      <c r="AR322" t="s">
        <v>58</v>
      </c>
      <c r="AS322" t="s">
        <v>58</v>
      </c>
      <c r="AV322" t="s">
        <v>58</v>
      </c>
      <c r="AW322" t="s">
        <v>58</v>
      </c>
      <c r="AX322" t="s">
        <v>58</v>
      </c>
      <c r="AY322" t="s">
        <v>58</v>
      </c>
      <c r="AZ322" t="s">
        <v>58</v>
      </c>
      <c r="BC322">
        <v>42965</v>
      </c>
      <c r="BD322">
        <v>0.70000000000000029</v>
      </c>
      <c r="BE322">
        <v>0.27999999999999997</v>
      </c>
      <c r="BF322">
        <v>0</v>
      </c>
      <c r="BG322">
        <v>1.999999999999974E-2</v>
      </c>
    </row>
    <row r="323" spans="1:59" x14ac:dyDescent="0.3">
      <c r="A323" t="s">
        <v>58</v>
      </c>
      <c r="B323" t="s">
        <v>58</v>
      </c>
      <c r="C323" t="s">
        <v>58</v>
      </c>
      <c r="D323" t="s">
        <v>58</v>
      </c>
      <c r="E323" t="s">
        <v>58</v>
      </c>
      <c r="J323" t="s">
        <v>58</v>
      </c>
      <c r="K323" t="s">
        <v>58</v>
      </c>
      <c r="L323" t="s">
        <v>58</v>
      </c>
      <c r="M323" t="s">
        <v>58</v>
      </c>
      <c r="N323" t="s">
        <v>58</v>
      </c>
      <c r="R323" t="s">
        <v>58</v>
      </c>
      <c r="S323" t="s">
        <v>58</v>
      </c>
      <c r="T323" t="s">
        <v>58</v>
      </c>
      <c r="U323" t="s">
        <v>58</v>
      </c>
      <c r="V323" t="s">
        <v>58</v>
      </c>
      <c r="Z323" t="s">
        <v>58</v>
      </c>
      <c r="AA323" t="s">
        <v>58</v>
      </c>
      <c r="AB323" t="s">
        <v>58</v>
      </c>
      <c r="AC323" t="s">
        <v>58</v>
      </c>
      <c r="AD323" t="s">
        <v>58</v>
      </c>
      <c r="AG323" t="s">
        <v>58</v>
      </c>
      <c r="AH323" t="s">
        <v>58</v>
      </c>
      <c r="AI323" t="s">
        <v>58</v>
      </c>
      <c r="AJ323" t="s">
        <v>58</v>
      </c>
      <c r="AK323" t="s">
        <v>58</v>
      </c>
      <c r="AO323" t="s">
        <v>58</v>
      </c>
      <c r="AP323" t="s">
        <v>58</v>
      </c>
      <c r="AQ323" t="s">
        <v>58</v>
      </c>
      <c r="AR323" t="s">
        <v>58</v>
      </c>
      <c r="AS323" t="s">
        <v>58</v>
      </c>
      <c r="AV323" t="s">
        <v>58</v>
      </c>
      <c r="AW323" t="s">
        <v>58</v>
      </c>
      <c r="AX323" t="s">
        <v>58</v>
      </c>
      <c r="AY323" t="s">
        <v>58</v>
      </c>
      <c r="AZ323" t="s">
        <v>58</v>
      </c>
      <c r="BC323">
        <v>42972</v>
      </c>
      <c r="BD323">
        <v>0.70000000000000029</v>
      </c>
      <c r="BE323">
        <v>0.27999999999999997</v>
      </c>
      <c r="BF323">
        <v>0</v>
      </c>
      <c r="BG323">
        <v>1.999999999999974E-2</v>
      </c>
    </row>
    <row r="324" spans="1:59" x14ac:dyDescent="0.3">
      <c r="A324" t="s">
        <v>58</v>
      </c>
      <c r="B324" t="s">
        <v>58</v>
      </c>
      <c r="C324" t="s">
        <v>58</v>
      </c>
      <c r="D324" t="s">
        <v>58</v>
      </c>
      <c r="E324" t="s">
        <v>58</v>
      </c>
      <c r="J324" t="s">
        <v>58</v>
      </c>
      <c r="K324" t="s">
        <v>58</v>
      </c>
      <c r="L324" t="s">
        <v>58</v>
      </c>
      <c r="M324" t="s">
        <v>58</v>
      </c>
      <c r="N324" t="s">
        <v>58</v>
      </c>
      <c r="R324" t="s">
        <v>58</v>
      </c>
      <c r="S324" t="s">
        <v>58</v>
      </c>
      <c r="T324" t="s">
        <v>58</v>
      </c>
      <c r="U324" t="s">
        <v>58</v>
      </c>
      <c r="V324" t="s">
        <v>58</v>
      </c>
      <c r="Z324" t="s">
        <v>58</v>
      </c>
      <c r="AA324" t="s">
        <v>58</v>
      </c>
      <c r="AB324" t="s">
        <v>58</v>
      </c>
      <c r="AC324" t="s">
        <v>58</v>
      </c>
      <c r="AD324" t="s">
        <v>58</v>
      </c>
      <c r="AG324" t="s">
        <v>58</v>
      </c>
      <c r="AH324" t="s">
        <v>58</v>
      </c>
      <c r="AI324" t="s">
        <v>58</v>
      </c>
      <c r="AJ324" t="s">
        <v>58</v>
      </c>
      <c r="AK324" t="s">
        <v>58</v>
      </c>
      <c r="AO324" t="s">
        <v>58</v>
      </c>
      <c r="AP324" t="s">
        <v>58</v>
      </c>
      <c r="AQ324" t="s">
        <v>58</v>
      </c>
      <c r="AR324" t="s">
        <v>58</v>
      </c>
      <c r="AS324" t="s">
        <v>58</v>
      </c>
      <c r="AV324" t="s">
        <v>58</v>
      </c>
      <c r="AW324" t="s">
        <v>58</v>
      </c>
      <c r="AX324" t="s">
        <v>58</v>
      </c>
      <c r="AY324" t="s">
        <v>58</v>
      </c>
      <c r="AZ324" t="s">
        <v>58</v>
      </c>
      <c r="BC324">
        <v>42979</v>
      </c>
      <c r="BD324">
        <v>0.66000000000000025</v>
      </c>
      <c r="BE324">
        <v>0.32</v>
      </c>
      <c r="BF324">
        <v>0</v>
      </c>
      <c r="BG324">
        <v>1.999999999999974E-2</v>
      </c>
    </row>
    <row r="325" spans="1:59" x14ac:dyDescent="0.3">
      <c r="A325" t="s">
        <v>58</v>
      </c>
      <c r="B325" t="s">
        <v>58</v>
      </c>
      <c r="C325" t="s">
        <v>58</v>
      </c>
      <c r="D325" t="s">
        <v>58</v>
      </c>
      <c r="E325" t="s">
        <v>58</v>
      </c>
      <c r="J325" t="s">
        <v>58</v>
      </c>
      <c r="K325" t="s">
        <v>58</v>
      </c>
      <c r="L325" t="s">
        <v>58</v>
      </c>
      <c r="M325" t="s">
        <v>58</v>
      </c>
      <c r="N325" t="s">
        <v>58</v>
      </c>
      <c r="R325" t="s">
        <v>58</v>
      </c>
      <c r="S325" t="s">
        <v>58</v>
      </c>
      <c r="T325" t="s">
        <v>58</v>
      </c>
      <c r="U325" t="s">
        <v>58</v>
      </c>
      <c r="V325" t="s">
        <v>58</v>
      </c>
      <c r="Z325" t="s">
        <v>58</v>
      </c>
      <c r="AA325" t="s">
        <v>58</v>
      </c>
      <c r="AB325" t="s">
        <v>58</v>
      </c>
      <c r="AC325" t="s">
        <v>58</v>
      </c>
      <c r="AD325" t="s">
        <v>58</v>
      </c>
      <c r="AG325" t="s">
        <v>58</v>
      </c>
      <c r="AH325" t="s">
        <v>58</v>
      </c>
      <c r="AI325" t="s">
        <v>58</v>
      </c>
      <c r="AJ325" t="s">
        <v>58</v>
      </c>
      <c r="AK325" t="s">
        <v>58</v>
      </c>
      <c r="AO325" t="s">
        <v>58</v>
      </c>
      <c r="AP325" t="s">
        <v>58</v>
      </c>
      <c r="AQ325" t="s">
        <v>58</v>
      </c>
      <c r="AR325" t="s">
        <v>58</v>
      </c>
      <c r="AS325" t="s">
        <v>58</v>
      </c>
      <c r="AV325" t="s">
        <v>58</v>
      </c>
      <c r="AW325" t="s">
        <v>58</v>
      </c>
      <c r="AX325" t="s">
        <v>58</v>
      </c>
      <c r="AY325" t="s">
        <v>58</v>
      </c>
      <c r="AZ325" t="s">
        <v>58</v>
      </c>
      <c r="BC325">
        <v>42986</v>
      </c>
      <c r="BD325">
        <v>0.68000000000000027</v>
      </c>
      <c r="BE325">
        <v>0.3</v>
      </c>
      <c r="BF325">
        <v>0</v>
      </c>
      <c r="BG325">
        <v>1.999999999999974E-2</v>
      </c>
    </row>
    <row r="326" spans="1:59" x14ac:dyDescent="0.3">
      <c r="A326" t="s">
        <v>58</v>
      </c>
      <c r="B326" t="s">
        <v>58</v>
      </c>
      <c r="C326" t="s">
        <v>58</v>
      </c>
      <c r="D326" t="s">
        <v>58</v>
      </c>
      <c r="E326" t="s">
        <v>58</v>
      </c>
      <c r="J326" t="s">
        <v>58</v>
      </c>
      <c r="K326" t="s">
        <v>58</v>
      </c>
      <c r="L326" t="s">
        <v>58</v>
      </c>
      <c r="M326" t="s">
        <v>58</v>
      </c>
      <c r="N326" t="s">
        <v>58</v>
      </c>
      <c r="R326" t="s">
        <v>58</v>
      </c>
      <c r="S326" t="s">
        <v>58</v>
      </c>
      <c r="T326" t="s">
        <v>58</v>
      </c>
      <c r="U326" t="s">
        <v>58</v>
      </c>
      <c r="V326" t="s">
        <v>58</v>
      </c>
      <c r="Z326" t="s">
        <v>58</v>
      </c>
      <c r="AA326" t="s">
        <v>58</v>
      </c>
      <c r="AB326" t="s">
        <v>58</v>
      </c>
      <c r="AC326" t="s">
        <v>58</v>
      </c>
      <c r="AD326" t="s">
        <v>58</v>
      </c>
      <c r="AG326" t="s">
        <v>58</v>
      </c>
      <c r="AH326" t="s">
        <v>58</v>
      </c>
      <c r="AI326" t="s">
        <v>58</v>
      </c>
      <c r="AJ326" t="s">
        <v>58</v>
      </c>
      <c r="AK326" t="s">
        <v>58</v>
      </c>
      <c r="AO326" t="s">
        <v>58</v>
      </c>
      <c r="AP326" t="s">
        <v>58</v>
      </c>
      <c r="AQ326" t="s">
        <v>58</v>
      </c>
      <c r="AR326" t="s">
        <v>58</v>
      </c>
      <c r="AS326" t="s">
        <v>58</v>
      </c>
      <c r="AV326" t="s">
        <v>58</v>
      </c>
      <c r="AW326" t="s">
        <v>58</v>
      </c>
      <c r="AX326" t="s">
        <v>58</v>
      </c>
      <c r="AY326" t="s">
        <v>58</v>
      </c>
      <c r="AZ326" t="s">
        <v>58</v>
      </c>
      <c r="BC326">
        <v>42993</v>
      </c>
      <c r="BD326">
        <v>0.72000000000000031</v>
      </c>
      <c r="BE326">
        <v>0.25999999999999995</v>
      </c>
      <c r="BF326">
        <v>0</v>
      </c>
      <c r="BG326">
        <v>1.999999999999974E-2</v>
      </c>
    </row>
    <row r="327" spans="1:59" x14ac:dyDescent="0.3">
      <c r="A327" t="s">
        <v>58</v>
      </c>
      <c r="B327" t="s">
        <v>58</v>
      </c>
      <c r="C327" t="s">
        <v>58</v>
      </c>
      <c r="D327" t="s">
        <v>58</v>
      </c>
      <c r="E327" t="s">
        <v>58</v>
      </c>
      <c r="J327" t="s">
        <v>58</v>
      </c>
      <c r="K327" t="s">
        <v>58</v>
      </c>
      <c r="L327" t="s">
        <v>58</v>
      </c>
      <c r="M327" t="s">
        <v>58</v>
      </c>
      <c r="N327" t="s">
        <v>58</v>
      </c>
      <c r="R327" t="s">
        <v>58</v>
      </c>
      <c r="S327" t="s">
        <v>58</v>
      </c>
      <c r="T327" t="s">
        <v>58</v>
      </c>
      <c r="U327" t="s">
        <v>58</v>
      </c>
      <c r="V327" t="s">
        <v>58</v>
      </c>
      <c r="Z327" t="s">
        <v>58</v>
      </c>
      <c r="AA327" t="s">
        <v>58</v>
      </c>
      <c r="AB327" t="s">
        <v>58</v>
      </c>
      <c r="AC327" t="s">
        <v>58</v>
      </c>
      <c r="AD327" t="s">
        <v>58</v>
      </c>
      <c r="AG327" t="s">
        <v>58</v>
      </c>
      <c r="AH327" t="s">
        <v>58</v>
      </c>
      <c r="AI327" t="s">
        <v>58</v>
      </c>
      <c r="AJ327" t="s">
        <v>58</v>
      </c>
      <c r="AK327" t="s">
        <v>58</v>
      </c>
      <c r="AO327" t="s">
        <v>58</v>
      </c>
      <c r="AP327" t="s">
        <v>58</v>
      </c>
      <c r="AQ327" t="s">
        <v>58</v>
      </c>
      <c r="AR327" t="s">
        <v>58</v>
      </c>
      <c r="AS327" t="s">
        <v>58</v>
      </c>
      <c r="AV327" t="s">
        <v>58</v>
      </c>
      <c r="AW327" t="s">
        <v>58</v>
      </c>
      <c r="AX327" t="s">
        <v>58</v>
      </c>
      <c r="AY327" t="s">
        <v>58</v>
      </c>
      <c r="AZ327" t="s">
        <v>58</v>
      </c>
      <c r="BC327">
        <v>43000</v>
      </c>
      <c r="BD327">
        <v>0.72000000000000031</v>
      </c>
      <c r="BE327">
        <v>0.25999999999999995</v>
      </c>
      <c r="BF327">
        <v>0</v>
      </c>
      <c r="BG327">
        <v>1.999999999999974E-2</v>
      </c>
    </row>
    <row r="328" spans="1:59" x14ac:dyDescent="0.3">
      <c r="A328" t="s">
        <v>58</v>
      </c>
      <c r="B328" t="s">
        <v>58</v>
      </c>
      <c r="C328" t="s">
        <v>58</v>
      </c>
      <c r="D328" t="s">
        <v>58</v>
      </c>
      <c r="E328" t="s">
        <v>58</v>
      </c>
      <c r="J328" t="s">
        <v>58</v>
      </c>
      <c r="K328" t="s">
        <v>58</v>
      </c>
      <c r="L328" t="s">
        <v>58</v>
      </c>
      <c r="M328" t="s">
        <v>58</v>
      </c>
      <c r="N328" t="s">
        <v>58</v>
      </c>
      <c r="R328" t="s">
        <v>58</v>
      </c>
      <c r="S328" t="s">
        <v>58</v>
      </c>
      <c r="T328" t="s">
        <v>58</v>
      </c>
      <c r="U328" t="s">
        <v>58</v>
      </c>
      <c r="V328" t="s">
        <v>58</v>
      </c>
      <c r="Z328" t="s">
        <v>58</v>
      </c>
      <c r="AA328" t="s">
        <v>58</v>
      </c>
      <c r="AB328" t="s">
        <v>58</v>
      </c>
      <c r="AC328" t="s">
        <v>58</v>
      </c>
      <c r="AD328" t="s">
        <v>58</v>
      </c>
      <c r="AG328" t="s">
        <v>58</v>
      </c>
      <c r="AH328" t="s">
        <v>58</v>
      </c>
      <c r="AI328" t="s">
        <v>58</v>
      </c>
      <c r="AJ328" t="s">
        <v>58</v>
      </c>
      <c r="AK328" t="s">
        <v>58</v>
      </c>
      <c r="AO328" t="s">
        <v>58</v>
      </c>
      <c r="AP328" t="s">
        <v>58</v>
      </c>
      <c r="AQ328" t="s">
        <v>58</v>
      </c>
      <c r="AR328" t="s">
        <v>58</v>
      </c>
      <c r="AS328" t="s">
        <v>58</v>
      </c>
      <c r="AV328" t="s">
        <v>58</v>
      </c>
      <c r="AW328" t="s">
        <v>58</v>
      </c>
      <c r="AX328" t="s">
        <v>58</v>
      </c>
      <c r="AY328" t="s">
        <v>58</v>
      </c>
      <c r="AZ328" t="s">
        <v>58</v>
      </c>
      <c r="BC328">
        <v>43007</v>
      </c>
      <c r="BD328">
        <v>0.72000000000000031</v>
      </c>
      <c r="BE328">
        <v>0.25999999999999995</v>
      </c>
      <c r="BF328">
        <v>0</v>
      </c>
      <c r="BG328">
        <v>1.999999999999974E-2</v>
      </c>
    </row>
    <row r="329" spans="1:59" x14ac:dyDescent="0.3">
      <c r="A329" t="s">
        <v>58</v>
      </c>
      <c r="B329" t="s">
        <v>58</v>
      </c>
      <c r="C329" t="s">
        <v>58</v>
      </c>
      <c r="D329" t="s">
        <v>58</v>
      </c>
      <c r="E329" t="s">
        <v>58</v>
      </c>
      <c r="J329" t="s">
        <v>58</v>
      </c>
      <c r="K329" t="s">
        <v>58</v>
      </c>
      <c r="L329" t="s">
        <v>58</v>
      </c>
      <c r="M329" t="s">
        <v>58</v>
      </c>
      <c r="N329" t="s">
        <v>58</v>
      </c>
      <c r="R329" t="s">
        <v>58</v>
      </c>
      <c r="S329" t="s">
        <v>58</v>
      </c>
      <c r="T329" t="s">
        <v>58</v>
      </c>
      <c r="U329" t="s">
        <v>58</v>
      </c>
      <c r="V329" t="s">
        <v>58</v>
      </c>
      <c r="Z329" t="s">
        <v>58</v>
      </c>
      <c r="AA329" t="s">
        <v>58</v>
      </c>
      <c r="AB329" t="s">
        <v>58</v>
      </c>
      <c r="AC329" t="s">
        <v>58</v>
      </c>
      <c r="AD329" t="s">
        <v>58</v>
      </c>
      <c r="AG329" t="s">
        <v>58</v>
      </c>
      <c r="AH329" t="s">
        <v>58</v>
      </c>
      <c r="AI329" t="s">
        <v>58</v>
      </c>
      <c r="AJ329" t="s">
        <v>58</v>
      </c>
      <c r="AK329" t="s">
        <v>58</v>
      </c>
      <c r="AO329" t="s">
        <v>58</v>
      </c>
      <c r="AP329" t="s">
        <v>58</v>
      </c>
      <c r="AQ329" t="s">
        <v>58</v>
      </c>
      <c r="AR329" t="s">
        <v>58</v>
      </c>
      <c r="AS329" t="s">
        <v>58</v>
      </c>
      <c r="AV329" t="s">
        <v>58</v>
      </c>
      <c r="AW329" t="s">
        <v>58</v>
      </c>
      <c r="AX329" t="s">
        <v>58</v>
      </c>
      <c r="AY329" t="s">
        <v>58</v>
      </c>
      <c r="AZ329" t="s">
        <v>58</v>
      </c>
      <c r="BC329">
        <v>43021</v>
      </c>
      <c r="BD329">
        <v>0.72000000000000031</v>
      </c>
      <c r="BE329">
        <v>0.25999999999999995</v>
      </c>
      <c r="BF329">
        <v>0</v>
      </c>
      <c r="BG329">
        <v>1.999999999999974E-2</v>
      </c>
    </row>
    <row r="330" spans="1:59" x14ac:dyDescent="0.3">
      <c r="A330" t="s">
        <v>58</v>
      </c>
      <c r="B330" t="s">
        <v>58</v>
      </c>
      <c r="C330" t="s">
        <v>58</v>
      </c>
      <c r="D330" t="s">
        <v>58</v>
      </c>
      <c r="E330" t="s">
        <v>58</v>
      </c>
      <c r="J330" t="s">
        <v>58</v>
      </c>
      <c r="K330" t="s">
        <v>58</v>
      </c>
      <c r="L330" t="s">
        <v>58</v>
      </c>
      <c r="M330" t="s">
        <v>58</v>
      </c>
      <c r="N330" t="s">
        <v>58</v>
      </c>
      <c r="R330" t="s">
        <v>58</v>
      </c>
      <c r="S330" t="s">
        <v>58</v>
      </c>
      <c r="T330" t="s">
        <v>58</v>
      </c>
      <c r="U330" t="s">
        <v>58</v>
      </c>
      <c r="V330" t="s">
        <v>58</v>
      </c>
      <c r="Z330" t="s">
        <v>58</v>
      </c>
      <c r="AA330" t="s">
        <v>58</v>
      </c>
      <c r="AB330" t="s">
        <v>58</v>
      </c>
      <c r="AC330" t="s">
        <v>58</v>
      </c>
      <c r="AD330" t="s">
        <v>58</v>
      </c>
      <c r="AG330" t="s">
        <v>58</v>
      </c>
      <c r="AH330" t="s">
        <v>58</v>
      </c>
      <c r="AI330" t="s">
        <v>58</v>
      </c>
      <c r="AJ330" t="s">
        <v>58</v>
      </c>
      <c r="AK330" t="s">
        <v>58</v>
      </c>
      <c r="AO330" t="s">
        <v>58</v>
      </c>
      <c r="AP330" t="s">
        <v>58</v>
      </c>
      <c r="AQ330" t="s">
        <v>58</v>
      </c>
      <c r="AR330" t="s">
        <v>58</v>
      </c>
      <c r="AS330" t="s">
        <v>58</v>
      </c>
      <c r="AV330" t="s">
        <v>58</v>
      </c>
      <c r="AW330" t="s">
        <v>58</v>
      </c>
      <c r="AX330" t="s">
        <v>58</v>
      </c>
      <c r="AY330" t="s">
        <v>58</v>
      </c>
      <c r="AZ330" t="s">
        <v>58</v>
      </c>
      <c r="BC330">
        <v>43028</v>
      </c>
      <c r="BD330">
        <v>0.70000000000000029</v>
      </c>
      <c r="BE330">
        <v>0.27999999999999997</v>
      </c>
      <c r="BF330">
        <v>0</v>
      </c>
      <c r="BG330">
        <v>1.999999999999974E-2</v>
      </c>
    </row>
    <row r="331" spans="1:59" x14ac:dyDescent="0.3">
      <c r="A331" t="s">
        <v>58</v>
      </c>
      <c r="B331" t="s">
        <v>58</v>
      </c>
      <c r="C331" t="s">
        <v>58</v>
      </c>
      <c r="D331" t="s">
        <v>58</v>
      </c>
      <c r="E331" t="s">
        <v>58</v>
      </c>
      <c r="J331" t="s">
        <v>58</v>
      </c>
      <c r="K331" t="s">
        <v>58</v>
      </c>
      <c r="L331" t="s">
        <v>58</v>
      </c>
      <c r="M331" t="s">
        <v>58</v>
      </c>
      <c r="N331" t="s">
        <v>58</v>
      </c>
      <c r="R331" t="s">
        <v>58</v>
      </c>
      <c r="S331" t="s">
        <v>58</v>
      </c>
      <c r="T331" t="s">
        <v>58</v>
      </c>
      <c r="U331" t="s">
        <v>58</v>
      </c>
      <c r="V331" t="s">
        <v>58</v>
      </c>
      <c r="Z331" t="s">
        <v>58</v>
      </c>
      <c r="AA331" t="s">
        <v>58</v>
      </c>
      <c r="AB331" t="s">
        <v>58</v>
      </c>
      <c r="AC331" t="s">
        <v>58</v>
      </c>
      <c r="AD331" t="s">
        <v>58</v>
      </c>
      <c r="AG331" t="s">
        <v>58</v>
      </c>
      <c r="AH331" t="s">
        <v>58</v>
      </c>
      <c r="AI331" t="s">
        <v>58</v>
      </c>
      <c r="AJ331" t="s">
        <v>58</v>
      </c>
      <c r="AK331" t="s">
        <v>58</v>
      </c>
      <c r="AO331" t="s">
        <v>58</v>
      </c>
      <c r="AP331" t="s">
        <v>58</v>
      </c>
      <c r="AQ331" t="s">
        <v>58</v>
      </c>
      <c r="AR331" t="s">
        <v>58</v>
      </c>
      <c r="AS331" t="s">
        <v>58</v>
      </c>
      <c r="AV331" t="s">
        <v>58</v>
      </c>
      <c r="AW331" t="s">
        <v>58</v>
      </c>
      <c r="AX331" t="s">
        <v>58</v>
      </c>
      <c r="AY331" t="s">
        <v>58</v>
      </c>
      <c r="AZ331" t="s">
        <v>58</v>
      </c>
      <c r="BC331">
        <v>43035</v>
      </c>
      <c r="BD331">
        <v>0.68000000000000027</v>
      </c>
      <c r="BE331">
        <v>0.3</v>
      </c>
      <c r="BF331">
        <v>0</v>
      </c>
      <c r="BG331">
        <v>1.999999999999974E-2</v>
      </c>
    </row>
    <row r="332" spans="1:59" x14ac:dyDescent="0.3">
      <c r="A332" t="s">
        <v>58</v>
      </c>
      <c r="B332" t="s">
        <v>58</v>
      </c>
      <c r="C332" t="s">
        <v>58</v>
      </c>
      <c r="D332" t="s">
        <v>58</v>
      </c>
      <c r="E332" t="s">
        <v>58</v>
      </c>
      <c r="J332" t="s">
        <v>58</v>
      </c>
      <c r="K332" t="s">
        <v>58</v>
      </c>
      <c r="L332" t="s">
        <v>58</v>
      </c>
      <c r="M332" t="s">
        <v>58</v>
      </c>
      <c r="N332" t="s">
        <v>58</v>
      </c>
      <c r="R332" t="s">
        <v>58</v>
      </c>
      <c r="S332" t="s">
        <v>58</v>
      </c>
      <c r="T332" t="s">
        <v>58</v>
      </c>
      <c r="U332" t="s">
        <v>58</v>
      </c>
      <c r="V332" t="s">
        <v>58</v>
      </c>
      <c r="Z332" t="s">
        <v>58</v>
      </c>
      <c r="AA332" t="s">
        <v>58</v>
      </c>
      <c r="AB332" t="s">
        <v>58</v>
      </c>
      <c r="AC332" t="s">
        <v>58</v>
      </c>
      <c r="AD332" t="s">
        <v>58</v>
      </c>
      <c r="AG332" t="s">
        <v>58</v>
      </c>
      <c r="AH332" t="s">
        <v>58</v>
      </c>
      <c r="AI332" t="s">
        <v>58</v>
      </c>
      <c r="AJ332" t="s">
        <v>58</v>
      </c>
      <c r="AK332" t="s">
        <v>58</v>
      </c>
      <c r="AO332" t="s">
        <v>58</v>
      </c>
      <c r="AP332" t="s">
        <v>58</v>
      </c>
      <c r="AQ332" t="s">
        <v>58</v>
      </c>
      <c r="AR332" t="s">
        <v>58</v>
      </c>
      <c r="AS332" t="s">
        <v>58</v>
      </c>
      <c r="AV332" t="s">
        <v>58</v>
      </c>
      <c r="AW332" t="s">
        <v>58</v>
      </c>
      <c r="AX332" t="s">
        <v>58</v>
      </c>
      <c r="AY332" t="s">
        <v>58</v>
      </c>
      <c r="AZ332" t="s">
        <v>58</v>
      </c>
      <c r="BC332">
        <v>43042</v>
      </c>
      <c r="BD332">
        <v>0.64000000000000024</v>
      </c>
      <c r="BE332">
        <v>0.34</v>
      </c>
      <c r="BF332">
        <v>0</v>
      </c>
      <c r="BG332">
        <v>1.999999999999974E-2</v>
      </c>
    </row>
    <row r="333" spans="1:59" x14ac:dyDescent="0.3">
      <c r="A333" t="s">
        <v>58</v>
      </c>
      <c r="B333" t="s">
        <v>58</v>
      </c>
      <c r="C333" t="s">
        <v>58</v>
      </c>
      <c r="D333" t="s">
        <v>58</v>
      </c>
      <c r="E333" t="s">
        <v>58</v>
      </c>
      <c r="J333" t="s">
        <v>58</v>
      </c>
      <c r="K333" t="s">
        <v>58</v>
      </c>
      <c r="L333" t="s">
        <v>58</v>
      </c>
      <c r="M333" t="s">
        <v>58</v>
      </c>
      <c r="N333" t="s">
        <v>58</v>
      </c>
      <c r="R333" t="s">
        <v>58</v>
      </c>
      <c r="S333" t="s">
        <v>58</v>
      </c>
      <c r="T333" t="s">
        <v>58</v>
      </c>
      <c r="U333" t="s">
        <v>58</v>
      </c>
      <c r="V333" t="s">
        <v>58</v>
      </c>
      <c r="Z333" t="s">
        <v>58</v>
      </c>
      <c r="AA333" t="s">
        <v>58</v>
      </c>
      <c r="AB333" t="s">
        <v>58</v>
      </c>
      <c r="AC333" t="s">
        <v>58</v>
      </c>
      <c r="AD333" t="s">
        <v>58</v>
      </c>
      <c r="AG333" t="s">
        <v>58</v>
      </c>
      <c r="AH333" t="s">
        <v>58</v>
      </c>
      <c r="AI333" t="s">
        <v>58</v>
      </c>
      <c r="AJ333" t="s">
        <v>58</v>
      </c>
      <c r="AK333" t="s">
        <v>58</v>
      </c>
      <c r="AO333" t="s">
        <v>58</v>
      </c>
      <c r="AP333" t="s">
        <v>58</v>
      </c>
      <c r="AQ333" t="s">
        <v>58</v>
      </c>
      <c r="AR333" t="s">
        <v>58</v>
      </c>
      <c r="AS333" t="s">
        <v>58</v>
      </c>
      <c r="AV333" t="s">
        <v>58</v>
      </c>
      <c r="AW333" t="s">
        <v>58</v>
      </c>
      <c r="AX333" t="s">
        <v>58</v>
      </c>
      <c r="AY333" t="s">
        <v>58</v>
      </c>
      <c r="AZ333" t="s">
        <v>58</v>
      </c>
      <c r="BC333">
        <v>43049</v>
      </c>
      <c r="BD333">
        <v>0.66000000000000025</v>
      </c>
      <c r="BE333">
        <v>0.32</v>
      </c>
      <c r="BF333">
        <v>0</v>
      </c>
      <c r="BG333">
        <v>1.999999999999974E-2</v>
      </c>
    </row>
    <row r="334" spans="1:59" x14ac:dyDescent="0.3">
      <c r="A334" t="s">
        <v>58</v>
      </c>
      <c r="B334" t="s">
        <v>58</v>
      </c>
      <c r="C334" t="s">
        <v>58</v>
      </c>
      <c r="D334" t="s">
        <v>58</v>
      </c>
      <c r="E334" t="s">
        <v>58</v>
      </c>
      <c r="J334" t="s">
        <v>58</v>
      </c>
      <c r="K334" t="s">
        <v>58</v>
      </c>
      <c r="L334" t="s">
        <v>58</v>
      </c>
      <c r="M334" t="s">
        <v>58</v>
      </c>
      <c r="N334" t="s">
        <v>58</v>
      </c>
      <c r="R334" t="s">
        <v>58</v>
      </c>
      <c r="S334" t="s">
        <v>58</v>
      </c>
      <c r="T334" t="s">
        <v>58</v>
      </c>
      <c r="U334" t="s">
        <v>58</v>
      </c>
      <c r="V334" t="s">
        <v>58</v>
      </c>
      <c r="Z334" t="s">
        <v>58</v>
      </c>
      <c r="AA334" t="s">
        <v>58</v>
      </c>
      <c r="AB334" t="s">
        <v>58</v>
      </c>
      <c r="AC334" t="s">
        <v>58</v>
      </c>
      <c r="AD334" t="s">
        <v>58</v>
      </c>
      <c r="AG334" t="s">
        <v>58</v>
      </c>
      <c r="AH334" t="s">
        <v>58</v>
      </c>
      <c r="AI334" t="s">
        <v>58</v>
      </c>
      <c r="AJ334" t="s">
        <v>58</v>
      </c>
      <c r="AK334" t="s">
        <v>58</v>
      </c>
      <c r="AO334" t="s">
        <v>58</v>
      </c>
      <c r="AP334" t="s">
        <v>58</v>
      </c>
      <c r="AQ334" t="s">
        <v>58</v>
      </c>
      <c r="AR334" t="s">
        <v>58</v>
      </c>
      <c r="AS334" t="s">
        <v>58</v>
      </c>
      <c r="AV334" t="s">
        <v>58</v>
      </c>
      <c r="AW334" t="s">
        <v>58</v>
      </c>
      <c r="AX334" t="s">
        <v>58</v>
      </c>
      <c r="AY334" t="s">
        <v>58</v>
      </c>
      <c r="AZ334" t="s">
        <v>58</v>
      </c>
      <c r="BC334">
        <v>43056</v>
      </c>
      <c r="BD334">
        <v>0.72000000000000031</v>
      </c>
      <c r="BE334">
        <v>0.23999999999999996</v>
      </c>
      <c r="BF334">
        <v>0</v>
      </c>
      <c r="BG334">
        <v>3.999999999999973E-2</v>
      </c>
    </row>
    <row r="335" spans="1:59" x14ac:dyDescent="0.3">
      <c r="A335" t="s">
        <v>58</v>
      </c>
      <c r="B335" t="s">
        <v>58</v>
      </c>
      <c r="C335" t="s">
        <v>58</v>
      </c>
      <c r="D335" t="s">
        <v>58</v>
      </c>
      <c r="E335" t="s">
        <v>58</v>
      </c>
      <c r="J335" t="s">
        <v>58</v>
      </c>
      <c r="K335" t="s">
        <v>58</v>
      </c>
      <c r="L335" t="s">
        <v>58</v>
      </c>
      <c r="M335" t="s">
        <v>58</v>
      </c>
      <c r="N335" t="s">
        <v>58</v>
      </c>
      <c r="R335" t="s">
        <v>58</v>
      </c>
      <c r="S335" t="s">
        <v>58</v>
      </c>
      <c r="T335" t="s">
        <v>58</v>
      </c>
      <c r="U335" t="s">
        <v>58</v>
      </c>
      <c r="V335" t="s">
        <v>58</v>
      </c>
      <c r="Z335" t="s">
        <v>58</v>
      </c>
      <c r="AA335" t="s">
        <v>58</v>
      </c>
      <c r="AB335" t="s">
        <v>58</v>
      </c>
      <c r="AC335" t="s">
        <v>58</v>
      </c>
      <c r="AD335" t="s">
        <v>58</v>
      </c>
      <c r="AG335" t="s">
        <v>58</v>
      </c>
      <c r="AH335" t="s">
        <v>58</v>
      </c>
      <c r="AI335" t="s">
        <v>58</v>
      </c>
      <c r="AJ335" t="s">
        <v>58</v>
      </c>
      <c r="AK335" t="s">
        <v>58</v>
      </c>
      <c r="AO335" t="s">
        <v>58</v>
      </c>
      <c r="AP335" t="s">
        <v>58</v>
      </c>
      <c r="AQ335" t="s">
        <v>58</v>
      </c>
      <c r="AR335" t="s">
        <v>58</v>
      </c>
      <c r="AS335" t="s">
        <v>58</v>
      </c>
      <c r="AV335" t="s">
        <v>58</v>
      </c>
      <c r="AW335" t="s">
        <v>58</v>
      </c>
      <c r="AX335" t="s">
        <v>58</v>
      </c>
      <c r="AY335" t="s">
        <v>58</v>
      </c>
      <c r="AZ335" t="s">
        <v>58</v>
      </c>
      <c r="BC335">
        <v>43063</v>
      </c>
      <c r="BD335">
        <v>0.72000000000000031</v>
      </c>
      <c r="BE335">
        <v>0.21999999999999997</v>
      </c>
      <c r="BF335">
        <v>0</v>
      </c>
      <c r="BG335">
        <v>5.999999999999972E-2</v>
      </c>
    </row>
    <row r="336" spans="1:59" x14ac:dyDescent="0.3">
      <c r="A336" t="s">
        <v>58</v>
      </c>
      <c r="B336" t="s">
        <v>58</v>
      </c>
      <c r="C336" t="s">
        <v>58</v>
      </c>
      <c r="D336" t="s">
        <v>58</v>
      </c>
      <c r="E336" t="s">
        <v>58</v>
      </c>
      <c r="J336" t="s">
        <v>58</v>
      </c>
      <c r="K336" t="s">
        <v>58</v>
      </c>
      <c r="L336" t="s">
        <v>58</v>
      </c>
      <c r="M336" t="s">
        <v>58</v>
      </c>
      <c r="N336" t="s">
        <v>58</v>
      </c>
      <c r="R336" t="s">
        <v>58</v>
      </c>
      <c r="S336" t="s">
        <v>58</v>
      </c>
      <c r="T336" t="s">
        <v>58</v>
      </c>
      <c r="U336" t="s">
        <v>58</v>
      </c>
      <c r="V336" t="s">
        <v>58</v>
      </c>
      <c r="Z336" t="s">
        <v>58</v>
      </c>
      <c r="AA336" t="s">
        <v>58</v>
      </c>
      <c r="AB336" t="s">
        <v>58</v>
      </c>
      <c r="AC336" t="s">
        <v>58</v>
      </c>
      <c r="AD336" t="s">
        <v>58</v>
      </c>
      <c r="AG336" t="s">
        <v>58</v>
      </c>
      <c r="AH336" t="s">
        <v>58</v>
      </c>
      <c r="AI336" t="s">
        <v>58</v>
      </c>
      <c r="AJ336" t="s">
        <v>58</v>
      </c>
      <c r="AK336" t="s">
        <v>58</v>
      </c>
      <c r="AO336" t="s">
        <v>58</v>
      </c>
      <c r="AP336" t="s">
        <v>58</v>
      </c>
      <c r="AQ336" t="s">
        <v>58</v>
      </c>
      <c r="AR336" t="s">
        <v>58</v>
      </c>
      <c r="AS336" t="s">
        <v>58</v>
      </c>
      <c r="AV336" t="s">
        <v>58</v>
      </c>
      <c r="AW336" t="s">
        <v>58</v>
      </c>
      <c r="AX336" t="s">
        <v>58</v>
      </c>
      <c r="AY336" t="s">
        <v>58</v>
      </c>
      <c r="AZ336" t="s">
        <v>58</v>
      </c>
      <c r="BC336">
        <v>43070</v>
      </c>
      <c r="BD336">
        <v>0.72000000000000031</v>
      </c>
      <c r="BE336">
        <v>0.21999999999999997</v>
      </c>
      <c r="BF336">
        <v>0</v>
      </c>
      <c r="BG336">
        <v>5.999999999999972E-2</v>
      </c>
    </row>
    <row r="337" spans="1:59" x14ac:dyDescent="0.3">
      <c r="A337" t="s">
        <v>58</v>
      </c>
      <c r="B337" t="s">
        <v>58</v>
      </c>
      <c r="C337" t="s">
        <v>58</v>
      </c>
      <c r="D337" t="s">
        <v>58</v>
      </c>
      <c r="E337" t="s">
        <v>58</v>
      </c>
      <c r="J337" t="s">
        <v>58</v>
      </c>
      <c r="K337" t="s">
        <v>58</v>
      </c>
      <c r="L337" t="s">
        <v>58</v>
      </c>
      <c r="M337" t="s">
        <v>58</v>
      </c>
      <c r="N337" t="s">
        <v>58</v>
      </c>
      <c r="R337" t="s">
        <v>58</v>
      </c>
      <c r="S337" t="s">
        <v>58</v>
      </c>
      <c r="T337" t="s">
        <v>58</v>
      </c>
      <c r="U337" t="s">
        <v>58</v>
      </c>
      <c r="V337" t="s">
        <v>58</v>
      </c>
      <c r="Z337" t="s">
        <v>58</v>
      </c>
      <c r="AA337" t="s">
        <v>58</v>
      </c>
      <c r="AB337" t="s">
        <v>58</v>
      </c>
      <c r="AC337" t="s">
        <v>58</v>
      </c>
      <c r="AD337" t="s">
        <v>58</v>
      </c>
      <c r="AG337" t="s">
        <v>58</v>
      </c>
      <c r="AH337" t="s">
        <v>58</v>
      </c>
      <c r="AI337" t="s">
        <v>58</v>
      </c>
      <c r="AJ337" t="s">
        <v>58</v>
      </c>
      <c r="AK337" t="s">
        <v>58</v>
      </c>
      <c r="AO337" t="s">
        <v>58</v>
      </c>
      <c r="AP337" t="s">
        <v>58</v>
      </c>
      <c r="AQ337" t="s">
        <v>58</v>
      </c>
      <c r="AR337" t="s">
        <v>58</v>
      </c>
      <c r="AS337" t="s">
        <v>58</v>
      </c>
      <c r="AV337" t="s">
        <v>58</v>
      </c>
      <c r="AW337" t="s">
        <v>58</v>
      </c>
      <c r="AX337" t="s">
        <v>58</v>
      </c>
      <c r="AY337" t="s">
        <v>58</v>
      </c>
      <c r="AZ337" t="s">
        <v>58</v>
      </c>
      <c r="BC337">
        <v>43077</v>
      </c>
      <c r="BD337">
        <v>0.74000000000000032</v>
      </c>
      <c r="BE337">
        <v>0.19999999999999998</v>
      </c>
      <c r="BF337">
        <v>0</v>
      </c>
      <c r="BG337">
        <v>5.9999999999999692E-2</v>
      </c>
    </row>
    <row r="338" spans="1:59" x14ac:dyDescent="0.3">
      <c r="A338" t="s">
        <v>58</v>
      </c>
      <c r="B338" t="s">
        <v>58</v>
      </c>
      <c r="C338" t="s">
        <v>58</v>
      </c>
      <c r="D338" t="s">
        <v>58</v>
      </c>
      <c r="E338" t="s">
        <v>58</v>
      </c>
      <c r="J338" t="s">
        <v>58</v>
      </c>
      <c r="K338" t="s">
        <v>58</v>
      </c>
      <c r="L338" t="s">
        <v>58</v>
      </c>
      <c r="M338" t="s">
        <v>58</v>
      </c>
      <c r="N338" t="s">
        <v>58</v>
      </c>
      <c r="R338" t="s">
        <v>58</v>
      </c>
      <c r="S338" t="s">
        <v>58</v>
      </c>
      <c r="T338" t="s">
        <v>58</v>
      </c>
      <c r="U338" t="s">
        <v>58</v>
      </c>
      <c r="V338" t="s">
        <v>58</v>
      </c>
      <c r="Z338" t="s">
        <v>58</v>
      </c>
      <c r="AA338" t="s">
        <v>58</v>
      </c>
      <c r="AB338" t="s">
        <v>58</v>
      </c>
      <c r="AC338" t="s">
        <v>58</v>
      </c>
      <c r="AD338" t="s">
        <v>58</v>
      </c>
      <c r="AG338" t="s">
        <v>58</v>
      </c>
      <c r="AH338" t="s">
        <v>58</v>
      </c>
      <c r="AI338" t="s">
        <v>58</v>
      </c>
      <c r="AJ338" t="s">
        <v>58</v>
      </c>
      <c r="AK338" t="s">
        <v>58</v>
      </c>
      <c r="AO338" t="s">
        <v>58</v>
      </c>
      <c r="AP338" t="s">
        <v>58</v>
      </c>
      <c r="AQ338" t="s">
        <v>58</v>
      </c>
      <c r="AR338" t="s">
        <v>58</v>
      </c>
      <c r="AS338" t="s">
        <v>58</v>
      </c>
      <c r="AV338" t="s">
        <v>58</v>
      </c>
      <c r="AW338" t="s">
        <v>58</v>
      </c>
      <c r="AX338" t="s">
        <v>58</v>
      </c>
      <c r="AY338" t="s">
        <v>58</v>
      </c>
      <c r="AZ338" t="s">
        <v>58</v>
      </c>
      <c r="BC338">
        <v>43084</v>
      </c>
      <c r="BD338">
        <v>0.74000000000000032</v>
      </c>
      <c r="BE338">
        <v>0.19999999999999998</v>
      </c>
      <c r="BF338">
        <v>0</v>
      </c>
      <c r="BG338">
        <v>5.9999999999999692E-2</v>
      </c>
    </row>
    <row r="339" spans="1:59" x14ac:dyDescent="0.3">
      <c r="A339" t="s">
        <v>58</v>
      </c>
      <c r="B339" t="s">
        <v>58</v>
      </c>
      <c r="C339" t="s">
        <v>58</v>
      </c>
      <c r="D339" t="s">
        <v>58</v>
      </c>
      <c r="E339" t="s">
        <v>58</v>
      </c>
      <c r="J339" t="s">
        <v>58</v>
      </c>
      <c r="K339" t="s">
        <v>58</v>
      </c>
      <c r="L339" t="s">
        <v>58</v>
      </c>
      <c r="M339" t="s">
        <v>58</v>
      </c>
      <c r="N339" t="s">
        <v>58</v>
      </c>
      <c r="R339" t="s">
        <v>58</v>
      </c>
      <c r="S339" t="s">
        <v>58</v>
      </c>
      <c r="T339" t="s">
        <v>58</v>
      </c>
      <c r="U339" t="s">
        <v>58</v>
      </c>
      <c r="V339" t="s">
        <v>58</v>
      </c>
      <c r="Z339" t="s">
        <v>58</v>
      </c>
      <c r="AA339" t="s">
        <v>58</v>
      </c>
      <c r="AB339" t="s">
        <v>58</v>
      </c>
      <c r="AC339" t="s">
        <v>58</v>
      </c>
      <c r="AD339" t="s">
        <v>58</v>
      </c>
      <c r="AG339" t="s">
        <v>58</v>
      </c>
      <c r="AH339" t="s">
        <v>58</v>
      </c>
      <c r="AI339" t="s">
        <v>58</v>
      </c>
      <c r="AJ339" t="s">
        <v>58</v>
      </c>
      <c r="AK339" t="s">
        <v>58</v>
      </c>
      <c r="AO339" t="s">
        <v>58</v>
      </c>
      <c r="AP339" t="s">
        <v>58</v>
      </c>
      <c r="AQ339" t="s">
        <v>58</v>
      </c>
      <c r="AR339" t="s">
        <v>58</v>
      </c>
      <c r="AS339" t="s">
        <v>58</v>
      </c>
      <c r="AV339" t="s">
        <v>58</v>
      </c>
      <c r="AW339" t="s">
        <v>58</v>
      </c>
      <c r="AX339" t="s">
        <v>58</v>
      </c>
      <c r="AY339" t="s">
        <v>58</v>
      </c>
      <c r="AZ339" t="s">
        <v>58</v>
      </c>
      <c r="BC339">
        <v>43091</v>
      </c>
      <c r="BD339">
        <v>0.76000000000000034</v>
      </c>
      <c r="BE339">
        <v>0.18</v>
      </c>
      <c r="BF339">
        <v>0</v>
      </c>
      <c r="BG339">
        <v>5.9999999999999665E-2</v>
      </c>
    </row>
    <row r="340" spans="1:59" x14ac:dyDescent="0.3">
      <c r="A340" t="s">
        <v>58</v>
      </c>
      <c r="B340" t="s">
        <v>58</v>
      </c>
      <c r="C340" t="s">
        <v>58</v>
      </c>
      <c r="D340" t="s">
        <v>58</v>
      </c>
      <c r="E340" t="s">
        <v>58</v>
      </c>
      <c r="J340" t="s">
        <v>58</v>
      </c>
      <c r="K340" t="s">
        <v>58</v>
      </c>
      <c r="L340" t="s">
        <v>58</v>
      </c>
      <c r="M340" t="s">
        <v>58</v>
      </c>
      <c r="N340" t="s">
        <v>58</v>
      </c>
      <c r="R340" t="s">
        <v>58</v>
      </c>
      <c r="S340" t="s">
        <v>58</v>
      </c>
      <c r="T340" t="s">
        <v>58</v>
      </c>
      <c r="U340" t="s">
        <v>58</v>
      </c>
      <c r="V340" t="s">
        <v>58</v>
      </c>
      <c r="Z340" t="s">
        <v>58</v>
      </c>
      <c r="AA340" t="s">
        <v>58</v>
      </c>
      <c r="AB340" t="s">
        <v>58</v>
      </c>
      <c r="AC340" t="s">
        <v>58</v>
      </c>
      <c r="AD340" t="s">
        <v>58</v>
      </c>
      <c r="AG340" t="s">
        <v>58</v>
      </c>
      <c r="AH340" t="s">
        <v>58</v>
      </c>
      <c r="AI340" t="s">
        <v>58</v>
      </c>
      <c r="AJ340" t="s">
        <v>58</v>
      </c>
      <c r="AK340" t="s">
        <v>58</v>
      </c>
      <c r="AO340" t="s">
        <v>58</v>
      </c>
      <c r="AP340" t="s">
        <v>58</v>
      </c>
      <c r="AQ340" t="s">
        <v>58</v>
      </c>
      <c r="AR340" t="s">
        <v>58</v>
      </c>
      <c r="AS340" t="s">
        <v>58</v>
      </c>
      <c r="AV340" t="s">
        <v>58</v>
      </c>
      <c r="AW340" t="s">
        <v>58</v>
      </c>
      <c r="AX340" t="s">
        <v>58</v>
      </c>
      <c r="AY340" t="s">
        <v>58</v>
      </c>
      <c r="AZ340" t="s">
        <v>58</v>
      </c>
      <c r="BC340">
        <v>43098</v>
      </c>
      <c r="BD340">
        <v>0.72000000000000031</v>
      </c>
      <c r="BE340">
        <v>0.21999999999999997</v>
      </c>
      <c r="BF340">
        <v>0</v>
      </c>
      <c r="BG340">
        <v>5.999999999999972E-2</v>
      </c>
    </row>
    <row r="341" spans="1:59" x14ac:dyDescent="0.3">
      <c r="A341" t="s">
        <v>58</v>
      </c>
      <c r="B341" t="s">
        <v>58</v>
      </c>
      <c r="C341" t="s">
        <v>58</v>
      </c>
      <c r="D341" t="s">
        <v>58</v>
      </c>
      <c r="E341" t="s">
        <v>58</v>
      </c>
      <c r="J341" t="s">
        <v>58</v>
      </c>
      <c r="K341" t="s">
        <v>58</v>
      </c>
      <c r="L341" t="s">
        <v>58</v>
      </c>
      <c r="M341" t="s">
        <v>58</v>
      </c>
      <c r="N341" t="s">
        <v>58</v>
      </c>
      <c r="R341" t="s">
        <v>58</v>
      </c>
      <c r="S341" t="s">
        <v>58</v>
      </c>
      <c r="T341" t="s">
        <v>58</v>
      </c>
      <c r="U341" t="s">
        <v>58</v>
      </c>
      <c r="V341" t="s">
        <v>58</v>
      </c>
      <c r="Z341" t="s">
        <v>58</v>
      </c>
      <c r="AA341" t="s">
        <v>58</v>
      </c>
      <c r="AB341" t="s">
        <v>58</v>
      </c>
      <c r="AC341" t="s">
        <v>58</v>
      </c>
      <c r="AD341" t="s">
        <v>58</v>
      </c>
      <c r="AG341" t="s">
        <v>58</v>
      </c>
      <c r="AH341" t="s">
        <v>58</v>
      </c>
      <c r="AI341" t="s">
        <v>58</v>
      </c>
      <c r="AJ341" t="s">
        <v>58</v>
      </c>
      <c r="AK341" t="s">
        <v>58</v>
      </c>
      <c r="AO341" t="s">
        <v>58</v>
      </c>
      <c r="AP341" t="s">
        <v>58</v>
      </c>
      <c r="AQ341" t="s">
        <v>58</v>
      </c>
      <c r="AR341" t="s">
        <v>58</v>
      </c>
      <c r="AS341" t="s">
        <v>58</v>
      </c>
      <c r="AV341" t="s">
        <v>58</v>
      </c>
      <c r="AW341" t="s">
        <v>58</v>
      </c>
      <c r="AX341" t="s">
        <v>58</v>
      </c>
      <c r="AY341" t="s">
        <v>58</v>
      </c>
      <c r="AZ341" t="s">
        <v>58</v>
      </c>
      <c r="BC341">
        <v>43105</v>
      </c>
      <c r="BD341">
        <v>0.70000000000000029</v>
      </c>
      <c r="BE341">
        <v>0.21999999999999997</v>
      </c>
      <c r="BF341">
        <v>0</v>
      </c>
      <c r="BG341">
        <v>7.9999999999999738E-2</v>
      </c>
    </row>
    <row r="342" spans="1:59" x14ac:dyDescent="0.3">
      <c r="A342" t="s">
        <v>58</v>
      </c>
      <c r="B342" t="s">
        <v>58</v>
      </c>
      <c r="C342" t="s">
        <v>58</v>
      </c>
      <c r="D342" t="s">
        <v>58</v>
      </c>
      <c r="E342" t="s">
        <v>58</v>
      </c>
      <c r="J342" t="s">
        <v>58</v>
      </c>
      <c r="K342" t="s">
        <v>58</v>
      </c>
      <c r="L342" t="s">
        <v>58</v>
      </c>
      <c r="M342" t="s">
        <v>58</v>
      </c>
      <c r="N342" t="s">
        <v>58</v>
      </c>
      <c r="R342" t="s">
        <v>58</v>
      </c>
      <c r="S342" t="s">
        <v>58</v>
      </c>
      <c r="T342" t="s">
        <v>58</v>
      </c>
      <c r="U342" t="s">
        <v>58</v>
      </c>
      <c r="V342" t="s">
        <v>58</v>
      </c>
      <c r="Z342" t="s">
        <v>58</v>
      </c>
      <c r="AA342" t="s">
        <v>58</v>
      </c>
      <c r="AB342" t="s">
        <v>58</v>
      </c>
      <c r="AC342" t="s">
        <v>58</v>
      </c>
      <c r="AD342" t="s">
        <v>58</v>
      </c>
      <c r="AG342" t="s">
        <v>58</v>
      </c>
      <c r="AH342" t="s">
        <v>58</v>
      </c>
      <c r="AI342" t="s">
        <v>58</v>
      </c>
      <c r="AJ342" t="s">
        <v>58</v>
      </c>
      <c r="AK342" t="s">
        <v>58</v>
      </c>
      <c r="AO342" t="s">
        <v>58</v>
      </c>
      <c r="AP342" t="s">
        <v>58</v>
      </c>
      <c r="AQ342" t="s">
        <v>58</v>
      </c>
      <c r="AR342" t="s">
        <v>58</v>
      </c>
      <c r="AS342" t="s">
        <v>58</v>
      </c>
      <c r="AV342" t="s">
        <v>58</v>
      </c>
      <c r="AW342" t="s">
        <v>58</v>
      </c>
      <c r="AX342" t="s">
        <v>58</v>
      </c>
      <c r="AY342" t="s">
        <v>58</v>
      </c>
      <c r="AZ342" t="s">
        <v>58</v>
      </c>
      <c r="BC342">
        <v>43112</v>
      </c>
      <c r="BD342">
        <v>0.70000000000000029</v>
      </c>
      <c r="BE342">
        <v>0.21999999999999997</v>
      </c>
      <c r="BF342">
        <v>0</v>
      </c>
      <c r="BG342">
        <v>7.9999999999999738E-2</v>
      </c>
    </row>
    <row r="343" spans="1:59" x14ac:dyDescent="0.3">
      <c r="A343" t="s">
        <v>58</v>
      </c>
      <c r="B343" t="s">
        <v>58</v>
      </c>
      <c r="C343" t="s">
        <v>58</v>
      </c>
      <c r="D343" t="s">
        <v>58</v>
      </c>
      <c r="E343" t="s">
        <v>58</v>
      </c>
      <c r="J343" t="s">
        <v>58</v>
      </c>
      <c r="K343" t="s">
        <v>58</v>
      </c>
      <c r="L343" t="s">
        <v>58</v>
      </c>
      <c r="M343" t="s">
        <v>58</v>
      </c>
      <c r="N343" t="s">
        <v>58</v>
      </c>
      <c r="R343" t="s">
        <v>58</v>
      </c>
      <c r="S343" t="s">
        <v>58</v>
      </c>
      <c r="T343" t="s">
        <v>58</v>
      </c>
      <c r="U343" t="s">
        <v>58</v>
      </c>
      <c r="V343" t="s">
        <v>58</v>
      </c>
      <c r="Z343" t="s">
        <v>58</v>
      </c>
      <c r="AA343" t="s">
        <v>58</v>
      </c>
      <c r="AB343" t="s">
        <v>58</v>
      </c>
      <c r="AC343" t="s">
        <v>58</v>
      </c>
      <c r="AD343" t="s">
        <v>58</v>
      </c>
      <c r="AG343" t="s">
        <v>58</v>
      </c>
      <c r="AH343" t="s">
        <v>58</v>
      </c>
      <c r="AI343" t="s">
        <v>58</v>
      </c>
      <c r="AJ343" t="s">
        <v>58</v>
      </c>
      <c r="AK343" t="s">
        <v>58</v>
      </c>
      <c r="AO343" t="s">
        <v>58</v>
      </c>
      <c r="AP343" t="s">
        <v>58</v>
      </c>
      <c r="AQ343" t="s">
        <v>58</v>
      </c>
      <c r="AR343" t="s">
        <v>58</v>
      </c>
      <c r="AS343" t="s">
        <v>58</v>
      </c>
      <c r="AV343" t="s">
        <v>58</v>
      </c>
      <c r="AW343" t="s">
        <v>58</v>
      </c>
      <c r="AX343" t="s">
        <v>58</v>
      </c>
      <c r="AY343" t="s">
        <v>58</v>
      </c>
      <c r="AZ343" t="s">
        <v>58</v>
      </c>
      <c r="BC343">
        <v>43119</v>
      </c>
      <c r="BD343">
        <v>0.72000000000000031</v>
      </c>
      <c r="BE343">
        <v>0.19999999999999998</v>
      </c>
      <c r="BF343">
        <v>0</v>
      </c>
      <c r="BG343">
        <v>7.999999999999971E-2</v>
      </c>
    </row>
    <row r="344" spans="1:59" x14ac:dyDescent="0.3">
      <c r="A344" t="s">
        <v>58</v>
      </c>
      <c r="B344" t="s">
        <v>58</v>
      </c>
      <c r="C344" t="s">
        <v>58</v>
      </c>
      <c r="D344" t="s">
        <v>58</v>
      </c>
      <c r="E344" t="s">
        <v>58</v>
      </c>
      <c r="J344" t="s">
        <v>58</v>
      </c>
      <c r="K344" t="s">
        <v>58</v>
      </c>
      <c r="L344" t="s">
        <v>58</v>
      </c>
      <c r="M344" t="s">
        <v>58</v>
      </c>
      <c r="N344" t="s">
        <v>58</v>
      </c>
      <c r="R344" t="s">
        <v>58</v>
      </c>
      <c r="S344" t="s">
        <v>58</v>
      </c>
      <c r="T344" t="s">
        <v>58</v>
      </c>
      <c r="U344" t="s">
        <v>58</v>
      </c>
      <c r="V344" t="s">
        <v>58</v>
      </c>
      <c r="Z344" t="s">
        <v>58</v>
      </c>
      <c r="AA344" t="s">
        <v>58</v>
      </c>
      <c r="AB344" t="s">
        <v>58</v>
      </c>
      <c r="AC344" t="s">
        <v>58</v>
      </c>
      <c r="AD344" t="s">
        <v>58</v>
      </c>
      <c r="AG344" t="s">
        <v>58</v>
      </c>
      <c r="AH344" t="s">
        <v>58</v>
      </c>
      <c r="AI344" t="s">
        <v>58</v>
      </c>
      <c r="AJ344" t="s">
        <v>58</v>
      </c>
      <c r="AK344" t="s">
        <v>58</v>
      </c>
      <c r="AO344" t="s">
        <v>58</v>
      </c>
      <c r="AP344" t="s">
        <v>58</v>
      </c>
      <c r="AQ344" t="s">
        <v>58</v>
      </c>
      <c r="AR344" t="s">
        <v>58</v>
      </c>
      <c r="AS344" t="s">
        <v>58</v>
      </c>
      <c r="AV344" t="s">
        <v>58</v>
      </c>
      <c r="AW344" t="s">
        <v>58</v>
      </c>
      <c r="AX344" t="s">
        <v>58</v>
      </c>
      <c r="AY344" t="s">
        <v>58</v>
      </c>
      <c r="AZ344" t="s">
        <v>58</v>
      </c>
      <c r="BC344">
        <v>43126</v>
      </c>
      <c r="BD344">
        <v>0.78000000000000036</v>
      </c>
      <c r="BE344">
        <v>0.14000000000000001</v>
      </c>
      <c r="BF344">
        <v>0</v>
      </c>
      <c r="BG344">
        <v>7.9999999999999627E-2</v>
      </c>
    </row>
    <row r="345" spans="1:59" x14ac:dyDescent="0.3">
      <c r="A345" t="s">
        <v>58</v>
      </c>
      <c r="B345" t="s">
        <v>58</v>
      </c>
      <c r="C345" t="s">
        <v>58</v>
      </c>
      <c r="D345" t="s">
        <v>58</v>
      </c>
      <c r="E345" t="s">
        <v>58</v>
      </c>
      <c r="J345" t="s">
        <v>58</v>
      </c>
      <c r="K345" t="s">
        <v>58</v>
      </c>
      <c r="L345" t="s">
        <v>58</v>
      </c>
      <c r="M345" t="s">
        <v>58</v>
      </c>
      <c r="N345" t="s">
        <v>58</v>
      </c>
      <c r="R345" t="s">
        <v>58</v>
      </c>
      <c r="S345" t="s">
        <v>58</v>
      </c>
      <c r="T345" t="s">
        <v>58</v>
      </c>
      <c r="U345" t="s">
        <v>58</v>
      </c>
      <c r="V345" t="s">
        <v>58</v>
      </c>
      <c r="Z345" t="s">
        <v>58</v>
      </c>
      <c r="AA345" t="s">
        <v>58</v>
      </c>
      <c r="AB345" t="s">
        <v>58</v>
      </c>
      <c r="AC345" t="s">
        <v>58</v>
      </c>
      <c r="AD345" t="s">
        <v>58</v>
      </c>
      <c r="AG345" t="s">
        <v>58</v>
      </c>
      <c r="AH345" t="s">
        <v>58</v>
      </c>
      <c r="AI345" t="s">
        <v>58</v>
      </c>
      <c r="AJ345" t="s">
        <v>58</v>
      </c>
      <c r="AK345" t="s">
        <v>58</v>
      </c>
      <c r="AO345" t="s">
        <v>58</v>
      </c>
      <c r="AP345" t="s">
        <v>58</v>
      </c>
      <c r="AQ345" t="s">
        <v>58</v>
      </c>
      <c r="AR345" t="s">
        <v>58</v>
      </c>
      <c r="AS345" t="s">
        <v>58</v>
      </c>
      <c r="AV345" t="s">
        <v>58</v>
      </c>
      <c r="AW345" t="s">
        <v>58</v>
      </c>
      <c r="AX345" t="s">
        <v>58</v>
      </c>
      <c r="AY345" t="s">
        <v>58</v>
      </c>
      <c r="AZ345" t="s">
        <v>58</v>
      </c>
      <c r="BC345">
        <v>43133</v>
      </c>
      <c r="BD345">
        <v>0.74000000000000032</v>
      </c>
      <c r="BE345">
        <v>0.18</v>
      </c>
      <c r="BF345">
        <v>0</v>
      </c>
      <c r="BG345">
        <v>7.9999999999999682E-2</v>
      </c>
    </row>
    <row r="346" spans="1:59" x14ac:dyDescent="0.3">
      <c r="A346" t="s">
        <v>58</v>
      </c>
      <c r="B346" t="s">
        <v>58</v>
      </c>
      <c r="C346" t="s">
        <v>58</v>
      </c>
      <c r="D346" t="s">
        <v>58</v>
      </c>
      <c r="E346" t="s">
        <v>58</v>
      </c>
      <c r="J346" t="s">
        <v>58</v>
      </c>
      <c r="K346" t="s">
        <v>58</v>
      </c>
      <c r="L346" t="s">
        <v>58</v>
      </c>
      <c r="M346" t="s">
        <v>58</v>
      </c>
      <c r="N346" t="s">
        <v>58</v>
      </c>
      <c r="R346" t="s">
        <v>58</v>
      </c>
      <c r="S346" t="s">
        <v>58</v>
      </c>
      <c r="T346" t="s">
        <v>58</v>
      </c>
      <c r="U346" t="s">
        <v>58</v>
      </c>
      <c r="V346" t="s">
        <v>58</v>
      </c>
      <c r="Z346" t="s">
        <v>58</v>
      </c>
      <c r="AA346" t="s">
        <v>58</v>
      </c>
      <c r="AB346" t="s">
        <v>58</v>
      </c>
      <c r="AC346" t="s">
        <v>58</v>
      </c>
      <c r="AD346" t="s">
        <v>58</v>
      </c>
      <c r="AG346" t="s">
        <v>58</v>
      </c>
      <c r="AH346" t="s">
        <v>58</v>
      </c>
      <c r="AI346" t="s">
        <v>58</v>
      </c>
      <c r="AJ346" t="s">
        <v>58</v>
      </c>
      <c r="AK346" t="s">
        <v>58</v>
      </c>
      <c r="AO346" t="s">
        <v>58</v>
      </c>
      <c r="AP346" t="s">
        <v>58</v>
      </c>
      <c r="AQ346" t="s">
        <v>58</v>
      </c>
      <c r="AR346" t="s">
        <v>58</v>
      </c>
      <c r="AS346" t="s">
        <v>58</v>
      </c>
      <c r="AV346" t="s">
        <v>58</v>
      </c>
      <c r="AW346" t="s">
        <v>58</v>
      </c>
      <c r="AX346" t="s">
        <v>58</v>
      </c>
      <c r="AY346" t="s">
        <v>58</v>
      </c>
      <c r="AZ346" t="s">
        <v>58</v>
      </c>
      <c r="BC346">
        <v>43140</v>
      </c>
      <c r="BD346">
        <v>0.76000000000000034</v>
      </c>
      <c r="BE346">
        <v>0.12000000000000001</v>
      </c>
      <c r="BF346">
        <v>0</v>
      </c>
      <c r="BG346">
        <v>0.11999999999999965</v>
      </c>
    </row>
    <row r="347" spans="1:59" x14ac:dyDescent="0.3">
      <c r="A347" t="s">
        <v>58</v>
      </c>
      <c r="B347" t="s">
        <v>58</v>
      </c>
      <c r="C347" t="s">
        <v>58</v>
      </c>
      <c r="D347" t="s">
        <v>58</v>
      </c>
      <c r="E347" t="s">
        <v>58</v>
      </c>
      <c r="J347" t="s">
        <v>58</v>
      </c>
      <c r="K347" t="s">
        <v>58</v>
      </c>
      <c r="L347" t="s">
        <v>58</v>
      </c>
      <c r="M347" t="s">
        <v>58</v>
      </c>
      <c r="N347" t="s">
        <v>58</v>
      </c>
      <c r="R347" t="s">
        <v>58</v>
      </c>
      <c r="S347" t="s">
        <v>58</v>
      </c>
      <c r="T347" t="s">
        <v>58</v>
      </c>
      <c r="U347" t="s">
        <v>58</v>
      </c>
      <c r="V347" t="s">
        <v>58</v>
      </c>
      <c r="Z347" t="s">
        <v>58</v>
      </c>
      <c r="AA347" t="s">
        <v>58</v>
      </c>
      <c r="AB347" t="s">
        <v>58</v>
      </c>
      <c r="AC347" t="s">
        <v>58</v>
      </c>
      <c r="AD347" t="s">
        <v>58</v>
      </c>
      <c r="AG347" t="s">
        <v>58</v>
      </c>
      <c r="AH347" t="s">
        <v>58</v>
      </c>
      <c r="AI347" t="s">
        <v>58</v>
      </c>
      <c r="AJ347" t="s">
        <v>58</v>
      </c>
      <c r="AK347" t="s">
        <v>58</v>
      </c>
      <c r="AO347" t="s">
        <v>58</v>
      </c>
      <c r="AP347" t="s">
        <v>58</v>
      </c>
      <c r="AQ347" t="s">
        <v>58</v>
      </c>
      <c r="AR347" t="s">
        <v>58</v>
      </c>
      <c r="AS347" t="s">
        <v>58</v>
      </c>
      <c r="AV347" t="s">
        <v>58</v>
      </c>
      <c r="AW347" t="s">
        <v>58</v>
      </c>
      <c r="AX347" t="s">
        <v>58</v>
      </c>
      <c r="AY347" t="s">
        <v>58</v>
      </c>
      <c r="AZ347" t="s">
        <v>58</v>
      </c>
      <c r="BC347">
        <v>43145</v>
      </c>
      <c r="BD347">
        <v>0.62000000000000022</v>
      </c>
      <c r="BE347">
        <v>0.16</v>
      </c>
      <c r="BF347">
        <v>0</v>
      </c>
      <c r="BG347">
        <v>0.21999999999999978</v>
      </c>
    </row>
    <row r="348" spans="1:59" x14ac:dyDescent="0.3">
      <c r="A348" t="s">
        <v>58</v>
      </c>
      <c r="B348" t="s">
        <v>58</v>
      </c>
      <c r="C348" t="s">
        <v>58</v>
      </c>
      <c r="D348" t="s">
        <v>58</v>
      </c>
      <c r="E348" t="s">
        <v>58</v>
      </c>
      <c r="J348" t="s">
        <v>58</v>
      </c>
      <c r="K348" t="s">
        <v>58</v>
      </c>
      <c r="L348" t="s">
        <v>58</v>
      </c>
      <c r="M348" t="s">
        <v>58</v>
      </c>
      <c r="N348" t="s">
        <v>58</v>
      </c>
      <c r="R348" t="s">
        <v>58</v>
      </c>
      <c r="S348" t="s">
        <v>58</v>
      </c>
      <c r="T348" t="s">
        <v>58</v>
      </c>
      <c r="U348" t="s">
        <v>58</v>
      </c>
      <c r="V348" t="s">
        <v>58</v>
      </c>
      <c r="Z348" t="s">
        <v>58</v>
      </c>
      <c r="AA348" t="s">
        <v>58</v>
      </c>
      <c r="AB348" t="s">
        <v>58</v>
      </c>
      <c r="AC348" t="s">
        <v>58</v>
      </c>
      <c r="AD348" t="s">
        <v>58</v>
      </c>
      <c r="AG348" t="s">
        <v>58</v>
      </c>
      <c r="AH348" t="s">
        <v>58</v>
      </c>
      <c r="AI348" t="s">
        <v>58</v>
      </c>
      <c r="AJ348" t="s">
        <v>58</v>
      </c>
      <c r="AK348" t="s">
        <v>58</v>
      </c>
      <c r="AO348" t="s">
        <v>58</v>
      </c>
      <c r="AP348" t="s">
        <v>58</v>
      </c>
      <c r="AQ348" t="s">
        <v>58</v>
      </c>
      <c r="AR348" t="s">
        <v>58</v>
      </c>
      <c r="AS348" t="s">
        <v>58</v>
      </c>
      <c r="AV348" t="s">
        <v>58</v>
      </c>
      <c r="AW348" t="s">
        <v>58</v>
      </c>
      <c r="AX348" t="s">
        <v>58</v>
      </c>
      <c r="AY348" t="s">
        <v>58</v>
      </c>
      <c r="AZ348" t="s">
        <v>58</v>
      </c>
      <c r="BC348">
        <v>43154</v>
      </c>
      <c r="BD348">
        <v>0.62000000000000022</v>
      </c>
      <c r="BE348">
        <v>0</v>
      </c>
      <c r="BF348">
        <v>0.14000000000000001</v>
      </c>
      <c r="BG348">
        <v>0.23999999999999977</v>
      </c>
    </row>
    <row r="349" spans="1:59" x14ac:dyDescent="0.3">
      <c r="A349" t="s">
        <v>58</v>
      </c>
      <c r="B349" t="s">
        <v>58</v>
      </c>
      <c r="C349" t="s">
        <v>58</v>
      </c>
      <c r="D349" t="s">
        <v>58</v>
      </c>
      <c r="E349" t="s">
        <v>58</v>
      </c>
      <c r="J349" t="s">
        <v>58</v>
      </c>
      <c r="K349" t="s">
        <v>58</v>
      </c>
      <c r="L349" t="s">
        <v>58</v>
      </c>
      <c r="M349" t="s">
        <v>58</v>
      </c>
      <c r="N349" t="s">
        <v>58</v>
      </c>
      <c r="R349" t="s">
        <v>58</v>
      </c>
      <c r="S349" t="s">
        <v>58</v>
      </c>
      <c r="T349" t="s">
        <v>58</v>
      </c>
      <c r="U349" t="s">
        <v>58</v>
      </c>
      <c r="V349" t="s">
        <v>58</v>
      </c>
      <c r="Z349" t="s">
        <v>58</v>
      </c>
      <c r="AA349" t="s">
        <v>58</v>
      </c>
      <c r="AB349" t="s">
        <v>58</v>
      </c>
      <c r="AC349" t="s">
        <v>58</v>
      </c>
      <c r="AD349" t="s">
        <v>58</v>
      </c>
      <c r="AG349" t="s">
        <v>58</v>
      </c>
      <c r="AH349" t="s">
        <v>58</v>
      </c>
      <c r="AI349" t="s">
        <v>58</v>
      </c>
      <c r="AJ349" t="s">
        <v>58</v>
      </c>
      <c r="AK349" t="s">
        <v>58</v>
      </c>
      <c r="AO349" t="s">
        <v>58</v>
      </c>
      <c r="AP349" t="s">
        <v>58</v>
      </c>
      <c r="AQ349" t="s">
        <v>58</v>
      </c>
      <c r="AR349" t="s">
        <v>58</v>
      </c>
      <c r="AS349" t="s">
        <v>58</v>
      </c>
      <c r="AV349" t="s">
        <v>58</v>
      </c>
      <c r="AW349" t="s">
        <v>58</v>
      </c>
      <c r="AX349" t="s">
        <v>58</v>
      </c>
      <c r="AY349" t="s">
        <v>58</v>
      </c>
      <c r="AZ349" t="s">
        <v>58</v>
      </c>
      <c r="BC349">
        <v>43161</v>
      </c>
      <c r="BD349">
        <v>0.68000000000000027</v>
      </c>
      <c r="BE349">
        <v>0.18</v>
      </c>
      <c r="BF349">
        <v>0</v>
      </c>
      <c r="BG349">
        <v>0.13999999999999974</v>
      </c>
    </row>
    <row r="350" spans="1:59" x14ac:dyDescent="0.3">
      <c r="A350" t="s">
        <v>58</v>
      </c>
      <c r="B350" t="s">
        <v>58</v>
      </c>
      <c r="C350" t="s">
        <v>58</v>
      </c>
      <c r="D350" t="s">
        <v>58</v>
      </c>
      <c r="E350" t="s">
        <v>58</v>
      </c>
      <c r="J350" t="s">
        <v>58</v>
      </c>
      <c r="K350" t="s">
        <v>58</v>
      </c>
      <c r="L350" t="s">
        <v>58</v>
      </c>
      <c r="M350" t="s">
        <v>58</v>
      </c>
      <c r="N350" t="s">
        <v>58</v>
      </c>
      <c r="R350" t="s">
        <v>58</v>
      </c>
      <c r="S350" t="s">
        <v>58</v>
      </c>
      <c r="T350" t="s">
        <v>58</v>
      </c>
      <c r="U350" t="s">
        <v>58</v>
      </c>
      <c r="V350" t="s">
        <v>58</v>
      </c>
      <c r="Z350" t="s">
        <v>58</v>
      </c>
      <c r="AA350" t="s">
        <v>58</v>
      </c>
      <c r="AB350" t="s">
        <v>58</v>
      </c>
      <c r="AC350" t="s">
        <v>58</v>
      </c>
      <c r="AD350" t="s">
        <v>58</v>
      </c>
      <c r="AG350" t="s">
        <v>58</v>
      </c>
      <c r="AH350" t="s">
        <v>58</v>
      </c>
      <c r="AI350" t="s">
        <v>58</v>
      </c>
      <c r="AJ350" t="s">
        <v>58</v>
      </c>
      <c r="AK350" t="s">
        <v>58</v>
      </c>
      <c r="AO350" t="s">
        <v>58</v>
      </c>
      <c r="AP350" t="s">
        <v>58</v>
      </c>
      <c r="AQ350" t="s">
        <v>58</v>
      </c>
      <c r="AR350" t="s">
        <v>58</v>
      </c>
      <c r="AS350" t="s">
        <v>58</v>
      </c>
      <c r="AV350" t="s">
        <v>58</v>
      </c>
      <c r="AW350" t="s">
        <v>58</v>
      </c>
      <c r="AX350" t="s">
        <v>58</v>
      </c>
      <c r="AY350" t="s">
        <v>58</v>
      </c>
      <c r="AZ350" t="s">
        <v>58</v>
      </c>
      <c r="BC350">
        <v>43168</v>
      </c>
      <c r="BD350">
        <v>0.76000000000000034</v>
      </c>
      <c r="BE350">
        <v>0.12000000000000001</v>
      </c>
      <c r="BF350">
        <v>0</v>
      </c>
      <c r="BG350">
        <v>0.11999999999999965</v>
      </c>
    </row>
    <row r="351" spans="1:59" x14ac:dyDescent="0.3">
      <c r="A351" t="s">
        <v>58</v>
      </c>
      <c r="B351" t="s">
        <v>58</v>
      </c>
      <c r="C351" t="s">
        <v>58</v>
      </c>
      <c r="D351" t="s">
        <v>58</v>
      </c>
      <c r="E351" t="s">
        <v>58</v>
      </c>
      <c r="J351" t="s">
        <v>58</v>
      </c>
      <c r="K351" t="s">
        <v>58</v>
      </c>
      <c r="L351" t="s">
        <v>58</v>
      </c>
      <c r="M351" t="s">
        <v>58</v>
      </c>
      <c r="N351" t="s">
        <v>58</v>
      </c>
      <c r="R351" t="s">
        <v>58</v>
      </c>
      <c r="S351" t="s">
        <v>58</v>
      </c>
      <c r="T351" t="s">
        <v>58</v>
      </c>
      <c r="U351" t="s">
        <v>58</v>
      </c>
      <c r="V351" t="s">
        <v>58</v>
      </c>
      <c r="Z351" t="s">
        <v>58</v>
      </c>
      <c r="AA351" t="s">
        <v>58</v>
      </c>
      <c r="AB351" t="s">
        <v>58</v>
      </c>
      <c r="AC351" t="s">
        <v>58</v>
      </c>
      <c r="AD351" t="s">
        <v>58</v>
      </c>
      <c r="AG351" t="s">
        <v>58</v>
      </c>
      <c r="AH351" t="s">
        <v>58</v>
      </c>
      <c r="AI351" t="s">
        <v>58</v>
      </c>
      <c r="AJ351" t="s">
        <v>58</v>
      </c>
      <c r="AK351" t="s">
        <v>58</v>
      </c>
      <c r="AO351" t="s">
        <v>58</v>
      </c>
      <c r="AP351" t="s">
        <v>58</v>
      </c>
      <c r="AQ351" t="s">
        <v>58</v>
      </c>
      <c r="AR351" t="s">
        <v>58</v>
      </c>
      <c r="AS351" t="s">
        <v>58</v>
      </c>
      <c r="AV351" t="s">
        <v>58</v>
      </c>
      <c r="AW351" t="s">
        <v>58</v>
      </c>
      <c r="AX351" t="s">
        <v>58</v>
      </c>
      <c r="AY351" t="s">
        <v>58</v>
      </c>
      <c r="AZ351" t="s">
        <v>58</v>
      </c>
      <c r="BC351" t="s">
        <v>58</v>
      </c>
      <c r="BD351" t="s">
        <v>58</v>
      </c>
      <c r="BE351" t="s">
        <v>58</v>
      </c>
      <c r="BF351" t="s">
        <v>58</v>
      </c>
      <c r="BG351" t="s">
        <v>58</v>
      </c>
    </row>
    <row r="352" spans="1:59" x14ac:dyDescent="0.3">
      <c r="A352" t="s">
        <v>58</v>
      </c>
      <c r="B352" t="s">
        <v>58</v>
      </c>
      <c r="C352" t="s">
        <v>58</v>
      </c>
      <c r="D352" t="s">
        <v>58</v>
      </c>
      <c r="E352" t="s">
        <v>58</v>
      </c>
      <c r="J352" t="s">
        <v>58</v>
      </c>
      <c r="K352" t="s">
        <v>58</v>
      </c>
      <c r="L352" t="s">
        <v>58</v>
      </c>
      <c r="M352" t="s">
        <v>58</v>
      </c>
      <c r="N352" t="s">
        <v>58</v>
      </c>
      <c r="R352" t="s">
        <v>58</v>
      </c>
      <c r="S352" t="s">
        <v>58</v>
      </c>
      <c r="T352" t="s">
        <v>58</v>
      </c>
      <c r="U352" t="s">
        <v>58</v>
      </c>
      <c r="V352" t="s">
        <v>58</v>
      </c>
      <c r="Z352" t="s">
        <v>58</v>
      </c>
      <c r="AA352" t="s">
        <v>58</v>
      </c>
      <c r="AB352" t="s">
        <v>58</v>
      </c>
      <c r="AC352" t="s">
        <v>58</v>
      </c>
      <c r="AD352" t="s">
        <v>58</v>
      </c>
      <c r="AG352" t="s">
        <v>58</v>
      </c>
      <c r="AH352" t="s">
        <v>58</v>
      </c>
      <c r="AI352" t="s">
        <v>58</v>
      </c>
      <c r="AJ352" t="s">
        <v>58</v>
      </c>
      <c r="AK352" t="s">
        <v>58</v>
      </c>
      <c r="AO352" t="s">
        <v>58</v>
      </c>
      <c r="AP352" t="s">
        <v>58</v>
      </c>
      <c r="AQ352" t="s">
        <v>58</v>
      </c>
      <c r="AR352" t="s">
        <v>58</v>
      </c>
      <c r="AS352" t="s">
        <v>58</v>
      </c>
      <c r="AV352" t="s">
        <v>58</v>
      </c>
      <c r="AW352" t="s">
        <v>58</v>
      </c>
      <c r="AX352" t="s">
        <v>58</v>
      </c>
      <c r="AY352" t="s">
        <v>58</v>
      </c>
      <c r="AZ352" t="s">
        <v>58</v>
      </c>
      <c r="BC352" t="s">
        <v>58</v>
      </c>
      <c r="BD352" t="s">
        <v>58</v>
      </c>
      <c r="BE352" t="s">
        <v>58</v>
      </c>
      <c r="BF352" t="s">
        <v>58</v>
      </c>
      <c r="BG352" t="s">
        <v>58</v>
      </c>
    </row>
    <row r="353" spans="1:59" x14ac:dyDescent="0.3">
      <c r="A353" t="s">
        <v>58</v>
      </c>
      <c r="B353" t="s">
        <v>58</v>
      </c>
      <c r="C353" t="s">
        <v>58</v>
      </c>
      <c r="D353" t="s">
        <v>58</v>
      </c>
      <c r="E353" t="s">
        <v>58</v>
      </c>
      <c r="J353" t="s">
        <v>58</v>
      </c>
      <c r="K353" t="s">
        <v>58</v>
      </c>
      <c r="L353" t="s">
        <v>58</v>
      </c>
      <c r="M353" t="s">
        <v>58</v>
      </c>
      <c r="N353" t="s">
        <v>58</v>
      </c>
      <c r="R353" t="s">
        <v>58</v>
      </c>
      <c r="S353" t="s">
        <v>58</v>
      </c>
      <c r="T353" t="s">
        <v>58</v>
      </c>
      <c r="U353" t="s">
        <v>58</v>
      </c>
      <c r="V353" t="s">
        <v>58</v>
      </c>
      <c r="Z353" t="s">
        <v>58</v>
      </c>
      <c r="AA353" t="s">
        <v>58</v>
      </c>
      <c r="AB353" t="s">
        <v>58</v>
      </c>
      <c r="AC353" t="s">
        <v>58</v>
      </c>
      <c r="AD353" t="s">
        <v>58</v>
      </c>
      <c r="AG353" t="s">
        <v>58</v>
      </c>
      <c r="AH353" t="s">
        <v>58</v>
      </c>
      <c r="AI353" t="s">
        <v>58</v>
      </c>
      <c r="AJ353" t="s">
        <v>58</v>
      </c>
      <c r="AK353" t="s">
        <v>58</v>
      </c>
      <c r="AO353" t="s">
        <v>58</v>
      </c>
      <c r="AP353" t="s">
        <v>58</v>
      </c>
      <c r="AQ353" t="s">
        <v>58</v>
      </c>
      <c r="AR353" t="s">
        <v>58</v>
      </c>
      <c r="AS353" t="s">
        <v>58</v>
      </c>
      <c r="AV353" t="s">
        <v>58</v>
      </c>
      <c r="AW353" t="s">
        <v>58</v>
      </c>
      <c r="AX353" t="s">
        <v>58</v>
      </c>
      <c r="AY353" t="s">
        <v>58</v>
      </c>
      <c r="AZ353" t="s">
        <v>58</v>
      </c>
      <c r="BC353" t="s">
        <v>58</v>
      </c>
      <c r="BD353" t="s">
        <v>58</v>
      </c>
      <c r="BE353" t="s">
        <v>58</v>
      </c>
      <c r="BF353" t="s">
        <v>58</v>
      </c>
      <c r="BG353" t="s">
        <v>58</v>
      </c>
    </row>
    <row r="354" spans="1:59" x14ac:dyDescent="0.3">
      <c r="A354" t="s">
        <v>58</v>
      </c>
      <c r="B354" t="s">
        <v>58</v>
      </c>
      <c r="C354" t="s">
        <v>58</v>
      </c>
      <c r="D354" t="s">
        <v>58</v>
      </c>
      <c r="E354" t="s">
        <v>58</v>
      </c>
      <c r="J354" t="s">
        <v>58</v>
      </c>
      <c r="K354" t="s">
        <v>58</v>
      </c>
      <c r="L354" t="s">
        <v>58</v>
      </c>
      <c r="M354" t="s">
        <v>58</v>
      </c>
      <c r="N354" t="s">
        <v>58</v>
      </c>
      <c r="R354" t="s">
        <v>58</v>
      </c>
      <c r="S354" t="s">
        <v>58</v>
      </c>
      <c r="T354" t="s">
        <v>58</v>
      </c>
      <c r="U354" t="s">
        <v>58</v>
      </c>
      <c r="V354" t="s">
        <v>58</v>
      </c>
      <c r="Z354" t="s">
        <v>58</v>
      </c>
      <c r="AA354" t="s">
        <v>58</v>
      </c>
      <c r="AB354" t="s">
        <v>58</v>
      </c>
      <c r="AC354" t="s">
        <v>58</v>
      </c>
      <c r="AD354" t="s">
        <v>58</v>
      </c>
      <c r="AG354" t="s">
        <v>58</v>
      </c>
      <c r="AH354" t="s">
        <v>58</v>
      </c>
      <c r="AI354" t="s">
        <v>58</v>
      </c>
      <c r="AJ354" t="s">
        <v>58</v>
      </c>
      <c r="AK354" t="s">
        <v>58</v>
      </c>
      <c r="AO354" t="s">
        <v>58</v>
      </c>
      <c r="AP354" t="s">
        <v>58</v>
      </c>
      <c r="AQ354" t="s">
        <v>58</v>
      </c>
      <c r="AR354" t="s">
        <v>58</v>
      </c>
      <c r="AS354" t="s">
        <v>58</v>
      </c>
      <c r="AV354" t="s">
        <v>58</v>
      </c>
      <c r="AW354" t="s">
        <v>58</v>
      </c>
      <c r="AX354" t="s">
        <v>58</v>
      </c>
      <c r="AY354" t="s">
        <v>58</v>
      </c>
      <c r="AZ354" t="s">
        <v>58</v>
      </c>
      <c r="BC354" t="s">
        <v>58</v>
      </c>
      <c r="BD354" t="s">
        <v>58</v>
      </c>
      <c r="BE354" t="s">
        <v>58</v>
      </c>
      <c r="BF354" t="s">
        <v>58</v>
      </c>
      <c r="BG354" t="s">
        <v>58</v>
      </c>
    </row>
    <row r="355" spans="1:59" x14ac:dyDescent="0.3">
      <c r="A355" t="s">
        <v>58</v>
      </c>
      <c r="B355" t="s">
        <v>58</v>
      </c>
      <c r="C355" t="s">
        <v>58</v>
      </c>
      <c r="D355" t="s">
        <v>58</v>
      </c>
      <c r="E355" t="s">
        <v>58</v>
      </c>
      <c r="J355" t="s">
        <v>58</v>
      </c>
      <c r="K355" t="s">
        <v>58</v>
      </c>
      <c r="L355" t="s">
        <v>58</v>
      </c>
      <c r="M355" t="s">
        <v>58</v>
      </c>
      <c r="N355" t="s">
        <v>58</v>
      </c>
      <c r="R355" t="s">
        <v>58</v>
      </c>
      <c r="S355" t="s">
        <v>58</v>
      </c>
      <c r="T355" t="s">
        <v>58</v>
      </c>
      <c r="U355" t="s">
        <v>58</v>
      </c>
      <c r="V355" t="s">
        <v>58</v>
      </c>
      <c r="Z355" t="s">
        <v>58</v>
      </c>
      <c r="AA355" t="s">
        <v>58</v>
      </c>
      <c r="AB355" t="s">
        <v>58</v>
      </c>
      <c r="AC355" t="s">
        <v>58</v>
      </c>
      <c r="AD355" t="s">
        <v>58</v>
      </c>
      <c r="AG355" t="s">
        <v>58</v>
      </c>
      <c r="AH355" t="s">
        <v>58</v>
      </c>
      <c r="AI355" t="s">
        <v>58</v>
      </c>
      <c r="AJ355" t="s">
        <v>58</v>
      </c>
      <c r="AK355" t="s">
        <v>58</v>
      </c>
      <c r="AO355" t="s">
        <v>58</v>
      </c>
      <c r="AP355" t="s">
        <v>58</v>
      </c>
      <c r="AQ355" t="s">
        <v>58</v>
      </c>
      <c r="AR355" t="s">
        <v>58</v>
      </c>
      <c r="AS355" t="s">
        <v>58</v>
      </c>
      <c r="AV355" t="s">
        <v>58</v>
      </c>
      <c r="AW355" t="s">
        <v>58</v>
      </c>
      <c r="AX355" t="s">
        <v>58</v>
      </c>
      <c r="AY355" t="s">
        <v>58</v>
      </c>
      <c r="AZ355" t="s">
        <v>58</v>
      </c>
      <c r="BC355" t="s">
        <v>58</v>
      </c>
      <c r="BD355" t="s">
        <v>58</v>
      </c>
      <c r="BE355" t="s">
        <v>58</v>
      </c>
      <c r="BF355" t="s">
        <v>58</v>
      </c>
      <c r="BG355" t="s">
        <v>58</v>
      </c>
    </row>
    <row r="356" spans="1:59" x14ac:dyDescent="0.3">
      <c r="A356" t="s">
        <v>58</v>
      </c>
      <c r="B356" t="s">
        <v>58</v>
      </c>
      <c r="C356" t="s">
        <v>58</v>
      </c>
      <c r="D356" t="s">
        <v>58</v>
      </c>
      <c r="E356" t="s">
        <v>58</v>
      </c>
      <c r="J356" t="s">
        <v>58</v>
      </c>
      <c r="K356" t="s">
        <v>58</v>
      </c>
      <c r="L356" t="s">
        <v>58</v>
      </c>
      <c r="M356" t="s">
        <v>58</v>
      </c>
      <c r="N356" t="s">
        <v>58</v>
      </c>
      <c r="R356" t="s">
        <v>58</v>
      </c>
      <c r="S356" t="s">
        <v>58</v>
      </c>
      <c r="T356" t="s">
        <v>58</v>
      </c>
      <c r="U356" t="s">
        <v>58</v>
      </c>
      <c r="V356" t="s">
        <v>58</v>
      </c>
      <c r="Z356" t="s">
        <v>58</v>
      </c>
      <c r="AA356" t="s">
        <v>58</v>
      </c>
      <c r="AB356" t="s">
        <v>58</v>
      </c>
      <c r="AC356" t="s">
        <v>58</v>
      </c>
      <c r="AD356" t="s">
        <v>58</v>
      </c>
      <c r="AG356" t="s">
        <v>58</v>
      </c>
      <c r="AH356" t="s">
        <v>58</v>
      </c>
      <c r="AI356" t="s">
        <v>58</v>
      </c>
      <c r="AJ356" t="s">
        <v>58</v>
      </c>
      <c r="AK356" t="s">
        <v>58</v>
      </c>
      <c r="AO356" t="s">
        <v>58</v>
      </c>
      <c r="AP356" t="s">
        <v>58</v>
      </c>
      <c r="AQ356" t="s">
        <v>58</v>
      </c>
      <c r="AR356" t="s">
        <v>58</v>
      </c>
      <c r="AS356" t="s">
        <v>58</v>
      </c>
      <c r="AV356" t="s">
        <v>58</v>
      </c>
      <c r="AW356" t="s">
        <v>58</v>
      </c>
      <c r="AX356" t="s">
        <v>58</v>
      </c>
      <c r="AY356" t="s">
        <v>58</v>
      </c>
      <c r="AZ356" t="s">
        <v>58</v>
      </c>
      <c r="BC356" t="s">
        <v>58</v>
      </c>
      <c r="BD356" t="s">
        <v>58</v>
      </c>
      <c r="BE356" t="s">
        <v>58</v>
      </c>
      <c r="BF356" t="s">
        <v>58</v>
      </c>
      <c r="BG356" t="s">
        <v>58</v>
      </c>
    </row>
    <row r="357" spans="1:59" x14ac:dyDescent="0.3">
      <c r="A357" t="s">
        <v>58</v>
      </c>
      <c r="B357" t="s">
        <v>58</v>
      </c>
      <c r="C357" t="s">
        <v>58</v>
      </c>
      <c r="D357" t="s">
        <v>58</v>
      </c>
      <c r="E357" t="s">
        <v>58</v>
      </c>
      <c r="J357" t="s">
        <v>58</v>
      </c>
      <c r="K357" t="s">
        <v>58</v>
      </c>
      <c r="L357" t="s">
        <v>58</v>
      </c>
      <c r="M357" t="s">
        <v>58</v>
      </c>
      <c r="N357" t="s">
        <v>58</v>
      </c>
      <c r="R357" t="s">
        <v>58</v>
      </c>
      <c r="S357" t="s">
        <v>58</v>
      </c>
      <c r="T357" t="s">
        <v>58</v>
      </c>
      <c r="U357" t="s">
        <v>58</v>
      </c>
      <c r="V357" t="s">
        <v>58</v>
      </c>
      <c r="Z357" t="s">
        <v>58</v>
      </c>
      <c r="AA357" t="s">
        <v>58</v>
      </c>
      <c r="AB357" t="s">
        <v>58</v>
      </c>
      <c r="AC357" t="s">
        <v>58</v>
      </c>
      <c r="AD357" t="s">
        <v>58</v>
      </c>
      <c r="AG357" t="s">
        <v>58</v>
      </c>
      <c r="AH357" t="s">
        <v>58</v>
      </c>
      <c r="AI357" t="s">
        <v>58</v>
      </c>
      <c r="AJ357" t="s">
        <v>58</v>
      </c>
      <c r="AK357" t="s">
        <v>58</v>
      </c>
      <c r="AO357" t="s">
        <v>58</v>
      </c>
      <c r="AP357" t="s">
        <v>58</v>
      </c>
      <c r="AQ357" t="s">
        <v>58</v>
      </c>
      <c r="AR357" t="s">
        <v>58</v>
      </c>
      <c r="AS357" t="s">
        <v>58</v>
      </c>
      <c r="AV357" t="s">
        <v>58</v>
      </c>
      <c r="AW357" t="s">
        <v>58</v>
      </c>
      <c r="AX357" t="s">
        <v>58</v>
      </c>
      <c r="AY357" t="s">
        <v>58</v>
      </c>
      <c r="AZ357" t="s">
        <v>58</v>
      </c>
      <c r="BC357" t="s">
        <v>58</v>
      </c>
      <c r="BD357" t="s">
        <v>58</v>
      </c>
      <c r="BE357" t="s">
        <v>58</v>
      </c>
      <c r="BF357" t="s">
        <v>58</v>
      </c>
      <c r="BG357" t="s">
        <v>58</v>
      </c>
    </row>
    <row r="358" spans="1:59" x14ac:dyDescent="0.3">
      <c r="A358" t="s">
        <v>58</v>
      </c>
      <c r="B358" t="s">
        <v>58</v>
      </c>
      <c r="C358" t="s">
        <v>58</v>
      </c>
      <c r="D358" t="s">
        <v>58</v>
      </c>
      <c r="E358" t="s">
        <v>58</v>
      </c>
      <c r="J358" t="s">
        <v>58</v>
      </c>
      <c r="K358" t="s">
        <v>58</v>
      </c>
      <c r="L358" t="s">
        <v>58</v>
      </c>
      <c r="M358" t="s">
        <v>58</v>
      </c>
      <c r="N358" t="s">
        <v>58</v>
      </c>
      <c r="R358" t="s">
        <v>58</v>
      </c>
      <c r="S358" t="s">
        <v>58</v>
      </c>
      <c r="T358" t="s">
        <v>58</v>
      </c>
      <c r="U358" t="s">
        <v>58</v>
      </c>
      <c r="V358" t="s">
        <v>58</v>
      </c>
      <c r="Z358" t="s">
        <v>58</v>
      </c>
      <c r="AA358" t="s">
        <v>58</v>
      </c>
      <c r="AB358" t="s">
        <v>58</v>
      </c>
      <c r="AC358" t="s">
        <v>58</v>
      </c>
      <c r="AD358" t="s">
        <v>58</v>
      </c>
      <c r="AG358" t="s">
        <v>58</v>
      </c>
      <c r="AH358" t="s">
        <v>58</v>
      </c>
      <c r="AI358" t="s">
        <v>58</v>
      </c>
      <c r="AJ358" t="s">
        <v>58</v>
      </c>
      <c r="AK358" t="s">
        <v>58</v>
      </c>
      <c r="AO358" t="s">
        <v>58</v>
      </c>
      <c r="AP358" t="s">
        <v>58</v>
      </c>
      <c r="AQ358" t="s">
        <v>58</v>
      </c>
      <c r="AR358" t="s">
        <v>58</v>
      </c>
      <c r="AS358" t="s">
        <v>58</v>
      </c>
      <c r="AV358" t="s">
        <v>58</v>
      </c>
      <c r="AW358" t="s">
        <v>58</v>
      </c>
      <c r="AX358" t="s">
        <v>58</v>
      </c>
      <c r="AY358" t="s">
        <v>58</v>
      </c>
      <c r="AZ358" t="s">
        <v>58</v>
      </c>
      <c r="BC358" t="s">
        <v>58</v>
      </c>
      <c r="BD358" t="s">
        <v>58</v>
      </c>
      <c r="BE358" t="s">
        <v>58</v>
      </c>
      <c r="BF358" t="s">
        <v>58</v>
      </c>
      <c r="BG358" t="s">
        <v>58</v>
      </c>
    </row>
    <row r="359" spans="1:59" x14ac:dyDescent="0.3">
      <c r="A359" t="s">
        <v>58</v>
      </c>
      <c r="B359" t="s">
        <v>58</v>
      </c>
      <c r="C359" t="s">
        <v>58</v>
      </c>
      <c r="D359" t="s">
        <v>58</v>
      </c>
      <c r="E359" t="s">
        <v>58</v>
      </c>
      <c r="J359" t="s">
        <v>58</v>
      </c>
      <c r="K359" t="s">
        <v>58</v>
      </c>
      <c r="L359" t="s">
        <v>58</v>
      </c>
      <c r="M359" t="s">
        <v>58</v>
      </c>
      <c r="N359" t="s">
        <v>58</v>
      </c>
      <c r="R359" t="s">
        <v>58</v>
      </c>
      <c r="S359" t="s">
        <v>58</v>
      </c>
      <c r="T359" t="s">
        <v>58</v>
      </c>
      <c r="U359" t="s">
        <v>58</v>
      </c>
      <c r="V359" t="s">
        <v>58</v>
      </c>
      <c r="Z359" t="s">
        <v>58</v>
      </c>
      <c r="AA359" t="s">
        <v>58</v>
      </c>
      <c r="AB359" t="s">
        <v>58</v>
      </c>
      <c r="AC359" t="s">
        <v>58</v>
      </c>
      <c r="AD359" t="s">
        <v>58</v>
      </c>
      <c r="AG359" t="s">
        <v>58</v>
      </c>
      <c r="AH359" t="s">
        <v>58</v>
      </c>
      <c r="AI359" t="s">
        <v>58</v>
      </c>
      <c r="AJ359" t="s">
        <v>58</v>
      </c>
      <c r="AK359" t="s">
        <v>58</v>
      </c>
      <c r="AO359" t="s">
        <v>58</v>
      </c>
      <c r="AP359" t="s">
        <v>58</v>
      </c>
      <c r="AQ359" t="s">
        <v>58</v>
      </c>
      <c r="AR359" t="s">
        <v>58</v>
      </c>
      <c r="AS359" t="s">
        <v>58</v>
      </c>
      <c r="AV359" t="s">
        <v>58</v>
      </c>
      <c r="AW359" t="s">
        <v>58</v>
      </c>
      <c r="AX359" t="s">
        <v>58</v>
      </c>
      <c r="AY359" t="s">
        <v>58</v>
      </c>
      <c r="AZ359" t="s">
        <v>58</v>
      </c>
      <c r="BC359" t="s">
        <v>58</v>
      </c>
      <c r="BD359" t="s">
        <v>58</v>
      </c>
      <c r="BE359" t="s">
        <v>58</v>
      </c>
      <c r="BF359" t="s">
        <v>58</v>
      </c>
      <c r="BG359" t="s">
        <v>58</v>
      </c>
    </row>
    <row r="360" spans="1:59" x14ac:dyDescent="0.3">
      <c r="A360" t="s">
        <v>58</v>
      </c>
      <c r="B360" t="s">
        <v>58</v>
      </c>
      <c r="C360" t="s">
        <v>58</v>
      </c>
      <c r="D360" t="s">
        <v>58</v>
      </c>
      <c r="E360" t="s">
        <v>58</v>
      </c>
      <c r="J360" t="s">
        <v>58</v>
      </c>
      <c r="K360" t="s">
        <v>58</v>
      </c>
      <c r="L360" t="s">
        <v>58</v>
      </c>
      <c r="M360" t="s">
        <v>58</v>
      </c>
      <c r="N360" t="s">
        <v>58</v>
      </c>
      <c r="R360" t="s">
        <v>58</v>
      </c>
      <c r="S360" t="s">
        <v>58</v>
      </c>
      <c r="T360" t="s">
        <v>58</v>
      </c>
      <c r="U360" t="s">
        <v>58</v>
      </c>
      <c r="V360" t="s">
        <v>58</v>
      </c>
      <c r="Z360" t="s">
        <v>58</v>
      </c>
      <c r="AA360" t="s">
        <v>58</v>
      </c>
      <c r="AB360" t="s">
        <v>58</v>
      </c>
      <c r="AC360" t="s">
        <v>58</v>
      </c>
      <c r="AD360" t="s">
        <v>58</v>
      </c>
      <c r="AG360" t="s">
        <v>58</v>
      </c>
      <c r="AH360" t="s">
        <v>58</v>
      </c>
      <c r="AI360" t="s">
        <v>58</v>
      </c>
      <c r="AJ360" t="s">
        <v>58</v>
      </c>
      <c r="AK360" t="s">
        <v>58</v>
      </c>
      <c r="AO360" t="s">
        <v>58</v>
      </c>
      <c r="AP360" t="s">
        <v>58</v>
      </c>
      <c r="AQ360" t="s">
        <v>58</v>
      </c>
      <c r="AR360" t="s">
        <v>58</v>
      </c>
      <c r="AS360" t="s">
        <v>58</v>
      </c>
      <c r="AV360" t="s">
        <v>58</v>
      </c>
      <c r="AW360" t="s">
        <v>58</v>
      </c>
      <c r="AX360" t="s">
        <v>58</v>
      </c>
      <c r="AY360" t="s">
        <v>58</v>
      </c>
      <c r="AZ360" t="s">
        <v>58</v>
      </c>
      <c r="BC360" t="s">
        <v>58</v>
      </c>
      <c r="BD360" t="s">
        <v>58</v>
      </c>
      <c r="BE360" t="s">
        <v>58</v>
      </c>
      <c r="BF360" t="s">
        <v>58</v>
      </c>
      <c r="BG360" t="s">
        <v>58</v>
      </c>
    </row>
    <row r="361" spans="1:59" x14ac:dyDescent="0.3">
      <c r="A361" t="s">
        <v>58</v>
      </c>
      <c r="B361" t="s">
        <v>58</v>
      </c>
      <c r="C361" t="s">
        <v>58</v>
      </c>
      <c r="D361" t="s">
        <v>58</v>
      </c>
      <c r="E361" t="s">
        <v>58</v>
      </c>
      <c r="J361" t="s">
        <v>58</v>
      </c>
      <c r="K361" t="s">
        <v>58</v>
      </c>
      <c r="L361" t="s">
        <v>58</v>
      </c>
      <c r="M361" t="s">
        <v>58</v>
      </c>
      <c r="N361" t="s">
        <v>58</v>
      </c>
      <c r="R361" t="s">
        <v>58</v>
      </c>
      <c r="S361" t="s">
        <v>58</v>
      </c>
      <c r="T361" t="s">
        <v>58</v>
      </c>
      <c r="U361" t="s">
        <v>58</v>
      </c>
      <c r="V361" t="s">
        <v>58</v>
      </c>
      <c r="Z361" t="s">
        <v>58</v>
      </c>
      <c r="AA361" t="s">
        <v>58</v>
      </c>
      <c r="AB361" t="s">
        <v>58</v>
      </c>
      <c r="AC361" t="s">
        <v>58</v>
      </c>
      <c r="AD361" t="s">
        <v>58</v>
      </c>
      <c r="AG361" t="s">
        <v>58</v>
      </c>
      <c r="AH361" t="s">
        <v>58</v>
      </c>
      <c r="AI361" t="s">
        <v>58</v>
      </c>
      <c r="AJ361" t="s">
        <v>58</v>
      </c>
      <c r="AK361" t="s">
        <v>58</v>
      </c>
      <c r="AO361" t="s">
        <v>58</v>
      </c>
      <c r="AP361" t="s">
        <v>58</v>
      </c>
      <c r="AQ361" t="s">
        <v>58</v>
      </c>
      <c r="AR361" t="s">
        <v>58</v>
      </c>
      <c r="AS361" t="s">
        <v>58</v>
      </c>
      <c r="AV361" t="s">
        <v>58</v>
      </c>
      <c r="AW361" t="s">
        <v>58</v>
      </c>
      <c r="AX361" t="s">
        <v>58</v>
      </c>
      <c r="AY361" t="s">
        <v>58</v>
      </c>
      <c r="AZ361" t="s">
        <v>58</v>
      </c>
      <c r="BC361" t="s">
        <v>58</v>
      </c>
      <c r="BD361" t="s">
        <v>58</v>
      </c>
      <c r="BE361" t="s">
        <v>58</v>
      </c>
      <c r="BF361" t="s">
        <v>58</v>
      </c>
      <c r="BG361" t="s">
        <v>58</v>
      </c>
    </row>
    <row r="362" spans="1:59" x14ac:dyDescent="0.3">
      <c r="A362" t="s">
        <v>58</v>
      </c>
      <c r="B362" t="s">
        <v>58</v>
      </c>
      <c r="C362" t="s">
        <v>58</v>
      </c>
      <c r="D362" t="s">
        <v>58</v>
      </c>
      <c r="E362" t="s">
        <v>58</v>
      </c>
      <c r="J362" t="s">
        <v>58</v>
      </c>
      <c r="K362" t="s">
        <v>58</v>
      </c>
      <c r="L362" t="s">
        <v>58</v>
      </c>
      <c r="M362" t="s">
        <v>58</v>
      </c>
      <c r="N362" t="s">
        <v>58</v>
      </c>
      <c r="R362" t="s">
        <v>58</v>
      </c>
      <c r="S362" t="s">
        <v>58</v>
      </c>
      <c r="T362" t="s">
        <v>58</v>
      </c>
      <c r="U362" t="s">
        <v>58</v>
      </c>
      <c r="V362" t="s">
        <v>58</v>
      </c>
      <c r="Z362" t="s">
        <v>58</v>
      </c>
      <c r="AA362" t="s">
        <v>58</v>
      </c>
      <c r="AB362" t="s">
        <v>58</v>
      </c>
      <c r="AC362" t="s">
        <v>58</v>
      </c>
      <c r="AD362" t="s">
        <v>58</v>
      </c>
      <c r="AG362" t="s">
        <v>58</v>
      </c>
      <c r="AH362" t="s">
        <v>58</v>
      </c>
      <c r="AI362" t="s">
        <v>58</v>
      </c>
      <c r="AJ362" t="s">
        <v>58</v>
      </c>
      <c r="AK362" t="s">
        <v>58</v>
      </c>
      <c r="AO362" t="s">
        <v>58</v>
      </c>
      <c r="AP362" t="s">
        <v>58</v>
      </c>
      <c r="AQ362" t="s">
        <v>58</v>
      </c>
      <c r="AR362" t="s">
        <v>58</v>
      </c>
      <c r="AS362" t="s">
        <v>58</v>
      </c>
      <c r="AV362" t="s">
        <v>58</v>
      </c>
      <c r="AW362" t="s">
        <v>58</v>
      </c>
      <c r="AX362" t="s">
        <v>58</v>
      </c>
      <c r="AY362" t="s">
        <v>58</v>
      </c>
      <c r="AZ362" t="s">
        <v>58</v>
      </c>
      <c r="BC362" t="s">
        <v>58</v>
      </c>
      <c r="BD362" t="s">
        <v>58</v>
      </c>
      <c r="BE362" t="s">
        <v>58</v>
      </c>
      <c r="BF362" t="s">
        <v>58</v>
      </c>
      <c r="BG362" t="s">
        <v>58</v>
      </c>
    </row>
    <row r="363" spans="1:59" x14ac:dyDescent="0.3">
      <c r="A363" t="s">
        <v>58</v>
      </c>
      <c r="B363" t="s">
        <v>58</v>
      </c>
      <c r="C363" t="s">
        <v>58</v>
      </c>
      <c r="D363" t="s">
        <v>58</v>
      </c>
      <c r="E363" t="s">
        <v>58</v>
      </c>
      <c r="J363" t="s">
        <v>58</v>
      </c>
      <c r="K363" t="s">
        <v>58</v>
      </c>
      <c r="L363" t="s">
        <v>58</v>
      </c>
      <c r="M363" t="s">
        <v>58</v>
      </c>
      <c r="N363" t="s">
        <v>58</v>
      </c>
      <c r="R363" t="s">
        <v>58</v>
      </c>
      <c r="S363" t="s">
        <v>58</v>
      </c>
      <c r="T363" t="s">
        <v>58</v>
      </c>
      <c r="U363" t="s">
        <v>58</v>
      </c>
      <c r="V363" t="s">
        <v>58</v>
      </c>
      <c r="Z363" t="s">
        <v>58</v>
      </c>
      <c r="AA363" t="s">
        <v>58</v>
      </c>
      <c r="AB363" t="s">
        <v>58</v>
      </c>
      <c r="AC363" t="s">
        <v>58</v>
      </c>
      <c r="AD363" t="s">
        <v>58</v>
      </c>
      <c r="AG363" t="s">
        <v>58</v>
      </c>
      <c r="AH363" t="s">
        <v>58</v>
      </c>
      <c r="AI363" t="s">
        <v>58</v>
      </c>
      <c r="AJ363" t="s">
        <v>58</v>
      </c>
      <c r="AK363" t="s">
        <v>58</v>
      </c>
      <c r="AO363" t="s">
        <v>58</v>
      </c>
      <c r="AP363" t="s">
        <v>58</v>
      </c>
      <c r="AQ363" t="s">
        <v>58</v>
      </c>
      <c r="AR363" t="s">
        <v>58</v>
      </c>
      <c r="AS363" t="s">
        <v>58</v>
      </c>
      <c r="AV363" t="s">
        <v>58</v>
      </c>
      <c r="AW363" t="s">
        <v>58</v>
      </c>
      <c r="AX363" t="s">
        <v>58</v>
      </c>
      <c r="AY363" t="s">
        <v>58</v>
      </c>
      <c r="AZ363" t="s">
        <v>58</v>
      </c>
      <c r="BC363" t="s">
        <v>58</v>
      </c>
      <c r="BD363" t="s">
        <v>58</v>
      </c>
      <c r="BE363" t="s">
        <v>58</v>
      </c>
      <c r="BF363" t="s">
        <v>58</v>
      </c>
      <c r="BG363" t="s">
        <v>58</v>
      </c>
    </row>
    <row r="364" spans="1:59" x14ac:dyDescent="0.3">
      <c r="A364" t="s">
        <v>58</v>
      </c>
      <c r="B364" t="s">
        <v>58</v>
      </c>
      <c r="C364" t="s">
        <v>58</v>
      </c>
      <c r="D364" t="s">
        <v>58</v>
      </c>
      <c r="E364" t="s">
        <v>58</v>
      </c>
      <c r="J364" t="s">
        <v>58</v>
      </c>
      <c r="K364" t="s">
        <v>58</v>
      </c>
      <c r="L364" t="s">
        <v>58</v>
      </c>
      <c r="M364" t="s">
        <v>58</v>
      </c>
      <c r="N364" t="s">
        <v>58</v>
      </c>
      <c r="R364" t="s">
        <v>58</v>
      </c>
      <c r="S364" t="s">
        <v>58</v>
      </c>
      <c r="T364" t="s">
        <v>58</v>
      </c>
      <c r="U364" t="s">
        <v>58</v>
      </c>
      <c r="V364" t="s">
        <v>58</v>
      </c>
      <c r="Z364" t="s">
        <v>58</v>
      </c>
      <c r="AA364" t="s">
        <v>58</v>
      </c>
      <c r="AB364" t="s">
        <v>58</v>
      </c>
      <c r="AC364" t="s">
        <v>58</v>
      </c>
      <c r="AD364" t="s">
        <v>58</v>
      </c>
      <c r="AG364" t="s">
        <v>58</v>
      </c>
      <c r="AH364" t="s">
        <v>58</v>
      </c>
      <c r="AI364" t="s">
        <v>58</v>
      </c>
      <c r="AJ364" t="s">
        <v>58</v>
      </c>
      <c r="AK364" t="s">
        <v>58</v>
      </c>
      <c r="AO364" t="s">
        <v>58</v>
      </c>
      <c r="AP364" t="s">
        <v>58</v>
      </c>
      <c r="AQ364" t="s">
        <v>58</v>
      </c>
      <c r="AR364" t="s">
        <v>58</v>
      </c>
      <c r="AS364" t="s">
        <v>58</v>
      </c>
      <c r="AV364" t="s">
        <v>58</v>
      </c>
      <c r="AW364" t="s">
        <v>58</v>
      </c>
      <c r="AX364" t="s">
        <v>58</v>
      </c>
      <c r="AY364" t="s">
        <v>58</v>
      </c>
      <c r="AZ364" t="s">
        <v>58</v>
      </c>
      <c r="BC364" t="s">
        <v>58</v>
      </c>
      <c r="BD364" t="s">
        <v>58</v>
      </c>
      <c r="BE364" t="s">
        <v>58</v>
      </c>
      <c r="BF364" t="s">
        <v>58</v>
      </c>
      <c r="BG364" t="s">
        <v>58</v>
      </c>
    </row>
    <row r="365" spans="1:59" x14ac:dyDescent="0.3">
      <c r="A365" t="s">
        <v>58</v>
      </c>
      <c r="B365" t="s">
        <v>58</v>
      </c>
      <c r="C365" t="s">
        <v>58</v>
      </c>
      <c r="D365" t="s">
        <v>58</v>
      </c>
      <c r="E365" t="s">
        <v>58</v>
      </c>
      <c r="J365" t="s">
        <v>58</v>
      </c>
      <c r="K365" t="s">
        <v>58</v>
      </c>
      <c r="L365" t="s">
        <v>58</v>
      </c>
      <c r="M365" t="s">
        <v>58</v>
      </c>
      <c r="N365" t="s">
        <v>58</v>
      </c>
      <c r="R365" t="s">
        <v>58</v>
      </c>
      <c r="S365" t="s">
        <v>58</v>
      </c>
      <c r="T365" t="s">
        <v>58</v>
      </c>
      <c r="U365" t="s">
        <v>58</v>
      </c>
      <c r="V365" t="s">
        <v>58</v>
      </c>
      <c r="Z365" t="s">
        <v>58</v>
      </c>
      <c r="AA365" t="s">
        <v>58</v>
      </c>
      <c r="AB365" t="s">
        <v>58</v>
      </c>
      <c r="AC365" t="s">
        <v>58</v>
      </c>
      <c r="AD365" t="s">
        <v>58</v>
      </c>
      <c r="AG365" t="s">
        <v>58</v>
      </c>
      <c r="AH365" t="s">
        <v>58</v>
      </c>
      <c r="AI365" t="s">
        <v>58</v>
      </c>
      <c r="AJ365" t="s">
        <v>58</v>
      </c>
      <c r="AK365" t="s">
        <v>58</v>
      </c>
      <c r="AO365" t="s">
        <v>58</v>
      </c>
      <c r="AP365" t="s">
        <v>58</v>
      </c>
      <c r="AQ365" t="s">
        <v>58</v>
      </c>
      <c r="AR365" t="s">
        <v>58</v>
      </c>
      <c r="AS365" t="s">
        <v>58</v>
      </c>
      <c r="AV365" t="s">
        <v>58</v>
      </c>
      <c r="AW365" t="s">
        <v>58</v>
      </c>
      <c r="AX365" t="s">
        <v>58</v>
      </c>
      <c r="AY365" t="s">
        <v>58</v>
      </c>
      <c r="AZ365" t="s">
        <v>58</v>
      </c>
      <c r="BC365" t="s">
        <v>58</v>
      </c>
      <c r="BD365" t="s">
        <v>58</v>
      </c>
      <c r="BE365" t="s">
        <v>58</v>
      </c>
      <c r="BF365" t="s">
        <v>58</v>
      </c>
      <c r="BG365" t="s">
        <v>58</v>
      </c>
    </row>
    <row r="366" spans="1:59" x14ac:dyDescent="0.3">
      <c r="A366" t="s">
        <v>58</v>
      </c>
      <c r="B366" t="s">
        <v>58</v>
      </c>
      <c r="C366" t="s">
        <v>58</v>
      </c>
      <c r="D366" t="s">
        <v>58</v>
      </c>
      <c r="E366" t="s">
        <v>58</v>
      </c>
      <c r="J366" t="s">
        <v>58</v>
      </c>
      <c r="K366" t="s">
        <v>58</v>
      </c>
      <c r="L366" t="s">
        <v>58</v>
      </c>
      <c r="M366" t="s">
        <v>58</v>
      </c>
      <c r="N366" t="s">
        <v>58</v>
      </c>
      <c r="R366" t="s">
        <v>58</v>
      </c>
      <c r="S366" t="s">
        <v>58</v>
      </c>
      <c r="T366" t="s">
        <v>58</v>
      </c>
      <c r="U366" t="s">
        <v>58</v>
      </c>
      <c r="V366" t="s">
        <v>58</v>
      </c>
      <c r="Z366" t="s">
        <v>58</v>
      </c>
      <c r="AA366" t="s">
        <v>58</v>
      </c>
      <c r="AB366" t="s">
        <v>58</v>
      </c>
      <c r="AC366" t="s">
        <v>58</v>
      </c>
      <c r="AD366" t="s">
        <v>58</v>
      </c>
      <c r="AG366" t="s">
        <v>58</v>
      </c>
      <c r="AH366" t="s">
        <v>58</v>
      </c>
      <c r="AI366" t="s">
        <v>58</v>
      </c>
      <c r="AJ366" t="s">
        <v>58</v>
      </c>
      <c r="AK366" t="s">
        <v>58</v>
      </c>
      <c r="AO366" t="s">
        <v>58</v>
      </c>
      <c r="AP366" t="s">
        <v>58</v>
      </c>
      <c r="AQ366" t="s">
        <v>58</v>
      </c>
      <c r="AR366" t="s">
        <v>58</v>
      </c>
      <c r="AS366" t="s">
        <v>58</v>
      </c>
      <c r="AV366" t="s">
        <v>58</v>
      </c>
      <c r="AW366" t="s">
        <v>58</v>
      </c>
      <c r="AX366" t="s">
        <v>58</v>
      </c>
      <c r="AY366" t="s">
        <v>58</v>
      </c>
      <c r="AZ366" t="s">
        <v>58</v>
      </c>
      <c r="BC366" t="s">
        <v>58</v>
      </c>
      <c r="BD366" t="s">
        <v>58</v>
      </c>
      <c r="BE366" t="s">
        <v>58</v>
      </c>
      <c r="BF366" t="s">
        <v>58</v>
      </c>
      <c r="BG366" t="s">
        <v>58</v>
      </c>
    </row>
    <row r="367" spans="1:59" x14ac:dyDescent="0.3">
      <c r="A367" t="s">
        <v>58</v>
      </c>
      <c r="B367" t="s">
        <v>58</v>
      </c>
      <c r="C367" t="s">
        <v>58</v>
      </c>
      <c r="D367" t="s">
        <v>58</v>
      </c>
      <c r="E367" t="s">
        <v>58</v>
      </c>
      <c r="J367" t="s">
        <v>58</v>
      </c>
      <c r="K367" t="s">
        <v>58</v>
      </c>
      <c r="L367" t="s">
        <v>58</v>
      </c>
      <c r="M367" t="s">
        <v>58</v>
      </c>
      <c r="N367" t="s">
        <v>58</v>
      </c>
      <c r="R367" t="s">
        <v>58</v>
      </c>
      <c r="S367" t="s">
        <v>58</v>
      </c>
      <c r="T367" t="s">
        <v>58</v>
      </c>
      <c r="U367" t="s">
        <v>58</v>
      </c>
      <c r="V367" t="s">
        <v>58</v>
      </c>
      <c r="Z367" t="s">
        <v>58</v>
      </c>
      <c r="AA367" t="s">
        <v>58</v>
      </c>
      <c r="AB367" t="s">
        <v>58</v>
      </c>
      <c r="AC367" t="s">
        <v>58</v>
      </c>
      <c r="AD367" t="s">
        <v>58</v>
      </c>
      <c r="AG367" t="s">
        <v>58</v>
      </c>
      <c r="AH367" t="s">
        <v>58</v>
      </c>
      <c r="AI367" t="s">
        <v>58</v>
      </c>
      <c r="AJ367" t="s">
        <v>58</v>
      </c>
      <c r="AK367" t="s">
        <v>58</v>
      </c>
      <c r="AO367" t="s">
        <v>58</v>
      </c>
      <c r="AP367" t="s">
        <v>58</v>
      </c>
      <c r="AQ367" t="s">
        <v>58</v>
      </c>
      <c r="AR367" t="s">
        <v>58</v>
      </c>
      <c r="AS367" t="s">
        <v>58</v>
      </c>
      <c r="AV367" t="s">
        <v>58</v>
      </c>
      <c r="AW367" t="s">
        <v>58</v>
      </c>
      <c r="AX367" t="s">
        <v>58</v>
      </c>
      <c r="AY367" t="s">
        <v>58</v>
      </c>
      <c r="AZ367" t="s">
        <v>58</v>
      </c>
      <c r="BC367" t="s">
        <v>58</v>
      </c>
      <c r="BD367" t="s">
        <v>58</v>
      </c>
      <c r="BE367" t="s">
        <v>58</v>
      </c>
      <c r="BF367" t="s">
        <v>58</v>
      </c>
      <c r="BG367" t="s">
        <v>58</v>
      </c>
    </row>
    <row r="368" spans="1:59" x14ac:dyDescent="0.3">
      <c r="A368" t="s">
        <v>58</v>
      </c>
      <c r="B368" t="s">
        <v>58</v>
      </c>
      <c r="C368" t="s">
        <v>58</v>
      </c>
      <c r="D368" t="s">
        <v>58</v>
      </c>
      <c r="E368" t="s">
        <v>58</v>
      </c>
      <c r="J368" t="s">
        <v>58</v>
      </c>
      <c r="K368" t="s">
        <v>58</v>
      </c>
      <c r="L368" t="s">
        <v>58</v>
      </c>
      <c r="M368" t="s">
        <v>58</v>
      </c>
      <c r="N368" t="s">
        <v>58</v>
      </c>
      <c r="R368" t="s">
        <v>58</v>
      </c>
      <c r="S368" t="s">
        <v>58</v>
      </c>
      <c r="T368" t="s">
        <v>58</v>
      </c>
      <c r="U368" t="s">
        <v>58</v>
      </c>
      <c r="V368" t="s">
        <v>58</v>
      </c>
      <c r="Z368" t="s">
        <v>58</v>
      </c>
      <c r="AA368" t="s">
        <v>58</v>
      </c>
      <c r="AB368" t="s">
        <v>58</v>
      </c>
      <c r="AC368" t="s">
        <v>58</v>
      </c>
      <c r="AD368" t="s">
        <v>58</v>
      </c>
      <c r="AG368" t="s">
        <v>58</v>
      </c>
      <c r="AH368" t="s">
        <v>58</v>
      </c>
      <c r="AI368" t="s">
        <v>58</v>
      </c>
      <c r="AJ368" t="s">
        <v>58</v>
      </c>
      <c r="AK368" t="s">
        <v>58</v>
      </c>
      <c r="AO368" t="s">
        <v>58</v>
      </c>
      <c r="AP368" t="s">
        <v>58</v>
      </c>
      <c r="AQ368" t="s">
        <v>58</v>
      </c>
      <c r="AR368" t="s">
        <v>58</v>
      </c>
      <c r="AS368" t="s">
        <v>58</v>
      </c>
      <c r="AV368" t="s">
        <v>58</v>
      </c>
      <c r="AW368" t="s">
        <v>58</v>
      </c>
      <c r="AX368" t="s">
        <v>58</v>
      </c>
      <c r="AY368" t="s">
        <v>58</v>
      </c>
      <c r="AZ368" t="s">
        <v>58</v>
      </c>
      <c r="BC368" t="s">
        <v>58</v>
      </c>
      <c r="BD368" t="s">
        <v>58</v>
      </c>
      <c r="BE368" t="s">
        <v>58</v>
      </c>
      <c r="BF368" t="s">
        <v>58</v>
      </c>
      <c r="BG368" t="s">
        <v>58</v>
      </c>
    </row>
    <row r="369" spans="1:59" x14ac:dyDescent="0.3">
      <c r="A369" t="s">
        <v>58</v>
      </c>
      <c r="B369" t="s">
        <v>58</v>
      </c>
      <c r="C369" t="s">
        <v>58</v>
      </c>
      <c r="D369" t="s">
        <v>58</v>
      </c>
      <c r="E369" t="s">
        <v>58</v>
      </c>
      <c r="J369" t="s">
        <v>58</v>
      </c>
      <c r="K369" t="s">
        <v>58</v>
      </c>
      <c r="L369" t="s">
        <v>58</v>
      </c>
      <c r="M369" t="s">
        <v>58</v>
      </c>
      <c r="N369" t="s">
        <v>58</v>
      </c>
      <c r="R369" t="s">
        <v>58</v>
      </c>
      <c r="S369" t="s">
        <v>58</v>
      </c>
      <c r="T369" t="s">
        <v>58</v>
      </c>
      <c r="U369" t="s">
        <v>58</v>
      </c>
      <c r="V369" t="s">
        <v>58</v>
      </c>
      <c r="Z369" t="s">
        <v>58</v>
      </c>
      <c r="AA369" t="s">
        <v>58</v>
      </c>
      <c r="AB369" t="s">
        <v>58</v>
      </c>
      <c r="AC369" t="s">
        <v>58</v>
      </c>
      <c r="AD369" t="s">
        <v>58</v>
      </c>
      <c r="AG369" t="s">
        <v>58</v>
      </c>
      <c r="AH369" t="s">
        <v>58</v>
      </c>
      <c r="AI369" t="s">
        <v>58</v>
      </c>
      <c r="AJ369" t="s">
        <v>58</v>
      </c>
      <c r="AK369" t="s">
        <v>58</v>
      </c>
      <c r="AO369" t="s">
        <v>58</v>
      </c>
      <c r="AP369" t="s">
        <v>58</v>
      </c>
      <c r="AQ369" t="s">
        <v>58</v>
      </c>
      <c r="AR369" t="s">
        <v>58</v>
      </c>
      <c r="AS369" t="s">
        <v>58</v>
      </c>
      <c r="AV369" t="s">
        <v>58</v>
      </c>
      <c r="AW369" t="s">
        <v>58</v>
      </c>
      <c r="AX369" t="s">
        <v>58</v>
      </c>
      <c r="AY369" t="s">
        <v>58</v>
      </c>
      <c r="AZ369" t="s">
        <v>58</v>
      </c>
      <c r="BC369" t="s">
        <v>58</v>
      </c>
      <c r="BD369" t="s">
        <v>58</v>
      </c>
      <c r="BE369" t="s">
        <v>58</v>
      </c>
      <c r="BF369" t="s">
        <v>58</v>
      </c>
      <c r="BG369" t="s">
        <v>58</v>
      </c>
    </row>
    <row r="370" spans="1:59" x14ac:dyDescent="0.3">
      <c r="A370" t="s">
        <v>58</v>
      </c>
      <c r="B370" t="s">
        <v>58</v>
      </c>
      <c r="C370" t="s">
        <v>58</v>
      </c>
      <c r="D370" t="s">
        <v>58</v>
      </c>
      <c r="E370" t="s">
        <v>58</v>
      </c>
      <c r="J370" t="s">
        <v>58</v>
      </c>
      <c r="K370" t="s">
        <v>58</v>
      </c>
      <c r="L370" t="s">
        <v>58</v>
      </c>
      <c r="M370" t="s">
        <v>58</v>
      </c>
      <c r="N370" t="s">
        <v>58</v>
      </c>
      <c r="R370" t="s">
        <v>58</v>
      </c>
      <c r="S370" t="s">
        <v>58</v>
      </c>
      <c r="T370" t="s">
        <v>58</v>
      </c>
      <c r="U370" t="s">
        <v>58</v>
      </c>
      <c r="V370" t="s">
        <v>58</v>
      </c>
      <c r="Z370" t="s">
        <v>58</v>
      </c>
      <c r="AA370" t="s">
        <v>58</v>
      </c>
      <c r="AB370" t="s">
        <v>58</v>
      </c>
      <c r="AC370" t="s">
        <v>58</v>
      </c>
      <c r="AD370" t="s">
        <v>58</v>
      </c>
      <c r="AG370" t="s">
        <v>58</v>
      </c>
      <c r="AH370" t="s">
        <v>58</v>
      </c>
      <c r="AI370" t="s">
        <v>58</v>
      </c>
      <c r="AJ370" t="s">
        <v>58</v>
      </c>
      <c r="AK370" t="s">
        <v>58</v>
      </c>
      <c r="AO370" t="s">
        <v>58</v>
      </c>
      <c r="AP370" t="s">
        <v>58</v>
      </c>
      <c r="AQ370" t="s">
        <v>58</v>
      </c>
      <c r="AR370" t="s">
        <v>58</v>
      </c>
      <c r="AS370" t="s">
        <v>58</v>
      </c>
      <c r="AV370" t="s">
        <v>58</v>
      </c>
      <c r="AW370" t="s">
        <v>58</v>
      </c>
      <c r="AX370" t="s">
        <v>58</v>
      </c>
      <c r="AY370" t="s">
        <v>58</v>
      </c>
      <c r="AZ370" t="s">
        <v>58</v>
      </c>
      <c r="BC370" t="s">
        <v>58</v>
      </c>
      <c r="BD370" t="s">
        <v>58</v>
      </c>
      <c r="BE370" t="s">
        <v>58</v>
      </c>
      <c r="BF370" t="s">
        <v>58</v>
      </c>
      <c r="BG370" t="s">
        <v>58</v>
      </c>
    </row>
    <row r="371" spans="1:59" x14ac:dyDescent="0.3">
      <c r="A371" t="s">
        <v>58</v>
      </c>
      <c r="B371" t="s">
        <v>58</v>
      </c>
      <c r="C371" t="s">
        <v>58</v>
      </c>
      <c r="D371" t="s">
        <v>58</v>
      </c>
      <c r="E371" t="s">
        <v>58</v>
      </c>
      <c r="J371" t="s">
        <v>58</v>
      </c>
      <c r="K371" t="s">
        <v>58</v>
      </c>
      <c r="L371" t="s">
        <v>58</v>
      </c>
      <c r="M371" t="s">
        <v>58</v>
      </c>
      <c r="N371" t="s">
        <v>58</v>
      </c>
      <c r="R371" t="s">
        <v>58</v>
      </c>
      <c r="S371" t="s">
        <v>58</v>
      </c>
      <c r="T371" t="s">
        <v>58</v>
      </c>
      <c r="U371" t="s">
        <v>58</v>
      </c>
      <c r="V371" t="s">
        <v>58</v>
      </c>
      <c r="Z371" t="s">
        <v>58</v>
      </c>
      <c r="AA371" t="s">
        <v>58</v>
      </c>
      <c r="AB371" t="s">
        <v>58</v>
      </c>
      <c r="AC371" t="s">
        <v>58</v>
      </c>
      <c r="AD371" t="s">
        <v>58</v>
      </c>
      <c r="AG371" t="s">
        <v>58</v>
      </c>
      <c r="AH371" t="s">
        <v>58</v>
      </c>
      <c r="AI371" t="s">
        <v>58</v>
      </c>
      <c r="AJ371" t="s">
        <v>58</v>
      </c>
      <c r="AK371" t="s">
        <v>58</v>
      </c>
      <c r="AO371" t="s">
        <v>58</v>
      </c>
      <c r="AP371" t="s">
        <v>58</v>
      </c>
      <c r="AQ371" t="s">
        <v>58</v>
      </c>
      <c r="AR371" t="s">
        <v>58</v>
      </c>
      <c r="AS371" t="s">
        <v>58</v>
      </c>
      <c r="AV371" t="s">
        <v>58</v>
      </c>
      <c r="AW371" t="s">
        <v>58</v>
      </c>
      <c r="AX371" t="s">
        <v>58</v>
      </c>
      <c r="AY371" t="s">
        <v>58</v>
      </c>
      <c r="AZ371" t="s">
        <v>58</v>
      </c>
      <c r="BC371" t="s">
        <v>58</v>
      </c>
      <c r="BD371" t="s">
        <v>58</v>
      </c>
      <c r="BE371" t="s">
        <v>58</v>
      </c>
      <c r="BF371" t="s">
        <v>58</v>
      </c>
      <c r="BG371" t="s">
        <v>58</v>
      </c>
    </row>
    <row r="372" spans="1:59" x14ac:dyDescent="0.3">
      <c r="A372" t="s">
        <v>58</v>
      </c>
      <c r="B372" t="s">
        <v>58</v>
      </c>
      <c r="C372" t="s">
        <v>58</v>
      </c>
      <c r="D372" t="s">
        <v>58</v>
      </c>
      <c r="E372" t="s">
        <v>58</v>
      </c>
      <c r="J372" t="s">
        <v>58</v>
      </c>
      <c r="K372" t="s">
        <v>58</v>
      </c>
      <c r="L372" t="s">
        <v>58</v>
      </c>
      <c r="M372" t="s">
        <v>58</v>
      </c>
      <c r="N372" t="s">
        <v>58</v>
      </c>
      <c r="R372" t="s">
        <v>58</v>
      </c>
      <c r="S372" t="s">
        <v>58</v>
      </c>
      <c r="T372" t="s">
        <v>58</v>
      </c>
      <c r="U372" t="s">
        <v>58</v>
      </c>
      <c r="V372" t="s">
        <v>58</v>
      </c>
      <c r="Z372" t="s">
        <v>58</v>
      </c>
      <c r="AA372" t="s">
        <v>58</v>
      </c>
      <c r="AB372" t="s">
        <v>58</v>
      </c>
      <c r="AC372" t="s">
        <v>58</v>
      </c>
      <c r="AD372" t="s">
        <v>58</v>
      </c>
      <c r="AG372" t="s">
        <v>58</v>
      </c>
      <c r="AH372" t="s">
        <v>58</v>
      </c>
      <c r="AI372" t="s">
        <v>58</v>
      </c>
      <c r="AJ372" t="s">
        <v>58</v>
      </c>
      <c r="AK372" t="s">
        <v>58</v>
      </c>
      <c r="AO372" t="s">
        <v>58</v>
      </c>
      <c r="AP372" t="s">
        <v>58</v>
      </c>
      <c r="AQ372" t="s">
        <v>58</v>
      </c>
      <c r="AR372" t="s">
        <v>58</v>
      </c>
      <c r="AS372" t="s">
        <v>58</v>
      </c>
      <c r="AV372" t="s">
        <v>58</v>
      </c>
      <c r="AW372" t="s">
        <v>58</v>
      </c>
      <c r="AX372" t="s">
        <v>58</v>
      </c>
      <c r="AY372" t="s">
        <v>58</v>
      </c>
      <c r="AZ372" t="s">
        <v>58</v>
      </c>
      <c r="BC372" t="s">
        <v>58</v>
      </c>
      <c r="BD372" t="s">
        <v>58</v>
      </c>
      <c r="BE372" t="s">
        <v>58</v>
      </c>
      <c r="BF372" t="s">
        <v>58</v>
      </c>
      <c r="BG372" t="s">
        <v>58</v>
      </c>
    </row>
    <row r="373" spans="1:59" x14ac:dyDescent="0.3">
      <c r="A373" t="s">
        <v>58</v>
      </c>
      <c r="B373" t="s">
        <v>58</v>
      </c>
      <c r="C373" t="s">
        <v>58</v>
      </c>
      <c r="D373" t="s">
        <v>58</v>
      </c>
      <c r="E373" t="s">
        <v>58</v>
      </c>
      <c r="J373" t="s">
        <v>58</v>
      </c>
      <c r="K373" t="s">
        <v>58</v>
      </c>
      <c r="L373" t="s">
        <v>58</v>
      </c>
      <c r="M373" t="s">
        <v>58</v>
      </c>
      <c r="N373" t="s">
        <v>58</v>
      </c>
      <c r="R373" t="s">
        <v>58</v>
      </c>
      <c r="S373" t="s">
        <v>58</v>
      </c>
      <c r="T373" t="s">
        <v>58</v>
      </c>
      <c r="U373" t="s">
        <v>58</v>
      </c>
      <c r="V373" t="s">
        <v>58</v>
      </c>
      <c r="Z373" t="s">
        <v>58</v>
      </c>
      <c r="AA373" t="s">
        <v>58</v>
      </c>
      <c r="AB373" t="s">
        <v>58</v>
      </c>
      <c r="AC373" t="s">
        <v>58</v>
      </c>
      <c r="AD373" t="s">
        <v>58</v>
      </c>
      <c r="AG373" t="s">
        <v>58</v>
      </c>
      <c r="AH373" t="s">
        <v>58</v>
      </c>
      <c r="AI373" t="s">
        <v>58</v>
      </c>
      <c r="AJ373" t="s">
        <v>58</v>
      </c>
      <c r="AK373" t="s">
        <v>58</v>
      </c>
      <c r="AO373" t="s">
        <v>58</v>
      </c>
      <c r="AP373" t="s">
        <v>58</v>
      </c>
      <c r="AQ373" t="s">
        <v>58</v>
      </c>
      <c r="AR373" t="s">
        <v>58</v>
      </c>
      <c r="AS373" t="s">
        <v>58</v>
      </c>
      <c r="AV373" t="s">
        <v>58</v>
      </c>
      <c r="AW373" t="s">
        <v>58</v>
      </c>
      <c r="AX373" t="s">
        <v>58</v>
      </c>
      <c r="AY373" t="s">
        <v>58</v>
      </c>
      <c r="AZ373" t="s">
        <v>58</v>
      </c>
      <c r="BC373" t="s">
        <v>58</v>
      </c>
      <c r="BD373" t="s">
        <v>58</v>
      </c>
      <c r="BE373" t="s">
        <v>58</v>
      </c>
      <c r="BF373" t="s">
        <v>58</v>
      </c>
      <c r="BG373" t="s">
        <v>58</v>
      </c>
    </row>
    <row r="374" spans="1:59" x14ac:dyDescent="0.3">
      <c r="A374" t="s">
        <v>58</v>
      </c>
      <c r="B374" t="s">
        <v>58</v>
      </c>
      <c r="C374" t="s">
        <v>58</v>
      </c>
      <c r="D374" t="s">
        <v>58</v>
      </c>
      <c r="E374" t="s">
        <v>58</v>
      </c>
      <c r="J374" t="s">
        <v>58</v>
      </c>
      <c r="K374" t="s">
        <v>58</v>
      </c>
      <c r="L374" t="s">
        <v>58</v>
      </c>
      <c r="M374" t="s">
        <v>58</v>
      </c>
      <c r="N374" t="s">
        <v>58</v>
      </c>
      <c r="R374" t="s">
        <v>58</v>
      </c>
      <c r="S374" t="s">
        <v>58</v>
      </c>
      <c r="T374" t="s">
        <v>58</v>
      </c>
      <c r="U374" t="s">
        <v>58</v>
      </c>
      <c r="V374" t="s">
        <v>58</v>
      </c>
      <c r="Z374" t="s">
        <v>58</v>
      </c>
      <c r="AA374" t="s">
        <v>58</v>
      </c>
      <c r="AB374" t="s">
        <v>58</v>
      </c>
      <c r="AC374" t="s">
        <v>58</v>
      </c>
      <c r="AD374" t="s">
        <v>58</v>
      </c>
      <c r="AG374" t="s">
        <v>58</v>
      </c>
      <c r="AH374" t="s">
        <v>58</v>
      </c>
      <c r="AI374" t="s">
        <v>58</v>
      </c>
      <c r="AJ374" t="s">
        <v>58</v>
      </c>
      <c r="AK374" t="s">
        <v>58</v>
      </c>
      <c r="AO374" t="s">
        <v>58</v>
      </c>
      <c r="AP374" t="s">
        <v>58</v>
      </c>
      <c r="AQ374" t="s">
        <v>58</v>
      </c>
      <c r="AR374" t="s">
        <v>58</v>
      </c>
      <c r="AS374" t="s">
        <v>58</v>
      </c>
      <c r="AV374" t="s">
        <v>58</v>
      </c>
      <c r="AW374" t="s">
        <v>58</v>
      </c>
      <c r="AX374" t="s">
        <v>58</v>
      </c>
      <c r="AY374" t="s">
        <v>58</v>
      </c>
      <c r="AZ374" t="s">
        <v>58</v>
      </c>
      <c r="BC374" t="s">
        <v>58</v>
      </c>
      <c r="BD374" t="s">
        <v>58</v>
      </c>
      <c r="BE374" t="s">
        <v>58</v>
      </c>
      <c r="BF374" t="s">
        <v>58</v>
      </c>
      <c r="BG374" t="s">
        <v>58</v>
      </c>
    </row>
    <row r="375" spans="1:59" x14ac:dyDescent="0.3">
      <c r="A375" t="s">
        <v>58</v>
      </c>
      <c r="B375" t="s">
        <v>58</v>
      </c>
      <c r="C375" t="s">
        <v>58</v>
      </c>
      <c r="D375" t="s">
        <v>58</v>
      </c>
      <c r="E375" t="s">
        <v>58</v>
      </c>
      <c r="J375" t="s">
        <v>58</v>
      </c>
      <c r="K375" t="s">
        <v>58</v>
      </c>
      <c r="L375" t="s">
        <v>58</v>
      </c>
      <c r="M375" t="s">
        <v>58</v>
      </c>
      <c r="N375" t="s">
        <v>58</v>
      </c>
      <c r="R375" t="s">
        <v>58</v>
      </c>
      <c r="S375" t="s">
        <v>58</v>
      </c>
      <c r="T375" t="s">
        <v>58</v>
      </c>
      <c r="U375" t="s">
        <v>58</v>
      </c>
      <c r="V375" t="s">
        <v>58</v>
      </c>
      <c r="Z375" t="s">
        <v>58</v>
      </c>
      <c r="AA375" t="s">
        <v>58</v>
      </c>
      <c r="AB375" t="s">
        <v>58</v>
      </c>
      <c r="AC375" t="s">
        <v>58</v>
      </c>
      <c r="AD375" t="s">
        <v>58</v>
      </c>
      <c r="AG375" t="s">
        <v>58</v>
      </c>
      <c r="AH375" t="s">
        <v>58</v>
      </c>
      <c r="AI375" t="s">
        <v>58</v>
      </c>
      <c r="AJ375" t="s">
        <v>58</v>
      </c>
      <c r="AK375" t="s">
        <v>58</v>
      </c>
      <c r="AO375" t="s">
        <v>58</v>
      </c>
      <c r="AP375" t="s">
        <v>58</v>
      </c>
      <c r="AQ375" t="s">
        <v>58</v>
      </c>
      <c r="AR375" t="s">
        <v>58</v>
      </c>
      <c r="AS375" t="s">
        <v>58</v>
      </c>
      <c r="AV375" t="s">
        <v>58</v>
      </c>
      <c r="AW375" t="s">
        <v>58</v>
      </c>
      <c r="AX375" t="s">
        <v>58</v>
      </c>
      <c r="AY375" t="s">
        <v>58</v>
      </c>
      <c r="AZ375" t="s">
        <v>58</v>
      </c>
      <c r="BC375" t="s">
        <v>58</v>
      </c>
      <c r="BD375" t="s">
        <v>58</v>
      </c>
      <c r="BE375" t="s">
        <v>58</v>
      </c>
      <c r="BF375" t="s">
        <v>58</v>
      </c>
      <c r="BG375" t="s">
        <v>58</v>
      </c>
    </row>
    <row r="376" spans="1:59" x14ac:dyDescent="0.3">
      <c r="A376" t="s">
        <v>58</v>
      </c>
      <c r="B376" t="s">
        <v>58</v>
      </c>
      <c r="C376" t="s">
        <v>58</v>
      </c>
      <c r="D376" t="s">
        <v>58</v>
      </c>
      <c r="E376" t="s">
        <v>58</v>
      </c>
      <c r="J376" t="s">
        <v>58</v>
      </c>
      <c r="K376" t="s">
        <v>58</v>
      </c>
      <c r="L376" t="s">
        <v>58</v>
      </c>
      <c r="M376" t="s">
        <v>58</v>
      </c>
      <c r="N376" t="s">
        <v>58</v>
      </c>
      <c r="R376" t="s">
        <v>58</v>
      </c>
      <c r="S376" t="s">
        <v>58</v>
      </c>
      <c r="T376" t="s">
        <v>58</v>
      </c>
      <c r="U376" t="s">
        <v>58</v>
      </c>
      <c r="V376" t="s">
        <v>58</v>
      </c>
      <c r="Z376" t="s">
        <v>58</v>
      </c>
      <c r="AA376" t="s">
        <v>58</v>
      </c>
      <c r="AB376" t="s">
        <v>58</v>
      </c>
      <c r="AC376" t="s">
        <v>58</v>
      </c>
      <c r="AD376" t="s">
        <v>58</v>
      </c>
      <c r="AG376" t="s">
        <v>58</v>
      </c>
      <c r="AH376" t="s">
        <v>58</v>
      </c>
      <c r="AI376" t="s">
        <v>58</v>
      </c>
      <c r="AJ376" t="s">
        <v>58</v>
      </c>
      <c r="AK376" t="s">
        <v>58</v>
      </c>
      <c r="AO376" t="s">
        <v>58</v>
      </c>
      <c r="AP376" t="s">
        <v>58</v>
      </c>
      <c r="AQ376" t="s">
        <v>58</v>
      </c>
      <c r="AR376" t="s">
        <v>58</v>
      </c>
      <c r="AS376" t="s">
        <v>58</v>
      </c>
      <c r="AV376" t="s">
        <v>58</v>
      </c>
      <c r="AW376" t="s">
        <v>58</v>
      </c>
      <c r="AX376" t="s">
        <v>58</v>
      </c>
      <c r="AY376" t="s">
        <v>58</v>
      </c>
      <c r="AZ376" t="s">
        <v>58</v>
      </c>
      <c r="BC376" t="s">
        <v>58</v>
      </c>
      <c r="BD376" t="s">
        <v>58</v>
      </c>
      <c r="BE376" t="s">
        <v>58</v>
      </c>
      <c r="BF376" t="s">
        <v>58</v>
      </c>
      <c r="BG376" t="s">
        <v>58</v>
      </c>
    </row>
    <row r="377" spans="1:59" x14ac:dyDescent="0.3">
      <c r="A377" t="s">
        <v>58</v>
      </c>
      <c r="B377" t="s">
        <v>58</v>
      </c>
      <c r="C377" t="s">
        <v>58</v>
      </c>
      <c r="D377" t="s">
        <v>58</v>
      </c>
      <c r="E377" t="s">
        <v>58</v>
      </c>
      <c r="J377" t="s">
        <v>58</v>
      </c>
      <c r="K377" t="s">
        <v>58</v>
      </c>
      <c r="L377" t="s">
        <v>58</v>
      </c>
      <c r="M377" t="s">
        <v>58</v>
      </c>
      <c r="N377" t="s">
        <v>58</v>
      </c>
      <c r="R377" t="s">
        <v>58</v>
      </c>
      <c r="S377" t="s">
        <v>58</v>
      </c>
      <c r="T377" t="s">
        <v>58</v>
      </c>
      <c r="U377" t="s">
        <v>58</v>
      </c>
      <c r="V377" t="s">
        <v>58</v>
      </c>
      <c r="Z377" t="s">
        <v>58</v>
      </c>
      <c r="AA377" t="s">
        <v>58</v>
      </c>
      <c r="AB377" t="s">
        <v>58</v>
      </c>
      <c r="AC377" t="s">
        <v>58</v>
      </c>
      <c r="AD377" t="s">
        <v>58</v>
      </c>
      <c r="AG377" t="s">
        <v>58</v>
      </c>
      <c r="AH377" t="s">
        <v>58</v>
      </c>
      <c r="AI377" t="s">
        <v>58</v>
      </c>
      <c r="AJ377" t="s">
        <v>58</v>
      </c>
      <c r="AK377" t="s">
        <v>58</v>
      </c>
      <c r="AO377" t="s">
        <v>58</v>
      </c>
      <c r="AP377" t="s">
        <v>58</v>
      </c>
      <c r="AQ377" t="s">
        <v>58</v>
      </c>
      <c r="AR377" t="s">
        <v>58</v>
      </c>
      <c r="AS377" t="s">
        <v>58</v>
      </c>
      <c r="AV377" t="s">
        <v>58</v>
      </c>
      <c r="AW377" t="s">
        <v>58</v>
      </c>
      <c r="AX377" t="s">
        <v>58</v>
      </c>
      <c r="AY377" t="s">
        <v>58</v>
      </c>
      <c r="AZ377" t="s">
        <v>58</v>
      </c>
      <c r="BC377" t="s">
        <v>58</v>
      </c>
      <c r="BD377" t="s">
        <v>58</v>
      </c>
      <c r="BE377" t="s">
        <v>58</v>
      </c>
      <c r="BF377" t="s">
        <v>58</v>
      </c>
      <c r="BG377" t="s">
        <v>58</v>
      </c>
    </row>
    <row r="378" spans="1:59" x14ac:dyDescent="0.3">
      <c r="A378" t="s">
        <v>58</v>
      </c>
      <c r="B378" t="s">
        <v>58</v>
      </c>
      <c r="C378" t="s">
        <v>58</v>
      </c>
      <c r="D378" t="s">
        <v>58</v>
      </c>
      <c r="E378" t="s">
        <v>58</v>
      </c>
      <c r="J378" t="s">
        <v>58</v>
      </c>
      <c r="K378" t="s">
        <v>58</v>
      </c>
      <c r="L378" t="s">
        <v>58</v>
      </c>
      <c r="M378" t="s">
        <v>58</v>
      </c>
      <c r="N378" t="s">
        <v>58</v>
      </c>
      <c r="R378" t="s">
        <v>58</v>
      </c>
      <c r="S378" t="s">
        <v>58</v>
      </c>
      <c r="T378" t="s">
        <v>58</v>
      </c>
      <c r="U378" t="s">
        <v>58</v>
      </c>
      <c r="V378" t="s">
        <v>58</v>
      </c>
      <c r="Z378" t="s">
        <v>58</v>
      </c>
      <c r="AA378" t="s">
        <v>58</v>
      </c>
      <c r="AB378" t="s">
        <v>58</v>
      </c>
      <c r="AC378" t="s">
        <v>58</v>
      </c>
      <c r="AD378" t="s">
        <v>58</v>
      </c>
      <c r="AG378" t="s">
        <v>58</v>
      </c>
      <c r="AH378" t="s">
        <v>58</v>
      </c>
      <c r="AI378" t="s">
        <v>58</v>
      </c>
      <c r="AJ378" t="s">
        <v>58</v>
      </c>
      <c r="AK378" t="s">
        <v>58</v>
      </c>
      <c r="AO378" t="s">
        <v>58</v>
      </c>
      <c r="AP378" t="s">
        <v>58</v>
      </c>
      <c r="AQ378" t="s">
        <v>58</v>
      </c>
      <c r="AR378" t="s">
        <v>58</v>
      </c>
      <c r="AS378" t="s">
        <v>58</v>
      </c>
      <c r="AV378" t="s">
        <v>58</v>
      </c>
      <c r="AW378" t="s">
        <v>58</v>
      </c>
      <c r="AX378" t="s">
        <v>58</v>
      </c>
      <c r="AY378" t="s">
        <v>58</v>
      </c>
      <c r="AZ378" t="s">
        <v>58</v>
      </c>
      <c r="BC378" t="s">
        <v>58</v>
      </c>
      <c r="BD378" t="s">
        <v>58</v>
      </c>
      <c r="BE378" t="s">
        <v>58</v>
      </c>
      <c r="BF378" t="s">
        <v>58</v>
      </c>
      <c r="BG378" t="s">
        <v>58</v>
      </c>
    </row>
    <row r="379" spans="1:59" x14ac:dyDescent="0.3">
      <c r="A379" t="s">
        <v>58</v>
      </c>
      <c r="B379" t="s">
        <v>58</v>
      </c>
      <c r="C379" t="s">
        <v>58</v>
      </c>
      <c r="D379" t="s">
        <v>58</v>
      </c>
      <c r="E379" t="s">
        <v>58</v>
      </c>
      <c r="J379" t="s">
        <v>58</v>
      </c>
      <c r="K379" t="s">
        <v>58</v>
      </c>
      <c r="L379" t="s">
        <v>58</v>
      </c>
      <c r="M379" t="s">
        <v>58</v>
      </c>
      <c r="N379" t="s">
        <v>58</v>
      </c>
      <c r="R379" t="s">
        <v>58</v>
      </c>
      <c r="S379" t="s">
        <v>58</v>
      </c>
      <c r="T379" t="s">
        <v>58</v>
      </c>
      <c r="U379" t="s">
        <v>58</v>
      </c>
      <c r="V379" t="s">
        <v>58</v>
      </c>
      <c r="Z379" t="s">
        <v>58</v>
      </c>
      <c r="AA379" t="s">
        <v>58</v>
      </c>
      <c r="AB379" t="s">
        <v>58</v>
      </c>
      <c r="AC379" t="s">
        <v>58</v>
      </c>
      <c r="AD379" t="s">
        <v>58</v>
      </c>
      <c r="AG379" t="s">
        <v>58</v>
      </c>
      <c r="AH379" t="s">
        <v>58</v>
      </c>
      <c r="AI379" t="s">
        <v>58</v>
      </c>
      <c r="AJ379" t="s">
        <v>58</v>
      </c>
      <c r="AK379" t="s">
        <v>58</v>
      </c>
      <c r="AO379" t="s">
        <v>58</v>
      </c>
      <c r="AP379" t="s">
        <v>58</v>
      </c>
      <c r="AQ379" t="s">
        <v>58</v>
      </c>
      <c r="AR379" t="s">
        <v>58</v>
      </c>
      <c r="AS379" t="s">
        <v>58</v>
      </c>
      <c r="AV379" t="s">
        <v>58</v>
      </c>
      <c r="AW379" t="s">
        <v>58</v>
      </c>
      <c r="AX379" t="s">
        <v>58</v>
      </c>
      <c r="AY379" t="s">
        <v>58</v>
      </c>
      <c r="AZ379" t="s">
        <v>58</v>
      </c>
      <c r="BC379" t="s">
        <v>58</v>
      </c>
      <c r="BD379" t="s">
        <v>58</v>
      </c>
      <c r="BE379" t="s">
        <v>58</v>
      </c>
      <c r="BF379" t="s">
        <v>58</v>
      </c>
      <c r="BG379" t="s">
        <v>58</v>
      </c>
    </row>
    <row r="380" spans="1:59" x14ac:dyDescent="0.3">
      <c r="A380" t="s">
        <v>58</v>
      </c>
      <c r="B380" t="s">
        <v>58</v>
      </c>
      <c r="C380" t="s">
        <v>58</v>
      </c>
      <c r="D380" t="s">
        <v>58</v>
      </c>
      <c r="E380" t="s">
        <v>58</v>
      </c>
      <c r="J380" t="s">
        <v>58</v>
      </c>
      <c r="K380" t="s">
        <v>58</v>
      </c>
      <c r="L380" t="s">
        <v>58</v>
      </c>
      <c r="M380" t="s">
        <v>58</v>
      </c>
      <c r="N380" t="s">
        <v>58</v>
      </c>
      <c r="R380" t="s">
        <v>58</v>
      </c>
      <c r="S380" t="s">
        <v>58</v>
      </c>
      <c r="T380" t="s">
        <v>58</v>
      </c>
      <c r="U380" t="s">
        <v>58</v>
      </c>
      <c r="V380" t="s">
        <v>58</v>
      </c>
      <c r="Z380" t="s">
        <v>58</v>
      </c>
      <c r="AA380" t="s">
        <v>58</v>
      </c>
      <c r="AB380" t="s">
        <v>58</v>
      </c>
      <c r="AC380" t="s">
        <v>58</v>
      </c>
      <c r="AD380" t="s">
        <v>58</v>
      </c>
      <c r="AG380" t="s">
        <v>58</v>
      </c>
      <c r="AH380" t="s">
        <v>58</v>
      </c>
      <c r="AI380" t="s">
        <v>58</v>
      </c>
      <c r="AJ380" t="s">
        <v>58</v>
      </c>
      <c r="AK380" t="s">
        <v>58</v>
      </c>
      <c r="AO380" t="s">
        <v>58</v>
      </c>
      <c r="AP380" t="s">
        <v>58</v>
      </c>
      <c r="AQ380" t="s">
        <v>58</v>
      </c>
      <c r="AR380" t="s">
        <v>58</v>
      </c>
      <c r="AS380" t="s">
        <v>58</v>
      </c>
      <c r="AV380" t="s">
        <v>58</v>
      </c>
      <c r="AW380" t="s">
        <v>58</v>
      </c>
      <c r="AX380" t="s">
        <v>58</v>
      </c>
      <c r="AY380" t="s">
        <v>58</v>
      </c>
      <c r="AZ380" t="s">
        <v>58</v>
      </c>
      <c r="BC380" t="s">
        <v>58</v>
      </c>
      <c r="BD380" t="s">
        <v>58</v>
      </c>
      <c r="BE380" t="s">
        <v>58</v>
      </c>
      <c r="BF380" t="s">
        <v>58</v>
      </c>
      <c r="BG380" t="s">
        <v>58</v>
      </c>
    </row>
    <row r="381" spans="1:59" x14ac:dyDescent="0.3">
      <c r="A381" t="s">
        <v>58</v>
      </c>
      <c r="B381" t="s">
        <v>58</v>
      </c>
      <c r="C381" t="s">
        <v>58</v>
      </c>
      <c r="D381" t="s">
        <v>58</v>
      </c>
      <c r="E381" t="s">
        <v>58</v>
      </c>
      <c r="J381" t="s">
        <v>58</v>
      </c>
      <c r="K381" t="s">
        <v>58</v>
      </c>
      <c r="L381" t="s">
        <v>58</v>
      </c>
      <c r="M381" t="s">
        <v>58</v>
      </c>
      <c r="N381" t="s">
        <v>58</v>
      </c>
      <c r="R381" t="s">
        <v>58</v>
      </c>
      <c r="S381" t="s">
        <v>58</v>
      </c>
      <c r="T381" t="s">
        <v>58</v>
      </c>
      <c r="U381" t="s">
        <v>58</v>
      </c>
      <c r="V381" t="s">
        <v>58</v>
      </c>
      <c r="Z381" t="s">
        <v>58</v>
      </c>
      <c r="AA381" t="s">
        <v>58</v>
      </c>
      <c r="AB381" t="s">
        <v>58</v>
      </c>
      <c r="AC381" t="s">
        <v>58</v>
      </c>
      <c r="AD381" t="s">
        <v>58</v>
      </c>
      <c r="AG381" t="s">
        <v>58</v>
      </c>
      <c r="AH381" t="s">
        <v>58</v>
      </c>
      <c r="AI381" t="s">
        <v>58</v>
      </c>
      <c r="AJ381" t="s">
        <v>58</v>
      </c>
      <c r="AK381" t="s">
        <v>58</v>
      </c>
      <c r="AO381" t="s">
        <v>58</v>
      </c>
      <c r="AP381" t="s">
        <v>58</v>
      </c>
      <c r="AQ381" t="s">
        <v>58</v>
      </c>
      <c r="AR381" t="s">
        <v>58</v>
      </c>
      <c r="AS381" t="s">
        <v>58</v>
      </c>
      <c r="AV381" t="s">
        <v>58</v>
      </c>
      <c r="AW381" t="s">
        <v>58</v>
      </c>
      <c r="AX381" t="s">
        <v>58</v>
      </c>
      <c r="AY381" t="s">
        <v>58</v>
      </c>
      <c r="AZ381" t="s">
        <v>58</v>
      </c>
      <c r="BC381" t="s">
        <v>58</v>
      </c>
      <c r="BD381" t="s">
        <v>58</v>
      </c>
      <c r="BE381" t="s">
        <v>58</v>
      </c>
      <c r="BF381" t="s">
        <v>58</v>
      </c>
      <c r="BG381" t="s">
        <v>58</v>
      </c>
    </row>
    <row r="382" spans="1:59" x14ac:dyDescent="0.3">
      <c r="A382" t="s">
        <v>58</v>
      </c>
      <c r="B382" t="s">
        <v>58</v>
      </c>
      <c r="C382" t="s">
        <v>58</v>
      </c>
      <c r="D382" t="s">
        <v>58</v>
      </c>
      <c r="E382" t="s">
        <v>58</v>
      </c>
      <c r="J382" t="s">
        <v>58</v>
      </c>
      <c r="K382" t="s">
        <v>58</v>
      </c>
      <c r="L382" t="s">
        <v>58</v>
      </c>
      <c r="M382" t="s">
        <v>58</v>
      </c>
      <c r="N382" t="s">
        <v>58</v>
      </c>
      <c r="R382" t="s">
        <v>58</v>
      </c>
      <c r="S382" t="s">
        <v>58</v>
      </c>
      <c r="T382" t="s">
        <v>58</v>
      </c>
      <c r="U382" t="s">
        <v>58</v>
      </c>
      <c r="V382" t="s">
        <v>58</v>
      </c>
      <c r="Z382" t="s">
        <v>58</v>
      </c>
      <c r="AA382" t="s">
        <v>58</v>
      </c>
      <c r="AB382" t="s">
        <v>58</v>
      </c>
      <c r="AC382" t="s">
        <v>58</v>
      </c>
      <c r="AD382" t="s">
        <v>58</v>
      </c>
      <c r="AG382" t="s">
        <v>58</v>
      </c>
      <c r="AH382" t="s">
        <v>58</v>
      </c>
      <c r="AI382" t="s">
        <v>58</v>
      </c>
      <c r="AJ382" t="s">
        <v>58</v>
      </c>
      <c r="AK382" t="s">
        <v>58</v>
      </c>
      <c r="AO382" t="s">
        <v>58</v>
      </c>
      <c r="AP382" t="s">
        <v>58</v>
      </c>
      <c r="AQ382" t="s">
        <v>58</v>
      </c>
      <c r="AR382" t="s">
        <v>58</v>
      </c>
      <c r="AS382" t="s">
        <v>58</v>
      </c>
      <c r="AV382" t="s">
        <v>58</v>
      </c>
      <c r="AW382" t="s">
        <v>58</v>
      </c>
      <c r="AX382" t="s">
        <v>58</v>
      </c>
      <c r="AY382" t="s">
        <v>58</v>
      </c>
      <c r="AZ382" t="s">
        <v>58</v>
      </c>
      <c r="BC382" t="s">
        <v>58</v>
      </c>
      <c r="BD382" t="s">
        <v>58</v>
      </c>
      <c r="BE382" t="s">
        <v>58</v>
      </c>
      <c r="BF382" t="s">
        <v>58</v>
      </c>
      <c r="BG382" t="s">
        <v>58</v>
      </c>
    </row>
    <row r="383" spans="1:59" x14ac:dyDescent="0.3">
      <c r="A383" t="s">
        <v>58</v>
      </c>
      <c r="B383" t="s">
        <v>58</v>
      </c>
      <c r="C383" t="s">
        <v>58</v>
      </c>
      <c r="D383" t="s">
        <v>58</v>
      </c>
      <c r="E383" t="s">
        <v>58</v>
      </c>
      <c r="J383" t="s">
        <v>58</v>
      </c>
      <c r="K383" t="s">
        <v>58</v>
      </c>
      <c r="L383" t="s">
        <v>58</v>
      </c>
      <c r="M383" t="s">
        <v>58</v>
      </c>
      <c r="N383" t="s">
        <v>58</v>
      </c>
      <c r="R383" t="s">
        <v>58</v>
      </c>
      <c r="S383" t="s">
        <v>58</v>
      </c>
      <c r="T383" t="s">
        <v>58</v>
      </c>
      <c r="U383" t="s">
        <v>58</v>
      </c>
      <c r="V383" t="s">
        <v>58</v>
      </c>
      <c r="Z383" t="s">
        <v>58</v>
      </c>
      <c r="AA383" t="s">
        <v>58</v>
      </c>
      <c r="AB383" t="s">
        <v>58</v>
      </c>
      <c r="AC383" t="s">
        <v>58</v>
      </c>
      <c r="AD383" t="s">
        <v>58</v>
      </c>
      <c r="AG383" t="s">
        <v>58</v>
      </c>
      <c r="AH383" t="s">
        <v>58</v>
      </c>
      <c r="AI383" t="s">
        <v>58</v>
      </c>
      <c r="AJ383" t="s">
        <v>58</v>
      </c>
      <c r="AK383" t="s">
        <v>58</v>
      </c>
      <c r="AO383" t="s">
        <v>58</v>
      </c>
      <c r="AP383" t="s">
        <v>58</v>
      </c>
      <c r="AQ383" t="s">
        <v>58</v>
      </c>
      <c r="AR383" t="s">
        <v>58</v>
      </c>
      <c r="AS383" t="s">
        <v>58</v>
      </c>
      <c r="AV383" t="s">
        <v>58</v>
      </c>
      <c r="AW383" t="s">
        <v>58</v>
      </c>
      <c r="AX383" t="s">
        <v>58</v>
      </c>
      <c r="AY383" t="s">
        <v>58</v>
      </c>
      <c r="AZ383" t="s">
        <v>58</v>
      </c>
      <c r="BC383" t="s">
        <v>58</v>
      </c>
      <c r="BD383" t="s">
        <v>58</v>
      </c>
      <c r="BE383" t="s">
        <v>58</v>
      </c>
      <c r="BF383" t="s">
        <v>58</v>
      </c>
      <c r="BG383" t="s">
        <v>58</v>
      </c>
    </row>
    <row r="384" spans="1:59" x14ac:dyDescent="0.3">
      <c r="A384" t="s">
        <v>58</v>
      </c>
      <c r="B384" t="s">
        <v>58</v>
      </c>
      <c r="C384" t="s">
        <v>58</v>
      </c>
      <c r="D384" t="s">
        <v>58</v>
      </c>
      <c r="E384" t="s">
        <v>58</v>
      </c>
      <c r="J384" t="s">
        <v>58</v>
      </c>
      <c r="K384" t="s">
        <v>58</v>
      </c>
      <c r="L384" t="s">
        <v>58</v>
      </c>
      <c r="M384" t="s">
        <v>58</v>
      </c>
      <c r="N384" t="s">
        <v>58</v>
      </c>
      <c r="R384" t="s">
        <v>58</v>
      </c>
      <c r="S384" t="s">
        <v>58</v>
      </c>
      <c r="T384" t="s">
        <v>58</v>
      </c>
      <c r="U384" t="s">
        <v>58</v>
      </c>
      <c r="V384" t="s">
        <v>58</v>
      </c>
      <c r="Z384" t="s">
        <v>58</v>
      </c>
      <c r="AA384" t="s">
        <v>58</v>
      </c>
      <c r="AB384" t="s">
        <v>58</v>
      </c>
      <c r="AC384" t="s">
        <v>58</v>
      </c>
      <c r="AD384" t="s">
        <v>58</v>
      </c>
      <c r="AG384" t="s">
        <v>58</v>
      </c>
      <c r="AH384" t="s">
        <v>58</v>
      </c>
      <c r="AI384" t="s">
        <v>58</v>
      </c>
      <c r="AJ384" t="s">
        <v>58</v>
      </c>
      <c r="AK384" t="s">
        <v>58</v>
      </c>
      <c r="AO384" t="s">
        <v>58</v>
      </c>
      <c r="AP384" t="s">
        <v>58</v>
      </c>
      <c r="AQ384" t="s">
        <v>58</v>
      </c>
      <c r="AR384" t="s">
        <v>58</v>
      </c>
      <c r="AS384" t="s">
        <v>58</v>
      </c>
      <c r="AV384" t="s">
        <v>58</v>
      </c>
      <c r="AW384" t="s">
        <v>58</v>
      </c>
      <c r="AX384" t="s">
        <v>58</v>
      </c>
      <c r="AY384" t="s">
        <v>58</v>
      </c>
      <c r="AZ384" t="s">
        <v>58</v>
      </c>
      <c r="BC384" t="s">
        <v>58</v>
      </c>
      <c r="BD384" t="s">
        <v>58</v>
      </c>
      <c r="BE384" t="s">
        <v>58</v>
      </c>
      <c r="BF384" t="s">
        <v>58</v>
      </c>
      <c r="BG384" t="s">
        <v>58</v>
      </c>
    </row>
    <row r="385" spans="1:59" x14ac:dyDescent="0.3">
      <c r="A385" t="s">
        <v>58</v>
      </c>
      <c r="B385" t="s">
        <v>58</v>
      </c>
      <c r="C385" t="s">
        <v>58</v>
      </c>
      <c r="D385" t="s">
        <v>58</v>
      </c>
      <c r="E385" t="s">
        <v>58</v>
      </c>
      <c r="J385" t="s">
        <v>58</v>
      </c>
      <c r="K385" t="s">
        <v>58</v>
      </c>
      <c r="L385" t="s">
        <v>58</v>
      </c>
      <c r="M385" t="s">
        <v>58</v>
      </c>
      <c r="N385" t="s">
        <v>58</v>
      </c>
      <c r="R385" t="s">
        <v>58</v>
      </c>
      <c r="S385" t="s">
        <v>58</v>
      </c>
      <c r="T385" t="s">
        <v>58</v>
      </c>
      <c r="U385" t="s">
        <v>58</v>
      </c>
      <c r="V385" t="s">
        <v>58</v>
      </c>
      <c r="Z385" t="s">
        <v>58</v>
      </c>
      <c r="AA385" t="s">
        <v>58</v>
      </c>
      <c r="AB385" t="s">
        <v>58</v>
      </c>
      <c r="AC385" t="s">
        <v>58</v>
      </c>
      <c r="AD385" t="s">
        <v>58</v>
      </c>
      <c r="AG385" t="s">
        <v>58</v>
      </c>
      <c r="AH385" t="s">
        <v>58</v>
      </c>
      <c r="AI385" t="s">
        <v>58</v>
      </c>
      <c r="AJ385" t="s">
        <v>58</v>
      </c>
      <c r="AK385" t="s">
        <v>58</v>
      </c>
      <c r="AO385" t="s">
        <v>58</v>
      </c>
      <c r="AP385" t="s">
        <v>58</v>
      </c>
      <c r="AQ385" t="s">
        <v>58</v>
      </c>
      <c r="AR385" t="s">
        <v>58</v>
      </c>
      <c r="AS385" t="s">
        <v>58</v>
      </c>
      <c r="AV385" t="s">
        <v>58</v>
      </c>
      <c r="AW385" t="s">
        <v>58</v>
      </c>
      <c r="AX385" t="s">
        <v>58</v>
      </c>
      <c r="AY385" t="s">
        <v>58</v>
      </c>
      <c r="AZ385" t="s">
        <v>58</v>
      </c>
      <c r="BC385" t="s">
        <v>58</v>
      </c>
      <c r="BD385" t="s">
        <v>58</v>
      </c>
      <c r="BE385" t="s">
        <v>58</v>
      </c>
      <c r="BF385" t="s">
        <v>58</v>
      </c>
      <c r="BG385" t="s">
        <v>58</v>
      </c>
    </row>
    <row r="386" spans="1:59" x14ac:dyDescent="0.3">
      <c r="A386" t="s">
        <v>58</v>
      </c>
      <c r="B386" t="s">
        <v>58</v>
      </c>
      <c r="C386" t="s">
        <v>58</v>
      </c>
      <c r="D386" t="s">
        <v>58</v>
      </c>
      <c r="E386" t="s">
        <v>58</v>
      </c>
      <c r="J386" t="s">
        <v>58</v>
      </c>
      <c r="K386" t="s">
        <v>58</v>
      </c>
      <c r="L386" t="s">
        <v>58</v>
      </c>
      <c r="M386" t="s">
        <v>58</v>
      </c>
      <c r="N386" t="s">
        <v>58</v>
      </c>
      <c r="R386" t="s">
        <v>58</v>
      </c>
      <c r="S386" t="s">
        <v>58</v>
      </c>
      <c r="T386" t="s">
        <v>58</v>
      </c>
      <c r="U386" t="s">
        <v>58</v>
      </c>
      <c r="V386" t="s">
        <v>58</v>
      </c>
      <c r="Z386" t="s">
        <v>58</v>
      </c>
      <c r="AA386" t="s">
        <v>58</v>
      </c>
      <c r="AB386" t="s">
        <v>58</v>
      </c>
      <c r="AC386" t="s">
        <v>58</v>
      </c>
      <c r="AD386" t="s">
        <v>58</v>
      </c>
      <c r="AG386" t="s">
        <v>58</v>
      </c>
      <c r="AH386" t="s">
        <v>58</v>
      </c>
      <c r="AI386" t="s">
        <v>58</v>
      </c>
      <c r="AJ386" t="s">
        <v>58</v>
      </c>
      <c r="AK386" t="s">
        <v>58</v>
      </c>
      <c r="AO386" t="s">
        <v>58</v>
      </c>
      <c r="AP386" t="s">
        <v>58</v>
      </c>
      <c r="AQ386" t="s">
        <v>58</v>
      </c>
      <c r="AR386" t="s">
        <v>58</v>
      </c>
      <c r="AS386" t="s">
        <v>58</v>
      </c>
      <c r="AV386" t="s">
        <v>58</v>
      </c>
      <c r="AW386" t="s">
        <v>58</v>
      </c>
      <c r="AX386" t="s">
        <v>58</v>
      </c>
      <c r="AY386" t="s">
        <v>58</v>
      </c>
      <c r="AZ386" t="s">
        <v>58</v>
      </c>
      <c r="BC386" t="s">
        <v>58</v>
      </c>
      <c r="BD386" t="s">
        <v>58</v>
      </c>
      <c r="BE386" t="s">
        <v>58</v>
      </c>
      <c r="BF386" t="s">
        <v>58</v>
      </c>
      <c r="BG386" t="s">
        <v>58</v>
      </c>
    </row>
    <row r="387" spans="1:59" x14ac:dyDescent="0.3">
      <c r="A387" t="s">
        <v>58</v>
      </c>
      <c r="B387" t="s">
        <v>58</v>
      </c>
      <c r="C387" t="s">
        <v>58</v>
      </c>
      <c r="D387" t="s">
        <v>58</v>
      </c>
      <c r="E387" t="s">
        <v>58</v>
      </c>
      <c r="J387" t="s">
        <v>58</v>
      </c>
      <c r="K387" t="s">
        <v>58</v>
      </c>
      <c r="L387" t="s">
        <v>58</v>
      </c>
      <c r="M387" t="s">
        <v>58</v>
      </c>
      <c r="N387" t="s">
        <v>58</v>
      </c>
      <c r="R387" t="s">
        <v>58</v>
      </c>
      <c r="S387" t="s">
        <v>58</v>
      </c>
      <c r="T387" t="s">
        <v>58</v>
      </c>
      <c r="U387" t="s">
        <v>58</v>
      </c>
      <c r="V387" t="s">
        <v>58</v>
      </c>
      <c r="Z387" t="s">
        <v>58</v>
      </c>
      <c r="AA387" t="s">
        <v>58</v>
      </c>
      <c r="AB387" t="s">
        <v>58</v>
      </c>
      <c r="AC387" t="s">
        <v>58</v>
      </c>
      <c r="AD387" t="s">
        <v>58</v>
      </c>
      <c r="AG387" t="s">
        <v>58</v>
      </c>
      <c r="AH387" t="s">
        <v>58</v>
      </c>
      <c r="AI387" t="s">
        <v>58</v>
      </c>
      <c r="AJ387" t="s">
        <v>58</v>
      </c>
      <c r="AK387" t="s">
        <v>58</v>
      </c>
      <c r="AO387" t="s">
        <v>58</v>
      </c>
      <c r="AP387" t="s">
        <v>58</v>
      </c>
      <c r="AQ387" t="s">
        <v>58</v>
      </c>
      <c r="AR387" t="s">
        <v>58</v>
      </c>
      <c r="AS387" t="s">
        <v>58</v>
      </c>
      <c r="AV387" t="s">
        <v>58</v>
      </c>
      <c r="AW387" t="s">
        <v>58</v>
      </c>
      <c r="AX387" t="s">
        <v>58</v>
      </c>
      <c r="AY387" t="s">
        <v>58</v>
      </c>
      <c r="AZ387" t="s">
        <v>58</v>
      </c>
      <c r="BC387" t="s">
        <v>58</v>
      </c>
      <c r="BD387" t="s">
        <v>58</v>
      </c>
      <c r="BE387" t="s">
        <v>58</v>
      </c>
      <c r="BF387" t="s">
        <v>58</v>
      </c>
      <c r="BG387" t="s">
        <v>58</v>
      </c>
    </row>
    <row r="388" spans="1:59" x14ac:dyDescent="0.3">
      <c r="A388" t="s">
        <v>58</v>
      </c>
      <c r="B388" t="s">
        <v>58</v>
      </c>
      <c r="C388" t="s">
        <v>58</v>
      </c>
      <c r="D388" t="s">
        <v>58</v>
      </c>
      <c r="E388" t="s">
        <v>58</v>
      </c>
      <c r="J388" t="s">
        <v>58</v>
      </c>
      <c r="K388" t="s">
        <v>58</v>
      </c>
      <c r="L388" t="s">
        <v>58</v>
      </c>
      <c r="M388" t="s">
        <v>58</v>
      </c>
      <c r="N388" t="s">
        <v>58</v>
      </c>
      <c r="R388" t="s">
        <v>58</v>
      </c>
      <c r="S388" t="s">
        <v>58</v>
      </c>
      <c r="T388" t="s">
        <v>58</v>
      </c>
      <c r="U388" t="s">
        <v>58</v>
      </c>
      <c r="V388" t="s">
        <v>58</v>
      </c>
      <c r="Z388" t="s">
        <v>58</v>
      </c>
      <c r="AA388" t="s">
        <v>58</v>
      </c>
      <c r="AB388" t="s">
        <v>58</v>
      </c>
      <c r="AC388" t="s">
        <v>58</v>
      </c>
      <c r="AD388" t="s">
        <v>58</v>
      </c>
      <c r="AG388" t="s">
        <v>58</v>
      </c>
      <c r="AH388" t="s">
        <v>58</v>
      </c>
      <c r="AI388" t="s">
        <v>58</v>
      </c>
      <c r="AJ388" t="s">
        <v>58</v>
      </c>
      <c r="AK388" t="s">
        <v>58</v>
      </c>
      <c r="AO388" t="s">
        <v>58</v>
      </c>
      <c r="AP388" t="s">
        <v>58</v>
      </c>
      <c r="AQ388" t="s">
        <v>58</v>
      </c>
      <c r="AR388" t="s">
        <v>58</v>
      </c>
      <c r="AS388" t="s">
        <v>58</v>
      </c>
      <c r="AV388" t="s">
        <v>58</v>
      </c>
      <c r="AW388" t="s">
        <v>58</v>
      </c>
      <c r="AX388" t="s">
        <v>58</v>
      </c>
      <c r="AY388" t="s">
        <v>58</v>
      </c>
      <c r="AZ388" t="s">
        <v>58</v>
      </c>
      <c r="BC388" t="s">
        <v>58</v>
      </c>
      <c r="BD388" t="s">
        <v>58</v>
      </c>
      <c r="BE388" t="s">
        <v>58</v>
      </c>
      <c r="BF388" t="s">
        <v>58</v>
      </c>
      <c r="BG388" t="s">
        <v>58</v>
      </c>
    </row>
    <row r="389" spans="1:59" x14ac:dyDescent="0.3">
      <c r="A389" t="s">
        <v>58</v>
      </c>
      <c r="B389" t="s">
        <v>58</v>
      </c>
      <c r="C389" t="s">
        <v>58</v>
      </c>
      <c r="D389" t="s">
        <v>58</v>
      </c>
      <c r="E389" t="s">
        <v>58</v>
      </c>
      <c r="J389" t="s">
        <v>58</v>
      </c>
      <c r="K389" t="s">
        <v>58</v>
      </c>
      <c r="L389" t="s">
        <v>58</v>
      </c>
      <c r="M389" t="s">
        <v>58</v>
      </c>
      <c r="N389" t="s">
        <v>58</v>
      </c>
      <c r="R389" t="s">
        <v>58</v>
      </c>
      <c r="S389" t="s">
        <v>58</v>
      </c>
      <c r="T389" t="s">
        <v>58</v>
      </c>
      <c r="U389" t="s">
        <v>58</v>
      </c>
      <c r="V389" t="s">
        <v>58</v>
      </c>
      <c r="Z389" t="s">
        <v>58</v>
      </c>
      <c r="AA389" t="s">
        <v>58</v>
      </c>
      <c r="AB389" t="s">
        <v>58</v>
      </c>
      <c r="AC389" t="s">
        <v>58</v>
      </c>
      <c r="AD389" t="s">
        <v>58</v>
      </c>
      <c r="AG389" t="s">
        <v>58</v>
      </c>
      <c r="AH389" t="s">
        <v>58</v>
      </c>
      <c r="AI389" t="s">
        <v>58</v>
      </c>
      <c r="AJ389" t="s">
        <v>58</v>
      </c>
      <c r="AK389" t="s">
        <v>58</v>
      </c>
      <c r="AO389" t="s">
        <v>58</v>
      </c>
      <c r="AP389" t="s">
        <v>58</v>
      </c>
      <c r="AQ389" t="s">
        <v>58</v>
      </c>
      <c r="AR389" t="s">
        <v>58</v>
      </c>
      <c r="AS389" t="s">
        <v>58</v>
      </c>
      <c r="AV389" t="s">
        <v>58</v>
      </c>
      <c r="AW389" t="s">
        <v>58</v>
      </c>
      <c r="AX389" t="s">
        <v>58</v>
      </c>
      <c r="AY389" t="s">
        <v>58</v>
      </c>
      <c r="AZ389" t="s">
        <v>58</v>
      </c>
      <c r="BC389" t="s">
        <v>58</v>
      </c>
      <c r="BD389" t="s">
        <v>58</v>
      </c>
      <c r="BE389" t="s">
        <v>58</v>
      </c>
      <c r="BF389" t="s">
        <v>58</v>
      </c>
      <c r="BG389" t="s">
        <v>58</v>
      </c>
    </row>
    <row r="390" spans="1:59" x14ac:dyDescent="0.3">
      <c r="A390" t="s">
        <v>58</v>
      </c>
      <c r="B390" t="s">
        <v>58</v>
      </c>
      <c r="C390" t="s">
        <v>58</v>
      </c>
      <c r="D390" t="s">
        <v>58</v>
      </c>
      <c r="E390" t="s">
        <v>58</v>
      </c>
      <c r="J390" t="s">
        <v>58</v>
      </c>
      <c r="K390" t="s">
        <v>58</v>
      </c>
      <c r="L390" t="s">
        <v>58</v>
      </c>
      <c r="M390" t="s">
        <v>58</v>
      </c>
      <c r="N390" t="s">
        <v>58</v>
      </c>
      <c r="R390" t="s">
        <v>58</v>
      </c>
      <c r="S390" t="s">
        <v>58</v>
      </c>
      <c r="T390" t="s">
        <v>58</v>
      </c>
      <c r="U390" t="s">
        <v>58</v>
      </c>
      <c r="V390" t="s">
        <v>58</v>
      </c>
      <c r="Z390" t="s">
        <v>58</v>
      </c>
      <c r="AA390" t="s">
        <v>58</v>
      </c>
      <c r="AB390" t="s">
        <v>58</v>
      </c>
      <c r="AC390" t="s">
        <v>58</v>
      </c>
      <c r="AD390" t="s">
        <v>58</v>
      </c>
      <c r="AG390" t="s">
        <v>58</v>
      </c>
      <c r="AH390" t="s">
        <v>58</v>
      </c>
      <c r="AI390" t="s">
        <v>58</v>
      </c>
      <c r="AJ390" t="s">
        <v>58</v>
      </c>
      <c r="AK390" t="s">
        <v>58</v>
      </c>
      <c r="AO390" t="s">
        <v>58</v>
      </c>
      <c r="AP390" t="s">
        <v>58</v>
      </c>
      <c r="AQ390" t="s">
        <v>58</v>
      </c>
      <c r="AR390" t="s">
        <v>58</v>
      </c>
      <c r="AS390" t="s">
        <v>58</v>
      </c>
      <c r="AV390" t="s">
        <v>58</v>
      </c>
      <c r="AW390" t="s">
        <v>58</v>
      </c>
      <c r="AX390" t="s">
        <v>58</v>
      </c>
      <c r="AY390" t="s">
        <v>58</v>
      </c>
      <c r="AZ390" t="s">
        <v>58</v>
      </c>
      <c r="BC390" t="s">
        <v>58</v>
      </c>
      <c r="BD390" t="s">
        <v>58</v>
      </c>
      <c r="BE390" t="s">
        <v>58</v>
      </c>
      <c r="BF390" t="s">
        <v>58</v>
      </c>
      <c r="BG390" t="s">
        <v>58</v>
      </c>
    </row>
    <row r="391" spans="1:59" x14ac:dyDescent="0.3">
      <c r="A391" t="s">
        <v>58</v>
      </c>
      <c r="B391" t="s">
        <v>58</v>
      </c>
      <c r="C391" t="s">
        <v>58</v>
      </c>
      <c r="D391" t="s">
        <v>58</v>
      </c>
      <c r="E391" t="s">
        <v>58</v>
      </c>
      <c r="J391" t="s">
        <v>58</v>
      </c>
      <c r="K391" t="s">
        <v>58</v>
      </c>
      <c r="L391" t="s">
        <v>58</v>
      </c>
      <c r="M391" t="s">
        <v>58</v>
      </c>
      <c r="N391" t="s">
        <v>58</v>
      </c>
      <c r="R391" t="s">
        <v>58</v>
      </c>
      <c r="S391" t="s">
        <v>58</v>
      </c>
      <c r="T391" t="s">
        <v>58</v>
      </c>
      <c r="U391" t="s">
        <v>58</v>
      </c>
      <c r="V391" t="s">
        <v>58</v>
      </c>
      <c r="Z391" t="s">
        <v>58</v>
      </c>
      <c r="AA391" t="s">
        <v>58</v>
      </c>
      <c r="AB391" t="s">
        <v>58</v>
      </c>
      <c r="AC391" t="s">
        <v>58</v>
      </c>
      <c r="AD391" t="s">
        <v>58</v>
      </c>
      <c r="AG391" t="s">
        <v>58</v>
      </c>
      <c r="AH391" t="s">
        <v>58</v>
      </c>
      <c r="AI391" t="s">
        <v>58</v>
      </c>
      <c r="AJ391" t="s">
        <v>58</v>
      </c>
      <c r="AK391" t="s">
        <v>58</v>
      </c>
      <c r="AO391" t="s">
        <v>58</v>
      </c>
      <c r="AP391" t="s">
        <v>58</v>
      </c>
      <c r="AQ391" t="s">
        <v>58</v>
      </c>
      <c r="AR391" t="s">
        <v>58</v>
      </c>
      <c r="AS391" t="s">
        <v>58</v>
      </c>
      <c r="AV391" t="s">
        <v>58</v>
      </c>
      <c r="AW391" t="s">
        <v>58</v>
      </c>
      <c r="AX391" t="s">
        <v>58</v>
      </c>
      <c r="AY391" t="s">
        <v>58</v>
      </c>
      <c r="AZ391" t="s">
        <v>58</v>
      </c>
      <c r="BC391" t="s">
        <v>58</v>
      </c>
      <c r="BD391" t="s">
        <v>58</v>
      </c>
      <c r="BE391" t="s">
        <v>58</v>
      </c>
      <c r="BF391" t="s">
        <v>58</v>
      </c>
      <c r="BG391" t="s">
        <v>58</v>
      </c>
    </row>
    <row r="392" spans="1:59" x14ac:dyDescent="0.3">
      <c r="A392" t="s">
        <v>58</v>
      </c>
      <c r="B392" t="s">
        <v>58</v>
      </c>
      <c r="C392" t="s">
        <v>58</v>
      </c>
      <c r="D392" t="s">
        <v>58</v>
      </c>
      <c r="E392" t="s">
        <v>58</v>
      </c>
      <c r="J392" t="s">
        <v>58</v>
      </c>
      <c r="K392" t="s">
        <v>58</v>
      </c>
      <c r="L392" t="s">
        <v>58</v>
      </c>
      <c r="M392" t="s">
        <v>58</v>
      </c>
      <c r="N392" t="s">
        <v>58</v>
      </c>
      <c r="R392" t="s">
        <v>58</v>
      </c>
      <c r="S392" t="s">
        <v>58</v>
      </c>
      <c r="T392" t="s">
        <v>58</v>
      </c>
      <c r="U392" t="s">
        <v>58</v>
      </c>
      <c r="V392" t="s">
        <v>58</v>
      </c>
      <c r="Z392" t="s">
        <v>58</v>
      </c>
      <c r="AA392" t="s">
        <v>58</v>
      </c>
      <c r="AB392" t="s">
        <v>58</v>
      </c>
      <c r="AC392" t="s">
        <v>58</v>
      </c>
      <c r="AD392" t="s">
        <v>58</v>
      </c>
      <c r="AG392" t="s">
        <v>58</v>
      </c>
      <c r="AH392" t="s">
        <v>58</v>
      </c>
      <c r="AI392" t="s">
        <v>58</v>
      </c>
      <c r="AJ392" t="s">
        <v>58</v>
      </c>
      <c r="AK392" t="s">
        <v>58</v>
      </c>
      <c r="AO392" t="s">
        <v>58</v>
      </c>
      <c r="AP392" t="s">
        <v>58</v>
      </c>
      <c r="AQ392" t="s">
        <v>58</v>
      </c>
      <c r="AR392" t="s">
        <v>58</v>
      </c>
      <c r="AS392" t="s">
        <v>58</v>
      </c>
      <c r="AV392" t="s">
        <v>58</v>
      </c>
      <c r="AW392" t="s">
        <v>58</v>
      </c>
      <c r="AX392" t="s">
        <v>58</v>
      </c>
      <c r="AY392" t="s">
        <v>58</v>
      </c>
      <c r="AZ392" t="s">
        <v>58</v>
      </c>
      <c r="BC392" t="s">
        <v>58</v>
      </c>
      <c r="BD392" t="s">
        <v>58</v>
      </c>
      <c r="BE392" t="s">
        <v>58</v>
      </c>
      <c r="BF392" t="s">
        <v>58</v>
      </c>
      <c r="BG392" t="s">
        <v>58</v>
      </c>
    </row>
    <row r="393" spans="1:59" x14ac:dyDescent="0.3">
      <c r="A393" t="s">
        <v>58</v>
      </c>
      <c r="B393" t="s">
        <v>58</v>
      </c>
      <c r="C393" t="s">
        <v>58</v>
      </c>
      <c r="D393" t="s">
        <v>58</v>
      </c>
      <c r="E393" t="s">
        <v>58</v>
      </c>
      <c r="J393" t="s">
        <v>58</v>
      </c>
      <c r="K393" t="s">
        <v>58</v>
      </c>
      <c r="L393" t="s">
        <v>58</v>
      </c>
      <c r="M393" t="s">
        <v>58</v>
      </c>
      <c r="N393" t="s">
        <v>58</v>
      </c>
      <c r="R393" t="s">
        <v>58</v>
      </c>
      <c r="S393" t="s">
        <v>58</v>
      </c>
      <c r="T393" t="s">
        <v>58</v>
      </c>
      <c r="U393" t="s">
        <v>58</v>
      </c>
      <c r="V393" t="s">
        <v>58</v>
      </c>
      <c r="Z393" t="s">
        <v>58</v>
      </c>
      <c r="AA393" t="s">
        <v>58</v>
      </c>
      <c r="AB393" t="s">
        <v>58</v>
      </c>
      <c r="AC393" t="s">
        <v>58</v>
      </c>
      <c r="AD393" t="s">
        <v>58</v>
      </c>
      <c r="AG393" t="s">
        <v>58</v>
      </c>
      <c r="AH393" t="s">
        <v>58</v>
      </c>
      <c r="AI393" t="s">
        <v>58</v>
      </c>
      <c r="AJ393" t="s">
        <v>58</v>
      </c>
      <c r="AK393" t="s">
        <v>58</v>
      </c>
      <c r="AO393" t="s">
        <v>58</v>
      </c>
      <c r="AP393" t="s">
        <v>58</v>
      </c>
      <c r="AQ393" t="s">
        <v>58</v>
      </c>
      <c r="AR393" t="s">
        <v>58</v>
      </c>
      <c r="AS393" t="s">
        <v>58</v>
      </c>
      <c r="AV393" t="s">
        <v>58</v>
      </c>
      <c r="AW393" t="s">
        <v>58</v>
      </c>
      <c r="AX393" t="s">
        <v>58</v>
      </c>
      <c r="AY393" t="s">
        <v>58</v>
      </c>
      <c r="AZ393" t="s">
        <v>58</v>
      </c>
      <c r="BC393" t="s">
        <v>58</v>
      </c>
      <c r="BD393" t="s">
        <v>58</v>
      </c>
      <c r="BE393" t="s">
        <v>58</v>
      </c>
      <c r="BF393" t="s">
        <v>58</v>
      </c>
      <c r="BG393" t="s">
        <v>58</v>
      </c>
    </row>
    <row r="394" spans="1:59" x14ac:dyDescent="0.3">
      <c r="A394" t="s">
        <v>58</v>
      </c>
      <c r="B394" t="s">
        <v>58</v>
      </c>
      <c r="C394" t="s">
        <v>58</v>
      </c>
      <c r="D394" t="s">
        <v>58</v>
      </c>
      <c r="E394" t="s">
        <v>58</v>
      </c>
      <c r="J394" t="s">
        <v>58</v>
      </c>
      <c r="K394" t="s">
        <v>58</v>
      </c>
      <c r="L394" t="s">
        <v>58</v>
      </c>
      <c r="M394" t="s">
        <v>58</v>
      </c>
      <c r="N394" t="s">
        <v>58</v>
      </c>
      <c r="R394" t="s">
        <v>58</v>
      </c>
      <c r="S394" t="s">
        <v>58</v>
      </c>
      <c r="T394" t="s">
        <v>58</v>
      </c>
      <c r="U394" t="s">
        <v>58</v>
      </c>
      <c r="V394" t="s">
        <v>58</v>
      </c>
      <c r="Z394" t="s">
        <v>58</v>
      </c>
      <c r="AA394" t="s">
        <v>58</v>
      </c>
      <c r="AB394" t="s">
        <v>58</v>
      </c>
      <c r="AC394" t="s">
        <v>58</v>
      </c>
      <c r="AD394" t="s">
        <v>58</v>
      </c>
      <c r="AG394" t="s">
        <v>58</v>
      </c>
      <c r="AH394" t="s">
        <v>58</v>
      </c>
      <c r="AI394" t="s">
        <v>58</v>
      </c>
      <c r="AJ394" t="s">
        <v>58</v>
      </c>
      <c r="AK394" t="s">
        <v>58</v>
      </c>
      <c r="AO394" t="s">
        <v>58</v>
      </c>
      <c r="AP394" t="s">
        <v>58</v>
      </c>
      <c r="AQ394" t="s">
        <v>58</v>
      </c>
      <c r="AR394" t="s">
        <v>58</v>
      </c>
      <c r="AS394" t="s">
        <v>58</v>
      </c>
      <c r="AV394" t="s">
        <v>58</v>
      </c>
      <c r="AW394" t="s">
        <v>58</v>
      </c>
      <c r="AX394" t="s">
        <v>58</v>
      </c>
      <c r="AY394" t="s">
        <v>58</v>
      </c>
      <c r="AZ394" t="s">
        <v>58</v>
      </c>
      <c r="BC394" t="s">
        <v>58</v>
      </c>
      <c r="BD394" t="s">
        <v>58</v>
      </c>
      <c r="BE394" t="s">
        <v>58</v>
      </c>
      <c r="BF394" t="s">
        <v>58</v>
      </c>
      <c r="BG394" t="s">
        <v>58</v>
      </c>
    </row>
    <row r="395" spans="1:59" x14ac:dyDescent="0.3">
      <c r="A395" t="s">
        <v>58</v>
      </c>
      <c r="B395" t="s">
        <v>58</v>
      </c>
      <c r="C395" t="s">
        <v>58</v>
      </c>
      <c r="D395" t="s">
        <v>58</v>
      </c>
      <c r="E395" t="s">
        <v>58</v>
      </c>
      <c r="J395" t="s">
        <v>58</v>
      </c>
      <c r="K395" t="s">
        <v>58</v>
      </c>
      <c r="L395" t="s">
        <v>58</v>
      </c>
      <c r="M395" t="s">
        <v>58</v>
      </c>
      <c r="N395" t="s">
        <v>58</v>
      </c>
      <c r="R395" t="s">
        <v>58</v>
      </c>
      <c r="S395" t="s">
        <v>58</v>
      </c>
      <c r="T395" t="s">
        <v>58</v>
      </c>
      <c r="U395" t="s">
        <v>58</v>
      </c>
      <c r="V395" t="s">
        <v>58</v>
      </c>
      <c r="Z395" t="s">
        <v>58</v>
      </c>
      <c r="AA395" t="s">
        <v>58</v>
      </c>
      <c r="AB395" t="s">
        <v>58</v>
      </c>
      <c r="AC395" t="s">
        <v>58</v>
      </c>
      <c r="AD395" t="s">
        <v>58</v>
      </c>
      <c r="AG395" t="s">
        <v>58</v>
      </c>
      <c r="AH395" t="s">
        <v>58</v>
      </c>
      <c r="AI395" t="s">
        <v>58</v>
      </c>
      <c r="AJ395" t="s">
        <v>58</v>
      </c>
      <c r="AK395" t="s">
        <v>58</v>
      </c>
      <c r="AO395" t="s">
        <v>58</v>
      </c>
      <c r="AP395" t="s">
        <v>58</v>
      </c>
      <c r="AQ395" t="s">
        <v>58</v>
      </c>
      <c r="AR395" t="s">
        <v>58</v>
      </c>
      <c r="AS395" t="s">
        <v>58</v>
      </c>
      <c r="AV395" t="s">
        <v>58</v>
      </c>
      <c r="AW395" t="s">
        <v>58</v>
      </c>
      <c r="AX395" t="s">
        <v>58</v>
      </c>
      <c r="AY395" t="s">
        <v>58</v>
      </c>
      <c r="AZ395" t="s">
        <v>58</v>
      </c>
      <c r="BC395" t="s">
        <v>58</v>
      </c>
      <c r="BD395" t="s">
        <v>58</v>
      </c>
      <c r="BE395" t="s">
        <v>58</v>
      </c>
      <c r="BF395" t="s">
        <v>58</v>
      </c>
      <c r="BG395" t="s">
        <v>58</v>
      </c>
    </row>
    <row r="396" spans="1:59" x14ac:dyDescent="0.3">
      <c r="A396" t="s">
        <v>58</v>
      </c>
      <c r="B396" t="s">
        <v>58</v>
      </c>
      <c r="C396" t="s">
        <v>58</v>
      </c>
      <c r="D396" t="s">
        <v>58</v>
      </c>
      <c r="E396" t="s">
        <v>58</v>
      </c>
      <c r="J396" t="s">
        <v>58</v>
      </c>
      <c r="K396" t="s">
        <v>58</v>
      </c>
      <c r="L396" t="s">
        <v>58</v>
      </c>
      <c r="M396" t="s">
        <v>58</v>
      </c>
      <c r="N396" t="s">
        <v>58</v>
      </c>
      <c r="R396" t="s">
        <v>58</v>
      </c>
      <c r="S396" t="s">
        <v>58</v>
      </c>
      <c r="T396" t="s">
        <v>58</v>
      </c>
      <c r="U396" t="s">
        <v>58</v>
      </c>
      <c r="V396" t="s">
        <v>58</v>
      </c>
      <c r="Z396" t="s">
        <v>58</v>
      </c>
      <c r="AA396" t="s">
        <v>58</v>
      </c>
      <c r="AB396" t="s">
        <v>58</v>
      </c>
      <c r="AC396" t="s">
        <v>58</v>
      </c>
      <c r="AD396" t="s">
        <v>58</v>
      </c>
      <c r="AG396" t="s">
        <v>58</v>
      </c>
      <c r="AH396" t="s">
        <v>58</v>
      </c>
      <c r="AI396" t="s">
        <v>58</v>
      </c>
      <c r="AJ396" t="s">
        <v>58</v>
      </c>
      <c r="AK396" t="s">
        <v>58</v>
      </c>
      <c r="AO396" t="s">
        <v>58</v>
      </c>
      <c r="AP396" t="s">
        <v>58</v>
      </c>
      <c r="AQ396" t="s">
        <v>58</v>
      </c>
      <c r="AR396" t="s">
        <v>58</v>
      </c>
      <c r="AS396" t="s">
        <v>58</v>
      </c>
      <c r="AV396" t="s">
        <v>58</v>
      </c>
      <c r="AW396" t="s">
        <v>58</v>
      </c>
      <c r="AX396" t="s">
        <v>58</v>
      </c>
      <c r="AY396" t="s">
        <v>58</v>
      </c>
      <c r="AZ396" t="s">
        <v>58</v>
      </c>
      <c r="BC396" t="s">
        <v>58</v>
      </c>
      <c r="BD396" t="s">
        <v>58</v>
      </c>
      <c r="BE396" t="s">
        <v>58</v>
      </c>
      <c r="BF396" t="s">
        <v>58</v>
      </c>
      <c r="BG396" t="s">
        <v>58</v>
      </c>
    </row>
    <row r="397" spans="1:59" x14ac:dyDescent="0.3">
      <c r="A397" t="s">
        <v>58</v>
      </c>
      <c r="B397" t="s">
        <v>58</v>
      </c>
      <c r="C397" t="s">
        <v>58</v>
      </c>
      <c r="D397" t="s">
        <v>58</v>
      </c>
      <c r="E397" t="s">
        <v>58</v>
      </c>
      <c r="J397" t="s">
        <v>58</v>
      </c>
      <c r="K397" t="s">
        <v>58</v>
      </c>
      <c r="L397" t="s">
        <v>58</v>
      </c>
      <c r="M397" t="s">
        <v>58</v>
      </c>
      <c r="N397" t="s">
        <v>58</v>
      </c>
      <c r="R397" t="s">
        <v>58</v>
      </c>
      <c r="S397" t="s">
        <v>58</v>
      </c>
      <c r="T397" t="s">
        <v>58</v>
      </c>
      <c r="U397" t="s">
        <v>58</v>
      </c>
      <c r="V397" t="s">
        <v>58</v>
      </c>
      <c r="Z397" t="s">
        <v>58</v>
      </c>
      <c r="AA397" t="s">
        <v>58</v>
      </c>
      <c r="AB397" t="s">
        <v>58</v>
      </c>
      <c r="AC397" t="s">
        <v>58</v>
      </c>
      <c r="AD397" t="s">
        <v>58</v>
      </c>
      <c r="AG397" t="s">
        <v>58</v>
      </c>
      <c r="AH397" t="s">
        <v>58</v>
      </c>
      <c r="AI397" t="s">
        <v>58</v>
      </c>
      <c r="AJ397" t="s">
        <v>58</v>
      </c>
      <c r="AK397" t="s">
        <v>58</v>
      </c>
      <c r="AO397" t="s">
        <v>58</v>
      </c>
      <c r="AP397" t="s">
        <v>58</v>
      </c>
      <c r="AQ397" t="s">
        <v>58</v>
      </c>
      <c r="AR397" t="s">
        <v>58</v>
      </c>
      <c r="AS397" t="s">
        <v>58</v>
      </c>
      <c r="AV397" t="s">
        <v>58</v>
      </c>
      <c r="AW397" t="s">
        <v>58</v>
      </c>
      <c r="AX397" t="s">
        <v>58</v>
      </c>
      <c r="AY397" t="s">
        <v>58</v>
      </c>
      <c r="AZ397" t="s">
        <v>58</v>
      </c>
      <c r="BC397" t="s">
        <v>58</v>
      </c>
      <c r="BD397" t="s">
        <v>58</v>
      </c>
      <c r="BE397" t="s">
        <v>58</v>
      </c>
      <c r="BF397" t="s">
        <v>58</v>
      </c>
      <c r="BG397" t="s">
        <v>58</v>
      </c>
    </row>
    <row r="398" spans="1:59" x14ac:dyDescent="0.3">
      <c r="A398" t="s">
        <v>58</v>
      </c>
      <c r="B398" t="s">
        <v>58</v>
      </c>
      <c r="C398" t="s">
        <v>58</v>
      </c>
      <c r="D398" t="s">
        <v>58</v>
      </c>
      <c r="E398" t="s">
        <v>58</v>
      </c>
      <c r="J398" t="s">
        <v>58</v>
      </c>
      <c r="K398" t="s">
        <v>58</v>
      </c>
      <c r="L398" t="s">
        <v>58</v>
      </c>
      <c r="M398" t="s">
        <v>58</v>
      </c>
      <c r="N398" t="s">
        <v>58</v>
      </c>
      <c r="R398" t="s">
        <v>58</v>
      </c>
      <c r="S398" t="s">
        <v>58</v>
      </c>
      <c r="T398" t="s">
        <v>58</v>
      </c>
      <c r="U398" t="s">
        <v>58</v>
      </c>
      <c r="V398" t="s">
        <v>58</v>
      </c>
      <c r="Z398" t="s">
        <v>58</v>
      </c>
      <c r="AA398" t="s">
        <v>58</v>
      </c>
      <c r="AB398" t="s">
        <v>58</v>
      </c>
      <c r="AC398" t="s">
        <v>58</v>
      </c>
      <c r="AD398" t="s">
        <v>58</v>
      </c>
      <c r="AG398" t="s">
        <v>58</v>
      </c>
      <c r="AH398" t="s">
        <v>58</v>
      </c>
      <c r="AI398" t="s">
        <v>58</v>
      </c>
      <c r="AJ398" t="s">
        <v>58</v>
      </c>
      <c r="AK398" t="s">
        <v>58</v>
      </c>
      <c r="AO398" t="s">
        <v>58</v>
      </c>
      <c r="AP398" t="s">
        <v>58</v>
      </c>
      <c r="AQ398" t="s">
        <v>58</v>
      </c>
      <c r="AR398" t="s">
        <v>58</v>
      </c>
      <c r="AS398" t="s">
        <v>58</v>
      </c>
      <c r="AV398" t="s">
        <v>58</v>
      </c>
      <c r="AW398" t="s">
        <v>58</v>
      </c>
      <c r="AX398" t="s">
        <v>58</v>
      </c>
      <c r="AY398" t="s">
        <v>58</v>
      </c>
      <c r="AZ398" t="s">
        <v>58</v>
      </c>
      <c r="BC398" t="s">
        <v>58</v>
      </c>
      <c r="BD398" t="s">
        <v>58</v>
      </c>
      <c r="BE398" t="s">
        <v>58</v>
      </c>
      <c r="BF398" t="s">
        <v>58</v>
      </c>
      <c r="BG398" t="s">
        <v>58</v>
      </c>
    </row>
    <row r="399" spans="1:59" x14ac:dyDescent="0.3">
      <c r="A399" t="s">
        <v>58</v>
      </c>
      <c r="B399" t="s">
        <v>58</v>
      </c>
      <c r="C399" t="s">
        <v>58</v>
      </c>
      <c r="D399" t="s">
        <v>58</v>
      </c>
      <c r="E399" t="s">
        <v>58</v>
      </c>
      <c r="J399" t="s">
        <v>58</v>
      </c>
      <c r="K399" t="s">
        <v>58</v>
      </c>
      <c r="L399" t="s">
        <v>58</v>
      </c>
      <c r="M399" t="s">
        <v>58</v>
      </c>
      <c r="N399" t="s">
        <v>58</v>
      </c>
      <c r="R399" t="s">
        <v>58</v>
      </c>
      <c r="S399" t="s">
        <v>58</v>
      </c>
      <c r="T399" t="s">
        <v>58</v>
      </c>
      <c r="U399" t="s">
        <v>58</v>
      </c>
      <c r="V399" t="s">
        <v>58</v>
      </c>
      <c r="Z399" t="s">
        <v>58</v>
      </c>
      <c r="AA399" t="s">
        <v>58</v>
      </c>
      <c r="AB399" t="s">
        <v>58</v>
      </c>
      <c r="AC399" t="s">
        <v>58</v>
      </c>
      <c r="AD399" t="s">
        <v>58</v>
      </c>
      <c r="AG399" t="s">
        <v>58</v>
      </c>
      <c r="AH399" t="s">
        <v>58</v>
      </c>
      <c r="AI399" t="s">
        <v>58</v>
      </c>
      <c r="AJ399" t="s">
        <v>58</v>
      </c>
      <c r="AK399" t="s">
        <v>58</v>
      </c>
      <c r="AO399" t="s">
        <v>58</v>
      </c>
      <c r="AP399" t="s">
        <v>58</v>
      </c>
      <c r="AQ399" t="s">
        <v>58</v>
      </c>
      <c r="AR399" t="s">
        <v>58</v>
      </c>
      <c r="AS399" t="s">
        <v>58</v>
      </c>
      <c r="AV399" t="s">
        <v>58</v>
      </c>
      <c r="AW399" t="s">
        <v>58</v>
      </c>
      <c r="AX399" t="s">
        <v>58</v>
      </c>
      <c r="AY399" t="s">
        <v>58</v>
      </c>
      <c r="AZ399" t="s">
        <v>58</v>
      </c>
      <c r="BC399" t="s">
        <v>58</v>
      </c>
      <c r="BD399" t="s">
        <v>58</v>
      </c>
      <c r="BE399" t="s">
        <v>58</v>
      </c>
      <c r="BF399" t="s">
        <v>58</v>
      </c>
      <c r="BG399" t="s">
        <v>58</v>
      </c>
    </row>
    <row r="400" spans="1:59" x14ac:dyDescent="0.3">
      <c r="A400" t="s">
        <v>58</v>
      </c>
      <c r="B400" t="s">
        <v>58</v>
      </c>
      <c r="C400" t="s">
        <v>58</v>
      </c>
      <c r="D400" t="s">
        <v>58</v>
      </c>
      <c r="E400" t="s">
        <v>58</v>
      </c>
      <c r="J400" t="s">
        <v>58</v>
      </c>
      <c r="K400" t="s">
        <v>58</v>
      </c>
      <c r="L400" t="s">
        <v>58</v>
      </c>
      <c r="M400" t="s">
        <v>58</v>
      </c>
      <c r="N400" t="s">
        <v>58</v>
      </c>
      <c r="R400" t="s">
        <v>58</v>
      </c>
      <c r="S400" t="s">
        <v>58</v>
      </c>
      <c r="T400" t="s">
        <v>58</v>
      </c>
      <c r="U400" t="s">
        <v>58</v>
      </c>
      <c r="V400" t="s">
        <v>58</v>
      </c>
      <c r="Z400" t="s">
        <v>58</v>
      </c>
      <c r="AA400" t="s">
        <v>58</v>
      </c>
      <c r="AB400" t="s">
        <v>58</v>
      </c>
      <c r="AC400" t="s">
        <v>58</v>
      </c>
      <c r="AD400" t="s">
        <v>58</v>
      </c>
      <c r="AG400" t="s">
        <v>58</v>
      </c>
      <c r="AH400" t="s">
        <v>58</v>
      </c>
      <c r="AI400" t="s">
        <v>58</v>
      </c>
      <c r="AJ400" t="s">
        <v>58</v>
      </c>
      <c r="AK400" t="s">
        <v>58</v>
      </c>
      <c r="AO400" t="s">
        <v>58</v>
      </c>
      <c r="AP400" t="s">
        <v>58</v>
      </c>
      <c r="AQ400" t="s">
        <v>58</v>
      </c>
      <c r="AR400" t="s">
        <v>58</v>
      </c>
      <c r="AS400" t="s">
        <v>58</v>
      </c>
      <c r="AV400" t="s">
        <v>58</v>
      </c>
      <c r="AW400" t="s">
        <v>58</v>
      </c>
      <c r="AX400" t="s">
        <v>58</v>
      </c>
      <c r="AY400" t="s">
        <v>58</v>
      </c>
      <c r="AZ400" t="s">
        <v>58</v>
      </c>
      <c r="BC400" t="s">
        <v>58</v>
      </c>
      <c r="BD400" t="s">
        <v>58</v>
      </c>
      <c r="BE400" t="s">
        <v>58</v>
      </c>
      <c r="BF400" t="s">
        <v>58</v>
      </c>
      <c r="BG400" t="s">
        <v>58</v>
      </c>
    </row>
    <row r="401" spans="1:59" x14ac:dyDescent="0.3">
      <c r="A401" t="s">
        <v>58</v>
      </c>
      <c r="B401" t="s">
        <v>58</v>
      </c>
      <c r="C401" t="s">
        <v>58</v>
      </c>
      <c r="D401" t="s">
        <v>58</v>
      </c>
      <c r="E401" t="s">
        <v>58</v>
      </c>
      <c r="J401" t="s">
        <v>58</v>
      </c>
      <c r="K401" t="s">
        <v>58</v>
      </c>
      <c r="L401" t="s">
        <v>58</v>
      </c>
      <c r="M401" t="s">
        <v>58</v>
      </c>
      <c r="N401" t="s">
        <v>58</v>
      </c>
      <c r="R401" t="s">
        <v>58</v>
      </c>
      <c r="S401" t="s">
        <v>58</v>
      </c>
      <c r="T401" t="s">
        <v>58</v>
      </c>
      <c r="U401" t="s">
        <v>58</v>
      </c>
      <c r="V401" t="s">
        <v>58</v>
      </c>
      <c r="Z401" t="s">
        <v>58</v>
      </c>
      <c r="AA401" t="s">
        <v>58</v>
      </c>
      <c r="AB401" t="s">
        <v>58</v>
      </c>
      <c r="AC401" t="s">
        <v>58</v>
      </c>
      <c r="AD401" t="s">
        <v>58</v>
      </c>
      <c r="AG401" t="s">
        <v>58</v>
      </c>
      <c r="AH401" t="s">
        <v>58</v>
      </c>
      <c r="AI401" t="s">
        <v>58</v>
      </c>
      <c r="AJ401" t="s">
        <v>58</v>
      </c>
      <c r="AK401" t="s">
        <v>58</v>
      </c>
      <c r="AO401" t="s">
        <v>58</v>
      </c>
      <c r="AP401" t="s">
        <v>58</v>
      </c>
      <c r="AQ401" t="s">
        <v>58</v>
      </c>
      <c r="AR401" t="s">
        <v>58</v>
      </c>
      <c r="AS401" t="s">
        <v>58</v>
      </c>
      <c r="AV401" t="s">
        <v>58</v>
      </c>
      <c r="AW401" t="s">
        <v>58</v>
      </c>
      <c r="AX401" t="s">
        <v>58</v>
      </c>
      <c r="AY401" t="s">
        <v>58</v>
      </c>
      <c r="AZ401" t="s">
        <v>58</v>
      </c>
      <c r="BC401" t="s">
        <v>58</v>
      </c>
      <c r="BD401" t="s">
        <v>58</v>
      </c>
      <c r="BE401" t="s">
        <v>58</v>
      </c>
      <c r="BF401" t="s">
        <v>58</v>
      </c>
      <c r="BG401" t="s">
        <v>58</v>
      </c>
    </row>
    <row r="402" spans="1:59" x14ac:dyDescent="0.3">
      <c r="A402" t="s">
        <v>58</v>
      </c>
      <c r="B402" t="s">
        <v>58</v>
      </c>
      <c r="C402" t="s">
        <v>58</v>
      </c>
      <c r="D402" t="s">
        <v>58</v>
      </c>
      <c r="E402" t="s">
        <v>58</v>
      </c>
      <c r="J402" t="s">
        <v>58</v>
      </c>
      <c r="K402" t="s">
        <v>58</v>
      </c>
      <c r="L402" t="s">
        <v>58</v>
      </c>
      <c r="M402" t="s">
        <v>58</v>
      </c>
      <c r="N402" t="s">
        <v>58</v>
      </c>
      <c r="R402" t="s">
        <v>58</v>
      </c>
      <c r="S402" t="s">
        <v>58</v>
      </c>
      <c r="T402" t="s">
        <v>58</v>
      </c>
      <c r="U402" t="s">
        <v>58</v>
      </c>
      <c r="V402" t="s">
        <v>58</v>
      </c>
      <c r="Z402" t="s">
        <v>58</v>
      </c>
      <c r="AA402" t="s">
        <v>58</v>
      </c>
      <c r="AB402" t="s">
        <v>58</v>
      </c>
      <c r="AC402" t="s">
        <v>58</v>
      </c>
      <c r="AD402" t="s">
        <v>58</v>
      </c>
      <c r="AG402" t="s">
        <v>58</v>
      </c>
      <c r="AH402" t="s">
        <v>58</v>
      </c>
      <c r="AI402" t="s">
        <v>58</v>
      </c>
      <c r="AJ402" t="s">
        <v>58</v>
      </c>
      <c r="AK402" t="s">
        <v>58</v>
      </c>
      <c r="AO402" t="s">
        <v>58</v>
      </c>
      <c r="AP402" t="s">
        <v>58</v>
      </c>
      <c r="AQ402" t="s">
        <v>58</v>
      </c>
      <c r="AR402" t="s">
        <v>58</v>
      </c>
      <c r="AS402" t="s">
        <v>58</v>
      </c>
      <c r="AV402" t="s">
        <v>58</v>
      </c>
      <c r="AW402" t="s">
        <v>58</v>
      </c>
      <c r="AX402" t="s">
        <v>58</v>
      </c>
      <c r="AY402" t="s">
        <v>58</v>
      </c>
      <c r="AZ402" t="s">
        <v>58</v>
      </c>
      <c r="BC402" t="s">
        <v>58</v>
      </c>
      <c r="BD402" t="s">
        <v>58</v>
      </c>
      <c r="BE402" t="s">
        <v>58</v>
      </c>
      <c r="BF402" t="s">
        <v>58</v>
      </c>
      <c r="BG402" t="s">
        <v>58</v>
      </c>
    </row>
    <row r="403" spans="1:59" x14ac:dyDescent="0.3">
      <c r="A403" t="s">
        <v>58</v>
      </c>
      <c r="B403" t="s">
        <v>58</v>
      </c>
      <c r="C403" t="s">
        <v>58</v>
      </c>
      <c r="D403" t="s">
        <v>58</v>
      </c>
      <c r="E403" t="s">
        <v>58</v>
      </c>
      <c r="J403" t="s">
        <v>58</v>
      </c>
      <c r="K403" t="s">
        <v>58</v>
      </c>
      <c r="L403" t="s">
        <v>58</v>
      </c>
      <c r="M403" t="s">
        <v>58</v>
      </c>
      <c r="N403" t="s">
        <v>58</v>
      </c>
      <c r="R403" t="s">
        <v>58</v>
      </c>
      <c r="S403" t="s">
        <v>58</v>
      </c>
      <c r="T403" t="s">
        <v>58</v>
      </c>
      <c r="U403" t="s">
        <v>58</v>
      </c>
      <c r="V403" t="s">
        <v>58</v>
      </c>
      <c r="Z403" t="s">
        <v>58</v>
      </c>
      <c r="AA403" t="s">
        <v>58</v>
      </c>
      <c r="AB403" t="s">
        <v>58</v>
      </c>
      <c r="AC403" t="s">
        <v>58</v>
      </c>
      <c r="AD403" t="s">
        <v>58</v>
      </c>
      <c r="AG403" t="s">
        <v>58</v>
      </c>
      <c r="AH403" t="s">
        <v>58</v>
      </c>
      <c r="AI403" t="s">
        <v>58</v>
      </c>
      <c r="AJ403" t="s">
        <v>58</v>
      </c>
      <c r="AK403" t="s">
        <v>58</v>
      </c>
      <c r="AO403" t="s">
        <v>58</v>
      </c>
      <c r="AP403" t="s">
        <v>58</v>
      </c>
      <c r="AQ403" t="s">
        <v>58</v>
      </c>
      <c r="AR403" t="s">
        <v>58</v>
      </c>
      <c r="AS403" t="s">
        <v>58</v>
      </c>
      <c r="AV403" t="s">
        <v>58</v>
      </c>
      <c r="AW403" t="s">
        <v>58</v>
      </c>
      <c r="AX403" t="s">
        <v>58</v>
      </c>
      <c r="AY403" t="s">
        <v>58</v>
      </c>
      <c r="AZ403" t="s">
        <v>58</v>
      </c>
      <c r="BC403" t="s">
        <v>58</v>
      </c>
      <c r="BD403" t="s">
        <v>58</v>
      </c>
      <c r="BE403" t="s">
        <v>58</v>
      </c>
      <c r="BF403" t="s">
        <v>58</v>
      </c>
      <c r="BG403" t="s">
        <v>58</v>
      </c>
    </row>
    <row r="404" spans="1:59" x14ac:dyDescent="0.3">
      <c r="A404" t="s">
        <v>58</v>
      </c>
      <c r="B404" t="s">
        <v>58</v>
      </c>
      <c r="C404" t="s">
        <v>58</v>
      </c>
      <c r="D404" t="s">
        <v>58</v>
      </c>
      <c r="E404" t="s">
        <v>58</v>
      </c>
      <c r="J404" t="s">
        <v>58</v>
      </c>
      <c r="K404" t="s">
        <v>58</v>
      </c>
      <c r="L404" t="s">
        <v>58</v>
      </c>
      <c r="M404" t="s">
        <v>58</v>
      </c>
      <c r="N404" t="s">
        <v>58</v>
      </c>
      <c r="R404" t="s">
        <v>58</v>
      </c>
      <c r="S404" t="s">
        <v>58</v>
      </c>
      <c r="T404" t="s">
        <v>58</v>
      </c>
      <c r="U404" t="s">
        <v>58</v>
      </c>
      <c r="V404" t="s">
        <v>58</v>
      </c>
      <c r="Z404" t="s">
        <v>58</v>
      </c>
      <c r="AA404" t="s">
        <v>58</v>
      </c>
      <c r="AB404" t="s">
        <v>58</v>
      </c>
      <c r="AC404" t="s">
        <v>58</v>
      </c>
      <c r="AD404" t="s">
        <v>58</v>
      </c>
      <c r="AG404" t="s">
        <v>58</v>
      </c>
      <c r="AH404" t="s">
        <v>58</v>
      </c>
      <c r="AI404" t="s">
        <v>58</v>
      </c>
      <c r="AJ404" t="s">
        <v>58</v>
      </c>
      <c r="AK404" t="s">
        <v>58</v>
      </c>
      <c r="AO404" t="s">
        <v>58</v>
      </c>
      <c r="AP404" t="s">
        <v>58</v>
      </c>
      <c r="AQ404" t="s">
        <v>58</v>
      </c>
      <c r="AR404" t="s">
        <v>58</v>
      </c>
      <c r="AS404" t="s">
        <v>58</v>
      </c>
      <c r="AV404" t="s">
        <v>58</v>
      </c>
      <c r="AW404" t="s">
        <v>58</v>
      </c>
      <c r="AX404" t="s">
        <v>58</v>
      </c>
      <c r="AY404" t="s">
        <v>58</v>
      </c>
      <c r="AZ404" t="s">
        <v>58</v>
      </c>
      <c r="BC404" t="s">
        <v>58</v>
      </c>
      <c r="BD404" t="s">
        <v>58</v>
      </c>
      <c r="BE404" t="s">
        <v>58</v>
      </c>
      <c r="BF404" t="s">
        <v>58</v>
      </c>
      <c r="BG404" t="s">
        <v>58</v>
      </c>
    </row>
    <row r="405" spans="1:59" x14ac:dyDescent="0.3">
      <c r="A405" t="s">
        <v>58</v>
      </c>
      <c r="B405" t="s">
        <v>58</v>
      </c>
      <c r="C405" t="s">
        <v>58</v>
      </c>
      <c r="D405" t="s">
        <v>58</v>
      </c>
      <c r="E405" t="s">
        <v>58</v>
      </c>
      <c r="J405" t="s">
        <v>58</v>
      </c>
      <c r="K405" t="s">
        <v>58</v>
      </c>
      <c r="L405" t="s">
        <v>58</v>
      </c>
      <c r="M405" t="s">
        <v>58</v>
      </c>
      <c r="N405" t="s">
        <v>58</v>
      </c>
      <c r="R405" t="s">
        <v>58</v>
      </c>
      <c r="S405" t="s">
        <v>58</v>
      </c>
      <c r="T405" t="s">
        <v>58</v>
      </c>
      <c r="U405" t="s">
        <v>58</v>
      </c>
      <c r="V405" t="s">
        <v>58</v>
      </c>
      <c r="Z405" t="s">
        <v>58</v>
      </c>
      <c r="AA405" t="s">
        <v>58</v>
      </c>
      <c r="AB405" t="s">
        <v>58</v>
      </c>
      <c r="AC405" t="s">
        <v>58</v>
      </c>
      <c r="AD405" t="s">
        <v>58</v>
      </c>
      <c r="AG405" t="s">
        <v>58</v>
      </c>
      <c r="AH405" t="s">
        <v>58</v>
      </c>
      <c r="AI405" t="s">
        <v>58</v>
      </c>
      <c r="AJ405" t="s">
        <v>58</v>
      </c>
      <c r="AK405" t="s">
        <v>58</v>
      </c>
      <c r="AO405" t="s">
        <v>58</v>
      </c>
      <c r="AP405" t="s">
        <v>58</v>
      </c>
      <c r="AQ405" t="s">
        <v>58</v>
      </c>
      <c r="AR405" t="s">
        <v>58</v>
      </c>
      <c r="AS405" t="s">
        <v>58</v>
      </c>
      <c r="AV405" t="s">
        <v>58</v>
      </c>
      <c r="AW405" t="s">
        <v>58</v>
      </c>
      <c r="AX405" t="s">
        <v>58</v>
      </c>
      <c r="AY405" t="s">
        <v>58</v>
      </c>
      <c r="AZ405" t="s">
        <v>58</v>
      </c>
      <c r="BC405" t="s">
        <v>58</v>
      </c>
      <c r="BD405" t="s">
        <v>58</v>
      </c>
      <c r="BE405" t="s">
        <v>58</v>
      </c>
      <c r="BF405" t="s">
        <v>58</v>
      </c>
      <c r="BG405" t="s">
        <v>58</v>
      </c>
    </row>
    <row r="406" spans="1:59" x14ac:dyDescent="0.3">
      <c r="A406" t="s">
        <v>58</v>
      </c>
      <c r="B406" t="s">
        <v>58</v>
      </c>
      <c r="C406" t="s">
        <v>58</v>
      </c>
      <c r="D406" t="s">
        <v>58</v>
      </c>
      <c r="E406" t="s">
        <v>58</v>
      </c>
      <c r="J406" t="s">
        <v>58</v>
      </c>
      <c r="K406" t="s">
        <v>58</v>
      </c>
      <c r="L406" t="s">
        <v>58</v>
      </c>
      <c r="M406" t="s">
        <v>58</v>
      </c>
      <c r="N406" t="s">
        <v>58</v>
      </c>
      <c r="R406" t="s">
        <v>58</v>
      </c>
      <c r="S406" t="s">
        <v>58</v>
      </c>
      <c r="T406" t="s">
        <v>58</v>
      </c>
      <c r="U406" t="s">
        <v>58</v>
      </c>
      <c r="V406" t="s">
        <v>58</v>
      </c>
      <c r="Z406" t="s">
        <v>58</v>
      </c>
      <c r="AA406" t="s">
        <v>58</v>
      </c>
      <c r="AB406" t="s">
        <v>58</v>
      </c>
      <c r="AC406" t="s">
        <v>58</v>
      </c>
      <c r="AD406" t="s">
        <v>58</v>
      </c>
      <c r="AG406" t="s">
        <v>58</v>
      </c>
      <c r="AH406" t="s">
        <v>58</v>
      </c>
      <c r="AI406" t="s">
        <v>58</v>
      </c>
      <c r="AJ406" t="s">
        <v>58</v>
      </c>
      <c r="AK406" t="s">
        <v>58</v>
      </c>
      <c r="AO406" t="s">
        <v>58</v>
      </c>
      <c r="AP406" t="s">
        <v>58</v>
      </c>
      <c r="AQ406" t="s">
        <v>58</v>
      </c>
      <c r="AR406" t="s">
        <v>58</v>
      </c>
      <c r="AS406" t="s">
        <v>58</v>
      </c>
      <c r="AV406" t="s">
        <v>58</v>
      </c>
      <c r="AW406" t="s">
        <v>58</v>
      </c>
      <c r="AX406" t="s">
        <v>58</v>
      </c>
      <c r="AY406" t="s">
        <v>58</v>
      </c>
      <c r="AZ406" t="s">
        <v>58</v>
      </c>
      <c r="BC406" t="s">
        <v>58</v>
      </c>
      <c r="BD406" t="s">
        <v>58</v>
      </c>
      <c r="BE406" t="s">
        <v>58</v>
      </c>
      <c r="BF406" t="s">
        <v>58</v>
      </c>
      <c r="BG406" t="s">
        <v>58</v>
      </c>
    </row>
    <row r="407" spans="1:59" x14ac:dyDescent="0.3">
      <c r="A407" t="s">
        <v>58</v>
      </c>
      <c r="B407" t="s">
        <v>58</v>
      </c>
      <c r="C407" t="s">
        <v>58</v>
      </c>
      <c r="D407" t="s">
        <v>58</v>
      </c>
      <c r="E407" t="s">
        <v>58</v>
      </c>
      <c r="J407" t="s">
        <v>58</v>
      </c>
      <c r="K407" t="s">
        <v>58</v>
      </c>
      <c r="L407" t="s">
        <v>58</v>
      </c>
      <c r="M407" t="s">
        <v>58</v>
      </c>
      <c r="N407" t="s">
        <v>58</v>
      </c>
      <c r="R407" t="s">
        <v>58</v>
      </c>
      <c r="S407" t="s">
        <v>58</v>
      </c>
      <c r="T407" t="s">
        <v>58</v>
      </c>
      <c r="U407" t="s">
        <v>58</v>
      </c>
      <c r="V407" t="s">
        <v>58</v>
      </c>
      <c r="Z407" t="s">
        <v>58</v>
      </c>
      <c r="AA407" t="s">
        <v>58</v>
      </c>
      <c r="AB407" t="s">
        <v>58</v>
      </c>
      <c r="AC407" t="s">
        <v>58</v>
      </c>
      <c r="AD407" t="s">
        <v>58</v>
      </c>
      <c r="AG407" t="s">
        <v>58</v>
      </c>
      <c r="AH407" t="s">
        <v>58</v>
      </c>
      <c r="AI407" t="s">
        <v>58</v>
      </c>
      <c r="AJ407" t="s">
        <v>58</v>
      </c>
      <c r="AK407" t="s">
        <v>58</v>
      </c>
      <c r="AO407" t="s">
        <v>58</v>
      </c>
      <c r="AP407" t="s">
        <v>58</v>
      </c>
      <c r="AQ407" t="s">
        <v>58</v>
      </c>
      <c r="AR407" t="s">
        <v>58</v>
      </c>
      <c r="AS407" t="s">
        <v>58</v>
      </c>
      <c r="AV407" t="s">
        <v>58</v>
      </c>
      <c r="AW407" t="s">
        <v>58</v>
      </c>
      <c r="AX407" t="s">
        <v>58</v>
      </c>
      <c r="AY407" t="s">
        <v>58</v>
      </c>
      <c r="AZ407" t="s">
        <v>58</v>
      </c>
      <c r="BC407" t="s">
        <v>58</v>
      </c>
      <c r="BD407" t="s">
        <v>58</v>
      </c>
      <c r="BE407" t="s">
        <v>58</v>
      </c>
      <c r="BF407" t="s">
        <v>58</v>
      </c>
      <c r="BG407" t="s">
        <v>58</v>
      </c>
    </row>
    <row r="408" spans="1:59" x14ac:dyDescent="0.3">
      <c r="A408" t="s">
        <v>58</v>
      </c>
      <c r="B408" t="s">
        <v>58</v>
      </c>
      <c r="C408" t="s">
        <v>58</v>
      </c>
      <c r="D408" t="s">
        <v>58</v>
      </c>
      <c r="E408" t="s">
        <v>58</v>
      </c>
      <c r="J408" t="s">
        <v>58</v>
      </c>
      <c r="K408" t="s">
        <v>58</v>
      </c>
      <c r="L408" t="s">
        <v>58</v>
      </c>
      <c r="M408" t="s">
        <v>58</v>
      </c>
      <c r="N408" t="s">
        <v>58</v>
      </c>
      <c r="R408" t="s">
        <v>58</v>
      </c>
      <c r="S408" t="s">
        <v>58</v>
      </c>
      <c r="T408" t="s">
        <v>58</v>
      </c>
      <c r="U408" t="s">
        <v>58</v>
      </c>
      <c r="V408" t="s">
        <v>58</v>
      </c>
      <c r="Z408" t="s">
        <v>58</v>
      </c>
      <c r="AA408" t="s">
        <v>58</v>
      </c>
      <c r="AB408" t="s">
        <v>58</v>
      </c>
      <c r="AC408" t="s">
        <v>58</v>
      </c>
      <c r="AD408" t="s">
        <v>58</v>
      </c>
      <c r="AG408" t="s">
        <v>58</v>
      </c>
      <c r="AH408" t="s">
        <v>58</v>
      </c>
      <c r="AI408" t="s">
        <v>58</v>
      </c>
      <c r="AJ408" t="s">
        <v>58</v>
      </c>
      <c r="AK408" t="s">
        <v>58</v>
      </c>
      <c r="AO408" t="s">
        <v>58</v>
      </c>
      <c r="AP408" t="s">
        <v>58</v>
      </c>
      <c r="AQ408" t="s">
        <v>58</v>
      </c>
      <c r="AR408" t="s">
        <v>58</v>
      </c>
      <c r="AS408" t="s">
        <v>58</v>
      </c>
      <c r="AV408" t="s">
        <v>58</v>
      </c>
      <c r="AW408" t="s">
        <v>58</v>
      </c>
      <c r="AX408" t="s">
        <v>58</v>
      </c>
      <c r="AY408" t="s">
        <v>58</v>
      </c>
      <c r="AZ408" t="s">
        <v>58</v>
      </c>
      <c r="BC408" t="s">
        <v>58</v>
      </c>
      <c r="BD408" t="s">
        <v>58</v>
      </c>
      <c r="BE408" t="s">
        <v>58</v>
      </c>
      <c r="BF408" t="s">
        <v>58</v>
      </c>
      <c r="BG408" t="s">
        <v>58</v>
      </c>
    </row>
    <row r="409" spans="1:59" x14ac:dyDescent="0.3">
      <c r="A409" t="s">
        <v>58</v>
      </c>
      <c r="B409" t="s">
        <v>58</v>
      </c>
      <c r="C409" t="s">
        <v>58</v>
      </c>
      <c r="D409" t="s">
        <v>58</v>
      </c>
      <c r="E409" t="s">
        <v>58</v>
      </c>
      <c r="J409" t="s">
        <v>58</v>
      </c>
      <c r="K409" t="s">
        <v>58</v>
      </c>
      <c r="L409" t="s">
        <v>58</v>
      </c>
      <c r="M409" t="s">
        <v>58</v>
      </c>
      <c r="N409" t="s">
        <v>58</v>
      </c>
      <c r="R409" t="s">
        <v>58</v>
      </c>
      <c r="S409" t="s">
        <v>58</v>
      </c>
      <c r="T409" t="s">
        <v>58</v>
      </c>
      <c r="U409" t="s">
        <v>58</v>
      </c>
      <c r="V409" t="s">
        <v>58</v>
      </c>
      <c r="Z409" t="s">
        <v>58</v>
      </c>
      <c r="AA409" t="s">
        <v>58</v>
      </c>
      <c r="AB409" t="s">
        <v>58</v>
      </c>
      <c r="AC409" t="s">
        <v>58</v>
      </c>
      <c r="AD409" t="s">
        <v>58</v>
      </c>
      <c r="AG409" t="s">
        <v>58</v>
      </c>
      <c r="AH409" t="s">
        <v>58</v>
      </c>
      <c r="AI409" t="s">
        <v>58</v>
      </c>
      <c r="AJ409" t="s">
        <v>58</v>
      </c>
      <c r="AK409" t="s">
        <v>58</v>
      </c>
      <c r="AO409" t="s">
        <v>58</v>
      </c>
      <c r="AP409" t="s">
        <v>58</v>
      </c>
      <c r="AQ409" t="s">
        <v>58</v>
      </c>
      <c r="AR409" t="s">
        <v>58</v>
      </c>
      <c r="AS409" t="s">
        <v>58</v>
      </c>
      <c r="AV409" t="s">
        <v>58</v>
      </c>
      <c r="AW409" t="s">
        <v>58</v>
      </c>
      <c r="AX409" t="s">
        <v>58</v>
      </c>
      <c r="AY409" t="s">
        <v>58</v>
      </c>
      <c r="AZ409" t="s">
        <v>58</v>
      </c>
      <c r="BC409" t="s">
        <v>58</v>
      </c>
      <c r="BD409" t="s">
        <v>58</v>
      </c>
      <c r="BE409" t="s">
        <v>58</v>
      </c>
      <c r="BF409" t="s">
        <v>58</v>
      </c>
      <c r="BG409" t="s">
        <v>58</v>
      </c>
    </row>
    <row r="410" spans="1:59" x14ac:dyDescent="0.3">
      <c r="A410" t="s">
        <v>58</v>
      </c>
      <c r="B410" t="s">
        <v>58</v>
      </c>
      <c r="C410" t="s">
        <v>58</v>
      </c>
      <c r="D410" t="s">
        <v>58</v>
      </c>
      <c r="E410" t="s">
        <v>58</v>
      </c>
      <c r="J410" t="s">
        <v>58</v>
      </c>
      <c r="K410" t="s">
        <v>58</v>
      </c>
      <c r="L410" t="s">
        <v>58</v>
      </c>
      <c r="M410" t="s">
        <v>58</v>
      </c>
      <c r="N410" t="s">
        <v>58</v>
      </c>
      <c r="R410" t="s">
        <v>58</v>
      </c>
      <c r="S410" t="s">
        <v>58</v>
      </c>
      <c r="T410" t="s">
        <v>58</v>
      </c>
      <c r="U410" t="s">
        <v>58</v>
      </c>
      <c r="V410" t="s">
        <v>58</v>
      </c>
      <c r="Z410" t="s">
        <v>58</v>
      </c>
      <c r="AA410" t="s">
        <v>58</v>
      </c>
      <c r="AB410" t="s">
        <v>58</v>
      </c>
      <c r="AC410" t="s">
        <v>58</v>
      </c>
      <c r="AD410" t="s">
        <v>58</v>
      </c>
      <c r="AG410" t="s">
        <v>58</v>
      </c>
      <c r="AH410" t="s">
        <v>58</v>
      </c>
      <c r="AI410" t="s">
        <v>58</v>
      </c>
      <c r="AJ410" t="s">
        <v>58</v>
      </c>
      <c r="AK410" t="s">
        <v>58</v>
      </c>
      <c r="AO410" t="s">
        <v>58</v>
      </c>
      <c r="AP410" t="s">
        <v>58</v>
      </c>
      <c r="AQ410" t="s">
        <v>58</v>
      </c>
      <c r="AR410" t="s">
        <v>58</v>
      </c>
      <c r="AS410" t="s">
        <v>58</v>
      </c>
      <c r="AV410" t="s">
        <v>58</v>
      </c>
      <c r="AW410" t="s">
        <v>58</v>
      </c>
      <c r="AX410" t="s">
        <v>58</v>
      </c>
      <c r="AY410" t="s">
        <v>58</v>
      </c>
      <c r="AZ410" t="s">
        <v>58</v>
      </c>
      <c r="BC410" t="s">
        <v>58</v>
      </c>
      <c r="BD410" t="s">
        <v>58</v>
      </c>
      <c r="BE410" t="s">
        <v>58</v>
      </c>
      <c r="BF410" t="s">
        <v>58</v>
      </c>
      <c r="BG410" t="s">
        <v>58</v>
      </c>
    </row>
    <row r="411" spans="1:59" x14ac:dyDescent="0.3">
      <c r="A411" t="s">
        <v>58</v>
      </c>
      <c r="B411" t="s">
        <v>58</v>
      </c>
      <c r="C411" t="s">
        <v>58</v>
      </c>
      <c r="D411" t="s">
        <v>58</v>
      </c>
      <c r="E411" t="s">
        <v>58</v>
      </c>
      <c r="J411" t="s">
        <v>58</v>
      </c>
      <c r="K411" t="s">
        <v>58</v>
      </c>
      <c r="L411" t="s">
        <v>58</v>
      </c>
      <c r="M411" t="s">
        <v>58</v>
      </c>
      <c r="N411" t="s">
        <v>58</v>
      </c>
      <c r="R411" t="s">
        <v>58</v>
      </c>
      <c r="S411" t="s">
        <v>58</v>
      </c>
      <c r="T411" t="s">
        <v>58</v>
      </c>
      <c r="U411" t="s">
        <v>58</v>
      </c>
      <c r="V411" t="s">
        <v>58</v>
      </c>
      <c r="Z411" t="s">
        <v>58</v>
      </c>
      <c r="AA411" t="s">
        <v>58</v>
      </c>
      <c r="AB411" t="s">
        <v>58</v>
      </c>
      <c r="AC411" t="s">
        <v>58</v>
      </c>
      <c r="AD411" t="s">
        <v>58</v>
      </c>
      <c r="AG411" t="s">
        <v>58</v>
      </c>
      <c r="AH411" t="s">
        <v>58</v>
      </c>
      <c r="AI411" t="s">
        <v>58</v>
      </c>
      <c r="AJ411" t="s">
        <v>58</v>
      </c>
      <c r="AK411" t="s">
        <v>58</v>
      </c>
      <c r="AO411" t="s">
        <v>58</v>
      </c>
      <c r="AP411" t="s">
        <v>58</v>
      </c>
      <c r="AQ411" t="s">
        <v>58</v>
      </c>
      <c r="AR411" t="s">
        <v>58</v>
      </c>
      <c r="AS411" t="s">
        <v>58</v>
      </c>
      <c r="AV411" t="s">
        <v>58</v>
      </c>
      <c r="AW411" t="s">
        <v>58</v>
      </c>
      <c r="AX411" t="s">
        <v>58</v>
      </c>
      <c r="AY411" t="s">
        <v>58</v>
      </c>
      <c r="AZ411" t="s">
        <v>58</v>
      </c>
      <c r="BC411" t="s">
        <v>58</v>
      </c>
      <c r="BD411" t="s">
        <v>58</v>
      </c>
      <c r="BE411" t="s">
        <v>58</v>
      </c>
      <c r="BF411" t="s">
        <v>58</v>
      </c>
      <c r="BG411" t="s">
        <v>58</v>
      </c>
    </row>
    <row r="412" spans="1:59" x14ac:dyDescent="0.3">
      <c r="A412" t="s">
        <v>58</v>
      </c>
      <c r="B412" t="s">
        <v>58</v>
      </c>
      <c r="C412" t="s">
        <v>58</v>
      </c>
      <c r="D412" t="s">
        <v>58</v>
      </c>
      <c r="E412" t="s">
        <v>58</v>
      </c>
      <c r="J412" t="s">
        <v>58</v>
      </c>
      <c r="K412" t="s">
        <v>58</v>
      </c>
      <c r="L412" t="s">
        <v>58</v>
      </c>
      <c r="M412" t="s">
        <v>58</v>
      </c>
      <c r="N412" t="s">
        <v>58</v>
      </c>
      <c r="R412" t="s">
        <v>58</v>
      </c>
      <c r="S412" t="s">
        <v>58</v>
      </c>
      <c r="T412" t="s">
        <v>58</v>
      </c>
      <c r="U412" t="s">
        <v>58</v>
      </c>
      <c r="V412" t="s">
        <v>58</v>
      </c>
      <c r="Z412" t="s">
        <v>58</v>
      </c>
      <c r="AA412" t="s">
        <v>58</v>
      </c>
      <c r="AB412" t="s">
        <v>58</v>
      </c>
      <c r="AC412" t="s">
        <v>58</v>
      </c>
      <c r="AD412" t="s">
        <v>58</v>
      </c>
      <c r="AG412" t="s">
        <v>58</v>
      </c>
      <c r="AH412" t="s">
        <v>58</v>
      </c>
      <c r="AI412" t="s">
        <v>58</v>
      </c>
      <c r="AJ412" t="s">
        <v>58</v>
      </c>
      <c r="AK412" t="s">
        <v>58</v>
      </c>
      <c r="AO412" t="s">
        <v>58</v>
      </c>
      <c r="AP412" t="s">
        <v>58</v>
      </c>
      <c r="AQ412" t="s">
        <v>58</v>
      </c>
      <c r="AR412" t="s">
        <v>58</v>
      </c>
      <c r="AS412" t="s">
        <v>58</v>
      </c>
      <c r="AV412" t="s">
        <v>58</v>
      </c>
      <c r="AW412" t="s">
        <v>58</v>
      </c>
      <c r="AX412" t="s">
        <v>58</v>
      </c>
      <c r="AY412" t="s">
        <v>58</v>
      </c>
      <c r="AZ412" t="s">
        <v>58</v>
      </c>
      <c r="BC412" t="s">
        <v>58</v>
      </c>
      <c r="BD412" t="s">
        <v>58</v>
      </c>
      <c r="BE412" t="s">
        <v>58</v>
      </c>
      <c r="BF412" t="s">
        <v>58</v>
      </c>
      <c r="BG412" t="s">
        <v>58</v>
      </c>
    </row>
    <row r="413" spans="1:59" x14ac:dyDescent="0.3">
      <c r="A413" t="s">
        <v>58</v>
      </c>
      <c r="B413" t="s">
        <v>58</v>
      </c>
      <c r="C413" t="s">
        <v>58</v>
      </c>
      <c r="D413" t="s">
        <v>58</v>
      </c>
      <c r="E413" t="s">
        <v>58</v>
      </c>
      <c r="J413" t="s">
        <v>58</v>
      </c>
      <c r="K413" t="s">
        <v>58</v>
      </c>
      <c r="L413" t="s">
        <v>58</v>
      </c>
      <c r="M413" t="s">
        <v>58</v>
      </c>
      <c r="N413" t="s">
        <v>58</v>
      </c>
      <c r="R413" t="s">
        <v>58</v>
      </c>
      <c r="S413" t="s">
        <v>58</v>
      </c>
      <c r="T413" t="s">
        <v>58</v>
      </c>
      <c r="U413" t="s">
        <v>58</v>
      </c>
      <c r="V413" t="s">
        <v>58</v>
      </c>
      <c r="Z413" t="s">
        <v>58</v>
      </c>
      <c r="AA413" t="s">
        <v>58</v>
      </c>
      <c r="AB413" t="s">
        <v>58</v>
      </c>
      <c r="AC413" t="s">
        <v>58</v>
      </c>
      <c r="AD413" t="s">
        <v>58</v>
      </c>
      <c r="AG413" t="s">
        <v>58</v>
      </c>
      <c r="AH413" t="s">
        <v>58</v>
      </c>
      <c r="AI413" t="s">
        <v>58</v>
      </c>
      <c r="AJ413" t="s">
        <v>58</v>
      </c>
      <c r="AK413" t="s">
        <v>58</v>
      </c>
      <c r="AO413" t="s">
        <v>58</v>
      </c>
      <c r="AP413" t="s">
        <v>58</v>
      </c>
      <c r="AQ413" t="s">
        <v>58</v>
      </c>
      <c r="AR413" t="s">
        <v>58</v>
      </c>
      <c r="AS413" t="s">
        <v>58</v>
      </c>
      <c r="AV413" t="s">
        <v>58</v>
      </c>
      <c r="AW413" t="s">
        <v>58</v>
      </c>
      <c r="AX413" t="s">
        <v>58</v>
      </c>
      <c r="AY413" t="s">
        <v>58</v>
      </c>
      <c r="AZ413" t="s">
        <v>58</v>
      </c>
      <c r="BC413" t="s">
        <v>58</v>
      </c>
      <c r="BD413" t="s">
        <v>58</v>
      </c>
      <c r="BE413" t="s">
        <v>58</v>
      </c>
      <c r="BF413" t="s">
        <v>58</v>
      </c>
      <c r="BG413" t="s">
        <v>58</v>
      </c>
    </row>
    <row r="414" spans="1:59" x14ac:dyDescent="0.3">
      <c r="A414" t="s">
        <v>58</v>
      </c>
      <c r="B414" t="s">
        <v>58</v>
      </c>
      <c r="C414" t="s">
        <v>58</v>
      </c>
      <c r="D414" t="s">
        <v>58</v>
      </c>
      <c r="E414" t="s">
        <v>58</v>
      </c>
      <c r="J414" t="s">
        <v>58</v>
      </c>
      <c r="K414" t="s">
        <v>58</v>
      </c>
      <c r="L414" t="s">
        <v>58</v>
      </c>
      <c r="M414" t="s">
        <v>58</v>
      </c>
      <c r="N414" t="s">
        <v>58</v>
      </c>
      <c r="R414" t="s">
        <v>58</v>
      </c>
      <c r="S414" t="s">
        <v>58</v>
      </c>
      <c r="T414" t="s">
        <v>58</v>
      </c>
      <c r="U414" t="s">
        <v>58</v>
      </c>
      <c r="V414" t="s">
        <v>58</v>
      </c>
      <c r="Z414" t="s">
        <v>58</v>
      </c>
      <c r="AA414" t="s">
        <v>58</v>
      </c>
      <c r="AB414" t="s">
        <v>58</v>
      </c>
      <c r="AC414" t="s">
        <v>58</v>
      </c>
      <c r="AD414" t="s">
        <v>58</v>
      </c>
      <c r="AG414" t="s">
        <v>58</v>
      </c>
      <c r="AH414" t="s">
        <v>58</v>
      </c>
      <c r="AI414" t="s">
        <v>58</v>
      </c>
      <c r="AJ414" t="s">
        <v>58</v>
      </c>
      <c r="AK414" t="s">
        <v>58</v>
      </c>
      <c r="AO414" t="s">
        <v>58</v>
      </c>
      <c r="AP414" t="s">
        <v>58</v>
      </c>
      <c r="AQ414" t="s">
        <v>58</v>
      </c>
      <c r="AR414" t="s">
        <v>58</v>
      </c>
      <c r="AS414" t="s">
        <v>58</v>
      </c>
      <c r="AV414" t="s">
        <v>58</v>
      </c>
      <c r="AW414" t="s">
        <v>58</v>
      </c>
      <c r="AX414" t="s">
        <v>58</v>
      </c>
      <c r="AY414" t="s">
        <v>58</v>
      </c>
      <c r="AZ414" t="s">
        <v>58</v>
      </c>
      <c r="BC414" t="s">
        <v>58</v>
      </c>
      <c r="BD414" t="s">
        <v>58</v>
      </c>
      <c r="BE414" t="s">
        <v>58</v>
      </c>
      <c r="BF414" t="s">
        <v>58</v>
      </c>
      <c r="BG414" t="s">
        <v>58</v>
      </c>
    </row>
    <row r="415" spans="1:59" x14ac:dyDescent="0.3">
      <c r="A415" t="s">
        <v>58</v>
      </c>
      <c r="B415" t="s">
        <v>58</v>
      </c>
      <c r="C415" t="s">
        <v>58</v>
      </c>
      <c r="D415" t="s">
        <v>58</v>
      </c>
      <c r="E415" t="s">
        <v>58</v>
      </c>
      <c r="J415" t="s">
        <v>58</v>
      </c>
      <c r="K415" t="s">
        <v>58</v>
      </c>
      <c r="L415" t="s">
        <v>58</v>
      </c>
      <c r="M415" t="s">
        <v>58</v>
      </c>
      <c r="N415" t="s">
        <v>58</v>
      </c>
      <c r="R415" t="s">
        <v>58</v>
      </c>
      <c r="S415" t="s">
        <v>58</v>
      </c>
      <c r="T415" t="s">
        <v>58</v>
      </c>
      <c r="U415" t="s">
        <v>58</v>
      </c>
      <c r="V415" t="s">
        <v>58</v>
      </c>
      <c r="Z415" t="s">
        <v>58</v>
      </c>
      <c r="AA415" t="s">
        <v>58</v>
      </c>
      <c r="AB415" t="s">
        <v>58</v>
      </c>
      <c r="AC415" t="s">
        <v>58</v>
      </c>
      <c r="AD415" t="s">
        <v>58</v>
      </c>
      <c r="AG415" t="s">
        <v>58</v>
      </c>
      <c r="AH415" t="s">
        <v>58</v>
      </c>
      <c r="AI415" t="s">
        <v>58</v>
      </c>
      <c r="AJ415" t="s">
        <v>58</v>
      </c>
      <c r="AK415" t="s">
        <v>58</v>
      </c>
      <c r="AO415" t="s">
        <v>58</v>
      </c>
      <c r="AP415" t="s">
        <v>58</v>
      </c>
      <c r="AQ415" t="s">
        <v>58</v>
      </c>
      <c r="AR415" t="s">
        <v>58</v>
      </c>
      <c r="AS415" t="s">
        <v>58</v>
      </c>
      <c r="AV415" t="s">
        <v>58</v>
      </c>
      <c r="AW415" t="s">
        <v>58</v>
      </c>
      <c r="AX415" t="s">
        <v>58</v>
      </c>
      <c r="AY415" t="s">
        <v>58</v>
      </c>
      <c r="AZ415" t="s">
        <v>58</v>
      </c>
      <c r="BC415" t="s">
        <v>58</v>
      </c>
      <c r="BD415" t="s">
        <v>58</v>
      </c>
      <c r="BE415" t="s">
        <v>58</v>
      </c>
      <c r="BF415" t="s">
        <v>58</v>
      </c>
      <c r="BG415" t="s">
        <v>58</v>
      </c>
    </row>
    <row r="416" spans="1:59" x14ac:dyDescent="0.3">
      <c r="A416" t="s">
        <v>58</v>
      </c>
      <c r="B416" t="s">
        <v>58</v>
      </c>
      <c r="C416" t="s">
        <v>58</v>
      </c>
      <c r="D416" t="s">
        <v>58</v>
      </c>
      <c r="E416" t="s">
        <v>58</v>
      </c>
      <c r="J416" t="s">
        <v>58</v>
      </c>
      <c r="K416" t="s">
        <v>58</v>
      </c>
      <c r="L416" t="s">
        <v>58</v>
      </c>
      <c r="M416" t="s">
        <v>58</v>
      </c>
      <c r="N416" t="s">
        <v>58</v>
      </c>
      <c r="R416" t="s">
        <v>58</v>
      </c>
      <c r="S416" t="s">
        <v>58</v>
      </c>
      <c r="T416" t="s">
        <v>58</v>
      </c>
      <c r="U416" t="s">
        <v>58</v>
      </c>
      <c r="V416" t="s">
        <v>58</v>
      </c>
      <c r="Z416" t="s">
        <v>58</v>
      </c>
      <c r="AA416" t="s">
        <v>58</v>
      </c>
      <c r="AB416" t="s">
        <v>58</v>
      </c>
      <c r="AC416" t="s">
        <v>58</v>
      </c>
      <c r="AD416" t="s">
        <v>58</v>
      </c>
      <c r="AG416" t="s">
        <v>58</v>
      </c>
      <c r="AH416" t="s">
        <v>58</v>
      </c>
      <c r="AI416" t="s">
        <v>58</v>
      </c>
      <c r="AJ416" t="s">
        <v>58</v>
      </c>
      <c r="AK416" t="s">
        <v>58</v>
      </c>
      <c r="AO416" t="s">
        <v>58</v>
      </c>
      <c r="AP416" t="s">
        <v>58</v>
      </c>
      <c r="AQ416" t="s">
        <v>58</v>
      </c>
      <c r="AR416" t="s">
        <v>58</v>
      </c>
      <c r="AS416" t="s">
        <v>58</v>
      </c>
      <c r="AV416" t="s">
        <v>58</v>
      </c>
      <c r="AW416" t="s">
        <v>58</v>
      </c>
      <c r="AX416" t="s">
        <v>58</v>
      </c>
      <c r="AY416" t="s">
        <v>58</v>
      </c>
      <c r="AZ416" t="s">
        <v>58</v>
      </c>
      <c r="BC416" t="s">
        <v>58</v>
      </c>
      <c r="BD416" t="s">
        <v>58</v>
      </c>
      <c r="BE416" t="s">
        <v>58</v>
      </c>
      <c r="BF416" t="s">
        <v>58</v>
      </c>
      <c r="BG416" t="s">
        <v>58</v>
      </c>
    </row>
    <row r="417" spans="1:59" x14ac:dyDescent="0.3">
      <c r="A417" t="s">
        <v>58</v>
      </c>
      <c r="B417" t="s">
        <v>58</v>
      </c>
      <c r="C417" t="s">
        <v>58</v>
      </c>
      <c r="D417" t="s">
        <v>58</v>
      </c>
      <c r="E417" t="s">
        <v>58</v>
      </c>
      <c r="J417" t="s">
        <v>58</v>
      </c>
      <c r="K417" t="s">
        <v>58</v>
      </c>
      <c r="L417" t="s">
        <v>58</v>
      </c>
      <c r="M417" t="s">
        <v>58</v>
      </c>
      <c r="N417" t="s">
        <v>58</v>
      </c>
      <c r="R417" t="s">
        <v>58</v>
      </c>
      <c r="S417" t="s">
        <v>58</v>
      </c>
      <c r="T417" t="s">
        <v>58</v>
      </c>
      <c r="U417" t="s">
        <v>58</v>
      </c>
      <c r="V417" t="s">
        <v>58</v>
      </c>
      <c r="Z417" t="s">
        <v>58</v>
      </c>
      <c r="AA417" t="s">
        <v>58</v>
      </c>
      <c r="AB417" t="s">
        <v>58</v>
      </c>
      <c r="AC417" t="s">
        <v>58</v>
      </c>
      <c r="AD417" t="s">
        <v>58</v>
      </c>
      <c r="AG417" t="s">
        <v>58</v>
      </c>
      <c r="AH417" t="s">
        <v>58</v>
      </c>
      <c r="AI417" t="s">
        <v>58</v>
      </c>
      <c r="AJ417" t="s">
        <v>58</v>
      </c>
      <c r="AK417" t="s">
        <v>58</v>
      </c>
      <c r="AO417" t="s">
        <v>58</v>
      </c>
      <c r="AP417" t="s">
        <v>58</v>
      </c>
      <c r="AQ417" t="s">
        <v>58</v>
      </c>
      <c r="AR417" t="s">
        <v>58</v>
      </c>
      <c r="AS417" t="s">
        <v>58</v>
      </c>
      <c r="AV417" t="s">
        <v>58</v>
      </c>
      <c r="AW417" t="s">
        <v>58</v>
      </c>
      <c r="AX417" t="s">
        <v>58</v>
      </c>
      <c r="AY417" t="s">
        <v>58</v>
      </c>
      <c r="AZ417" t="s">
        <v>58</v>
      </c>
      <c r="BC417" t="s">
        <v>58</v>
      </c>
      <c r="BD417" t="s">
        <v>58</v>
      </c>
      <c r="BE417" t="s">
        <v>58</v>
      </c>
      <c r="BF417" t="s">
        <v>58</v>
      </c>
      <c r="BG417" t="s">
        <v>58</v>
      </c>
    </row>
    <row r="418" spans="1:59" x14ac:dyDescent="0.3">
      <c r="A418" t="s">
        <v>58</v>
      </c>
      <c r="B418" t="s">
        <v>58</v>
      </c>
      <c r="C418" t="s">
        <v>58</v>
      </c>
      <c r="D418" t="s">
        <v>58</v>
      </c>
      <c r="E418" t="s">
        <v>58</v>
      </c>
      <c r="J418" t="s">
        <v>58</v>
      </c>
      <c r="K418" t="s">
        <v>58</v>
      </c>
      <c r="L418" t="s">
        <v>58</v>
      </c>
      <c r="M418" t="s">
        <v>58</v>
      </c>
      <c r="N418" t="s">
        <v>58</v>
      </c>
      <c r="R418" t="s">
        <v>58</v>
      </c>
      <c r="S418" t="s">
        <v>58</v>
      </c>
      <c r="T418" t="s">
        <v>58</v>
      </c>
      <c r="U418" t="s">
        <v>58</v>
      </c>
      <c r="V418" t="s">
        <v>58</v>
      </c>
      <c r="Z418" t="s">
        <v>58</v>
      </c>
      <c r="AA418" t="s">
        <v>58</v>
      </c>
      <c r="AB418" t="s">
        <v>58</v>
      </c>
      <c r="AC418" t="s">
        <v>58</v>
      </c>
      <c r="AD418" t="s">
        <v>58</v>
      </c>
      <c r="AG418" t="s">
        <v>58</v>
      </c>
      <c r="AH418" t="s">
        <v>58</v>
      </c>
      <c r="AI418" t="s">
        <v>58</v>
      </c>
      <c r="AJ418" t="s">
        <v>58</v>
      </c>
      <c r="AK418" t="s">
        <v>58</v>
      </c>
      <c r="AO418" t="s">
        <v>58</v>
      </c>
      <c r="AP418" t="s">
        <v>58</v>
      </c>
      <c r="AQ418" t="s">
        <v>58</v>
      </c>
      <c r="AR418" t="s">
        <v>58</v>
      </c>
      <c r="AS418" t="s">
        <v>58</v>
      </c>
      <c r="AV418" t="s">
        <v>58</v>
      </c>
      <c r="AW418" t="s">
        <v>58</v>
      </c>
      <c r="AX418" t="s">
        <v>58</v>
      </c>
      <c r="AY418" t="s">
        <v>58</v>
      </c>
      <c r="AZ418" t="s">
        <v>58</v>
      </c>
      <c r="BC418" t="s">
        <v>58</v>
      </c>
      <c r="BD418" t="s">
        <v>58</v>
      </c>
      <c r="BE418" t="s">
        <v>58</v>
      </c>
      <c r="BF418" t="s">
        <v>58</v>
      </c>
      <c r="BG418" t="s">
        <v>58</v>
      </c>
    </row>
    <row r="419" spans="1:59" x14ac:dyDescent="0.3">
      <c r="A419" t="s">
        <v>58</v>
      </c>
      <c r="B419" t="s">
        <v>58</v>
      </c>
      <c r="C419" t="s">
        <v>58</v>
      </c>
      <c r="D419" t="s">
        <v>58</v>
      </c>
      <c r="E419" t="s">
        <v>58</v>
      </c>
      <c r="J419" t="s">
        <v>58</v>
      </c>
      <c r="K419" t="s">
        <v>58</v>
      </c>
      <c r="L419" t="s">
        <v>58</v>
      </c>
      <c r="M419" t="s">
        <v>58</v>
      </c>
      <c r="N419" t="s">
        <v>58</v>
      </c>
      <c r="R419" t="s">
        <v>58</v>
      </c>
      <c r="S419" t="s">
        <v>58</v>
      </c>
      <c r="T419" t="s">
        <v>58</v>
      </c>
      <c r="U419" t="s">
        <v>58</v>
      </c>
      <c r="V419" t="s">
        <v>58</v>
      </c>
      <c r="Z419" t="s">
        <v>58</v>
      </c>
      <c r="AA419" t="s">
        <v>58</v>
      </c>
      <c r="AB419" t="s">
        <v>58</v>
      </c>
      <c r="AC419" t="s">
        <v>58</v>
      </c>
      <c r="AD419" t="s">
        <v>58</v>
      </c>
      <c r="AG419" t="s">
        <v>58</v>
      </c>
      <c r="AH419" t="s">
        <v>58</v>
      </c>
      <c r="AI419" t="s">
        <v>58</v>
      </c>
      <c r="AJ419" t="s">
        <v>58</v>
      </c>
      <c r="AK419" t="s">
        <v>58</v>
      </c>
      <c r="AO419" t="s">
        <v>58</v>
      </c>
      <c r="AP419" t="s">
        <v>58</v>
      </c>
      <c r="AQ419" t="s">
        <v>58</v>
      </c>
      <c r="AR419" t="s">
        <v>58</v>
      </c>
      <c r="AS419" t="s">
        <v>58</v>
      </c>
      <c r="AV419" t="s">
        <v>58</v>
      </c>
      <c r="AW419" t="s">
        <v>58</v>
      </c>
      <c r="AX419" t="s">
        <v>58</v>
      </c>
      <c r="AY419" t="s">
        <v>58</v>
      </c>
      <c r="AZ419" t="s">
        <v>58</v>
      </c>
      <c r="BC419" t="s">
        <v>58</v>
      </c>
      <c r="BD419" t="s">
        <v>58</v>
      </c>
      <c r="BE419" t="s">
        <v>58</v>
      </c>
      <c r="BF419" t="s">
        <v>58</v>
      </c>
      <c r="BG419" t="s">
        <v>58</v>
      </c>
    </row>
    <row r="420" spans="1:59" x14ac:dyDescent="0.3">
      <c r="A420" t="s">
        <v>58</v>
      </c>
      <c r="B420" t="s">
        <v>58</v>
      </c>
      <c r="C420" t="s">
        <v>58</v>
      </c>
      <c r="D420" t="s">
        <v>58</v>
      </c>
      <c r="E420" t="s">
        <v>58</v>
      </c>
      <c r="J420" t="s">
        <v>58</v>
      </c>
      <c r="K420" t="s">
        <v>58</v>
      </c>
      <c r="L420" t="s">
        <v>58</v>
      </c>
      <c r="M420" t="s">
        <v>58</v>
      </c>
      <c r="N420" t="s">
        <v>58</v>
      </c>
      <c r="R420" t="s">
        <v>58</v>
      </c>
      <c r="S420" t="s">
        <v>58</v>
      </c>
      <c r="T420" t="s">
        <v>58</v>
      </c>
      <c r="U420" t="s">
        <v>58</v>
      </c>
      <c r="V420" t="s">
        <v>58</v>
      </c>
      <c r="Z420" t="s">
        <v>58</v>
      </c>
      <c r="AA420" t="s">
        <v>58</v>
      </c>
      <c r="AB420" t="s">
        <v>58</v>
      </c>
      <c r="AC420" t="s">
        <v>58</v>
      </c>
      <c r="AD420" t="s">
        <v>58</v>
      </c>
      <c r="AG420" t="s">
        <v>58</v>
      </c>
      <c r="AH420" t="s">
        <v>58</v>
      </c>
      <c r="AI420" t="s">
        <v>58</v>
      </c>
      <c r="AJ420" t="s">
        <v>58</v>
      </c>
      <c r="AK420" t="s">
        <v>58</v>
      </c>
      <c r="AO420" t="s">
        <v>58</v>
      </c>
      <c r="AP420" t="s">
        <v>58</v>
      </c>
      <c r="AQ420" t="s">
        <v>58</v>
      </c>
      <c r="AR420" t="s">
        <v>58</v>
      </c>
      <c r="AS420" t="s">
        <v>58</v>
      </c>
      <c r="AV420" t="s">
        <v>58</v>
      </c>
      <c r="AW420" t="s">
        <v>58</v>
      </c>
      <c r="AX420" t="s">
        <v>58</v>
      </c>
      <c r="AY420" t="s">
        <v>58</v>
      </c>
      <c r="AZ420" t="s">
        <v>58</v>
      </c>
      <c r="BC420" t="s">
        <v>58</v>
      </c>
      <c r="BD420" t="s">
        <v>58</v>
      </c>
      <c r="BE420" t="s">
        <v>58</v>
      </c>
      <c r="BF420" t="s">
        <v>58</v>
      </c>
      <c r="BG420" t="s">
        <v>58</v>
      </c>
    </row>
    <row r="421" spans="1:59" x14ac:dyDescent="0.3">
      <c r="A421" t="s">
        <v>58</v>
      </c>
      <c r="B421" t="s">
        <v>58</v>
      </c>
      <c r="C421" t="s">
        <v>58</v>
      </c>
      <c r="D421" t="s">
        <v>58</v>
      </c>
      <c r="E421" t="s">
        <v>58</v>
      </c>
      <c r="J421" t="s">
        <v>58</v>
      </c>
      <c r="K421" t="s">
        <v>58</v>
      </c>
      <c r="L421" t="s">
        <v>58</v>
      </c>
      <c r="M421" t="s">
        <v>58</v>
      </c>
      <c r="N421" t="s">
        <v>58</v>
      </c>
      <c r="R421" t="s">
        <v>58</v>
      </c>
      <c r="S421" t="s">
        <v>58</v>
      </c>
      <c r="T421" t="s">
        <v>58</v>
      </c>
      <c r="U421" t="s">
        <v>58</v>
      </c>
      <c r="V421" t="s">
        <v>58</v>
      </c>
      <c r="Z421" t="s">
        <v>58</v>
      </c>
      <c r="AA421" t="s">
        <v>58</v>
      </c>
      <c r="AB421" t="s">
        <v>58</v>
      </c>
      <c r="AC421" t="s">
        <v>58</v>
      </c>
      <c r="AD421" t="s">
        <v>58</v>
      </c>
      <c r="AG421" t="s">
        <v>58</v>
      </c>
      <c r="AH421" t="s">
        <v>58</v>
      </c>
      <c r="AI421" t="s">
        <v>58</v>
      </c>
      <c r="AJ421" t="s">
        <v>58</v>
      </c>
      <c r="AK421" t="s">
        <v>58</v>
      </c>
      <c r="AO421" t="s">
        <v>58</v>
      </c>
      <c r="AP421" t="s">
        <v>58</v>
      </c>
      <c r="AQ421" t="s">
        <v>58</v>
      </c>
      <c r="AR421" t="s">
        <v>58</v>
      </c>
      <c r="AS421" t="s">
        <v>58</v>
      </c>
      <c r="AV421" t="s">
        <v>58</v>
      </c>
      <c r="AW421" t="s">
        <v>58</v>
      </c>
      <c r="AX421" t="s">
        <v>58</v>
      </c>
      <c r="AY421" t="s">
        <v>58</v>
      </c>
      <c r="AZ421" t="s">
        <v>58</v>
      </c>
      <c r="BC421" t="s">
        <v>58</v>
      </c>
      <c r="BD421" t="s">
        <v>58</v>
      </c>
      <c r="BE421" t="s">
        <v>58</v>
      </c>
      <c r="BF421" t="s">
        <v>58</v>
      </c>
      <c r="BG421" t="s">
        <v>58</v>
      </c>
    </row>
    <row r="422" spans="1:59" x14ac:dyDescent="0.3">
      <c r="A422" t="s">
        <v>58</v>
      </c>
      <c r="B422" t="s">
        <v>58</v>
      </c>
      <c r="C422" t="s">
        <v>58</v>
      </c>
      <c r="D422" t="s">
        <v>58</v>
      </c>
      <c r="E422" t="s">
        <v>58</v>
      </c>
      <c r="J422" t="s">
        <v>58</v>
      </c>
      <c r="K422" t="s">
        <v>58</v>
      </c>
      <c r="L422" t="s">
        <v>58</v>
      </c>
      <c r="M422" t="s">
        <v>58</v>
      </c>
      <c r="N422" t="s">
        <v>58</v>
      </c>
      <c r="R422" t="s">
        <v>58</v>
      </c>
      <c r="S422" t="s">
        <v>58</v>
      </c>
      <c r="T422" t="s">
        <v>58</v>
      </c>
      <c r="U422" t="s">
        <v>58</v>
      </c>
      <c r="V422" t="s">
        <v>58</v>
      </c>
      <c r="Z422" t="s">
        <v>58</v>
      </c>
      <c r="AA422" t="s">
        <v>58</v>
      </c>
      <c r="AB422" t="s">
        <v>58</v>
      </c>
      <c r="AC422" t="s">
        <v>58</v>
      </c>
      <c r="AD422" t="s">
        <v>58</v>
      </c>
      <c r="AG422" t="s">
        <v>58</v>
      </c>
      <c r="AH422" t="s">
        <v>58</v>
      </c>
      <c r="AI422" t="s">
        <v>58</v>
      </c>
      <c r="AJ422" t="s">
        <v>58</v>
      </c>
      <c r="AK422" t="s">
        <v>58</v>
      </c>
      <c r="AO422" t="s">
        <v>58</v>
      </c>
      <c r="AP422" t="s">
        <v>58</v>
      </c>
      <c r="AQ422" t="s">
        <v>58</v>
      </c>
      <c r="AR422" t="s">
        <v>58</v>
      </c>
      <c r="AS422" t="s">
        <v>58</v>
      </c>
      <c r="AV422" t="s">
        <v>58</v>
      </c>
      <c r="AW422" t="s">
        <v>58</v>
      </c>
      <c r="AX422" t="s">
        <v>58</v>
      </c>
      <c r="AY422" t="s">
        <v>58</v>
      </c>
      <c r="AZ422" t="s">
        <v>58</v>
      </c>
      <c r="BC422" t="s">
        <v>58</v>
      </c>
      <c r="BD422" t="s">
        <v>58</v>
      </c>
      <c r="BE422" t="s">
        <v>58</v>
      </c>
      <c r="BF422" t="s">
        <v>58</v>
      </c>
      <c r="BG422" t="s">
        <v>58</v>
      </c>
    </row>
    <row r="423" spans="1:59" x14ac:dyDescent="0.3">
      <c r="A423" t="s">
        <v>58</v>
      </c>
      <c r="B423" t="s">
        <v>58</v>
      </c>
      <c r="C423" t="s">
        <v>58</v>
      </c>
      <c r="D423" t="s">
        <v>58</v>
      </c>
      <c r="E423" t="s">
        <v>58</v>
      </c>
      <c r="J423" t="s">
        <v>58</v>
      </c>
      <c r="K423" t="s">
        <v>58</v>
      </c>
      <c r="L423" t="s">
        <v>58</v>
      </c>
      <c r="M423" t="s">
        <v>58</v>
      </c>
      <c r="N423" t="s">
        <v>58</v>
      </c>
      <c r="R423" t="s">
        <v>58</v>
      </c>
      <c r="S423" t="s">
        <v>58</v>
      </c>
      <c r="T423" t="s">
        <v>58</v>
      </c>
      <c r="U423" t="s">
        <v>58</v>
      </c>
      <c r="V423" t="s">
        <v>58</v>
      </c>
      <c r="Z423" t="s">
        <v>58</v>
      </c>
      <c r="AA423" t="s">
        <v>58</v>
      </c>
      <c r="AB423" t="s">
        <v>58</v>
      </c>
      <c r="AC423" t="s">
        <v>58</v>
      </c>
      <c r="AD423" t="s">
        <v>58</v>
      </c>
      <c r="AG423" t="s">
        <v>58</v>
      </c>
      <c r="AH423" t="s">
        <v>58</v>
      </c>
      <c r="AI423" t="s">
        <v>58</v>
      </c>
      <c r="AJ423" t="s">
        <v>58</v>
      </c>
      <c r="AK423" t="s">
        <v>58</v>
      </c>
      <c r="AO423" t="s">
        <v>58</v>
      </c>
      <c r="AP423" t="s">
        <v>58</v>
      </c>
      <c r="AQ423" t="s">
        <v>58</v>
      </c>
      <c r="AR423" t="s">
        <v>58</v>
      </c>
      <c r="AS423" t="s">
        <v>58</v>
      </c>
      <c r="AV423" t="s">
        <v>58</v>
      </c>
      <c r="AW423" t="s">
        <v>58</v>
      </c>
      <c r="AX423" t="s">
        <v>58</v>
      </c>
      <c r="AY423" t="s">
        <v>58</v>
      </c>
      <c r="AZ423" t="s">
        <v>58</v>
      </c>
      <c r="BC423" t="s">
        <v>58</v>
      </c>
      <c r="BD423" t="s">
        <v>58</v>
      </c>
      <c r="BE423" t="s">
        <v>58</v>
      </c>
      <c r="BF423" t="s">
        <v>58</v>
      </c>
      <c r="BG423" t="s">
        <v>58</v>
      </c>
    </row>
    <row r="424" spans="1:59" x14ac:dyDescent="0.3">
      <c r="A424" t="s">
        <v>58</v>
      </c>
      <c r="B424" t="s">
        <v>58</v>
      </c>
      <c r="C424" t="s">
        <v>58</v>
      </c>
      <c r="D424" t="s">
        <v>58</v>
      </c>
      <c r="E424" t="s">
        <v>58</v>
      </c>
      <c r="J424" t="s">
        <v>58</v>
      </c>
      <c r="K424" t="s">
        <v>58</v>
      </c>
      <c r="L424" t="s">
        <v>58</v>
      </c>
      <c r="M424" t="s">
        <v>58</v>
      </c>
      <c r="N424" t="s">
        <v>58</v>
      </c>
      <c r="R424" t="s">
        <v>58</v>
      </c>
      <c r="S424" t="s">
        <v>58</v>
      </c>
      <c r="T424" t="s">
        <v>58</v>
      </c>
      <c r="U424" t="s">
        <v>58</v>
      </c>
      <c r="V424" t="s">
        <v>58</v>
      </c>
      <c r="Z424" t="s">
        <v>58</v>
      </c>
      <c r="AA424" t="s">
        <v>58</v>
      </c>
      <c r="AB424" t="s">
        <v>58</v>
      </c>
      <c r="AC424" t="s">
        <v>58</v>
      </c>
      <c r="AD424" t="s">
        <v>58</v>
      </c>
      <c r="AG424" t="s">
        <v>58</v>
      </c>
      <c r="AH424" t="s">
        <v>58</v>
      </c>
      <c r="AI424" t="s">
        <v>58</v>
      </c>
      <c r="AJ424" t="s">
        <v>58</v>
      </c>
      <c r="AK424" t="s">
        <v>58</v>
      </c>
      <c r="AO424" t="s">
        <v>58</v>
      </c>
      <c r="AP424" t="s">
        <v>58</v>
      </c>
      <c r="AQ424" t="s">
        <v>58</v>
      </c>
      <c r="AR424" t="s">
        <v>58</v>
      </c>
      <c r="AS424" t="s">
        <v>58</v>
      </c>
      <c r="AV424" t="s">
        <v>58</v>
      </c>
      <c r="AW424" t="s">
        <v>58</v>
      </c>
      <c r="AX424" t="s">
        <v>58</v>
      </c>
      <c r="AY424" t="s">
        <v>58</v>
      </c>
      <c r="AZ424" t="s">
        <v>58</v>
      </c>
      <c r="BC424" t="s">
        <v>58</v>
      </c>
      <c r="BD424" t="s">
        <v>58</v>
      </c>
      <c r="BE424" t="s">
        <v>58</v>
      </c>
      <c r="BF424" t="s">
        <v>58</v>
      </c>
      <c r="BG424" t="s">
        <v>58</v>
      </c>
    </row>
    <row r="425" spans="1:59" x14ac:dyDescent="0.3">
      <c r="A425" t="s">
        <v>58</v>
      </c>
      <c r="B425" t="s">
        <v>58</v>
      </c>
      <c r="C425" t="s">
        <v>58</v>
      </c>
      <c r="D425" t="s">
        <v>58</v>
      </c>
      <c r="E425" t="s">
        <v>58</v>
      </c>
      <c r="J425" t="s">
        <v>58</v>
      </c>
      <c r="K425" t="s">
        <v>58</v>
      </c>
      <c r="L425" t="s">
        <v>58</v>
      </c>
      <c r="M425" t="s">
        <v>58</v>
      </c>
      <c r="N425" t="s">
        <v>58</v>
      </c>
      <c r="R425" t="s">
        <v>58</v>
      </c>
      <c r="S425" t="s">
        <v>58</v>
      </c>
      <c r="T425" t="s">
        <v>58</v>
      </c>
      <c r="U425" t="s">
        <v>58</v>
      </c>
      <c r="V425" t="s">
        <v>58</v>
      </c>
      <c r="Z425" t="s">
        <v>58</v>
      </c>
      <c r="AA425" t="s">
        <v>58</v>
      </c>
      <c r="AB425" t="s">
        <v>58</v>
      </c>
      <c r="AC425" t="s">
        <v>58</v>
      </c>
      <c r="AD425" t="s">
        <v>58</v>
      </c>
      <c r="AG425" t="s">
        <v>58</v>
      </c>
      <c r="AH425" t="s">
        <v>58</v>
      </c>
      <c r="AI425" t="s">
        <v>58</v>
      </c>
      <c r="AJ425" t="s">
        <v>58</v>
      </c>
      <c r="AK425" t="s">
        <v>58</v>
      </c>
      <c r="AO425" t="s">
        <v>58</v>
      </c>
      <c r="AP425" t="s">
        <v>58</v>
      </c>
      <c r="AQ425" t="s">
        <v>58</v>
      </c>
      <c r="AR425" t="s">
        <v>58</v>
      </c>
      <c r="AS425" t="s">
        <v>58</v>
      </c>
      <c r="AV425" t="s">
        <v>58</v>
      </c>
      <c r="AW425" t="s">
        <v>58</v>
      </c>
      <c r="AX425" t="s">
        <v>58</v>
      </c>
      <c r="AY425" t="s">
        <v>58</v>
      </c>
      <c r="AZ425" t="s">
        <v>58</v>
      </c>
      <c r="BC425" t="s">
        <v>58</v>
      </c>
      <c r="BD425" t="s">
        <v>58</v>
      </c>
      <c r="BE425" t="s">
        <v>58</v>
      </c>
      <c r="BF425" t="s">
        <v>58</v>
      </c>
      <c r="BG425" t="s">
        <v>58</v>
      </c>
    </row>
    <row r="426" spans="1:59" x14ac:dyDescent="0.3">
      <c r="A426" t="s">
        <v>58</v>
      </c>
      <c r="B426" t="s">
        <v>58</v>
      </c>
      <c r="C426" t="s">
        <v>58</v>
      </c>
      <c r="D426" t="s">
        <v>58</v>
      </c>
      <c r="E426" t="s">
        <v>58</v>
      </c>
      <c r="J426" t="s">
        <v>58</v>
      </c>
      <c r="K426" t="s">
        <v>58</v>
      </c>
      <c r="L426" t="s">
        <v>58</v>
      </c>
      <c r="M426" t="s">
        <v>58</v>
      </c>
      <c r="N426" t="s">
        <v>58</v>
      </c>
      <c r="R426" t="s">
        <v>58</v>
      </c>
      <c r="S426" t="s">
        <v>58</v>
      </c>
      <c r="T426" t="s">
        <v>58</v>
      </c>
      <c r="U426" t="s">
        <v>58</v>
      </c>
      <c r="V426" t="s">
        <v>58</v>
      </c>
      <c r="Z426" t="s">
        <v>58</v>
      </c>
      <c r="AA426" t="s">
        <v>58</v>
      </c>
      <c r="AB426" t="s">
        <v>58</v>
      </c>
      <c r="AC426" t="s">
        <v>58</v>
      </c>
      <c r="AD426" t="s">
        <v>58</v>
      </c>
      <c r="AG426" t="s">
        <v>58</v>
      </c>
      <c r="AH426" t="s">
        <v>58</v>
      </c>
      <c r="AI426" t="s">
        <v>58</v>
      </c>
      <c r="AJ426" t="s">
        <v>58</v>
      </c>
      <c r="AK426" t="s">
        <v>58</v>
      </c>
      <c r="AO426" t="s">
        <v>58</v>
      </c>
      <c r="AP426" t="s">
        <v>58</v>
      </c>
      <c r="AQ426" t="s">
        <v>58</v>
      </c>
      <c r="AR426" t="s">
        <v>58</v>
      </c>
      <c r="AS426" t="s">
        <v>58</v>
      </c>
      <c r="AV426" t="s">
        <v>58</v>
      </c>
      <c r="AW426" t="s">
        <v>58</v>
      </c>
      <c r="AX426" t="s">
        <v>58</v>
      </c>
      <c r="AY426" t="s">
        <v>58</v>
      </c>
      <c r="AZ426" t="s">
        <v>58</v>
      </c>
      <c r="BC426" t="s">
        <v>58</v>
      </c>
      <c r="BD426" t="s">
        <v>58</v>
      </c>
      <c r="BE426" t="s">
        <v>58</v>
      </c>
      <c r="BF426" t="s">
        <v>58</v>
      </c>
      <c r="BG426" t="s">
        <v>58</v>
      </c>
    </row>
    <row r="427" spans="1:59" x14ac:dyDescent="0.3">
      <c r="A427" t="s">
        <v>58</v>
      </c>
      <c r="B427" t="s">
        <v>58</v>
      </c>
      <c r="C427" t="s">
        <v>58</v>
      </c>
      <c r="D427" t="s">
        <v>58</v>
      </c>
      <c r="E427" t="s">
        <v>58</v>
      </c>
      <c r="J427" t="s">
        <v>58</v>
      </c>
      <c r="K427" t="s">
        <v>58</v>
      </c>
      <c r="L427" t="s">
        <v>58</v>
      </c>
      <c r="M427" t="s">
        <v>58</v>
      </c>
      <c r="N427" t="s">
        <v>58</v>
      </c>
      <c r="R427" t="s">
        <v>58</v>
      </c>
      <c r="S427" t="s">
        <v>58</v>
      </c>
      <c r="T427" t="s">
        <v>58</v>
      </c>
      <c r="U427" t="s">
        <v>58</v>
      </c>
      <c r="V427" t="s">
        <v>58</v>
      </c>
      <c r="Z427" t="s">
        <v>58</v>
      </c>
      <c r="AA427" t="s">
        <v>58</v>
      </c>
      <c r="AB427" t="s">
        <v>58</v>
      </c>
      <c r="AC427" t="s">
        <v>58</v>
      </c>
      <c r="AD427" t="s">
        <v>58</v>
      </c>
      <c r="AG427" t="s">
        <v>58</v>
      </c>
      <c r="AH427" t="s">
        <v>58</v>
      </c>
      <c r="AI427" t="s">
        <v>58</v>
      </c>
      <c r="AJ427" t="s">
        <v>58</v>
      </c>
      <c r="AK427" t="s">
        <v>58</v>
      </c>
      <c r="AO427" t="s">
        <v>58</v>
      </c>
      <c r="AP427" t="s">
        <v>58</v>
      </c>
      <c r="AQ427" t="s">
        <v>58</v>
      </c>
      <c r="AR427" t="s">
        <v>58</v>
      </c>
      <c r="AS427" t="s">
        <v>58</v>
      </c>
      <c r="AV427" t="s">
        <v>58</v>
      </c>
      <c r="AW427" t="s">
        <v>58</v>
      </c>
      <c r="AX427" t="s">
        <v>58</v>
      </c>
      <c r="AY427" t="s">
        <v>58</v>
      </c>
      <c r="AZ427" t="s">
        <v>58</v>
      </c>
      <c r="BC427" t="s">
        <v>58</v>
      </c>
      <c r="BD427" t="s">
        <v>58</v>
      </c>
      <c r="BE427" t="s">
        <v>58</v>
      </c>
      <c r="BF427" t="s">
        <v>58</v>
      </c>
      <c r="BG427" t="s">
        <v>58</v>
      </c>
    </row>
    <row r="428" spans="1:59" x14ac:dyDescent="0.3">
      <c r="A428" t="s">
        <v>58</v>
      </c>
      <c r="B428" t="s">
        <v>58</v>
      </c>
      <c r="C428" t="s">
        <v>58</v>
      </c>
      <c r="D428" t="s">
        <v>58</v>
      </c>
      <c r="E428" t="s">
        <v>58</v>
      </c>
      <c r="J428" t="s">
        <v>58</v>
      </c>
      <c r="K428" t="s">
        <v>58</v>
      </c>
      <c r="L428" t="s">
        <v>58</v>
      </c>
      <c r="M428" t="s">
        <v>58</v>
      </c>
      <c r="N428" t="s">
        <v>58</v>
      </c>
      <c r="R428" t="s">
        <v>58</v>
      </c>
      <c r="S428" t="s">
        <v>58</v>
      </c>
      <c r="T428" t="s">
        <v>58</v>
      </c>
      <c r="U428" t="s">
        <v>58</v>
      </c>
      <c r="V428" t="s">
        <v>58</v>
      </c>
      <c r="Z428" t="s">
        <v>58</v>
      </c>
      <c r="AA428" t="s">
        <v>58</v>
      </c>
      <c r="AB428" t="s">
        <v>58</v>
      </c>
      <c r="AC428" t="s">
        <v>58</v>
      </c>
      <c r="AD428" t="s">
        <v>58</v>
      </c>
      <c r="AG428" t="s">
        <v>58</v>
      </c>
      <c r="AH428" t="s">
        <v>58</v>
      </c>
      <c r="AI428" t="s">
        <v>58</v>
      </c>
      <c r="AJ428" t="s">
        <v>58</v>
      </c>
      <c r="AK428" t="s">
        <v>58</v>
      </c>
      <c r="AO428" t="s">
        <v>58</v>
      </c>
      <c r="AP428" t="s">
        <v>58</v>
      </c>
      <c r="AQ428" t="s">
        <v>58</v>
      </c>
      <c r="AR428" t="s">
        <v>58</v>
      </c>
      <c r="AS428" t="s">
        <v>58</v>
      </c>
      <c r="AV428" t="s">
        <v>58</v>
      </c>
      <c r="AW428" t="s">
        <v>58</v>
      </c>
      <c r="AX428" t="s">
        <v>58</v>
      </c>
      <c r="AY428" t="s">
        <v>58</v>
      </c>
      <c r="AZ428" t="s">
        <v>58</v>
      </c>
      <c r="BC428" t="s">
        <v>58</v>
      </c>
      <c r="BD428" t="s">
        <v>58</v>
      </c>
      <c r="BE428" t="s">
        <v>58</v>
      </c>
      <c r="BF428" t="s">
        <v>58</v>
      </c>
      <c r="BG428" t="s">
        <v>58</v>
      </c>
    </row>
    <row r="429" spans="1:59" x14ac:dyDescent="0.3">
      <c r="A429" t="s">
        <v>58</v>
      </c>
      <c r="B429" t="s">
        <v>58</v>
      </c>
      <c r="C429" t="s">
        <v>58</v>
      </c>
      <c r="D429" t="s">
        <v>58</v>
      </c>
      <c r="E429" t="s">
        <v>58</v>
      </c>
      <c r="J429" t="s">
        <v>58</v>
      </c>
      <c r="K429" t="s">
        <v>58</v>
      </c>
      <c r="L429" t="s">
        <v>58</v>
      </c>
      <c r="M429" t="s">
        <v>58</v>
      </c>
      <c r="N429" t="s">
        <v>58</v>
      </c>
      <c r="R429" t="s">
        <v>58</v>
      </c>
      <c r="S429" t="s">
        <v>58</v>
      </c>
      <c r="T429" t="s">
        <v>58</v>
      </c>
      <c r="U429" t="s">
        <v>58</v>
      </c>
      <c r="V429" t="s">
        <v>58</v>
      </c>
      <c r="Z429" t="s">
        <v>58</v>
      </c>
      <c r="AA429" t="s">
        <v>58</v>
      </c>
      <c r="AB429" t="s">
        <v>58</v>
      </c>
      <c r="AC429" t="s">
        <v>58</v>
      </c>
      <c r="AD429" t="s">
        <v>58</v>
      </c>
      <c r="AG429" t="s">
        <v>58</v>
      </c>
      <c r="AH429" t="s">
        <v>58</v>
      </c>
      <c r="AI429" t="s">
        <v>58</v>
      </c>
      <c r="AJ429" t="s">
        <v>58</v>
      </c>
      <c r="AK429" t="s">
        <v>58</v>
      </c>
      <c r="AO429" t="s">
        <v>58</v>
      </c>
      <c r="AP429" t="s">
        <v>58</v>
      </c>
      <c r="AQ429" t="s">
        <v>58</v>
      </c>
      <c r="AR429" t="s">
        <v>58</v>
      </c>
      <c r="AS429" t="s">
        <v>58</v>
      </c>
      <c r="AV429" t="s">
        <v>58</v>
      </c>
      <c r="AW429" t="s">
        <v>58</v>
      </c>
      <c r="AX429" t="s">
        <v>58</v>
      </c>
      <c r="AY429" t="s">
        <v>58</v>
      </c>
      <c r="AZ429" t="s">
        <v>58</v>
      </c>
      <c r="BC429" t="s">
        <v>58</v>
      </c>
      <c r="BD429" t="s">
        <v>58</v>
      </c>
      <c r="BE429" t="s">
        <v>58</v>
      </c>
      <c r="BF429" t="s">
        <v>58</v>
      </c>
      <c r="BG429" t="s">
        <v>58</v>
      </c>
    </row>
    <row r="430" spans="1:59" x14ac:dyDescent="0.3">
      <c r="A430" t="s">
        <v>58</v>
      </c>
      <c r="B430" t="s">
        <v>58</v>
      </c>
      <c r="C430" t="s">
        <v>58</v>
      </c>
      <c r="D430" t="s">
        <v>58</v>
      </c>
      <c r="E430" t="s">
        <v>58</v>
      </c>
      <c r="J430" t="s">
        <v>58</v>
      </c>
      <c r="K430" t="s">
        <v>58</v>
      </c>
      <c r="L430" t="s">
        <v>58</v>
      </c>
      <c r="M430" t="s">
        <v>58</v>
      </c>
      <c r="N430" t="s">
        <v>58</v>
      </c>
      <c r="R430" t="s">
        <v>58</v>
      </c>
      <c r="S430" t="s">
        <v>58</v>
      </c>
      <c r="T430" t="s">
        <v>58</v>
      </c>
      <c r="U430" t="s">
        <v>58</v>
      </c>
      <c r="V430" t="s">
        <v>58</v>
      </c>
      <c r="Z430" t="s">
        <v>58</v>
      </c>
      <c r="AA430" t="s">
        <v>58</v>
      </c>
      <c r="AB430" t="s">
        <v>58</v>
      </c>
      <c r="AC430" t="s">
        <v>58</v>
      </c>
      <c r="AD430" t="s">
        <v>58</v>
      </c>
      <c r="AG430" t="s">
        <v>58</v>
      </c>
      <c r="AH430" t="s">
        <v>58</v>
      </c>
      <c r="AI430" t="s">
        <v>58</v>
      </c>
      <c r="AJ430" t="s">
        <v>58</v>
      </c>
      <c r="AK430" t="s">
        <v>58</v>
      </c>
      <c r="AO430" t="s">
        <v>58</v>
      </c>
      <c r="AP430" t="s">
        <v>58</v>
      </c>
      <c r="AQ430" t="s">
        <v>58</v>
      </c>
      <c r="AR430" t="s">
        <v>58</v>
      </c>
      <c r="AS430" t="s">
        <v>58</v>
      </c>
      <c r="AV430" t="s">
        <v>58</v>
      </c>
      <c r="AW430" t="s">
        <v>58</v>
      </c>
      <c r="AX430" t="s">
        <v>58</v>
      </c>
      <c r="AY430" t="s">
        <v>58</v>
      </c>
      <c r="AZ430" t="s">
        <v>58</v>
      </c>
      <c r="BC430" t="s">
        <v>58</v>
      </c>
      <c r="BD430" t="s">
        <v>58</v>
      </c>
      <c r="BE430" t="s">
        <v>58</v>
      </c>
      <c r="BF430" t="s">
        <v>58</v>
      </c>
      <c r="BG430" t="s">
        <v>58</v>
      </c>
    </row>
    <row r="431" spans="1:59" x14ac:dyDescent="0.3">
      <c r="A431" t="s">
        <v>58</v>
      </c>
      <c r="B431" t="s">
        <v>58</v>
      </c>
      <c r="C431" t="s">
        <v>58</v>
      </c>
      <c r="D431" t="s">
        <v>58</v>
      </c>
      <c r="E431" t="s">
        <v>58</v>
      </c>
      <c r="J431" t="s">
        <v>58</v>
      </c>
      <c r="K431" t="s">
        <v>58</v>
      </c>
      <c r="L431" t="s">
        <v>58</v>
      </c>
      <c r="M431" t="s">
        <v>58</v>
      </c>
      <c r="N431" t="s">
        <v>58</v>
      </c>
      <c r="R431" t="s">
        <v>58</v>
      </c>
      <c r="S431" t="s">
        <v>58</v>
      </c>
      <c r="T431" t="s">
        <v>58</v>
      </c>
      <c r="U431" t="s">
        <v>58</v>
      </c>
      <c r="V431" t="s">
        <v>58</v>
      </c>
      <c r="Z431" t="s">
        <v>58</v>
      </c>
      <c r="AA431" t="s">
        <v>58</v>
      </c>
      <c r="AB431" t="s">
        <v>58</v>
      </c>
      <c r="AC431" t="s">
        <v>58</v>
      </c>
      <c r="AD431" t="s">
        <v>58</v>
      </c>
      <c r="AG431" t="s">
        <v>58</v>
      </c>
      <c r="AH431" t="s">
        <v>58</v>
      </c>
      <c r="AI431" t="s">
        <v>58</v>
      </c>
      <c r="AJ431" t="s">
        <v>58</v>
      </c>
      <c r="AK431" t="s">
        <v>58</v>
      </c>
      <c r="AO431" t="s">
        <v>58</v>
      </c>
      <c r="AP431" t="s">
        <v>58</v>
      </c>
      <c r="AQ431" t="s">
        <v>58</v>
      </c>
      <c r="AR431" t="s">
        <v>58</v>
      </c>
      <c r="AS431" t="s">
        <v>58</v>
      </c>
      <c r="AV431" t="s">
        <v>58</v>
      </c>
      <c r="AW431" t="s">
        <v>58</v>
      </c>
      <c r="AX431" t="s">
        <v>58</v>
      </c>
      <c r="AY431" t="s">
        <v>58</v>
      </c>
      <c r="AZ431" t="s">
        <v>58</v>
      </c>
      <c r="BC431" t="s">
        <v>58</v>
      </c>
      <c r="BD431" t="s">
        <v>58</v>
      </c>
      <c r="BE431" t="s">
        <v>58</v>
      </c>
      <c r="BF431" t="s">
        <v>58</v>
      </c>
      <c r="BG431" t="s">
        <v>58</v>
      </c>
    </row>
    <row r="432" spans="1:59" x14ac:dyDescent="0.3">
      <c r="A432" t="s">
        <v>58</v>
      </c>
      <c r="B432" t="s">
        <v>58</v>
      </c>
      <c r="C432" t="s">
        <v>58</v>
      </c>
      <c r="D432" t="s">
        <v>58</v>
      </c>
      <c r="E432" t="s">
        <v>58</v>
      </c>
      <c r="J432" t="s">
        <v>58</v>
      </c>
      <c r="K432" t="s">
        <v>58</v>
      </c>
      <c r="L432" t="s">
        <v>58</v>
      </c>
      <c r="M432" t="s">
        <v>58</v>
      </c>
      <c r="N432" t="s">
        <v>58</v>
      </c>
      <c r="R432" t="s">
        <v>58</v>
      </c>
      <c r="S432" t="s">
        <v>58</v>
      </c>
      <c r="T432" t="s">
        <v>58</v>
      </c>
      <c r="U432" t="s">
        <v>58</v>
      </c>
      <c r="V432" t="s">
        <v>58</v>
      </c>
      <c r="Z432" t="s">
        <v>58</v>
      </c>
      <c r="AA432" t="s">
        <v>58</v>
      </c>
      <c r="AB432" t="s">
        <v>58</v>
      </c>
      <c r="AC432" t="s">
        <v>58</v>
      </c>
      <c r="AD432" t="s">
        <v>58</v>
      </c>
      <c r="AG432" t="s">
        <v>58</v>
      </c>
      <c r="AH432" t="s">
        <v>58</v>
      </c>
      <c r="AI432" t="s">
        <v>58</v>
      </c>
      <c r="AJ432" t="s">
        <v>58</v>
      </c>
      <c r="AK432" t="s">
        <v>58</v>
      </c>
      <c r="AO432" t="s">
        <v>58</v>
      </c>
      <c r="AP432" t="s">
        <v>58</v>
      </c>
      <c r="AQ432" t="s">
        <v>58</v>
      </c>
      <c r="AR432" t="s">
        <v>58</v>
      </c>
      <c r="AS432" t="s">
        <v>58</v>
      </c>
      <c r="AV432" t="s">
        <v>58</v>
      </c>
      <c r="AW432" t="s">
        <v>58</v>
      </c>
      <c r="AX432" t="s">
        <v>58</v>
      </c>
      <c r="AY432" t="s">
        <v>58</v>
      </c>
      <c r="AZ432" t="s">
        <v>58</v>
      </c>
      <c r="BC432" t="s">
        <v>58</v>
      </c>
      <c r="BD432" t="s">
        <v>58</v>
      </c>
      <c r="BE432" t="s">
        <v>58</v>
      </c>
      <c r="BF432" t="s">
        <v>58</v>
      </c>
      <c r="BG432" t="s">
        <v>58</v>
      </c>
    </row>
    <row r="433" spans="1:59" x14ac:dyDescent="0.3">
      <c r="A433" t="s">
        <v>58</v>
      </c>
      <c r="B433" t="s">
        <v>58</v>
      </c>
      <c r="C433" t="s">
        <v>58</v>
      </c>
      <c r="D433" t="s">
        <v>58</v>
      </c>
      <c r="E433" t="s">
        <v>58</v>
      </c>
      <c r="J433" t="s">
        <v>58</v>
      </c>
      <c r="K433" t="s">
        <v>58</v>
      </c>
      <c r="L433" t="s">
        <v>58</v>
      </c>
      <c r="M433" t="s">
        <v>58</v>
      </c>
      <c r="N433" t="s">
        <v>58</v>
      </c>
      <c r="R433" t="s">
        <v>58</v>
      </c>
      <c r="S433" t="s">
        <v>58</v>
      </c>
      <c r="T433" t="s">
        <v>58</v>
      </c>
      <c r="U433" t="s">
        <v>58</v>
      </c>
      <c r="V433" t="s">
        <v>58</v>
      </c>
      <c r="Z433" t="s">
        <v>58</v>
      </c>
      <c r="AA433" t="s">
        <v>58</v>
      </c>
      <c r="AB433" t="s">
        <v>58</v>
      </c>
      <c r="AC433" t="s">
        <v>58</v>
      </c>
      <c r="AD433" t="s">
        <v>58</v>
      </c>
      <c r="AG433" t="s">
        <v>58</v>
      </c>
      <c r="AH433" t="s">
        <v>58</v>
      </c>
      <c r="AI433" t="s">
        <v>58</v>
      </c>
      <c r="AJ433" t="s">
        <v>58</v>
      </c>
      <c r="AK433" t="s">
        <v>58</v>
      </c>
      <c r="AO433" t="s">
        <v>58</v>
      </c>
      <c r="AP433" t="s">
        <v>58</v>
      </c>
      <c r="AQ433" t="s">
        <v>58</v>
      </c>
      <c r="AR433" t="s">
        <v>58</v>
      </c>
      <c r="AS433" t="s">
        <v>58</v>
      </c>
      <c r="AV433" t="s">
        <v>58</v>
      </c>
      <c r="AW433" t="s">
        <v>58</v>
      </c>
      <c r="AX433" t="s">
        <v>58</v>
      </c>
      <c r="AY433" t="s">
        <v>58</v>
      </c>
      <c r="AZ433" t="s">
        <v>58</v>
      </c>
      <c r="BC433" t="s">
        <v>58</v>
      </c>
      <c r="BD433" t="s">
        <v>58</v>
      </c>
      <c r="BE433" t="s">
        <v>58</v>
      </c>
      <c r="BF433" t="s">
        <v>58</v>
      </c>
      <c r="BG433" t="s">
        <v>58</v>
      </c>
    </row>
    <row r="434" spans="1:59" x14ac:dyDescent="0.3">
      <c r="A434" t="s">
        <v>58</v>
      </c>
      <c r="B434" t="s">
        <v>58</v>
      </c>
      <c r="C434" t="s">
        <v>58</v>
      </c>
      <c r="D434" t="s">
        <v>58</v>
      </c>
      <c r="E434" t="s">
        <v>58</v>
      </c>
      <c r="J434" t="s">
        <v>58</v>
      </c>
      <c r="K434" t="s">
        <v>58</v>
      </c>
      <c r="L434" t="s">
        <v>58</v>
      </c>
      <c r="M434" t="s">
        <v>58</v>
      </c>
      <c r="N434" t="s">
        <v>58</v>
      </c>
      <c r="R434" t="s">
        <v>58</v>
      </c>
      <c r="S434" t="s">
        <v>58</v>
      </c>
      <c r="T434" t="s">
        <v>58</v>
      </c>
      <c r="U434" t="s">
        <v>58</v>
      </c>
      <c r="V434" t="s">
        <v>58</v>
      </c>
      <c r="Z434" t="s">
        <v>58</v>
      </c>
      <c r="AA434" t="s">
        <v>58</v>
      </c>
      <c r="AB434" t="s">
        <v>58</v>
      </c>
      <c r="AC434" t="s">
        <v>58</v>
      </c>
      <c r="AD434" t="s">
        <v>58</v>
      </c>
      <c r="AG434" t="s">
        <v>58</v>
      </c>
      <c r="AH434" t="s">
        <v>58</v>
      </c>
      <c r="AI434" t="s">
        <v>58</v>
      </c>
      <c r="AJ434" t="s">
        <v>58</v>
      </c>
      <c r="AK434" t="s">
        <v>58</v>
      </c>
      <c r="AO434" t="s">
        <v>58</v>
      </c>
      <c r="AP434" t="s">
        <v>58</v>
      </c>
      <c r="AQ434" t="s">
        <v>58</v>
      </c>
      <c r="AR434" t="s">
        <v>58</v>
      </c>
      <c r="AS434" t="s">
        <v>58</v>
      </c>
      <c r="AV434" t="s">
        <v>58</v>
      </c>
      <c r="AW434" t="s">
        <v>58</v>
      </c>
      <c r="AX434" t="s">
        <v>58</v>
      </c>
      <c r="AY434" t="s">
        <v>58</v>
      </c>
      <c r="AZ434" t="s">
        <v>58</v>
      </c>
      <c r="BC434" t="s">
        <v>58</v>
      </c>
      <c r="BD434" t="s">
        <v>58</v>
      </c>
      <c r="BE434" t="s">
        <v>58</v>
      </c>
      <c r="BF434" t="s">
        <v>58</v>
      </c>
      <c r="BG434" t="s">
        <v>58</v>
      </c>
    </row>
    <row r="435" spans="1:59" x14ac:dyDescent="0.3">
      <c r="A435" t="s">
        <v>58</v>
      </c>
      <c r="B435" t="s">
        <v>58</v>
      </c>
      <c r="C435" t="s">
        <v>58</v>
      </c>
      <c r="D435" t="s">
        <v>58</v>
      </c>
      <c r="E435" t="s">
        <v>58</v>
      </c>
      <c r="J435" t="s">
        <v>58</v>
      </c>
      <c r="K435" t="s">
        <v>58</v>
      </c>
      <c r="L435" t="s">
        <v>58</v>
      </c>
      <c r="M435" t="s">
        <v>58</v>
      </c>
      <c r="N435" t="s">
        <v>58</v>
      </c>
      <c r="R435" t="s">
        <v>58</v>
      </c>
      <c r="S435" t="s">
        <v>58</v>
      </c>
      <c r="T435" t="s">
        <v>58</v>
      </c>
      <c r="U435" t="s">
        <v>58</v>
      </c>
      <c r="V435" t="s">
        <v>58</v>
      </c>
      <c r="Z435" t="s">
        <v>58</v>
      </c>
      <c r="AA435" t="s">
        <v>58</v>
      </c>
      <c r="AB435" t="s">
        <v>58</v>
      </c>
      <c r="AC435" t="s">
        <v>58</v>
      </c>
      <c r="AD435" t="s">
        <v>58</v>
      </c>
      <c r="AG435" t="s">
        <v>58</v>
      </c>
      <c r="AH435" t="s">
        <v>58</v>
      </c>
      <c r="AI435" t="s">
        <v>58</v>
      </c>
      <c r="AJ435" t="s">
        <v>58</v>
      </c>
      <c r="AK435" t="s">
        <v>58</v>
      </c>
      <c r="AO435" t="s">
        <v>58</v>
      </c>
      <c r="AP435" t="s">
        <v>58</v>
      </c>
      <c r="AQ435" t="s">
        <v>58</v>
      </c>
      <c r="AR435" t="s">
        <v>58</v>
      </c>
      <c r="AS435" t="s">
        <v>58</v>
      </c>
      <c r="AV435" t="s">
        <v>58</v>
      </c>
      <c r="AW435" t="s">
        <v>58</v>
      </c>
      <c r="AX435" t="s">
        <v>58</v>
      </c>
      <c r="AY435" t="s">
        <v>58</v>
      </c>
      <c r="AZ435" t="s">
        <v>58</v>
      </c>
      <c r="BC435" t="s">
        <v>58</v>
      </c>
      <c r="BD435" t="s">
        <v>58</v>
      </c>
      <c r="BE435" t="s">
        <v>58</v>
      </c>
      <c r="BF435" t="s">
        <v>58</v>
      </c>
      <c r="BG435" t="s">
        <v>58</v>
      </c>
    </row>
    <row r="436" spans="1:59" x14ac:dyDescent="0.3">
      <c r="A436" t="s">
        <v>58</v>
      </c>
      <c r="B436" t="s">
        <v>58</v>
      </c>
      <c r="C436" t="s">
        <v>58</v>
      </c>
      <c r="D436" t="s">
        <v>58</v>
      </c>
      <c r="E436" t="s">
        <v>58</v>
      </c>
      <c r="J436" t="s">
        <v>58</v>
      </c>
      <c r="K436" t="s">
        <v>58</v>
      </c>
      <c r="L436" t="s">
        <v>58</v>
      </c>
      <c r="M436" t="s">
        <v>58</v>
      </c>
      <c r="N436" t="s">
        <v>58</v>
      </c>
      <c r="R436" t="s">
        <v>58</v>
      </c>
      <c r="S436" t="s">
        <v>58</v>
      </c>
      <c r="T436" t="s">
        <v>58</v>
      </c>
      <c r="U436" t="s">
        <v>58</v>
      </c>
      <c r="V436" t="s">
        <v>58</v>
      </c>
      <c r="Z436" t="s">
        <v>58</v>
      </c>
      <c r="AA436" t="s">
        <v>58</v>
      </c>
      <c r="AB436" t="s">
        <v>58</v>
      </c>
      <c r="AC436" t="s">
        <v>58</v>
      </c>
      <c r="AD436" t="s">
        <v>58</v>
      </c>
      <c r="AG436" t="s">
        <v>58</v>
      </c>
      <c r="AH436" t="s">
        <v>58</v>
      </c>
      <c r="AI436" t="s">
        <v>58</v>
      </c>
      <c r="AJ436" t="s">
        <v>58</v>
      </c>
      <c r="AK436" t="s">
        <v>58</v>
      </c>
      <c r="AO436" t="s">
        <v>58</v>
      </c>
      <c r="AP436" t="s">
        <v>58</v>
      </c>
      <c r="AQ436" t="s">
        <v>58</v>
      </c>
      <c r="AR436" t="s">
        <v>58</v>
      </c>
      <c r="AS436" t="s">
        <v>58</v>
      </c>
      <c r="AV436" t="s">
        <v>58</v>
      </c>
      <c r="AW436" t="s">
        <v>58</v>
      </c>
      <c r="AX436" t="s">
        <v>58</v>
      </c>
      <c r="AY436" t="s">
        <v>58</v>
      </c>
      <c r="AZ436" t="s">
        <v>58</v>
      </c>
      <c r="BC436" t="s">
        <v>58</v>
      </c>
      <c r="BD436" t="s">
        <v>58</v>
      </c>
      <c r="BE436" t="s">
        <v>58</v>
      </c>
      <c r="BF436" t="s">
        <v>58</v>
      </c>
      <c r="BG436" t="s">
        <v>58</v>
      </c>
    </row>
    <row r="437" spans="1:59" x14ac:dyDescent="0.3">
      <c r="A437" t="s">
        <v>58</v>
      </c>
      <c r="B437" t="s">
        <v>58</v>
      </c>
      <c r="C437" t="s">
        <v>58</v>
      </c>
      <c r="D437" t="s">
        <v>58</v>
      </c>
      <c r="E437" t="s">
        <v>58</v>
      </c>
      <c r="J437" t="s">
        <v>58</v>
      </c>
      <c r="K437" t="s">
        <v>58</v>
      </c>
      <c r="L437" t="s">
        <v>58</v>
      </c>
      <c r="M437" t="s">
        <v>58</v>
      </c>
      <c r="N437" t="s">
        <v>58</v>
      </c>
      <c r="R437" t="s">
        <v>58</v>
      </c>
      <c r="S437" t="s">
        <v>58</v>
      </c>
      <c r="T437" t="s">
        <v>58</v>
      </c>
      <c r="U437" t="s">
        <v>58</v>
      </c>
      <c r="V437" t="s">
        <v>58</v>
      </c>
      <c r="Z437" t="s">
        <v>58</v>
      </c>
      <c r="AA437" t="s">
        <v>58</v>
      </c>
      <c r="AB437" t="s">
        <v>58</v>
      </c>
      <c r="AC437" t="s">
        <v>58</v>
      </c>
      <c r="AD437" t="s">
        <v>58</v>
      </c>
      <c r="AG437" t="s">
        <v>58</v>
      </c>
      <c r="AH437" t="s">
        <v>58</v>
      </c>
      <c r="AI437" t="s">
        <v>58</v>
      </c>
      <c r="AJ437" t="s">
        <v>58</v>
      </c>
      <c r="AK437" t="s">
        <v>58</v>
      </c>
      <c r="AO437" t="s">
        <v>58</v>
      </c>
      <c r="AP437" t="s">
        <v>58</v>
      </c>
      <c r="AQ437" t="s">
        <v>58</v>
      </c>
      <c r="AR437" t="s">
        <v>58</v>
      </c>
      <c r="AS437" t="s">
        <v>58</v>
      </c>
      <c r="AV437" t="s">
        <v>58</v>
      </c>
      <c r="AW437" t="s">
        <v>58</v>
      </c>
      <c r="AX437" t="s">
        <v>58</v>
      </c>
      <c r="AY437" t="s">
        <v>58</v>
      </c>
      <c r="AZ437" t="s">
        <v>58</v>
      </c>
      <c r="BC437" t="s">
        <v>58</v>
      </c>
      <c r="BD437" t="s">
        <v>58</v>
      </c>
      <c r="BE437" t="s">
        <v>58</v>
      </c>
      <c r="BF437" t="s">
        <v>58</v>
      </c>
      <c r="BG437" t="s">
        <v>58</v>
      </c>
    </row>
    <row r="438" spans="1:59" x14ac:dyDescent="0.3">
      <c r="A438" t="s">
        <v>58</v>
      </c>
      <c r="B438" t="s">
        <v>58</v>
      </c>
      <c r="C438" t="s">
        <v>58</v>
      </c>
      <c r="D438" t="s">
        <v>58</v>
      </c>
      <c r="E438" t="s">
        <v>58</v>
      </c>
      <c r="J438" t="s">
        <v>58</v>
      </c>
      <c r="K438" t="s">
        <v>58</v>
      </c>
      <c r="L438" t="s">
        <v>58</v>
      </c>
      <c r="M438" t="s">
        <v>58</v>
      </c>
      <c r="N438" t="s">
        <v>58</v>
      </c>
      <c r="R438" t="s">
        <v>58</v>
      </c>
      <c r="S438" t="s">
        <v>58</v>
      </c>
      <c r="T438" t="s">
        <v>58</v>
      </c>
      <c r="U438" t="s">
        <v>58</v>
      </c>
      <c r="V438" t="s">
        <v>58</v>
      </c>
      <c r="Z438" t="s">
        <v>58</v>
      </c>
      <c r="AA438" t="s">
        <v>58</v>
      </c>
      <c r="AB438" t="s">
        <v>58</v>
      </c>
      <c r="AC438" t="s">
        <v>58</v>
      </c>
      <c r="AD438" t="s">
        <v>58</v>
      </c>
      <c r="AG438" t="s">
        <v>58</v>
      </c>
      <c r="AH438" t="s">
        <v>58</v>
      </c>
      <c r="AI438" t="s">
        <v>58</v>
      </c>
      <c r="AJ438" t="s">
        <v>58</v>
      </c>
      <c r="AK438" t="s">
        <v>58</v>
      </c>
      <c r="AO438" t="s">
        <v>58</v>
      </c>
      <c r="AP438" t="s">
        <v>58</v>
      </c>
      <c r="AQ438" t="s">
        <v>58</v>
      </c>
      <c r="AR438" t="s">
        <v>58</v>
      </c>
      <c r="AS438" t="s">
        <v>58</v>
      </c>
      <c r="AV438" t="s">
        <v>58</v>
      </c>
      <c r="AW438" t="s">
        <v>58</v>
      </c>
      <c r="AX438" t="s">
        <v>58</v>
      </c>
      <c r="AY438" t="s">
        <v>58</v>
      </c>
      <c r="AZ438" t="s">
        <v>58</v>
      </c>
      <c r="BC438" t="s">
        <v>58</v>
      </c>
      <c r="BD438" t="s">
        <v>58</v>
      </c>
      <c r="BE438" t="s">
        <v>58</v>
      </c>
      <c r="BF438" t="s">
        <v>58</v>
      </c>
      <c r="BG438" t="s">
        <v>58</v>
      </c>
    </row>
    <row r="439" spans="1:59" x14ac:dyDescent="0.3">
      <c r="A439" t="s">
        <v>58</v>
      </c>
      <c r="B439" t="s">
        <v>58</v>
      </c>
      <c r="C439" t="s">
        <v>58</v>
      </c>
      <c r="D439" t="s">
        <v>58</v>
      </c>
      <c r="E439" t="s">
        <v>58</v>
      </c>
      <c r="J439" t="s">
        <v>58</v>
      </c>
      <c r="K439" t="s">
        <v>58</v>
      </c>
      <c r="L439" t="s">
        <v>58</v>
      </c>
      <c r="M439" t="s">
        <v>58</v>
      </c>
      <c r="N439" t="s">
        <v>58</v>
      </c>
      <c r="R439" t="s">
        <v>58</v>
      </c>
      <c r="S439" t="s">
        <v>58</v>
      </c>
      <c r="T439" t="s">
        <v>58</v>
      </c>
      <c r="U439" t="s">
        <v>58</v>
      </c>
      <c r="V439" t="s">
        <v>58</v>
      </c>
      <c r="Z439" t="s">
        <v>58</v>
      </c>
      <c r="AA439" t="s">
        <v>58</v>
      </c>
      <c r="AB439" t="s">
        <v>58</v>
      </c>
      <c r="AC439" t="s">
        <v>58</v>
      </c>
      <c r="AD439" t="s">
        <v>58</v>
      </c>
      <c r="AG439" t="s">
        <v>58</v>
      </c>
      <c r="AH439" t="s">
        <v>58</v>
      </c>
      <c r="AI439" t="s">
        <v>58</v>
      </c>
      <c r="AJ439" t="s">
        <v>58</v>
      </c>
      <c r="AK439" t="s">
        <v>58</v>
      </c>
      <c r="AO439" t="s">
        <v>58</v>
      </c>
      <c r="AP439" t="s">
        <v>58</v>
      </c>
      <c r="AQ439" t="s">
        <v>58</v>
      </c>
      <c r="AR439" t="s">
        <v>58</v>
      </c>
      <c r="AS439" t="s">
        <v>58</v>
      </c>
      <c r="AV439" t="s">
        <v>58</v>
      </c>
      <c r="AW439" t="s">
        <v>58</v>
      </c>
      <c r="AX439" t="s">
        <v>58</v>
      </c>
      <c r="AY439" t="s">
        <v>58</v>
      </c>
      <c r="AZ439" t="s">
        <v>58</v>
      </c>
      <c r="BC439" t="s">
        <v>58</v>
      </c>
      <c r="BD439" t="s">
        <v>58</v>
      </c>
      <c r="BE439" t="s">
        <v>58</v>
      </c>
      <c r="BF439" t="s">
        <v>58</v>
      </c>
      <c r="BG439" t="s">
        <v>58</v>
      </c>
    </row>
    <row r="440" spans="1:59" x14ac:dyDescent="0.3">
      <c r="A440" t="s">
        <v>58</v>
      </c>
      <c r="B440" t="s">
        <v>58</v>
      </c>
      <c r="C440" t="s">
        <v>58</v>
      </c>
      <c r="D440" t="s">
        <v>58</v>
      </c>
      <c r="E440" t="s">
        <v>58</v>
      </c>
      <c r="J440" t="s">
        <v>58</v>
      </c>
      <c r="K440" t="s">
        <v>58</v>
      </c>
      <c r="L440" t="s">
        <v>58</v>
      </c>
      <c r="M440" t="s">
        <v>58</v>
      </c>
      <c r="N440" t="s">
        <v>58</v>
      </c>
      <c r="R440" t="s">
        <v>58</v>
      </c>
      <c r="S440" t="s">
        <v>58</v>
      </c>
      <c r="T440" t="s">
        <v>58</v>
      </c>
      <c r="U440" t="s">
        <v>58</v>
      </c>
      <c r="V440" t="s">
        <v>58</v>
      </c>
      <c r="Z440" t="s">
        <v>58</v>
      </c>
      <c r="AA440" t="s">
        <v>58</v>
      </c>
      <c r="AB440" t="s">
        <v>58</v>
      </c>
      <c r="AC440" t="s">
        <v>58</v>
      </c>
      <c r="AD440" t="s">
        <v>58</v>
      </c>
      <c r="AG440" t="s">
        <v>58</v>
      </c>
      <c r="AH440" t="s">
        <v>58</v>
      </c>
      <c r="AI440" t="s">
        <v>58</v>
      </c>
      <c r="AJ440" t="s">
        <v>58</v>
      </c>
      <c r="AK440" t="s">
        <v>58</v>
      </c>
      <c r="AO440" t="s">
        <v>58</v>
      </c>
      <c r="AP440" t="s">
        <v>58</v>
      </c>
      <c r="AQ440" t="s">
        <v>58</v>
      </c>
      <c r="AR440" t="s">
        <v>58</v>
      </c>
      <c r="AS440" t="s">
        <v>58</v>
      </c>
      <c r="AV440" t="s">
        <v>58</v>
      </c>
      <c r="AW440" t="s">
        <v>58</v>
      </c>
      <c r="AX440" t="s">
        <v>58</v>
      </c>
      <c r="AY440" t="s">
        <v>58</v>
      </c>
      <c r="AZ440" t="s">
        <v>58</v>
      </c>
      <c r="BC440" t="s">
        <v>58</v>
      </c>
      <c r="BD440" t="s">
        <v>58</v>
      </c>
      <c r="BE440" t="s">
        <v>58</v>
      </c>
      <c r="BF440" t="s">
        <v>58</v>
      </c>
      <c r="BG440" t="s">
        <v>58</v>
      </c>
    </row>
    <row r="441" spans="1:59" x14ac:dyDescent="0.3">
      <c r="A441" t="s">
        <v>58</v>
      </c>
      <c r="B441" t="s">
        <v>58</v>
      </c>
      <c r="C441" t="s">
        <v>58</v>
      </c>
      <c r="D441" t="s">
        <v>58</v>
      </c>
      <c r="E441" t="s">
        <v>58</v>
      </c>
      <c r="J441" t="s">
        <v>58</v>
      </c>
      <c r="K441" t="s">
        <v>58</v>
      </c>
      <c r="L441" t="s">
        <v>58</v>
      </c>
      <c r="M441" t="s">
        <v>58</v>
      </c>
      <c r="N441" t="s">
        <v>58</v>
      </c>
      <c r="R441" t="s">
        <v>58</v>
      </c>
      <c r="S441" t="s">
        <v>58</v>
      </c>
      <c r="T441" t="s">
        <v>58</v>
      </c>
      <c r="U441" t="s">
        <v>58</v>
      </c>
      <c r="V441" t="s">
        <v>58</v>
      </c>
      <c r="Z441" t="s">
        <v>58</v>
      </c>
      <c r="AA441" t="s">
        <v>58</v>
      </c>
      <c r="AB441" t="s">
        <v>58</v>
      </c>
      <c r="AC441" t="s">
        <v>58</v>
      </c>
      <c r="AD441" t="s">
        <v>58</v>
      </c>
      <c r="AG441" t="s">
        <v>58</v>
      </c>
      <c r="AH441" t="s">
        <v>58</v>
      </c>
      <c r="AI441" t="s">
        <v>58</v>
      </c>
      <c r="AJ441" t="s">
        <v>58</v>
      </c>
      <c r="AK441" t="s">
        <v>58</v>
      </c>
      <c r="AO441" t="s">
        <v>58</v>
      </c>
      <c r="AP441" t="s">
        <v>58</v>
      </c>
      <c r="AQ441" t="s">
        <v>58</v>
      </c>
      <c r="AR441" t="s">
        <v>58</v>
      </c>
      <c r="AS441" t="s">
        <v>58</v>
      </c>
      <c r="AV441" t="s">
        <v>58</v>
      </c>
      <c r="AW441" t="s">
        <v>58</v>
      </c>
      <c r="AX441" t="s">
        <v>58</v>
      </c>
      <c r="AY441" t="s">
        <v>58</v>
      </c>
      <c r="AZ441" t="s">
        <v>58</v>
      </c>
      <c r="BC441" t="s">
        <v>58</v>
      </c>
      <c r="BD441" t="s">
        <v>58</v>
      </c>
      <c r="BE441" t="s">
        <v>58</v>
      </c>
      <c r="BF441" t="s">
        <v>58</v>
      </c>
      <c r="BG441" t="s">
        <v>58</v>
      </c>
    </row>
    <row r="442" spans="1:59" x14ac:dyDescent="0.3">
      <c r="A442" t="s">
        <v>58</v>
      </c>
      <c r="B442" t="s">
        <v>58</v>
      </c>
      <c r="C442" t="s">
        <v>58</v>
      </c>
      <c r="D442" t="s">
        <v>58</v>
      </c>
      <c r="E442" t="s">
        <v>58</v>
      </c>
      <c r="J442" t="s">
        <v>58</v>
      </c>
      <c r="K442" t="s">
        <v>58</v>
      </c>
      <c r="L442" t="s">
        <v>58</v>
      </c>
      <c r="M442" t="s">
        <v>58</v>
      </c>
      <c r="N442" t="s">
        <v>58</v>
      </c>
      <c r="R442" t="s">
        <v>58</v>
      </c>
      <c r="S442" t="s">
        <v>58</v>
      </c>
      <c r="T442" t="s">
        <v>58</v>
      </c>
      <c r="U442" t="s">
        <v>58</v>
      </c>
      <c r="V442" t="s">
        <v>58</v>
      </c>
      <c r="Z442" t="s">
        <v>58</v>
      </c>
      <c r="AA442" t="s">
        <v>58</v>
      </c>
      <c r="AB442" t="s">
        <v>58</v>
      </c>
      <c r="AC442" t="s">
        <v>58</v>
      </c>
      <c r="AD442" t="s">
        <v>58</v>
      </c>
      <c r="AG442" t="s">
        <v>58</v>
      </c>
      <c r="AH442" t="s">
        <v>58</v>
      </c>
      <c r="AI442" t="s">
        <v>58</v>
      </c>
      <c r="AJ442" t="s">
        <v>58</v>
      </c>
      <c r="AK442" t="s">
        <v>58</v>
      </c>
      <c r="AO442" t="s">
        <v>58</v>
      </c>
      <c r="AP442" t="s">
        <v>58</v>
      </c>
      <c r="AQ442" t="s">
        <v>58</v>
      </c>
      <c r="AR442" t="s">
        <v>58</v>
      </c>
      <c r="AS442" t="s">
        <v>58</v>
      </c>
      <c r="AV442" t="s">
        <v>58</v>
      </c>
      <c r="AW442" t="s">
        <v>58</v>
      </c>
      <c r="AX442" t="s">
        <v>58</v>
      </c>
      <c r="AY442" t="s">
        <v>58</v>
      </c>
      <c r="AZ442" t="s">
        <v>58</v>
      </c>
      <c r="BC442" t="s">
        <v>58</v>
      </c>
      <c r="BD442" t="s">
        <v>58</v>
      </c>
      <c r="BE442" t="s">
        <v>58</v>
      </c>
      <c r="BF442" t="s">
        <v>58</v>
      </c>
      <c r="BG442" t="s">
        <v>58</v>
      </c>
    </row>
    <row r="443" spans="1:59" x14ac:dyDescent="0.3">
      <c r="A443" t="s">
        <v>58</v>
      </c>
      <c r="B443" t="s">
        <v>58</v>
      </c>
      <c r="C443" t="s">
        <v>58</v>
      </c>
      <c r="D443" t="s">
        <v>58</v>
      </c>
      <c r="E443" t="s">
        <v>58</v>
      </c>
      <c r="J443" t="s">
        <v>58</v>
      </c>
      <c r="K443" t="s">
        <v>58</v>
      </c>
      <c r="L443" t="s">
        <v>58</v>
      </c>
      <c r="M443" t="s">
        <v>58</v>
      </c>
      <c r="N443" t="s">
        <v>58</v>
      </c>
      <c r="R443" t="s">
        <v>58</v>
      </c>
      <c r="S443" t="s">
        <v>58</v>
      </c>
      <c r="T443" t="s">
        <v>58</v>
      </c>
      <c r="U443" t="s">
        <v>58</v>
      </c>
      <c r="V443" t="s">
        <v>58</v>
      </c>
      <c r="Z443" t="s">
        <v>58</v>
      </c>
      <c r="AA443" t="s">
        <v>58</v>
      </c>
      <c r="AB443" t="s">
        <v>58</v>
      </c>
      <c r="AC443" t="s">
        <v>58</v>
      </c>
      <c r="AD443" t="s">
        <v>58</v>
      </c>
      <c r="AG443" t="s">
        <v>58</v>
      </c>
      <c r="AH443" t="s">
        <v>58</v>
      </c>
      <c r="AI443" t="s">
        <v>58</v>
      </c>
      <c r="AJ443" t="s">
        <v>58</v>
      </c>
      <c r="AK443" t="s">
        <v>58</v>
      </c>
      <c r="AO443" t="s">
        <v>58</v>
      </c>
      <c r="AP443" t="s">
        <v>58</v>
      </c>
      <c r="AQ443" t="s">
        <v>58</v>
      </c>
      <c r="AR443" t="s">
        <v>58</v>
      </c>
      <c r="AS443" t="s">
        <v>58</v>
      </c>
      <c r="AV443" t="s">
        <v>58</v>
      </c>
      <c r="AW443" t="s">
        <v>58</v>
      </c>
      <c r="AX443" t="s">
        <v>58</v>
      </c>
      <c r="AY443" t="s">
        <v>58</v>
      </c>
      <c r="AZ443" t="s">
        <v>58</v>
      </c>
      <c r="BC443" t="s">
        <v>58</v>
      </c>
      <c r="BD443" t="s">
        <v>58</v>
      </c>
      <c r="BE443" t="s">
        <v>58</v>
      </c>
      <c r="BF443" t="s">
        <v>58</v>
      </c>
      <c r="BG443" t="s">
        <v>58</v>
      </c>
    </row>
    <row r="444" spans="1:59" x14ac:dyDescent="0.3">
      <c r="A444" t="s">
        <v>58</v>
      </c>
      <c r="B444" t="s">
        <v>58</v>
      </c>
      <c r="C444" t="s">
        <v>58</v>
      </c>
      <c r="D444" t="s">
        <v>58</v>
      </c>
      <c r="E444" t="s">
        <v>58</v>
      </c>
      <c r="J444" t="s">
        <v>58</v>
      </c>
      <c r="K444" t="s">
        <v>58</v>
      </c>
      <c r="L444" t="s">
        <v>58</v>
      </c>
      <c r="M444" t="s">
        <v>58</v>
      </c>
      <c r="N444" t="s">
        <v>58</v>
      </c>
      <c r="R444" t="s">
        <v>58</v>
      </c>
      <c r="S444" t="s">
        <v>58</v>
      </c>
      <c r="T444" t="s">
        <v>58</v>
      </c>
      <c r="U444" t="s">
        <v>58</v>
      </c>
      <c r="V444" t="s">
        <v>58</v>
      </c>
      <c r="Z444" t="s">
        <v>58</v>
      </c>
      <c r="AA444" t="s">
        <v>58</v>
      </c>
      <c r="AB444" t="s">
        <v>58</v>
      </c>
      <c r="AC444" t="s">
        <v>58</v>
      </c>
      <c r="AD444" t="s">
        <v>58</v>
      </c>
      <c r="AG444" t="s">
        <v>58</v>
      </c>
      <c r="AH444" t="s">
        <v>58</v>
      </c>
      <c r="AI444" t="s">
        <v>58</v>
      </c>
      <c r="AJ444" t="s">
        <v>58</v>
      </c>
      <c r="AK444" t="s">
        <v>58</v>
      </c>
      <c r="AO444" t="s">
        <v>58</v>
      </c>
      <c r="AP444" t="s">
        <v>58</v>
      </c>
      <c r="AQ444" t="s">
        <v>58</v>
      </c>
      <c r="AR444" t="s">
        <v>58</v>
      </c>
      <c r="AS444" t="s">
        <v>58</v>
      </c>
      <c r="AV444" t="s">
        <v>58</v>
      </c>
      <c r="AW444" t="s">
        <v>58</v>
      </c>
      <c r="AX444" t="s">
        <v>58</v>
      </c>
      <c r="AY444" t="s">
        <v>58</v>
      </c>
      <c r="AZ444" t="s">
        <v>58</v>
      </c>
      <c r="BC444" t="s">
        <v>58</v>
      </c>
      <c r="BD444" t="s">
        <v>58</v>
      </c>
      <c r="BE444" t="s">
        <v>58</v>
      </c>
      <c r="BF444" t="s">
        <v>58</v>
      </c>
      <c r="BG444" t="s">
        <v>58</v>
      </c>
    </row>
    <row r="445" spans="1:59" x14ac:dyDescent="0.3">
      <c r="A445" t="s">
        <v>58</v>
      </c>
      <c r="B445" t="s">
        <v>58</v>
      </c>
      <c r="C445" t="s">
        <v>58</v>
      </c>
      <c r="D445" t="s">
        <v>58</v>
      </c>
      <c r="E445" t="s">
        <v>58</v>
      </c>
      <c r="J445" t="s">
        <v>58</v>
      </c>
      <c r="K445" t="s">
        <v>58</v>
      </c>
      <c r="L445" t="s">
        <v>58</v>
      </c>
      <c r="M445" t="s">
        <v>58</v>
      </c>
      <c r="N445" t="s">
        <v>58</v>
      </c>
      <c r="R445" t="s">
        <v>58</v>
      </c>
      <c r="S445" t="s">
        <v>58</v>
      </c>
      <c r="T445" t="s">
        <v>58</v>
      </c>
      <c r="U445" t="s">
        <v>58</v>
      </c>
      <c r="V445" t="s">
        <v>58</v>
      </c>
      <c r="Z445" t="s">
        <v>58</v>
      </c>
      <c r="AA445" t="s">
        <v>58</v>
      </c>
      <c r="AB445" t="s">
        <v>58</v>
      </c>
      <c r="AC445" t="s">
        <v>58</v>
      </c>
      <c r="AD445" t="s">
        <v>58</v>
      </c>
      <c r="AG445" t="s">
        <v>58</v>
      </c>
      <c r="AH445" t="s">
        <v>58</v>
      </c>
      <c r="AI445" t="s">
        <v>58</v>
      </c>
      <c r="AJ445" t="s">
        <v>58</v>
      </c>
      <c r="AK445" t="s">
        <v>58</v>
      </c>
      <c r="AO445" t="s">
        <v>58</v>
      </c>
      <c r="AP445" t="s">
        <v>58</v>
      </c>
      <c r="AQ445" t="s">
        <v>58</v>
      </c>
      <c r="AR445" t="s">
        <v>58</v>
      </c>
      <c r="AS445" t="s">
        <v>58</v>
      </c>
      <c r="AV445" t="s">
        <v>58</v>
      </c>
      <c r="AW445" t="s">
        <v>58</v>
      </c>
      <c r="AX445" t="s">
        <v>58</v>
      </c>
      <c r="AY445" t="s">
        <v>58</v>
      </c>
      <c r="AZ445" t="s">
        <v>58</v>
      </c>
      <c r="BC445" t="s">
        <v>58</v>
      </c>
      <c r="BD445" t="s">
        <v>58</v>
      </c>
      <c r="BE445" t="s">
        <v>58</v>
      </c>
      <c r="BF445" t="s">
        <v>58</v>
      </c>
      <c r="BG445" t="s">
        <v>58</v>
      </c>
    </row>
    <row r="446" spans="1:59" x14ac:dyDescent="0.3">
      <c r="A446" t="s">
        <v>58</v>
      </c>
      <c r="B446" t="s">
        <v>58</v>
      </c>
      <c r="C446" t="s">
        <v>58</v>
      </c>
      <c r="D446" t="s">
        <v>58</v>
      </c>
      <c r="E446" t="s">
        <v>58</v>
      </c>
      <c r="J446" t="s">
        <v>58</v>
      </c>
      <c r="K446" t="s">
        <v>58</v>
      </c>
      <c r="L446" t="s">
        <v>58</v>
      </c>
      <c r="M446" t="s">
        <v>58</v>
      </c>
      <c r="N446" t="s">
        <v>58</v>
      </c>
      <c r="R446" t="s">
        <v>58</v>
      </c>
      <c r="S446" t="s">
        <v>58</v>
      </c>
      <c r="T446" t="s">
        <v>58</v>
      </c>
      <c r="U446" t="s">
        <v>58</v>
      </c>
      <c r="V446" t="s">
        <v>58</v>
      </c>
      <c r="Z446" t="s">
        <v>58</v>
      </c>
      <c r="AA446" t="s">
        <v>58</v>
      </c>
      <c r="AB446" t="s">
        <v>58</v>
      </c>
      <c r="AC446" t="s">
        <v>58</v>
      </c>
      <c r="AD446" t="s">
        <v>58</v>
      </c>
      <c r="AG446" t="s">
        <v>58</v>
      </c>
      <c r="AH446" t="s">
        <v>58</v>
      </c>
      <c r="AI446" t="s">
        <v>58</v>
      </c>
      <c r="AJ446" t="s">
        <v>58</v>
      </c>
      <c r="AK446" t="s">
        <v>58</v>
      </c>
      <c r="AO446" t="s">
        <v>58</v>
      </c>
      <c r="AP446" t="s">
        <v>58</v>
      </c>
      <c r="AQ446" t="s">
        <v>58</v>
      </c>
      <c r="AR446" t="s">
        <v>58</v>
      </c>
      <c r="AS446" t="s">
        <v>58</v>
      </c>
      <c r="AV446" t="s">
        <v>58</v>
      </c>
      <c r="AW446" t="s">
        <v>58</v>
      </c>
      <c r="AX446" t="s">
        <v>58</v>
      </c>
      <c r="AY446" t="s">
        <v>58</v>
      </c>
      <c r="AZ446" t="s">
        <v>58</v>
      </c>
      <c r="BC446" t="s">
        <v>58</v>
      </c>
      <c r="BD446" t="s">
        <v>58</v>
      </c>
      <c r="BE446" t="s">
        <v>58</v>
      </c>
      <c r="BF446" t="s">
        <v>58</v>
      </c>
      <c r="BG446" t="s">
        <v>58</v>
      </c>
    </row>
    <row r="447" spans="1:59" x14ac:dyDescent="0.3">
      <c r="A447" t="s">
        <v>58</v>
      </c>
      <c r="B447" t="s">
        <v>58</v>
      </c>
      <c r="C447" t="s">
        <v>58</v>
      </c>
      <c r="D447" t="s">
        <v>58</v>
      </c>
      <c r="E447" t="s">
        <v>58</v>
      </c>
      <c r="J447" t="s">
        <v>58</v>
      </c>
      <c r="K447" t="s">
        <v>58</v>
      </c>
      <c r="L447" t="s">
        <v>58</v>
      </c>
      <c r="M447" t="s">
        <v>58</v>
      </c>
      <c r="N447" t="s">
        <v>58</v>
      </c>
      <c r="R447" t="s">
        <v>58</v>
      </c>
      <c r="S447" t="s">
        <v>58</v>
      </c>
      <c r="T447" t="s">
        <v>58</v>
      </c>
      <c r="U447" t="s">
        <v>58</v>
      </c>
      <c r="V447" t="s">
        <v>58</v>
      </c>
      <c r="Z447" t="s">
        <v>58</v>
      </c>
      <c r="AA447" t="s">
        <v>58</v>
      </c>
      <c r="AB447" t="s">
        <v>58</v>
      </c>
      <c r="AC447" t="s">
        <v>58</v>
      </c>
      <c r="AD447" t="s">
        <v>58</v>
      </c>
      <c r="AG447" t="s">
        <v>58</v>
      </c>
      <c r="AH447" t="s">
        <v>58</v>
      </c>
      <c r="AI447" t="s">
        <v>58</v>
      </c>
      <c r="AJ447" t="s">
        <v>58</v>
      </c>
      <c r="AK447" t="s">
        <v>58</v>
      </c>
      <c r="AO447" t="s">
        <v>58</v>
      </c>
      <c r="AP447" t="s">
        <v>58</v>
      </c>
      <c r="AQ447" t="s">
        <v>58</v>
      </c>
      <c r="AR447" t="s">
        <v>58</v>
      </c>
      <c r="AS447" t="s">
        <v>58</v>
      </c>
      <c r="AV447" t="s">
        <v>58</v>
      </c>
      <c r="AW447" t="s">
        <v>58</v>
      </c>
      <c r="AX447" t="s">
        <v>58</v>
      </c>
      <c r="AY447" t="s">
        <v>58</v>
      </c>
      <c r="AZ447" t="s">
        <v>58</v>
      </c>
      <c r="BC447" t="s">
        <v>58</v>
      </c>
      <c r="BD447" t="s">
        <v>58</v>
      </c>
      <c r="BE447" t="s">
        <v>58</v>
      </c>
      <c r="BF447" t="s">
        <v>58</v>
      </c>
      <c r="BG447" t="s">
        <v>58</v>
      </c>
    </row>
    <row r="448" spans="1:59" x14ac:dyDescent="0.3">
      <c r="A448" t="s">
        <v>58</v>
      </c>
      <c r="B448" t="s">
        <v>58</v>
      </c>
      <c r="C448" t="s">
        <v>58</v>
      </c>
      <c r="D448" t="s">
        <v>58</v>
      </c>
      <c r="E448" t="s">
        <v>58</v>
      </c>
      <c r="J448" t="s">
        <v>58</v>
      </c>
      <c r="K448" t="s">
        <v>58</v>
      </c>
      <c r="L448" t="s">
        <v>58</v>
      </c>
      <c r="M448" t="s">
        <v>58</v>
      </c>
      <c r="N448" t="s">
        <v>58</v>
      </c>
      <c r="R448" t="s">
        <v>58</v>
      </c>
      <c r="S448" t="s">
        <v>58</v>
      </c>
      <c r="T448" t="s">
        <v>58</v>
      </c>
      <c r="U448" t="s">
        <v>58</v>
      </c>
      <c r="V448" t="s">
        <v>58</v>
      </c>
      <c r="Z448" t="s">
        <v>58</v>
      </c>
      <c r="AA448" t="s">
        <v>58</v>
      </c>
      <c r="AB448" t="s">
        <v>58</v>
      </c>
      <c r="AC448" t="s">
        <v>58</v>
      </c>
      <c r="AD448" t="s">
        <v>58</v>
      </c>
      <c r="AG448" t="s">
        <v>58</v>
      </c>
      <c r="AH448" t="s">
        <v>58</v>
      </c>
      <c r="AI448" t="s">
        <v>58</v>
      </c>
      <c r="AJ448" t="s">
        <v>58</v>
      </c>
      <c r="AK448" t="s">
        <v>58</v>
      </c>
      <c r="AO448" t="s">
        <v>58</v>
      </c>
      <c r="AP448" t="s">
        <v>58</v>
      </c>
      <c r="AQ448" t="s">
        <v>58</v>
      </c>
      <c r="AR448" t="s">
        <v>58</v>
      </c>
      <c r="AS448" t="s">
        <v>58</v>
      </c>
      <c r="AV448" t="s">
        <v>58</v>
      </c>
      <c r="AW448" t="s">
        <v>58</v>
      </c>
      <c r="AX448" t="s">
        <v>58</v>
      </c>
      <c r="AY448" t="s">
        <v>58</v>
      </c>
      <c r="AZ448" t="s">
        <v>58</v>
      </c>
      <c r="BC448" t="s">
        <v>58</v>
      </c>
      <c r="BD448" t="s">
        <v>58</v>
      </c>
      <c r="BE448" t="s">
        <v>58</v>
      </c>
      <c r="BF448" t="s">
        <v>58</v>
      </c>
      <c r="BG448" t="s">
        <v>58</v>
      </c>
    </row>
    <row r="449" spans="1:59" x14ac:dyDescent="0.3">
      <c r="A449" t="s">
        <v>58</v>
      </c>
      <c r="B449" t="s">
        <v>58</v>
      </c>
      <c r="C449" t="s">
        <v>58</v>
      </c>
      <c r="D449" t="s">
        <v>58</v>
      </c>
      <c r="E449" t="s">
        <v>58</v>
      </c>
      <c r="J449" t="s">
        <v>58</v>
      </c>
      <c r="K449" t="s">
        <v>58</v>
      </c>
      <c r="L449" t="s">
        <v>58</v>
      </c>
      <c r="M449" t="s">
        <v>58</v>
      </c>
      <c r="N449" t="s">
        <v>58</v>
      </c>
      <c r="R449" t="s">
        <v>58</v>
      </c>
      <c r="S449" t="s">
        <v>58</v>
      </c>
      <c r="T449" t="s">
        <v>58</v>
      </c>
      <c r="U449" t="s">
        <v>58</v>
      </c>
      <c r="V449" t="s">
        <v>58</v>
      </c>
      <c r="Z449" t="s">
        <v>58</v>
      </c>
      <c r="AA449" t="s">
        <v>58</v>
      </c>
      <c r="AB449" t="s">
        <v>58</v>
      </c>
      <c r="AC449" t="s">
        <v>58</v>
      </c>
      <c r="AD449" t="s">
        <v>58</v>
      </c>
      <c r="AG449" t="s">
        <v>58</v>
      </c>
      <c r="AH449" t="s">
        <v>58</v>
      </c>
      <c r="AI449" t="s">
        <v>58</v>
      </c>
      <c r="AJ449" t="s">
        <v>58</v>
      </c>
      <c r="AK449" t="s">
        <v>58</v>
      </c>
      <c r="AO449" t="s">
        <v>58</v>
      </c>
      <c r="AP449" t="s">
        <v>58</v>
      </c>
      <c r="AQ449" t="s">
        <v>58</v>
      </c>
      <c r="AR449" t="s">
        <v>58</v>
      </c>
      <c r="AS449" t="s">
        <v>58</v>
      </c>
      <c r="AV449" t="s">
        <v>58</v>
      </c>
      <c r="AW449" t="s">
        <v>58</v>
      </c>
      <c r="AX449" t="s">
        <v>58</v>
      </c>
      <c r="AY449" t="s">
        <v>58</v>
      </c>
      <c r="AZ449" t="s">
        <v>58</v>
      </c>
      <c r="BC449" t="s">
        <v>58</v>
      </c>
      <c r="BD449" t="s">
        <v>58</v>
      </c>
      <c r="BE449" t="s">
        <v>58</v>
      </c>
      <c r="BF449" t="s">
        <v>58</v>
      </c>
      <c r="BG449" t="s">
        <v>58</v>
      </c>
    </row>
    <row r="450" spans="1:59" x14ac:dyDescent="0.3">
      <c r="A450" t="s">
        <v>58</v>
      </c>
      <c r="B450" t="s">
        <v>58</v>
      </c>
      <c r="C450" t="s">
        <v>58</v>
      </c>
      <c r="D450" t="s">
        <v>58</v>
      </c>
      <c r="E450" t="s">
        <v>58</v>
      </c>
      <c r="J450" t="s">
        <v>58</v>
      </c>
      <c r="K450" t="s">
        <v>58</v>
      </c>
      <c r="L450" t="s">
        <v>58</v>
      </c>
      <c r="M450" t="s">
        <v>58</v>
      </c>
      <c r="N450" t="s">
        <v>58</v>
      </c>
      <c r="R450" t="s">
        <v>58</v>
      </c>
      <c r="S450" t="s">
        <v>58</v>
      </c>
      <c r="T450" t="s">
        <v>58</v>
      </c>
      <c r="U450" t="s">
        <v>58</v>
      </c>
      <c r="V450" t="s">
        <v>58</v>
      </c>
      <c r="Z450" t="s">
        <v>58</v>
      </c>
      <c r="AA450" t="s">
        <v>58</v>
      </c>
      <c r="AB450" t="s">
        <v>58</v>
      </c>
      <c r="AC450" t="s">
        <v>58</v>
      </c>
      <c r="AD450" t="s">
        <v>58</v>
      </c>
      <c r="AG450" t="s">
        <v>58</v>
      </c>
      <c r="AH450" t="s">
        <v>58</v>
      </c>
      <c r="AI450" t="s">
        <v>58</v>
      </c>
      <c r="AJ450" t="s">
        <v>58</v>
      </c>
      <c r="AK450" t="s">
        <v>58</v>
      </c>
      <c r="AO450" t="s">
        <v>58</v>
      </c>
      <c r="AP450" t="s">
        <v>58</v>
      </c>
      <c r="AQ450" t="s">
        <v>58</v>
      </c>
      <c r="AR450" t="s">
        <v>58</v>
      </c>
      <c r="AS450" t="s">
        <v>58</v>
      </c>
      <c r="AV450" t="s">
        <v>58</v>
      </c>
      <c r="AW450" t="s">
        <v>58</v>
      </c>
      <c r="AX450" t="s">
        <v>58</v>
      </c>
      <c r="AY450" t="s">
        <v>58</v>
      </c>
      <c r="AZ450" t="s">
        <v>58</v>
      </c>
      <c r="BC450" t="s">
        <v>58</v>
      </c>
      <c r="BD450" t="s">
        <v>58</v>
      </c>
      <c r="BE450" t="s">
        <v>58</v>
      </c>
      <c r="BF450" t="s">
        <v>58</v>
      </c>
      <c r="BG450" t="s">
        <v>58</v>
      </c>
    </row>
    <row r="451" spans="1:59" x14ac:dyDescent="0.3">
      <c r="A451" t="s">
        <v>58</v>
      </c>
      <c r="B451" t="s">
        <v>58</v>
      </c>
      <c r="C451" t="s">
        <v>58</v>
      </c>
      <c r="D451" t="s">
        <v>58</v>
      </c>
      <c r="E451" t="s">
        <v>58</v>
      </c>
      <c r="J451" t="s">
        <v>58</v>
      </c>
      <c r="K451" t="s">
        <v>58</v>
      </c>
      <c r="L451" t="s">
        <v>58</v>
      </c>
      <c r="M451" t="s">
        <v>58</v>
      </c>
      <c r="N451" t="s">
        <v>58</v>
      </c>
      <c r="R451" t="s">
        <v>58</v>
      </c>
      <c r="S451" t="s">
        <v>58</v>
      </c>
      <c r="T451" t="s">
        <v>58</v>
      </c>
      <c r="U451" t="s">
        <v>58</v>
      </c>
      <c r="V451" t="s">
        <v>58</v>
      </c>
      <c r="Z451" t="s">
        <v>58</v>
      </c>
      <c r="AA451" t="s">
        <v>58</v>
      </c>
      <c r="AB451" t="s">
        <v>58</v>
      </c>
      <c r="AC451" t="s">
        <v>58</v>
      </c>
      <c r="AD451" t="s">
        <v>58</v>
      </c>
      <c r="AG451" t="s">
        <v>58</v>
      </c>
      <c r="AH451" t="s">
        <v>58</v>
      </c>
      <c r="AI451" t="s">
        <v>58</v>
      </c>
      <c r="AJ451" t="s">
        <v>58</v>
      </c>
      <c r="AK451" t="s">
        <v>58</v>
      </c>
      <c r="AO451" t="s">
        <v>58</v>
      </c>
      <c r="AP451" t="s">
        <v>58</v>
      </c>
      <c r="AQ451" t="s">
        <v>58</v>
      </c>
      <c r="AR451" t="s">
        <v>58</v>
      </c>
      <c r="AS451" t="s">
        <v>58</v>
      </c>
      <c r="AV451" t="s">
        <v>58</v>
      </c>
      <c r="AW451" t="s">
        <v>58</v>
      </c>
      <c r="AX451" t="s">
        <v>58</v>
      </c>
      <c r="AY451" t="s">
        <v>58</v>
      </c>
      <c r="AZ451" t="s">
        <v>58</v>
      </c>
      <c r="BC451" t="s">
        <v>58</v>
      </c>
      <c r="BD451" t="s">
        <v>58</v>
      </c>
      <c r="BE451" t="s">
        <v>58</v>
      </c>
      <c r="BF451" t="s">
        <v>58</v>
      </c>
      <c r="BG451" t="s">
        <v>58</v>
      </c>
    </row>
    <row r="452" spans="1:59" x14ac:dyDescent="0.3">
      <c r="A452" t="s">
        <v>58</v>
      </c>
      <c r="B452" t="s">
        <v>58</v>
      </c>
      <c r="C452" t="s">
        <v>58</v>
      </c>
      <c r="D452" t="s">
        <v>58</v>
      </c>
      <c r="E452" t="s">
        <v>58</v>
      </c>
      <c r="J452" t="s">
        <v>58</v>
      </c>
      <c r="K452" t="s">
        <v>58</v>
      </c>
      <c r="L452" t="s">
        <v>58</v>
      </c>
      <c r="M452" t="s">
        <v>58</v>
      </c>
      <c r="N452" t="s">
        <v>58</v>
      </c>
      <c r="R452" t="s">
        <v>58</v>
      </c>
      <c r="S452" t="s">
        <v>58</v>
      </c>
      <c r="T452" t="s">
        <v>58</v>
      </c>
      <c r="U452" t="s">
        <v>58</v>
      </c>
      <c r="V452" t="s">
        <v>58</v>
      </c>
      <c r="Z452" t="s">
        <v>58</v>
      </c>
      <c r="AA452" t="s">
        <v>58</v>
      </c>
      <c r="AB452" t="s">
        <v>58</v>
      </c>
      <c r="AC452" t="s">
        <v>58</v>
      </c>
      <c r="AD452" t="s">
        <v>58</v>
      </c>
      <c r="AG452" t="s">
        <v>58</v>
      </c>
      <c r="AH452" t="s">
        <v>58</v>
      </c>
      <c r="AI452" t="s">
        <v>58</v>
      </c>
      <c r="AJ452" t="s">
        <v>58</v>
      </c>
      <c r="AK452" t="s">
        <v>58</v>
      </c>
      <c r="AO452" t="s">
        <v>58</v>
      </c>
      <c r="AP452" t="s">
        <v>58</v>
      </c>
      <c r="AQ452" t="s">
        <v>58</v>
      </c>
      <c r="AR452" t="s">
        <v>58</v>
      </c>
      <c r="AS452" t="s">
        <v>58</v>
      </c>
      <c r="AV452" t="s">
        <v>58</v>
      </c>
      <c r="AW452" t="s">
        <v>58</v>
      </c>
      <c r="AX452" t="s">
        <v>58</v>
      </c>
      <c r="AY452" t="s">
        <v>58</v>
      </c>
      <c r="AZ452" t="s">
        <v>58</v>
      </c>
      <c r="BC452" t="s">
        <v>58</v>
      </c>
      <c r="BD452" t="s">
        <v>58</v>
      </c>
      <c r="BE452" t="s">
        <v>58</v>
      </c>
      <c r="BF452" t="s">
        <v>58</v>
      </c>
      <c r="BG452" t="s">
        <v>58</v>
      </c>
    </row>
    <row r="453" spans="1:59" x14ac:dyDescent="0.3">
      <c r="A453" t="s">
        <v>58</v>
      </c>
      <c r="B453" t="s">
        <v>58</v>
      </c>
      <c r="C453" t="s">
        <v>58</v>
      </c>
      <c r="D453" t="s">
        <v>58</v>
      </c>
      <c r="E453" t="s">
        <v>58</v>
      </c>
      <c r="J453" t="s">
        <v>58</v>
      </c>
      <c r="K453" t="s">
        <v>58</v>
      </c>
      <c r="L453" t="s">
        <v>58</v>
      </c>
      <c r="M453" t="s">
        <v>58</v>
      </c>
      <c r="N453" t="s">
        <v>58</v>
      </c>
      <c r="R453" t="s">
        <v>58</v>
      </c>
      <c r="S453" t="s">
        <v>58</v>
      </c>
      <c r="T453" t="s">
        <v>58</v>
      </c>
      <c r="U453" t="s">
        <v>58</v>
      </c>
      <c r="V453" t="s">
        <v>58</v>
      </c>
      <c r="Z453" t="s">
        <v>58</v>
      </c>
      <c r="AA453" t="s">
        <v>58</v>
      </c>
      <c r="AB453" t="s">
        <v>58</v>
      </c>
      <c r="AC453" t="s">
        <v>58</v>
      </c>
      <c r="AD453" t="s">
        <v>58</v>
      </c>
      <c r="AG453" t="s">
        <v>58</v>
      </c>
      <c r="AH453" t="s">
        <v>58</v>
      </c>
      <c r="AI453" t="s">
        <v>58</v>
      </c>
      <c r="AJ453" t="s">
        <v>58</v>
      </c>
      <c r="AK453" t="s">
        <v>58</v>
      </c>
      <c r="AO453" t="s">
        <v>58</v>
      </c>
      <c r="AP453" t="s">
        <v>58</v>
      </c>
      <c r="AQ453" t="s">
        <v>58</v>
      </c>
      <c r="AR453" t="s">
        <v>58</v>
      </c>
      <c r="AS453" t="s">
        <v>58</v>
      </c>
      <c r="AV453" t="s">
        <v>58</v>
      </c>
      <c r="AW453" t="s">
        <v>58</v>
      </c>
      <c r="AX453" t="s">
        <v>58</v>
      </c>
      <c r="AY453" t="s">
        <v>58</v>
      </c>
      <c r="AZ453" t="s">
        <v>58</v>
      </c>
      <c r="BC453" t="s">
        <v>58</v>
      </c>
      <c r="BD453" t="s">
        <v>58</v>
      </c>
      <c r="BE453" t="s">
        <v>58</v>
      </c>
      <c r="BF453" t="s">
        <v>58</v>
      </c>
      <c r="BG453" t="s">
        <v>58</v>
      </c>
    </row>
    <row r="454" spans="1:59" x14ac:dyDescent="0.3">
      <c r="A454" t="s">
        <v>58</v>
      </c>
      <c r="B454" t="s">
        <v>58</v>
      </c>
      <c r="C454" t="s">
        <v>58</v>
      </c>
      <c r="D454" t="s">
        <v>58</v>
      </c>
      <c r="E454" t="s">
        <v>58</v>
      </c>
      <c r="J454" t="s">
        <v>58</v>
      </c>
      <c r="K454" t="s">
        <v>58</v>
      </c>
      <c r="L454" t="s">
        <v>58</v>
      </c>
      <c r="M454" t="s">
        <v>58</v>
      </c>
      <c r="N454" t="s">
        <v>58</v>
      </c>
      <c r="R454" t="s">
        <v>58</v>
      </c>
      <c r="S454" t="s">
        <v>58</v>
      </c>
      <c r="T454" t="s">
        <v>58</v>
      </c>
      <c r="U454" t="s">
        <v>58</v>
      </c>
      <c r="V454" t="s">
        <v>58</v>
      </c>
      <c r="Z454" t="s">
        <v>58</v>
      </c>
      <c r="AA454" t="s">
        <v>58</v>
      </c>
      <c r="AB454" t="s">
        <v>58</v>
      </c>
      <c r="AC454" t="s">
        <v>58</v>
      </c>
      <c r="AD454" t="s">
        <v>58</v>
      </c>
      <c r="AG454" t="s">
        <v>58</v>
      </c>
      <c r="AH454" t="s">
        <v>58</v>
      </c>
      <c r="AI454" t="s">
        <v>58</v>
      </c>
      <c r="AJ454" t="s">
        <v>58</v>
      </c>
      <c r="AK454" t="s">
        <v>58</v>
      </c>
      <c r="AO454" t="s">
        <v>58</v>
      </c>
      <c r="AP454" t="s">
        <v>58</v>
      </c>
      <c r="AQ454" t="s">
        <v>58</v>
      </c>
      <c r="AR454" t="s">
        <v>58</v>
      </c>
      <c r="AS454" t="s">
        <v>58</v>
      </c>
      <c r="AV454" t="s">
        <v>58</v>
      </c>
      <c r="AW454" t="s">
        <v>58</v>
      </c>
      <c r="AX454" t="s">
        <v>58</v>
      </c>
      <c r="AY454" t="s">
        <v>58</v>
      </c>
      <c r="AZ454" t="s">
        <v>58</v>
      </c>
      <c r="BC454" t="s">
        <v>58</v>
      </c>
      <c r="BD454" t="s">
        <v>58</v>
      </c>
      <c r="BE454" t="s">
        <v>58</v>
      </c>
      <c r="BF454" t="s">
        <v>58</v>
      </c>
      <c r="BG454" t="s">
        <v>58</v>
      </c>
    </row>
    <row r="455" spans="1:59" x14ac:dyDescent="0.3">
      <c r="A455" t="s">
        <v>58</v>
      </c>
      <c r="B455" t="s">
        <v>58</v>
      </c>
      <c r="C455" t="s">
        <v>58</v>
      </c>
      <c r="D455" t="s">
        <v>58</v>
      </c>
      <c r="E455" t="s">
        <v>58</v>
      </c>
      <c r="J455" t="s">
        <v>58</v>
      </c>
      <c r="K455" t="s">
        <v>58</v>
      </c>
      <c r="L455" t="s">
        <v>58</v>
      </c>
      <c r="M455" t="s">
        <v>58</v>
      </c>
      <c r="N455" t="s">
        <v>58</v>
      </c>
      <c r="R455" t="s">
        <v>58</v>
      </c>
      <c r="S455" t="s">
        <v>58</v>
      </c>
      <c r="T455" t="s">
        <v>58</v>
      </c>
      <c r="U455" t="s">
        <v>58</v>
      </c>
      <c r="V455" t="s">
        <v>58</v>
      </c>
      <c r="Z455" t="s">
        <v>58</v>
      </c>
      <c r="AA455" t="s">
        <v>58</v>
      </c>
      <c r="AB455" t="s">
        <v>58</v>
      </c>
      <c r="AC455" t="s">
        <v>58</v>
      </c>
      <c r="AD455" t="s">
        <v>58</v>
      </c>
      <c r="AG455" t="s">
        <v>58</v>
      </c>
      <c r="AH455" t="s">
        <v>58</v>
      </c>
      <c r="AI455" t="s">
        <v>58</v>
      </c>
      <c r="AJ455" t="s">
        <v>58</v>
      </c>
      <c r="AK455" t="s">
        <v>58</v>
      </c>
      <c r="AO455" t="s">
        <v>58</v>
      </c>
      <c r="AP455" t="s">
        <v>58</v>
      </c>
      <c r="AQ455" t="s">
        <v>58</v>
      </c>
      <c r="AR455" t="s">
        <v>58</v>
      </c>
      <c r="AS455" t="s">
        <v>58</v>
      </c>
      <c r="AV455" t="s">
        <v>58</v>
      </c>
      <c r="AW455" t="s">
        <v>58</v>
      </c>
      <c r="AX455" t="s">
        <v>58</v>
      </c>
      <c r="AY455" t="s">
        <v>58</v>
      </c>
      <c r="AZ455" t="s">
        <v>58</v>
      </c>
      <c r="BC455" t="s">
        <v>58</v>
      </c>
      <c r="BD455" t="s">
        <v>58</v>
      </c>
      <c r="BE455" t="s">
        <v>58</v>
      </c>
      <c r="BF455" t="s">
        <v>58</v>
      </c>
      <c r="BG455" t="s">
        <v>58</v>
      </c>
    </row>
    <row r="456" spans="1:59" x14ac:dyDescent="0.3">
      <c r="A456" t="s">
        <v>58</v>
      </c>
      <c r="B456" t="s">
        <v>58</v>
      </c>
      <c r="C456" t="s">
        <v>58</v>
      </c>
      <c r="D456" t="s">
        <v>58</v>
      </c>
      <c r="E456" t="s">
        <v>58</v>
      </c>
      <c r="J456" t="s">
        <v>58</v>
      </c>
      <c r="K456" t="s">
        <v>58</v>
      </c>
      <c r="L456" t="s">
        <v>58</v>
      </c>
      <c r="M456" t="s">
        <v>58</v>
      </c>
      <c r="N456" t="s">
        <v>58</v>
      </c>
      <c r="R456" t="s">
        <v>58</v>
      </c>
      <c r="S456" t="s">
        <v>58</v>
      </c>
      <c r="T456" t="s">
        <v>58</v>
      </c>
      <c r="U456" t="s">
        <v>58</v>
      </c>
      <c r="V456" t="s">
        <v>58</v>
      </c>
      <c r="Z456" t="s">
        <v>58</v>
      </c>
      <c r="AA456" t="s">
        <v>58</v>
      </c>
      <c r="AB456" t="s">
        <v>58</v>
      </c>
      <c r="AC456" t="s">
        <v>58</v>
      </c>
      <c r="AD456" t="s">
        <v>58</v>
      </c>
      <c r="AG456" t="s">
        <v>58</v>
      </c>
      <c r="AH456" t="s">
        <v>58</v>
      </c>
      <c r="AI456" t="s">
        <v>58</v>
      </c>
      <c r="AJ456" t="s">
        <v>58</v>
      </c>
      <c r="AK456" t="s">
        <v>58</v>
      </c>
      <c r="AO456" t="s">
        <v>58</v>
      </c>
      <c r="AP456" t="s">
        <v>58</v>
      </c>
      <c r="AQ456" t="s">
        <v>58</v>
      </c>
      <c r="AR456" t="s">
        <v>58</v>
      </c>
      <c r="AS456" t="s">
        <v>58</v>
      </c>
      <c r="AV456" t="s">
        <v>58</v>
      </c>
      <c r="AW456" t="s">
        <v>58</v>
      </c>
      <c r="AX456" t="s">
        <v>58</v>
      </c>
      <c r="AY456" t="s">
        <v>58</v>
      </c>
      <c r="AZ456" t="s">
        <v>58</v>
      </c>
      <c r="BC456" t="s">
        <v>58</v>
      </c>
      <c r="BD456" t="s">
        <v>58</v>
      </c>
      <c r="BE456" t="s">
        <v>58</v>
      </c>
      <c r="BF456" t="s">
        <v>58</v>
      </c>
      <c r="BG456" t="s">
        <v>58</v>
      </c>
    </row>
    <row r="457" spans="1:59" x14ac:dyDescent="0.3">
      <c r="A457" t="s">
        <v>58</v>
      </c>
      <c r="B457" t="s">
        <v>58</v>
      </c>
      <c r="C457" t="s">
        <v>58</v>
      </c>
      <c r="D457" t="s">
        <v>58</v>
      </c>
      <c r="E457" t="s">
        <v>58</v>
      </c>
      <c r="J457" t="s">
        <v>58</v>
      </c>
      <c r="K457" t="s">
        <v>58</v>
      </c>
      <c r="L457" t="s">
        <v>58</v>
      </c>
      <c r="M457" t="s">
        <v>58</v>
      </c>
      <c r="N457" t="s">
        <v>58</v>
      </c>
      <c r="R457" t="s">
        <v>58</v>
      </c>
      <c r="S457" t="s">
        <v>58</v>
      </c>
      <c r="T457" t="s">
        <v>58</v>
      </c>
      <c r="U457" t="s">
        <v>58</v>
      </c>
      <c r="V457" t="s">
        <v>58</v>
      </c>
      <c r="Z457" t="s">
        <v>58</v>
      </c>
      <c r="AA457" t="s">
        <v>58</v>
      </c>
      <c r="AB457" t="s">
        <v>58</v>
      </c>
      <c r="AC457" t="s">
        <v>58</v>
      </c>
      <c r="AD457" t="s">
        <v>58</v>
      </c>
      <c r="AG457" t="s">
        <v>58</v>
      </c>
      <c r="AH457" t="s">
        <v>58</v>
      </c>
      <c r="AI457" t="s">
        <v>58</v>
      </c>
      <c r="AJ457" t="s">
        <v>58</v>
      </c>
      <c r="AK457" t="s">
        <v>58</v>
      </c>
      <c r="AO457" t="s">
        <v>58</v>
      </c>
      <c r="AP457" t="s">
        <v>58</v>
      </c>
      <c r="AQ457" t="s">
        <v>58</v>
      </c>
      <c r="AR457" t="s">
        <v>58</v>
      </c>
      <c r="AS457" t="s">
        <v>58</v>
      </c>
      <c r="AV457" t="s">
        <v>58</v>
      </c>
      <c r="AW457" t="s">
        <v>58</v>
      </c>
      <c r="AX457" t="s">
        <v>58</v>
      </c>
      <c r="AY457" t="s">
        <v>58</v>
      </c>
      <c r="AZ457" t="s">
        <v>58</v>
      </c>
      <c r="BC457" t="s">
        <v>58</v>
      </c>
      <c r="BD457" t="s">
        <v>58</v>
      </c>
      <c r="BE457" t="s">
        <v>58</v>
      </c>
      <c r="BF457" t="s">
        <v>58</v>
      </c>
      <c r="BG457" t="s">
        <v>58</v>
      </c>
    </row>
    <row r="458" spans="1:59" x14ac:dyDescent="0.3">
      <c r="A458" t="s">
        <v>58</v>
      </c>
      <c r="B458" t="s">
        <v>58</v>
      </c>
      <c r="C458" t="s">
        <v>58</v>
      </c>
      <c r="D458" t="s">
        <v>58</v>
      </c>
      <c r="E458" t="s">
        <v>58</v>
      </c>
      <c r="J458" t="s">
        <v>58</v>
      </c>
      <c r="K458" t="s">
        <v>58</v>
      </c>
      <c r="L458" t="s">
        <v>58</v>
      </c>
      <c r="M458" t="s">
        <v>58</v>
      </c>
      <c r="N458" t="s">
        <v>58</v>
      </c>
      <c r="R458" t="s">
        <v>58</v>
      </c>
      <c r="S458" t="s">
        <v>58</v>
      </c>
      <c r="T458" t="s">
        <v>58</v>
      </c>
      <c r="U458" t="s">
        <v>58</v>
      </c>
      <c r="V458" t="s">
        <v>58</v>
      </c>
      <c r="Z458" t="s">
        <v>58</v>
      </c>
      <c r="AA458" t="s">
        <v>58</v>
      </c>
      <c r="AB458" t="s">
        <v>58</v>
      </c>
      <c r="AC458" t="s">
        <v>58</v>
      </c>
      <c r="AD458" t="s">
        <v>58</v>
      </c>
      <c r="AG458" t="s">
        <v>58</v>
      </c>
      <c r="AH458" t="s">
        <v>58</v>
      </c>
      <c r="AI458" t="s">
        <v>58</v>
      </c>
      <c r="AJ458" t="s">
        <v>58</v>
      </c>
      <c r="AK458" t="s">
        <v>58</v>
      </c>
      <c r="AO458" t="s">
        <v>58</v>
      </c>
      <c r="AP458" t="s">
        <v>58</v>
      </c>
      <c r="AQ458" t="s">
        <v>58</v>
      </c>
      <c r="AR458" t="s">
        <v>58</v>
      </c>
      <c r="AS458" t="s">
        <v>58</v>
      </c>
      <c r="AV458" t="s">
        <v>58</v>
      </c>
      <c r="AW458" t="s">
        <v>58</v>
      </c>
      <c r="AX458" t="s">
        <v>58</v>
      </c>
      <c r="AY458" t="s">
        <v>58</v>
      </c>
      <c r="AZ458" t="s">
        <v>58</v>
      </c>
      <c r="BC458" t="s">
        <v>58</v>
      </c>
      <c r="BD458" t="s">
        <v>58</v>
      </c>
      <c r="BE458" t="s">
        <v>58</v>
      </c>
      <c r="BF458" t="s">
        <v>58</v>
      </c>
      <c r="BG458" t="s">
        <v>58</v>
      </c>
    </row>
    <row r="459" spans="1:59" x14ac:dyDescent="0.3">
      <c r="A459" t="s">
        <v>58</v>
      </c>
      <c r="B459" t="s">
        <v>58</v>
      </c>
      <c r="C459" t="s">
        <v>58</v>
      </c>
      <c r="D459" t="s">
        <v>58</v>
      </c>
      <c r="E459" t="s">
        <v>58</v>
      </c>
      <c r="J459" t="s">
        <v>58</v>
      </c>
      <c r="K459" t="s">
        <v>58</v>
      </c>
      <c r="L459" t="s">
        <v>58</v>
      </c>
      <c r="M459" t="s">
        <v>58</v>
      </c>
      <c r="N459" t="s">
        <v>58</v>
      </c>
      <c r="R459" t="s">
        <v>58</v>
      </c>
      <c r="S459" t="s">
        <v>58</v>
      </c>
      <c r="T459" t="s">
        <v>58</v>
      </c>
      <c r="U459" t="s">
        <v>58</v>
      </c>
      <c r="V459" t="s">
        <v>58</v>
      </c>
      <c r="Z459" t="s">
        <v>58</v>
      </c>
      <c r="AA459" t="s">
        <v>58</v>
      </c>
      <c r="AB459" t="s">
        <v>58</v>
      </c>
      <c r="AC459" t="s">
        <v>58</v>
      </c>
      <c r="AD459" t="s">
        <v>58</v>
      </c>
      <c r="AG459" t="s">
        <v>58</v>
      </c>
      <c r="AH459" t="s">
        <v>58</v>
      </c>
      <c r="AI459" t="s">
        <v>58</v>
      </c>
      <c r="AJ459" t="s">
        <v>58</v>
      </c>
      <c r="AK459" t="s">
        <v>58</v>
      </c>
      <c r="AO459" t="s">
        <v>58</v>
      </c>
      <c r="AP459" t="s">
        <v>58</v>
      </c>
      <c r="AQ459" t="s">
        <v>58</v>
      </c>
      <c r="AR459" t="s">
        <v>58</v>
      </c>
      <c r="AS459" t="s">
        <v>58</v>
      </c>
      <c r="AV459" t="s">
        <v>58</v>
      </c>
      <c r="AW459" t="s">
        <v>58</v>
      </c>
      <c r="AX459" t="s">
        <v>58</v>
      </c>
      <c r="AY459" t="s">
        <v>58</v>
      </c>
      <c r="AZ459" t="s">
        <v>58</v>
      </c>
      <c r="BC459" t="s">
        <v>58</v>
      </c>
      <c r="BD459" t="s">
        <v>58</v>
      </c>
      <c r="BE459" t="s">
        <v>58</v>
      </c>
      <c r="BF459" t="s">
        <v>58</v>
      </c>
      <c r="BG459" t="s">
        <v>58</v>
      </c>
    </row>
    <row r="460" spans="1:59" x14ac:dyDescent="0.3">
      <c r="A460" t="s">
        <v>58</v>
      </c>
      <c r="B460" t="s">
        <v>58</v>
      </c>
      <c r="C460" t="s">
        <v>58</v>
      </c>
      <c r="D460" t="s">
        <v>58</v>
      </c>
      <c r="E460" t="s">
        <v>58</v>
      </c>
      <c r="J460" t="s">
        <v>58</v>
      </c>
      <c r="K460" t="s">
        <v>58</v>
      </c>
      <c r="L460" t="s">
        <v>58</v>
      </c>
      <c r="M460" t="s">
        <v>58</v>
      </c>
      <c r="N460" t="s">
        <v>58</v>
      </c>
      <c r="R460" t="s">
        <v>58</v>
      </c>
      <c r="S460" t="s">
        <v>58</v>
      </c>
      <c r="T460" t="s">
        <v>58</v>
      </c>
      <c r="U460" t="s">
        <v>58</v>
      </c>
      <c r="V460" t="s">
        <v>58</v>
      </c>
      <c r="Z460" t="s">
        <v>58</v>
      </c>
      <c r="AA460" t="s">
        <v>58</v>
      </c>
      <c r="AB460" t="s">
        <v>58</v>
      </c>
      <c r="AC460" t="s">
        <v>58</v>
      </c>
      <c r="AD460" t="s">
        <v>58</v>
      </c>
      <c r="AG460" t="s">
        <v>58</v>
      </c>
      <c r="AH460" t="s">
        <v>58</v>
      </c>
      <c r="AI460" t="s">
        <v>58</v>
      </c>
      <c r="AJ460" t="s">
        <v>58</v>
      </c>
      <c r="AK460" t="s">
        <v>58</v>
      </c>
      <c r="AO460" t="s">
        <v>58</v>
      </c>
      <c r="AP460" t="s">
        <v>58</v>
      </c>
      <c r="AQ460" t="s">
        <v>58</v>
      </c>
      <c r="AR460" t="s">
        <v>58</v>
      </c>
      <c r="AS460" t="s">
        <v>58</v>
      </c>
      <c r="AV460" t="s">
        <v>58</v>
      </c>
      <c r="AW460" t="s">
        <v>58</v>
      </c>
      <c r="AX460" t="s">
        <v>58</v>
      </c>
      <c r="AY460" t="s">
        <v>58</v>
      </c>
      <c r="AZ460" t="s">
        <v>58</v>
      </c>
      <c r="BC460" t="s">
        <v>58</v>
      </c>
      <c r="BD460" t="s">
        <v>58</v>
      </c>
      <c r="BE460" t="s">
        <v>58</v>
      </c>
      <c r="BF460" t="s">
        <v>58</v>
      </c>
      <c r="BG460" t="s">
        <v>58</v>
      </c>
    </row>
    <row r="461" spans="1:59" x14ac:dyDescent="0.3">
      <c r="A461" t="s">
        <v>58</v>
      </c>
      <c r="B461" t="s">
        <v>58</v>
      </c>
      <c r="C461" t="s">
        <v>58</v>
      </c>
      <c r="D461" t="s">
        <v>58</v>
      </c>
      <c r="E461" t="s">
        <v>58</v>
      </c>
      <c r="J461" t="s">
        <v>58</v>
      </c>
      <c r="K461" t="s">
        <v>58</v>
      </c>
      <c r="L461" t="s">
        <v>58</v>
      </c>
      <c r="M461" t="s">
        <v>58</v>
      </c>
      <c r="N461" t="s">
        <v>58</v>
      </c>
      <c r="R461" t="s">
        <v>58</v>
      </c>
      <c r="S461" t="s">
        <v>58</v>
      </c>
      <c r="T461" t="s">
        <v>58</v>
      </c>
      <c r="U461" t="s">
        <v>58</v>
      </c>
      <c r="V461" t="s">
        <v>58</v>
      </c>
      <c r="Z461" t="s">
        <v>58</v>
      </c>
      <c r="AA461" t="s">
        <v>58</v>
      </c>
      <c r="AB461" t="s">
        <v>58</v>
      </c>
      <c r="AC461" t="s">
        <v>58</v>
      </c>
      <c r="AD461" t="s">
        <v>58</v>
      </c>
      <c r="AG461" t="s">
        <v>58</v>
      </c>
      <c r="AH461" t="s">
        <v>58</v>
      </c>
      <c r="AI461" t="s">
        <v>58</v>
      </c>
      <c r="AJ461" t="s">
        <v>58</v>
      </c>
      <c r="AK461" t="s">
        <v>58</v>
      </c>
      <c r="AO461" t="s">
        <v>58</v>
      </c>
      <c r="AP461" t="s">
        <v>58</v>
      </c>
      <c r="AQ461" t="s">
        <v>58</v>
      </c>
      <c r="AR461" t="s">
        <v>58</v>
      </c>
      <c r="AS461" t="s">
        <v>58</v>
      </c>
      <c r="AV461" t="s">
        <v>58</v>
      </c>
      <c r="AW461" t="s">
        <v>58</v>
      </c>
      <c r="AX461" t="s">
        <v>58</v>
      </c>
      <c r="AY461" t="s">
        <v>58</v>
      </c>
      <c r="AZ461" t="s">
        <v>58</v>
      </c>
      <c r="BC461" t="s">
        <v>58</v>
      </c>
      <c r="BD461" t="s">
        <v>58</v>
      </c>
      <c r="BE461" t="s">
        <v>58</v>
      </c>
      <c r="BF461" t="s">
        <v>58</v>
      </c>
      <c r="BG461" t="s">
        <v>58</v>
      </c>
    </row>
    <row r="462" spans="1:59" x14ac:dyDescent="0.3">
      <c r="A462" t="s">
        <v>58</v>
      </c>
      <c r="B462" t="s">
        <v>58</v>
      </c>
      <c r="C462" t="s">
        <v>58</v>
      </c>
      <c r="D462" t="s">
        <v>58</v>
      </c>
      <c r="E462" t="s">
        <v>58</v>
      </c>
      <c r="J462" t="s">
        <v>58</v>
      </c>
      <c r="K462" t="s">
        <v>58</v>
      </c>
      <c r="L462" t="s">
        <v>58</v>
      </c>
      <c r="M462" t="s">
        <v>58</v>
      </c>
      <c r="N462" t="s">
        <v>58</v>
      </c>
      <c r="R462" t="s">
        <v>58</v>
      </c>
      <c r="S462" t="s">
        <v>58</v>
      </c>
      <c r="T462" t="s">
        <v>58</v>
      </c>
      <c r="U462" t="s">
        <v>58</v>
      </c>
      <c r="V462" t="s">
        <v>58</v>
      </c>
      <c r="Z462" t="s">
        <v>58</v>
      </c>
      <c r="AA462" t="s">
        <v>58</v>
      </c>
      <c r="AB462" t="s">
        <v>58</v>
      </c>
      <c r="AC462" t="s">
        <v>58</v>
      </c>
      <c r="AD462" t="s">
        <v>58</v>
      </c>
      <c r="AG462" t="s">
        <v>58</v>
      </c>
      <c r="AH462" t="s">
        <v>58</v>
      </c>
      <c r="AI462" t="s">
        <v>58</v>
      </c>
      <c r="AJ462" t="s">
        <v>58</v>
      </c>
      <c r="AK462" t="s">
        <v>58</v>
      </c>
      <c r="AO462" t="s">
        <v>58</v>
      </c>
      <c r="AP462" t="s">
        <v>58</v>
      </c>
      <c r="AQ462" t="s">
        <v>58</v>
      </c>
      <c r="AR462" t="s">
        <v>58</v>
      </c>
      <c r="AS462" t="s">
        <v>58</v>
      </c>
      <c r="AV462" t="s">
        <v>58</v>
      </c>
      <c r="AW462" t="s">
        <v>58</v>
      </c>
      <c r="AX462" t="s">
        <v>58</v>
      </c>
      <c r="AY462" t="s">
        <v>58</v>
      </c>
      <c r="AZ462" t="s">
        <v>58</v>
      </c>
      <c r="BC462" t="s">
        <v>58</v>
      </c>
      <c r="BD462" t="s">
        <v>58</v>
      </c>
      <c r="BE462" t="s">
        <v>58</v>
      </c>
      <c r="BF462" t="s">
        <v>58</v>
      </c>
      <c r="BG462" t="s">
        <v>58</v>
      </c>
    </row>
    <row r="463" spans="1:59" x14ac:dyDescent="0.3">
      <c r="A463" t="s">
        <v>58</v>
      </c>
      <c r="B463" t="s">
        <v>58</v>
      </c>
      <c r="C463" t="s">
        <v>58</v>
      </c>
      <c r="D463" t="s">
        <v>58</v>
      </c>
      <c r="E463" t="s">
        <v>58</v>
      </c>
      <c r="J463" t="s">
        <v>58</v>
      </c>
      <c r="K463" t="s">
        <v>58</v>
      </c>
      <c r="L463" t="s">
        <v>58</v>
      </c>
      <c r="M463" t="s">
        <v>58</v>
      </c>
      <c r="N463" t="s">
        <v>58</v>
      </c>
      <c r="R463" t="s">
        <v>58</v>
      </c>
      <c r="S463" t="s">
        <v>58</v>
      </c>
      <c r="T463" t="s">
        <v>58</v>
      </c>
      <c r="U463" t="s">
        <v>58</v>
      </c>
      <c r="V463" t="s">
        <v>58</v>
      </c>
      <c r="Z463" t="s">
        <v>58</v>
      </c>
      <c r="AA463" t="s">
        <v>58</v>
      </c>
      <c r="AB463" t="s">
        <v>58</v>
      </c>
      <c r="AC463" t="s">
        <v>58</v>
      </c>
      <c r="AD463" t="s">
        <v>58</v>
      </c>
      <c r="AG463" t="s">
        <v>58</v>
      </c>
      <c r="AH463" t="s">
        <v>58</v>
      </c>
      <c r="AI463" t="s">
        <v>58</v>
      </c>
      <c r="AJ463" t="s">
        <v>58</v>
      </c>
      <c r="AK463" t="s">
        <v>58</v>
      </c>
      <c r="AO463" t="s">
        <v>58</v>
      </c>
      <c r="AP463" t="s">
        <v>58</v>
      </c>
      <c r="AQ463" t="s">
        <v>58</v>
      </c>
      <c r="AR463" t="s">
        <v>58</v>
      </c>
      <c r="AS463" t="s">
        <v>58</v>
      </c>
      <c r="AV463" t="s">
        <v>58</v>
      </c>
      <c r="AW463" t="s">
        <v>58</v>
      </c>
      <c r="AX463" t="s">
        <v>58</v>
      </c>
      <c r="AY463" t="s">
        <v>58</v>
      </c>
      <c r="AZ463" t="s">
        <v>58</v>
      </c>
      <c r="BC463" t="s">
        <v>58</v>
      </c>
      <c r="BD463" t="s">
        <v>58</v>
      </c>
      <c r="BE463" t="s">
        <v>58</v>
      </c>
      <c r="BF463" t="s">
        <v>58</v>
      </c>
      <c r="BG463" t="s">
        <v>58</v>
      </c>
    </row>
    <row r="464" spans="1:59" x14ac:dyDescent="0.3">
      <c r="A464" t="s">
        <v>58</v>
      </c>
      <c r="B464" t="s">
        <v>58</v>
      </c>
      <c r="C464" t="s">
        <v>58</v>
      </c>
      <c r="D464" t="s">
        <v>58</v>
      </c>
      <c r="E464" t="s">
        <v>58</v>
      </c>
      <c r="J464" t="s">
        <v>58</v>
      </c>
      <c r="K464" t="s">
        <v>58</v>
      </c>
      <c r="L464" t="s">
        <v>58</v>
      </c>
      <c r="M464" t="s">
        <v>58</v>
      </c>
      <c r="N464" t="s">
        <v>58</v>
      </c>
      <c r="R464" t="s">
        <v>58</v>
      </c>
      <c r="S464" t="s">
        <v>58</v>
      </c>
      <c r="T464" t="s">
        <v>58</v>
      </c>
      <c r="U464" t="s">
        <v>58</v>
      </c>
      <c r="V464" t="s">
        <v>58</v>
      </c>
      <c r="Z464" t="s">
        <v>58</v>
      </c>
      <c r="AA464" t="s">
        <v>58</v>
      </c>
      <c r="AB464" t="s">
        <v>58</v>
      </c>
      <c r="AC464" t="s">
        <v>58</v>
      </c>
      <c r="AD464" t="s">
        <v>58</v>
      </c>
      <c r="AG464" t="s">
        <v>58</v>
      </c>
      <c r="AH464" t="s">
        <v>58</v>
      </c>
      <c r="AI464" t="s">
        <v>58</v>
      </c>
      <c r="AJ464" t="s">
        <v>58</v>
      </c>
      <c r="AK464" t="s">
        <v>58</v>
      </c>
      <c r="AO464" t="s">
        <v>58</v>
      </c>
      <c r="AP464" t="s">
        <v>58</v>
      </c>
      <c r="AQ464" t="s">
        <v>58</v>
      </c>
      <c r="AR464" t="s">
        <v>58</v>
      </c>
      <c r="AS464" t="s">
        <v>58</v>
      </c>
      <c r="AV464" t="s">
        <v>58</v>
      </c>
      <c r="AW464" t="s">
        <v>58</v>
      </c>
      <c r="AX464" t="s">
        <v>58</v>
      </c>
      <c r="AY464" t="s">
        <v>58</v>
      </c>
      <c r="AZ464" t="s">
        <v>58</v>
      </c>
      <c r="BC464" t="s">
        <v>58</v>
      </c>
      <c r="BD464" t="s">
        <v>58</v>
      </c>
      <c r="BE464" t="s">
        <v>58</v>
      </c>
      <c r="BF464" t="s">
        <v>58</v>
      </c>
      <c r="BG464" t="s">
        <v>58</v>
      </c>
    </row>
    <row r="465" spans="1:59" x14ac:dyDescent="0.3">
      <c r="A465" t="s">
        <v>58</v>
      </c>
      <c r="B465" t="s">
        <v>58</v>
      </c>
      <c r="C465" t="s">
        <v>58</v>
      </c>
      <c r="D465" t="s">
        <v>58</v>
      </c>
      <c r="E465" t="s">
        <v>58</v>
      </c>
      <c r="J465" t="s">
        <v>58</v>
      </c>
      <c r="K465" t="s">
        <v>58</v>
      </c>
      <c r="L465" t="s">
        <v>58</v>
      </c>
      <c r="M465" t="s">
        <v>58</v>
      </c>
      <c r="N465" t="s">
        <v>58</v>
      </c>
      <c r="R465" t="s">
        <v>58</v>
      </c>
      <c r="S465" t="s">
        <v>58</v>
      </c>
      <c r="T465" t="s">
        <v>58</v>
      </c>
      <c r="U465" t="s">
        <v>58</v>
      </c>
      <c r="V465" t="s">
        <v>58</v>
      </c>
      <c r="Z465" t="s">
        <v>58</v>
      </c>
      <c r="AA465" t="s">
        <v>58</v>
      </c>
      <c r="AB465" t="s">
        <v>58</v>
      </c>
      <c r="AC465" t="s">
        <v>58</v>
      </c>
      <c r="AD465" t="s">
        <v>58</v>
      </c>
      <c r="AG465" t="s">
        <v>58</v>
      </c>
      <c r="AH465" t="s">
        <v>58</v>
      </c>
      <c r="AI465" t="s">
        <v>58</v>
      </c>
      <c r="AJ465" t="s">
        <v>58</v>
      </c>
      <c r="AK465" t="s">
        <v>58</v>
      </c>
      <c r="AO465" t="s">
        <v>58</v>
      </c>
      <c r="AP465" t="s">
        <v>58</v>
      </c>
      <c r="AQ465" t="s">
        <v>58</v>
      </c>
      <c r="AR465" t="s">
        <v>58</v>
      </c>
      <c r="AS465" t="s">
        <v>58</v>
      </c>
      <c r="AV465" t="s">
        <v>58</v>
      </c>
      <c r="AW465" t="s">
        <v>58</v>
      </c>
      <c r="AX465" t="s">
        <v>58</v>
      </c>
      <c r="AY465" t="s">
        <v>58</v>
      </c>
      <c r="AZ465" t="s">
        <v>58</v>
      </c>
      <c r="BC465" t="s">
        <v>58</v>
      </c>
      <c r="BD465" t="s">
        <v>58</v>
      </c>
      <c r="BE465" t="s">
        <v>58</v>
      </c>
      <c r="BF465" t="s">
        <v>58</v>
      </c>
      <c r="BG465" t="s">
        <v>58</v>
      </c>
    </row>
    <row r="466" spans="1:59" x14ac:dyDescent="0.3">
      <c r="A466" t="s">
        <v>58</v>
      </c>
      <c r="B466" t="s">
        <v>58</v>
      </c>
      <c r="C466" t="s">
        <v>58</v>
      </c>
      <c r="D466" t="s">
        <v>58</v>
      </c>
      <c r="E466" t="s">
        <v>58</v>
      </c>
      <c r="J466" t="s">
        <v>58</v>
      </c>
      <c r="K466" t="s">
        <v>58</v>
      </c>
      <c r="L466" t="s">
        <v>58</v>
      </c>
      <c r="M466" t="s">
        <v>58</v>
      </c>
      <c r="N466" t="s">
        <v>58</v>
      </c>
      <c r="R466" t="s">
        <v>58</v>
      </c>
      <c r="S466" t="s">
        <v>58</v>
      </c>
      <c r="T466" t="s">
        <v>58</v>
      </c>
      <c r="U466" t="s">
        <v>58</v>
      </c>
      <c r="V466" t="s">
        <v>58</v>
      </c>
      <c r="Z466" t="s">
        <v>58</v>
      </c>
      <c r="AA466" t="s">
        <v>58</v>
      </c>
      <c r="AB466" t="s">
        <v>58</v>
      </c>
      <c r="AC466" t="s">
        <v>58</v>
      </c>
      <c r="AD466" t="s">
        <v>58</v>
      </c>
      <c r="AG466" t="s">
        <v>58</v>
      </c>
      <c r="AH466" t="s">
        <v>58</v>
      </c>
      <c r="AI466" t="s">
        <v>58</v>
      </c>
      <c r="AJ466" t="s">
        <v>58</v>
      </c>
      <c r="AK466" t="s">
        <v>58</v>
      </c>
      <c r="AO466" t="s">
        <v>58</v>
      </c>
      <c r="AP466" t="s">
        <v>58</v>
      </c>
      <c r="AQ466" t="s">
        <v>58</v>
      </c>
      <c r="AR466" t="s">
        <v>58</v>
      </c>
      <c r="AS466" t="s">
        <v>58</v>
      </c>
      <c r="AV466" t="s">
        <v>58</v>
      </c>
      <c r="AW466" t="s">
        <v>58</v>
      </c>
      <c r="AX466" t="s">
        <v>58</v>
      </c>
      <c r="AY466" t="s">
        <v>58</v>
      </c>
      <c r="AZ466" t="s">
        <v>58</v>
      </c>
      <c r="BC466" t="s">
        <v>58</v>
      </c>
      <c r="BD466" t="s">
        <v>58</v>
      </c>
      <c r="BE466" t="s">
        <v>58</v>
      </c>
      <c r="BF466" t="s">
        <v>58</v>
      </c>
      <c r="BG466" t="s">
        <v>58</v>
      </c>
    </row>
    <row r="467" spans="1:59" x14ac:dyDescent="0.3">
      <c r="A467" t="s">
        <v>58</v>
      </c>
      <c r="B467" t="s">
        <v>58</v>
      </c>
      <c r="C467" t="s">
        <v>58</v>
      </c>
      <c r="D467" t="s">
        <v>58</v>
      </c>
      <c r="E467" t="s">
        <v>58</v>
      </c>
      <c r="J467" t="s">
        <v>58</v>
      </c>
      <c r="K467" t="s">
        <v>58</v>
      </c>
      <c r="L467" t="s">
        <v>58</v>
      </c>
      <c r="M467" t="s">
        <v>58</v>
      </c>
      <c r="N467" t="s">
        <v>58</v>
      </c>
      <c r="R467" t="s">
        <v>58</v>
      </c>
      <c r="S467" t="s">
        <v>58</v>
      </c>
      <c r="T467" t="s">
        <v>58</v>
      </c>
      <c r="U467" t="s">
        <v>58</v>
      </c>
      <c r="V467" t="s">
        <v>58</v>
      </c>
      <c r="Z467" t="s">
        <v>58</v>
      </c>
      <c r="AA467" t="s">
        <v>58</v>
      </c>
      <c r="AB467" t="s">
        <v>58</v>
      </c>
      <c r="AC467" t="s">
        <v>58</v>
      </c>
      <c r="AD467" t="s">
        <v>58</v>
      </c>
      <c r="AG467" t="s">
        <v>58</v>
      </c>
      <c r="AH467" t="s">
        <v>58</v>
      </c>
      <c r="AI467" t="s">
        <v>58</v>
      </c>
      <c r="AJ467" t="s">
        <v>58</v>
      </c>
      <c r="AK467" t="s">
        <v>58</v>
      </c>
      <c r="AO467" t="s">
        <v>58</v>
      </c>
      <c r="AP467" t="s">
        <v>58</v>
      </c>
      <c r="AQ467" t="s">
        <v>58</v>
      </c>
      <c r="AR467" t="s">
        <v>58</v>
      </c>
      <c r="AS467" t="s">
        <v>58</v>
      </c>
      <c r="AV467" t="s">
        <v>58</v>
      </c>
      <c r="AW467" t="s">
        <v>58</v>
      </c>
      <c r="AX467" t="s">
        <v>58</v>
      </c>
      <c r="AY467" t="s">
        <v>58</v>
      </c>
      <c r="AZ467" t="s">
        <v>58</v>
      </c>
      <c r="BC467" t="s">
        <v>58</v>
      </c>
      <c r="BD467" t="s">
        <v>58</v>
      </c>
      <c r="BE467" t="s">
        <v>58</v>
      </c>
      <c r="BF467" t="s">
        <v>58</v>
      </c>
      <c r="BG467" t="s">
        <v>58</v>
      </c>
    </row>
    <row r="468" spans="1:59" x14ac:dyDescent="0.3">
      <c r="A468" t="s">
        <v>58</v>
      </c>
      <c r="B468" t="s">
        <v>58</v>
      </c>
      <c r="C468" t="s">
        <v>58</v>
      </c>
      <c r="D468" t="s">
        <v>58</v>
      </c>
      <c r="E468" t="s">
        <v>58</v>
      </c>
      <c r="J468" t="s">
        <v>58</v>
      </c>
      <c r="K468" t="s">
        <v>58</v>
      </c>
      <c r="L468" t="s">
        <v>58</v>
      </c>
      <c r="M468" t="s">
        <v>58</v>
      </c>
      <c r="N468" t="s">
        <v>58</v>
      </c>
      <c r="R468" t="s">
        <v>58</v>
      </c>
      <c r="S468" t="s">
        <v>58</v>
      </c>
      <c r="T468" t="s">
        <v>58</v>
      </c>
      <c r="U468" t="s">
        <v>58</v>
      </c>
      <c r="V468" t="s">
        <v>58</v>
      </c>
      <c r="Z468" t="s">
        <v>58</v>
      </c>
      <c r="AA468" t="s">
        <v>58</v>
      </c>
      <c r="AB468" t="s">
        <v>58</v>
      </c>
      <c r="AC468" t="s">
        <v>58</v>
      </c>
      <c r="AD468" t="s">
        <v>58</v>
      </c>
      <c r="AG468" t="s">
        <v>58</v>
      </c>
      <c r="AH468" t="s">
        <v>58</v>
      </c>
      <c r="AI468" t="s">
        <v>58</v>
      </c>
      <c r="AJ468" t="s">
        <v>58</v>
      </c>
      <c r="AK468" t="s">
        <v>58</v>
      </c>
      <c r="AO468" t="s">
        <v>58</v>
      </c>
      <c r="AP468" t="s">
        <v>58</v>
      </c>
      <c r="AQ468" t="s">
        <v>58</v>
      </c>
      <c r="AR468" t="s">
        <v>58</v>
      </c>
      <c r="AS468" t="s">
        <v>58</v>
      </c>
      <c r="AV468" t="s">
        <v>58</v>
      </c>
      <c r="AW468" t="s">
        <v>58</v>
      </c>
      <c r="AX468" t="s">
        <v>58</v>
      </c>
      <c r="AY468" t="s">
        <v>58</v>
      </c>
      <c r="AZ468" t="s">
        <v>58</v>
      </c>
      <c r="BC468" t="s">
        <v>58</v>
      </c>
      <c r="BD468" t="s">
        <v>58</v>
      </c>
      <c r="BE468" t="s">
        <v>58</v>
      </c>
      <c r="BF468" t="s">
        <v>58</v>
      </c>
      <c r="BG468" t="s">
        <v>58</v>
      </c>
    </row>
    <row r="469" spans="1:59" x14ac:dyDescent="0.3">
      <c r="A469" t="s">
        <v>58</v>
      </c>
      <c r="B469" t="s">
        <v>58</v>
      </c>
      <c r="C469" t="s">
        <v>58</v>
      </c>
      <c r="D469" t="s">
        <v>58</v>
      </c>
      <c r="E469" t="s">
        <v>58</v>
      </c>
      <c r="J469" t="s">
        <v>58</v>
      </c>
      <c r="K469" t="s">
        <v>58</v>
      </c>
      <c r="L469" t="s">
        <v>58</v>
      </c>
      <c r="M469" t="s">
        <v>58</v>
      </c>
      <c r="N469" t="s">
        <v>58</v>
      </c>
      <c r="R469" t="s">
        <v>58</v>
      </c>
      <c r="S469" t="s">
        <v>58</v>
      </c>
      <c r="T469" t="s">
        <v>58</v>
      </c>
      <c r="U469" t="s">
        <v>58</v>
      </c>
      <c r="V469" t="s">
        <v>58</v>
      </c>
      <c r="Z469" t="s">
        <v>58</v>
      </c>
      <c r="AA469" t="s">
        <v>58</v>
      </c>
      <c r="AB469" t="s">
        <v>58</v>
      </c>
      <c r="AC469" t="s">
        <v>58</v>
      </c>
      <c r="AD469" t="s">
        <v>58</v>
      </c>
      <c r="AG469" t="s">
        <v>58</v>
      </c>
      <c r="AH469" t="s">
        <v>58</v>
      </c>
      <c r="AI469" t="s">
        <v>58</v>
      </c>
      <c r="AJ469" t="s">
        <v>58</v>
      </c>
      <c r="AK469" t="s">
        <v>58</v>
      </c>
      <c r="AO469" t="s">
        <v>58</v>
      </c>
      <c r="AP469" t="s">
        <v>58</v>
      </c>
      <c r="AQ469" t="s">
        <v>58</v>
      </c>
      <c r="AR469" t="s">
        <v>58</v>
      </c>
      <c r="AS469" t="s">
        <v>58</v>
      </c>
      <c r="AV469" t="s">
        <v>58</v>
      </c>
      <c r="AW469" t="s">
        <v>58</v>
      </c>
      <c r="AX469" t="s">
        <v>58</v>
      </c>
      <c r="AY469" t="s">
        <v>58</v>
      </c>
      <c r="AZ469" t="s">
        <v>58</v>
      </c>
      <c r="BC469" t="s">
        <v>58</v>
      </c>
      <c r="BD469" t="s">
        <v>58</v>
      </c>
      <c r="BE469" t="s">
        <v>58</v>
      </c>
      <c r="BF469" t="s">
        <v>58</v>
      </c>
      <c r="BG469" t="s">
        <v>58</v>
      </c>
    </row>
    <row r="470" spans="1:59" x14ac:dyDescent="0.3">
      <c r="A470" t="s">
        <v>58</v>
      </c>
      <c r="B470" t="s">
        <v>58</v>
      </c>
      <c r="C470" t="s">
        <v>58</v>
      </c>
      <c r="D470" t="s">
        <v>58</v>
      </c>
      <c r="E470" t="s">
        <v>58</v>
      </c>
      <c r="J470" t="s">
        <v>58</v>
      </c>
      <c r="K470" t="s">
        <v>58</v>
      </c>
      <c r="L470" t="s">
        <v>58</v>
      </c>
      <c r="M470" t="s">
        <v>58</v>
      </c>
      <c r="N470" t="s">
        <v>58</v>
      </c>
      <c r="R470" t="s">
        <v>58</v>
      </c>
      <c r="S470" t="s">
        <v>58</v>
      </c>
      <c r="T470" t="s">
        <v>58</v>
      </c>
      <c r="U470" t="s">
        <v>58</v>
      </c>
      <c r="V470" t="s">
        <v>58</v>
      </c>
      <c r="Z470" t="s">
        <v>58</v>
      </c>
      <c r="AA470" t="s">
        <v>58</v>
      </c>
      <c r="AB470" t="s">
        <v>58</v>
      </c>
      <c r="AC470" t="s">
        <v>58</v>
      </c>
      <c r="AD470" t="s">
        <v>58</v>
      </c>
      <c r="AG470" t="s">
        <v>58</v>
      </c>
      <c r="AH470" t="s">
        <v>58</v>
      </c>
      <c r="AI470" t="s">
        <v>58</v>
      </c>
      <c r="AJ470" t="s">
        <v>58</v>
      </c>
      <c r="AK470" t="s">
        <v>58</v>
      </c>
      <c r="AO470" t="s">
        <v>58</v>
      </c>
      <c r="AP470" t="s">
        <v>58</v>
      </c>
      <c r="AQ470" t="s">
        <v>58</v>
      </c>
      <c r="AR470" t="s">
        <v>58</v>
      </c>
      <c r="AS470" t="s">
        <v>58</v>
      </c>
      <c r="AV470" t="s">
        <v>58</v>
      </c>
      <c r="AW470" t="s">
        <v>58</v>
      </c>
      <c r="AX470" t="s">
        <v>58</v>
      </c>
      <c r="AY470" t="s">
        <v>58</v>
      </c>
      <c r="AZ470" t="s">
        <v>58</v>
      </c>
      <c r="BC470" t="s">
        <v>58</v>
      </c>
      <c r="BD470" t="s">
        <v>58</v>
      </c>
      <c r="BE470" t="s">
        <v>58</v>
      </c>
      <c r="BF470" t="s">
        <v>58</v>
      </c>
      <c r="BG470" t="s">
        <v>58</v>
      </c>
    </row>
    <row r="471" spans="1:59" x14ac:dyDescent="0.3">
      <c r="A471" t="s">
        <v>58</v>
      </c>
      <c r="B471" t="s">
        <v>58</v>
      </c>
      <c r="C471" t="s">
        <v>58</v>
      </c>
      <c r="D471" t="s">
        <v>58</v>
      </c>
      <c r="E471" t="s">
        <v>58</v>
      </c>
      <c r="J471" t="s">
        <v>58</v>
      </c>
      <c r="K471" t="s">
        <v>58</v>
      </c>
      <c r="L471" t="s">
        <v>58</v>
      </c>
      <c r="M471" t="s">
        <v>58</v>
      </c>
      <c r="N471" t="s">
        <v>58</v>
      </c>
      <c r="R471" t="s">
        <v>58</v>
      </c>
      <c r="S471" t="s">
        <v>58</v>
      </c>
      <c r="T471" t="s">
        <v>58</v>
      </c>
      <c r="U471" t="s">
        <v>58</v>
      </c>
      <c r="V471" t="s">
        <v>58</v>
      </c>
      <c r="Z471" t="s">
        <v>58</v>
      </c>
      <c r="AA471" t="s">
        <v>58</v>
      </c>
      <c r="AB471" t="s">
        <v>58</v>
      </c>
      <c r="AC471" t="s">
        <v>58</v>
      </c>
      <c r="AD471" t="s">
        <v>58</v>
      </c>
      <c r="AG471" t="s">
        <v>58</v>
      </c>
      <c r="AH471" t="s">
        <v>58</v>
      </c>
      <c r="AI471" t="s">
        <v>58</v>
      </c>
      <c r="AJ471" t="s">
        <v>58</v>
      </c>
      <c r="AK471" t="s">
        <v>58</v>
      </c>
      <c r="AO471" t="s">
        <v>58</v>
      </c>
      <c r="AP471" t="s">
        <v>58</v>
      </c>
      <c r="AQ471" t="s">
        <v>58</v>
      </c>
      <c r="AR471" t="s">
        <v>58</v>
      </c>
      <c r="AS471" t="s">
        <v>58</v>
      </c>
      <c r="AV471" t="s">
        <v>58</v>
      </c>
      <c r="AW471" t="s">
        <v>58</v>
      </c>
      <c r="AX471" t="s">
        <v>58</v>
      </c>
      <c r="AY471" t="s">
        <v>58</v>
      </c>
      <c r="AZ471" t="s">
        <v>58</v>
      </c>
      <c r="BC471" t="s">
        <v>58</v>
      </c>
      <c r="BD471" t="s">
        <v>58</v>
      </c>
      <c r="BE471" t="s">
        <v>58</v>
      </c>
      <c r="BF471" t="s">
        <v>58</v>
      </c>
      <c r="BG471" t="s">
        <v>58</v>
      </c>
    </row>
    <row r="472" spans="1:59" x14ac:dyDescent="0.3">
      <c r="A472" t="s">
        <v>58</v>
      </c>
      <c r="B472" t="s">
        <v>58</v>
      </c>
      <c r="C472" t="s">
        <v>58</v>
      </c>
      <c r="D472" t="s">
        <v>58</v>
      </c>
      <c r="E472" t="s">
        <v>58</v>
      </c>
      <c r="J472" t="s">
        <v>58</v>
      </c>
      <c r="K472" t="s">
        <v>58</v>
      </c>
      <c r="L472" t="s">
        <v>58</v>
      </c>
      <c r="M472" t="s">
        <v>58</v>
      </c>
      <c r="N472" t="s">
        <v>58</v>
      </c>
      <c r="R472" t="s">
        <v>58</v>
      </c>
      <c r="S472" t="s">
        <v>58</v>
      </c>
      <c r="T472" t="s">
        <v>58</v>
      </c>
      <c r="U472" t="s">
        <v>58</v>
      </c>
      <c r="V472" t="s">
        <v>58</v>
      </c>
      <c r="Z472" t="s">
        <v>58</v>
      </c>
      <c r="AA472" t="s">
        <v>58</v>
      </c>
      <c r="AB472" t="s">
        <v>58</v>
      </c>
      <c r="AC472" t="s">
        <v>58</v>
      </c>
      <c r="AD472" t="s">
        <v>58</v>
      </c>
      <c r="AG472" t="s">
        <v>58</v>
      </c>
      <c r="AH472" t="s">
        <v>58</v>
      </c>
      <c r="AI472" t="s">
        <v>58</v>
      </c>
      <c r="AJ472" t="s">
        <v>58</v>
      </c>
      <c r="AK472" t="s">
        <v>58</v>
      </c>
      <c r="AO472" t="s">
        <v>58</v>
      </c>
      <c r="AP472" t="s">
        <v>58</v>
      </c>
      <c r="AQ472" t="s">
        <v>58</v>
      </c>
      <c r="AR472" t="s">
        <v>58</v>
      </c>
      <c r="AS472" t="s">
        <v>58</v>
      </c>
      <c r="AV472" t="s">
        <v>58</v>
      </c>
      <c r="AW472" t="s">
        <v>58</v>
      </c>
      <c r="AX472" t="s">
        <v>58</v>
      </c>
      <c r="AY472" t="s">
        <v>58</v>
      </c>
      <c r="AZ472" t="s">
        <v>58</v>
      </c>
      <c r="BC472" t="s">
        <v>58</v>
      </c>
      <c r="BD472" t="s">
        <v>58</v>
      </c>
      <c r="BE472" t="s">
        <v>58</v>
      </c>
      <c r="BF472" t="s">
        <v>58</v>
      </c>
      <c r="BG472" t="s">
        <v>58</v>
      </c>
    </row>
    <row r="473" spans="1:59" x14ac:dyDescent="0.3">
      <c r="A473" t="s">
        <v>58</v>
      </c>
      <c r="B473" t="s">
        <v>58</v>
      </c>
      <c r="C473" t="s">
        <v>58</v>
      </c>
      <c r="D473" t="s">
        <v>58</v>
      </c>
      <c r="E473" t="s">
        <v>58</v>
      </c>
      <c r="J473" t="s">
        <v>58</v>
      </c>
      <c r="K473" t="s">
        <v>58</v>
      </c>
      <c r="L473" t="s">
        <v>58</v>
      </c>
      <c r="M473" t="s">
        <v>58</v>
      </c>
      <c r="N473" t="s">
        <v>58</v>
      </c>
      <c r="R473" t="s">
        <v>58</v>
      </c>
      <c r="S473" t="s">
        <v>58</v>
      </c>
      <c r="T473" t="s">
        <v>58</v>
      </c>
      <c r="U473" t="s">
        <v>58</v>
      </c>
      <c r="V473" t="s">
        <v>58</v>
      </c>
      <c r="Z473" t="s">
        <v>58</v>
      </c>
      <c r="AA473" t="s">
        <v>58</v>
      </c>
      <c r="AB473" t="s">
        <v>58</v>
      </c>
      <c r="AC473" t="s">
        <v>58</v>
      </c>
      <c r="AD473" t="s">
        <v>58</v>
      </c>
      <c r="AG473" t="s">
        <v>58</v>
      </c>
      <c r="AH473" t="s">
        <v>58</v>
      </c>
      <c r="AI473" t="s">
        <v>58</v>
      </c>
      <c r="AJ473" t="s">
        <v>58</v>
      </c>
      <c r="AK473" t="s">
        <v>58</v>
      </c>
      <c r="AO473" t="s">
        <v>58</v>
      </c>
      <c r="AP473" t="s">
        <v>58</v>
      </c>
      <c r="AQ473" t="s">
        <v>58</v>
      </c>
      <c r="AR473" t="s">
        <v>58</v>
      </c>
      <c r="AS473" t="s">
        <v>58</v>
      </c>
      <c r="AV473" t="s">
        <v>58</v>
      </c>
      <c r="AW473" t="s">
        <v>58</v>
      </c>
      <c r="AX473" t="s">
        <v>58</v>
      </c>
      <c r="AY473" t="s">
        <v>58</v>
      </c>
      <c r="AZ473" t="s">
        <v>58</v>
      </c>
      <c r="BC473" t="s">
        <v>58</v>
      </c>
      <c r="BD473" t="s">
        <v>58</v>
      </c>
      <c r="BE473" t="s">
        <v>58</v>
      </c>
      <c r="BF473" t="s">
        <v>58</v>
      </c>
      <c r="BG473" t="s">
        <v>58</v>
      </c>
    </row>
    <row r="474" spans="1:59" x14ac:dyDescent="0.3">
      <c r="A474" t="s">
        <v>58</v>
      </c>
      <c r="B474" t="s">
        <v>58</v>
      </c>
      <c r="C474" t="s">
        <v>58</v>
      </c>
      <c r="D474" t="s">
        <v>58</v>
      </c>
      <c r="E474" t="s">
        <v>58</v>
      </c>
      <c r="J474" t="s">
        <v>58</v>
      </c>
      <c r="K474" t="s">
        <v>58</v>
      </c>
      <c r="L474" t="s">
        <v>58</v>
      </c>
      <c r="M474" t="s">
        <v>58</v>
      </c>
      <c r="N474" t="s">
        <v>58</v>
      </c>
      <c r="R474" t="s">
        <v>58</v>
      </c>
      <c r="S474" t="s">
        <v>58</v>
      </c>
      <c r="T474" t="s">
        <v>58</v>
      </c>
      <c r="U474" t="s">
        <v>58</v>
      </c>
      <c r="V474" t="s">
        <v>58</v>
      </c>
      <c r="Z474" t="s">
        <v>58</v>
      </c>
      <c r="AA474" t="s">
        <v>58</v>
      </c>
      <c r="AB474" t="s">
        <v>58</v>
      </c>
      <c r="AC474" t="s">
        <v>58</v>
      </c>
      <c r="AD474" t="s">
        <v>58</v>
      </c>
      <c r="AG474" t="s">
        <v>58</v>
      </c>
      <c r="AH474" t="s">
        <v>58</v>
      </c>
      <c r="AI474" t="s">
        <v>58</v>
      </c>
      <c r="AJ474" t="s">
        <v>58</v>
      </c>
      <c r="AK474" t="s">
        <v>58</v>
      </c>
      <c r="AO474" t="s">
        <v>58</v>
      </c>
      <c r="AP474" t="s">
        <v>58</v>
      </c>
      <c r="AQ474" t="s">
        <v>58</v>
      </c>
      <c r="AR474" t="s">
        <v>58</v>
      </c>
      <c r="AS474" t="s">
        <v>58</v>
      </c>
      <c r="AV474" t="s">
        <v>58</v>
      </c>
      <c r="AW474" t="s">
        <v>58</v>
      </c>
      <c r="AX474" t="s">
        <v>58</v>
      </c>
      <c r="AY474" t="s">
        <v>58</v>
      </c>
      <c r="AZ474" t="s">
        <v>58</v>
      </c>
      <c r="BC474" t="s">
        <v>58</v>
      </c>
      <c r="BD474" t="s">
        <v>58</v>
      </c>
      <c r="BE474" t="s">
        <v>58</v>
      </c>
      <c r="BF474" t="s">
        <v>58</v>
      </c>
      <c r="BG474" t="s">
        <v>58</v>
      </c>
    </row>
    <row r="475" spans="1:59" x14ac:dyDescent="0.3">
      <c r="A475" t="s">
        <v>58</v>
      </c>
      <c r="B475" t="s">
        <v>58</v>
      </c>
      <c r="C475" t="s">
        <v>58</v>
      </c>
      <c r="D475" t="s">
        <v>58</v>
      </c>
      <c r="E475" t="s">
        <v>58</v>
      </c>
      <c r="J475" t="s">
        <v>58</v>
      </c>
      <c r="K475" t="s">
        <v>58</v>
      </c>
      <c r="L475" t="s">
        <v>58</v>
      </c>
      <c r="M475" t="s">
        <v>58</v>
      </c>
      <c r="N475" t="s">
        <v>58</v>
      </c>
      <c r="R475" t="s">
        <v>58</v>
      </c>
      <c r="S475" t="s">
        <v>58</v>
      </c>
      <c r="T475" t="s">
        <v>58</v>
      </c>
      <c r="U475" t="s">
        <v>58</v>
      </c>
      <c r="V475" t="s">
        <v>58</v>
      </c>
      <c r="Z475" t="s">
        <v>58</v>
      </c>
      <c r="AA475" t="s">
        <v>58</v>
      </c>
      <c r="AB475" t="s">
        <v>58</v>
      </c>
      <c r="AC475" t="s">
        <v>58</v>
      </c>
      <c r="AD475" t="s">
        <v>58</v>
      </c>
      <c r="AG475" t="s">
        <v>58</v>
      </c>
      <c r="AH475" t="s">
        <v>58</v>
      </c>
      <c r="AI475" t="s">
        <v>58</v>
      </c>
      <c r="AJ475" t="s">
        <v>58</v>
      </c>
      <c r="AK475" t="s">
        <v>58</v>
      </c>
      <c r="AO475" t="s">
        <v>58</v>
      </c>
      <c r="AP475" t="s">
        <v>58</v>
      </c>
      <c r="AQ475" t="s">
        <v>58</v>
      </c>
      <c r="AR475" t="s">
        <v>58</v>
      </c>
      <c r="AS475" t="s">
        <v>58</v>
      </c>
      <c r="AV475" t="s">
        <v>58</v>
      </c>
      <c r="AW475" t="s">
        <v>58</v>
      </c>
      <c r="AX475" t="s">
        <v>58</v>
      </c>
      <c r="AY475" t="s">
        <v>58</v>
      </c>
      <c r="AZ475" t="s">
        <v>58</v>
      </c>
      <c r="BC475" t="s">
        <v>58</v>
      </c>
      <c r="BD475" t="s">
        <v>58</v>
      </c>
      <c r="BE475" t="s">
        <v>58</v>
      </c>
      <c r="BF475" t="s">
        <v>58</v>
      </c>
      <c r="BG475" t="s">
        <v>58</v>
      </c>
    </row>
    <row r="476" spans="1:59" x14ac:dyDescent="0.3">
      <c r="A476" t="s">
        <v>58</v>
      </c>
      <c r="B476" t="s">
        <v>58</v>
      </c>
      <c r="C476" t="s">
        <v>58</v>
      </c>
      <c r="D476" t="s">
        <v>58</v>
      </c>
      <c r="E476" t="s">
        <v>58</v>
      </c>
      <c r="J476" t="s">
        <v>58</v>
      </c>
      <c r="K476" t="s">
        <v>58</v>
      </c>
      <c r="L476" t="s">
        <v>58</v>
      </c>
      <c r="M476" t="s">
        <v>58</v>
      </c>
      <c r="N476" t="s">
        <v>58</v>
      </c>
      <c r="R476" t="s">
        <v>58</v>
      </c>
      <c r="S476" t="s">
        <v>58</v>
      </c>
      <c r="T476" t="s">
        <v>58</v>
      </c>
      <c r="U476" t="s">
        <v>58</v>
      </c>
      <c r="V476" t="s">
        <v>58</v>
      </c>
      <c r="Z476" t="s">
        <v>58</v>
      </c>
      <c r="AA476" t="s">
        <v>58</v>
      </c>
      <c r="AB476" t="s">
        <v>58</v>
      </c>
      <c r="AC476" t="s">
        <v>58</v>
      </c>
      <c r="AD476" t="s">
        <v>58</v>
      </c>
      <c r="AG476" t="s">
        <v>58</v>
      </c>
      <c r="AH476" t="s">
        <v>58</v>
      </c>
      <c r="AI476" t="s">
        <v>58</v>
      </c>
      <c r="AJ476" t="s">
        <v>58</v>
      </c>
      <c r="AK476" t="s">
        <v>58</v>
      </c>
      <c r="AO476" t="s">
        <v>58</v>
      </c>
      <c r="AP476" t="s">
        <v>58</v>
      </c>
      <c r="AQ476" t="s">
        <v>58</v>
      </c>
      <c r="AR476" t="s">
        <v>58</v>
      </c>
      <c r="AS476" t="s">
        <v>58</v>
      </c>
      <c r="AV476" t="s">
        <v>58</v>
      </c>
      <c r="AW476" t="s">
        <v>58</v>
      </c>
      <c r="AX476" t="s">
        <v>58</v>
      </c>
      <c r="AY476" t="s">
        <v>58</v>
      </c>
      <c r="AZ476" t="s">
        <v>58</v>
      </c>
      <c r="BC476" t="s">
        <v>58</v>
      </c>
      <c r="BD476" t="s">
        <v>58</v>
      </c>
      <c r="BE476" t="s">
        <v>58</v>
      </c>
      <c r="BF476" t="s">
        <v>58</v>
      </c>
      <c r="BG476" t="s">
        <v>58</v>
      </c>
    </row>
    <row r="477" spans="1:59" x14ac:dyDescent="0.3">
      <c r="A477" t="s">
        <v>58</v>
      </c>
      <c r="B477" t="s">
        <v>58</v>
      </c>
      <c r="C477" t="s">
        <v>58</v>
      </c>
      <c r="D477" t="s">
        <v>58</v>
      </c>
      <c r="E477" t="s">
        <v>58</v>
      </c>
      <c r="J477" t="s">
        <v>58</v>
      </c>
      <c r="K477" t="s">
        <v>58</v>
      </c>
      <c r="L477" t="s">
        <v>58</v>
      </c>
      <c r="M477" t="s">
        <v>58</v>
      </c>
      <c r="N477" t="s">
        <v>58</v>
      </c>
      <c r="R477" t="s">
        <v>58</v>
      </c>
      <c r="S477" t="s">
        <v>58</v>
      </c>
      <c r="T477" t="s">
        <v>58</v>
      </c>
      <c r="U477" t="s">
        <v>58</v>
      </c>
      <c r="V477" t="s">
        <v>58</v>
      </c>
      <c r="Z477" t="s">
        <v>58</v>
      </c>
      <c r="AA477" t="s">
        <v>58</v>
      </c>
      <c r="AB477" t="s">
        <v>58</v>
      </c>
      <c r="AC477" t="s">
        <v>58</v>
      </c>
      <c r="AD477" t="s">
        <v>58</v>
      </c>
      <c r="AG477" t="s">
        <v>58</v>
      </c>
      <c r="AH477" t="s">
        <v>58</v>
      </c>
      <c r="AI477" t="s">
        <v>58</v>
      </c>
      <c r="AJ477" t="s">
        <v>58</v>
      </c>
      <c r="AK477" t="s">
        <v>58</v>
      </c>
      <c r="AO477" t="s">
        <v>58</v>
      </c>
      <c r="AP477" t="s">
        <v>58</v>
      </c>
      <c r="AQ477" t="s">
        <v>58</v>
      </c>
      <c r="AR477" t="s">
        <v>58</v>
      </c>
      <c r="AS477" t="s">
        <v>58</v>
      </c>
      <c r="AV477" t="s">
        <v>58</v>
      </c>
      <c r="AW477" t="s">
        <v>58</v>
      </c>
      <c r="AX477" t="s">
        <v>58</v>
      </c>
      <c r="AY477" t="s">
        <v>58</v>
      </c>
      <c r="AZ477" t="s">
        <v>58</v>
      </c>
      <c r="BC477" t="s">
        <v>58</v>
      </c>
      <c r="BD477" t="s">
        <v>58</v>
      </c>
      <c r="BE477" t="s">
        <v>58</v>
      </c>
      <c r="BF477" t="s">
        <v>58</v>
      </c>
      <c r="BG477" t="s">
        <v>58</v>
      </c>
    </row>
    <row r="478" spans="1:59" x14ac:dyDescent="0.3">
      <c r="A478" t="s">
        <v>58</v>
      </c>
      <c r="B478" t="s">
        <v>58</v>
      </c>
      <c r="C478" t="s">
        <v>58</v>
      </c>
      <c r="D478" t="s">
        <v>58</v>
      </c>
      <c r="E478" t="s">
        <v>58</v>
      </c>
      <c r="J478" t="s">
        <v>58</v>
      </c>
      <c r="K478" t="s">
        <v>58</v>
      </c>
      <c r="L478" t="s">
        <v>58</v>
      </c>
      <c r="M478" t="s">
        <v>58</v>
      </c>
      <c r="N478" t="s">
        <v>58</v>
      </c>
      <c r="R478" t="s">
        <v>58</v>
      </c>
      <c r="S478" t="s">
        <v>58</v>
      </c>
      <c r="T478" t="s">
        <v>58</v>
      </c>
      <c r="U478" t="s">
        <v>58</v>
      </c>
      <c r="V478" t="s">
        <v>58</v>
      </c>
      <c r="Z478" t="s">
        <v>58</v>
      </c>
      <c r="AA478" t="s">
        <v>58</v>
      </c>
      <c r="AB478" t="s">
        <v>58</v>
      </c>
      <c r="AC478" t="s">
        <v>58</v>
      </c>
      <c r="AD478" t="s">
        <v>58</v>
      </c>
      <c r="AG478" t="s">
        <v>58</v>
      </c>
      <c r="AH478" t="s">
        <v>58</v>
      </c>
      <c r="AI478" t="s">
        <v>58</v>
      </c>
      <c r="AJ478" t="s">
        <v>58</v>
      </c>
      <c r="AK478" t="s">
        <v>58</v>
      </c>
      <c r="AO478" t="s">
        <v>58</v>
      </c>
      <c r="AP478" t="s">
        <v>58</v>
      </c>
      <c r="AQ478" t="s">
        <v>58</v>
      </c>
      <c r="AR478" t="s">
        <v>58</v>
      </c>
      <c r="AS478" t="s">
        <v>58</v>
      </c>
      <c r="AV478" t="s">
        <v>58</v>
      </c>
      <c r="AW478" t="s">
        <v>58</v>
      </c>
      <c r="AX478" t="s">
        <v>58</v>
      </c>
      <c r="AY478" t="s">
        <v>58</v>
      </c>
      <c r="AZ478" t="s">
        <v>58</v>
      </c>
      <c r="BC478" t="s">
        <v>58</v>
      </c>
      <c r="BD478" t="s">
        <v>58</v>
      </c>
      <c r="BE478" t="s">
        <v>58</v>
      </c>
      <c r="BF478" t="s">
        <v>58</v>
      </c>
      <c r="BG478" t="s">
        <v>58</v>
      </c>
    </row>
    <row r="479" spans="1:59" x14ac:dyDescent="0.3">
      <c r="A479" t="s">
        <v>58</v>
      </c>
      <c r="B479" t="s">
        <v>58</v>
      </c>
      <c r="C479" t="s">
        <v>58</v>
      </c>
      <c r="D479" t="s">
        <v>58</v>
      </c>
      <c r="E479" t="s">
        <v>58</v>
      </c>
      <c r="J479" t="s">
        <v>58</v>
      </c>
      <c r="K479" t="s">
        <v>58</v>
      </c>
      <c r="L479" t="s">
        <v>58</v>
      </c>
      <c r="M479" t="s">
        <v>58</v>
      </c>
      <c r="N479" t="s">
        <v>58</v>
      </c>
      <c r="R479" t="s">
        <v>58</v>
      </c>
      <c r="S479" t="s">
        <v>58</v>
      </c>
      <c r="T479" t="s">
        <v>58</v>
      </c>
      <c r="U479" t="s">
        <v>58</v>
      </c>
      <c r="V479" t="s">
        <v>58</v>
      </c>
      <c r="Z479" t="s">
        <v>58</v>
      </c>
      <c r="AA479" t="s">
        <v>58</v>
      </c>
      <c r="AB479" t="s">
        <v>58</v>
      </c>
      <c r="AC479" t="s">
        <v>58</v>
      </c>
      <c r="AD479" t="s">
        <v>58</v>
      </c>
      <c r="AG479" t="s">
        <v>58</v>
      </c>
      <c r="AH479" t="s">
        <v>58</v>
      </c>
      <c r="AI479" t="s">
        <v>58</v>
      </c>
      <c r="AJ479" t="s">
        <v>58</v>
      </c>
      <c r="AK479" t="s">
        <v>58</v>
      </c>
      <c r="AO479" t="s">
        <v>58</v>
      </c>
      <c r="AP479" t="s">
        <v>58</v>
      </c>
      <c r="AQ479" t="s">
        <v>58</v>
      </c>
      <c r="AR479" t="s">
        <v>58</v>
      </c>
      <c r="AS479" t="s">
        <v>58</v>
      </c>
      <c r="AV479" t="s">
        <v>58</v>
      </c>
      <c r="AW479" t="s">
        <v>58</v>
      </c>
      <c r="AX479" t="s">
        <v>58</v>
      </c>
      <c r="AY479" t="s">
        <v>58</v>
      </c>
      <c r="AZ479" t="s">
        <v>58</v>
      </c>
      <c r="BC479" t="s">
        <v>58</v>
      </c>
      <c r="BD479" t="s">
        <v>58</v>
      </c>
      <c r="BE479" t="s">
        <v>58</v>
      </c>
      <c r="BF479" t="s">
        <v>58</v>
      </c>
      <c r="BG479" t="s">
        <v>58</v>
      </c>
    </row>
    <row r="480" spans="1:59" x14ac:dyDescent="0.3">
      <c r="A480" t="s">
        <v>58</v>
      </c>
      <c r="B480" t="s">
        <v>58</v>
      </c>
      <c r="C480" t="s">
        <v>58</v>
      </c>
      <c r="D480" t="s">
        <v>58</v>
      </c>
      <c r="E480" t="s">
        <v>58</v>
      </c>
      <c r="J480" t="s">
        <v>58</v>
      </c>
      <c r="K480" t="s">
        <v>58</v>
      </c>
      <c r="L480" t="s">
        <v>58</v>
      </c>
      <c r="M480" t="s">
        <v>58</v>
      </c>
      <c r="N480" t="s">
        <v>58</v>
      </c>
      <c r="R480" t="s">
        <v>58</v>
      </c>
      <c r="S480" t="s">
        <v>58</v>
      </c>
      <c r="T480" t="s">
        <v>58</v>
      </c>
      <c r="U480" t="s">
        <v>58</v>
      </c>
      <c r="V480" t="s">
        <v>58</v>
      </c>
      <c r="Z480" t="s">
        <v>58</v>
      </c>
      <c r="AA480" t="s">
        <v>58</v>
      </c>
      <c r="AB480" t="s">
        <v>58</v>
      </c>
      <c r="AC480" t="s">
        <v>58</v>
      </c>
      <c r="AD480" t="s">
        <v>58</v>
      </c>
      <c r="AG480" t="s">
        <v>58</v>
      </c>
      <c r="AH480" t="s">
        <v>58</v>
      </c>
      <c r="AI480" t="s">
        <v>58</v>
      </c>
      <c r="AJ480" t="s">
        <v>58</v>
      </c>
      <c r="AK480" t="s">
        <v>58</v>
      </c>
      <c r="AO480" t="s">
        <v>58</v>
      </c>
      <c r="AP480" t="s">
        <v>58</v>
      </c>
      <c r="AQ480" t="s">
        <v>58</v>
      </c>
      <c r="AR480" t="s">
        <v>58</v>
      </c>
      <c r="AS480" t="s">
        <v>58</v>
      </c>
      <c r="AV480" t="s">
        <v>58</v>
      </c>
      <c r="AW480" t="s">
        <v>58</v>
      </c>
      <c r="AX480" t="s">
        <v>58</v>
      </c>
      <c r="AY480" t="s">
        <v>58</v>
      </c>
      <c r="AZ480" t="s">
        <v>58</v>
      </c>
      <c r="BC480" t="s">
        <v>58</v>
      </c>
      <c r="BD480" t="s">
        <v>58</v>
      </c>
      <c r="BE480" t="s">
        <v>58</v>
      </c>
      <c r="BF480" t="s">
        <v>58</v>
      </c>
      <c r="BG480" t="s">
        <v>58</v>
      </c>
    </row>
    <row r="481" spans="1:59" x14ac:dyDescent="0.3">
      <c r="A481" t="s">
        <v>58</v>
      </c>
      <c r="B481" t="s">
        <v>58</v>
      </c>
      <c r="C481" t="s">
        <v>58</v>
      </c>
      <c r="D481" t="s">
        <v>58</v>
      </c>
      <c r="E481" t="s">
        <v>58</v>
      </c>
      <c r="J481" t="s">
        <v>58</v>
      </c>
      <c r="K481" t="s">
        <v>58</v>
      </c>
      <c r="L481" t="s">
        <v>58</v>
      </c>
      <c r="M481" t="s">
        <v>58</v>
      </c>
      <c r="N481" t="s">
        <v>58</v>
      </c>
      <c r="R481" t="s">
        <v>58</v>
      </c>
      <c r="S481" t="s">
        <v>58</v>
      </c>
      <c r="T481" t="s">
        <v>58</v>
      </c>
      <c r="U481" t="s">
        <v>58</v>
      </c>
      <c r="V481" t="s">
        <v>58</v>
      </c>
      <c r="Z481" t="s">
        <v>58</v>
      </c>
      <c r="AA481" t="s">
        <v>58</v>
      </c>
      <c r="AB481" t="s">
        <v>58</v>
      </c>
      <c r="AC481" t="s">
        <v>58</v>
      </c>
      <c r="AD481" t="s">
        <v>58</v>
      </c>
      <c r="AG481" t="s">
        <v>58</v>
      </c>
      <c r="AH481" t="s">
        <v>58</v>
      </c>
      <c r="AI481" t="s">
        <v>58</v>
      </c>
      <c r="AJ481" t="s">
        <v>58</v>
      </c>
      <c r="AK481" t="s">
        <v>58</v>
      </c>
      <c r="AO481" t="s">
        <v>58</v>
      </c>
      <c r="AP481" t="s">
        <v>58</v>
      </c>
      <c r="AQ481" t="s">
        <v>58</v>
      </c>
      <c r="AR481" t="s">
        <v>58</v>
      </c>
      <c r="AS481" t="s">
        <v>58</v>
      </c>
      <c r="AV481" t="s">
        <v>58</v>
      </c>
      <c r="AW481" t="s">
        <v>58</v>
      </c>
      <c r="AX481" t="s">
        <v>58</v>
      </c>
      <c r="AY481" t="s">
        <v>58</v>
      </c>
      <c r="AZ481" t="s">
        <v>58</v>
      </c>
      <c r="BC481" t="s">
        <v>58</v>
      </c>
      <c r="BD481" t="s">
        <v>58</v>
      </c>
      <c r="BE481" t="s">
        <v>58</v>
      </c>
      <c r="BF481" t="s">
        <v>58</v>
      </c>
      <c r="BG481" t="s">
        <v>58</v>
      </c>
    </row>
    <row r="482" spans="1:59" x14ac:dyDescent="0.3">
      <c r="A482" t="s">
        <v>58</v>
      </c>
      <c r="B482" t="s">
        <v>58</v>
      </c>
      <c r="C482" t="s">
        <v>58</v>
      </c>
      <c r="D482" t="s">
        <v>58</v>
      </c>
      <c r="E482" t="s">
        <v>58</v>
      </c>
      <c r="J482" t="s">
        <v>58</v>
      </c>
      <c r="K482" t="s">
        <v>58</v>
      </c>
      <c r="L482" t="s">
        <v>58</v>
      </c>
      <c r="M482" t="s">
        <v>58</v>
      </c>
      <c r="N482" t="s">
        <v>58</v>
      </c>
      <c r="R482" t="s">
        <v>58</v>
      </c>
      <c r="S482" t="s">
        <v>58</v>
      </c>
      <c r="T482" t="s">
        <v>58</v>
      </c>
      <c r="U482" t="s">
        <v>58</v>
      </c>
      <c r="V482" t="s">
        <v>58</v>
      </c>
      <c r="Z482" t="s">
        <v>58</v>
      </c>
      <c r="AA482" t="s">
        <v>58</v>
      </c>
      <c r="AB482" t="s">
        <v>58</v>
      </c>
      <c r="AC482" t="s">
        <v>58</v>
      </c>
      <c r="AD482" t="s">
        <v>58</v>
      </c>
      <c r="AG482" t="s">
        <v>58</v>
      </c>
      <c r="AH482" t="s">
        <v>58</v>
      </c>
      <c r="AI482" t="s">
        <v>58</v>
      </c>
      <c r="AJ482" t="s">
        <v>58</v>
      </c>
      <c r="AK482" t="s">
        <v>58</v>
      </c>
      <c r="AO482" t="s">
        <v>58</v>
      </c>
      <c r="AP482" t="s">
        <v>58</v>
      </c>
      <c r="AQ482" t="s">
        <v>58</v>
      </c>
      <c r="AR482" t="s">
        <v>58</v>
      </c>
      <c r="AS482" t="s">
        <v>58</v>
      </c>
      <c r="AV482" t="s">
        <v>58</v>
      </c>
      <c r="AW482" t="s">
        <v>58</v>
      </c>
      <c r="AX482" t="s">
        <v>58</v>
      </c>
      <c r="AY482" t="s">
        <v>58</v>
      </c>
      <c r="AZ482" t="s">
        <v>58</v>
      </c>
      <c r="BC482" t="s">
        <v>58</v>
      </c>
      <c r="BD482" t="s">
        <v>58</v>
      </c>
      <c r="BE482" t="s">
        <v>58</v>
      </c>
      <c r="BF482" t="s">
        <v>58</v>
      </c>
      <c r="BG482" t="s">
        <v>58</v>
      </c>
    </row>
    <row r="483" spans="1:59" x14ac:dyDescent="0.3">
      <c r="A483" t="s">
        <v>58</v>
      </c>
      <c r="B483" t="s">
        <v>58</v>
      </c>
      <c r="C483" t="s">
        <v>58</v>
      </c>
      <c r="D483" t="s">
        <v>58</v>
      </c>
      <c r="E483" t="s">
        <v>58</v>
      </c>
      <c r="J483" t="s">
        <v>58</v>
      </c>
      <c r="K483" t="s">
        <v>58</v>
      </c>
      <c r="L483" t="s">
        <v>58</v>
      </c>
      <c r="M483" t="s">
        <v>58</v>
      </c>
      <c r="N483" t="s">
        <v>58</v>
      </c>
      <c r="R483" t="s">
        <v>58</v>
      </c>
      <c r="S483" t="s">
        <v>58</v>
      </c>
      <c r="T483" t="s">
        <v>58</v>
      </c>
      <c r="U483" t="s">
        <v>58</v>
      </c>
      <c r="V483" t="s">
        <v>58</v>
      </c>
      <c r="Z483" t="s">
        <v>58</v>
      </c>
      <c r="AA483" t="s">
        <v>58</v>
      </c>
      <c r="AB483" t="s">
        <v>58</v>
      </c>
      <c r="AC483" t="s">
        <v>58</v>
      </c>
      <c r="AD483" t="s">
        <v>58</v>
      </c>
      <c r="AG483" t="s">
        <v>58</v>
      </c>
      <c r="AH483" t="s">
        <v>58</v>
      </c>
      <c r="AI483" t="s">
        <v>58</v>
      </c>
      <c r="AJ483" t="s">
        <v>58</v>
      </c>
      <c r="AK483" t="s">
        <v>58</v>
      </c>
      <c r="AO483" t="s">
        <v>58</v>
      </c>
      <c r="AP483" t="s">
        <v>58</v>
      </c>
      <c r="AQ483" t="s">
        <v>58</v>
      </c>
      <c r="AR483" t="s">
        <v>58</v>
      </c>
      <c r="AS483" t="s">
        <v>58</v>
      </c>
      <c r="AV483" t="s">
        <v>58</v>
      </c>
      <c r="AW483" t="s">
        <v>58</v>
      </c>
      <c r="AX483" t="s">
        <v>58</v>
      </c>
      <c r="AY483" t="s">
        <v>58</v>
      </c>
      <c r="AZ483" t="s">
        <v>58</v>
      </c>
      <c r="BC483" t="s">
        <v>58</v>
      </c>
      <c r="BD483" t="s">
        <v>58</v>
      </c>
      <c r="BE483" t="s">
        <v>58</v>
      </c>
      <c r="BF483" t="s">
        <v>58</v>
      </c>
      <c r="BG483" t="s">
        <v>58</v>
      </c>
    </row>
    <row r="484" spans="1:59" x14ac:dyDescent="0.3">
      <c r="A484" t="s">
        <v>58</v>
      </c>
      <c r="B484" t="s">
        <v>58</v>
      </c>
      <c r="C484" t="s">
        <v>58</v>
      </c>
      <c r="D484" t="s">
        <v>58</v>
      </c>
      <c r="E484" t="s">
        <v>58</v>
      </c>
      <c r="J484" t="s">
        <v>58</v>
      </c>
      <c r="K484" t="s">
        <v>58</v>
      </c>
      <c r="L484" t="s">
        <v>58</v>
      </c>
      <c r="M484" t="s">
        <v>58</v>
      </c>
      <c r="N484" t="s">
        <v>58</v>
      </c>
      <c r="R484" t="s">
        <v>58</v>
      </c>
      <c r="S484" t="s">
        <v>58</v>
      </c>
      <c r="T484" t="s">
        <v>58</v>
      </c>
      <c r="U484" t="s">
        <v>58</v>
      </c>
      <c r="V484" t="s">
        <v>58</v>
      </c>
      <c r="Z484" t="s">
        <v>58</v>
      </c>
      <c r="AA484" t="s">
        <v>58</v>
      </c>
      <c r="AB484" t="s">
        <v>58</v>
      </c>
      <c r="AC484" t="s">
        <v>58</v>
      </c>
      <c r="AD484" t="s">
        <v>58</v>
      </c>
      <c r="AG484" t="s">
        <v>58</v>
      </c>
      <c r="AH484" t="s">
        <v>58</v>
      </c>
      <c r="AI484" t="s">
        <v>58</v>
      </c>
      <c r="AJ484" t="s">
        <v>58</v>
      </c>
      <c r="AK484" t="s">
        <v>58</v>
      </c>
      <c r="AO484" t="s">
        <v>58</v>
      </c>
      <c r="AP484" t="s">
        <v>58</v>
      </c>
      <c r="AQ484" t="s">
        <v>58</v>
      </c>
      <c r="AR484" t="s">
        <v>58</v>
      </c>
      <c r="AS484" t="s">
        <v>58</v>
      </c>
      <c r="AV484" t="s">
        <v>58</v>
      </c>
      <c r="AW484" t="s">
        <v>58</v>
      </c>
      <c r="AX484" t="s">
        <v>58</v>
      </c>
      <c r="AY484" t="s">
        <v>58</v>
      </c>
      <c r="AZ484" t="s">
        <v>58</v>
      </c>
      <c r="BC484" t="s">
        <v>58</v>
      </c>
      <c r="BD484" t="s">
        <v>58</v>
      </c>
      <c r="BE484" t="s">
        <v>58</v>
      </c>
      <c r="BF484" t="s">
        <v>58</v>
      </c>
      <c r="BG484" t="s">
        <v>58</v>
      </c>
    </row>
    <row r="485" spans="1:59" x14ac:dyDescent="0.3">
      <c r="A485" t="s">
        <v>58</v>
      </c>
      <c r="B485" t="s">
        <v>58</v>
      </c>
      <c r="C485" t="s">
        <v>58</v>
      </c>
      <c r="D485" t="s">
        <v>58</v>
      </c>
      <c r="E485" t="s">
        <v>58</v>
      </c>
      <c r="J485" t="s">
        <v>58</v>
      </c>
      <c r="K485" t="s">
        <v>58</v>
      </c>
      <c r="L485" t="s">
        <v>58</v>
      </c>
      <c r="M485" t="s">
        <v>58</v>
      </c>
      <c r="N485" t="s">
        <v>58</v>
      </c>
      <c r="R485" t="s">
        <v>58</v>
      </c>
      <c r="S485" t="s">
        <v>58</v>
      </c>
      <c r="T485" t="s">
        <v>58</v>
      </c>
      <c r="U485" t="s">
        <v>58</v>
      </c>
      <c r="V485" t="s">
        <v>58</v>
      </c>
      <c r="Z485" t="s">
        <v>58</v>
      </c>
      <c r="AA485" t="s">
        <v>58</v>
      </c>
      <c r="AB485" t="s">
        <v>58</v>
      </c>
      <c r="AC485" t="s">
        <v>58</v>
      </c>
      <c r="AD485" t="s">
        <v>58</v>
      </c>
      <c r="AG485" t="s">
        <v>58</v>
      </c>
      <c r="AH485" t="s">
        <v>58</v>
      </c>
      <c r="AI485" t="s">
        <v>58</v>
      </c>
      <c r="AJ485" t="s">
        <v>58</v>
      </c>
      <c r="AK485" t="s">
        <v>58</v>
      </c>
      <c r="AO485" t="s">
        <v>58</v>
      </c>
      <c r="AP485" t="s">
        <v>58</v>
      </c>
      <c r="AQ485" t="s">
        <v>58</v>
      </c>
      <c r="AR485" t="s">
        <v>58</v>
      </c>
      <c r="AS485" t="s">
        <v>58</v>
      </c>
      <c r="AV485" t="s">
        <v>58</v>
      </c>
      <c r="AW485" t="s">
        <v>58</v>
      </c>
      <c r="AX485" t="s">
        <v>58</v>
      </c>
      <c r="AY485" t="s">
        <v>58</v>
      </c>
      <c r="AZ485" t="s">
        <v>58</v>
      </c>
      <c r="BC485" t="s">
        <v>58</v>
      </c>
      <c r="BD485" t="s">
        <v>58</v>
      </c>
      <c r="BE485" t="s">
        <v>58</v>
      </c>
      <c r="BF485" t="s">
        <v>58</v>
      </c>
      <c r="BG485" t="s">
        <v>58</v>
      </c>
    </row>
    <row r="486" spans="1:59" x14ac:dyDescent="0.3">
      <c r="A486" t="s">
        <v>58</v>
      </c>
      <c r="B486" t="s">
        <v>58</v>
      </c>
      <c r="C486" t="s">
        <v>58</v>
      </c>
      <c r="D486" t="s">
        <v>58</v>
      </c>
      <c r="E486" t="s">
        <v>58</v>
      </c>
      <c r="J486" t="s">
        <v>58</v>
      </c>
      <c r="K486" t="s">
        <v>58</v>
      </c>
      <c r="L486" t="s">
        <v>58</v>
      </c>
      <c r="M486" t="s">
        <v>58</v>
      </c>
      <c r="N486" t="s">
        <v>58</v>
      </c>
      <c r="R486" t="s">
        <v>58</v>
      </c>
      <c r="S486" t="s">
        <v>58</v>
      </c>
      <c r="T486" t="s">
        <v>58</v>
      </c>
      <c r="U486" t="s">
        <v>58</v>
      </c>
      <c r="V486" t="s">
        <v>58</v>
      </c>
      <c r="Z486" t="s">
        <v>58</v>
      </c>
      <c r="AA486" t="s">
        <v>58</v>
      </c>
      <c r="AB486" t="s">
        <v>58</v>
      </c>
      <c r="AC486" t="s">
        <v>58</v>
      </c>
      <c r="AD486" t="s">
        <v>58</v>
      </c>
      <c r="AG486" t="s">
        <v>58</v>
      </c>
      <c r="AH486" t="s">
        <v>58</v>
      </c>
      <c r="AI486" t="s">
        <v>58</v>
      </c>
      <c r="AJ486" t="s">
        <v>58</v>
      </c>
      <c r="AK486" t="s">
        <v>58</v>
      </c>
      <c r="AO486" t="s">
        <v>58</v>
      </c>
      <c r="AP486" t="s">
        <v>58</v>
      </c>
      <c r="AQ486" t="s">
        <v>58</v>
      </c>
      <c r="AR486" t="s">
        <v>58</v>
      </c>
      <c r="AS486" t="s">
        <v>58</v>
      </c>
      <c r="AV486" t="s">
        <v>58</v>
      </c>
      <c r="AW486" t="s">
        <v>58</v>
      </c>
      <c r="AX486" t="s">
        <v>58</v>
      </c>
      <c r="AY486" t="s">
        <v>58</v>
      </c>
      <c r="AZ486" t="s">
        <v>58</v>
      </c>
      <c r="BC486" t="s">
        <v>58</v>
      </c>
      <c r="BD486" t="s">
        <v>58</v>
      </c>
      <c r="BE486" t="s">
        <v>58</v>
      </c>
      <c r="BF486" t="s">
        <v>58</v>
      </c>
      <c r="BG486" t="s">
        <v>58</v>
      </c>
    </row>
    <row r="487" spans="1:59" x14ac:dyDescent="0.3">
      <c r="A487" t="s">
        <v>58</v>
      </c>
      <c r="B487" t="s">
        <v>58</v>
      </c>
      <c r="C487" t="s">
        <v>58</v>
      </c>
      <c r="D487" t="s">
        <v>58</v>
      </c>
      <c r="E487" t="s">
        <v>58</v>
      </c>
      <c r="J487" t="s">
        <v>58</v>
      </c>
      <c r="K487" t="s">
        <v>58</v>
      </c>
      <c r="L487" t="s">
        <v>58</v>
      </c>
      <c r="M487" t="s">
        <v>58</v>
      </c>
      <c r="N487" t="s">
        <v>58</v>
      </c>
      <c r="R487" t="s">
        <v>58</v>
      </c>
      <c r="S487" t="s">
        <v>58</v>
      </c>
      <c r="T487" t="s">
        <v>58</v>
      </c>
      <c r="U487" t="s">
        <v>58</v>
      </c>
      <c r="V487" t="s">
        <v>58</v>
      </c>
      <c r="Z487" t="s">
        <v>58</v>
      </c>
      <c r="AA487" t="s">
        <v>58</v>
      </c>
      <c r="AB487" t="s">
        <v>58</v>
      </c>
      <c r="AC487" t="s">
        <v>58</v>
      </c>
      <c r="AD487" t="s">
        <v>58</v>
      </c>
      <c r="AG487" t="s">
        <v>58</v>
      </c>
      <c r="AH487" t="s">
        <v>58</v>
      </c>
      <c r="AI487" t="s">
        <v>58</v>
      </c>
      <c r="AJ487" t="s">
        <v>58</v>
      </c>
      <c r="AK487" t="s">
        <v>58</v>
      </c>
      <c r="AO487" t="s">
        <v>58</v>
      </c>
      <c r="AP487" t="s">
        <v>58</v>
      </c>
      <c r="AQ487" t="s">
        <v>58</v>
      </c>
      <c r="AR487" t="s">
        <v>58</v>
      </c>
      <c r="AS487" t="s">
        <v>58</v>
      </c>
      <c r="AV487" t="s">
        <v>58</v>
      </c>
      <c r="AW487" t="s">
        <v>58</v>
      </c>
      <c r="AX487" t="s">
        <v>58</v>
      </c>
      <c r="AY487" t="s">
        <v>58</v>
      </c>
      <c r="AZ487" t="s">
        <v>58</v>
      </c>
      <c r="BC487" t="s">
        <v>58</v>
      </c>
      <c r="BD487" t="s">
        <v>58</v>
      </c>
      <c r="BE487" t="s">
        <v>58</v>
      </c>
      <c r="BF487" t="s">
        <v>58</v>
      </c>
      <c r="BG487" t="s">
        <v>58</v>
      </c>
    </row>
    <row r="488" spans="1:59" x14ac:dyDescent="0.3">
      <c r="A488" t="s">
        <v>58</v>
      </c>
      <c r="B488" t="s">
        <v>58</v>
      </c>
      <c r="C488" t="s">
        <v>58</v>
      </c>
      <c r="D488" t="s">
        <v>58</v>
      </c>
      <c r="E488" t="s">
        <v>58</v>
      </c>
      <c r="J488" t="s">
        <v>58</v>
      </c>
      <c r="K488" t="s">
        <v>58</v>
      </c>
      <c r="L488" t="s">
        <v>58</v>
      </c>
      <c r="M488" t="s">
        <v>58</v>
      </c>
      <c r="N488" t="s">
        <v>58</v>
      </c>
      <c r="R488" t="s">
        <v>58</v>
      </c>
      <c r="S488" t="s">
        <v>58</v>
      </c>
      <c r="T488" t="s">
        <v>58</v>
      </c>
      <c r="U488" t="s">
        <v>58</v>
      </c>
      <c r="V488" t="s">
        <v>58</v>
      </c>
      <c r="Z488" t="s">
        <v>58</v>
      </c>
      <c r="AA488" t="s">
        <v>58</v>
      </c>
      <c r="AB488" t="s">
        <v>58</v>
      </c>
      <c r="AC488" t="s">
        <v>58</v>
      </c>
      <c r="AD488" t="s">
        <v>58</v>
      </c>
      <c r="AG488" t="s">
        <v>58</v>
      </c>
      <c r="AH488" t="s">
        <v>58</v>
      </c>
      <c r="AI488" t="s">
        <v>58</v>
      </c>
      <c r="AJ488" t="s">
        <v>58</v>
      </c>
      <c r="AK488" t="s">
        <v>58</v>
      </c>
      <c r="AO488" t="s">
        <v>58</v>
      </c>
      <c r="AP488" t="s">
        <v>58</v>
      </c>
      <c r="AQ488" t="s">
        <v>58</v>
      </c>
      <c r="AR488" t="s">
        <v>58</v>
      </c>
      <c r="AS488" t="s">
        <v>58</v>
      </c>
      <c r="AV488" t="s">
        <v>58</v>
      </c>
      <c r="AW488" t="s">
        <v>58</v>
      </c>
      <c r="AX488" t="s">
        <v>58</v>
      </c>
      <c r="AY488" t="s">
        <v>58</v>
      </c>
      <c r="AZ488" t="s">
        <v>58</v>
      </c>
      <c r="BC488" t="s">
        <v>58</v>
      </c>
      <c r="BD488" t="s">
        <v>58</v>
      </c>
      <c r="BE488" t="s">
        <v>58</v>
      </c>
      <c r="BF488" t="s">
        <v>58</v>
      </c>
      <c r="BG488" t="s">
        <v>58</v>
      </c>
    </row>
    <row r="489" spans="1:59" x14ac:dyDescent="0.3">
      <c r="A489" t="s">
        <v>58</v>
      </c>
      <c r="B489" t="s">
        <v>58</v>
      </c>
      <c r="C489" t="s">
        <v>58</v>
      </c>
      <c r="D489" t="s">
        <v>58</v>
      </c>
      <c r="E489" t="s">
        <v>58</v>
      </c>
      <c r="J489" t="s">
        <v>58</v>
      </c>
      <c r="K489" t="s">
        <v>58</v>
      </c>
      <c r="L489" t="s">
        <v>58</v>
      </c>
      <c r="M489" t="s">
        <v>58</v>
      </c>
      <c r="N489" t="s">
        <v>58</v>
      </c>
      <c r="R489" t="s">
        <v>58</v>
      </c>
      <c r="S489" t="s">
        <v>58</v>
      </c>
      <c r="T489" t="s">
        <v>58</v>
      </c>
      <c r="U489" t="s">
        <v>58</v>
      </c>
      <c r="V489" t="s">
        <v>58</v>
      </c>
      <c r="Z489" t="s">
        <v>58</v>
      </c>
      <c r="AA489" t="s">
        <v>58</v>
      </c>
      <c r="AB489" t="s">
        <v>58</v>
      </c>
      <c r="AC489" t="s">
        <v>58</v>
      </c>
      <c r="AD489" t="s">
        <v>58</v>
      </c>
      <c r="AG489" t="s">
        <v>58</v>
      </c>
      <c r="AH489" t="s">
        <v>58</v>
      </c>
      <c r="AI489" t="s">
        <v>58</v>
      </c>
      <c r="AJ489" t="s">
        <v>58</v>
      </c>
      <c r="AK489" t="s">
        <v>58</v>
      </c>
      <c r="AO489" t="s">
        <v>58</v>
      </c>
      <c r="AP489" t="s">
        <v>58</v>
      </c>
      <c r="AQ489" t="s">
        <v>58</v>
      </c>
      <c r="AR489" t="s">
        <v>58</v>
      </c>
      <c r="AS489" t="s">
        <v>58</v>
      </c>
      <c r="AV489" t="s">
        <v>58</v>
      </c>
      <c r="AW489" t="s">
        <v>58</v>
      </c>
      <c r="AX489" t="s">
        <v>58</v>
      </c>
      <c r="AY489" t="s">
        <v>58</v>
      </c>
      <c r="AZ489" t="s">
        <v>58</v>
      </c>
      <c r="BC489" t="s">
        <v>58</v>
      </c>
      <c r="BD489" t="s">
        <v>58</v>
      </c>
      <c r="BE489" t="s">
        <v>58</v>
      </c>
      <c r="BF489" t="s">
        <v>58</v>
      </c>
      <c r="BG489" t="s">
        <v>58</v>
      </c>
    </row>
    <row r="490" spans="1:59" x14ac:dyDescent="0.3">
      <c r="A490" t="s">
        <v>58</v>
      </c>
      <c r="B490" t="s">
        <v>58</v>
      </c>
      <c r="C490" t="s">
        <v>58</v>
      </c>
      <c r="D490" t="s">
        <v>58</v>
      </c>
      <c r="E490" t="s">
        <v>58</v>
      </c>
      <c r="J490" t="s">
        <v>58</v>
      </c>
      <c r="K490" t="s">
        <v>58</v>
      </c>
      <c r="L490" t="s">
        <v>58</v>
      </c>
      <c r="M490" t="s">
        <v>58</v>
      </c>
      <c r="N490" t="s">
        <v>58</v>
      </c>
      <c r="R490" t="s">
        <v>58</v>
      </c>
      <c r="S490" t="s">
        <v>58</v>
      </c>
      <c r="T490" t="s">
        <v>58</v>
      </c>
      <c r="U490" t="s">
        <v>58</v>
      </c>
      <c r="V490" t="s">
        <v>58</v>
      </c>
      <c r="Z490" t="s">
        <v>58</v>
      </c>
      <c r="AA490" t="s">
        <v>58</v>
      </c>
      <c r="AB490" t="s">
        <v>58</v>
      </c>
      <c r="AC490" t="s">
        <v>58</v>
      </c>
      <c r="AD490" t="s">
        <v>58</v>
      </c>
      <c r="AG490" t="s">
        <v>58</v>
      </c>
      <c r="AH490" t="s">
        <v>58</v>
      </c>
      <c r="AI490" t="s">
        <v>58</v>
      </c>
      <c r="AJ490" t="s">
        <v>58</v>
      </c>
      <c r="AK490" t="s">
        <v>58</v>
      </c>
      <c r="AO490" t="s">
        <v>58</v>
      </c>
      <c r="AP490" t="s">
        <v>58</v>
      </c>
      <c r="AQ490" t="s">
        <v>58</v>
      </c>
      <c r="AR490" t="s">
        <v>58</v>
      </c>
      <c r="AS490" t="s">
        <v>58</v>
      </c>
      <c r="AV490" t="s">
        <v>58</v>
      </c>
      <c r="AW490" t="s">
        <v>58</v>
      </c>
      <c r="AX490" t="s">
        <v>58</v>
      </c>
      <c r="AY490" t="s">
        <v>58</v>
      </c>
      <c r="AZ490" t="s">
        <v>58</v>
      </c>
      <c r="BC490" t="s">
        <v>58</v>
      </c>
      <c r="BD490" t="s">
        <v>58</v>
      </c>
      <c r="BE490" t="s">
        <v>58</v>
      </c>
      <c r="BF490" t="s">
        <v>58</v>
      </c>
      <c r="BG490" t="s">
        <v>58</v>
      </c>
    </row>
    <row r="491" spans="1:59" x14ac:dyDescent="0.3">
      <c r="A491" t="s">
        <v>58</v>
      </c>
      <c r="B491" t="s">
        <v>58</v>
      </c>
      <c r="C491" t="s">
        <v>58</v>
      </c>
      <c r="D491" t="s">
        <v>58</v>
      </c>
      <c r="E491" t="s">
        <v>58</v>
      </c>
      <c r="J491" t="s">
        <v>58</v>
      </c>
      <c r="K491" t="s">
        <v>58</v>
      </c>
      <c r="L491" t="s">
        <v>58</v>
      </c>
      <c r="M491" t="s">
        <v>58</v>
      </c>
      <c r="N491" t="s">
        <v>58</v>
      </c>
      <c r="R491" t="s">
        <v>58</v>
      </c>
      <c r="S491" t="s">
        <v>58</v>
      </c>
      <c r="T491" t="s">
        <v>58</v>
      </c>
      <c r="U491" t="s">
        <v>58</v>
      </c>
      <c r="V491" t="s">
        <v>58</v>
      </c>
      <c r="Z491" t="s">
        <v>58</v>
      </c>
      <c r="AA491" t="s">
        <v>58</v>
      </c>
      <c r="AB491" t="s">
        <v>58</v>
      </c>
      <c r="AC491" t="s">
        <v>58</v>
      </c>
      <c r="AD491" t="s">
        <v>58</v>
      </c>
      <c r="AG491" t="s">
        <v>58</v>
      </c>
      <c r="AH491" t="s">
        <v>58</v>
      </c>
      <c r="AI491" t="s">
        <v>58</v>
      </c>
      <c r="AJ491" t="s">
        <v>58</v>
      </c>
      <c r="AK491" t="s">
        <v>58</v>
      </c>
      <c r="AO491" t="s">
        <v>58</v>
      </c>
      <c r="AP491" t="s">
        <v>58</v>
      </c>
      <c r="AQ491" t="s">
        <v>58</v>
      </c>
      <c r="AR491" t="s">
        <v>58</v>
      </c>
      <c r="AS491" t="s">
        <v>58</v>
      </c>
      <c r="AV491" t="s">
        <v>58</v>
      </c>
      <c r="AW491" t="s">
        <v>58</v>
      </c>
      <c r="AX491" t="s">
        <v>58</v>
      </c>
      <c r="AY491" t="s">
        <v>58</v>
      </c>
      <c r="AZ491" t="s">
        <v>58</v>
      </c>
      <c r="BC491" t="s">
        <v>58</v>
      </c>
      <c r="BD491" t="s">
        <v>58</v>
      </c>
      <c r="BE491" t="s">
        <v>58</v>
      </c>
      <c r="BF491" t="s">
        <v>58</v>
      </c>
      <c r="BG491" t="s">
        <v>58</v>
      </c>
    </row>
    <row r="492" spans="1:59" x14ac:dyDescent="0.3">
      <c r="A492" t="s">
        <v>58</v>
      </c>
      <c r="B492" t="s">
        <v>58</v>
      </c>
      <c r="C492" t="s">
        <v>58</v>
      </c>
      <c r="D492" t="s">
        <v>58</v>
      </c>
      <c r="E492" t="s">
        <v>58</v>
      </c>
      <c r="J492" t="s">
        <v>58</v>
      </c>
      <c r="K492" t="s">
        <v>58</v>
      </c>
      <c r="L492" t="s">
        <v>58</v>
      </c>
      <c r="M492" t="s">
        <v>58</v>
      </c>
      <c r="N492" t="s">
        <v>58</v>
      </c>
      <c r="R492" t="s">
        <v>58</v>
      </c>
      <c r="S492" t="s">
        <v>58</v>
      </c>
      <c r="T492" t="s">
        <v>58</v>
      </c>
      <c r="U492" t="s">
        <v>58</v>
      </c>
      <c r="V492" t="s">
        <v>58</v>
      </c>
      <c r="Z492" t="s">
        <v>58</v>
      </c>
      <c r="AA492" t="s">
        <v>58</v>
      </c>
      <c r="AB492" t="s">
        <v>58</v>
      </c>
      <c r="AC492" t="s">
        <v>58</v>
      </c>
      <c r="AD492" t="s">
        <v>58</v>
      </c>
      <c r="AG492" t="s">
        <v>58</v>
      </c>
      <c r="AH492" t="s">
        <v>58</v>
      </c>
      <c r="AI492" t="s">
        <v>58</v>
      </c>
      <c r="AJ492" t="s">
        <v>58</v>
      </c>
      <c r="AK492" t="s">
        <v>58</v>
      </c>
      <c r="AO492" t="s">
        <v>58</v>
      </c>
      <c r="AP492" t="s">
        <v>58</v>
      </c>
      <c r="AQ492" t="s">
        <v>58</v>
      </c>
      <c r="AR492" t="s">
        <v>58</v>
      </c>
      <c r="AS492" t="s">
        <v>58</v>
      </c>
      <c r="AV492" t="s">
        <v>58</v>
      </c>
      <c r="AW492" t="s">
        <v>58</v>
      </c>
      <c r="AX492" t="s">
        <v>58</v>
      </c>
      <c r="AY492" t="s">
        <v>58</v>
      </c>
      <c r="AZ492" t="s">
        <v>58</v>
      </c>
      <c r="BC492" t="s">
        <v>58</v>
      </c>
      <c r="BD492" t="s">
        <v>58</v>
      </c>
      <c r="BE492" t="s">
        <v>58</v>
      </c>
      <c r="BF492" t="s">
        <v>58</v>
      </c>
      <c r="BG492" t="s">
        <v>58</v>
      </c>
    </row>
    <row r="493" spans="1:59" x14ac:dyDescent="0.3">
      <c r="A493" t="s">
        <v>58</v>
      </c>
      <c r="B493" t="s">
        <v>58</v>
      </c>
      <c r="C493" t="s">
        <v>58</v>
      </c>
      <c r="D493" t="s">
        <v>58</v>
      </c>
      <c r="E493" t="s">
        <v>58</v>
      </c>
      <c r="J493" t="s">
        <v>58</v>
      </c>
      <c r="K493" t="s">
        <v>58</v>
      </c>
      <c r="L493" t="s">
        <v>58</v>
      </c>
      <c r="M493" t="s">
        <v>58</v>
      </c>
      <c r="N493" t="s">
        <v>58</v>
      </c>
      <c r="R493" t="s">
        <v>58</v>
      </c>
      <c r="S493" t="s">
        <v>58</v>
      </c>
      <c r="T493" t="s">
        <v>58</v>
      </c>
      <c r="U493" t="s">
        <v>58</v>
      </c>
      <c r="V493" t="s">
        <v>58</v>
      </c>
      <c r="Z493" t="s">
        <v>58</v>
      </c>
      <c r="AA493" t="s">
        <v>58</v>
      </c>
      <c r="AB493" t="s">
        <v>58</v>
      </c>
      <c r="AC493" t="s">
        <v>58</v>
      </c>
      <c r="AD493" t="s">
        <v>58</v>
      </c>
      <c r="AG493" t="s">
        <v>58</v>
      </c>
      <c r="AH493" t="s">
        <v>58</v>
      </c>
      <c r="AI493" t="s">
        <v>58</v>
      </c>
      <c r="AJ493" t="s">
        <v>58</v>
      </c>
      <c r="AK493" t="s">
        <v>58</v>
      </c>
      <c r="AO493" t="s">
        <v>58</v>
      </c>
      <c r="AP493" t="s">
        <v>58</v>
      </c>
      <c r="AQ493" t="s">
        <v>58</v>
      </c>
      <c r="AR493" t="s">
        <v>58</v>
      </c>
      <c r="AS493" t="s">
        <v>58</v>
      </c>
      <c r="AV493" t="s">
        <v>58</v>
      </c>
      <c r="AW493" t="s">
        <v>58</v>
      </c>
      <c r="AX493" t="s">
        <v>58</v>
      </c>
      <c r="AY493" t="s">
        <v>58</v>
      </c>
      <c r="AZ493" t="s">
        <v>58</v>
      </c>
      <c r="BC493" t="s">
        <v>58</v>
      </c>
      <c r="BD493" t="s">
        <v>58</v>
      </c>
      <c r="BE493" t="s">
        <v>58</v>
      </c>
      <c r="BF493" t="s">
        <v>58</v>
      </c>
      <c r="BG493" t="s">
        <v>58</v>
      </c>
    </row>
    <row r="494" spans="1:59" x14ac:dyDescent="0.3">
      <c r="A494" t="s">
        <v>58</v>
      </c>
      <c r="B494" t="s">
        <v>58</v>
      </c>
      <c r="C494" t="s">
        <v>58</v>
      </c>
      <c r="D494" t="s">
        <v>58</v>
      </c>
      <c r="E494" t="s">
        <v>58</v>
      </c>
      <c r="J494" t="s">
        <v>58</v>
      </c>
      <c r="K494" t="s">
        <v>58</v>
      </c>
      <c r="L494" t="s">
        <v>58</v>
      </c>
      <c r="M494" t="s">
        <v>58</v>
      </c>
      <c r="N494" t="s">
        <v>58</v>
      </c>
      <c r="R494" t="s">
        <v>58</v>
      </c>
      <c r="S494" t="s">
        <v>58</v>
      </c>
      <c r="T494" t="s">
        <v>58</v>
      </c>
      <c r="U494" t="s">
        <v>58</v>
      </c>
      <c r="V494" t="s">
        <v>58</v>
      </c>
      <c r="Z494" t="s">
        <v>58</v>
      </c>
      <c r="AA494" t="s">
        <v>58</v>
      </c>
      <c r="AB494" t="s">
        <v>58</v>
      </c>
      <c r="AC494" t="s">
        <v>58</v>
      </c>
      <c r="AD494" t="s">
        <v>58</v>
      </c>
      <c r="AG494" t="s">
        <v>58</v>
      </c>
      <c r="AH494" t="s">
        <v>58</v>
      </c>
      <c r="AI494" t="s">
        <v>58</v>
      </c>
      <c r="AJ494" t="s">
        <v>58</v>
      </c>
      <c r="AK494" t="s">
        <v>58</v>
      </c>
      <c r="AO494" t="s">
        <v>58</v>
      </c>
      <c r="AP494" t="s">
        <v>58</v>
      </c>
      <c r="AQ494" t="s">
        <v>58</v>
      </c>
      <c r="AR494" t="s">
        <v>58</v>
      </c>
      <c r="AS494" t="s">
        <v>58</v>
      </c>
      <c r="AV494" t="s">
        <v>58</v>
      </c>
      <c r="AW494" t="s">
        <v>58</v>
      </c>
      <c r="AX494" t="s">
        <v>58</v>
      </c>
      <c r="AY494" t="s">
        <v>58</v>
      </c>
      <c r="AZ494" t="s">
        <v>58</v>
      </c>
      <c r="BC494" t="s">
        <v>58</v>
      </c>
      <c r="BD494" t="s">
        <v>58</v>
      </c>
      <c r="BE494" t="s">
        <v>58</v>
      </c>
      <c r="BF494" t="s">
        <v>58</v>
      </c>
      <c r="BG494" t="s">
        <v>58</v>
      </c>
    </row>
    <row r="495" spans="1:59" x14ac:dyDescent="0.3">
      <c r="A495" t="s">
        <v>58</v>
      </c>
      <c r="B495" t="s">
        <v>58</v>
      </c>
      <c r="C495" t="s">
        <v>58</v>
      </c>
      <c r="D495" t="s">
        <v>58</v>
      </c>
      <c r="E495" t="s">
        <v>58</v>
      </c>
      <c r="J495" t="s">
        <v>58</v>
      </c>
      <c r="K495" t="s">
        <v>58</v>
      </c>
      <c r="L495" t="s">
        <v>58</v>
      </c>
      <c r="M495" t="s">
        <v>58</v>
      </c>
      <c r="N495" t="s">
        <v>58</v>
      </c>
      <c r="R495" t="s">
        <v>58</v>
      </c>
      <c r="S495" t="s">
        <v>58</v>
      </c>
      <c r="T495" t="s">
        <v>58</v>
      </c>
      <c r="U495" t="s">
        <v>58</v>
      </c>
      <c r="V495" t="s">
        <v>58</v>
      </c>
      <c r="Z495" t="s">
        <v>58</v>
      </c>
      <c r="AA495" t="s">
        <v>58</v>
      </c>
      <c r="AB495" t="s">
        <v>58</v>
      </c>
      <c r="AC495" t="s">
        <v>58</v>
      </c>
      <c r="AD495" t="s">
        <v>58</v>
      </c>
      <c r="AG495" t="s">
        <v>58</v>
      </c>
      <c r="AH495" t="s">
        <v>58</v>
      </c>
      <c r="AI495" t="s">
        <v>58</v>
      </c>
      <c r="AJ495" t="s">
        <v>58</v>
      </c>
      <c r="AK495" t="s">
        <v>58</v>
      </c>
      <c r="AO495" t="s">
        <v>58</v>
      </c>
      <c r="AP495" t="s">
        <v>58</v>
      </c>
      <c r="AQ495" t="s">
        <v>58</v>
      </c>
      <c r="AR495" t="s">
        <v>58</v>
      </c>
      <c r="AS495" t="s">
        <v>58</v>
      </c>
      <c r="AV495" t="s">
        <v>58</v>
      </c>
      <c r="AW495" t="s">
        <v>58</v>
      </c>
      <c r="AX495" t="s">
        <v>58</v>
      </c>
      <c r="AY495" t="s">
        <v>58</v>
      </c>
      <c r="AZ495" t="s">
        <v>58</v>
      </c>
      <c r="BC495" t="s">
        <v>58</v>
      </c>
      <c r="BD495" t="s">
        <v>58</v>
      </c>
      <c r="BE495" t="s">
        <v>58</v>
      </c>
      <c r="BF495" t="s">
        <v>58</v>
      </c>
      <c r="BG495" t="s">
        <v>58</v>
      </c>
    </row>
    <row r="496" spans="1:59" x14ac:dyDescent="0.3">
      <c r="A496" t="s">
        <v>58</v>
      </c>
      <c r="B496" t="s">
        <v>58</v>
      </c>
      <c r="C496" t="s">
        <v>58</v>
      </c>
      <c r="D496" t="s">
        <v>58</v>
      </c>
      <c r="E496" t="s">
        <v>58</v>
      </c>
      <c r="J496" t="s">
        <v>58</v>
      </c>
      <c r="K496" t="s">
        <v>58</v>
      </c>
      <c r="L496" t="s">
        <v>58</v>
      </c>
      <c r="M496" t="s">
        <v>58</v>
      </c>
      <c r="N496" t="s">
        <v>58</v>
      </c>
      <c r="R496" t="s">
        <v>58</v>
      </c>
      <c r="S496" t="s">
        <v>58</v>
      </c>
      <c r="T496" t="s">
        <v>58</v>
      </c>
      <c r="U496" t="s">
        <v>58</v>
      </c>
      <c r="V496" t="s">
        <v>58</v>
      </c>
      <c r="Z496" t="s">
        <v>58</v>
      </c>
      <c r="AA496" t="s">
        <v>58</v>
      </c>
      <c r="AB496" t="s">
        <v>58</v>
      </c>
      <c r="AC496" t="s">
        <v>58</v>
      </c>
      <c r="AD496" t="s">
        <v>58</v>
      </c>
      <c r="AG496" t="s">
        <v>58</v>
      </c>
      <c r="AH496" t="s">
        <v>58</v>
      </c>
      <c r="AI496" t="s">
        <v>58</v>
      </c>
      <c r="AJ496" t="s">
        <v>58</v>
      </c>
      <c r="AK496" t="s">
        <v>58</v>
      </c>
      <c r="AO496" t="s">
        <v>58</v>
      </c>
      <c r="AP496" t="s">
        <v>58</v>
      </c>
      <c r="AQ496" t="s">
        <v>58</v>
      </c>
      <c r="AR496" t="s">
        <v>58</v>
      </c>
      <c r="AS496" t="s">
        <v>58</v>
      </c>
      <c r="AV496" t="s">
        <v>58</v>
      </c>
      <c r="AW496" t="s">
        <v>58</v>
      </c>
      <c r="AX496" t="s">
        <v>58</v>
      </c>
      <c r="AY496" t="s">
        <v>58</v>
      </c>
      <c r="AZ496" t="s">
        <v>58</v>
      </c>
      <c r="BC496" t="s">
        <v>58</v>
      </c>
      <c r="BD496" t="s">
        <v>58</v>
      </c>
      <c r="BE496" t="s">
        <v>58</v>
      </c>
      <c r="BF496" t="s">
        <v>58</v>
      </c>
      <c r="BG496" t="s">
        <v>58</v>
      </c>
    </row>
    <row r="497" spans="1:59" x14ac:dyDescent="0.3">
      <c r="A497" t="s">
        <v>58</v>
      </c>
      <c r="B497" t="s">
        <v>58</v>
      </c>
      <c r="C497" t="s">
        <v>58</v>
      </c>
      <c r="D497" t="s">
        <v>58</v>
      </c>
      <c r="E497" t="s">
        <v>58</v>
      </c>
      <c r="J497" t="s">
        <v>58</v>
      </c>
      <c r="K497" t="s">
        <v>58</v>
      </c>
      <c r="L497" t="s">
        <v>58</v>
      </c>
      <c r="M497" t="s">
        <v>58</v>
      </c>
      <c r="N497" t="s">
        <v>58</v>
      </c>
      <c r="R497" t="s">
        <v>58</v>
      </c>
      <c r="S497" t="s">
        <v>58</v>
      </c>
      <c r="T497" t="s">
        <v>58</v>
      </c>
      <c r="U497" t="s">
        <v>58</v>
      </c>
      <c r="V497" t="s">
        <v>58</v>
      </c>
      <c r="Z497" t="s">
        <v>58</v>
      </c>
      <c r="AA497" t="s">
        <v>58</v>
      </c>
      <c r="AB497" t="s">
        <v>58</v>
      </c>
      <c r="AC497" t="s">
        <v>58</v>
      </c>
      <c r="AD497" t="s">
        <v>58</v>
      </c>
      <c r="AG497" t="s">
        <v>58</v>
      </c>
      <c r="AH497" t="s">
        <v>58</v>
      </c>
      <c r="AI497" t="s">
        <v>58</v>
      </c>
      <c r="AJ497" t="s">
        <v>58</v>
      </c>
      <c r="AK497" t="s">
        <v>58</v>
      </c>
      <c r="AO497" t="s">
        <v>58</v>
      </c>
      <c r="AP497" t="s">
        <v>58</v>
      </c>
      <c r="AQ497" t="s">
        <v>58</v>
      </c>
      <c r="AR497" t="s">
        <v>58</v>
      </c>
      <c r="AS497" t="s">
        <v>58</v>
      </c>
      <c r="AV497" t="s">
        <v>58</v>
      </c>
      <c r="AW497" t="s">
        <v>58</v>
      </c>
      <c r="AX497" t="s">
        <v>58</v>
      </c>
      <c r="AY497" t="s">
        <v>58</v>
      </c>
      <c r="AZ497" t="s">
        <v>58</v>
      </c>
      <c r="BC497" t="s">
        <v>58</v>
      </c>
      <c r="BD497" t="s">
        <v>58</v>
      </c>
      <c r="BE497" t="s">
        <v>58</v>
      </c>
      <c r="BF497" t="s">
        <v>58</v>
      </c>
      <c r="BG497" t="s">
        <v>58</v>
      </c>
    </row>
    <row r="498" spans="1:59" x14ac:dyDescent="0.3">
      <c r="A498" t="s">
        <v>58</v>
      </c>
      <c r="B498" t="s">
        <v>58</v>
      </c>
      <c r="C498" t="s">
        <v>58</v>
      </c>
      <c r="D498" t="s">
        <v>58</v>
      </c>
      <c r="E498" t="s">
        <v>58</v>
      </c>
      <c r="J498" t="s">
        <v>58</v>
      </c>
      <c r="K498" t="s">
        <v>58</v>
      </c>
      <c r="L498" t="s">
        <v>58</v>
      </c>
      <c r="M498" t="s">
        <v>58</v>
      </c>
      <c r="N498" t="s">
        <v>58</v>
      </c>
      <c r="R498" t="s">
        <v>58</v>
      </c>
      <c r="S498" t="s">
        <v>58</v>
      </c>
      <c r="T498" t="s">
        <v>58</v>
      </c>
      <c r="U498" t="s">
        <v>58</v>
      </c>
      <c r="V498" t="s">
        <v>58</v>
      </c>
      <c r="Z498" t="s">
        <v>58</v>
      </c>
      <c r="AA498" t="s">
        <v>58</v>
      </c>
      <c r="AB498" t="s">
        <v>58</v>
      </c>
      <c r="AC498" t="s">
        <v>58</v>
      </c>
      <c r="AD498" t="s">
        <v>58</v>
      </c>
      <c r="AG498" t="s">
        <v>58</v>
      </c>
      <c r="AH498" t="s">
        <v>58</v>
      </c>
      <c r="AI498" t="s">
        <v>58</v>
      </c>
      <c r="AJ498" t="s">
        <v>58</v>
      </c>
      <c r="AK498" t="s">
        <v>58</v>
      </c>
      <c r="AO498" t="s">
        <v>58</v>
      </c>
      <c r="AP498" t="s">
        <v>58</v>
      </c>
      <c r="AQ498" t="s">
        <v>58</v>
      </c>
      <c r="AR498" t="s">
        <v>58</v>
      </c>
      <c r="AS498" t="s">
        <v>58</v>
      </c>
      <c r="AV498" t="s">
        <v>58</v>
      </c>
      <c r="AW498" t="s">
        <v>58</v>
      </c>
      <c r="AX498" t="s">
        <v>58</v>
      </c>
      <c r="AY498" t="s">
        <v>58</v>
      </c>
      <c r="AZ498" t="s">
        <v>58</v>
      </c>
      <c r="BC498" t="s">
        <v>58</v>
      </c>
      <c r="BD498" t="s">
        <v>58</v>
      </c>
      <c r="BE498" t="s">
        <v>58</v>
      </c>
      <c r="BF498" t="s">
        <v>58</v>
      </c>
      <c r="BG498" t="s">
        <v>58</v>
      </c>
    </row>
    <row r="499" spans="1:59" x14ac:dyDescent="0.3">
      <c r="A499" t="s">
        <v>58</v>
      </c>
      <c r="B499" t="s">
        <v>58</v>
      </c>
      <c r="C499" t="s">
        <v>58</v>
      </c>
      <c r="D499" t="s">
        <v>58</v>
      </c>
      <c r="E499" t="s">
        <v>58</v>
      </c>
      <c r="J499" t="s">
        <v>58</v>
      </c>
      <c r="K499" t="s">
        <v>58</v>
      </c>
      <c r="L499" t="s">
        <v>58</v>
      </c>
      <c r="M499" t="s">
        <v>58</v>
      </c>
      <c r="N499" t="s">
        <v>58</v>
      </c>
      <c r="R499" t="s">
        <v>58</v>
      </c>
      <c r="S499" t="s">
        <v>58</v>
      </c>
      <c r="T499" t="s">
        <v>58</v>
      </c>
      <c r="U499" t="s">
        <v>58</v>
      </c>
      <c r="V499" t="s">
        <v>58</v>
      </c>
      <c r="Z499" t="s">
        <v>58</v>
      </c>
      <c r="AA499" t="s">
        <v>58</v>
      </c>
      <c r="AB499" t="s">
        <v>58</v>
      </c>
      <c r="AC499" t="s">
        <v>58</v>
      </c>
      <c r="AD499" t="s">
        <v>58</v>
      </c>
      <c r="AG499" t="s">
        <v>58</v>
      </c>
      <c r="AH499" t="s">
        <v>58</v>
      </c>
      <c r="AI499" t="s">
        <v>58</v>
      </c>
      <c r="AJ499" t="s">
        <v>58</v>
      </c>
      <c r="AK499" t="s">
        <v>58</v>
      </c>
      <c r="AO499" t="s">
        <v>58</v>
      </c>
      <c r="AP499" t="s">
        <v>58</v>
      </c>
      <c r="AQ499" t="s">
        <v>58</v>
      </c>
      <c r="AR499" t="s">
        <v>58</v>
      </c>
      <c r="AS499" t="s">
        <v>58</v>
      </c>
      <c r="AV499" t="s">
        <v>58</v>
      </c>
      <c r="AW499" t="s">
        <v>58</v>
      </c>
      <c r="AX499" t="s">
        <v>58</v>
      </c>
      <c r="AY499" t="s">
        <v>58</v>
      </c>
      <c r="AZ499" t="s">
        <v>58</v>
      </c>
      <c r="BC499" t="s">
        <v>58</v>
      </c>
      <c r="BD499" t="s">
        <v>58</v>
      </c>
      <c r="BE499" t="s">
        <v>58</v>
      </c>
      <c r="BF499" t="s">
        <v>58</v>
      </c>
      <c r="BG499" t="s">
        <v>58</v>
      </c>
    </row>
    <row r="500" spans="1:59" x14ac:dyDescent="0.3">
      <c r="A500" t="s">
        <v>58</v>
      </c>
      <c r="B500" t="s">
        <v>58</v>
      </c>
      <c r="C500" t="s">
        <v>58</v>
      </c>
      <c r="D500" t="s">
        <v>58</v>
      </c>
      <c r="E500" t="s">
        <v>58</v>
      </c>
      <c r="J500" t="s">
        <v>58</v>
      </c>
      <c r="K500" t="s">
        <v>58</v>
      </c>
      <c r="L500" t="s">
        <v>58</v>
      </c>
      <c r="M500" t="s">
        <v>58</v>
      </c>
      <c r="N500" t="s">
        <v>58</v>
      </c>
      <c r="R500" t="s">
        <v>58</v>
      </c>
      <c r="S500" t="s">
        <v>58</v>
      </c>
      <c r="T500" t="s">
        <v>58</v>
      </c>
      <c r="U500" t="s">
        <v>58</v>
      </c>
      <c r="V500" t="s">
        <v>58</v>
      </c>
      <c r="Z500" t="s">
        <v>58</v>
      </c>
      <c r="AA500" t="s">
        <v>58</v>
      </c>
      <c r="AB500" t="s">
        <v>58</v>
      </c>
      <c r="AC500" t="s">
        <v>58</v>
      </c>
      <c r="AD500" t="s">
        <v>58</v>
      </c>
      <c r="AG500" t="s">
        <v>58</v>
      </c>
      <c r="AH500" t="s">
        <v>58</v>
      </c>
      <c r="AI500" t="s">
        <v>58</v>
      </c>
      <c r="AJ500" t="s">
        <v>58</v>
      </c>
      <c r="AK500" t="s">
        <v>58</v>
      </c>
      <c r="AO500" t="s">
        <v>58</v>
      </c>
      <c r="AP500" t="s">
        <v>58</v>
      </c>
      <c r="AQ500" t="s">
        <v>58</v>
      </c>
      <c r="AR500" t="s">
        <v>58</v>
      </c>
      <c r="AS500" t="s">
        <v>58</v>
      </c>
      <c r="AV500" t="s">
        <v>58</v>
      </c>
      <c r="AW500" t="s">
        <v>58</v>
      </c>
      <c r="AX500" t="s">
        <v>58</v>
      </c>
      <c r="AY500" t="s">
        <v>58</v>
      </c>
      <c r="AZ500" t="s">
        <v>58</v>
      </c>
      <c r="BC500" t="s">
        <v>58</v>
      </c>
      <c r="BD500" t="s">
        <v>58</v>
      </c>
      <c r="BE500" t="s">
        <v>58</v>
      </c>
      <c r="BF500" t="s">
        <v>58</v>
      </c>
      <c r="BG500" t="s">
        <v>58</v>
      </c>
    </row>
    <row r="501" spans="1:59" x14ac:dyDescent="0.3">
      <c r="A501" t="s">
        <v>58</v>
      </c>
      <c r="B501" t="s">
        <v>58</v>
      </c>
      <c r="C501" t="s">
        <v>58</v>
      </c>
      <c r="D501" t="s">
        <v>58</v>
      </c>
      <c r="E501" t="s">
        <v>58</v>
      </c>
      <c r="J501" t="s">
        <v>58</v>
      </c>
      <c r="K501" t="s">
        <v>58</v>
      </c>
      <c r="L501" t="s">
        <v>58</v>
      </c>
      <c r="M501" t="s">
        <v>58</v>
      </c>
      <c r="N501" t="s">
        <v>58</v>
      </c>
      <c r="R501" t="s">
        <v>58</v>
      </c>
      <c r="S501" t="s">
        <v>58</v>
      </c>
      <c r="T501" t="s">
        <v>58</v>
      </c>
      <c r="U501" t="s">
        <v>58</v>
      </c>
      <c r="V501" t="s">
        <v>58</v>
      </c>
      <c r="Z501" t="s">
        <v>58</v>
      </c>
      <c r="AA501" t="s">
        <v>58</v>
      </c>
      <c r="AB501" t="s">
        <v>58</v>
      </c>
      <c r="AC501" t="s">
        <v>58</v>
      </c>
      <c r="AD501" t="s">
        <v>58</v>
      </c>
      <c r="AG501" t="s">
        <v>58</v>
      </c>
      <c r="AH501" t="s">
        <v>58</v>
      </c>
      <c r="AI501" t="s">
        <v>58</v>
      </c>
      <c r="AJ501" t="s">
        <v>58</v>
      </c>
      <c r="AK501" t="s">
        <v>58</v>
      </c>
      <c r="AO501" t="s">
        <v>58</v>
      </c>
      <c r="AP501" t="s">
        <v>58</v>
      </c>
      <c r="AQ501" t="s">
        <v>58</v>
      </c>
      <c r="AR501" t="s">
        <v>58</v>
      </c>
      <c r="AS501" t="s">
        <v>58</v>
      </c>
      <c r="AV501" t="s">
        <v>58</v>
      </c>
      <c r="AW501" t="s">
        <v>58</v>
      </c>
      <c r="AX501" t="s">
        <v>58</v>
      </c>
      <c r="AY501" t="s">
        <v>58</v>
      </c>
      <c r="AZ501" t="s">
        <v>58</v>
      </c>
      <c r="BC501" t="s">
        <v>58</v>
      </c>
      <c r="BD501" t="s">
        <v>58</v>
      </c>
      <c r="BE501" t="s">
        <v>58</v>
      </c>
      <c r="BF501" t="s">
        <v>58</v>
      </c>
      <c r="BG501" t="s">
        <v>58</v>
      </c>
    </row>
    <row r="502" spans="1:59" x14ac:dyDescent="0.3">
      <c r="A502" t="s">
        <v>58</v>
      </c>
      <c r="B502" t="s">
        <v>58</v>
      </c>
      <c r="C502" t="s">
        <v>58</v>
      </c>
      <c r="D502" t="s">
        <v>58</v>
      </c>
      <c r="E502" t="s">
        <v>58</v>
      </c>
      <c r="J502" t="s">
        <v>58</v>
      </c>
      <c r="K502" t="s">
        <v>58</v>
      </c>
      <c r="L502" t="s">
        <v>58</v>
      </c>
      <c r="M502" t="s">
        <v>58</v>
      </c>
      <c r="N502" t="s">
        <v>58</v>
      </c>
      <c r="R502" t="s">
        <v>58</v>
      </c>
      <c r="S502" t="s">
        <v>58</v>
      </c>
      <c r="T502" t="s">
        <v>58</v>
      </c>
      <c r="U502" t="s">
        <v>58</v>
      </c>
      <c r="V502" t="s">
        <v>58</v>
      </c>
      <c r="Z502" t="s">
        <v>58</v>
      </c>
      <c r="AA502" t="s">
        <v>58</v>
      </c>
      <c r="AB502" t="s">
        <v>58</v>
      </c>
      <c r="AC502" t="s">
        <v>58</v>
      </c>
      <c r="AD502" t="s">
        <v>58</v>
      </c>
      <c r="AG502" t="s">
        <v>58</v>
      </c>
      <c r="AH502" t="s">
        <v>58</v>
      </c>
      <c r="AI502" t="s">
        <v>58</v>
      </c>
      <c r="AJ502" t="s">
        <v>58</v>
      </c>
      <c r="AK502" t="s">
        <v>58</v>
      </c>
      <c r="AO502" t="s">
        <v>58</v>
      </c>
      <c r="AP502" t="s">
        <v>58</v>
      </c>
      <c r="AQ502" t="s">
        <v>58</v>
      </c>
      <c r="AR502" t="s">
        <v>58</v>
      </c>
      <c r="AS502" t="s">
        <v>58</v>
      </c>
      <c r="AV502" t="s">
        <v>58</v>
      </c>
      <c r="AW502" t="s">
        <v>58</v>
      </c>
      <c r="AX502" t="s">
        <v>58</v>
      </c>
      <c r="AY502" t="s">
        <v>58</v>
      </c>
      <c r="AZ502" t="s">
        <v>58</v>
      </c>
      <c r="BC502" t="s">
        <v>58</v>
      </c>
      <c r="BD502" t="s">
        <v>58</v>
      </c>
      <c r="BE502" t="s">
        <v>58</v>
      </c>
      <c r="BF502" t="s">
        <v>58</v>
      </c>
      <c r="BG502" t="s">
        <v>58</v>
      </c>
    </row>
    <row r="503" spans="1:59" x14ac:dyDescent="0.3">
      <c r="A503" t="s">
        <v>58</v>
      </c>
      <c r="B503" t="s">
        <v>58</v>
      </c>
      <c r="C503" t="s">
        <v>58</v>
      </c>
      <c r="D503" t="s">
        <v>58</v>
      </c>
      <c r="E503" t="s">
        <v>58</v>
      </c>
      <c r="J503" t="s">
        <v>58</v>
      </c>
      <c r="K503" t="s">
        <v>58</v>
      </c>
      <c r="L503" t="s">
        <v>58</v>
      </c>
      <c r="M503" t="s">
        <v>58</v>
      </c>
      <c r="N503" t="s">
        <v>58</v>
      </c>
      <c r="R503" t="s">
        <v>58</v>
      </c>
      <c r="S503" t="s">
        <v>58</v>
      </c>
      <c r="T503" t="s">
        <v>58</v>
      </c>
      <c r="U503" t="s">
        <v>58</v>
      </c>
      <c r="V503" t="s">
        <v>58</v>
      </c>
      <c r="Z503" t="s">
        <v>58</v>
      </c>
      <c r="AA503" t="s">
        <v>58</v>
      </c>
      <c r="AB503" t="s">
        <v>58</v>
      </c>
      <c r="AC503" t="s">
        <v>58</v>
      </c>
      <c r="AD503" t="s">
        <v>58</v>
      </c>
      <c r="AG503" t="s">
        <v>58</v>
      </c>
      <c r="AH503" t="s">
        <v>58</v>
      </c>
      <c r="AI503" t="s">
        <v>58</v>
      </c>
      <c r="AJ503" t="s">
        <v>58</v>
      </c>
      <c r="AK503" t="s">
        <v>58</v>
      </c>
      <c r="AO503" t="s">
        <v>58</v>
      </c>
      <c r="AP503" t="s">
        <v>58</v>
      </c>
      <c r="AQ503" t="s">
        <v>58</v>
      </c>
      <c r="AR503" t="s">
        <v>58</v>
      </c>
      <c r="AS503" t="s">
        <v>58</v>
      </c>
      <c r="AV503" t="s">
        <v>58</v>
      </c>
      <c r="AW503" t="s">
        <v>58</v>
      </c>
      <c r="AX503" t="s">
        <v>58</v>
      </c>
      <c r="AY503" t="s">
        <v>58</v>
      </c>
      <c r="AZ503" t="s">
        <v>58</v>
      </c>
      <c r="BC503" t="s">
        <v>58</v>
      </c>
      <c r="BD503" t="s">
        <v>58</v>
      </c>
      <c r="BE503" t="s">
        <v>58</v>
      </c>
      <c r="BF503" t="s">
        <v>58</v>
      </c>
      <c r="BG503" t="s">
        <v>58</v>
      </c>
    </row>
    <row r="504" spans="1:59" x14ac:dyDescent="0.3">
      <c r="A504" t="s">
        <v>58</v>
      </c>
      <c r="B504" t="s">
        <v>58</v>
      </c>
      <c r="C504" t="s">
        <v>58</v>
      </c>
      <c r="D504" t="s">
        <v>58</v>
      </c>
      <c r="E504" t="s">
        <v>58</v>
      </c>
      <c r="J504" t="s">
        <v>58</v>
      </c>
      <c r="K504" t="s">
        <v>58</v>
      </c>
      <c r="L504" t="s">
        <v>58</v>
      </c>
      <c r="M504" t="s">
        <v>58</v>
      </c>
      <c r="N504" t="s">
        <v>58</v>
      </c>
      <c r="R504" t="s">
        <v>58</v>
      </c>
      <c r="S504" t="s">
        <v>58</v>
      </c>
      <c r="T504" t="s">
        <v>58</v>
      </c>
      <c r="U504" t="s">
        <v>58</v>
      </c>
      <c r="V504" t="s">
        <v>58</v>
      </c>
      <c r="Z504" t="s">
        <v>58</v>
      </c>
      <c r="AA504" t="s">
        <v>58</v>
      </c>
      <c r="AB504" t="s">
        <v>58</v>
      </c>
      <c r="AC504" t="s">
        <v>58</v>
      </c>
      <c r="AD504" t="s">
        <v>58</v>
      </c>
      <c r="AG504" t="s">
        <v>58</v>
      </c>
      <c r="AH504" t="s">
        <v>58</v>
      </c>
      <c r="AI504" t="s">
        <v>58</v>
      </c>
      <c r="AJ504" t="s">
        <v>58</v>
      </c>
      <c r="AK504" t="s">
        <v>58</v>
      </c>
      <c r="AO504" t="s">
        <v>58</v>
      </c>
      <c r="AP504" t="s">
        <v>58</v>
      </c>
      <c r="AQ504" t="s">
        <v>58</v>
      </c>
      <c r="AR504" t="s">
        <v>58</v>
      </c>
      <c r="AS504" t="s">
        <v>58</v>
      </c>
      <c r="AV504" t="s">
        <v>58</v>
      </c>
      <c r="AW504" t="s">
        <v>58</v>
      </c>
      <c r="AX504" t="s">
        <v>58</v>
      </c>
      <c r="AY504" t="s">
        <v>58</v>
      </c>
      <c r="AZ504" t="s">
        <v>58</v>
      </c>
      <c r="BC504" t="s">
        <v>58</v>
      </c>
      <c r="BD504" t="s">
        <v>58</v>
      </c>
      <c r="BE504" t="s">
        <v>58</v>
      </c>
      <c r="BF504" t="s">
        <v>58</v>
      </c>
      <c r="BG504" t="s">
        <v>58</v>
      </c>
    </row>
    <row r="505" spans="1:59" x14ac:dyDescent="0.3">
      <c r="A505" t="s">
        <v>58</v>
      </c>
      <c r="B505" t="s">
        <v>58</v>
      </c>
      <c r="C505" t="s">
        <v>58</v>
      </c>
      <c r="D505" t="s">
        <v>58</v>
      </c>
      <c r="E505" t="s">
        <v>58</v>
      </c>
      <c r="J505" t="s">
        <v>58</v>
      </c>
      <c r="K505" t="s">
        <v>58</v>
      </c>
      <c r="L505" t="s">
        <v>58</v>
      </c>
      <c r="M505" t="s">
        <v>58</v>
      </c>
      <c r="N505" t="s">
        <v>58</v>
      </c>
      <c r="R505" t="s">
        <v>58</v>
      </c>
      <c r="S505" t="s">
        <v>58</v>
      </c>
      <c r="T505" t="s">
        <v>58</v>
      </c>
      <c r="U505" t="s">
        <v>58</v>
      </c>
      <c r="V505" t="s">
        <v>58</v>
      </c>
      <c r="Z505" t="s">
        <v>58</v>
      </c>
      <c r="AA505" t="s">
        <v>58</v>
      </c>
      <c r="AB505" t="s">
        <v>58</v>
      </c>
      <c r="AC505" t="s">
        <v>58</v>
      </c>
      <c r="AD505" t="s">
        <v>58</v>
      </c>
      <c r="AG505" t="s">
        <v>58</v>
      </c>
      <c r="AH505" t="s">
        <v>58</v>
      </c>
      <c r="AI505" t="s">
        <v>58</v>
      </c>
      <c r="AJ505" t="s">
        <v>58</v>
      </c>
      <c r="AK505" t="s">
        <v>58</v>
      </c>
      <c r="AO505" t="s">
        <v>58</v>
      </c>
      <c r="AP505" t="s">
        <v>58</v>
      </c>
      <c r="AQ505" t="s">
        <v>58</v>
      </c>
      <c r="AR505" t="s">
        <v>58</v>
      </c>
      <c r="AS505" t="s">
        <v>58</v>
      </c>
      <c r="AV505" t="s">
        <v>58</v>
      </c>
      <c r="AW505" t="s">
        <v>58</v>
      </c>
      <c r="AX505" t="s">
        <v>58</v>
      </c>
      <c r="AY505" t="s">
        <v>58</v>
      </c>
      <c r="AZ505" t="s">
        <v>58</v>
      </c>
      <c r="BC505" t="s">
        <v>58</v>
      </c>
      <c r="BD505" t="s">
        <v>58</v>
      </c>
      <c r="BE505" t="s">
        <v>58</v>
      </c>
      <c r="BF505" t="s">
        <v>58</v>
      </c>
      <c r="BG505" t="s">
        <v>58</v>
      </c>
    </row>
    <row r="506" spans="1:59" x14ac:dyDescent="0.3">
      <c r="A506" t="s">
        <v>58</v>
      </c>
      <c r="B506" t="s">
        <v>58</v>
      </c>
      <c r="C506" t="s">
        <v>58</v>
      </c>
      <c r="D506" t="s">
        <v>58</v>
      </c>
      <c r="E506" t="s">
        <v>58</v>
      </c>
      <c r="J506" t="s">
        <v>58</v>
      </c>
      <c r="K506" t="s">
        <v>58</v>
      </c>
      <c r="L506" t="s">
        <v>58</v>
      </c>
      <c r="M506" t="s">
        <v>58</v>
      </c>
      <c r="N506" t="s">
        <v>58</v>
      </c>
      <c r="R506" t="s">
        <v>58</v>
      </c>
      <c r="S506" t="s">
        <v>58</v>
      </c>
      <c r="T506" t="s">
        <v>58</v>
      </c>
      <c r="U506" t="s">
        <v>58</v>
      </c>
      <c r="V506" t="s">
        <v>58</v>
      </c>
      <c r="Z506" t="s">
        <v>58</v>
      </c>
      <c r="AA506" t="s">
        <v>58</v>
      </c>
      <c r="AB506" t="s">
        <v>58</v>
      </c>
      <c r="AC506" t="s">
        <v>58</v>
      </c>
      <c r="AD506" t="s">
        <v>58</v>
      </c>
      <c r="AG506" t="s">
        <v>58</v>
      </c>
      <c r="AH506" t="s">
        <v>58</v>
      </c>
      <c r="AI506" t="s">
        <v>58</v>
      </c>
      <c r="AJ506" t="s">
        <v>58</v>
      </c>
      <c r="AK506" t="s">
        <v>58</v>
      </c>
      <c r="AO506" t="s">
        <v>58</v>
      </c>
      <c r="AP506" t="s">
        <v>58</v>
      </c>
      <c r="AQ506" t="s">
        <v>58</v>
      </c>
      <c r="AR506" t="s">
        <v>58</v>
      </c>
      <c r="AS506" t="s">
        <v>58</v>
      </c>
      <c r="AV506" t="s">
        <v>58</v>
      </c>
      <c r="AW506" t="s">
        <v>58</v>
      </c>
      <c r="AX506" t="s">
        <v>58</v>
      </c>
      <c r="AY506" t="s">
        <v>58</v>
      </c>
      <c r="AZ506" t="s">
        <v>58</v>
      </c>
      <c r="BC506" t="s">
        <v>58</v>
      </c>
      <c r="BD506" t="s">
        <v>58</v>
      </c>
      <c r="BE506" t="s">
        <v>58</v>
      </c>
      <c r="BF506" t="s">
        <v>58</v>
      </c>
      <c r="BG506" t="s">
        <v>58</v>
      </c>
    </row>
    <row r="507" spans="1:59" x14ac:dyDescent="0.3">
      <c r="A507" t="s">
        <v>58</v>
      </c>
      <c r="B507" t="s">
        <v>58</v>
      </c>
      <c r="C507" t="s">
        <v>58</v>
      </c>
      <c r="D507" t="s">
        <v>58</v>
      </c>
      <c r="E507" t="s">
        <v>58</v>
      </c>
      <c r="J507" t="s">
        <v>58</v>
      </c>
      <c r="K507" t="s">
        <v>58</v>
      </c>
      <c r="L507" t="s">
        <v>58</v>
      </c>
      <c r="M507" t="s">
        <v>58</v>
      </c>
      <c r="N507" t="s">
        <v>58</v>
      </c>
      <c r="R507" t="s">
        <v>58</v>
      </c>
      <c r="S507" t="s">
        <v>58</v>
      </c>
      <c r="T507" t="s">
        <v>58</v>
      </c>
      <c r="U507" t="s">
        <v>58</v>
      </c>
      <c r="V507" t="s">
        <v>58</v>
      </c>
      <c r="Z507" t="s">
        <v>58</v>
      </c>
      <c r="AA507" t="s">
        <v>58</v>
      </c>
      <c r="AB507" t="s">
        <v>58</v>
      </c>
      <c r="AC507" t="s">
        <v>58</v>
      </c>
      <c r="AD507" t="s">
        <v>58</v>
      </c>
      <c r="AG507" t="s">
        <v>58</v>
      </c>
      <c r="AH507" t="s">
        <v>58</v>
      </c>
      <c r="AI507" t="s">
        <v>58</v>
      </c>
      <c r="AJ507" t="s">
        <v>58</v>
      </c>
      <c r="AK507" t="s">
        <v>58</v>
      </c>
      <c r="AO507" t="s">
        <v>58</v>
      </c>
      <c r="AP507" t="s">
        <v>58</v>
      </c>
      <c r="AQ507" t="s">
        <v>58</v>
      </c>
      <c r="AR507" t="s">
        <v>58</v>
      </c>
      <c r="AS507" t="s">
        <v>58</v>
      </c>
      <c r="AV507" t="s">
        <v>58</v>
      </c>
      <c r="AW507" t="s">
        <v>58</v>
      </c>
      <c r="AX507" t="s">
        <v>58</v>
      </c>
      <c r="AY507" t="s">
        <v>58</v>
      </c>
      <c r="AZ507" t="s">
        <v>58</v>
      </c>
      <c r="BC507" t="s">
        <v>58</v>
      </c>
      <c r="BD507" t="s">
        <v>58</v>
      </c>
      <c r="BE507" t="s">
        <v>58</v>
      </c>
      <c r="BF507" t="s">
        <v>58</v>
      </c>
      <c r="BG507" t="s">
        <v>58</v>
      </c>
    </row>
    <row r="508" spans="1:59" x14ac:dyDescent="0.3">
      <c r="A508" t="s">
        <v>58</v>
      </c>
      <c r="B508" t="s">
        <v>58</v>
      </c>
      <c r="C508" t="s">
        <v>58</v>
      </c>
      <c r="D508" t="s">
        <v>58</v>
      </c>
      <c r="E508" t="s">
        <v>58</v>
      </c>
      <c r="J508" t="s">
        <v>58</v>
      </c>
      <c r="K508" t="s">
        <v>58</v>
      </c>
      <c r="L508" t="s">
        <v>58</v>
      </c>
      <c r="M508" t="s">
        <v>58</v>
      </c>
      <c r="N508" t="s">
        <v>58</v>
      </c>
      <c r="R508" t="s">
        <v>58</v>
      </c>
      <c r="S508" t="s">
        <v>58</v>
      </c>
      <c r="T508" t="s">
        <v>58</v>
      </c>
      <c r="U508" t="s">
        <v>58</v>
      </c>
      <c r="V508" t="s">
        <v>58</v>
      </c>
      <c r="Z508" t="s">
        <v>58</v>
      </c>
      <c r="AA508" t="s">
        <v>58</v>
      </c>
      <c r="AB508" t="s">
        <v>58</v>
      </c>
      <c r="AC508" t="s">
        <v>58</v>
      </c>
      <c r="AD508" t="s">
        <v>58</v>
      </c>
      <c r="AG508" t="s">
        <v>58</v>
      </c>
      <c r="AH508" t="s">
        <v>58</v>
      </c>
      <c r="AI508" t="s">
        <v>58</v>
      </c>
      <c r="AJ508" t="s">
        <v>58</v>
      </c>
      <c r="AK508" t="s">
        <v>58</v>
      </c>
      <c r="AO508" t="s">
        <v>58</v>
      </c>
      <c r="AP508" t="s">
        <v>58</v>
      </c>
      <c r="AQ508" t="s">
        <v>58</v>
      </c>
      <c r="AR508" t="s">
        <v>58</v>
      </c>
      <c r="AS508" t="s">
        <v>58</v>
      </c>
      <c r="AV508" t="s">
        <v>58</v>
      </c>
      <c r="AW508" t="s">
        <v>58</v>
      </c>
      <c r="AX508" t="s">
        <v>58</v>
      </c>
      <c r="AY508" t="s">
        <v>58</v>
      </c>
      <c r="AZ508" t="s">
        <v>58</v>
      </c>
      <c r="BC508" t="s">
        <v>58</v>
      </c>
      <c r="BD508" t="s">
        <v>58</v>
      </c>
      <c r="BE508" t="s">
        <v>58</v>
      </c>
      <c r="BF508" t="s">
        <v>58</v>
      </c>
      <c r="BG508" t="s">
        <v>58</v>
      </c>
    </row>
    <row r="509" spans="1:59" x14ac:dyDescent="0.3">
      <c r="A509" t="s">
        <v>58</v>
      </c>
      <c r="B509" t="s">
        <v>58</v>
      </c>
      <c r="C509" t="s">
        <v>58</v>
      </c>
      <c r="D509" t="s">
        <v>58</v>
      </c>
      <c r="E509" t="s">
        <v>58</v>
      </c>
      <c r="J509" t="s">
        <v>58</v>
      </c>
      <c r="K509" t="s">
        <v>58</v>
      </c>
      <c r="L509" t="s">
        <v>58</v>
      </c>
      <c r="M509" t="s">
        <v>58</v>
      </c>
      <c r="N509" t="s">
        <v>58</v>
      </c>
      <c r="R509" t="s">
        <v>58</v>
      </c>
      <c r="S509" t="s">
        <v>58</v>
      </c>
      <c r="T509" t="s">
        <v>58</v>
      </c>
      <c r="U509" t="s">
        <v>58</v>
      </c>
      <c r="V509" t="s">
        <v>58</v>
      </c>
      <c r="Z509" t="s">
        <v>58</v>
      </c>
      <c r="AA509" t="s">
        <v>58</v>
      </c>
      <c r="AB509" t="s">
        <v>58</v>
      </c>
      <c r="AC509" t="s">
        <v>58</v>
      </c>
      <c r="AD509" t="s">
        <v>58</v>
      </c>
      <c r="AG509" t="s">
        <v>58</v>
      </c>
      <c r="AH509" t="s">
        <v>58</v>
      </c>
      <c r="AI509" t="s">
        <v>58</v>
      </c>
      <c r="AJ509" t="s">
        <v>58</v>
      </c>
      <c r="AK509" t="s">
        <v>58</v>
      </c>
      <c r="AO509" t="s">
        <v>58</v>
      </c>
      <c r="AP509" t="s">
        <v>58</v>
      </c>
      <c r="AQ509" t="s">
        <v>58</v>
      </c>
      <c r="AR509" t="s">
        <v>58</v>
      </c>
      <c r="AS509" t="s">
        <v>58</v>
      </c>
      <c r="AV509" t="s">
        <v>58</v>
      </c>
      <c r="AW509" t="s">
        <v>58</v>
      </c>
      <c r="AX509" t="s">
        <v>58</v>
      </c>
      <c r="AY509" t="s">
        <v>58</v>
      </c>
      <c r="AZ509" t="s">
        <v>58</v>
      </c>
      <c r="BC509" t="s">
        <v>58</v>
      </c>
      <c r="BD509" t="s">
        <v>58</v>
      </c>
      <c r="BE509" t="s">
        <v>58</v>
      </c>
      <c r="BF509" t="s">
        <v>58</v>
      </c>
      <c r="BG509" t="s">
        <v>58</v>
      </c>
    </row>
    <row r="510" spans="1:59" x14ac:dyDescent="0.3">
      <c r="A510" t="s">
        <v>58</v>
      </c>
      <c r="B510" t="s">
        <v>58</v>
      </c>
      <c r="C510" t="s">
        <v>58</v>
      </c>
      <c r="D510" t="s">
        <v>58</v>
      </c>
      <c r="E510" t="s">
        <v>58</v>
      </c>
      <c r="J510" t="s">
        <v>58</v>
      </c>
      <c r="K510" t="s">
        <v>58</v>
      </c>
      <c r="L510" t="s">
        <v>58</v>
      </c>
      <c r="M510" t="s">
        <v>58</v>
      </c>
      <c r="N510" t="s">
        <v>58</v>
      </c>
      <c r="R510" t="s">
        <v>58</v>
      </c>
      <c r="S510" t="s">
        <v>58</v>
      </c>
      <c r="T510" t="s">
        <v>58</v>
      </c>
      <c r="U510" t="s">
        <v>58</v>
      </c>
      <c r="V510" t="s">
        <v>58</v>
      </c>
      <c r="Z510" t="s">
        <v>58</v>
      </c>
      <c r="AA510" t="s">
        <v>58</v>
      </c>
      <c r="AB510" t="s">
        <v>58</v>
      </c>
      <c r="AC510" t="s">
        <v>58</v>
      </c>
      <c r="AD510" t="s">
        <v>58</v>
      </c>
      <c r="AG510" t="s">
        <v>58</v>
      </c>
      <c r="AH510" t="s">
        <v>58</v>
      </c>
      <c r="AI510" t="s">
        <v>58</v>
      </c>
      <c r="AJ510" t="s">
        <v>58</v>
      </c>
      <c r="AK510" t="s">
        <v>58</v>
      </c>
      <c r="AO510" t="s">
        <v>58</v>
      </c>
      <c r="AP510" t="s">
        <v>58</v>
      </c>
      <c r="AQ510" t="s">
        <v>58</v>
      </c>
      <c r="AR510" t="s">
        <v>58</v>
      </c>
      <c r="AS510" t="s">
        <v>58</v>
      </c>
      <c r="AV510" t="s">
        <v>58</v>
      </c>
      <c r="AW510" t="s">
        <v>58</v>
      </c>
      <c r="AX510" t="s">
        <v>58</v>
      </c>
      <c r="AY510" t="s">
        <v>58</v>
      </c>
      <c r="AZ510" t="s">
        <v>58</v>
      </c>
      <c r="BC510" t="s">
        <v>58</v>
      </c>
      <c r="BD510" t="s">
        <v>58</v>
      </c>
      <c r="BE510" t="s">
        <v>58</v>
      </c>
      <c r="BF510" t="s">
        <v>58</v>
      </c>
      <c r="BG510" t="s">
        <v>58</v>
      </c>
    </row>
    <row r="511" spans="1:59" x14ac:dyDescent="0.3">
      <c r="A511" t="s">
        <v>58</v>
      </c>
      <c r="B511" t="s">
        <v>58</v>
      </c>
      <c r="C511" t="s">
        <v>58</v>
      </c>
      <c r="D511" t="s">
        <v>58</v>
      </c>
      <c r="E511" t="s">
        <v>58</v>
      </c>
      <c r="J511" t="s">
        <v>58</v>
      </c>
      <c r="K511" t="s">
        <v>58</v>
      </c>
      <c r="L511" t="s">
        <v>58</v>
      </c>
      <c r="M511" t="s">
        <v>58</v>
      </c>
      <c r="N511" t="s">
        <v>58</v>
      </c>
      <c r="R511" t="s">
        <v>58</v>
      </c>
      <c r="S511" t="s">
        <v>58</v>
      </c>
      <c r="T511" t="s">
        <v>58</v>
      </c>
      <c r="U511" t="s">
        <v>58</v>
      </c>
      <c r="V511" t="s">
        <v>58</v>
      </c>
      <c r="Z511" t="s">
        <v>58</v>
      </c>
      <c r="AA511" t="s">
        <v>58</v>
      </c>
      <c r="AB511" t="s">
        <v>58</v>
      </c>
      <c r="AC511" t="s">
        <v>58</v>
      </c>
      <c r="AD511" t="s">
        <v>58</v>
      </c>
      <c r="AG511" t="s">
        <v>58</v>
      </c>
      <c r="AH511" t="s">
        <v>58</v>
      </c>
      <c r="AI511" t="s">
        <v>58</v>
      </c>
      <c r="AJ511" t="s">
        <v>58</v>
      </c>
      <c r="AK511" t="s">
        <v>58</v>
      </c>
      <c r="AO511" t="s">
        <v>58</v>
      </c>
      <c r="AP511" t="s">
        <v>58</v>
      </c>
      <c r="AQ511" t="s">
        <v>58</v>
      </c>
      <c r="AR511" t="s">
        <v>58</v>
      </c>
      <c r="AS511" t="s">
        <v>58</v>
      </c>
      <c r="AV511" t="s">
        <v>58</v>
      </c>
      <c r="AW511" t="s">
        <v>58</v>
      </c>
      <c r="AX511" t="s">
        <v>58</v>
      </c>
      <c r="AY511" t="s">
        <v>58</v>
      </c>
      <c r="AZ511" t="s">
        <v>58</v>
      </c>
      <c r="BC511" t="s">
        <v>58</v>
      </c>
      <c r="BD511" t="s">
        <v>58</v>
      </c>
      <c r="BE511" t="s">
        <v>58</v>
      </c>
      <c r="BF511" t="s">
        <v>58</v>
      </c>
      <c r="BG511" t="s">
        <v>58</v>
      </c>
    </row>
    <row r="512" spans="1:59" x14ac:dyDescent="0.3">
      <c r="A512" t="s">
        <v>58</v>
      </c>
      <c r="B512" t="s">
        <v>58</v>
      </c>
      <c r="C512" t="s">
        <v>58</v>
      </c>
      <c r="D512" t="s">
        <v>58</v>
      </c>
      <c r="E512" t="s">
        <v>58</v>
      </c>
      <c r="J512" t="s">
        <v>58</v>
      </c>
      <c r="K512" t="s">
        <v>58</v>
      </c>
      <c r="L512" t="s">
        <v>58</v>
      </c>
      <c r="M512" t="s">
        <v>58</v>
      </c>
      <c r="N512" t="s">
        <v>58</v>
      </c>
      <c r="R512" t="s">
        <v>58</v>
      </c>
      <c r="S512" t="s">
        <v>58</v>
      </c>
      <c r="T512" t="s">
        <v>58</v>
      </c>
      <c r="U512" t="s">
        <v>58</v>
      </c>
      <c r="V512" t="s">
        <v>58</v>
      </c>
      <c r="Z512" t="s">
        <v>58</v>
      </c>
      <c r="AA512" t="s">
        <v>58</v>
      </c>
      <c r="AB512" t="s">
        <v>58</v>
      </c>
      <c r="AC512" t="s">
        <v>58</v>
      </c>
      <c r="AD512" t="s">
        <v>58</v>
      </c>
      <c r="AG512" t="s">
        <v>58</v>
      </c>
      <c r="AH512" t="s">
        <v>58</v>
      </c>
      <c r="AI512" t="s">
        <v>58</v>
      </c>
      <c r="AJ512" t="s">
        <v>58</v>
      </c>
      <c r="AK512" t="s">
        <v>58</v>
      </c>
      <c r="AO512" t="s">
        <v>58</v>
      </c>
      <c r="AP512" t="s">
        <v>58</v>
      </c>
      <c r="AQ512" t="s">
        <v>58</v>
      </c>
      <c r="AR512" t="s">
        <v>58</v>
      </c>
      <c r="AS512" t="s">
        <v>58</v>
      </c>
      <c r="AV512" t="s">
        <v>58</v>
      </c>
      <c r="AW512" t="s">
        <v>58</v>
      </c>
      <c r="AX512" t="s">
        <v>58</v>
      </c>
      <c r="AY512" t="s">
        <v>58</v>
      </c>
      <c r="AZ512" t="s">
        <v>58</v>
      </c>
      <c r="BC512" t="s">
        <v>58</v>
      </c>
      <c r="BD512" t="s">
        <v>58</v>
      </c>
      <c r="BE512" t="s">
        <v>58</v>
      </c>
      <c r="BF512" t="s">
        <v>58</v>
      </c>
      <c r="BG512" t="s">
        <v>58</v>
      </c>
    </row>
    <row r="513" spans="1:59" x14ac:dyDescent="0.3">
      <c r="A513" t="s">
        <v>58</v>
      </c>
      <c r="B513" t="s">
        <v>58</v>
      </c>
      <c r="C513" t="s">
        <v>58</v>
      </c>
      <c r="D513" t="s">
        <v>58</v>
      </c>
      <c r="E513" t="s">
        <v>58</v>
      </c>
      <c r="J513" t="s">
        <v>58</v>
      </c>
      <c r="K513" t="s">
        <v>58</v>
      </c>
      <c r="L513" t="s">
        <v>58</v>
      </c>
      <c r="M513" t="s">
        <v>58</v>
      </c>
      <c r="N513" t="s">
        <v>58</v>
      </c>
      <c r="R513" t="s">
        <v>58</v>
      </c>
      <c r="S513" t="s">
        <v>58</v>
      </c>
      <c r="T513" t="s">
        <v>58</v>
      </c>
      <c r="U513" t="s">
        <v>58</v>
      </c>
      <c r="V513" t="s">
        <v>58</v>
      </c>
      <c r="Z513" t="s">
        <v>58</v>
      </c>
      <c r="AA513" t="s">
        <v>58</v>
      </c>
      <c r="AB513" t="s">
        <v>58</v>
      </c>
      <c r="AC513" t="s">
        <v>58</v>
      </c>
      <c r="AD513" t="s">
        <v>58</v>
      </c>
      <c r="AG513" t="s">
        <v>58</v>
      </c>
      <c r="AH513" t="s">
        <v>58</v>
      </c>
      <c r="AI513" t="s">
        <v>58</v>
      </c>
      <c r="AJ513" t="s">
        <v>58</v>
      </c>
      <c r="AK513" t="s">
        <v>58</v>
      </c>
      <c r="AO513" t="s">
        <v>58</v>
      </c>
      <c r="AP513" t="s">
        <v>58</v>
      </c>
      <c r="AQ513" t="s">
        <v>58</v>
      </c>
      <c r="AR513" t="s">
        <v>58</v>
      </c>
      <c r="AS513" t="s">
        <v>58</v>
      </c>
      <c r="AV513" t="s">
        <v>58</v>
      </c>
      <c r="AW513" t="s">
        <v>58</v>
      </c>
      <c r="AX513" t="s">
        <v>58</v>
      </c>
      <c r="AY513" t="s">
        <v>58</v>
      </c>
      <c r="AZ513" t="s">
        <v>58</v>
      </c>
      <c r="BC513" t="s">
        <v>58</v>
      </c>
      <c r="BD513" t="s">
        <v>58</v>
      </c>
      <c r="BE513" t="s">
        <v>58</v>
      </c>
      <c r="BF513" t="s">
        <v>58</v>
      </c>
      <c r="BG513" t="s">
        <v>58</v>
      </c>
    </row>
    <row r="514" spans="1:59" x14ac:dyDescent="0.3">
      <c r="A514" t="s">
        <v>58</v>
      </c>
      <c r="B514" t="s">
        <v>58</v>
      </c>
      <c r="C514" t="s">
        <v>58</v>
      </c>
      <c r="D514" t="s">
        <v>58</v>
      </c>
      <c r="E514" t="s">
        <v>58</v>
      </c>
      <c r="J514" t="s">
        <v>58</v>
      </c>
      <c r="K514" t="s">
        <v>58</v>
      </c>
      <c r="L514" t="s">
        <v>58</v>
      </c>
      <c r="M514" t="s">
        <v>58</v>
      </c>
      <c r="N514" t="s">
        <v>58</v>
      </c>
      <c r="R514" t="s">
        <v>58</v>
      </c>
      <c r="S514" t="s">
        <v>58</v>
      </c>
      <c r="T514" t="s">
        <v>58</v>
      </c>
      <c r="U514" t="s">
        <v>58</v>
      </c>
      <c r="V514" t="s">
        <v>58</v>
      </c>
      <c r="Z514" t="s">
        <v>58</v>
      </c>
      <c r="AA514" t="s">
        <v>58</v>
      </c>
      <c r="AB514" t="s">
        <v>58</v>
      </c>
      <c r="AC514" t="s">
        <v>58</v>
      </c>
      <c r="AD514" t="s">
        <v>58</v>
      </c>
      <c r="AG514" t="s">
        <v>58</v>
      </c>
      <c r="AH514" t="s">
        <v>58</v>
      </c>
      <c r="AI514" t="s">
        <v>58</v>
      </c>
      <c r="AJ514" t="s">
        <v>58</v>
      </c>
      <c r="AK514" t="s">
        <v>58</v>
      </c>
      <c r="AO514" t="s">
        <v>58</v>
      </c>
      <c r="AP514" t="s">
        <v>58</v>
      </c>
      <c r="AQ514" t="s">
        <v>58</v>
      </c>
      <c r="AR514" t="s">
        <v>58</v>
      </c>
      <c r="AS514" t="s">
        <v>58</v>
      </c>
      <c r="AV514" t="s">
        <v>58</v>
      </c>
      <c r="AW514" t="s">
        <v>58</v>
      </c>
      <c r="AX514" t="s">
        <v>58</v>
      </c>
      <c r="AY514" t="s">
        <v>58</v>
      </c>
      <c r="AZ514" t="s">
        <v>58</v>
      </c>
      <c r="BC514" t="s">
        <v>58</v>
      </c>
      <c r="BD514" t="s">
        <v>58</v>
      </c>
      <c r="BE514" t="s">
        <v>58</v>
      </c>
      <c r="BF514" t="s">
        <v>58</v>
      </c>
      <c r="BG514" t="s">
        <v>58</v>
      </c>
    </row>
    <row r="515" spans="1:59" x14ac:dyDescent="0.3">
      <c r="A515" t="s">
        <v>58</v>
      </c>
      <c r="B515" t="s">
        <v>58</v>
      </c>
      <c r="C515" t="s">
        <v>58</v>
      </c>
      <c r="D515" t="s">
        <v>58</v>
      </c>
      <c r="E515" t="s">
        <v>58</v>
      </c>
      <c r="J515" t="s">
        <v>58</v>
      </c>
      <c r="K515" t="s">
        <v>58</v>
      </c>
      <c r="L515" t="s">
        <v>58</v>
      </c>
      <c r="M515" t="s">
        <v>58</v>
      </c>
      <c r="N515" t="s">
        <v>58</v>
      </c>
      <c r="R515" t="s">
        <v>58</v>
      </c>
      <c r="S515" t="s">
        <v>58</v>
      </c>
      <c r="T515" t="s">
        <v>58</v>
      </c>
      <c r="U515" t="s">
        <v>58</v>
      </c>
      <c r="V515" t="s">
        <v>58</v>
      </c>
      <c r="Z515" t="s">
        <v>58</v>
      </c>
      <c r="AA515" t="s">
        <v>58</v>
      </c>
      <c r="AB515" t="s">
        <v>58</v>
      </c>
      <c r="AC515" t="s">
        <v>58</v>
      </c>
      <c r="AD515" t="s">
        <v>58</v>
      </c>
      <c r="AG515" t="s">
        <v>58</v>
      </c>
      <c r="AH515" t="s">
        <v>58</v>
      </c>
      <c r="AI515" t="s">
        <v>58</v>
      </c>
      <c r="AJ515" t="s">
        <v>58</v>
      </c>
      <c r="AK515" t="s">
        <v>58</v>
      </c>
      <c r="AO515" t="s">
        <v>58</v>
      </c>
      <c r="AP515" t="s">
        <v>58</v>
      </c>
      <c r="AQ515" t="s">
        <v>58</v>
      </c>
      <c r="AR515" t="s">
        <v>58</v>
      </c>
      <c r="AS515" t="s">
        <v>58</v>
      </c>
      <c r="AV515" t="s">
        <v>58</v>
      </c>
      <c r="AW515" t="s">
        <v>58</v>
      </c>
      <c r="AX515" t="s">
        <v>58</v>
      </c>
      <c r="AY515" t="s">
        <v>58</v>
      </c>
      <c r="AZ515" t="s">
        <v>58</v>
      </c>
      <c r="BC515" t="s">
        <v>58</v>
      </c>
      <c r="BD515" t="s">
        <v>58</v>
      </c>
      <c r="BE515" t="s">
        <v>58</v>
      </c>
      <c r="BF515" t="s">
        <v>58</v>
      </c>
      <c r="BG515" t="s">
        <v>58</v>
      </c>
    </row>
    <row r="516" spans="1:59" x14ac:dyDescent="0.3">
      <c r="A516" t="s">
        <v>58</v>
      </c>
      <c r="B516" t="s">
        <v>58</v>
      </c>
      <c r="C516" t="s">
        <v>58</v>
      </c>
      <c r="D516" t="s">
        <v>58</v>
      </c>
      <c r="E516" t="s">
        <v>58</v>
      </c>
      <c r="J516" t="s">
        <v>58</v>
      </c>
      <c r="K516" t="s">
        <v>58</v>
      </c>
      <c r="L516" t="s">
        <v>58</v>
      </c>
      <c r="M516" t="s">
        <v>58</v>
      </c>
      <c r="N516" t="s">
        <v>58</v>
      </c>
      <c r="R516" t="s">
        <v>58</v>
      </c>
      <c r="S516" t="s">
        <v>58</v>
      </c>
      <c r="T516" t="s">
        <v>58</v>
      </c>
      <c r="U516" t="s">
        <v>58</v>
      </c>
      <c r="V516" t="s">
        <v>58</v>
      </c>
      <c r="Z516" t="s">
        <v>58</v>
      </c>
      <c r="AA516" t="s">
        <v>58</v>
      </c>
      <c r="AB516" t="s">
        <v>58</v>
      </c>
      <c r="AC516" t="s">
        <v>58</v>
      </c>
      <c r="AD516" t="s">
        <v>58</v>
      </c>
      <c r="AG516" t="s">
        <v>58</v>
      </c>
      <c r="AH516" t="s">
        <v>58</v>
      </c>
      <c r="AI516" t="s">
        <v>58</v>
      </c>
      <c r="AJ516" t="s">
        <v>58</v>
      </c>
      <c r="AK516" t="s">
        <v>58</v>
      </c>
      <c r="AO516" t="s">
        <v>58</v>
      </c>
      <c r="AP516" t="s">
        <v>58</v>
      </c>
      <c r="AQ516" t="s">
        <v>58</v>
      </c>
      <c r="AR516" t="s">
        <v>58</v>
      </c>
      <c r="AS516" t="s">
        <v>58</v>
      </c>
      <c r="AV516" t="s">
        <v>58</v>
      </c>
      <c r="AW516" t="s">
        <v>58</v>
      </c>
      <c r="AX516" t="s">
        <v>58</v>
      </c>
      <c r="AY516" t="s">
        <v>58</v>
      </c>
      <c r="AZ516" t="s">
        <v>58</v>
      </c>
      <c r="BC516" t="s">
        <v>58</v>
      </c>
      <c r="BD516" t="s">
        <v>58</v>
      </c>
      <c r="BE516" t="s">
        <v>58</v>
      </c>
      <c r="BF516" t="s">
        <v>58</v>
      </c>
      <c r="BG516" t="s">
        <v>58</v>
      </c>
    </row>
    <row r="517" spans="1:59" x14ac:dyDescent="0.3">
      <c r="A517" t="s">
        <v>58</v>
      </c>
      <c r="B517" t="s">
        <v>58</v>
      </c>
      <c r="C517" t="s">
        <v>58</v>
      </c>
      <c r="D517" t="s">
        <v>58</v>
      </c>
      <c r="E517" t="s">
        <v>58</v>
      </c>
      <c r="J517" t="s">
        <v>58</v>
      </c>
      <c r="K517" t="s">
        <v>58</v>
      </c>
      <c r="L517" t="s">
        <v>58</v>
      </c>
      <c r="M517" t="s">
        <v>58</v>
      </c>
      <c r="N517" t="s">
        <v>58</v>
      </c>
      <c r="R517" t="s">
        <v>58</v>
      </c>
      <c r="S517" t="s">
        <v>58</v>
      </c>
      <c r="T517" t="s">
        <v>58</v>
      </c>
      <c r="U517" t="s">
        <v>58</v>
      </c>
      <c r="V517" t="s">
        <v>58</v>
      </c>
      <c r="Z517" t="s">
        <v>58</v>
      </c>
      <c r="AA517" t="s">
        <v>58</v>
      </c>
      <c r="AB517" t="s">
        <v>58</v>
      </c>
      <c r="AC517" t="s">
        <v>58</v>
      </c>
      <c r="AD517" t="s">
        <v>58</v>
      </c>
      <c r="AG517" t="s">
        <v>58</v>
      </c>
      <c r="AH517" t="s">
        <v>58</v>
      </c>
      <c r="AI517" t="s">
        <v>58</v>
      </c>
      <c r="AJ517" t="s">
        <v>58</v>
      </c>
      <c r="AK517" t="s">
        <v>58</v>
      </c>
      <c r="AO517" t="s">
        <v>58</v>
      </c>
      <c r="AP517" t="s">
        <v>58</v>
      </c>
      <c r="AQ517" t="s">
        <v>58</v>
      </c>
      <c r="AR517" t="s">
        <v>58</v>
      </c>
      <c r="AS517" t="s">
        <v>58</v>
      </c>
      <c r="AV517" t="s">
        <v>58</v>
      </c>
      <c r="AW517" t="s">
        <v>58</v>
      </c>
      <c r="AX517" t="s">
        <v>58</v>
      </c>
      <c r="AY517" t="s">
        <v>58</v>
      </c>
      <c r="AZ517" t="s">
        <v>58</v>
      </c>
      <c r="BC517" t="s">
        <v>58</v>
      </c>
      <c r="BD517" t="s">
        <v>58</v>
      </c>
      <c r="BE517" t="s">
        <v>58</v>
      </c>
      <c r="BF517" t="s">
        <v>58</v>
      </c>
      <c r="BG517" t="s">
        <v>58</v>
      </c>
    </row>
    <row r="518" spans="1:59" x14ac:dyDescent="0.3">
      <c r="A518" t="s">
        <v>58</v>
      </c>
      <c r="B518" t="s">
        <v>58</v>
      </c>
      <c r="C518" t="s">
        <v>58</v>
      </c>
      <c r="D518" t="s">
        <v>58</v>
      </c>
      <c r="E518" t="s">
        <v>58</v>
      </c>
      <c r="J518" t="s">
        <v>58</v>
      </c>
      <c r="K518" t="s">
        <v>58</v>
      </c>
      <c r="L518" t="s">
        <v>58</v>
      </c>
      <c r="M518" t="s">
        <v>58</v>
      </c>
      <c r="N518" t="s">
        <v>58</v>
      </c>
      <c r="R518" t="s">
        <v>58</v>
      </c>
      <c r="S518" t="s">
        <v>58</v>
      </c>
      <c r="T518" t="s">
        <v>58</v>
      </c>
      <c r="U518" t="s">
        <v>58</v>
      </c>
      <c r="V518" t="s">
        <v>58</v>
      </c>
      <c r="Z518" t="s">
        <v>58</v>
      </c>
      <c r="AA518" t="s">
        <v>58</v>
      </c>
      <c r="AB518" t="s">
        <v>58</v>
      </c>
      <c r="AC518" t="s">
        <v>58</v>
      </c>
      <c r="AD518" t="s">
        <v>58</v>
      </c>
      <c r="AG518" t="s">
        <v>58</v>
      </c>
      <c r="AH518" t="s">
        <v>58</v>
      </c>
      <c r="AI518" t="s">
        <v>58</v>
      </c>
      <c r="AJ518" t="s">
        <v>58</v>
      </c>
      <c r="AK518" t="s">
        <v>58</v>
      </c>
      <c r="AO518" t="s">
        <v>58</v>
      </c>
      <c r="AP518" t="s">
        <v>58</v>
      </c>
      <c r="AQ518" t="s">
        <v>58</v>
      </c>
      <c r="AR518" t="s">
        <v>58</v>
      </c>
      <c r="AS518" t="s">
        <v>58</v>
      </c>
      <c r="AV518" t="s">
        <v>58</v>
      </c>
      <c r="AW518" t="s">
        <v>58</v>
      </c>
      <c r="AX518" t="s">
        <v>58</v>
      </c>
      <c r="AY518" t="s">
        <v>58</v>
      </c>
      <c r="AZ518" t="s">
        <v>58</v>
      </c>
      <c r="BC518" t="s">
        <v>58</v>
      </c>
      <c r="BD518" t="s">
        <v>58</v>
      </c>
      <c r="BE518" t="s">
        <v>58</v>
      </c>
      <c r="BF518" t="s">
        <v>58</v>
      </c>
      <c r="BG518" t="s">
        <v>58</v>
      </c>
    </row>
    <row r="519" spans="1:59" x14ac:dyDescent="0.3">
      <c r="A519" t="s">
        <v>58</v>
      </c>
      <c r="B519" t="s">
        <v>58</v>
      </c>
      <c r="C519" t="s">
        <v>58</v>
      </c>
      <c r="D519" t="s">
        <v>58</v>
      </c>
      <c r="E519" t="s">
        <v>58</v>
      </c>
      <c r="J519" t="s">
        <v>58</v>
      </c>
      <c r="K519" t="s">
        <v>58</v>
      </c>
      <c r="L519" t="s">
        <v>58</v>
      </c>
      <c r="M519" t="s">
        <v>58</v>
      </c>
      <c r="N519" t="s">
        <v>58</v>
      </c>
      <c r="R519" t="s">
        <v>58</v>
      </c>
      <c r="S519" t="s">
        <v>58</v>
      </c>
      <c r="T519" t="s">
        <v>58</v>
      </c>
      <c r="U519" t="s">
        <v>58</v>
      </c>
      <c r="V519" t="s">
        <v>58</v>
      </c>
      <c r="Z519" t="s">
        <v>58</v>
      </c>
      <c r="AA519" t="s">
        <v>58</v>
      </c>
      <c r="AB519" t="s">
        <v>58</v>
      </c>
      <c r="AC519" t="s">
        <v>58</v>
      </c>
      <c r="AD519" t="s">
        <v>58</v>
      </c>
      <c r="AG519" t="s">
        <v>58</v>
      </c>
      <c r="AH519" t="s">
        <v>58</v>
      </c>
      <c r="AI519" t="s">
        <v>58</v>
      </c>
      <c r="AJ519" t="s">
        <v>58</v>
      </c>
      <c r="AK519" t="s">
        <v>58</v>
      </c>
      <c r="AO519" t="s">
        <v>58</v>
      </c>
      <c r="AP519" t="s">
        <v>58</v>
      </c>
      <c r="AQ519" t="s">
        <v>58</v>
      </c>
      <c r="AR519" t="s">
        <v>58</v>
      </c>
      <c r="AS519" t="s">
        <v>58</v>
      </c>
      <c r="AV519" t="s">
        <v>58</v>
      </c>
      <c r="AW519" t="s">
        <v>58</v>
      </c>
      <c r="AX519" t="s">
        <v>58</v>
      </c>
      <c r="AY519" t="s">
        <v>58</v>
      </c>
      <c r="AZ519" t="s">
        <v>58</v>
      </c>
      <c r="BC519" t="s">
        <v>58</v>
      </c>
      <c r="BD519" t="s">
        <v>58</v>
      </c>
      <c r="BE519" t="s">
        <v>58</v>
      </c>
      <c r="BF519" t="s">
        <v>58</v>
      </c>
      <c r="BG519" t="s">
        <v>58</v>
      </c>
    </row>
    <row r="520" spans="1:59" x14ac:dyDescent="0.3">
      <c r="A520" t="s">
        <v>58</v>
      </c>
      <c r="B520" t="s">
        <v>58</v>
      </c>
      <c r="C520" t="s">
        <v>58</v>
      </c>
      <c r="D520" t="s">
        <v>58</v>
      </c>
      <c r="E520" t="s">
        <v>58</v>
      </c>
      <c r="J520" t="s">
        <v>58</v>
      </c>
      <c r="K520" t="s">
        <v>58</v>
      </c>
      <c r="L520" t="s">
        <v>58</v>
      </c>
      <c r="M520" t="s">
        <v>58</v>
      </c>
      <c r="N520" t="s">
        <v>58</v>
      </c>
      <c r="R520" t="s">
        <v>58</v>
      </c>
      <c r="S520" t="s">
        <v>58</v>
      </c>
      <c r="T520" t="s">
        <v>58</v>
      </c>
      <c r="U520" t="s">
        <v>58</v>
      </c>
      <c r="V520" t="s">
        <v>58</v>
      </c>
      <c r="Z520" t="s">
        <v>58</v>
      </c>
      <c r="AA520" t="s">
        <v>58</v>
      </c>
      <c r="AB520" t="s">
        <v>58</v>
      </c>
      <c r="AC520" t="s">
        <v>58</v>
      </c>
      <c r="AD520" t="s">
        <v>58</v>
      </c>
      <c r="AG520" t="s">
        <v>58</v>
      </c>
      <c r="AH520" t="s">
        <v>58</v>
      </c>
      <c r="AI520" t="s">
        <v>58</v>
      </c>
      <c r="AJ520" t="s">
        <v>58</v>
      </c>
      <c r="AK520" t="s">
        <v>58</v>
      </c>
      <c r="AO520" t="s">
        <v>58</v>
      </c>
      <c r="AP520" t="s">
        <v>58</v>
      </c>
      <c r="AQ520" t="s">
        <v>58</v>
      </c>
      <c r="AR520" t="s">
        <v>58</v>
      </c>
      <c r="AS520" t="s">
        <v>58</v>
      </c>
      <c r="AV520" t="s">
        <v>58</v>
      </c>
      <c r="AW520" t="s">
        <v>58</v>
      </c>
      <c r="AX520" t="s">
        <v>58</v>
      </c>
      <c r="AY520" t="s">
        <v>58</v>
      </c>
      <c r="AZ520" t="s">
        <v>58</v>
      </c>
      <c r="BC520" t="s">
        <v>58</v>
      </c>
      <c r="BD520" t="s">
        <v>58</v>
      </c>
      <c r="BE520" t="s">
        <v>58</v>
      </c>
      <c r="BF520" t="s">
        <v>58</v>
      </c>
      <c r="BG520" t="s">
        <v>58</v>
      </c>
    </row>
    <row r="521" spans="1:59" x14ac:dyDescent="0.3">
      <c r="A521" t="s">
        <v>58</v>
      </c>
      <c r="B521" t="s">
        <v>58</v>
      </c>
      <c r="C521" t="s">
        <v>58</v>
      </c>
      <c r="D521" t="s">
        <v>58</v>
      </c>
      <c r="E521" t="s">
        <v>58</v>
      </c>
      <c r="J521" t="s">
        <v>58</v>
      </c>
      <c r="K521" t="s">
        <v>58</v>
      </c>
      <c r="L521" t="s">
        <v>58</v>
      </c>
      <c r="M521" t="s">
        <v>58</v>
      </c>
      <c r="N521" t="s">
        <v>58</v>
      </c>
      <c r="R521" t="s">
        <v>58</v>
      </c>
      <c r="S521" t="s">
        <v>58</v>
      </c>
      <c r="T521" t="s">
        <v>58</v>
      </c>
      <c r="U521" t="s">
        <v>58</v>
      </c>
      <c r="V521" t="s">
        <v>58</v>
      </c>
      <c r="Z521" t="s">
        <v>58</v>
      </c>
      <c r="AA521" t="s">
        <v>58</v>
      </c>
      <c r="AB521" t="s">
        <v>58</v>
      </c>
      <c r="AC521" t="s">
        <v>58</v>
      </c>
      <c r="AD521" t="s">
        <v>58</v>
      </c>
      <c r="AG521" t="s">
        <v>58</v>
      </c>
      <c r="AH521" t="s">
        <v>58</v>
      </c>
      <c r="AI521" t="s">
        <v>58</v>
      </c>
      <c r="AJ521" t="s">
        <v>58</v>
      </c>
      <c r="AK521" t="s">
        <v>58</v>
      </c>
      <c r="AO521" t="s">
        <v>58</v>
      </c>
      <c r="AP521" t="s">
        <v>58</v>
      </c>
      <c r="AQ521" t="s">
        <v>58</v>
      </c>
      <c r="AR521" t="s">
        <v>58</v>
      </c>
      <c r="AS521" t="s">
        <v>58</v>
      </c>
      <c r="AV521" t="s">
        <v>58</v>
      </c>
      <c r="AW521" t="s">
        <v>58</v>
      </c>
      <c r="AX521" t="s">
        <v>58</v>
      </c>
      <c r="AY521" t="s">
        <v>58</v>
      </c>
      <c r="AZ521" t="s">
        <v>58</v>
      </c>
      <c r="BC521" t="s">
        <v>58</v>
      </c>
      <c r="BD521" t="s">
        <v>58</v>
      </c>
      <c r="BE521" t="s">
        <v>58</v>
      </c>
      <c r="BF521" t="s">
        <v>58</v>
      </c>
      <c r="BG521" t="s">
        <v>58</v>
      </c>
    </row>
    <row r="522" spans="1:59" x14ac:dyDescent="0.3">
      <c r="A522" t="s">
        <v>58</v>
      </c>
      <c r="B522" t="s">
        <v>58</v>
      </c>
      <c r="C522" t="s">
        <v>58</v>
      </c>
      <c r="D522" t="s">
        <v>58</v>
      </c>
      <c r="E522" t="s">
        <v>58</v>
      </c>
      <c r="J522" t="s">
        <v>58</v>
      </c>
      <c r="K522" t="s">
        <v>58</v>
      </c>
      <c r="L522" t="s">
        <v>58</v>
      </c>
      <c r="M522" t="s">
        <v>58</v>
      </c>
      <c r="N522" t="s">
        <v>58</v>
      </c>
      <c r="R522" t="s">
        <v>58</v>
      </c>
      <c r="S522" t="s">
        <v>58</v>
      </c>
      <c r="T522" t="s">
        <v>58</v>
      </c>
      <c r="U522" t="s">
        <v>58</v>
      </c>
      <c r="V522" t="s">
        <v>58</v>
      </c>
      <c r="Z522" t="s">
        <v>58</v>
      </c>
      <c r="AA522" t="s">
        <v>58</v>
      </c>
      <c r="AB522" t="s">
        <v>58</v>
      </c>
      <c r="AC522" t="s">
        <v>58</v>
      </c>
      <c r="AD522" t="s">
        <v>58</v>
      </c>
      <c r="AG522" t="s">
        <v>58</v>
      </c>
      <c r="AH522" t="s">
        <v>58</v>
      </c>
      <c r="AI522" t="s">
        <v>58</v>
      </c>
      <c r="AJ522" t="s">
        <v>58</v>
      </c>
      <c r="AK522" t="s">
        <v>58</v>
      </c>
      <c r="AO522" t="s">
        <v>58</v>
      </c>
      <c r="AP522" t="s">
        <v>58</v>
      </c>
      <c r="AQ522" t="s">
        <v>58</v>
      </c>
      <c r="AR522" t="s">
        <v>58</v>
      </c>
      <c r="AS522" t="s">
        <v>58</v>
      </c>
      <c r="AV522" t="s">
        <v>58</v>
      </c>
      <c r="AW522" t="s">
        <v>58</v>
      </c>
      <c r="AX522" t="s">
        <v>58</v>
      </c>
      <c r="AY522" t="s">
        <v>58</v>
      </c>
      <c r="AZ522" t="s">
        <v>58</v>
      </c>
      <c r="BC522" t="s">
        <v>58</v>
      </c>
      <c r="BD522" t="s">
        <v>58</v>
      </c>
      <c r="BE522" t="s">
        <v>58</v>
      </c>
      <c r="BF522" t="s">
        <v>58</v>
      </c>
      <c r="BG522" t="s">
        <v>58</v>
      </c>
    </row>
    <row r="523" spans="1:59" x14ac:dyDescent="0.3">
      <c r="A523" t="s">
        <v>58</v>
      </c>
      <c r="B523" t="s">
        <v>58</v>
      </c>
      <c r="C523" t="s">
        <v>58</v>
      </c>
      <c r="D523" t="s">
        <v>58</v>
      </c>
      <c r="E523" t="s">
        <v>58</v>
      </c>
      <c r="J523" t="s">
        <v>58</v>
      </c>
      <c r="K523" t="s">
        <v>58</v>
      </c>
      <c r="L523" t="s">
        <v>58</v>
      </c>
      <c r="M523" t="s">
        <v>58</v>
      </c>
      <c r="N523" t="s">
        <v>58</v>
      </c>
      <c r="R523" t="s">
        <v>58</v>
      </c>
      <c r="S523" t="s">
        <v>58</v>
      </c>
      <c r="T523" t="s">
        <v>58</v>
      </c>
      <c r="U523" t="s">
        <v>58</v>
      </c>
      <c r="V523" t="s">
        <v>58</v>
      </c>
      <c r="Z523" t="s">
        <v>58</v>
      </c>
      <c r="AA523" t="s">
        <v>58</v>
      </c>
      <c r="AB523" t="s">
        <v>58</v>
      </c>
      <c r="AC523" t="s">
        <v>58</v>
      </c>
      <c r="AD523" t="s">
        <v>58</v>
      </c>
      <c r="AG523" t="s">
        <v>58</v>
      </c>
      <c r="AH523" t="s">
        <v>58</v>
      </c>
      <c r="AI523" t="s">
        <v>58</v>
      </c>
      <c r="AJ523" t="s">
        <v>58</v>
      </c>
      <c r="AK523" t="s">
        <v>58</v>
      </c>
      <c r="AO523" t="s">
        <v>58</v>
      </c>
      <c r="AP523" t="s">
        <v>58</v>
      </c>
      <c r="AQ523" t="s">
        <v>58</v>
      </c>
      <c r="AR523" t="s">
        <v>58</v>
      </c>
      <c r="AS523" t="s">
        <v>58</v>
      </c>
      <c r="AV523" t="s">
        <v>58</v>
      </c>
      <c r="AW523" t="s">
        <v>58</v>
      </c>
      <c r="AX523" t="s">
        <v>58</v>
      </c>
      <c r="AY523" t="s">
        <v>58</v>
      </c>
      <c r="AZ523" t="s">
        <v>58</v>
      </c>
      <c r="BC523" t="s">
        <v>58</v>
      </c>
      <c r="BD523" t="s">
        <v>58</v>
      </c>
      <c r="BE523" t="s">
        <v>58</v>
      </c>
      <c r="BF523" t="s">
        <v>58</v>
      </c>
      <c r="BG523" t="s">
        <v>58</v>
      </c>
    </row>
    <row r="524" spans="1:59" x14ac:dyDescent="0.3">
      <c r="A524" t="s">
        <v>58</v>
      </c>
      <c r="B524" t="s">
        <v>58</v>
      </c>
      <c r="C524" t="s">
        <v>58</v>
      </c>
      <c r="D524" t="s">
        <v>58</v>
      </c>
      <c r="E524" t="s">
        <v>58</v>
      </c>
      <c r="J524" t="s">
        <v>58</v>
      </c>
      <c r="K524" t="s">
        <v>58</v>
      </c>
      <c r="L524" t="s">
        <v>58</v>
      </c>
      <c r="M524" t="s">
        <v>58</v>
      </c>
      <c r="N524" t="s">
        <v>58</v>
      </c>
      <c r="R524" t="s">
        <v>58</v>
      </c>
      <c r="S524" t="s">
        <v>58</v>
      </c>
      <c r="T524" t="s">
        <v>58</v>
      </c>
      <c r="U524" t="s">
        <v>58</v>
      </c>
      <c r="V524" t="s">
        <v>58</v>
      </c>
      <c r="Z524" t="s">
        <v>58</v>
      </c>
      <c r="AA524" t="s">
        <v>58</v>
      </c>
      <c r="AB524" t="s">
        <v>58</v>
      </c>
      <c r="AC524" t="s">
        <v>58</v>
      </c>
      <c r="AD524" t="s">
        <v>58</v>
      </c>
      <c r="AG524" t="s">
        <v>58</v>
      </c>
      <c r="AH524" t="s">
        <v>58</v>
      </c>
      <c r="AI524" t="s">
        <v>58</v>
      </c>
      <c r="AJ524" t="s">
        <v>58</v>
      </c>
      <c r="AK524" t="s">
        <v>58</v>
      </c>
      <c r="AO524" t="s">
        <v>58</v>
      </c>
      <c r="AP524" t="s">
        <v>58</v>
      </c>
      <c r="AQ524" t="s">
        <v>58</v>
      </c>
      <c r="AR524" t="s">
        <v>58</v>
      </c>
      <c r="AS524" t="s">
        <v>58</v>
      </c>
      <c r="AV524" t="s">
        <v>58</v>
      </c>
      <c r="AW524" t="s">
        <v>58</v>
      </c>
      <c r="AX524" t="s">
        <v>58</v>
      </c>
      <c r="AY524" t="s">
        <v>58</v>
      </c>
      <c r="AZ524" t="s">
        <v>58</v>
      </c>
      <c r="BC524" t="s">
        <v>58</v>
      </c>
      <c r="BD524" t="s">
        <v>58</v>
      </c>
      <c r="BE524" t="s">
        <v>58</v>
      </c>
      <c r="BF524" t="s">
        <v>58</v>
      </c>
      <c r="BG524" t="s">
        <v>58</v>
      </c>
    </row>
    <row r="525" spans="1:59" x14ac:dyDescent="0.3">
      <c r="A525" t="s">
        <v>58</v>
      </c>
      <c r="B525" t="s">
        <v>58</v>
      </c>
      <c r="C525" t="s">
        <v>58</v>
      </c>
      <c r="D525" t="s">
        <v>58</v>
      </c>
      <c r="E525" t="s">
        <v>58</v>
      </c>
      <c r="J525" t="s">
        <v>58</v>
      </c>
      <c r="K525" t="s">
        <v>58</v>
      </c>
      <c r="L525" t="s">
        <v>58</v>
      </c>
      <c r="M525" t="s">
        <v>58</v>
      </c>
      <c r="N525" t="s">
        <v>58</v>
      </c>
      <c r="R525" t="s">
        <v>58</v>
      </c>
      <c r="S525" t="s">
        <v>58</v>
      </c>
      <c r="T525" t="s">
        <v>58</v>
      </c>
      <c r="U525" t="s">
        <v>58</v>
      </c>
      <c r="V525" t="s">
        <v>58</v>
      </c>
      <c r="Z525" t="s">
        <v>58</v>
      </c>
      <c r="AA525" t="s">
        <v>58</v>
      </c>
      <c r="AB525" t="s">
        <v>58</v>
      </c>
      <c r="AC525" t="s">
        <v>58</v>
      </c>
      <c r="AD525" t="s">
        <v>58</v>
      </c>
      <c r="AG525" t="s">
        <v>58</v>
      </c>
      <c r="AH525" t="s">
        <v>58</v>
      </c>
      <c r="AI525" t="s">
        <v>58</v>
      </c>
      <c r="AJ525" t="s">
        <v>58</v>
      </c>
      <c r="AK525" t="s">
        <v>58</v>
      </c>
      <c r="AO525" t="s">
        <v>58</v>
      </c>
      <c r="AP525" t="s">
        <v>58</v>
      </c>
      <c r="AQ525" t="s">
        <v>58</v>
      </c>
      <c r="AR525" t="s">
        <v>58</v>
      </c>
      <c r="AS525" t="s">
        <v>58</v>
      </c>
      <c r="AV525" t="s">
        <v>58</v>
      </c>
      <c r="AW525" t="s">
        <v>58</v>
      </c>
      <c r="AX525" t="s">
        <v>58</v>
      </c>
      <c r="AY525" t="s">
        <v>58</v>
      </c>
      <c r="AZ525" t="s">
        <v>58</v>
      </c>
      <c r="BC525" t="s">
        <v>58</v>
      </c>
      <c r="BD525" t="s">
        <v>58</v>
      </c>
      <c r="BE525" t="s">
        <v>58</v>
      </c>
      <c r="BF525" t="s">
        <v>58</v>
      </c>
      <c r="BG525" t="s">
        <v>58</v>
      </c>
    </row>
    <row r="526" spans="1:59" x14ac:dyDescent="0.3">
      <c r="A526" t="s">
        <v>58</v>
      </c>
      <c r="B526" t="s">
        <v>58</v>
      </c>
      <c r="C526" t="s">
        <v>58</v>
      </c>
      <c r="D526" t="s">
        <v>58</v>
      </c>
      <c r="E526" t="s">
        <v>58</v>
      </c>
      <c r="J526" t="s">
        <v>58</v>
      </c>
      <c r="K526" t="s">
        <v>58</v>
      </c>
      <c r="L526" t="s">
        <v>58</v>
      </c>
      <c r="M526" t="s">
        <v>58</v>
      </c>
      <c r="N526" t="s">
        <v>58</v>
      </c>
      <c r="R526" t="s">
        <v>58</v>
      </c>
      <c r="S526" t="s">
        <v>58</v>
      </c>
      <c r="T526" t="s">
        <v>58</v>
      </c>
      <c r="U526" t="s">
        <v>58</v>
      </c>
      <c r="V526" t="s">
        <v>58</v>
      </c>
      <c r="Z526" t="s">
        <v>58</v>
      </c>
      <c r="AA526" t="s">
        <v>58</v>
      </c>
      <c r="AB526" t="s">
        <v>58</v>
      </c>
      <c r="AC526" t="s">
        <v>58</v>
      </c>
      <c r="AD526" t="s">
        <v>58</v>
      </c>
      <c r="AG526" t="s">
        <v>58</v>
      </c>
      <c r="AH526" t="s">
        <v>58</v>
      </c>
      <c r="AI526" t="s">
        <v>58</v>
      </c>
      <c r="AJ526" t="s">
        <v>58</v>
      </c>
      <c r="AK526" t="s">
        <v>58</v>
      </c>
      <c r="AO526" t="s">
        <v>58</v>
      </c>
      <c r="AP526" t="s">
        <v>58</v>
      </c>
      <c r="AQ526" t="s">
        <v>58</v>
      </c>
      <c r="AR526" t="s">
        <v>58</v>
      </c>
      <c r="AS526" t="s">
        <v>58</v>
      </c>
      <c r="AV526" t="s">
        <v>58</v>
      </c>
      <c r="AW526" t="s">
        <v>58</v>
      </c>
      <c r="AX526" t="s">
        <v>58</v>
      </c>
      <c r="AY526" t="s">
        <v>58</v>
      </c>
      <c r="AZ526" t="s">
        <v>58</v>
      </c>
      <c r="BC526" t="s">
        <v>58</v>
      </c>
      <c r="BD526" t="s">
        <v>58</v>
      </c>
      <c r="BE526" t="s">
        <v>58</v>
      </c>
      <c r="BF526" t="s">
        <v>58</v>
      </c>
      <c r="BG526" t="s">
        <v>58</v>
      </c>
    </row>
    <row r="527" spans="1:59" x14ac:dyDescent="0.3">
      <c r="A527" t="s">
        <v>58</v>
      </c>
      <c r="B527" t="s">
        <v>58</v>
      </c>
      <c r="C527" t="s">
        <v>58</v>
      </c>
      <c r="D527" t="s">
        <v>58</v>
      </c>
      <c r="E527" t="s">
        <v>58</v>
      </c>
      <c r="J527" t="s">
        <v>58</v>
      </c>
      <c r="K527" t="s">
        <v>58</v>
      </c>
      <c r="L527" t="s">
        <v>58</v>
      </c>
      <c r="M527" t="s">
        <v>58</v>
      </c>
      <c r="N527" t="s">
        <v>58</v>
      </c>
      <c r="R527" t="s">
        <v>58</v>
      </c>
      <c r="S527" t="s">
        <v>58</v>
      </c>
      <c r="T527" t="s">
        <v>58</v>
      </c>
      <c r="U527" t="s">
        <v>58</v>
      </c>
      <c r="V527" t="s">
        <v>58</v>
      </c>
      <c r="Z527" t="s">
        <v>58</v>
      </c>
      <c r="AA527" t="s">
        <v>58</v>
      </c>
      <c r="AB527" t="s">
        <v>58</v>
      </c>
      <c r="AC527" t="s">
        <v>58</v>
      </c>
      <c r="AD527" t="s">
        <v>58</v>
      </c>
      <c r="AG527" t="s">
        <v>58</v>
      </c>
      <c r="AH527" t="s">
        <v>58</v>
      </c>
      <c r="AI527" t="s">
        <v>58</v>
      </c>
      <c r="AJ527" t="s">
        <v>58</v>
      </c>
      <c r="AK527" t="s">
        <v>58</v>
      </c>
      <c r="AO527" t="s">
        <v>58</v>
      </c>
      <c r="AP527" t="s">
        <v>58</v>
      </c>
      <c r="AQ527" t="s">
        <v>58</v>
      </c>
      <c r="AR527" t="s">
        <v>58</v>
      </c>
      <c r="AS527" t="s">
        <v>58</v>
      </c>
      <c r="AV527" t="s">
        <v>58</v>
      </c>
      <c r="AW527" t="s">
        <v>58</v>
      </c>
      <c r="AX527" t="s">
        <v>58</v>
      </c>
      <c r="AY527" t="s">
        <v>58</v>
      </c>
      <c r="AZ527" t="s">
        <v>58</v>
      </c>
      <c r="BC527" t="s">
        <v>58</v>
      </c>
      <c r="BD527" t="s">
        <v>58</v>
      </c>
      <c r="BE527" t="s">
        <v>58</v>
      </c>
      <c r="BF527" t="s">
        <v>58</v>
      </c>
      <c r="BG527" t="s">
        <v>58</v>
      </c>
    </row>
    <row r="528" spans="1:59" x14ac:dyDescent="0.3">
      <c r="A528" t="s">
        <v>58</v>
      </c>
      <c r="B528" t="s">
        <v>58</v>
      </c>
      <c r="C528" t="s">
        <v>58</v>
      </c>
      <c r="D528" t="s">
        <v>58</v>
      </c>
      <c r="E528" t="s">
        <v>58</v>
      </c>
      <c r="J528" t="s">
        <v>58</v>
      </c>
      <c r="K528" t="s">
        <v>58</v>
      </c>
      <c r="L528" t="s">
        <v>58</v>
      </c>
      <c r="M528" t="s">
        <v>58</v>
      </c>
      <c r="N528" t="s">
        <v>58</v>
      </c>
      <c r="R528" t="s">
        <v>58</v>
      </c>
      <c r="S528" t="s">
        <v>58</v>
      </c>
      <c r="T528" t="s">
        <v>58</v>
      </c>
      <c r="U528" t="s">
        <v>58</v>
      </c>
      <c r="V528" t="s">
        <v>58</v>
      </c>
      <c r="Z528" t="s">
        <v>58</v>
      </c>
      <c r="AA528" t="s">
        <v>58</v>
      </c>
      <c r="AB528" t="s">
        <v>58</v>
      </c>
      <c r="AC528" t="s">
        <v>58</v>
      </c>
      <c r="AD528" t="s">
        <v>58</v>
      </c>
      <c r="AG528" t="s">
        <v>58</v>
      </c>
      <c r="AH528" t="s">
        <v>58</v>
      </c>
      <c r="AI528" t="s">
        <v>58</v>
      </c>
      <c r="AJ528" t="s">
        <v>58</v>
      </c>
      <c r="AK528" t="s">
        <v>58</v>
      </c>
      <c r="AO528" t="s">
        <v>58</v>
      </c>
      <c r="AP528" t="s">
        <v>58</v>
      </c>
      <c r="AQ528" t="s">
        <v>58</v>
      </c>
      <c r="AR528" t="s">
        <v>58</v>
      </c>
      <c r="AS528" t="s">
        <v>58</v>
      </c>
      <c r="AV528" t="s">
        <v>58</v>
      </c>
      <c r="AW528" t="s">
        <v>58</v>
      </c>
      <c r="AX528" t="s">
        <v>58</v>
      </c>
      <c r="AY528" t="s">
        <v>58</v>
      </c>
      <c r="AZ528" t="s">
        <v>58</v>
      </c>
      <c r="BC528" t="s">
        <v>58</v>
      </c>
      <c r="BD528" t="s">
        <v>58</v>
      </c>
      <c r="BE528" t="s">
        <v>58</v>
      </c>
      <c r="BF528" t="s">
        <v>58</v>
      </c>
      <c r="BG528" t="s">
        <v>58</v>
      </c>
    </row>
    <row r="529" spans="1:59" x14ac:dyDescent="0.3">
      <c r="A529" t="s">
        <v>58</v>
      </c>
      <c r="B529" t="s">
        <v>58</v>
      </c>
      <c r="C529" t="s">
        <v>58</v>
      </c>
      <c r="D529" t="s">
        <v>58</v>
      </c>
      <c r="E529" t="s">
        <v>58</v>
      </c>
      <c r="J529" t="s">
        <v>58</v>
      </c>
      <c r="K529" t="s">
        <v>58</v>
      </c>
      <c r="L529" t="s">
        <v>58</v>
      </c>
      <c r="M529" t="s">
        <v>58</v>
      </c>
      <c r="N529" t="s">
        <v>58</v>
      </c>
      <c r="R529" t="s">
        <v>58</v>
      </c>
      <c r="S529" t="s">
        <v>58</v>
      </c>
      <c r="T529" t="s">
        <v>58</v>
      </c>
      <c r="U529" t="s">
        <v>58</v>
      </c>
      <c r="V529" t="s">
        <v>58</v>
      </c>
      <c r="Z529" t="s">
        <v>58</v>
      </c>
      <c r="AA529" t="s">
        <v>58</v>
      </c>
      <c r="AB529" t="s">
        <v>58</v>
      </c>
      <c r="AC529" t="s">
        <v>58</v>
      </c>
      <c r="AD529" t="s">
        <v>58</v>
      </c>
      <c r="AG529" t="s">
        <v>58</v>
      </c>
      <c r="AH529" t="s">
        <v>58</v>
      </c>
      <c r="AI529" t="s">
        <v>58</v>
      </c>
      <c r="AJ529" t="s">
        <v>58</v>
      </c>
      <c r="AK529" t="s">
        <v>58</v>
      </c>
      <c r="AO529" t="s">
        <v>58</v>
      </c>
      <c r="AP529" t="s">
        <v>58</v>
      </c>
      <c r="AQ529" t="s">
        <v>58</v>
      </c>
      <c r="AR529" t="s">
        <v>58</v>
      </c>
      <c r="AS529" t="s">
        <v>58</v>
      </c>
      <c r="AV529" t="s">
        <v>58</v>
      </c>
      <c r="AW529" t="s">
        <v>58</v>
      </c>
      <c r="AX529" t="s">
        <v>58</v>
      </c>
      <c r="AY529" t="s">
        <v>58</v>
      </c>
      <c r="AZ529" t="s">
        <v>58</v>
      </c>
      <c r="BC529" t="s">
        <v>58</v>
      </c>
      <c r="BD529" t="s">
        <v>58</v>
      </c>
      <c r="BE529" t="s">
        <v>58</v>
      </c>
      <c r="BF529" t="s">
        <v>58</v>
      </c>
      <c r="BG529" t="s">
        <v>58</v>
      </c>
    </row>
    <row r="530" spans="1:59" x14ac:dyDescent="0.3">
      <c r="A530" t="s">
        <v>58</v>
      </c>
      <c r="B530" t="s">
        <v>58</v>
      </c>
      <c r="C530" t="s">
        <v>58</v>
      </c>
      <c r="D530" t="s">
        <v>58</v>
      </c>
      <c r="E530" t="s">
        <v>58</v>
      </c>
      <c r="J530" t="s">
        <v>58</v>
      </c>
      <c r="K530" t="s">
        <v>58</v>
      </c>
      <c r="L530" t="s">
        <v>58</v>
      </c>
      <c r="M530" t="s">
        <v>58</v>
      </c>
      <c r="N530" t="s">
        <v>58</v>
      </c>
      <c r="R530" t="s">
        <v>58</v>
      </c>
      <c r="S530" t="s">
        <v>58</v>
      </c>
      <c r="T530" t="s">
        <v>58</v>
      </c>
      <c r="U530" t="s">
        <v>58</v>
      </c>
      <c r="V530" t="s">
        <v>58</v>
      </c>
      <c r="Z530" t="s">
        <v>58</v>
      </c>
      <c r="AA530" t="s">
        <v>58</v>
      </c>
      <c r="AB530" t="s">
        <v>58</v>
      </c>
      <c r="AC530" t="s">
        <v>58</v>
      </c>
      <c r="AD530" t="s">
        <v>58</v>
      </c>
      <c r="AG530" t="s">
        <v>58</v>
      </c>
      <c r="AH530" t="s">
        <v>58</v>
      </c>
      <c r="AI530" t="s">
        <v>58</v>
      </c>
      <c r="AJ530" t="s">
        <v>58</v>
      </c>
      <c r="AK530" t="s">
        <v>58</v>
      </c>
      <c r="AO530" t="s">
        <v>58</v>
      </c>
      <c r="AP530" t="s">
        <v>58</v>
      </c>
      <c r="AQ530" t="s">
        <v>58</v>
      </c>
      <c r="AR530" t="s">
        <v>58</v>
      </c>
      <c r="AS530" t="s">
        <v>58</v>
      </c>
      <c r="AV530" t="s">
        <v>58</v>
      </c>
      <c r="AW530" t="s">
        <v>58</v>
      </c>
      <c r="AX530" t="s">
        <v>58</v>
      </c>
      <c r="AY530" t="s">
        <v>58</v>
      </c>
      <c r="AZ530" t="s">
        <v>58</v>
      </c>
      <c r="BC530" t="s">
        <v>58</v>
      </c>
      <c r="BD530" t="s">
        <v>58</v>
      </c>
      <c r="BE530" t="s">
        <v>58</v>
      </c>
      <c r="BF530" t="s">
        <v>58</v>
      </c>
      <c r="BG530" t="s">
        <v>58</v>
      </c>
    </row>
    <row r="531" spans="1:59" x14ac:dyDescent="0.3">
      <c r="A531" t="s">
        <v>58</v>
      </c>
      <c r="B531" t="s">
        <v>58</v>
      </c>
      <c r="C531" t="s">
        <v>58</v>
      </c>
      <c r="D531" t="s">
        <v>58</v>
      </c>
      <c r="E531" t="s">
        <v>58</v>
      </c>
      <c r="J531" t="s">
        <v>58</v>
      </c>
      <c r="K531" t="s">
        <v>58</v>
      </c>
      <c r="L531" t="s">
        <v>58</v>
      </c>
      <c r="M531" t="s">
        <v>58</v>
      </c>
      <c r="N531" t="s">
        <v>58</v>
      </c>
      <c r="R531" t="s">
        <v>58</v>
      </c>
      <c r="S531" t="s">
        <v>58</v>
      </c>
      <c r="T531" t="s">
        <v>58</v>
      </c>
      <c r="U531" t="s">
        <v>58</v>
      </c>
      <c r="V531" t="s">
        <v>58</v>
      </c>
      <c r="Z531" t="s">
        <v>58</v>
      </c>
      <c r="AA531" t="s">
        <v>58</v>
      </c>
      <c r="AB531" t="s">
        <v>58</v>
      </c>
      <c r="AC531" t="s">
        <v>58</v>
      </c>
      <c r="AD531" t="s">
        <v>58</v>
      </c>
      <c r="AG531" t="s">
        <v>58</v>
      </c>
      <c r="AH531" t="s">
        <v>58</v>
      </c>
      <c r="AI531" t="s">
        <v>58</v>
      </c>
      <c r="AJ531" t="s">
        <v>58</v>
      </c>
      <c r="AK531" t="s">
        <v>58</v>
      </c>
      <c r="AO531" t="s">
        <v>58</v>
      </c>
      <c r="AP531" t="s">
        <v>58</v>
      </c>
      <c r="AQ531" t="s">
        <v>58</v>
      </c>
      <c r="AR531" t="s">
        <v>58</v>
      </c>
      <c r="AS531" t="s">
        <v>58</v>
      </c>
      <c r="AV531" t="s">
        <v>58</v>
      </c>
      <c r="AW531" t="s">
        <v>58</v>
      </c>
      <c r="AX531" t="s">
        <v>58</v>
      </c>
      <c r="AY531" t="s">
        <v>58</v>
      </c>
      <c r="AZ531" t="s">
        <v>58</v>
      </c>
      <c r="BC531" t="s">
        <v>58</v>
      </c>
      <c r="BD531" t="s">
        <v>58</v>
      </c>
      <c r="BE531" t="s">
        <v>58</v>
      </c>
      <c r="BF531" t="s">
        <v>58</v>
      </c>
      <c r="BG531" t="s">
        <v>58</v>
      </c>
    </row>
    <row r="532" spans="1:59" x14ac:dyDescent="0.3">
      <c r="A532" t="s">
        <v>58</v>
      </c>
      <c r="B532" t="s">
        <v>58</v>
      </c>
      <c r="C532" t="s">
        <v>58</v>
      </c>
      <c r="D532" t="s">
        <v>58</v>
      </c>
      <c r="E532" t="s">
        <v>58</v>
      </c>
      <c r="J532" t="s">
        <v>58</v>
      </c>
      <c r="K532" t="s">
        <v>58</v>
      </c>
      <c r="L532" t="s">
        <v>58</v>
      </c>
      <c r="M532" t="s">
        <v>58</v>
      </c>
      <c r="N532" t="s">
        <v>58</v>
      </c>
      <c r="R532" t="s">
        <v>58</v>
      </c>
      <c r="S532" t="s">
        <v>58</v>
      </c>
      <c r="T532" t="s">
        <v>58</v>
      </c>
      <c r="U532" t="s">
        <v>58</v>
      </c>
      <c r="V532" t="s">
        <v>58</v>
      </c>
      <c r="Z532" t="s">
        <v>58</v>
      </c>
      <c r="AA532" t="s">
        <v>58</v>
      </c>
      <c r="AB532" t="s">
        <v>58</v>
      </c>
      <c r="AC532" t="s">
        <v>58</v>
      </c>
      <c r="AD532" t="s">
        <v>58</v>
      </c>
      <c r="AG532" t="s">
        <v>58</v>
      </c>
      <c r="AH532" t="s">
        <v>58</v>
      </c>
      <c r="AI532" t="s">
        <v>58</v>
      </c>
      <c r="AJ532" t="s">
        <v>58</v>
      </c>
      <c r="AK532" t="s">
        <v>58</v>
      </c>
      <c r="AO532" t="s">
        <v>58</v>
      </c>
      <c r="AP532" t="s">
        <v>58</v>
      </c>
      <c r="AQ532" t="s">
        <v>58</v>
      </c>
      <c r="AR532" t="s">
        <v>58</v>
      </c>
      <c r="AS532" t="s">
        <v>58</v>
      </c>
      <c r="AV532" t="s">
        <v>58</v>
      </c>
      <c r="AW532" t="s">
        <v>58</v>
      </c>
      <c r="AX532" t="s">
        <v>58</v>
      </c>
      <c r="AY532" t="s">
        <v>58</v>
      </c>
      <c r="AZ532" t="s">
        <v>58</v>
      </c>
      <c r="BC532" t="s">
        <v>58</v>
      </c>
      <c r="BD532" t="s">
        <v>58</v>
      </c>
      <c r="BE532" t="s">
        <v>58</v>
      </c>
      <c r="BF532" t="s">
        <v>58</v>
      </c>
      <c r="BG532" t="s">
        <v>58</v>
      </c>
    </row>
    <row r="533" spans="1:59" x14ac:dyDescent="0.3">
      <c r="A533" t="s">
        <v>58</v>
      </c>
      <c r="B533" t="s">
        <v>58</v>
      </c>
      <c r="C533" t="s">
        <v>58</v>
      </c>
      <c r="D533" t="s">
        <v>58</v>
      </c>
      <c r="E533" t="s">
        <v>58</v>
      </c>
      <c r="J533" t="s">
        <v>58</v>
      </c>
      <c r="K533" t="s">
        <v>58</v>
      </c>
      <c r="L533" t="s">
        <v>58</v>
      </c>
      <c r="M533" t="s">
        <v>58</v>
      </c>
      <c r="N533" t="s">
        <v>58</v>
      </c>
      <c r="R533" t="s">
        <v>58</v>
      </c>
      <c r="S533" t="s">
        <v>58</v>
      </c>
      <c r="T533" t="s">
        <v>58</v>
      </c>
      <c r="U533" t="s">
        <v>58</v>
      </c>
      <c r="V533" t="s">
        <v>58</v>
      </c>
      <c r="Z533" t="s">
        <v>58</v>
      </c>
      <c r="AA533" t="s">
        <v>58</v>
      </c>
      <c r="AB533" t="s">
        <v>58</v>
      </c>
      <c r="AC533" t="s">
        <v>58</v>
      </c>
      <c r="AD533" t="s">
        <v>58</v>
      </c>
      <c r="AG533" t="s">
        <v>58</v>
      </c>
      <c r="AH533" t="s">
        <v>58</v>
      </c>
      <c r="AI533" t="s">
        <v>58</v>
      </c>
      <c r="AJ533" t="s">
        <v>58</v>
      </c>
      <c r="AK533" t="s">
        <v>58</v>
      </c>
      <c r="AO533" t="s">
        <v>58</v>
      </c>
      <c r="AP533" t="s">
        <v>58</v>
      </c>
      <c r="AQ533" t="s">
        <v>58</v>
      </c>
      <c r="AR533" t="s">
        <v>58</v>
      </c>
      <c r="AS533" t="s">
        <v>58</v>
      </c>
      <c r="AV533" t="s">
        <v>58</v>
      </c>
      <c r="AW533" t="s">
        <v>58</v>
      </c>
      <c r="AX533" t="s">
        <v>58</v>
      </c>
      <c r="AY533" t="s">
        <v>58</v>
      </c>
      <c r="AZ533" t="s">
        <v>58</v>
      </c>
      <c r="BC533" t="s">
        <v>58</v>
      </c>
      <c r="BD533" t="s">
        <v>58</v>
      </c>
      <c r="BE533" t="s">
        <v>58</v>
      </c>
      <c r="BF533" t="s">
        <v>58</v>
      </c>
      <c r="BG533" t="s">
        <v>58</v>
      </c>
    </row>
    <row r="534" spans="1:59" x14ac:dyDescent="0.3">
      <c r="A534" t="s">
        <v>58</v>
      </c>
      <c r="B534" t="s">
        <v>58</v>
      </c>
      <c r="C534" t="s">
        <v>58</v>
      </c>
      <c r="D534" t="s">
        <v>58</v>
      </c>
      <c r="E534" t="s">
        <v>58</v>
      </c>
      <c r="J534" t="s">
        <v>58</v>
      </c>
      <c r="K534" t="s">
        <v>58</v>
      </c>
      <c r="L534" t="s">
        <v>58</v>
      </c>
      <c r="M534" t="s">
        <v>58</v>
      </c>
      <c r="N534" t="s">
        <v>58</v>
      </c>
      <c r="R534" t="s">
        <v>58</v>
      </c>
      <c r="S534" t="s">
        <v>58</v>
      </c>
      <c r="T534" t="s">
        <v>58</v>
      </c>
      <c r="U534" t="s">
        <v>58</v>
      </c>
      <c r="V534" t="s">
        <v>58</v>
      </c>
      <c r="Z534" t="s">
        <v>58</v>
      </c>
      <c r="AA534" t="s">
        <v>58</v>
      </c>
      <c r="AB534" t="s">
        <v>58</v>
      </c>
      <c r="AC534" t="s">
        <v>58</v>
      </c>
      <c r="AD534" t="s">
        <v>58</v>
      </c>
      <c r="AG534" t="s">
        <v>58</v>
      </c>
      <c r="AH534" t="s">
        <v>58</v>
      </c>
      <c r="AI534" t="s">
        <v>58</v>
      </c>
      <c r="AJ534" t="s">
        <v>58</v>
      </c>
      <c r="AK534" t="s">
        <v>58</v>
      </c>
      <c r="AO534" t="s">
        <v>58</v>
      </c>
      <c r="AP534" t="s">
        <v>58</v>
      </c>
      <c r="AQ534" t="s">
        <v>58</v>
      </c>
      <c r="AR534" t="s">
        <v>58</v>
      </c>
      <c r="AS534" t="s">
        <v>58</v>
      </c>
      <c r="AV534" t="s">
        <v>58</v>
      </c>
      <c r="AW534" t="s">
        <v>58</v>
      </c>
      <c r="AX534" t="s">
        <v>58</v>
      </c>
      <c r="AY534" t="s">
        <v>58</v>
      </c>
      <c r="AZ534" t="s">
        <v>58</v>
      </c>
      <c r="BC534" t="s">
        <v>58</v>
      </c>
      <c r="BD534" t="s">
        <v>58</v>
      </c>
      <c r="BE534" t="s">
        <v>58</v>
      </c>
      <c r="BF534" t="s">
        <v>58</v>
      </c>
      <c r="BG534" t="s">
        <v>58</v>
      </c>
    </row>
    <row r="535" spans="1:59" x14ac:dyDescent="0.3">
      <c r="A535" t="s">
        <v>58</v>
      </c>
      <c r="B535" t="s">
        <v>58</v>
      </c>
      <c r="C535" t="s">
        <v>58</v>
      </c>
      <c r="D535" t="s">
        <v>58</v>
      </c>
      <c r="E535" t="s">
        <v>58</v>
      </c>
      <c r="J535" t="s">
        <v>58</v>
      </c>
      <c r="K535" t="s">
        <v>58</v>
      </c>
      <c r="L535" t="s">
        <v>58</v>
      </c>
      <c r="M535" t="s">
        <v>58</v>
      </c>
      <c r="N535" t="s">
        <v>58</v>
      </c>
      <c r="R535" t="s">
        <v>58</v>
      </c>
      <c r="S535" t="s">
        <v>58</v>
      </c>
      <c r="T535" t="s">
        <v>58</v>
      </c>
      <c r="U535" t="s">
        <v>58</v>
      </c>
      <c r="V535" t="s">
        <v>58</v>
      </c>
      <c r="Z535" t="s">
        <v>58</v>
      </c>
      <c r="AA535" t="s">
        <v>58</v>
      </c>
      <c r="AB535" t="s">
        <v>58</v>
      </c>
      <c r="AC535" t="s">
        <v>58</v>
      </c>
      <c r="AD535" t="s">
        <v>58</v>
      </c>
      <c r="AG535" t="s">
        <v>58</v>
      </c>
      <c r="AH535" t="s">
        <v>58</v>
      </c>
      <c r="AI535" t="s">
        <v>58</v>
      </c>
      <c r="AJ535" t="s">
        <v>58</v>
      </c>
      <c r="AK535" t="s">
        <v>58</v>
      </c>
      <c r="AO535" t="s">
        <v>58</v>
      </c>
      <c r="AP535" t="s">
        <v>58</v>
      </c>
      <c r="AQ535" t="s">
        <v>58</v>
      </c>
      <c r="AR535" t="s">
        <v>58</v>
      </c>
      <c r="AS535" t="s">
        <v>58</v>
      </c>
      <c r="AV535" t="s">
        <v>58</v>
      </c>
      <c r="AW535" t="s">
        <v>58</v>
      </c>
      <c r="AX535" t="s">
        <v>58</v>
      </c>
      <c r="AY535" t="s">
        <v>58</v>
      </c>
      <c r="AZ535" t="s">
        <v>58</v>
      </c>
      <c r="BC535" t="s">
        <v>58</v>
      </c>
      <c r="BD535" t="s">
        <v>58</v>
      </c>
      <c r="BE535" t="s">
        <v>58</v>
      </c>
      <c r="BF535" t="s">
        <v>58</v>
      </c>
      <c r="BG535" t="s">
        <v>58</v>
      </c>
    </row>
    <row r="536" spans="1:59" x14ac:dyDescent="0.3">
      <c r="A536" t="s">
        <v>58</v>
      </c>
      <c r="B536" t="s">
        <v>58</v>
      </c>
      <c r="C536" t="s">
        <v>58</v>
      </c>
      <c r="D536" t="s">
        <v>58</v>
      </c>
      <c r="E536" t="s">
        <v>58</v>
      </c>
      <c r="J536" t="s">
        <v>58</v>
      </c>
      <c r="K536" t="s">
        <v>58</v>
      </c>
      <c r="L536" t="s">
        <v>58</v>
      </c>
      <c r="M536" t="s">
        <v>58</v>
      </c>
      <c r="N536" t="s">
        <v>58</v>
      </c>
      <c r="R536" t="s">
        <v>58</v>
      </c>
      <c r="S536" t="s">
        <v>58</v>
      </c>
      <c r="T536" t="s">
        <v>58</v>
      </c>
      <c r="U536" t="s">
        <v>58</v>
      </c>
      <c r="V536" t="s">
        <v>58</v>
      </c>
      <c r="Z536" t="s">
        <v>58</v>
      </c>
      <c r="AA536" t="s">
        <v>58</v>
      </c>
      <c r="AB536" t="s">
        <v>58</v>
      </c>
      <c r="AC536" t="s">
        <v>58</v>
      </c>
      <c r="AD536" t="s">
        <v>58</v>
      </c>
      <c r="AG536" t="s">
        <v>58</v>
      </c>
      <c r="AH536" t="s">
        <v>58</v>
      </c>
      <c r="AI536" t="s">
        <v>58</v>
      </c>
      <c r="AJ536" t="s">
        <v>58</v>
      </c>
      <c r="AK536" t="s">
        <v>58</v>
      </c>
      <c r="AO536" t="s">
        <v>58</v>
      </c>
      <c r="AP536" t="s">
        <v>58</v>
      </c>
      <c r="AQ536" t="s">
        <v>58</v>
      </c>
      <c r="AR536" t="s">
        <v>58</v>
      </c>
      <c r="AS536" t="s">
        <v>58</v>
      </c>
      <c r="AV536" t="s">
        <v>58</v>
      </c>
      <c r="AW536" t="s">
        <v>58</v>
      </c>
      <c r="AX536" t="s">
        <v>58</v>
      </c>
      <c r="AY536" t="s">
        <v>58</v>
      </c>
      <c r="AZ536" t="s">
        <v>58</v>
      </c>
      <c r="BC536" t="s">
        <v>58</v>
      </c>
      <c r="BD536" t="s">
        <v>58</v>
      </c>
      <c r="BE536" t="s">
        <v>58</v>
      </c>
      <c r="BF536" t="s">
        <v>58</v>
      </c>
      <c r="BG536" t="s">
        <v>58</v>
      </c>
    </row>
    <row r="537" spans="1:59" x14ac:dyDescent="0.3">
      <c r="A537" t="s">
        <v>58</v>
      </c>
      <c r="B537" t="s">
        <v>58</v>
      </c>
      <c r="C537" t="s">
        <v>58</v>
      </c>
      <c r="D537" t="s">
        <v>58</v>
      </c>
      <c r="E537" t="s">
        <v>58</v>
      </c>
      <c r="J537" t="s">
        <v>58</v>
      </c>
      <c r="K537" t="s">
        <v>58</v>
      </c>
      <c r="L537" t="s">
        <v>58</v>
      </c>
      <c r="M537" t="s">
        <v>58</v>
      </c>
      <c r="N537" t="s">
        <v>58</v>
      </c>
      <c r="R537" t="s">
        <v>58</v>
      </c>
      <c r="S537" t="s">
        <v>58</v>
      </c>
      <c r="T537" t="s">
        <v>58</v>
      </c>
      <c r="U537" t="s">
        <v>58</v>
      </c>
      <c r="V537" t="s">
        <v>58</v>
      </c>
      <c r="Z537" t="s">
        <v>58</v>
      </c>
      <c r="AA537" t="s">
        <v>58</v>
      </c>
      <c r="AB537" t="s">
        <v>58</v>
      </c>
      <c r="AC537" t="s">
        <v>58</v>
      </c>
      <c r="AD537" t="s">
        <v>58</v>
      </c>
      <c r="AG537" t="s">
        <v>58</v>
      </c>
      <c r="AH537" t="s">
        <v>58</v>
      </c>
      <c r="AI537" t="s">
        <v>58</v>
      </c>
      <c r="AJ537" t="s">
        <v>58</v>
      </c>
      <c r="AK537" t="s">
        <v>58</v>
      </c>
      <c r="AO537" t="s">
        <v>58</v>
      </c>
      <c r="AP537" t="s">
        <v>58</v>
      </c>
      <c r="AQ537" t="s">
        <v>58</v>
      </c>
      <c r="AR537" t="s">
        <v>58</v>
      </c>
      <c r="AS537" t="s">
        <v>58</v>
      </c>
      <c r="AV537" t="s">
        <v>58</v>
      </c>
      <c r="AW537" t="s">
        <v>58</v>
      </c>
      <c r="AX537" t="s">
        <v>58</v>
      </c>
      <c r="AY537" t="s">
        <v>58</v>
      </c>
      <c r="AZ537" t="s">
        <v>58</v>
      </c>
      <c r="BC537" t="s">
        <v>58</v>
      </c>
      <c r="BD537" t="s">
        <v>58</v>
      </c>
      <c r="BE537" t="s">
        <v>58</v>
      </c>
      <c r="BF537" t="s">
        <v>58</v>
      </c>
      <c r="BG537" t="s">
        <v>58</v>
      </c>
    </row>
    <row r="538" spans="1:59" x14ac:dyDescent="0.3">
      <c r="A538" t="s">
        <v>58</v>
      </c>
      <c r="B538" t="s">
        <v>58</v>
      </c>
      <c r="C538" t="s">
        <v>58</v>
      </c>
      <c r="D538" t="s">
        <v>58</v>
      </c>
      <c r="E538" t="s">
        <v>58</v>
      </c>
      <c r="J538" t="s">
        <v>58</v>
      </c>
      <c r="K538" t="s">
        <v>58</v>
      </c>
      <c r="L538" t="s">
        <v>58</v>
      </c>
      <c r="M538" t="s">
        <v>58</v>
      </c>
      <c r="N538" t="s">
        <v>58</v>
      </c>
      <c r="R538" t="s">
        <v>58</v>
      </c>
      <c r="S538" t="s">
        <v>58</v>
      </c>
      <c r="T538" t="s">
        <v>58</v>
      </c>
      <c r="U538" t="s">
        <v>58</v>
      </c>
      <c r="V538" t="s">
        <v>58</v>
      </c>
      <c r="Z538" t="s">
        <v>58</v>
      </c>
      <c r="AA538" t="s">
        <v>58</v>
      </c>
      <c r="AB538" t="s">
        <v>58</v>
      </c>
      <c r="AC538" t="s">
        <v>58</v>
      </c>
      <c r="AD538" t="s">
        <v>58</v>
      </c>
      <c r="AG538" t="s">
        <v>58</v>
      </c>
      <c r="AH538" t="s">
        <v>58</v>
      </c>
      <c r="AI538" t="s">
        <v>58</v>
      </c>
      <c r="AJ538" t="s">
        <v>58</v>
      </c>
      <c r="AK538" t="s">
        <v>58</v>
      </c>
      <c r="AO538" t="s">
        <v>58</v>
      </c>
      <c r="AP538" t="s">
        <v>58</v>
      </c>
      <c r="AQ538" t="s">
        <v>58</v>
      </c>
      <c r="AR538" t="s">
        <v>58</v>
      </c>
      <c r="AS538" t="s">
        <v>58</v>
      </c>
      <c r="AV538" t="s">
        <v>58</v>
      </c>
      <c r="AW538" t="s">
        <v>58</v>
      </c>
      <c r="AX538" t="s">
        <v>58</v>
      </c>
      <c r="AY538" t="s">
        <v>58</v>
      </c>
      <c r="AZ538" t="s">
        <v>58</v>
      </c>
      <c r="BC538" t="s">
        <v>58</v>
      </c>
      <c r="BD538" t="s">
        <v>58</v>
      </c>
      <c r="BE538" t="s">
        <v>58</v>
      </c>
      <c r="BF538" t="s">
        <v>58</v>
      </c>
      <c r="BG538" t="s">
        <v>58</v>
      </c>
    </row>
    <row r="539" spans="1:59" x14ac:dyDescent="0.3">
      <c r="A539" t="s">
        <v>58</v>
      </c>
      <c r="B539" t="s">
        <v>58</v>
      </c>
      <c r="C539" t="s">
        <v>58</v>
      </c>
      <c r="D539" t="s">
        <v>58</v>
      </c>
      <c r="E539" t="s">
        <v>58</v>
      </c>
      <c r="J539" t="s">
        <v>58</v>
      </c>
      <c r="K539" t="s">
        <v>58</v>
      </c>
      <c r="L539" t="s">
        <v>58</v>
      </c>
      <c r="M539" t="s">
        <v>58</v>
      </c>
      <c r="N539" t="s">
        <v>58</v>
      </c>
      <c r="R539" t="s">
        <v>58</v>
      </c>
      <c r="S539" t="s">
        <v>58</v>
      </c>
      <c r="T539" t="s">
        <v>58</v>
      </c>
      <c r="U539" t="s">
        <v>58</v>
      </c>
      <c r="V539" t="s">
        <v>58</v>
      </c>
      <c r="Z539" t="s">
        <v>58</v>
      </c>
      <c r="AA539" t="s">
        <v>58</v>
      </c>
      <c r="AB539" t="s">
        <v>58</v>
      </c>
      <c r="AC539" t="s">
        <v>58</v>
      </c>
      <c r="AD539" t="s">
        <v>58</v>
      </c>
      <c r="AG539" t="s">
        <v>58</v>
      </c>
      <c r="AH539" t="s">
        <v>58</v>
      </c>
      <c r="AI539" t="s">
        <v>58</v>
      </c>
      <c r="AJ539" t="s">
        <v>58</v>
      </c>
      <c r="AK539" t="s">
        <v>58</v>
      </c>
      <c r="AO539" t="s">
        <v>58</v>
      </c>
      <c r="AP539" t="s">
        <v>58</v>
      </c>
      <c r="AQ539" t="s">
        <v>58</v>
      </c>
      <c r="AR539" t="s">
        <v>58</v>
      </c>
      <c r="AS539" t="s">
        <v>58</v>
      </c>
      <c r="AV539" t="s">
        <v>58</v>
      </c>
      <c r="AW539" t="s">
        <v>58</v>
      </c>
      <c r="AX539" t="s">
        <v>58</v>
      </c>
      <c r="AY539" t="s">
        <v>58</v>
      </c>
      <c r="AZ539" t="s">
        <v>58</v>
      </c>
      <c r="BC539" t="s">
        <v>58</v>
      </c>
      <c r="BD539" t="s">
        <v>58</v>
      </c>
      <c r="BE539" t="s">
        <v>58</v>
      </c>
      <c r="BF539" t="s">
        <v>58</v>
      </c>
      <c r="BG539" t="s">
        <v>58</v>
      </c>
    </row>
    <row r="540" spans="1:59" x14ac:dyDescent="0.3">
      <c r="A540" t="s">
        <v>58</v>
      </c>
      <c r="B540" t="s">
        <v>58</v>
      </c>
      <c r="C540" t="s">
        <v>58</v>
      </c>
      <c r="D540" t="s">
        <v>58</v>
      </c>
      <c r="E540" t="s">
        <v>58</v>
      </c>
      <c r="J540" t="s">
        <v>58</v>
      </c>
      <c r="K540" t="s">
        <v>58</v>
      </c>
      <c r="L540" t="s">
        <v>58</v>
      </c>
      <c r="M540" t="s">
        <v>58</v>
      </c>
      <c r="N540" t="s">
        <v>58</v>
      </c>
      <c r="R540" t="s">
        <v>58</v>
      </c>
      <c r="S540" t="s">
        <v>58</v>
      </c>
      <c r="T540" t="s">
        <v>58</v>
      </c>
      <c r="U540" t="s">
        <v>58</v>
      </c>
      <c r="V540" t="s">
        <v>58</v>
      </c>
      <c r="Z540" t="s">
        <v>58</v>
      </c>
      <c r="AA540" t="s">
        <v>58</v>
      </c>
      <c r="AB540" t="s">
        <v>58</v>
      </c>
      <c r="AC540" t="s">
        <v>58</v>
      </c>
      <c r="AD540" t="s">
        <v>58</v>
      </c>
      <c r="AG540" t="s">
        <v>58</v>
      </c>
      <c r="AH540" t="s">
        <v>58</v>
      </c>
      <c r="AI540" t="s">
        <v>58</v>
      </c>
      <c r="AJ540" t="s">
        <v>58</v>
      </c>
      <c r="AK540" t="s">
        <v>58</v>
      </c>
      <c r="AO540" t="s">
        <v>58</v>
      </c>
      <c r="AP540" t="s">
        <v>58</v>
      </c>
      <c r="AQ540" t="s">
        <v>58</v>
      </c>
      <c r="AR540" t="s">
        <v>58</v>
      </c>
      <c r="AS540" t="s">
        <v>58</v>
      </c>
      <c r="AV540" t="s">
        <v>58</v>
      </c>
      <c r="AW540" t="s">
        <v>58</v>
      </c>
      <c r="AX540" t="s">
        <v>58</v>
      </c>
      <c r="AY540" t="s">
        <v>58</v>
      </c>
      <c r="AZ540" t="s">
        <v>58</v>
      </c>
      <c r="BC540" t="s">
        <v>58</v>
      </c>
      <c r="BD540" t="s">
        <v>58</v>
      </c>
      <c r="BE540" t="s">
        <v>58</v>
      </c>
      <c r="BF540" t="s">
        <v>58</v>
      </c>
      <c r="BG540" t="s">
        <v>58</v>
      </c>
    </row>
    <row r="541" spans="1:59" x14ac:dyDescent="0.3">
      <c r="A541" t="s">
        <v>58</v>
      </c>
      <c r="B541" t="s">
        <v>58</v>
      </c>
      <c r="C541" t="s">
        <v>58</v>
      </c>
      <c r="D541" t="s">
        <v>58</v>
      </c>
      <c r="E541" t="s">
        <v>58</v>
      </c>
      <c r="J541" t="s">
        <v>58</v>
      </c>
      <c r="K541" t="s">
        <v>58</v>
      </c>
      <c r="L541" t="s">
        <v>58</v>
      </c>
      <c r="M541" t="s">
        <v>58</v>
      </c>
      <c r="N541" t="s">
        <v>58</v>
      </c>
      <c r="R541" t="s">
        <v>58</v>
      </c>
      <c r="S541" t="s">
        <v>58</v>
      </c>
      <c r="T541" t="s">
        <v>58</v>
      </c>
      <c r="U541" t="s">
        <v>58</v>
      </c>
      <c r="V541" t="s">
        <v>58</v>
      </c>
      <c r="Z541" t="s">
        <v>58</v>
      </c>
      <c r="AA541" t="s">
        <v>58</v>
      </c>
      <c r="AB541" t="s">
        <v>58</v>
      </c>
      <c r="AC541" t="s">
        <v>58</v>
      </c>
      <c r="AD541" t="s">
        <v>58</v>
      </c>
      <c r="AG541" t="s">
        <v>58</v>
      </c>
      <c r="AH541" t="s">
        <v>58</v>
      </c>
      <c r="AI541" t="s">
        <v>58</v>
      </c>
      <c r="AJ541" t="s">
        <v>58</v>
      </c>
      <c r="AK541" t="s">
        <v>58</v>
      </c>
      <c r="AO541" t="s">
        <v>58</v>
      </c>
      <c r="AP541" t="s">
        <v>58</v>
      </c>
      <c r="AQ541" t="s">
        <v>58</v>
      </c>
      <c r="AR541" t="s">
        <v>58</v>
      </c>
      <c r="AS541" t="s">
        <v>58</v>
      </c>
      <c r="AV541" t="s">
        <v>58</v>
      </c>
      <c r="AW541" t="s">
        <v>58</v>
      </c>
      <c r="AX541" t="s">
        <v>58</v>
      </c>
      <c r="AY541" t="s">
        <v>58</v>
      </c>
      <c r="AZ541" t="s">
        <v>58</v>
      </c>
      <c r="BC541" t="s">
        <v>58</v>
      </c>
      <c r="BD541" t="s">
        <v>58</v>
      </c>
      <c r="BE541" t="s">
        <v>58</v>
      </c>
      <c r="BF541" t="s">
        <v>58</v>
      </c>
      <c r="BG541" t="s">
        <v>58</v>
      </c>
    </row>
    <row r="542" spans="1:59" x14ac:dyDescent="0.3">
      <c r="A542" t="s">
        <v>58</v>
      </c>
      <c r="B542" t="s">
        <v>58</v>
      </c>
      <c r="C542" t="s">
        <v>58</v>
      </c>
      <c r="D542" t="s">
        <v>58</v>
      </c>
      <c r="E542" t="s">
        <v>58</v>
      </c>
      <c r="J542" t="s">
        <v>58</v>
      </c>
      <c r="K542" t="s">
        <v>58</v>
      </c>
      <c r="L542" t="s">
        <v>58</v>
      </c>
      <c r="M542" t="s">
        <v>58</v>
      </c>
      <c r="N542" t="s">
        <v>58</v>
      </c>
      <c r="R542" t="s">
        <v>58</v>
      </c>
      <c r="S542" t="s">
        <v>58</v>
      </c>
      <c r="T542" t="s">
        <v>58</v>
      </c>
      <c r="U542" t="s">
        <v>58</v>
      </c>
      <c r="V542" t="s">
        <v>58</v>
      </c>
      <c r="Z542" t="s">
        <v>58</v>
      </c>
      <c r="AA542" t="s">
        <v>58</v>
      </c>
      <c r="AB542" t="s">
        <v>58</v>
      </c>
      <c r="AC542" t="s">
        <v>58</v>
      </c>
      <c r="AD542" t="s">
        <v>58</v>
      </c>
      <c r="AG542" t="s">
        <v>58</v>
      </c>
      <c r="AH542" t="s">
        <v>58</v>
      </c>
      <c r="AI542" t="s">
        <v>58</v>
      </c>
      <c r="AJ542" t="s">
        <v>58</v>
      </c>
      <c r="AK542" t="s">
        <v>58</v>
      </c>
      <c r="AO542" t="s">
        <v>58</v>
      </c>
      <c r="AP542" t="s">
        <v>58</v>
      </c>
      <c r="AQ542" t="s">
        <v>58</v>
      </c>
      <c r="AR542" t="s">
        <v>58</v>
      </c>
      <c r="AS542" t="s">
        <v>58</v>
      </c>
      <c r="AV542" t="s">
        <v>58</v>
      </c>
      <c r="AW542" t="s">
        <v>58</v>
      </c>
      <c r="AX542" t="s">
        <v>58</v>
      </c>
      <c r="AY542" t="s">
        <v>58</v>
      </c>
      <c r="AZ542" t="s">
        <v>58</v>
      </c>
      <c r="BC542" t="s">
        <v>58</v>
      </c>
      <c r="BD542" t="s">
        <v>58</v>
      </c>
      <c r="BE542" t="s">
        <v>58</v>
      </c>
      <c r="BF542" t="s">
        <v>58</v>
      </c>
      <c r="BG542" t="s">
        <v>58</v>
      </c>
    </row>
    <row r="543" spans="1:59" x14ac:dyDescent="0.3">
      <c r="A543" t="s">
        <v>58</v>
      </c>
      <c r="B543" t="s">
        <v>58</v>
      </c>
      <c r="C543" t="s">
        <v>58</v>
      </c>
      <c r="D543" t="s">
        <v>58</v>
      </c>
      <c r="E543" t="s">
        <v>58</v>
      </c>
      <c r="J543" t="s">
        <v>58</v>
      </c>
      <c r="K543" t="s">
        <v>58</v>
      </c>
      <c r="L543" t="s">
        <v>58</v>
      </c>
      <c r="M543" t="s">
        <v>58</v>
      </c>
      <c r="N543" t="s">
        <v>58</v>
      </c>
      <c r="R543" t="s">
        <v>58</v>
      </c>
      <c r="S543" t="s">
        <v>58</v>
      </c>
      <c r="T543" t="s">
        <v>58</v>
      </c>
      <c r="U543" t="s">
        <v>58</v>
      </c>
      <c r="V543" t="s">
        <v>58</v>
      </c>
      <c r="Z543" t="s">
        <v>58</v>
      </c>
      <c r="AA543" t="s">
        <v>58</v>
      </c>
      <c r="AB543" t="s">
        <v>58</v>
      </c>
      <c r="AC543" t="s">
        <v>58</v>
      </c>
      <c r="AD543" t="s">
        <v>58</v>
      </c>
      <c r="AG543" t="s">
        <v>58</v>
      </c>
      <c r="AH543" t="s">
        <v>58</v>
      </c>
      <c r="AI543" t="s">
        <v>58</v>
      </c>
      <c r="AJ543" t="s">
        <v>58</v>
      </c>
      <c r="AK543" t="s">
        <v>58</v>
      </c>
      <c r="AO543" t="s">
        <v>58</v>
      </c>
      <c r="AP543" t="s">
        <v>58</v>
      </c>
      <c r="AQ543" t="s">
        <v>58</v>
      </c>
      <c r="AR543" t="s">
        <v>58</v>
      </c>
      <c r="AS543" t="s">
        <v>58</v>
      </c>
      <c r="AV543" t="s">
        <v>58</v>
      </c>
      <c r="AW543" t="s">
        <v>58</v>
      </c>
      <c r="AX543" t="s">
        <v>58</v>
      </c>
      <c r="AY543" t="s">
        <v>58</v>
      </c>
      <c r="AZ543" t="s">
        <v>58</v>
      </c>
      <c r="BC543" t="s">
        <v>58</v>
      </c>
      <c r="BD543" t="s">
        <v>58</v>
      </c>
      <c r="BE543" t="s">
        <v>58</v>
      </c>
      <c r="BF543" t="s">
        <v>58</v>
      </c>
      <c r="BG543" t="s">
        <v>58</v>
      </c>
    </row>
    <row r="544" spans="1:59" x14ac:dyDescent="0.3">
      <c r="A544" t="s">
        <v>58</v>
      </c>
      <c r="B544" t="s">
        <v>58</v>
      </c>
      <c r="C544" t="s">
        <v>58</v>
      </c>
      <c r="D544" t="s">
        <v>58</v>
      </c>
      <c r="E544" t="s">
        <v>58</v>
      </c>
      <c r="J544" t="s">
        <v>58</v>
      </c>
      <c r="K544" t="s">
        <v>58</v>
      </c>
      <c r="L544" t="s">
        <v>58</v>
      </c>
      <c r="M544" t="s">
        <v>58</v>
      </c>
      <c r="N544" t="s">
        <v>58</v>
      </c>
      <c r="R544" t="s">
        <v>58</v>
      </c>
      <c r="S544" t="s">
        <v>58</v>
      </c>
      <c r="T544" t="s">
        <v>58</v>
      </c>
      <c r="U544" t="s">
        <v>58</v>
      </c>
      <c r="V544" t="s">
        <v>58</v>
      </c>
      <c r="Z544" t="s">
        <v>58</v>
      </c>
      <c r="AA544" t="s">
        <v>58</v>
      </c>
      <c r="AB544" t="s">
        <v>58</v>
      </c>
      <c r="AC544" t="s">
        <v>58</v>
      </c>
      <c r="AD544" t="s">
        <v>58</v>
      </c>
      <c r="AG544" t="s">
        <v>58</v>
      </c>
      <c r="AH544" t="s">
        <v>58</v>
      </c>
      <c r="AI544" t="s">
        <v>58</v>
      </c>
      <c r="AJ544" t="s">
        <v>58</v>
      </c>
      <c r="AK544" t="s">
        <v>58</v>
      </c>
      <c r="AO544" t="s">
        <v>58</v>
      </c>
      <c r="AP544" t="s">
        <v>58</v>
      </c>
      <c r="AQ544" t="s">
        <v>58</v>
      </c>
      <c r="AR544" t="s">
        <v>58</v>
      </c>
      <c r="AS544" t="s">
        <v>58</v>
      </c>
      <c r="AV544" t="s">
        <v>58</v>
      </c>
      <c r="AW544" t="s">
        <v>58</v>
      </c>
      <c r="AX544" t="s">
        <v>58</v>
      </c>
      <c r="AY544" t="s">
        <v>58</v>
      </c>
      <c r="AZ544" t="s">
        <v>58</v>
      </c>
      <c r="BC544" t="s">
        <v>58</v>
      </c>
      <c r="BD544" t="s">
        <v>58</v>
      </c>
      <c r="BE544" t="s">
        <v>58</v>
      </c>
      <c r="BF544" t="s">
        <v>58</v>
      </c>
      <c r="BG544" t="s">
        <v>58</v>
      </c>
    </row>
    <row r="545" spans="1:59" x14ac:dyDescent="0.3">
      <c r="A545" t="s">
        <v>58</v>
      </c>
      <c r="B545" t="s">
        <v>58</v>
      </c>
      <c r="C545" t="s">
        <v>58</v>
      </c>
      <c r="D545" t="s">
        <v>58</v>
      </c>
      <c r="E545" t="s">
        <v>58</v>
      </c>
      <c r="J545" t="s">
        <v>58</v>
      </c>
      <c r="K545" t="s">
        <v>58</v>
      </c>
      <c r="L545" t="s">
        <v>58</v>
      </c>
      <c r="M545" t="s">
        <v>58</v>
      </c>
      <c r="N545" t="s">
        <v>58</v>
      </c>
      <c r="R545" t="s">
        <v>58</v>
      </c>
      <c r="S545" t="s">
        <v>58</v>
      </c>
      <c r="T545" t="s">
        <v>58</v>
      </c>
      <c r="U545" t="s">
        <v>58</v>
      </c>
      <c r="V545" t="s">
        <v>58</v>
      </c>
      <c r="Z545" t="s">
        <v>58</v>
      </c>
      <c r="AA545" t="s">
        <v>58</v>
      </c>
      <c r="AB545" t="s">
        <v>58</v>
      </c>
      <c r="AC545" t="s">
        <v>58</v>
      </c>
      <c r="AD545" t="s">
        <v>58</v>
      </c>
      <c r="AG545" t="s">
        <v>58</v>
      </c>
      <c r="AH545" t="s">
        <v>58</v>
      </c>
      <c r="AI545" t="s">
        <v>58</v>
      </c>
      <c r="AJ545" t="s">
        <v>58</v>
      </c>
      <c r="AK545" t="s">
        <v>58</v>
      </c>
      <c r="AO545" t="s">
        <v>58</v>
      </c>
      <c r="AP545" t="s">
        <v>58</v>
      </c>
      <c r="AQ545" t="s">
        <v>58</v>
      </c>
      <c r="AR545" t="s">
        <v>58</v>
      </c>
      <c r="AS545" t="s">
        <v>58</v>
      </c>
      <c r="AV545" t="s">
        <v>58</v>
      </c>
      <c r="AW545" t="s">
        <v>58</v>
      </c>
      <c r="AX545" t="s">
        <v>58</v>
      </c>
      <c r="AY545" t="s">
        <v>58</v>
      </c>
      <c r="AZ545" t="s">
        <v>58</v>
      </c>
      <c r="BC545" t="s">
        <v>58</v>
      </c>
      <c r="BD545" t="s">
        <v>58</v>
      </c>
      <c r="BE545" t="s">
        <v>58</v>
      </c>
      <c r="BF545" t="s">
        <v>58</v>
      </c>
      <c r="BG545" t="s">
        <v>58</v>
      </c>
    </row>
    <row r="546" spans="1:59" x14ac:dyDescent="0.3">
      <c r="A546" t="s">
        <v>58</v>
      </c>
      <c r="B546" t="s">
        <v>58</v>
      </c>
      <c r="C546" t="s">
        <v>58</v>
      </c>
      <c r="D546" t="s">
        <v>58</v>
      </c>
      <c r="E546" t="s">
        <v>58</v>
      </c>
      <c r="J546" t="s">
        <v>58</v>
      </c>
      <c r="K546" t="s">
        <v>58</v>
      </c>
      <c r="L546" t="s">
        <v>58</v>
      </c>
      <c r="M546" t="s">
        <v>58</v>
      </c>
      <c r="N546" t="s">
        <v>58</v>
      </c>
      <c r="R546" t="s">
        <v>58</v>
      </c>
      <c r="S546" t="s">
        <v>58</v>
      </c>
      <c r="T546" t="s">
        <v>58</v>
      </c>
      <c r="U546" t="s">
        <v>58</v>
      </c>
      <c r="V546" t="s">
        <v>58</v>
      </c>
      <c r="Z546" t="s">
        <v>58</v>
      </c>
      <c r="AA546" t="s">
        <v>58</v>
      </c>
      <c r="AB546" t="s">
        <v>58</v>
      </c>
      <c r="AC546" t="s">
        <v>58</v>
      </c>
      <c r="AD546" t="s">
        <v>58</v>
      </c>
      <c r="AG546" t="s">
        <v>58</v>
      </c>
      <c r="AH546" t="s">
        <v>58</v>
      </c>
      <c r="AI546" t="s">
        <v>58</v>
      </c>
      <c r="AJ546" t="s">
        <v>58</v>
      </c>
      <c r="AK546" t="s">
        <v>58</v>
      </c>
      <c r="AO546" t="s">
        <v>58</v>
      </c>
      <c r="AP546" t="s">
        <v>58</v>
      </c>
      <c r="AQ546" t="s">
        <v>58</v>
      </c>
      <c r="AR546" t="s">
        <v>58</v>
      </c>
      <c r="AS546" t="s">
        <v>58</v>
      </c>
      <c r="AV546" t="s">
        <v>58</v>
      </c>
      <c r="AW546" t="s">
        <v>58</v>
      </c>
      <c r="AX546" t="s">
        <v>58</v>
      </c>
      <c r="AY546" t="s">
        <v>58</v>
      </c>
      <c r="AZ546" t="s">
        <v>58</v>
      </c>
      <c r="BC546" t="s">
        <v>58</v>
      </c>
      <c r="BD546" t="s">
        <v>58</v>
      </c>
      <c r="BE546" t="s">
        <v>58</v>
      </c>
      <c r="BF546" t="s">
        <v>58</v>
      </c>
      <c r="BG546" t="s">
        <v>58</v>
      </c>
    </row>
    <row r="547" spans="1:59" x14ac:dyDescent="0.3">
      <c r="A547" t="s">
        <v>58</v>
      </c>
      <c r="B547" t="s">
        <v>58</v>
      </c>
      <c r="C547" t="s">
        <v>58</v>
      </c>
      <c r="D547" t="s">
        <v>58</v>
      </c>
      <c r="E547" t="s">
        <v>58</v>
      </c>
      <c r="J547" t="s">
        <v>58</v>
      </c>
      <c r="K547" t="s">
        <v>58</v>
      </c>
      <c r="L547" t="s">
        <v>58</v>
      </c>
      <c r="M547" t="s">
        <v>58</v>
      </c>
      <c r="N547" t="s">
        <v>58</v>
      </c>
      <c r="R547" t="s">
        <v>58</v>
      </c>
      <c r="S547" t="s">
        <v>58</v>
      </c>
      <c r="T547" t="s">
        <v>58</v>
      </c>
      <c r="U547" t="s">
        <v>58</v>
      </c>
      <c r="V547" t="s">
        <v>58</v>
      </c>
      <c r="Z547" t="s">
        <v>58</v>
      </c>
      <c r="AA547" t="s">
        <v>58</v>
      </c>
      <c r="AB547" t="s">
        <v>58</v>
      </c>
      <c r="AC547" t="s">
        <v>58</v>
      </c>
      <c r="AD547" t="s">
        <v>58</v>
      </c>
      <c r="AG547" t="s">
        <v>58</v>
      </c>
      <c r="AH547" t="s">
        <v>58</v>
      </c>
      <c r="AI547" t="s">
        <v>58</v>
      </c>
      <c r="AJ547" t="s">
        <v>58</v>
      </c>
      <c r="AK547" t="s">
        <v>58</v>
      </c>
      <c r="AO547" t="s">
        <v>58</v>
      </c>
      <c r="AP547" t="s">
        <v>58</v>
      </c>
      <c r="AQ547" t="s">
        <v>58</v>
      </c>
      <c r="AR547" t="s">
        <v>58</v>
      </c>
      <c r="AS547" t="s">
        <v>58</v>
      </c>
      <c r="AV547" t="s">
        <v>58</v>
      </c>
      <c r="AW547" t="s">
        <v>58</v>
      </c>
      <c r="AX547" t="s">
        <v>58</v>
      </c>
      <c r="AY547" t="s">
        <v>58</v>
      </c>
      <c r="AZ547" t="s">
        <v>58</v>
      </c>
      <c r="BC547" t="s">
        <v>58</v>
      </c>
      <c r="BD547" t="s">
        <v>58</v>
      </c>
      <c r="BE547" t="s">
        <v>58</v>
      </c>
      <c r="BF547" t="s">
        <v>58</v>
      </c>
      <c r="BG547" t="s">
        <v>58</v>
      </c>
    </row>
    <row r="548" spans="1:59" x14ac:dyDescent="0.3">
      <c r="A548" t="s">
        <v>58</v>
      </c>
      <c r="B548" t="s">
        <v>58</v>
      </c>
      <c r="C548" t="s">
        <v>58</v>
      </c>
      <c r="D548" t="s">
        <v>58</v>
      </c>
      <c r="E548" t="s">
        <v>58</v>
      </c>
      <c r="J548" t="s">
        <v>58</v>
      </c>
      <c r="K548" t="s">
        <v>58</v>
      </c>
      <c r="L548" t="s">
        <v>58</v>
      </c>
      <c r="M548" t="s">
        <v>58</v>
      </c>
      <c r="N548" t="s">
        <v>58</v>
      </c>
      <c r="R548" t="s">
        <v>58</v>
      </c>
      <c r="S548" t="s">
        <v>58</v>
      </c>
      <c r="T548" t="s">
        <v>58</v>
      </c>
      <c r="U548" t="s">
        <v>58</v>
      </c>
      <c r="V548" t="s">
        <v>58</v>
      </c>
      <c r="Z548" t="s">
        <v>58</v>
      </c>
      <c r="AA548" t="s">
        <v>58</v>
      </c>
      <c r="AB548" t="s">
        <v>58</v>
      </c>
      <c r="AC548" t="s">
        <v>58</v>
      </c>
      <c r="AD548" t="s">
        <v>58</v>
      </c>
      <c r="AG548" t="s">
        <v>58</v>
      </c>
      <c r="AH548" t="s">
        <v>58</v>
      </c>
      <c r="AI548" t="s">
        <v>58</v>
      </c>
      <c r="AJ548" t="s">
        <v>58</v>
      </c>
      <c r="AK548" t="s">
        <v>58</v>
      </c>
      <c r="AO548" t="s">
        <v>58</v>
      </c>
      <c r="AP548" t="s">
        <v>58</v>
      </c>
      <c r="AQ548" t="s">
        <v>58</v>
      </c>
      <c r="AR548" t="s">
        <v>58</v>
      </c>
      <c r="AS548" t="s">
        <v>58</v>
      </c>
      <c r="AV548" t="s">
        <v>58</v>
      </c>
      <c r="AW548" t="s">
        <v>58</v>
      </c>
      <c r="AX548" t="s">
        <v>58</v>
      </c>
      <c r="AY548" t="s">
        <v>58</v>
      </c>
      <c r="AZ548" t="s">
        <v>58</v>
      </c>
      <c r="BC548" t="s">
        <v>58</v>
      </c>
      <c r="BD548" t="s">
        <v>58</v>
      </c>
      <c r="BE548" t="s">
        <v>58</v>
      </c>
      <c r="BF548" t="s">
        <v>58</v>
      </c>
      <c r="BG548" t="s">
        <v>58</v>
      </c>
    </row>
    <row r="549" spans="1:59" x14ac:dyDescent="0.3">
      <c r="A549" t="s">
        <v>58</v>
      </c>
      <c r="B549" t="s">
        <v>58</v>
      </c>
      <c r="C549" t="s">
        <v>58</v>
      </c>
      <c r="D549" t="s">
        <v>58</v>
      </c>
      <c r="E549" t="s">
        <v>58</v>
      </c>
      <c r="J549" t="s">
        <v>58</v>
      </c>
      <c r="K549" t="s">
        <v>58</v>
      </c>
      <c r="L549" t="s">
        <v>58</v>
      </c>
      <c r="M549" t="s">
        <v>58</v>
      </c>
      <c r="N549" t="s">
        <v>58</v>
      </c>
      <c r="R549" t="s">
        <v>58</v>
      </c>
      <c r="S549" t="s">
        <v>58</v>
      </c>
      <c r="T549" t="s">
        <v>58</v>
      </c>
      <c r="U549" t="s">
        <v>58</v>
      </c>
      <c r="V549" t="s">
        <v>58</v>
      </c>
      <c r="Z549" t="s">
        <v>58</v>
      </c>
      <c r="AA549" t="s">
        <v>58</v>
      </c>
      <c r="AB549" t="s">
        <v>58</v>
      </c>
      <c r="AC549" t="s">
        <v>58</v>
      </c>
      <c r="AD549" t="s">
        <v>58</v>
      </c>
      <c r="AG549" t="s">
        <v>58</v>
      </c>
      <c r="AH549" t="s">
        <v>58</v>
      </c>
      <c r="AI549" t="s">
        <v>58</v>
      </c>
      <c r="AJ549" t="s">
        <v>58</v>
      </c>
      <c r="AK549" t="s">
        <v>58</v>
      </c>
      <c r="AO549" t="s">
        <v>58</v>
      </c>
      <c r="AP549" t="s">
        <v>58</v>
      </c>
      <c r="AQ549" t="s">
        <v>58</v>
      </c>
      <c r="AR549" t="s">
        <v>58</v>
      </c>
      <c r="AS549" t="s">
        <v>58</v>
      </c>
      <c r="AV549" t="s">
        <v>58</v>
      </c>
      <c r="AW549" t="s">
        <v>58</v>
      </c>
      <c r="AX549" t="s">
        <v>58</v>
      </c>
      <c r="AY549" t="s">
        <v>58</v>
      </c>
      <c r="AZ549" t="s">
        <v>58</v>
      </c>
      <c r="BC549" t="s">
        <v>58</v>
      </c>
      <c r="BD549" t="s">
        <v>58</v>
      </c>
      <c r="BE549" t="s">
        <v>58</v>
      </c>
      <c r="BF549" t="s">
        <v>58</v>
      </c>
      <c r="BG549" t="s">
        <v>58</v>
      </c>
    </row>
    <row r="550" spans="1:59" x14ac:dyDescent="0.3">
      <c r="A550" t="s">
        <v>58</v>
      </c>
      <c r="B550" t="s">
        <v>58</v>
      </c>
      <c r="C550" t="s">
        <v>58</v>
      </c>
      <c r="D550" t="s">
        <v>58</v>
      </c>
      <c r="E550" t="s">
        <v>58</v>
      </c>
      <c r="J550" t="s">
        <v>58</v>
      </c>
      <c r="K550" t="s">
        <v>58</v>
      </c>
      <c r="L550" t="s">
        <v>58</v>
      </c>
      <c r="M550" t="s">
        <v>58</v>
      </c>
      <c r="N550" t="s">
        <v>58</v>
      </c>
      <c r="R550" t="s">
        <v>58</v>
      </c>
      <c r="S550" t="s">
        <v>58</v>
      </c>
      <c r="T550" t="s">
        <v>58</v>
      </c>
      <c r="U550" t="s">
        <v>58</v>
      </c>
      <c r="V550" t="s">
        <v>58</v>
      </c>
      <c r="Z550" t="s">
        <v>58</v>
      </c>
      <c r="AA550" t="s">
        <v>58</v>
      </c>
      <c r="AB550" t="s">
        <v>58</v>
      </c>
      <c r="AC550" t="s">
        <v>58</v>
      </c>
      <c r="AD550" t="s">
        <v>58</v>
      </c>
      <c r="AG550" t="s">
        <v>58</v>
      </c>
      <c r="AH550" t="s">
        <v>58</v>
      </c>
      <c r="AI550" t="s">
        <v>58</v>
      </c>
      <c r="AJ550" t="s">
        <v>58</v>
      </c>
      <c r="AK550" t="s">
        <v>58</v>
      </c>
      <c r="AO550" t="s">
        <v>58</v>
      </c>
      <c r="AP550" t="s">
        <v>58</v>
      </c>
      <c r="AQ550" t="s">
        <v>58</v>
      </c>
      <c r="AR550" t="s">
        <v>58</v>
      </c>
      <c r="AS550" t="s">
        <v>58</v>
      </c>
      <c r="AV550" t="s">
        <v>58</v>
      </c>
      <c r="AW550" t="s">
        <v>58</v>
      </c>
      <c r="AX550" t="s">
        <v>58</v>
      </c>
      <c r="AY550" t="s">
        <v>58</v>
      </c>
      <c r="AZ550" t="s">
        <v>58</v>
      </c>
      <c r="BC550" t="s">
        <v>58</v>
      </c>
      <c r="BD550" t="s">
        <v>58</v>
      </c>
      <c r="BE550" t="s">
        <v>58</v>
      </c>
      <c r="BF550" t="s">
        <v>58</v>
      </c>
      <c r="BG550" t="s">
        <v>58</v>
      </c>
    </row>
    <row r="551" spans="1:59" x14ac:dyDescent="0.3">
      <c r="A551" t="s">
        <v>58</v>
      </c>
      <c r="B551" t="s">
        <v>58</v>
      </c>
      <c r="C551" t="s">
        <v>58</v>
      </c>
      <c r="D551" t="s">
        <v>58</v>
      </c>
      <c r="E551" t="s">
        <v>58</v>
      </c>
      <c r="J551" t="s">
        <v>58</v>
      </c>
      <c r="K551" t="s">
        <v>58</v>
      </c>
      <c r="L551" t="s">
        <v>58</v>
      </c>
      <c r="M551" t="s">
        <v>58</v>
      </c>
      <c r="N551" t="s">
        <v>58</v>
      </c>
      <c r="R551" t="s">
        <v>58</v>
      </c>
      <c r="S551" t="s">
        <v>58</v>
      </c>
      <c r="T551" t="s">
        <v>58</v>
      </c>
      <c r="U551" t="s">
        <v>58</v>
      </c>
      <c r="V551" t="s">
        <v>58</v>
      </c>
      <c r="Z551" t="s">
        <v>58</v>
      </c>
      <c r="AA551" t="s">
        <v>58</v>
      </c>
      <c r="AB551" t="s">
        <v>58</v>
      </c>
      <c r="AC551" t="s">
        <v>58</v>
      </c>
      <c r="AD551" t="s">
        <v>58</v>
      </c>
      <c r="AG551" t="s">
        <v>58</v>
      </c>
      <c r="AH551" t="s">
        <v>58</v>
      </c>
      <c r="AI551" t="s">
        <v>58</v>
      </c>
      <c r="AJ551" t="s">
        <v>58</v>
      </c>
      <c r="AK551" t="s">
        <v>58</v>
      </c>
      <c r="AO551" t="s">
        <v>58</v>
      </c>
      <c r="AP551" t="s">
        <v>58</v>
      </c>
      <c r="AQ551" t="s">
        <v>58</v>
      </c>
      <c r="AR551" t="s">
        <v>58</v>
      </c>
      <c r="AS551" t="s">
        <v>58</v>
      </c>
      <c r="AV551" t="s">
        <v>58</v>
      </c>
      <c r="AW551" t="s">
        <v>58</v>
      </c>
      <c r="AX551" t="s">
        <v>58</v>
      </c>
      <c r="AY551" t="s">
        <v>58</v>
      </c>
      <c r="AZ551" t="s">
        <v>58</v>
      </c>
      <c r="BC551" t="s">
        <v>58</v>
      </c>
      <c r="BD551" t="s">
        <v>58</v>
      </c>
      <c r="BE551" t="s">
        <v>58</v>
      </c>
      <c r="BF551" t="s">
        <v>58</v>
      </c>
      <c r="BG551" t="s">
        <v>58</v>
      </c>
    </row>
    <row r="552" spans="1:59" x14ac:dyDescent="0.3">
      <c r="A552" t="s">
        <v>58</v>
      </c>
      <c r="B552" t="s">
        <v>58</v>
      </c>
      <c r="C552" t="s">
        <v>58</v>
      </c>
      <c r="D552" t="s">
        <v>58</v>
      </c>
      <c r="E552" t="s">
        <v>58</v>
      </c>
      <c r="J552" t="s">
        <v>58</v>
      </c>
      <c r="K552" t="s">
        <v>58</v>
      </c>
      <c r="L552" t="s">
        <v>58</v>
      </c>
      <c r="M552" t="s">
        <v>58</v>
      </c>
      <c r="N552" t="s">
        <v>58</v>
      </c>
      <c r="R552" t="s">
        <v>58</v>
      </c>
      <c r="S552" t="s">
        <v>58</v>
      </c>
      <c r="T552" t="s">
        <v>58</v>
      </c>
      <c r="U552" t="s">
        <v>58</v>
      </c>
      <c r="V552" t="s">
        <v>58</v>
      </c>
      <c r="Z552" t="s">
        <v>58</v>
      </c>
      <c r="AA552" t="s">
        <v>58</v>
      </c>
      <c r="AB552" t="s">
        <v>58</v>
      </c>
      <c r="AC552" t="s">
        <v>58</v>
      </c>
      <c r="AD552" t="s">
        <v>58</v>
      </c>
      <c r="AG552" t="s">
        <v>58</v>
      </c>
      <c r="AH552" t="s">
        <v>58</v>
      </c>
      <c r="AI552" t="s">
        <v>58</v>
      </c>
      <c r="AJ552" t="s">
        <v>58</v>
      </c>
      <c r="AK552" t="s">
        <v>58</v>
      </c>
      <c r="AO552" t="s">
        <v>58</v>
      </c>
      <c r="AP552" t="s">
        <v>58</v>
      </c>
      <c r="AQ552" t="s">
        <v>58</v>
      </c>
      <c r="AR552" t="s">
        <v>58</v>
      </c>
      <c r="AS552" t="s">
        <v>58</v>
      </c>
      <c r="AV552" t="s">
        <v>58</v>
      </c>
      <c r="AW552" t="s">
        <v>58</v>
      </c>
      <c r="AX552" t="s">
        <v>58</v>
      </c>
      <c r="AY552" t="s">
        <v>58</v>
      </c>
      <c r="AZ552" t="s">
        <v>58</v>
      </c>
      <c r="BC552" t="s">
        <v>58</v>
      </c>
      <c r="BD552" t="s">
        <v>58</v>
      </c>
      <c r="BE552" t="s">
        <v>58</v>
      </c>
      <c r="BF552" t="s">
        <v>58</v>
      </c>
      <c r="BG552" t="s">
        <v>58</v>
      </c>
    </row>
    <row r="553" spans="1:59" x14ac:dyDescent="0.3">
      <c r="A553" t="s">
        <v>58</v>
      </c>
      <c r="B553" t="s">
        <v>58</v>
      </c>
      <c r="C553" t="s">
        <v>58</v>
      </c>
      <c r="D553" t="s">
        <v>58</v>
      </c>
      <c r="E553" t="s">
        <v>58</v>
      </c>
      <c r="J553" t="s">
        <v>58</v>
      </c>
      <c r="K553" t="s">
        <v>58</v>
      </c>
      <c r="L553" t="s">
        <v>58</v>
      </c>
      <c r="M553" t="s">
        <v>58</v>
      </c>
      <c r="N553" t="s">
        <v>58</v>
      </c>
      <c r="R553" t="s">
        <v>58</v>
      </c>
      <c r="S553" t="s">
        <v>58</v>
      </c>
      <c r="T553" t="s">
        <v>58</v>
      </c>
      <c r="U553" t="s">
        <v>58</v>
      </c>
      <c r="V553" t="s">
        <v>58</v>
      </c>
      <c r="Z553" t="s">
        <v>58</v>
      </c>
      <c r="AA553" t="s">
        <v>58</v>
      </c>
      <c r="AB553" t="s">
        <v>58</v>
      </c>
      <c r="AC553" t="s">
        <v>58</v>
      </c>
      <c r="AD553" t="s">
        <v>58</v>
      </c>
      <c r="AG553" t="s">
        <v>58</v>
      </c>
      <c r="AH553" t="s">
        <v>58</v>
      </c>
      <c r="AI553" t="s">
        <v>58</v>
      </c>
      <c r="AJ553" t="s">
        <v>58</v>
      </c>
      <c r="AK553" t="s">
        <v>58</v>
      </c>
      <c r="AO553" t="s">
        <v>58</v>
      </c>
      <c r="AP553" t="s">
        <v>58</v>
      </c>
      <c r="AQ553" t="s">
        <v>58</v>
      </c>
      <c r="AR553" t="s">
        <v>58</v>
      </c>
      <c r="AS553" t="s">
        <v>58</v>
      </c>
      <c r="AV553" t="s">
        <v>58</v>
      </c>
      <c r="AW553" t="s">
        <v>58</v>
      </c>
      <c r="AX553" t="s">
        <v>58</v>
      </c>
      <c r="AY553" t="s">
        <v>58</v>
      </c>
      <c r="AZ553" t="s">
        <v>58</v>
      </c>
      <c r="BC553" t="s">
        <v>58</v>
      </c>
      <c r="BD553" t="s">
        <v>58</v>
      </c>
      <c r="BE553" t="s">
        <v>58</v>
      </c>
      <c r="BF553" t="s">
        <v>58</v>
      </c>
      <c r="BG553" t="s">
        <v>58</v>
      </c>
    </row>
    <row r="554" spans="1:59" x14ac:dyDescent="0.3">
      <c r="A554" t="s">
        <v>58</v>
      </c>
      <c r="B554" t="s">
        <v>58</v>
      </c>
      <c r="C554" t="s">
        <v>58</v>
      </c>
      <c r="D554" t="s">
        <v>58</v>
      </c>
      <c r="E554" t="s">
        <v>58</v>
      </c>
      <c r="J554" t="s">
        <v>58</v>
      </c>
      <c r="K554" t="s">
        <v>58</v>
      </c>
      <c r="L554" t="s">
        <v>58</v>
      </c>
      <c r="M554" t="s">
        <v>58</v>
      </c>
      <c r="N554" t="s">
        <v>58</v>
      </c>
      <c r="R554" t="s">
        <v>58</v>
      </c>
      <c r="S554" t="s">
        <v>58</v>
      </c>
      <c r="T554" t="s">
        <v>58</v>
      </c>
      <c r="U554" t="s">
        <v>58</v>
      </c>
      <c r="V554" t="s">
        <v>58</v>
      </c>
      <c r="Z554" t="s">
        <v>58</v>
      </c>
      <c r="AA554" t="s">
        <v>58</v>
      </c>
      <c r="AB554" t="s">
        <v>58</v>
      </c>
      <c r="AC554" t="s">
        <v>58</v>
      </c>
      <c r="AD554" t="s">
        <v>58</v>
      </c>
      <c r="AG554" t="s">
        <v>58</v>
      </c>
      <c r="AH554" t="s">
        <v>58</v>
      </c>
      <c r="AI554" t="s">
        <v>58</v>
      </c>
      <c r="AJ554" t="s">
        <v>58</v>
      </c>
      <c r="AK554" t="s">
        <v>58</v>
      </c>
      <c r="AO554" t="s">
        <v>58</v>
      </c>
      <c r="AP554" t="s">
        <v>58</v>
      </c>
      <c r="AQ554" t="s">
        <v>58</v>
      </c>
      <c r="AR554" t="s">
        <v>58</v>
      </c>
      <c r="AS554" t="s">
        <v>58</v>
      </c>
      <c r="AV554" t="s">
        <v>58</v>
      </c>
      <c r="AW554" t="s">
        <v>58</v>
      </c>
      <c r="AX554" t="s">
        <v>58</v>
      </c>
      <c r="AY554" t="s">
        <v>58</v>
      </c>
      <c r="AZ554" t="s">
        <v>58</v>
      </c>
      <c r="BC554" t="s">
        <v>58</v>
      </c>
      <c r="BD554" t="s">
        <v>58</v>
      </c>
      <c r="BE554" t="s">
        <v>58</v>
      </c>
      <c r="BF554" t="s">
        <v>58</v>
      </c>
      <c r="BG554" t="s">
        <v>58</v>
      </c>
    </row>
    <row r="555" spans="1:59" x14ac:dyDescent="0.3">
      <c r="A555" t="s">
        <v>58</v>
      </c>
      <c r="B555" t="s">
        <v>58</v>
      </c>
      <c r="C555" t="s">
        <v>58</v>
      </c>
      <c r="D555" t="s">
        <v>58</v>
      </c>
      <c r="E555" t="s">
        <v>58</v>
      </c>
      <c r="J555" t="s">
        <v>58</v>
      </c>
      <c r="K555" t="s">
        <v>58</v>
      </c>
      <c r="L555" t="s">
        <v>58</v>
      </c>
      <c r="M555" t="s">
        <v>58</v>
      </c>
      <c r="N555" t="s">
        <v>58</v>
      </c>
      <c r="R555" t="s">
        <v>58</v>
      </c>
      <c r="S555" t="s">
        <v>58</v>
      </c>
      <c r="T555" t="s">
        <v>58</v>
      </c>
      <c r="U555" t="s">
        <v>58</v>
      </c>
      <c r="V555" t="s">
        <v>58</v>
      </c>
      <c r="Z555" t="s">
        <v>58</v>
      </c>
      <c r="AA555" t="s">
        <v>58</v>
      </c>
      <c r="AB555" t="s">
        <v>58</v>
      </c>
      <c r="AC555" t="s">
        <v>58</v>
      </c>
      <c r="AD555" t="s">
        <v>58</v>
      </c>
      <c r="AG555" t="s">
        <v>58</v>
      </c>
      <c r="AH555" t="s">
        <v>58</v>
      </c>
      <c r="AI555" t="s">
        <v>58</v>
      </c>
      <c r="AJ555" t="s">
        <v>58</v>
      </c>
      <c r="AK555" t="s">
        <v>58</v>
      </c>
      <c r="AO555" t="s">
        <v>58</v>
      </c>
      <c r="AP555" t="s">
        <v>58</v>
      </c>
      <c r="AQ555" t="s">
        <v>58</v>
      </c>
      <c r="AR555" t="s">
        <v>58</v>
      </c>
      <c r="AS555" t="s">
        <v>58</v>
      </c>
      <c r="AV555" t="s">
        <v>58</v>
      </c>
      <c r="AW555" t="s">
        <v>58</v>
      </c>
      <c r="AX555" t="s">
        <v>58</v>
      </c>
      <c r="AY555" t="s">
        <v>58</v>
      </c>
      <c r="AZ555" t="s">
        <v>58</v>
      </c>
      <c r="BC555" t="s">
        <v>58</v>
      </c>
      <c r="BD555" t="s">
        <v>58</v>
      </c>
      <c r="BE555" t="s">
        <v>58</v>
      </c>
      <c r="BF555" t="s">
        <v>58</v>
      </c>
      <c r="BG555" t="s">
        <v>58</v>
      </c>
    </row>
    <row r="556" spans="1:59" x14ac:dyDescent="0.3">
      <c r="A556" t="s">
        <v>58</v>
      </c>
      <c r="B556" t="s">
        <v>58</v>
      </c>
      <c r="C556" t="s">
        <v>58</v>
      </c>
      <c r="D556" t="s">
        <v>58</v>
      </c>
      <c r="E556" t="s">
        <v>58</v>
      </c>
      <c r="J556" t="s">
        <v>58</v>
      </c>
      <c r="K556" t="s">
        <v>58</v>
      </c>
      <c r="L556" t="s">
        <v>58</v>
      </c>
      <c r="M556" t="s">
        <v>58</v>
      </c>
      <c r="N556" t="s">
        <v>58</v>
      </c>
      <c r="R556" t="s">
        <v>58</v>
      </c>
      <c r="S556" t="s">
        <v>58</v>
      </c>
      <c r="T556" t="s">
        <v>58</v>
      </c>
      <c r="U556" t="s">
        <v>58</v>
      </c>
      <c r="V556" t="s">
        <v>58</v>
      </c>
      <c r="Z556" t="s">
        <v>58</v>
      </c>
      <c r="AA556" t="s">
        <v>58</v>
      </c>
      <c r="AB556" t="s">
        <v>58</v>
      </c>
      <c r="AC556" t="s">
        <v>58</v>
      </c>
      <c r="AD556" t="s">
        <v>58</v>
      </c>
      <c r="AG556" t="s">
        <v>58</v>
      </c>
      <c r="AH556" t="s">
        <v>58</v>
      </c>
      <c r="AI556" t="s">
        <v>58</v>
      </c>
      <c r="AJ556" t="s">
        <v>58</v>
      </c>
      <c r="AK556" t="s">
        <v>58</v>
      </c>
      <c r="AO556" t="s">
        <v>58</v>
      </c>
      <c r="AP556" t="s">
        <v>58</v>
      </c>
      <c r="AQ556" t="s">
        <v>58</v>
      </c>
      <c r="AR556" t="s">
        <v>58</v>
      </c>
      <c r="AS556" t="s">
        <v>58</v>
      </c>
      <c r="AV556" t="s">
        <v>58</v>
      </c>
      <c r="AW556" t="s">
        <v>58</v>
      </c>
      <c r="AX556" t="s">
        <v>58</v>
      </c>
      <c r="AY556" t="s">
        <v>58</v>
      </c>
      <c r="AZ556" t="s">
        <v>58</v>
      </c>
      <c r="BC556" t="s">
        <v>58</v>
      </c>
      <c r="BD556" t="s">
        <v>58</v>
      </c>
      <c r="BE556" t="s">
        <v>58</v>
      </c>
      <c r="BF556" t="s">
        <v>58</v>
      </c>
      <c r="BG556" t="s">
        <v>58</v>
      </c>
    </row>
    <row r="557" spans="1:59" x14ac:dyDescent="0.3">
      <c r="A557" t="s">
        <v>58</v>
      </c>
      <c r="B557" t="s">
        <v>58</v>
      </c>
      <c r="C557" t="s">
        <v>58</v>
      </c>
      <c r="D557" t="s">
        <v>58</v>
      </c>
      <c r="E557" t="s">
        <v>58</v>
      </c>
      <c r="J557" t="s">
        <v>58</v>
      </c>
      <c r="K557" t="s">
        <v>58</v>
      </c>
      <c r="L557" t="s">
        <v>58</v>
      </c>
      <c r="M557" t="s">
        <v>58</v>
      </c>
      <c r="N557" t="s">
        <v>58</v>
      </c>
      <c r="R557" t="s">
        <v>58</v>
      </c>
      <c r="S557" t="s">
        <v>58</v>
      </c>
      <c r="T557" t="s">
        <v>58</v>
      </c>
      <c r="U557" t="s">
        <v>58</v>
      </c>
      <c r="V557" t="s">
        <v>58</v>
      </c>
      <c r="Z557" t="s">
        <v>58</v>
      </c>
      <c r="AA557" t="s">
        <v>58</v>
      </c>
      <c r="AB557" t="s">
        <v>58</v>
      </c>
      <c r="AC557" t="s">
        <v>58</v>
      </c>
      <c r="AD557" t="s">
        <v>58</v>
      </c>
      <c r="AG557" t="s">
        <v>58</v>
      </c>
      <c r="AH557" t="s">
        <v>58</v>
      </c>
      <c r="AI557" t="s">
        <v>58</v>
      </c>
      <c r="AJ557" t="s">
        <v>58</v>
      </c>
      <c r="AK557" t="s">
        <v>58</v>
      </c>
      <c r="AO557" t="s">
        <v>58</v>
      </c>
      <c r="AP557" t="s">
        <v>58</v>
      </c>
      <c r="AQ557" t="s">
        <v>58</v>
      </c>
      <c r="AR557" t="s">
        <v>58</v>
      </c>
      <c r="AS557" t="s">
        <v>58</v>
      </c>
      <c r="AV557" t="s">
        <v>58</v>
      </c>
      <c r="AW557" t="s">
        <v>58</v>
      </c>
      <c r="AX557" t="s">
        <v>58</v>
      </c>
      <c r="AY557" t="s">
        <v>58</v>
      </c>
      <c r="AZ557" t="s">
        <v>58</v>
      </c>
      <c r="BC557" t="s">
        <v>58</v>
      </c>
      <c r="BD557" t="s">
        <v>58</v>
      </c>
      <c r="BE557" t="s">
        <v>58</v>
      </c>
      <c r="BF557" t="s">
        <v>58</v>
      </c>
      <c r="BG557" t="s">
        <v>58</v>
      </c>
    </row>
    <row r="558" spans="1:59" x14ac:dyDescent="0.3">
      <c r="A558" t="s">
        <v>58</v>
      </c>
      <c r="B558" t="s">
        <v>58</v>
      </c>
      <c r="C558" t="s">
        <v>58</v>
      </c>
      <c r="D558" t="s">
        <v>58</v>
      </c>
      <c r="E558" t="s">
        <v>58</v>
      </c>
      <c r="J558" t="s">
        <v>58</v>
      </c>
      <c r="K558" t="s">
        <v>58</v>
      </c>
      <c r="L558" t="s">
        <v>58</v>
      </c>
      <c r="M558" t="s">
        <v>58</v>
      </c>
      <c r="N558" t="s">
        <v>58</v>
      </c>
      <c r="R558" t="s">
        <v>58</v>
      </c>
      <c r="S558" t="s">
        <v>58</v>
      </c>
      <c r="T558" t="s">
        <v>58</v>
      </c>
      <c r="U558" t="s">
        <v>58</v>
      </c>
      <c r="V558" t="s">
        <v>58</v>
      </c>
      <c r="Z558" t="s">
        <v>58</v>
      </c>
      <c r="AA558" t="s">
        <v>58</v>
      </c>
      <c r="AB558" t="s">
        <v>58</v>
      </c>
      <c r="AC558" t="s">
        <v>58</v>
      </c>
      <c r="AD558" t="s">
        <v>58</v>
      </c>
      <c r="AG558" t="s">
        <v>58</v>
      </c>
      <c r="AH558" t="s">
        <v>58</v>
      </c>
      <c r="AI558" t="s">
        <v>58</v>
      </c>
      <c r="AJ558" t="s">
        <v>58</v>
      </c>
      <c r="AK558" t="s">
        <v>58</v>
      </c>
      <c r="AO558" t="s">
        <v>58</v>
      </c>
      <c r="AP558" t="s">
        <v>58</v>
      </c>
      <c r="AQ558" t="s">
        <v>58</v>
      </c>
      <c r="AR558" t="s">
        <v>58</v>
      </c>
      <c r="AS558" t="s">
        <v>58</v>
      </c>
      <c r="AV558" t="s">
        <v>58</v>
      </c>
      <c r="AW558" t="s">
        <v>58</v>
      </c>
      <c r="AX558" t="s">
        <v>58</v>
      </c>
      <c r="AY558" t="s">
        <v>58</v>
      </c>
      <c r="AZ558" t="s">
        <v>58</v>
      </c>
      <c r="BC558" t="s">
        <v>58</v>
      </c>
      <c r="BD558" t="s">
        <v>58</v>
      </c>
      <c r="BE558" t="s">
        <v>58</v>
      </c>
      <c r="BF558" t="s">
        <v>58</v>
      </c>
      <c r="BG558" t="s">
        <v>58</v>
      </c>
    </row>
    <row r="559" spans="1:59" x14ac:dyDescent="0.3">
      <c r="A559" t="s">
        <v>58</v>
      </c>
      <c r="B559" t="s">
        <v>58</v>
      </c>
      <c r="C559" t="s">
        <v>58</v>
      </c>
      <c r="D559" t="s">
        <v>58</v>
      </c>
      <c r="E559" t="s">
        <v>58</v>
      </c>
      <c r="J559" t="s">
        <v>58</v>
      </c>
      <c r="K559" t="s">
        <v>58</v>
      </c>
      <c r="L559" t="s">
        <v>58</v>
      </c>
      <c r="M559" t="s">
        <v>58</v>
      </c>
      <c r="N559" t="s">
        <v>58</v>
      </c>
      <c r="R559" t="s">
        <v>58</v>
      </c>
      <c r="S559" t="s">
        <v>58</v>
      </c>
      <c r="T559" t="s">
        <v>58</v>
      </c>
      <c r="U559" t="s">
        <v>58</v>
      </c>
      <c r="V559" t="s">
        <v>58</v>
      </c>
      <c r="Z559" t="s">
        <v>58</v>
      </c>
      <c r="AA559" t="s">
        <v>58</v>
      </c>
      <c r="AB559" t="s">
        <v>58</v>
      </c>
      <c r="AC559" t="s">
        <v>58</v>
      </c>
      <c r="AD559" t="s">
        <v>58</v>
      </c>
      <c r="AG559" t="s">
        <v>58</v>
      </c>
      <c r="AH559" t="s">
        <v>58</v>
      </c>
      <c r="AI559" t="s">
        <v>58</v>
      </c>
      <c r="AJ559" t="s">
        <v>58</v>
      </c>
      <c r="AK559" t="s">
        <v>58</v>
      </c>
      <c r="AO559" t="s">
        <v>58</v>
      </c>
      <c r="AP559" t="s">
        <v>58</v>
      </c>
      <c r="AQ559" t="s">
        <v>58</v>
      </c>
      <c r="AR559" t="s">
        <v>58</v>
      </c>
      <c r="AS559" t="s">
        <v>58</v>
      </c>
      <c r="AV559" t="s">
        <v>58</v>
      </c>
      <c r="AW559" t="s">
        <v>58</v>
      </c>
      <c r="AX559" t="s">
        <v>58</v>
      </c>
      <c r="AY559" t="s">
        <v>58</v>
      </c>
      <c r="AZ559" t="s">
        <v>58</v>
      </c>
      <c r="BC559" t="s">
        <v>58</v>
      </c>
      <c r="BD559" t="s">
        <v>58</v>
      </c>
      <c r="BE559" t="s">
        <v>58</v>
      </c>
      <c r="BF559" t="s">
        <v>58</v>
      </c>
      <c r="BG559" t="s">
        <v>58</v>
      </c>
    </row>
    <row r="560" spans="1:59" x14ac:dyDescent="0.3">
      <c r="A560" t="s">
        <v>58</v>
      </c>
      <c r="B560" t="s">
        <v>58</v>
      </c>
      <c r="C560" t="s">
        <v>58</v>
      </c>
      <c r="D560" t="s">
        <v>58</v>
      </c>
      <c r="E560" t="s">
        <v>58</v>
      </c>
      <c r="J560" t="s">
        <v>58</v>
      </c>
      <c r="K560" t="s">
        <v>58</v>
      </c>
      <c r="L560" t="s">
        <v>58</v>
      </c>
      <c r="M560" t="s">
        <v>58</v>
      </c>
      <c r="N560" t="s">
        <v>58</v>
      </c>
      <c r="R560" t="s">
        <v>58</v>
      </c>
      <c r="S560" t="s">
        <v>58</v>
      </c>
      <c r="T560" t="s">
        <v>58</v>
      </c>
      <c r="U560" t="s">
        <v>58</v>
      </c>
      <c r="V560" t="s">
        <v>58</v>
      </c>
      <c r="Z560" t="s">
        <v>58</v>
      </c>
      <c r="AA560" t="s">
        <v>58</v>
      </c>
      <c r="AB560" t="s">
        <v>58</v>
      </c>
      <c r="AC560" t="s">
        <v>58</v>
      </c>
      <c r="AD560" t="s">
        <v>58</v>
      </c>
      <c r="AG560" t="s">
        <v>58</v>
      </c>
      <c r="AH560" t="s">
        <v>58</v>
      </c>
      <c r="AI560" t="s">
        <v>58</v>
      </c>
      <c r="AJ560" t="s">
        <v>58</v>
      </c>
      <c r="AK560" t="s">
        <v>58</v>
      </c>
      <c r="AO560" t="s">
        <v>58</v>
      </c>
      <c r="AP560" t="s">
        <v>58</v>
      </c>
      <c r="AQ560" t="s">
        <v>58</v>
      </c>
      <c r="AR560" t="s">
        <v>58</v>
      </c>
      <c r="AS560" t="s">
        <v>58</v>
      </c>
      <c r="AV560" t="s">
        <v>58</v>
      </c>
      <c r="AW560" t="s">
        <v>58</v>
      </c>
      <c r="AX560" t="s">
        <v>58</v>
      </c>
      <c r="AY560" t="s">
        <v>58</v>
      </c>
      <c r="AZ560" t="s">
        <v>58</v>
      </c>
      <c r="BC560" t="s">
        <v>58</v>
      </c>
      <c r="BD560" t="s">
        <v>58</v>
      </c>
      <c r="BE560" t="s">
        <v>58</v>
      </c>
      <c r="BF560" t="s">
        <v>58</v>
      </c>
      <c r="BG560" t="s">
        <v>58</v>
      </c>
    </row>
    <row r="561" spans="1:59" x14ac:dyDescent="0.3">
      <c r="A561" t="s">
        <v>58</v>
      </c>
      <c r="B561" t="s">
        <v>58</v>
      </c>
      <c r="C561" t="s">
        <v>58</v>
      </c>
      <c r="D561" t="s">
        <v>58</v>
      </c>
      <c r="E561" t="s">
        <v>58</v>
      </c>
      <c r="J561" t="s">
        <v>58</v>
      </c>
      <c r="K561" t="s">
        <v>58</v>
      </c>
      <c r="L561" t="s">
        <v>58</v>
      </c>
      <c r="M561" t="s">
        <v>58</v>
      </c>
      <c r="N561" t="s">
        <v>58</v>
      </c>
      <c r="R561" t="s">
        <v>58</v>
      </c>
      <c r="S561" t="s">
        <v>58</v>
      </c>
      <c r="T561" t="s">
        <v>58</v>
      </c>
      <c r="U561" t="s">
        <v>58</v>
      </c>
      <c r="V561" t="s">
        <v>58</v>
      </c>
      <c r="Z561" t="s">
        <v>58</v>
      </c>
      <c r="AA561" t="s">
        <v>58</v>
      </c>
      <c r="AB561" t="s">
        <v>58</v>
      </c>
      <c r="AC561" t="s">
        <v>58</v>
      </c>
      <c r="AD561" t="s">
        <v>58</v>
      </c>
      <c r="AG561" t="s">
        <v>58</v>
      </c>
      <c r="AH561" t="s">
        <v>58</v>
      </c>
      <c r="AI561" t="s">
        <v>58</v>
      </c>
      <c r="AJ561" t="s">
        <v>58</v>
      </c>
      <c r="AK561" t="s">
        <v>58</v>
      </c>
      <c r="AO561" t="s">
        <v>58</v>
      </c>
      <c r="AP561" t="s">
        <v>58</v>
      </c>
      <c r="AQ561" t="s">
        <v>58</v>
      </c>
      <c r="AR561" t="s">
        <v>58</v>
      </c>
      <c r="AS561" t="s">
        <v>58</v>
      </c>
      <c r="AV561" t="s">
        <v>58</v>
      </c>
      <c r="AW561" t="s">
        <v>58</v>
      </c>
      <c r="AX561" t="s">
        <v>58</v>
      </c>
      <c r="AY561" t="s">
        <v>58</v>
      </c>
      <c r="AZ561" t="s">
        <v>58</v>
      </c>
      <c r="BC561" t="s">
        <v>58</v>
      </c>
      <c r="BD561" t="s">
        <v>58</v>
      </c>
      <c r="BE561" t="s">
        <v>58</v>
      </c>
      <c r="BF561" t="s">
        <v>58</v>
      </c>
      <c r="BG561" t="s">
        <v>58</v>
      </c>
    </row>
    <row r="562" spans="1:59" x14ac:dyDescent="0.3">
      <c r="A562" t="s">
        <v>58</v>
      </c>
      <c r="B562" t="s">
        <v>58</v>
      </c>
      <c r="C562" t="s">
        <v>58</v>
      </c>
      <c r="D562" t="s">
        <v>58</v>
      </c>
      <c r="E562" t="s">
        <v>58</v>
      </c>
      <c r="J562" t="s">
        <v>58</v>
      </c>
      <c r="K562" t="s">
        <v>58</v>
      </c>
      <c r="L562" t="s">
        <v>58</v>
      </c>
      <c r="M562" t="s">
        <v>58</v>
      </c>
      <c r="N562" t="s">
        <v>58</v>
      </c>
      <c r="R562" t="s">
        <v>58</v>
      </c>
      <c r="S562" t="s">
        <v>58</v>
      </c>
      <c r="T562" t="s">
        <v>58</v>
      </c>
      <c r="U562" t="s">
        <v>58</v>
      </c>
      <c r="V562" t="s">
        <v>58</v>
      </c>
      <c r="Z562" t="s">
        <v>58</v>
      </c>
      <c r="AA562" t="s">
        <v>58</v>
      </c>
      <c r="AB562" t="s">
        <v>58</v>
      </c>
      <c r="AC562" t="s">
        <v>58</v>
      </c>
      <c r="AD562" t="s">
        <v>58</v>
      </c>
      <c r="AG562" t="s">
        <v>58</v>
      </c>
      <c r="AH562" t="s">
        <v>58</v>
      </c>
      <c r="AI562" t="s">
        <v>58</v>
      </c>
      <c r="AJ562" t="s">
        <v>58</v>
      </c>
      <c r="AK562" t="s">
        <v>58</v>
      </c>
      <c r="AO562" t="s">
        <v>58</v>
      </c>
      <c r="AP562" t="s">
        <v>58</v>
      </c>
      <c r="AQ562" t="s">
        <v>58</v>
      </c>
      <c r="AR562" t="s">
        <v>58</v>
      </c>
      <c r="AS562" t="s">
        <v>58</v>
      </c>
      <c r="AV562" t="s">
        <v>58</v>
      </c>
      <c r="AW562" t="s">
        <v>58</v>
      </c>
      <c r="AX562" t="s">
        <v>58</v>
      </c>
      <c r="AY562" t="s">
        <v>58</v>
      </c>
      <c r="AZ562" t="s">
        <v>58</v>
      </c>
      <c r="BC562" t="s">
        <v>58</v>
      </c>
      <c r="BD562" t="s">
        <v>58</v>
      </c>
      <c r="BE562" t="s">
        <v>58</v>
      </c>
      <c r="BF562" t="s">
        <v>58</v>
      </c>
      <c r="BG562" t="s">
        <v>58</v>
      </c>
    </row>
    <row r="563" spans="1:59" x14ac:dyDescent="0.3">
      <c r="A563" t="s">
        <v>58</v>
      </c>
      <c r="B563" t="s">
        <v>58</v>
      </c>
      <c r="C563" t="s">
        <v>58</v>
      </c>
      <c r="D563" t="s">
        <v>58</v>
      </c>
      <c r="E563" t="s">
        <v>58</v>
      </c>
      <c r="J563" t="s">
        <v>58</v>
      </c>
      <c r="K563" t="s">
        <v>58</v>
      </c>
      <c r="L563" t="s">
        <v>58</v>
      </c>
      <c r="M563" t="s">
        <v>58</v>
      </c>
      <c r="N563" t="s">
        <v>58</v>
      </c>
      <c r="R563" t="s">
        <v>58</v>
      </c>
      <c r="S563" t="s">
        <v>58</v>
      </c>
      <c r="T563" t="s">
        <v>58</v>
      </c>
      <c r="U563" t="s">
        <v>58</v>
      </c>
      <c r="V563" t="s">
        <v>58</v>
      </c>
      <c r="Z563" t="s">
        <v>58</v>
      </c>
      <c r="AA563" t="s">
        <v>58</v>
      </c>
      <c r="AB563" t="s">
        <v>58</v>
      </c>
      <c r="AC563" t="s">
        <v>58</v>
      </c>
      <c r="AD563" t="s">
        <v>58</v>
      </c>
      <c r="AG563" t="s">
        <v>58</v>
      </c>
      <c r="AH563" t="s">
        <v>58</v>
      </c>
      <c r="AI563" t="s">
        <v>58</v>
      </c>
      <c r="AJ563" t="s">
        <v>58</v>
      </c>
      <c r="AK563" t="s">
        <v>58</v>
      </c>
      <c r="AO563" t="s">
        <v>58</v>
      </c>
      <c r="AP563" t="s">
        <v>58</v>
      </c>
      <c r="AQ563" t="s">
        <v>58</v>
      </c>
      <c r="AR563" t="s">
        <v>58</v>
      </c>
      <c r="AS563" t="s">
        <v>58</v>
      </c>
      <c r="AV563" t="s">
        <v>58</v>
      </c>
      <c r="AW563" t="s">
        <v>58</v>
      </c>
      <c r="AX563" t="s">
        <v>58</v>
      </c>
      <c r="AY563" t="s">
        <v>58</v>
      </c>
      <c r="AZ563" t="s">
        <v>58</v>
      </c>
      <c r="BC563" t="s">
        <v>58</v>
      </c>
      <c r="BD563" t="s">
        <v>58</v>
      </c>
      <c r="BE563" t="s">
        <v>58</v>
      </c>
      <c r="BF563" t="s">
        <v>58</v>
      </c>
      <c r="BG563" t="s">
        <v>58</v>
      </c>
    </row>
    <row r="564" spans="1:59" x14ac:dyDescent="0.3">
      <c r="A564" t="s">
        <v>58</v>
      </c>
      <c r="B564" t="s">
        <v>58</v>
      </c>
      <c r="C564" t="s">
        <v>58</v>
      </c>
      <c r="D564" t="s">
        <v>58</v>
      </c>
      <c r="E564" t="s">
        <v>58</v>
      </c>
      <c r="J564" t="s">
        <v>58</v>
      </c>
      <c r="K564" t="s">
        <v>58</v>
      </c>
      <c r="L564" t="s">
        <v>58</v>
      </c>
      <c r="M564" t="s">
        <v>58</v>
      </c>
      <c r="N564" t="s">
        <v>58</v>
      </c>
      <c r="R564" t="s">
        <v>58</v>
      </c>
      <c r="S564" t="s">
        <v>58</v>
      </c>
      <c r="T564" t="s">
        <v>58</v>
      </c>
      <c r="U564" t="s">
        <v>58</v>
      </c>
      <c r="V564" t="s">
        <v>58</v>
      </c>
      <c r="Z564" t="s">
        <v>58</v>
      </c>
      <c r="AA564" t="s">
        <v>58</v>
      </c>
      <c r="AB564" t="s">
        <v>58</v>
      </c>
      <c r="AC564" t="s">
        <v>58</v>
      </c>
      <c r="AD564" t="s">
        <v>58</v>
      </c>
      <c r="AG564" t="s">
        <v>58</v>
      </c>
      <c r="AH564" t="s">
        <v>58</v>
      </c>
      <c r="AI564" t="s">
        <v>58</v>
      </c>
      <c r="AJ564" t="s">
        <v>58</v>
      </c>
      <c r="AK564" t="s">
        <v>58</v>
      </c>
      <c r="AO564" t="s">
        <v>58</v>
      </c>
      <c r="AP564" t="s">
        <v>58</v>
      </c>
      <c r="AQ564" t="s">
        <v>58</v>
      </c>
      <c r="AR564" t="s">
        <v>58</v>
      </c>
      <c r="AS564" t="s">
        <v>58</v>
      </c>
      <c r="AV564" t="s">
        <v>58</v>
      </c>
      <c r="AW564" t="s">
        <v>58</v>
      </c>
      <c r="AX564" t="s">
        <v>58</v>
      </c>
      <c r="AY564" t="s">
        <v>58</v>
      </c>
      <c r="AZ564" t="s">
        <v>58</v>
      </c>
      <c r="BC564" t="s">
        <v>58</v>
      </c>
      <c r="BD564" t="s">
        <v>58</v>
      </c>
      <c r="BE564" t="s">
        <v>58</v>
      </c>
      <c r="BF564" t="s">
        <v>58</v>
      </c>
      <c r="BG564" t="s">
        <v>58</v>
      </c>
    </row>
    <row r="565" spans="1:59" x14ac:dyDescent="0.3">
      <c r="A565" t="s">
        <v>58</v>
      </c>
      <c r="B565" t="s">
        <v>58</v>
      </c>
      <c r="C565" t="s">
        <v>58</v>
      </c>
      <c r="D565" t="s">
        <v>58</v>
      </c>
      <c r="E565" t="s">
        <v>58</v>
      </c>
      <c r="J565" t="s">
        <v>58</v>
      </c>
      <c r="K565" t="s">
        <v>58</v>
      </c>
      <c r="L565" t="s">
        <v>58</v>
      </c>
      <c r="M565" t="s">
        <v>58</v>
      </c>
      <c r="N565" t="s">
        <v>58</v>
      </c>
      <c r="R565" t="s">
        <v>58</v>
      </c>
      <c r="S565" t="s">
        <v>58</v>
      </c>
      <c r="T565" t="s">
        <v>58</v>
      </c>
      <c r="U565" t="s">
        <v>58</v>
      </c>
      <c r="V565" t="s">
        <v>58</v>
      </c>
      <c r="Z565" t="s">
        <v>58</v>
      </c>
      <c r="AA565" t="s">
        <v>58</v>
      </c>
      <c r="AB565" t="s">
        <v>58</v>
      </c>
      <c r="AC565" t="s">
        <v>58</v>
      </c>
      <c r="AD565" t="s">
        <v>58</v>
      </c>
      <c r="AG565" t="s">
        <v>58</v>
      </c>
      <c r="AH565" t="s">
        <v>58</v>
      </c>
      <c r="AI565" t="s">
        <v>58</v>
      </c>
      <c r="AJ565" t="s">
        <v>58</v>
      </c>
      <c r="AK565" t="s">
        <v>58</v>
      </c>
      <c r="AO565" t="s">
        <v>58</v>
      </c>
      <c r="AP565" t="s">
        <v>58</v>
      </c>
      <c r="AQ565" t="s">
        <v>58</v>
      </c>
      <c r="AR565" t="s">
        <v>58</v>
      </c>
      <c r="AS565" t="s">
        <v>58</v>
      </c>
      <c r="AV565" t="s">
        <v>58</v>
      </c>
      <c r="AW565" t="s">
        <v>58</v>
      </c>
      <c r="AX565" t="s">
        <v>58</v>
      </c>
      <c r="AY565" t="s">
        <v>58</v>
      </c>
      <c r="AZ565" t="s">
        <v>58</v>
      </c>
      <c r="BC565" t="s">
        <v>58</v>
      </c>
      <c r="BD565" t="s">
        <v>58</v>
      </c>
      <c r="BE565" t="s">
        <v>58</v>
      </c>
      <c r="BF565" t="s">
        <v>58</v>
      </c>
      <c r="BG565" t="s">
        <v>58</v>
      </c>
    </row>
    <row r="566" spans="1:59" x14ac:dyDescent="0.3">
      <c r="A566" t="s">
        <v>58</v>
      </c>
      <c r="B566" t="s">
        <v>58</v>
      </c>
      <c r="C566" t="s">
        <v>58</v>
      </c>
      <c r="D566" t="s">
        <v>58</v>
      </c>
      <c r="E566" t="s">
        <v>58</v>
      </c>
      <c r="J566" t="s">
        <v>58</v>
      </c>
      <c r="K566" t="s">
        <v>58</v>
      </c>
      <c r="L566" t="s">
        <v>58</v>
      </c>
      <c r="M566" t="s">
        <v>58</v>
      </c>
      <c r="N566" t="s">
        <v>58</v>
      </c>
      <c r="R566" t="s">
        <v>58</v>
      </c>
      <c r="S566" t="s">
        <v>58</v>
      </c>
      <c r="T566" t="s">
        <v>58</v>
      </c>
      <c r="U566" t="s">
        <v>58</v>
      </c>
      <c r="V566" t="s">
        <v>58</v>
      </c>
      <c r="Z566" t="s">
        <v>58</v>
      </c>
      <c r="AA566" t="s">
        <v>58</v>
      </c>
      <c r="AB566" t="s">
        <v>58</v>
      </c>
      <c r="AC566" t="s">
        <v>58</v>
      </c>
      <c r="AD566" t="s">
        <v>58</v>
      </c>
      <c r="AG566" t="s">
        <v>58</v>
      </c>
      <c r="AH566" t="s">
        <v>58</v>
      </c>
      <c r="AI566" t="s">
        <v>58</v>
      </c>
      <c r="AJ566" t="s">
        <v>58</v>
      </c>
      <c r="AK566" t="s">
        <v>58</v>
      </c>
      <c r="AO566" t="s">
        <v>58</v>
      </c>
      <c r="AP566" t="s">
        <v>58</v>
      </c>
      <c r="AQ566" t="s">
        <v>58</v>
      </c>
      <c r="AR566" t="s">
        <v>58</v>
      </c>
      <c r="AS566" t="s">
        <v>58</v>
      </c>
      <c r="AV566" t="s">
        <v>58</v>
      </c>
      <c r="AW566" t="s">
        <v>58</v>
      </c>
      <c r="AX566" t="s">
        <v>58</v>
      </c>
      <c r="AY566" t="s">
        <v>58</v>
      </c>
      <c r="AZ566" t="s">
        <v>58</v>
      </c>
      <c r="BC566" t="s">
        <v>58</v>
      </c>
      <c r="BD566" t="s">
        <v>58</v>
      </c>
      <c r="BE566" t="s">
        <v>58</v>
      </c>
      <c r="BF566" t="s">
        <v>58</v>
      </c>
      <c r="BG566" t="s">
        <v>58</v>
      </c>
    </row>
    <row r="567" spans="1:59" x14ac:dyDescent="0.3">
      <c r="A567" t="s">
        <v>58</v>
      </c>
      <c r="B567" t="s">
        <v>58</v>
      </c>
      <c r="C567" t="s">
        <v>58</v>
      </c>
      <c r="D567" t="s">
        <v>58</v>
      </c>
      <c r="E567" t="s">
        <v>58</v>
      </c>
      <c r="J567" t="s">
        <v>58</v>
      </c>
      <c r="K567" t="s">
        <v>58</v>
      </c>
      <c r="L567" t="s">
        <v>58</v>
      </c>
      <c r="M567" t="s">
        <v>58</v>
      </c>
      <c r="N567" t="s">
        <v>58</v>
      </c>
      <c r="R567" t="s">
        <v>58</v>
      </c>
      <c r="S567" t="s">
        <v>58</v>
      </c>
      <c r="T567" t="s">
        <v>58</v>
      </c>
      <c r="U567" t="s">
        <v>58</v>
      </c>
      <c r="V567" t="s">
        <v>58</v>
      </c>
      <c r="Z567" t="s">
        <v>58</v>
      </c>
      <c r="AA567" t="s">
        <v>58</v>
      </c>
      <c r="AB567" t="s">
        <v>58</v>
      </c>
      <c r="AC567" t="s">
        <v>58</v>
      </c>
      <c r="AD567" t="s">
        <v>58</v>
      </c>
      <c r="AG567" t="s">
        <v>58</v>
      </c>
      <c r="AH567" t="s">
        <v>58</v>
      </c>
      <c r="AI567" t="s">
        <v>58</v>
      </c>
      <c r="AJ567" t="s">
        <v>58</v>
      </c>
      <c r="AK567" t="s">
        <v>58</v>
      </c>
      <c r="AO567" t="s">
        <v>58</v>
      </c>
      <c r="AP567" t="s">
        <v>58</v>
      </c>
      <c r="AQ567" t="s">
        <v>58</v>
      </c>
      <c r="AR567" t="s">
        <v>58</v>
      </c>
      <c r="AS567" t="s">
        <v>58</v>
      </c>
      <c r="AV567" t="s">
        <v>58</v>
      </c>
      <c r="AW567" t="s">
        <v>58</v>
      </c>
      <c r="AX567" t="s">
        <v>58</v>
      </c>
      <c r="AY567" t="s">
        <v>58</v>
      </c>
      <c r="AZ567" t="s">
        <v>58</v>
      </c>
      <c r="BC567" t="s">
        <v>58</v>
      </c>
      <c r="BD567" t="s">
        <v>58</v>
      </c>
      <c r="BE567" t="s">
        <v>58</v>
      </c>
      <c r="BF567" t="s">
        <v>58</v>
      </c>
      <c r="BG567" t="s">
        <v>58</v>
      </c>
    </row>
    <row r="568" spans="1:59" x14ac:dyDescent="0.3">
      <c r="A568" t="s">
        <v>58</v>
      </c>
      <c r="B568" t="s">
        <v>58</v>
      </c>
      <c r="C568" t="s">
        <v>58</v>
      </c>
      <c r="D568" t="s">
        <v>58</v>
      </c>
      <c r="E568" t="s">
        <v>58</v>
      </c>
      <c r="J568" t="s">
        <v>58</v>
      </c>
      <c r="K568" t="s">
        <v>58</v>
      </c>
      <c r="L568" t="s">
        <v>58</v>
      </c>
      <c r="M568" t="s">
        <v>58</v>
      </c>
      <c r="N568" t="s">
        <v>58</v>
      </c>
      <c r="R568" t="s">
        <v>58</v>
      </c>
      <c r="S568" t="s">
        <v>58</v>
      </c>
      <c r="T568" t="s">
        <v>58</v>
      </c>
      <c r="U568" t="s">
        <v>58</v>
      </c>
      <c r="V568" t="s">
        <v>58</v>
      </c>
      <c r="Z568" t="s">
        <v>58</v>
      </c>
      <c r="AA568" t="s">
        <v>58</v>
      </c>
      <c r="AB568" t="s">
        <v>58</v>
      </c>
      <c r="AC568" t="s">
        <v>58</v>
      </c>
      <c r="AD568" t="s">
        <v>58</v>
      </c>
      <c r="AG568" t="s">
        <v>58</v>
      </c>
      <c r="AH568" t="s">
        <v>58</v>
      </c>
      <c r="AI568" t="s">
        <v>58</v>
      </c>
      <c r="AJ568" t="s">
        <v>58</v>
      </c>
      <c r="AK568" t="s">
        <v>58</v>
      </c>
      <c r="AO568" t="s">
        <v>58</v>
      </c>
      <c r="AP568" t="s">
        <v>58</v>
      </c>
      <c r="AQ568" t="s">
        <v>58</v>
      </c>
      <c r="AR568" t="s">
        <v>58</v>
      </c>
      <c r="AS568" t="s">
        <v>58</v>
      </c>
      <c r="AV568" t="s">
        <v>58</v>
      </c>
      <c r="AW568" t="s">
        <v>58</v>
      </c>
      <c r="AX568" t="s">
        <v>58</v>
      </c>
      <c r="AY568" t="s">
        <v>58</v>
      </c>
      <c r="AZ568" t="s">
        <v>58</v>
      </c>
      <c r="BC568" t="s">
        <v>58</v>
      </c>
      <c r="BD568" t="s">
        <v>58</v>
      </c>
      <c r="BE568" t="s">
        <v>58</v>
      </c>
      <c r="BF568" t="s">
        <v>58</v>
      </c>
      <c r="BG568" t="s">
        <v>58</v>
      </c>
    </row>
    <row r="569" spans="1:59" x14ac:dyDescent="0.3">
      <c r="A569" t="s">
        <v>58</v>
      </c>
      <c r="B569" t="s">
        <v>58</v>
      </c>
      <c r="C569" t="s">
        <v>58</v>
      </c>
      <c r="D569" t="s">
        <v>58</v>
      </c>
      <c r="E569" t="s">
        <v>58</v>
      </c>
      <c r="J569" t="s">
        <v>58</v>
      </c>
      <c r="K569" t="s">
        <v>58</v>
      </c>
      <c r="L569" t="s">
        <v>58</v>
      </c>
      <c r="M569" t="s">
        <v>58</v>
      </c>
      <c r="N569" t="s">
        <v>58</v>
      </c>
      <c r="R569" t="s">
        <v>58</v>
      </c>
      <c r="S569" t="s">
        <v>58</v>
      </c>
      <c r="T569" t="s">
        <v>58</v>
      </c>
      <c r="U569" t="s">
        <v>58</v>
      </c>
      <c r="V569" t="s">
        <v>58</v>
      </c>
      <c r="Z569" t="s">
        <v>58</v>
      </c>
      <c r="AA569" t="s">
        <v>58</v>
      </c>
      <c r="AB569" t="s">
        <v>58</v>
      </c>
      <c r="AC569" t="s">
        <v>58</v>
      </c>
      <c r="AD569" t="s">
        <v>58</v>
      </c>
      <c r="AG569" t="s">
        <v>58</v>
      </c>
      <c r="AH569" t="s">
        <v>58</v>
      </c>
      <c r="AI569" t="s">
        <v>58</v>
      </c>
      <c r="AJ569" t="s">
        <v>58</v>
      </c>
      <c r="AK569" t="s">
        <v>58</v>
      </c>
      <c r="AO569" t="s">
        <v>58</v>
      </c>
      <c r="AP569" t="s">
        <v>58</v>
      </c>
      <c r="AQ569" t="s">
        <v>58</v>
      </c>
      <c r="AR569" t="s">
        <v>58</v>
      </c>
      <c r="AS569" t="s">
        <v>58</v>
      </c>
      <c r="AV569" t="s">
        <v>58</v>
      </c>
      <c r="AW569" t="s">
        <v>58</v>
      </c>
      <c r="AX569" t="s">
        <v>58</v>
      </c>
      <c r="AY569" t="s">
        <v>58</v>
      </c>
      <c r="AZ569" t="s">
        <v>58</v>
      </c>
      <c r="BC569" t="s">
        <v>58</v>
      </c>
      <c r="BD569" t="s">
        <v>58</v>
      </c>
      <c r="BE569" t="s">
        <v>58</v>
      </c>
      <c r="BF569" t="s">
        <v>58</v>
      </c>
      <c r="BG569" t="s">
        <v>58</v>
      </c>
    </row>
    <row r="570" spans="1:59" x14ac:dyDescent="0.3">
      <c r="A570" t="s">
        <v>58</v>
      </c>
      <c r="B570" t="s">
        <v>58</v>
      </c>
      <c r="C570" t="s">
        <v>58</v>
      </c>
      <c r="D570" t="s">
        <v>58</v>
      </c>
      <c r="E570" t="s">
        <v>58</v>
      </c>
      <c r="J570" t="s">
        <v>58</v>
      </c>
      <c r="K570" t="s">
        <v>58</v>
      </c>
      <c r="L570" t="s">
        <v>58</v>
      </c>
      <c r="M570" t="s">
        <v>58</v>
      </c>
      <c r="N570" t="s">
        <v>58</v>
      </c>
      <c r="R570" t="s">
        <v>58</v>
      </c>
      <c r="S570" t="s">
        <v>58</v>
      </c>
      <c r="T570" t="s">
        <v>58</v>
      </c>
      <c r="U570" t="s">
        <v>58</v>
      </c>
      <c r="V570" t="s">
        <v>58</v>
      </c>
      <c r="Z570" t="s">
        <v>58</v>
      </c>
      <c r="AA570" t="s">
        <v>58</v>
      </c>
      <c r="AB570" t="s">
        <v>58</v>
      </c>
      <c r="AC570" t="s">
        <v>58</v>
      </c>
      <c r="AD570" t="s">
        <v>58</v>
      </c>
      <c r="AG570" t="s">
        <v>58</v>
      </c>
      <c r="AH570" t="s">
        <v>58</v>
      </c>
      <c r="AI570" t="s">
        <v>58</v>
      </c>
      <c r="AJ570" t="s">
        <v>58</v>
      </c>
      <c r="AK570" t="s">
        <v>58</v>
      </c>
      <c r="AO570" t="s">
        <v>58</v>
      </c>
      <c r="AP570" t="s">
        <v>58</v>
      </c>
      <c r="AQ570" t="s">
        <v>58</v>
      </c>
      <c r="AR570" t="s">
        <v>58</v>
      </c>
      <c r="AS570" t="s">
        <v>58</v>
      </c>
      <c r="AV570" t="s">
        <v>58</v>
      </c>
      <c r="AW570" t="s">
        <v>58</v>
      </c>
      <c r="AX570" t="s">
        <v>58</v>
      </c>
      <c r="AY570" t="s">
        <v>58</v>
      </c>
      <c r="AZ570" t="s">
        <v>58</v>
      </c>
      <c r="BC570" t="s">
        <v>58</v>
      </c>
      <c r="BD570" t="s">
        <v>58</v>
      </c>
      <c r="BE570" t="s">
        <v>58</v>
      </c>
      <c r="BF570" t="s">
        <v>58</v>
      </c>
      <c r="BG570" t="s">
        <v>58</v>
      </c>
    </row>
    <row r="571" spans="1:59" x14ac:dyDescent="0.3">
      <c r="A571" t="s">
        <v>58</v>
      </c>
      <c r="B571" t="s">
        <v>58</v>
      </c>
      <c r="C571" t="s">
        <v>58</v>
      </c>
      <c r="D571" t="s">
        <v>58</v>
      </c>
      <c r="E571" t="s">
        <v>58</v>
      </c>
      <c r="J571" t="s">
        <v>58</v>
      </c>
      <c r="K571" t="s">
        <v>58</v>
      </c>
      <c r="L571" t="s">
        <v>58</v>
      </c>
      <c r="M571" t="s">
        <v>58</v>
      </c>
      <c r="N571" t="s">
        <v>58</v>
      </c>
      <c r="R571" t="s">
        <v>58</v>
      </c>
      <c r="S571" t="s">
        <v>58</v>
      </c>
      <c r="T571" t="s">
        <v>58</v>
      </c>
      <c r="U571" t="s">
        <v>58</v>
      </c>
      <c r="V571" t="s">
        <v>58</v>
      </c>
      <c r="Z571" t="s">
        <v>58</v>
      </c>
      <c r="AA571" t="s">
        <v>58</v>
      </c>
      <c r="AB571" t="s">
        <v>58</v>
      </c>
      <c r="AC571" t="s">
        <v>58</v>
      </c>
      <c r="AD571" t="s">
        <v>58</v>
      </c>
      <c r="AG571" t="s">
        <v>58</v>
      </c>
      <c r="AH571" t="s">
        <v>58</v>
      </c>
      <c r="AI571" t="s">
        <v>58</v>
      </c>
      <c r="AJ571" t="s">
        <v>58</v>
      </c>
      <c r="AK571" t="s">
        <v>58</v>
      </c>
      <c r="AO571" t="s">
        <v>58</v>
      </c>
      <c r="AP571" t="s">
        <v>58</v>
      </c>
      <c r="AQ571" t="s">
        <v>58</v>
      </c>
      <c r="AR571" t="s">
        <v>58</v>
      </c>
      <c r="AS571" t="s">
        <v>58</v>
      </c>
      <c r="AV571" t="s">
        <v>58</v>
      </c>
      <c r="AW571" t="s">
        <v>58</v>
      </c>
      <c r="AX571" t="s">
        <v>58</v>
      </c>
      <c r="AY571" t="s">
        <v>58</v>
      </c>
      <c r="AZ571" t="s">
        <v>58</v>
      </c>
      <c r="BC571" t="s">
        <v>58</v>
      </c>
      <c r="BD571" t="s">
        <v>58</v>
      </c>
      <c r="BE571" t="s">
        <v>58</v>
      </c>
      <c r="BF571" t="s">
        <v>58</v>
      </c>
      <c r="BG571" t="s">
        <v>58</v>
      </c>
    </row>
    <row r="572" spans="1:59" x14ac:dyDescent="0.3">
      <c r="A572" t="s">
        <v>58</v>
      </c>
      <c r="B572" t="s">
        <v>58</v>
      </c>
      <c r="C572" t="s">
        <v>58</v>
      </c>
      <c r="D572" t="s">
        <v>58</v>
      </c>
      <c r="E572" t="s">
        <v>58</v>
      </c>
      <c r="J572" t="s">
        <v>58</v>
      </c>
      <c r="K572" t="s">
        <v>58</v>
      </c>
      <c r="L572" t="s">
        <v>58</v>
      </c>
      <c r="M572" t="s">
        <v>58</v>
      </c>
      <c r="N572" t="s">
        <v>58</v>
      </c>
      <c r="R572" t="s">
        <v>58</v>
      </c>
      <c r="S572" t="s">
        <v>58</v>
      </c>
      <c r="T572" t="s">
        <v>58</v>
      </c>
      <c r="U572" t="s">
        <v>58</v>
      </c>
      <c r="V572" t="s">
        <v>58</v>
      </c>
      <c r="Z572" t="s">
        <v>58</v>
      </c>
      <c r="AA572" t="s">
        <v>58</v>
      </c>
      <c r="AB572" t="s">
        <v>58</v>
      </c>
      <c r="AC572" t="s">
        <v>58</v>
      </c>
      <c r="AD572" t="s">
        <v>58</v>
      </c>
      <c r="AG572" t="s">
        <v>58</v>
      </c>
      <c r="AH572" t="s">
        <v>58</v>
      </c>
      <c r="AI572" t="s">
        <v>58</v>
      </c>
      <c r="AJ572" t="s">
        <v>58</v>
      </c>
      <c r="AK572" t="s">
        <v>58</v>
      </c>
      <c r="AO572" t="s">
        <v>58</v>
      </c>
      <c r="AP572" t="s">
        <v>58</v>
      </c>
      <c r="AQ572" t="s">
        <v>58</v>
      </c>
      <c r="AR572" t="s">
        <v>58</v>
      </c>
      <c r="AS572" t="s">
        <v>58</v>
      </c>
      <c r="AV572" t="s">
        <v>58</v>
      </c>
      <c r="AW572" t="s">
        <v>58</v>
      </c>
      <c r="AX572" t="s">
        <v>58</v>
      </c>
      <c r="AY572" t="s">
        <v>58</v>
      </c>
      <c r="AZ572" t="s">
        <v>58</v>
      </c>
      <c r="BC572" t="s">
        <v>58</v>
      </c>
      <c r="BD572" t="s">
        <v>58</v>
      </c>
      <c r="BE572" t="s">
        <v>58</v>
      </c>
      <c r="BF572" t="s">
        <v>58</v>
      </c>
      <c r="BG572" t="s">
        <v>58</v>
      </c>
    </row>
    <row r="573" spans="1:59" x14ac:dyDescent="0.3">
      <c r="A573" t="s">
        <v>58</v>
      </c>
      <c r="B573" t="s">
        <v>58</v>
      </c>
      <c r="C573" t="s">
        <v>58</v>
      </c>
      <c r="D573" t="s">
        <v>58</v>
      </c>
      <c r="E573" t="s">
        <v>58</v>
      </c>
      <c r="J573" t="s">
        <v>58</v>
      </c>
      <c r="K573" t="s">
        <v>58</v>
      </c>
      <c r="L573" t="s">
        <v>58</v>
      </c>
      <c r="M573" t="s">
        <v>58</v>
      </c>
      <c r="N573" t="s">
        <v>58</v>
      </c>
      <c r="R573" t="s">
        <v>58</v>
      </c>
      <c r="S573" t="s">
        <v>58</v>
      </c>
      <c r="T573" t="s">
        <v>58</v>
      </c>
      <c r="U573" t="s">
        <v>58</v>
      </c>
      <c r="V573" t="s">
        <v>58</v>
      </c>
      <c r="Z573" t="s">
        <v>58</v>
      </c>
      <c r="AA573" t="s">
        <v>58</v>
      </c>
      <c r="AB573" t="s">
        <v>58</v>
      </c>
      <c r="AC573" t="s">
        <v>58</v>
      </c>
      <c r="AD573" t="s">
        <v>58</v>
      </c>
      <c r="AG573" t="s">
        <v>58</v>
      </c>
      <c r="AH573" t="s">
        <v>58</v>
      </c>
      <c r="AI573" t="s">
        <v>58</v>
      </c>
      <c r="AJ573" t="s">
        <v>58</v>
      </c>
      <c r="AK573" t="s">
        <v>58</v>
      </c>
      <c r="AO573" t="s">
        <v>58</v>
      </c>
      <c r="AP573" t="s">
        <v>58</v>
      </c>
      <c r="AQ573" t="s">
        <v>58</v>
      </c>
      <c r="AR573" t="s">
        <v>58</v>
      </c>
      <c r="AS573" t="s">
        <v>58</v>
      </c>
      <c r="AV573" t="s">
        <v>58</v>
      </c>
      <c r="AW573" t="s">
        <v>58</v>
      </c>
      <c r="AX573" t="s">
        <v>58</v>
      </c>
      <c r="AY573" t="s">
        <v>58</v>
      </c>
      <c r="AZ573" t="s">
        <v>58</v>
      </c>
      <c r="BC573" t="s">
        <v>58</v>
      </c>
      <c r="BD573" t="s">
        <v>58</v>
      </c>
      <c r="BE573" t="s">
        <v>58</v>
      </c>
      <c r="BF573" t="s">
        <v>58</v>
      </c>
      <c r="BG573" t="s">
        <v>58</v>
      </c>
    </row>
    <row r="574" spans="1:59" x14ac:dyDescent="0.3">
      <c r="A574" t="s">
        <v>58</v>
      </c>
      <c r="B574" t="s">
        <v>58</v>
      </c>
      <c r="C574" t="s">
        <v>58</v>
      </c>
      <c r="D574" t="s">
        <v>58</v>
      </c>
      <c r="E574" t="s">
        <v>58</v>
      </c>
      <c r="J574" t="s">
        <v>58</v>
      </c>
      <c r="K574" t="s">
        <v>58</v>
      </c>
      <c r="L574" t="s">
        <v>58</v>
      </c>
      <c r="M574" t="s">
        <v>58</v>
      </c>
      <c r="N574" t="s">
        <v>58</v>
      </c>
      <c r="R574" t="s">
        <v>58</v>
      </c>
      <c r="S574" t="s">
        <v>58</v>
      </c>
      <c r="T574" t="s">
        <v>58</v>
      </c>
      <c r="U574" t="s">
        <v>58</v>
      </c>
      <c r="V574" t="s">
        <v>58</v>
      </c>
      <c r="Z574" t="s">
        <v>58</v>
      </c>
      <c r="AA574" t="s">
        <v>58</v>
      </c>
      <c r="AB574" t="s">
        <v>58</v>
      </c>
      <c r="AC574" t="s">
        <v>58</v>
      </c>
      <c r="AD574" t="s">
        <v>58</v>
      </c>
      <c r="AG574" t="s">
        <v>58</v>
      </c>
      <c r="AH574" t="s">
        <v>58</v>
      </c>
      <c r="AI574" t="s">
        <v>58</v>
      </c>
      <c r="AJ574" t="s">
        <v>58</v>
      </c>
      <c r="AK574" t="s">
        <v>58</v>
      </c>
      <c r="AO574" t="s">
        <v>58</v>
      </c>
      <c r="AP574" t="s">
        <v>58</v>
      </c>
      <c r="AQ574" t="s">
        <v>58</v>
      </c>
      <c r="AR574" t="s">
        <v>58</v>
      </c>
      <c r="AS574" t="s">
        <v>58</v>
      </c>
      <c r="AV574" t="s">
        <v>58</v>
      </c>
      <c r="AW574" t="s">
        <v>58</v>
      </c>
      <c r="AX574" t="s">
        <v>58</v>
      </c>
      <c r="AY574" t="s">
        <v>58</v>
      </c>
      <c r="AZ574" t="s">
        <v>58</v>
      </c>
      <c r="BC574" t="s">
        <v>58</v>
      </c>
      <c r="BD574" t="s">
        <v>58</v>
      </c>
      <c r="BE574" t="s">
        <v>58</v>
      </c>
      <c r="BF574" t="s">
        <v>58</v>
      </c>
      <c r="BG574" t="s">
        <v>58</v>
      </c>
    </row>
    <row r="575" spans="1:59" x14ac:dyDescent="0.3">
      <c r="A575" t="s">
        <v>58</v>
      </c>
      <c r="B575" t="s">
        <v>58</v>
      </c>
      <c r="C575" t="s">
        <v>58</v>
      </c>
      <c r="D575" t="s">
        <v>58</v>
      </c>
      <c r="E575" t="s">
        <v>58</v>
      </c>
      <c r="J575" t="s">
        <v>58</v>
      </c>
      <c r="K575" t="s">
        <v>58</v>
      </c>
      <c r="L575" t="s">
        <v>58</v>
      </c>
      <c r="M575" t="s">
        <v>58</v>
      </c>
      <c r="N575" t="s">
        <v>58</v>
      </c>
      <c r="R575" t="s">
        <v>58</v>
      </c>
      <c r="S575" t="s">
        <v>58</v>
      </c>
      <c r="T575" t="s">
        <v>58</v>
      </c>
      <c r="U575" t="s">
        <v>58</v>
      </c>
      <c r="V575" t="s">
        <v>58</v>
      </c>
      <c r="Z575" t="s">
        <v>58</v>
      </c>
      <c r="AA575" t="s">
        <v>58</v>
      </c>
      <c r="AB575" t="s">
        <v>58</v>
      </c>
      <c r="AC575" t="s">
        <v>58</v>
      </c>
      <c r="AD575" t="s">
        <v>58</v>
      </c>
      <c r="AG575" t="s">
        <v>58</v>
      </c>
      <c r="AH575" t="s">
        <v>58</v>
      </c>
      <c r="AI575" t="s">
        <v>58</v>
      </c>
      <c r="AJ575" t="s">
        <v>58</v>
      </c>
      <c r="AK575" t="s">
        <v>58</v>
      </c>
      <c r="AO575" t="s">
        <v>58</v>
      </c>
      <c r="AP575" t="s">
        <v>58</v>
      </c>
      <c r="AQ575" t="s">
        <v>58</v>
      </c>
      <c r="AR575" t="s">
        <v>58</v>
      </c>
      <c r="AS575" t="s">
        <v>58</v>
      </c>
      <c r="AV575" t="s">
        <v>58</v>
      </c>
      <c r="AW575" t="s">
        <v>58</v>
      </c>
      <c r="AX575" t="s">
        <v>58</v>
      </c>
      <c r="AY575" t="s">
        <v>58</v>
      </c>
      <c r="AZ575" t="s">
        <v>58</v>
      </c>
      <c r="BC575" t="s">
        <v>58</v>
      </c>
      <c r="BD575" t="s">
        <v>58</v>
      </c>
      <c r="BE575" t="s">
        <v>58</v>
      </c>
      <c r="BF575" t="s">
        <v>58</v>
      </c>
      <c r="BG575" t="s">
        <v>58</v>
      </c>
    </row>
    <row r="576" spans="1:59" x14ac:dyDescent="0.3">
      <c r="A576" t="s">
        <v>58</v>
      </c>
      <c r="B576" t="s">
        <v>58</v>
      </c>
      <c r="C576" t="s">
        <v>58</v>
      </c>
      <c r="D576" t="s">
        <v>58</v>
      </c>
      <c r="E576" t="s">
        <v>58</v>
      </c>
      <c r="J576" t="s">
        <v>58</v>
      </c>
      <c r="K576" t="s">
        <v>58</v>
      </c>
      <c r="L576" t="s">
        <v>58</v>
      </c>
      <c r="M576" t="s">
        <v>58</v>
      </c>
      <c r="N576" t="s">
        <v>58</v>
      </c>
      <c r="R576" t="s">
        <v>58</v>
      </c>
      <c r="S576" t="s">
        <v>58</v>
      </c>
      <c r="T576" t="s">
        <v>58</v>
      </c>
      <c r="U576" t="s">
        <v>58</v>
      </c>
      <c r="V576" t="s">
        <v>58</v>
      </c>
      <c r="Z576" t="s">
        <v>58</v>
      </c>
      <c r="AA576" t="s">
        <v>58</v>
      </c>
      <c r="AB576" t="s">
        <v>58</v>
      </c>
      <c r="AC576" t="s">
        <v>58</v>
      </c>
      <c r="AD576" t="s">
        <v>58</v>
      </c>
      <c r="AG576" t="s">
        <v>58</v>
      </c>
      <c r="AH576" t="s">
        <v>58</v>
      </c>
      <c r="AI576" t="s">
        <v>58</v>
      </c>
      <c r="AJ576" t="s">
        <v>58</v>
      </c>
      <c r="AK576" t="s">
        <v>58</v>
      </c>
      <c r="AO576" t="s">
        <v>58</v>
      </c>
      <c r="AP576" t="s">
        <v>58</v>
      </c>
      <c r="AQ576" t="s">
        <v>58</v>
      </c>
      <c r="AR576" t="s">
        <v>58</v>
      </c>
      <c r="AS576" t="s">
        <v>58</v>
      </c>
      <c r="AV576" t="s">
        <v>58</v>
      </c>
      <c r="AW576" t="s">
        <v>58</v>
      </c>
      <c r="AX576" t="s">
        <v>58</v>
      </c>
      <c r="AY576" t="s">
        <v>58</v>
      </c>
      <c r="AZ576" t="s">
        <v>58</v>
      </c>
      <c r="BC576" t="s">
        <v>58</v>
      </c>
      <c r="BD576" t="s">
        <v>58</v>
      </c>
      <c r="BE576" t="s">
        <v>58</v>
      </c>
      <c r="BF576" t="s">
        <v>58</v>
      </c>
      <c r="BG576" t="s">
        <v>58</v>
      </c>
    </row>
    <row r="577" spans="1:59" x14ac:dyDescent="0.3">
      <c r="A577" t="s">
        <v>58</v>
      </c>
      <c r="B577" t="s">
        <v>58</v>
      </c>
      <c r="C577" t="s">
        <v>58</v>
      </c>
      <c r="D577" t="s">
        <v>58</v>
      </c>
      <c r="E577" t="s">
        <v>58</v>
      </c>
      <c r="J577" t="s">
        <v>58</v>
      </c>
      <c r="K577" t="s">
        <v>58</v>
      </c>
      <c r="L577" t="s">
        <v>58</v>
      </c>
      <c r="M577" t="s">
        <v>58</v>
      </c>
      <c r="N577" t="s">
        <v>58</v>
      </c>
      <c r="R577" t="s">
        <v>58</v>
      </c>
      <c r="S577" t="s">
        <v>58</v>
      </c>
      <c r="T577" t="s">
        <v>58</v>
      </c>
      <c r="U577" t="s">
        <v>58</v>
      </c>
      <c r="V577" t="s">
        <v>58</v>
      </c>
      <c r="Z577" t="s">
        <v>58</v>
      </c>
      <c r="AA577" t="s">
        <v>58</v>
      </c>
      <c r="AB577" t="s">
        <v>58</v>
      </c>
      <c r="AC577" t="s">
        <v>58</v>
      </c>
      <c r="AD577" t="s">
        <v>58</v>
      </c>
      <c r="AG577" t="s">
        <v>58</v>
      </c>
      <c r="AH577" t="s">
        <v>58</v>
      </c>
      <c r="AI577" t="s">
        <v>58</v>
      </c>
      <c r="AJ577" t="s">
        <v>58</v>
      </c>
      <c r="AK577" t="s">
        <v>58</v>
      </c>
      <c r="AO577" t="s">
        <v>58</v>
      </c>
      <c r="AP577" t="s">
        <v>58</v>
      </c>
      <c r="AQ577" t="s">
        <v>58</v>
      </c>
      <c r="AR577" t="s">
        <v>58</v>
      </c>
      <c r="AS577" t="s">
        <v>58</v>
      </c>
      <c r="AV577" t="s">
        <v>58</v>
      </c>
      <c r="AW577" t="s">
        <v>58</v>
      </c>
      <c r="AX577" t="s">
        <v>58</v>
      </c>
      <c r="AY577" t="s">
        <v>58</v>
      </c>
      <c r="AZ577" t="s">
        <v>58</v>
      </c>
      <c r="BC577" t="s">
        <v>58</v>
      </c>
      <c r="BD577" t="s">
        <v>58</v>
      </c>
      <c r="BE577" t="s">
        <v>58</v>
      </c>
      <c r="BF577" t="s">
        <v>58</v>
      </c>
      <c r="BG577" t="s">
        <v>58</v>
      </c>
    </row>
    <row r="578" spans="1:59" x14ac:dyDescent="0.3">
      <c r="A578" t="s">
        <v>58</v>
      </c>
      <c r="B578" t="s">
        <v>58</v>
      </c>
      <c r="C578" t="s">
        <v>58</v>
      </c>
      <c r="D578" t="s">
        <v>58</v>
      </c>
      <c r="E578" t="s">
        <v>58</v>
      </c>
      <c r="J578" t="s">
        <v>58</v>
      </c>
      <c r="K578" t="s">
        <v>58</v>
      </c>
      <c r="L578" t="s">
        <v>58</v>
      </c>
      <c r="M578" t="s">
        <v>58</v>
      </c>
      <c r="N578" t="s">
        <v>58</v>
      </c>
      <c r="R578" t="s">
        <v>58</v>
      </c>
      <c r="S578" t="s">
        <v>58</v>
      </c>
      <c r="T578" t="s">
        <v>58</v>
      </c>
      <c r="U578" t="s">
        <v>58</v>
      </c>
      <c r="V578" t="s">
        <v>58</v>
      </c>
      <c r="Z578" t="s">
        <v>58</v>
      </c>
      <c r="AA578" t="s">
        <v>58</v>
      </c>
      <c r="AB578" t="s">
        <v>58</v>
      </c>
      <c r="AC578" t="s">
        <v>58</v>
      </c>
      <c r="AD578" t="s">
        <v>58</v>
      </c>
      <c r="AG578" t="s">
        <v>58</v>
      </c>
      <c r="AH578" t="s">
        <v>58</v>
      </c>
      <c r="AI578" t="s">
        <v>58</v>
      </c>
      <c r="AJ578" t="s">
        <v>58</v>
      </c>
      <c r="AK578" t="s">
        <v>58</v>
      </c>
      <c r="AO578" t="s">
        <v>58</v>
      </c>
      <c r="AP578" t="s">
        <v>58</v>
      </c>
      <c r="AQ578" t="s">
        <v>58</v>
      </c>
      <c r="AR578" t="s">
        <v>58</v>
      </c>
      <c r="AS578" t="s">
        <v>58</v>
      </c>
      <c r="AV578" t="s">
        <v>58</v>
      </c>
      <c r="AW578" t="s">
        <v>58</v>
      </c>
      <c r="AX578" t="s">
        <v>58</v>
      </c>
      <c r="AY578" t="s">
        <v>58</v>
      </c>
      <c r="AZ578" t="s">
        <v>58</v>
      </c>
      <c r="BC578" t="s">
        <v>58</v>
      </c>
      <c r="BD578" t="s">
        <v>58</v>
      </c>
      <c r="BE578" t="s">
        <v>58</v>
      </c>
      <c r="BF578" t="s">
        <v>58</v>
      </c>
      <c r="BG578" t="s">
        <v>58</v>
      </c>
    </row>
    <row r="579" spans="1:59" x14ac:dyDescent="0.3">
      <c r="A579" t="s">
        <v>58</v>
      </c>
      <c r="B579" t="s">
        <v>58</v>
      </c>
      <c r="C579" t="s">
        <v>58</v>
      </c>
      <c r="D579" t="s">
        <v>58</v>
      </c>
      <c r="E579" t="s">
        <v>58</v>
      </c>
      <c r="J579" t="s">
        <v>58</v>
      </c>
      <c r="K579" t="s">
        <v>58</v>
      </c>
      <c r="L579" t="s">
        <v>58</v>
      </c>
      <c r="M579" t="s">
        <v>58</v>
      </c>
      <c r="N579" t="s">
        <v>58</v>
      </c>
      <c r="R579" t="s">
        <v>58</v>
      </c>
      <c r="S579" t="s">
        <v>58</v>
      </c>
      <c r="T579" t="s">
        <v>58</v>
      </c>
      <c r="U579" t="s">
        <v>58</v>
      </c>
      <c r="V579" t="s">
        <v>58</v>
      </c>
      <c r="Z579" t="s">
        <v>58</v>
      </c>
      <c r="AA579" t="s">
        <v>58</v>
      </c>
      <c r="AB579" t="s">
        <v>58</v>
      </c>
      <c r="AC579" t="s">
        <v>58</v>
      </c>
      <c r="AD579" t="s">
        <v>58</v>
      </c>
      <c r="AG579" t="s">
        <v>58</v>
      </c>
      <c r="AH579" t="s">
        <v>58</v>
      </c>
      <c r="AI579" t="s">
        <v>58</v>
      </c>
      <c r="AJ579" t="s">
        <v>58</v>
      </c>
      <c r="AK579" t="s">
        <v>58</v>
      </c>
      <c r="AO579" t="s">
        <v>58</v>
      </c>
      <c r="AP579" t="s">
        <v>58</v>
      </c>
      <c r="AQ579" t="s">
        <v>58</v>
      </c>
      <c r="AR579" t="s">
        <v>58</v>
      </c>
      <c r="AS579" t="s">
        <v>58</v>
      </c>
      <c r="AV579" t="s">
        <v>58</v>
      </c>
      <c r="AW579" t="s">
        <v>58</v>
      </c>
      <c r="AX579" t="s">
        <v>58</v>
      </c>
      <c r="AY579" t="s">
        <v>58</v>
      </c>
      <c r="AZ579" t="s">
        <v>58</v>
      </c>
      <c r="BC579" t="s">
        <v>58</v>
      </c>
      <c r="BD579" t="s">
        <v>58</v>
      </c>
      <c r="BE579" t="s">
        <v>58</v>
      </c>
      <c r="BF579" t="s">
        <v>58</v>
      </c>
      <c r="BG579" t="s">
        <v>58</v>
      </c>
    </row>
    <row r="580" spans="1:59" x14ac:dyDescent="0.3">
      <c r="A580" t="s">
        <v>58</v>
      </c>
      <c r="B580" t="s">
        <v>58</v>
      </c>
      <c r="C580" t="s">
        <v>58</v>
      </c>
      <c r="D580" t="s">
        <v>58</v>
      </c>
      <c r="E580" t="s">
        <v>58</v>
      </c>
      <c r="J580" t="s">
        <v>58</v>
      </c>
      <c r="K580" t="s">
        <v>58</v>
      </c>
      <c r="L580" t="s">
        <v>58</v>
      </c>
      <c r="M580" t="s">
        <v>58</v>
      </c>
      <c r="N580" t="s">
        <v>58</v>
      </c>
      <c r="R580" t="s">
        <v>58</v>
      </c>
      <c r="S580" t="s">
        <v>58</v>
      </c>
      <c r="T580" t="s">
        <v>58</v>
      </c>
      <c r="U580" t="s">
        <v>58</v>
      </c>
      <c r="V580" t="s">
        <v>58</v>
      </c>
      <c r="Z580" t="s">
        <v>58</v>
      </c>
      <c r="AA580" t="s">
        <v>58</v>
      </c>
      <c r="AB580" t="s">
        <v>58</v>
      </c>
      <c r="AC580" t="s">
        <v>58</v>
      </c>
      <c r="AD580" t="s">
        <v>58</v>
      </c>
      <c r="AG580" t="s">
        <v>58</v>
      </c>
      <c r="AH580" t="s">
        <v>58</v>
      </c>
      <c r="AI580" t="s">
        <v>58</v>
      </c>
      <c r="AJ580" t="s">
        <v>58</v>
      </c>
      <c r="AK580" t="s">
        <v>58</v>
      </c>
      <c r="AO580" t="s">
        <v>58</v>
      </c>
      <c r="AP580" t="s">
        <v>58</v>
      </c>
      <c r="AQ580" t="s">
        <v>58</v>
      </c>
      <c r="AR580" t="s">
        <v>58</v>
      </c>
      <c r="AS580" t="s">
        <v>58</v>
      </c>
      <c r="AV580" t="s">
        <v>58</v>
      </c>
      <c r="AW580" t="s">
        <v>58</v>
      </c>
      <c r="AX580" t="s">
        <v>58</v>
      </c>
      <c r="AY580" t="s">
        <v>58</v>
      </c>
      <c r="AZ580" t="s">
        <v>58</v>
      </c>
      <c r="BC580" t="s">
        <v>58</v>
      </c>
      <c r="BD580" t="s">
        <v>58</v>
      </c>
      <c r="BE580" t="s">
        <v>58</v>
      </c>
      <c r="BF580" t="s">
        <v>58</v>
      </c>
      <c r="BG580" t="s">
        <v>58</v>
      </c>
    </row>
    <row r="581" spans="1:59" x14ac:dyDescent="0.3">
      <c r="A581" t="s">
        <v>58</v>
      </c>
      <c r="B581" t="s">
        <v>58</v>
      </c>
      <c r="C581" t="s">
        <v>58</v>
      </c>
      <c r="D581" t="s">
        <v>58</v>
      </c>
      <c r="E581" t="s">
        <v>58</v>
      </c>
      <c r="J581" t="s">
        <v>58</v>
      </c>
      <c r="K581" t="s">
        <v>58</v>
      </c>
      <c r="L581" t="s">
        <v>58</v>
      </c>
      <c r="M581" t="s">
        <v>58</v>
      </c>
      <c r="N581" t="s">
        <v>58</v>
      </c>
      <c r="R581" t="s">
        <v>58</v>
      </c>
      <c r="S581" t="s">
        <v>58</v>
      </c>
      <c r="T581" t="s">
        <v>58</v>
      </c>
      <c r="U581" t="s">
        <v>58</v>
      </c>
      <c r="V581" t="s">
        <v>58</v>
      </c>
      <c r="Z581" t="s">
        <v>58</v>
      </c>
      <c r="AA581" t="s">
        <v>58</v>
      </c>
      <c r="AB581" t="s">
        <v>58</v>
      </c>
      <c r="AC581" t="s">
        <v>58</v>
      </c>
      <c r="AD581" t="s">
        <v>58</v>
      </c>
      <c r="AG581" t="s">
        <v>58</v>
      </c>
      <c r="AH581" t="s">
        <v>58</v>
      </c>
      <c r="AI581" t="s">
        <v>58</v>
      </c>
      <c r="AJ581" t="s">
        <v>58</v>
      </c>
      <c r="AK581" t="s">
        <v>58</v>
      </c>
      <c r="AO581" t="s">
        <v>58</v>
      </c>
      <c r="AP581" t="s">
        <v>58</v>
      </c>
      <c r="AQ581" t="s">
        <v>58</v>
      </c>
      <c r="AR581" t="s">
        <v>58</v>
      </c>
      <c r="AS581" t="s">
        <v>58</v>
      </c>
      <c r="AV581" t="s">
        <v>58</v>
      </c>
      <c r="AW581" t="s">
        <v>58</v>
      </c>
      <c r="AX581" t="s">
        <v>58</v>
      </c>
      <c r="AY581" t="s">
        <v>58</v>
      </c>
      <c r="AZ581" t="s">
        <v>58</v>
      </c>
      <c r="BC581" t="s">
        <v>58</v>
      </c>
      <c r="BD581" t="s">
        <v>58</v>
      </c>
      <c r="BE581" t="s">
        <v>58</v>
      </c>
      <c r="BF581" t="s">
        <v>58</v>
      </c>
      <c r="BG581" t="s">
        <v>58</v>
      </c>
    </row>
    <row r="582" spans="1:59" x14ac:dyDescent="0.3">
      <c r="A582" t="s">
        <v>58</v>
      </c>
      <c r="B582" t="s">
        <v>58</v>
      </c>
      <c r="C582" t="s">
        <v>58</v>
      </c>
      <c r="D582" t="s">
        <v>58</v>
      </c>
      <c r="E582" t="s">
        <v>58</v>
      </c>
      <c r="J582" t="s">
        <v>58</v>
      </c>
      <c r="K582" t="s">
        <v>58</v>
      </c>
      <c r="L582" t="s">
        <v>58</v>
      </c>
      <c r="M582" t="s">
        <v>58</v>
      </c>
      <c r="N582" t="s">
        <v>58</v>
      </c>
      <c r="R582" t="s">
        <v>58</v>
      </c>
      <c r="S582" t="s">
        <v>58</v>
      </c>
      <c r="T582" t="s">
        <v>58</v>
      </c>
      <c r="U582" t="s">
        <v>58</v>
      </c>
      <c r="V582" t="s">
        <v>58</v>
      </c>
      <c r="Z582" t="s">
        <v>58</v>
      </c>
      <c r="AA582" t="s">
        <v>58</v>
      </c>
      <c r="AB582" t="s">
        <v>58</v>
      </c>
      <c r="AC582" t="s">
        <v>58</v>
      </c>
      <c r="AD582" t="s">
        <v>58</v>
      </c>
      <c r="AG582" t="s">
        <v>58</v>
      </c>
      <c r="AH582" t="s">
        <v>58</v>
      </c>
      <c r="AI582" t="s">
        <v>58</v>
      </c>
      <c r="AJ582" t="s">
        <v>58</v>
      </c>
      <c r="AK582" t="s">
        <v>58</v>
      </c>
      <c r="AO582" t="s">
        <v>58</v>
      </c>
      <c r="AP582" t="s">
        <v>58</v>
      </c>
      <c r="AQ582" t="s">
        <v>58</v>
      </c>
      <c r="AR582" t="s">
        <v>58</v>
      </c>
      <c r="AS582" t="s">
        <v>58</v>
      </c>
      <c r="AV582" t="s">
        <v>58</v>
      </c>
      <c r="AW582" t="s">
        <v>58</v>
      </c>
      <c r="AX582" t="s">
        <v>58</v>
      </c>
      <c r="AY582" t="s">
        <v>58</v>
      </c>
      <c r="AZ582" t="s">
        <v>58</v>
      </c>
      <c r="BC582" t="s">
        <v>58</v>
      </c>
      <c r="BD582" t="s">
        <v>58</v>
      </c>
      <c r="BE582" t="s">
        <v>58</v>
      </c>
      <c r="BF582" t="s">
        <v>58</v>
      </c>
      <c r="BG582" t="s">
        <v>58</v>
      </c>
    </row>
    <row r="583" spans="1:59" x14ac:dyDescent="0.3">
      <c r="A583" t="s">
        <v>58</v>
      </c>
      <c r="B583" t="s">
        <v>58</v>
      </c>
      <c r="C583" t="s">
        <v>58</v>
      </c>
      <c r="D583" t="s">
        <v>58</v>
      </c>
      <c r="E583" t="s">
        <v>58</v>
      </c>
      <c r="J583" t="s">
        <v>58</v>
      </c>
      <c r="K583" t="s">
        <v>58</v>
      </c>
      <c r="L583" t="s">
        <v>58</v>
      </c>
      <c r="M583" t="s">
        <v>58</v>
      </c>
      <c r="N583" t="s">
        <v>58</v>
      </c>
      <c r="R583" t="s">
        <v>58</v>
      </c>
      <c r="S583" t="s">
        <v>58</v>
      </c>
      <c r="T583" t="s">
        <v>58</v>
      </c>
      <c r="U583" t="s">
        <v>58</v>
      </c>
      <c r="V583" t="s">
        <v>58</v>
      </c>
      <c r="Z583" t="s">
        <v>58</v>
      </c>
      <c r="AA583" t="s">
        <v>58</v>
      </c>
      <c r="AB583" t="s">
        <v>58</v>
      </c>
      <c r="AC583" t="s">
        <v>58</v>
      </c>
      <c r="AD583" t="s">
        <v>58</v>
      </c>
      <c r="AG583" t="s">
        <v>58</v>
      </c>
      <c r="AH583" t="s">
        <v>58</v>
      </c>
      <c r="AI583" t="s">
        <v>58</v>
      </c>
      <c r="AJ583" t="s">
        <v>58</v>
      </c>
      <c r="AK583" t="s">
        <v>58</v>
      </c>
      <c r="AO583" t="s">
        <v>58</v>
      </c>
      <c r="AP583" t="s">
        <v>58</v>
      </c>
      <c r="AQ583" t="s">
        <v>58</v>
      </c>
      <c r="AR583" t="s">
        <v>58</v>
      </c>
      <c r="AS583" t="s">
        <v>58</v>
      </c>
      <c r="AV583" t="s">
        <v>58</v>
      </c>
      <c r="AW583" t="s">
        <v>58</v>
      </c>
      <c r="AX583" t="s">
        <v>58</v>
      </c>
      <c r="AY583" t="s">
        <v>58</v>
      </c>
      <c r="AZ583" t="s">
        <v>58</v>
      </c>
      <c r="BC583" t="s">
        <v>58</v>
      </c>
      <c r="BD583" t="s">
        <v>58</v>
      </c>
      <c r="BE583" t="s">
        <v>58</v>
      </c>
      <c r="BF583" t="s">
        <v>58</v>
      </c>
      <c r="BG583" t="s">
        <v>58</v>
      </c>
    </row>
    <row r="584" spans="1:59" x14ac:dyDescent="0.3">
      <c r="A584" t="s">
        <v>58</v>
      </c>
      <c r="B584" t="s">
        <v>58</v>
      </c>
      <c r="C584" t="s">
        <v>58</v>
      </c>
      <c r="D584" t="s">
        <v>58</v>
      </c>
      <c r="E584" t="s">
        <v>58</v>
      </c>
      <c r="J584" t="s">
        <v>58</v>
      </c>
      <c r="K584" t="s">
        <v>58</v>
      </c>
      <c r="L584" t="s">
        <v>58</v>
      </c>
      <c r="M584" t="s">
        <v>58</v>
      </c>
      <c r="N584" t="s">
        <v>58</v>
      </c>
      <c r="R584" t="s">
        <v>58</v>
      </c>
      <c r="S584" t="s">
        <v>58</v>
      </c>
      <c r="T584" t="s">
        <v>58</v>
      </c>
      <c r="U584" t="s">
        <v>58</v>
      </c>
      <c r="V584" t="s">
        <v>58</v>
      </c>
      <c r="Z584" t="s">
        <v>58</v>
      </c>
      <c r="AA584" t="s">
        <v>58</v>
      </c>
      <c r="AB584" t="s">
        <v>58</v>
      </c>
      <c r="AC584" t="s">
        <v>58</v>
      </c>
      <c r="AD584" t="s">
        <v>58</v>
      </c>
      <c r="AG584" t="s">
        <v>58</v>
      </c>
      <c r="AH584" t="s">
        <v>58</v>
      </c>
      <c r="AI584" t="s">
        <v>58</v>
      </c>
      <c r="AJ584" t="s">
        <v>58</v>
      </c>
      <c r="AK584" t="s">
        <v>58</v>
      </c>
      <c r="AO584" t="s">
        <v>58</v>
      </c>
      <c r="AP584" t="s">
        <v>58</v>
      </c>
      <c r="AQ584" t="s">
        <v>58</v>
      </c>
      <c r="AR584" t="s">
        <v>58</v>
      </c>
      <c r="AS584" t="s">
        <v>58</v>
      </c>
      <c r="AV584" t="s">
        <v>58</v>
      </c>
      <c r="AW584" t="s">
        <v>58</v>
      </c>
      <c r="AX584" t="s">
        <v>58</v>
      </c>
      <c r="AY584" t="s">
        <v>58</v>
      </c>
      <c r="AZ584" t="s">
        <v>58</v>
      </c>
      <c r="BC584" t="s">
        <v>58</v>
      </c>
      <c r="BD584" t="s">
        <v>58</v>
      </c>
      <c r="BE584" t="s">
        <v>58</v>
      </c>
      <c r="BF584" t="s">
        <v>58</v>
      </c>
      <c r="BG584" t="s">
        <v>58</v>
      </c>
    </row>
    <row r="585" spans="1:59" x14ac:dyDescent="0.3">
      <c r="A585" t="s">
        <v>58</v>
      </c>
      <c r="B585" t="s">
        <v>58</v>
      </c>
      <c r="C585" t="s">
        <v>58</v>
      </c>
      <c r="D585" t="s">
        <v>58</v>
      </c>
      <c r="E585" t="s">
        <v>58</v>
      </c>
      <c r="J585" t="s">
        <v>58</v>
      </c>
      <c r="K585" t="s">
        <v>58</v>
      </c>
      <c r="L585" t="s">
        <v>58</v>
      </c>
      <c r="M585" t="s">
        <v>58</v>
      </c>
      <c r="N585" t="s">
        <v>58</v>
      </c>
      <c r="R585" t="s">
        <v>58</v>
      </c>
      <c r="S585" t="s">
        <v>58</v>
      </c>
      <c r="T585" t="s">
        <v>58</v>
      </c>
      <c r="U585" t="s">
        <v>58</v>
      </c>
      <c r="V585" t="s">
        <v>58</v>
      </c>
      <c r="Z585" t="s">
        <v>58</v>
      </c>
      <c r="AA585" t="s">
        <v>58</v>
      </c>
      <c r="AB585" t="s">
        <v>58</v>
      </c>
      <c r="AC585" t="s">
        <v>58</v>
      </c>
      <c r="AD585" t="s">
        <v>58</v>
      </c>
      <c r="AG585" t="s">
        <v>58</v>
      </c>
      <c r="AH585" t="s">
        <v>58</v>
      </c>
      <c r="AI585" t="s">
        <v>58</v>
      </c>
      <c r="AJ585" t="s">
        <v>58</v>
      </c>
      <c r="AK585" t="s">
        <v>58</v>
      </c>
      <c r="AO585" t="s">
        <v>58</v>
      </c>
      <c r="AP585" t="s">
        <v>58</v>
      </c>
      <c r="AQ585" t="s">
        <v>58</v>
      </c>
      <c r="AR585" t="s">
        <v>58</v>
      </c>
      <c r="AS585" t="s">
        <v>58</v>
      </c>
      <c r="AV585" t="s">
        <v>58</v>
      </c>
      <c r="AW585" t="s">
        <v>58</v>
      </c>
      <c r="AX585" t="s">
        <v>58</v>
      </c>
      <c r="AY585" t="s">
        <v>58</v>
      </c>
      <c r="AZ585" t="s">
        <v>58</v>
      </c>
      <c r="BC585" t="s">
        <v>58</v>
      </c>
      <c r="BD585" t="s">
        <v>58</v>
      </c>
      <c r="BE585" t="s">
        <v>58</v>
      </c>
      <c r="BF585" t="s">
        <v>58</v>
      </c>
      <c r="BG585" t="s">
        <v>58</v>
      </c>
    </row>
    <row r="586" spans="1:59" x14ac:dyDescent="0.3">
      <c r="A586" t="s">
        <v>58</v>
      </c>
      <c r="B586" t="s">
        <v>58</v>
      </c>
      <c r="C586" t="s">
        <v>58</v>
      </c>
      <c r="D586" t="s">
        <v>58</v>
      </c>
      <c r="E586" t="s">
        <v>58</v>
      </c>
      <c r="J586" t="s">
        <v>58</v>
      </c>
      <c r="K586" t="s">
        <v>58</v>
      </c>
      <c r="L586" t="s">
        <v>58</v>
      </c>
      <c r="M586" t="s">
        <v>58</v>
      </c>
      <c r="N586" t="s">
        <v>58</v>
      </c>
      <c r="R586" t="s">
        <v>58</v>
      </c>
      <c r="S586" t="s">
        <v>58</v>
      </c>
      <c r="T586" t="s">
        <v>58</v>
      </c>
      <c r="U586" t="s">
        <v>58</v>
      </c>
      <c r="V586" t="s">
        <v>58</v>
      </c>
      <c r="Z586" t="s">
        <v>58</v>
      </c>
      <c r="AA586" t="s">
        <v>58</v>
      </c>
      <c r="AB586" t="s">
        <v>58</v>
      </c>
      <c r="AC586" t="s">
        <v>58</v>
      </c>
      <c r="AD586" t="s">
        <v>58</v>
      </c>
      <c r="AG586" t="s">
        <v>58</v>
      </c>
      <c r="AH586" t="s">
        <v>58</v>
      </c>
      <c r="AI586" t="s">
        <v>58</v>
      </c>
      <c r="AJ586" t="s">
        <v>58</v>
      </c>
      <c r="AK586" t="s">
        <v>58</v>
      </c>
      <c r="AO586" t="s">
        <v>58</v>
      </c>
      <c r="AP586" t="s">
        <v>58</v>
      </c>
      <c r="AQ586" t="s">
        <v>58</v>
      </c>
      <c r="AR586" t="s">
        <v>58</v>
      </c>
      <c r="AS586" t="s">
        <v>58</v>
      </c>
      <c r="AV586" t="s">
        <v>58</v>
      </c>
      <c r="AW586" t="s">
        <v>58</v>
      </c>
      <c r="AX586" t="s">
        <v>58</v>
      </c>
      <c r="AY586" t="s">
        <v>58</v>
      </c>
      <c r="AZ586" t="s">
        <v>58</v>
      </c>
      <c r="BC586" t="s">
        <v>58</v>
      </c>
      <c r="BD586" t="s">
        <v>58</v>
      </c>
      <c r="BE586" t="s">
        <v>58</v>
      </c>
      <c r="BF586" t="s">
        <v>58</v>
      </c>
      <c r="BG586" t="s">
        <v>58</v>
      </c>
    </row>
    <row r="587" spans="1:59" x14ac:dyDescent="0.3">
      <c r="A587" t="s">
        <v>58</v>
      </c>
      <c r="B587" t="s">
        <v>58</v>
      </c>
      <c r="C587" t="s">
        <v>58</v>
      </c>
      <c r="D587" t="s">
        <v>58</v>
      </c>
      <c r="E587" t="s">
        <v>58</v>
      </c>
      <c r="J587" t="s">
        <v>58</v>
      </c>
      <c r="K587" t="s">
        <v>58</v>
      </c>
      <c r="L587" t="s">
        <v>58</v>
      </c>
      <c r="M587" t="s">
        <v>58</v>
      </c>
      <c r="N587" t="s">
        <v>58</v>
      </c>
      <c r="R587" t="s">
        <v>58</v>
      </c>
      <c r="S587" t="s">
        <v>58</v>
      </c>
      <c r="T587" t="s">
        <v>58</v>
      </c>
      <c r="U587" t="s">
        <v>58</v>
      </c>
      <c r="V587" t="s">
        <v>58</v>
      </c>
      <c r="Z587" t="s">
        <v>58</v>
      </c>
      <c r="AA587" t="s">
        <v>58</v>
      </c>
      <c r="AB587" t="s">
        <v>58</v>
      </c>
      <c r="AC587" t="s">
        <v>58</v>
      </c>
      <c r="AD587" t="s">
        <v>58</v>
      </c>
      <c r="AG587" t="s">
        <v>58</v>
      </c>
      <c r="AH587" t="s">
        <v>58</v>
      </c>
      <c r="AI587" t="s">
        <v>58</v>
      </c>
      <c r="AJ587" t="s">
        <v>58</v>
      </c>
      <c r="AK587" t="s">
        <v>58</v>
      </c>
      <c r="AO587" t="s">
        <v>58</v>
      </c>
      <c r="AP587" t="s">
        <v>58</v>
      </c>
      <c r="AQ587" t="s">
        <v>58</v>
      </c>
      <c r="AR587" t="s">
        <v>58</v>
      </c>
      <c r="AS587" t="s">
        <v>58</v>
      </c>
      <c r="AV587" t="s">
        <v>58</v>
      </c>
      <c r="AW587" t="s">
        <v>58</v>
      </c>
      <c r="AX587" t="s">
        <v>58</v>
      </c>
      <c r="AY587" t="s">
        <v>58</v>
      </c>
      <c r="AZ587" t="s">
        <v>58</v>
      </c>
      <c r="BC587" t="s">
        <v>58</v>
      </c>
      <c r="BD587" t="s">
        <v>58</v>
      </c>
      <c r="BE587" t="s">
        <v>58</v>
      </c>
      <c r="BF587" t="s">
        <v>58</v>
      </c>
      <c r="BG587" t="s">
        <v>58</v>
      </c>
    </row>
    <row r="588" spans="1:59" x14ac:dyDescent="0.3">
      <c r="A588" t="s">
        <v>58</v>
      </c>
      <c r="B588" t="s">
        <v>58</v>
      </c>
      <c r="C588" t="s">
        <v>58</v>
      </c>
      <c r="D588" t="s">
        <v>58</v>
      </c>
      <c r="E588" t="s">
        <v>58</v>
      </c>
      <c r="J588" t="s">
        <v>58</v>
      </c>
      <c r="K588" t="s">
        <v>58</v>
      </c>
      <c r="L588" t="s">
        <v>58</v>
      </c>
      <c r="M588" t="s">
        <v>58</v>
      </c>
      <c r="N588" t="s">
        <v>58</v>
      </c>
      <c r="R588" t="s">
        <v>58</v>
      </c>
      <c r="S588" t="s">
        <v>58</v>
      </c>
      <c r="T588" t="s">
        <v>58</v>
      </c>
      <c r="U588" t="s">
        <v>58</v>
      </c>
      <c r="V588" t="s">
        <v>58</v>
      </c>
      <c r="Z588" t="s">
        <v>58</v>
      </c>
      <c r="AA588" t="s">
        <v>58</v>
      </c>
      <c r="AB588" t="s">
        <v>58</v>
      </c>
      <c r="AC588" t="s">
        <v>58</v>
      </c>
      <c r="AD588" t="s">
        <v>58</v>
      </c>
      <c r="AG588" t="s">
        <v>58</v>
      </c>
      <c r="AH588" t="s">
        <v>58</v>
      </c>
      <c r="AI588" t="s">
        <v>58</v>
      </c>
      <c r="AJ588" t="s">
        <v>58</v>
      </c>
      <c r="AK588" t="s">
        <v>58</v>
      </c>
      <c r="AO588" t="s">
        <v>58</v>
      </c>
      <c r="AP588" t="s">
        <v>58</v>
      </c>
      <c r="AQ588" t="s">
        <v>58</v>
      </c>
      <c r="AR588" t="s">
        <v>58</v>
      </c>
      <c r="AS588" t="s">
        <v>58</v>
      </c>
      <c r="AV588" t="s">
        <v>58</v>
      </c>
      <c r="AW588" t="s">
        <v>58</v>
      </c>
      <c r="AX588" t="s">
        <v>58</v>
      </c>
      <c r="AY588" t="s">
        <v>58</v>
      </c>
      <c r="AZ588" t="s">
        <v>58</v>
      </c>
      <c r="BC588" t="s">
        <v>58</v>
      </c>
      <c r="BD588" t="s">
        <v>58</v>
      </c>
      <c r="BE588" t="s">
        <v>58</v>
      </c>
      <c r="BF588" t="s">
        <v>58</v>
      </c>
      <c r="BG588" t="s">
        <v>58</v>
      </c>
    </row>
    <row r="589" spans="1:59" x14ac:dyDescent="0.3">
      <c r="A589" t="s">
        <v>58</v>
      </c>
      <c r="B589" t="s">
        <v>58</v>
      </c>
      <c r="C589" t="s">
        <v>58</v>
      </c>
      <c r="D589" t="s">
        <v>58</v>
      </c>
      <c r="E589" t="s">
        <v>58</v>
      </c>
      <c r="J589" t="s">
        <v>58</v>
      </c>
      <c r="K589" t="s">
        <v>58</v>
      </c>
      <c r="L589" t="s">
        <v>58</v>
      </c>
      <c r="M589" t="s">
        <v>58</v>
      </c>
      <c r="N589" t="s">
        <v>58</v>
      </c>
      <c r="R589" t="s">
        <v>58</v>
      </c>
      <c r="S589" t="s">
        <v>58</v>
      </c>
      <c r="T589" t="s">
        <v>58</v>
      </c>
      <c r="U589" t="s">
        <v>58</v>
      </c>
      <c r="V589" t="s">
        <v>58</v>
      </c>
      <c r="Z589" t="s">
        <v>58</v>
      </c>
      <c r="AA589" t="s">
        <v>58</v>
      </c>
      <c r="AB589" t="s">
        <v>58</v>
      </c>
      <c r="AC589" t="s">
        <v>58</v>
      </c>
      <c r="AD589" t="s">
        <v>58</v>
      </c>
      <c r="AG589" t="s">
        <v>58</v>
      </c>
      <c r="AH589" t="s">
        <v>58</v>
      </c>
      <c r="AI589" t="s">
        <v>58</v>
      </c>
      <c r="AJ589" t="s">
        <v>58</v>
      </c>
      <c r="AK589" t="s">
        <v>58</v>
      </c>
      <c r="AO589" t="s">
        <v>58</v>
      </c>
      <c r="AP589" t="s">
        <v>58</v>
      </c>
      <c r="AQ589" t="s">
        <v>58</v>
      </c>
      <c r="AR589" t="s">
        <v>58</v>
      </c>
      <c r="AS589" t="s">
        <v>58</v>
      </c>
      <c r="AV589" t="s">
        <v>58</v>
      </c>
      <c r="AW589" t="s">
        <v>58</v>
      </c>
      <c r="AX589" t="s">
        <v>58</v>
      </c>
      <c r="AY589" t="s">
        <v>58</v>
      </c>
      <c r="AZ589" t="s">
        <v>58</v>
      </c>
      <c r="BC589" t="s">
        <v>58</v>
      </c>
      <c r="BD589" t="s">
        <v>58</v>
      </c>
      <c r="BE589" t="s">
        <v>58</v>
      </c>
      <c r="BF589" t="s">
        <v>58</v>
      </c>
      <c r="BG589" t="s">
        <v>58</v>
      </c>
    </row>
    <row r="590" spans="1:59" x14ac:dyDescent="0.3">
      <c r="A590" t="s">
        <v>58</v>
      </c>
      <c r="B590" t="s">
        <v>58</v>
      </c>
      <c r="C590" t="s">
        <v>58</v>
      </c>
      <c r="D590" t="s">
        <v>58</v>
      </c>
      <c r="E590" t="s">
        <v>58</v>
      </c>
      <c r="J590" t="s">
        <v>58</v>
      </c>
      <c r="K590" t="s">
        <v>58</v>
      </c>
      <c r="L590" t="s">
        <v>58</v>
      </c>
      <c r="M590" t="s">
        <v>58</v>
      </c>
      <c r="N590" t="s">
        <v>58</v>
      </c>
      <c r="R590" t="s">
        <v>58</v>
      </c>
      <c r="S590" t="s">
        <v>58</v>
      </c>
      <c r="T590" t="s">
        <v>58</v>
      </c>
      <c r="U590" t="s">
        <v>58</v>
      </c>
      <c r="V590" t="s">
        <v>58</v>
      </c>
      <c r="Z590" t="s">
        <v>58</v>
      </c>
      <c r="AA590" t="s">
        <v>58</v>
      </c>
      <c r="AB590" t="s">
        <v>58</v>
      </c>
      <c r="AC590" t="s">
        <v>58</v>
      </c>
      <c r="AD590" t="s">
        <v>58</v>
      </c>
      <c r="AG590" t="s">
        <v>58</v>
      </c>
      <c r="AH590" t="s">
        <v>58</v>
      </c>
      <c r="AI590" t="s">
        <v>58</v>
      </c>
      <c r="AJ590" t="s">
        <v>58</v>
      </c>
      <c r="AK590" t="s">
        <v>58</v>
      </c>
      <c r="AO590" t="s">
        <v>58</v>
      </c>
      <c r="AP590" t="s">
        <v>58</v>
      </c>
      <c r="AQ590" t="s">
        <v>58</v>
      </c>
      <c r="AR590" t="s">
        <v>58</v>
      </c>
      <c r="AS590" t="s">
        <v>58</v>
      </c>
      <c r="AV590" t="s">
        <v>58</v>
      </c>
      <c r="AW590" t="s">
        <v>58</v>
      </c>
      <c r="AX590" t="s">
        <v>58</v>
      </c>
      <c r="AY590" t="s">
        <v>58</v>
      </c>
      <c r="AZ590" t="s">
        <v>58</v>
      </c>
      <c r="BC590" t="s">
        <v>58</v>
      </c>
      <c r="BD590" t="s">
        <v>58</v>
      </c>
      <c r="BE590" t="s">
        <v>58</v>
      </c>
      <c r="BF590" t="s">
        <v>58</v>
      </c>
      <c r="BG590" t="s">
        <v>58</v>
      </c>
    </row>
    <row r="591" spans="1:59" x14ac:dyDescent="0.3">
      <c r="A591" t="s">
        <v>58</v>
      </c>
      <c r="B591" t="s">
        <v>58</v>
      </c>
      <c r="C591" t="s">
        <v>58</v>
      </c>
      <c r="D591" t="s">
        <v>58</v>
      </c>
      <c r="E591" t="s">
        <v>58</v>
      </c>
      <c r="J591" t="s">
        <v>58</v>
      </c>
      <c r="K591" t="s">
        <v>58</v>
      </c>
      <c r="L591" t="s">
        <v>58</v>
      </c>
      <c r="M591" t="s">
        <v>58</v>
      </c>
      <c r="N591" t="s">
        <v>58</v>
      </c>
      <c r="R591" t="s">
        <v>58</v>
      </c>
      <c r="S591" t="s">
        <v>58</v>
      </c>
      <c r="T591" t="s">
        <v>58</v>
      </c>
      <c r="U591" t="s">
        <v>58</v>
      </c>
      <c r="V591" t="s">
        <v>58</v>
      </c>
      <c r="Z591" t="s">
        <v>58</v>
      </c>
      <c r="AA591" t="s">
        <v>58</v>
      </c>
      <c r="AB591" t="s">
        <v>58</v>
      </c>
      <c r="AC591" t="s">
        <v>58</v>
      </c>
      <c r="AD591" t="s">
        <v>58</v>
      </c>
      <c r="AG591" t="s">
        <v>58</v>
      </c>
      <c r="AH591" t="s">
        <v>58</v>
      </c>
      <c r="AI591" t="s">
        <v>58</v>
      </c>
      <c r="AJ591" t="s">
        <v>58</v>
      </c>
      <c r="AK591" t="s">
        <v>58</v>
      </c>
      <c r="AO591" t="s">
        <v>58</v>
      </c>
      <c r="AP591" t="s">
        <v>58</v>
      </c>
      <c r="AQ591" t="s">
        <v>58</v>
      </c>
      <c r="AR591" t="s">
        <v>58</v>
      </c>
      <c r="AS591" t="s">
        <v>58</v>
      </c>
      <c r="AV591" t="s">
        <v>58</v>
      </c>
      <c r="AW591" t="s">
        <v>58</v>
      </c>
      <c r="AX591" t="s">
        <v>58</v>
      </c>
      <c r="AY591" t="s">
        <v>58</v>
      </c>
      <c r="AZ591" t="s">
        <v>58</v>
      </c>
      <c r="BC591" t="s">
        <v>58</v>
      </c>
      <c r="BD591" t="s">
        <v>58</v>
      </c>
      <c r="BE591" t="s">
        <v>58</v>
      </c>
      <c r="BF591" t="s">
        <v>58</v>
      </c>
      <c r="BG591" t="s">
        <v>58</v>
      </c>
    </row>
    <row r="592" spans="1:59" x14ac:dyDescent="0.3">
      <c r="A592" t="s">
        <v>58</v>
      </c>
      <c r="B592" t="s">
        <v>58</v>
      </c>
      <c r="C592" t="s">
        <v>58</v>
      </c>
      <c r="D592" t="s">
        <v>58</v>
      </c>
      <c r="E592" t="s">
        <v>58</v>
      </c>
      <c r="J592" t="s">
        <v>58</v>
      </c>
      <c r="K592" t="s">
        <v>58</v>
      </c>
      <c r="L592" t="s">
        <v>58</v>
      </c>
      <c r="M592" t="s">
        <v>58</v>
      </c>
      <c r="N592" t="s">
        <v>58</v>
      </c>
      <c r="R592" t="s">
        <v>58</v>
      </c>
      <c r="S592" t="s">
        <v>58</v>
      </c>
      <c r="T592" t="s">
        <v>58</v>
      </c>
      <c r="U592" t="s">
        <v>58</v>
      </c>
      <c r="V592" t="s">
        <v>58</v>
      </c>
      <c r="Z592" t="s">
        <v>58</v>
      </c>
      <c r="AA592" t="s">
        <v>58</v>
      </c>
      <c r="AB592" t="s">
        <v>58</v>
      </c>
      <c r="AC592" t="s">
        <v>58</v>
      </c>
      <c r="AD592" t="s">
        <v>58</v>
      </c>
      <c r="AG592" t="s">
        <v>58</v>
      </c>
      <c r="AH592" t="s">
        <v>58</v>
      </c>
      <c r="AI592" t="s">
        <v>58</v>
      </c>
      <c r="AJ592" t="s">
        <v>58</v>
      </c>
      <c r="AK592" t="s">
        <v>58</v>
      </c>
      <c r="AO592" t="s">
        <v>58</v>
      </c>
      <c r="AP592" t="s">
        <v>58</v>
      </c>
      <c r="AQ592" t="s">
        <v>58</v>
      </c>
      <c r="AR592" t="s">
        <v>58</v>
      </c>
      <c r="AS592" t="s">
        <v>58</v>
      </c>
      <c r="AV592" t="s">
        <v>58</v>
      </c>
      <c r="AW592" t="s">
        <v>58</v>
      </c>
      <c r="AX592" t="s">
        <v>58</v>
      </c>
      <c r="AY592" t="s">
        <v>58</v>
      </c>
      <c r="AZ592" t="s">
        <v>58</v>
      </c>
      <c r="BC592" t="s">
        <v>58</v>
      </c>
      <c r="BD592" t="s">
        <v>58</v>
      </c>
      <c r="BE592" t="s">
        <v>58</v>
      </c>
      <c r="BF592" t="s">
        <v>58</v>
      </c>
      <c r="BG592" t="s">
        <v>58</v>
      </c>
    </row>
    <row r="593" spans="1:59" x14ac:dyDescent="0.3">
      <c r="A593" t="s">
        <v>58</v>
      </c>
      <c r="B593" t="s">
        <v>58</v>
      </c>
      <c r="C593" t="s">
        <v>58</v>
      </c>
      <c r="D593" t="s">
        <v>58</v>
      </c>
      <c r="E593" t="s">
        <v>58</v>
      </c>
      <c r="J593" t="s">
        <v>58</v>
      </c>
      <c r="K593" t="s">
        <v>58</v>
      </c>
      <c r="L593" t="s">
        <v>58</v>
      </c>
      <c r="M593" t="s">
        <v>58</v>
      </c>
      <c r="N593" t="s">
        <v>58</v>
      </c>
      <c r="R593" t="s">
        <v>58</v>
      </c>
      <c r="S593" t="s">
        <v>58</v>
      </c>
      <c r="T593" t="s">
        <v>58</v>
      </c>
      <c r="U593" t="s">
        <v>58</v>
      </c>
      <c r="V593" t="s">
        <v>58</v>
      </c>
      <c r="Z593" t="s">
        <v>58</v>
      </c>
      <c r="AA593" t="s">
        <v>58</v>
      </c>
      <c r="AB593" t="s">
        <v>58</v>
      </c>
      <c r="AC593" t="s">
        <v>58</v>
      </c>
      <c r="AD593" t="s">
        <v>58</v>
      </c>
      <c r="AG593" t="s">
        <v>58</v>
      </c>
      <c r="AH593" t="s">
        <v>58</v>
      </c>
      <c r="AI593" t="s">
        <v>58</v>
      </c>
      <c r="AJ593" t="s">
        <v>58</v>
      </c>
      <c r="AK593" t="s">
        <v>58</v>
      </c>
      <c r="AO593" t="s">
        <v>58</v>
      </c>
      <c r="AP593" t="s">
        <v>58</v>
      </c>
      <c r="AQ593" t="s">
        <v>58</v>
      </c>
      <c r="AR593" t="s">
        <v>58</v>
      </c>
      <c r="AS593" t="s">
        <v>58</v>
      </c>
      <c r="AV593" t="s">
        <v>58</v>
      </c>
      <c r="AW593" t="s">
        <v>58</v>
      </c>
      <c r="AX593" t="s">
        <v>58</v>
      </c>
      <c r="AY593" t="s">
        <v>58</v>
      </c>
      <c r="AZ593" t="s">
        <v>58</v>
      </c>
      <c r="BC593" t="s">
        <v>58</v>
      </c>
      <c r="BD593" t="s">
        <v>58</v>
      </c>
      <c r="BE593" t="s">
        <v>58</v>
      </c>
      <c r="BF593" t="s">
        <v>58</v>
      </c>
      <c r="BG593" t="s">
        <v>58</v>
      </c>
    </row>
    <row r="594" spans="1:59" x14ac:dyDescent="0.3">
      <c r="A594" t="s">
        <v>58</v>
      </c>
      <c r="B594" t="s">
        <v>58</v>
      </c>
      <c r="C594" t="s">
        <v>58</v>
      </c>
      <c r="D594" t="s">
        <v>58</v>
      </c>
      <c r="E594" t="s">
        <v>58</v>
      </c>
      <c r="J594" t="s">
        <v>58</v>
      </c>
      <c r="K594" t="s">
        <v>58</v>
      </c>
      <c r="L594" t="s">
        <v>58</v>
      </c>
      <c r="M594" t="s">
        <v>58</v>
      </c>
      <c r="N594" t="s">
        <v>58</v>
      </c>
      <c r="R594" t="s">
        <v>58</v>
      </c>
      <c r="S594" t="s">
        <v>58</v>
      </c>
      <c r="T594" t="s">
        <v>58</v>
      </c>
      <c r="U594" t="s">
        <v>58</v>
      </c>
      <c r="V594" t="s">
        <v>58</v>
      </c>
      <c r="Z594" t="s">
        <v>58</v>
      </c>
      <c r="AA594" t="s">
        <v>58</v>
      </c>
      <c r="AB594" t="s">
        <v>58</v>
      </c>
      <c r="AC594" t="s">
        <v>58</v>
      </c>
      <c r="AD594" t="s">
        <v>58</v>
      </c>
      <c r="AG594" t="s">
        <v>58</v>
      </c>
      <c r="AH594" t="s">
        <v>58</v>
      </c>
      <c r="AI594" t="s">
        <v>58</v>
      </c>
      <c r="AJ594" t="s">
        <v>58</v>
      </c>
      <c r="AK594" t="s">
        <v>58</v>
      </c>
      <c r="AO594" t="s">
        <v>58</v>
      </c>
      <c r="AP594" t="s">
        <v>58</v>
      </c>
      <c r="AQ594" t="s">
        <v>58</v>
      </c>
      <c r="AR594" t="s">
        <v>58</v>
      </c>
      <c r="AS594" t="s">
        <v>58</v>
      </c>
      <c r="AV594" t="s">
        <v>58</v>
      </c>
      <c r="AW594" t="s">
        <v>58</v>
      </c>
      <c r="AX594" t="s">
        <v>58</v>
      </c>
      <c r="AY594" t="s">
        <v>58</v>
      </c>
      <c r="AZ594" t="s">
        <v>58</v>
      </c>
      <c r="BC594" t="s">
        <v>58</v>
      </c>
      <c r="BD594" t="s">
        <v>58</v>
      </c>
      <c r="BE594" t="s">
        <v>58</v>
      </c>
      <c r="BF594" t="s">
        <v>58</v>
      </c>
      <c r="BG594" t="s">
        <v>58</v>
      </c>
    </row>
    <row r="595" spans="1:59" x14ac:dyDescent="0.3">
      <c r="A595" t="s">
        <v>58</v>
      </c>
      <c r="B595" t="s">
        <v>58</v>
      </c>
      <c r="C595" t="s">
        <v>58</v>
      </c>
      <c r="D595" t="s">
        <v>58</v>
      </c>
      <c r="E595" t="s">
        <v>58</v>
      </c>
      <c r="J595" t="s">
        <v>58</v>
      </c>
      <c r="K595" t="s">
        <v>58</v>
      </c>
      <c r="L595" t="s">
        <v>58</v>
      </c>
      <c r="M595" t="s">
        <v>58</v>
      </c>
      <c r="N595" t="s">
        <v>58</v>
      </c>
      <c r="R595" t="s">
        <v>58</v>
      </c>
      <c r="S595" t="s">
        <v>58</v>
      </c>
      <c r="T595" t="s">
        <v>58</v>
      </c>
      <c r="U595" t="s">
        <v>58</v>
      </c>
      <c r="V595" t="s">
        <v>58</v>
      </c>
      <c r="Z595" t="s">
        <v>58</v>
      </c>
      <c r="AA595" t="s">
        <v>58</v>
      </c>
      <c r="AB595" t="s">
        <v>58</v>
      </c>
      <c r="AC595" t="s">
        <v>58</v>
      </c>
      <c r="AD595" t="s">
        <v>58</v>
      </c>
      <c r="AG595" t="s">
        <v>58</v>
      </c>
      <c r="AH595" t="s">
        <v>58</v>
      </c>
      <c r="AI595" t="s">
        <v>58</v>
      </c>
      <c r="AJ595" t="s">
        <v>58</v>
      </c>
      <c r="AK595" t="s">
        <v>58</v>
      </c>
      <c r="AO595" t="s">
        <v>58</v>
      </c>
      <c r="AP595" t="s">
        <v>58</v>
      </c>
      <c r="AQ595" t="s">
        <v>58</v>
      </c>
      <c r="AR595" t="s">
        <v>58</v>
      </c>
      <c r="AS595" t="s">
        <v>58</v>
      </c>
      <c r="AV595" t="s">
        <v>58</v>
      </c>
      <c r="AW595" t="s">
        <v>58</v>
      </c>
      <c r="AX595" t="s">
        <v>58</v>
      </c>
      <c r="AY595" t="s">
        <v>58</v>
      </c>
      <c r="AZ595" t="s">
        <v>58</v>
      </c>
      <c r="BC595" t="s">
        <v>58</v>
      </c>
      <c r="BD595" t="s">
        <v>58</v>
      </c>
      <c r="BE595" t="s">
        <v>58</v>
      </c>
      <c r="BF595" t="s">
        <v>58</v>
      </c>
      <c r="BG595" t="s">
        <v>58</v>
      </c>
    </row>
    <row r="596" spans="1:59" x14ac:dyDescent="0.3">
      <c r="A596" t="s">
        <v>58</v>
      </c>
      <c r="B596" t="s">
        <v>58</v>
      </c>
      <c r="C596" t="s">
        <v>58</v>
      </c>
      <c r="D596" t="s">
        <v>58</v>
      </c>
      <c r="E596" t="s">
        <v>58</v>
      </c>
      <c r="J596" t="s">
        <v>58</v>
      </c>
      <c r="K596" t="s">
        <v>58</v>
      </c>
      <c r="L596" t="s">
        <v>58</v>
      </c>
      <c r="M596" t="s">
        <v>58</v>
      </c>
      <c r="N596" t="s">
        <v>58</v>
      </c>
      <c r="R596" t="s">
        <v>58</v>
      </c>
      <c r="S596" t="s">
        <v>58</v>
      </c>
      <c r="T596" t="s">
        <v>58</v>
      </c>
      <c r="U596" t="s">
        <v>58</v>
      </c>
      <c r="V596" t="s">
        <v>58</v>
      </c>
      <c r="Z596" t="s">
        <v>58</v>
      </c>
      <c r="AA596" t="s">
        <v>58</v>
      </c>
      <c r="AB596" t="s">
        <v>58</v>
      </c>
      <c r="AC596" t="s">
        <v>58</v>
      </c>
      <c r="AD596" t="s">
        <v>58</v>
      </c>
      <c r="AG596" t="s">
        <v>58</v>
      </c>
      <c r="AH596" t="s">
        <v>58</v>
      </c>
      <c r="AI596" t="s">
        <v>58</v>
      </c>
      <c r="AJ596" t="s">
        <v>58</v>
      </c>
      <c r="AK596" t="s">
        <v>58</v>
      </c>
      <c r="AO596" t="s">
        <v>58</v>
      </c>
      <c r="AP596" t="s">
        <v>58</v>
      </c>
      <c r="AQ596" t="s">
        <v>58</v>
      </c>
      <c r="AR596" t="s">
        <v>58</v>
      </c>
      <c r="AS596" t="s">
        <v>58</v>
      </c>
      <c r="AV596" t="s">
        <v>58</v>
      </c>
      <c r="AW596" t="s">
        <v>58</v>
      </c>
      <c r="AX596" t="s">
        <v>58</v>
      </c>
      <c r="AY596" t="s">
        <v>58</v>
      </c>
      <c r="AZ596" t="s">
        <v>58</v>
      </c>
      <c r="BC596" t="s">
        <v>58</v>
      </c>
      <c r="BD596" t="s">
        <v>58</v>
      </c>
      <c r="BE596" t="s">
        <v>58</v>
      </c>
      <c r="BF596" t="s">
        <v>58</v>
      </c>
      <c r="BG596" t="s">
        <v>58</v>
      </c>
    </row>
    <row r="597" spans="1:59" x14ac:dyDescent="0.3">
      <c r="A597" t="s">
        <v>58</v>
      </c>
      <c r="B597" t="s">
        <v>58</v>
      </c>
      <c r="C597" t="s">
        <v>58</v>
      </c>
      <c r="D597" t="s">
        <v>58</v>
      </c>
      <c r="E597" t="s">
        <v>58</v>
      </c>
      <c r="J597" t="s">
        <v>58</v>
      </c>
      <c r="K597" t="s">
        <v>58</v>
      </c>
      <c r="L597" t="s">
        <v>58</v>
      </c>
      <c r="M597" t="s">
        <v>58</v>
      </c>
      <c r="N597" t="s">
        <v>58</v>
      </c>
      <c r="R597" t="s">
        <v>58</v>
      </c>
      <c r="S597" t="s">
        <v>58</v>
      </c>
      <c r="T597" t="s">
        <v>58</v>
      </c>
      <c r="U597" t="s">
        <v>58</v>
      </c>
      <c r="V597" t="s">
        <v>58</v>
      </c>
      <c r="Z597" t="s">
        <v>58</v>
      </c>
      <c r="AA597" t="s">
        <v>58</v>
      </c>
      <c r="AB597" t="s">
        <v>58</v>
      </c>
      <c r="AC597" t="s">
        <v>58</v>
      </c>
      <c r="AD597" t="s">
        <v>58</v>
      </c>
      <c r="AG597" t="s">
        <v>58</v>
      </c>
      <c r="AH597" t="s">
        <v>58</v>
      </c>
      <c r="AI597" t="s">
        <v>58</v>
      </c>
      <c r="AJ597" t="s">
        <v>58</v>
      </c>
      <c r="AK597" t="s">
        <v>58</v>
      </c>
      <c r="AO597" t="s">
        <v>58</v>
      </c>
      <c r="AP597" t="s">
        <v>58</v>
      </c>
      <c r="AQ597" t="s">
        <v>58</v>
      </c>
      <c r="AR597" t="s">
        <v>58</v>
      </c>
      <c r="AS597" t="s">
        <v>58</v>
      </c>
      <c r="AV597" t="s">
        <v>58</v>
      </c>
      <c r="AW597" t="s">
        <v>58</v>
      </c>
      <c r="AX597" t="s">
        <v>58</v>
      </c>
      <c r="AY597" t="s">
        <v>58</v>
      </c>
      <c r="AZ597" t="s">
        <v>58</v>
      </c>
      <c r="BC597" t="s">
        <v>58</v>
      </c>
      <c r="BD597" t="s">
        <v>58</v>
      </c>
      <c r="BE597" t="s">
        <v>58</v>
      </c>
      <c r="BF597" t="s">
        <v>58</v>
      </c>
      <c r="BG597" t="s">
        <v>58</v>
      </c>
    </row>
    <row r="598" spans="1:59" x14ac:dyDescent="0.3">
      <c r="A598" t="s">
        <v>58</v>
      </c>
      <c r="B598" t="s">
        <v>58</v>
      </c>
      <c r="C598" t="s">
        <v>58</v>
      </c>
      <c r="D598" t="s">
        <v>58</v>
      </c>
      <c r="E598" t="s">
        <v>58</v>
      </c>
      <c r="J598" t="s">
        <v>58</v>
      </c>
      <c r="K598" t="s">
        <v>58</v>
      </c>
      <c r="L598" t="s">
        <v>58</v>
      </c>
      <c r="M598" t="s">
        <v>58</v>
      </c>
      <c r="N598" t="s">
        <v>58</v>
      </c>
      <c r="R598" t="s">
        <v>58</v>
      </c>
      <c r="S598" t="s">
        <v>58</v>
      </c>
      <c r="T598" t="s">
        <v>58</v>
      </c>
      <c r="U598" t="s">
        <v>58</v>
      </c>
      <c r="V598" t="s">
        <v>58</v>
      </c>
      <c r="Z598" t="s">
        <v>58</v>
      </c>
      <c r="AA598" t="s">
        <v>58</v>
      </c>
      <c r="AB598" t="s">
        <v>58</v>
      </c>
      <c r="AC598" t="s">
        <v>58</v>
      </c>
      <c r="AD598" t="s">
        <v>58</v>
      </c>
      <c r="AG598" t="s">
        <v>58</v>
      </c>
      <c r="AH598" t="s">
        <v>58</v>
      </c>
      <c r="AI598" t="s">
        <v>58</v>
      </c>
      <c r="AJ598" t="s">
        <v>58</v>
      </c>
      <c r="AK598" t="s">
        <v>58</v>
      </c>
      <c r="AO598" t="s">
        <v>58</v>
      </c>
      <c r="AP598" t="s">
        <v>58</v>
      </c>
      <c r="AQ598" t="s">
        <v>58</v>
      </c>
      <c r="AR598" t="s">
        <v>58</v>
      </c>
      <c r="AS598" t="s">
        <v>58</v>
      </c>
      <c r="AV598" t="s">
        <v>58</v>
      </c>
      <c r="AW598" t="s">
        <v>58</v>
      </c>
      <c r="AX598" t="s">
        <v>58</v>
      </c>
      <c r="AY598" t="s">
        <v>58</v>
      </c>
      <c r="AZ598" t="s">
        <v>58</v>
      </c>
      <c r="BC598" t="s">
        <v>58</v>
      </c>
      <c r="BD598" t="s">
        <v>58</v>
      </c>
      <c r="BE598" t="s">
        <v>58</v>
      </c>
      <c r="BF598" t="s">
        <v>58</v>
      </c>
      <c r="BG598" t="s">
        <v>58</v>
      </c>
    </row>
    <row r="599" spans="1:59" x14ac:dyDescent="0.3">
      <c r="A599" t="s">
        <v>58</v>
      </c>
      <c r="B599" t="s">
        <v>58</v>
      </c>
      <c r="C599" t="s">
        <v>58</v>
      </c>
      <c r="D599" t="s">
        <v>58</v>
      </c>
      <c r="E599" t="s">
        <v>58</v>
      </c>
      <c r="J599" t="s">
        <v>58</v>
      </c>
      <c r="K599" t="s">
        <v>58</v>
      </c>
      <c r="L599" t="s">
        <v>58</v>
      </c>
      <c r="M599" t="s">
        <v>58</v>
      </c>
      <c r="N599" t="s">
        <v>58</v>
      </c>
      <c r="R599" t="s">
        <v>58</v>
      </c>
      <c r="S599" t="s">
        <v>58</v>
      </c>
      <c r="T599" t="s">
        <v>58</v>
      </c>
      <c r="U599" t="s">
        <v>58</v>
      </c>
      <c r="V599" t="s">
        <v>58</v>
      </c>
      <c r="Z599" t="s">
        <v>58</v>
      </c>
      <c r="AA599" t="s">
        <v>58</v>
      </c>
      <c r="AB599" t="s">
        <v>58</v>
      </c>
      <c r="AC599" t="s">
        <v>58</v>
      </c>
      <c r="AD599" t="s">
        <v>58</v>
      </c>
      <c r="AG599" t="s">
        <v>58</v>
      </c>
      <c r="AH599" t="s">
        <v>58</v>
      </c>
      <c r="AI599" t="s">
        <v>58</v>
      </c>
      <c r="AJ599" t="s">
        <v>58</v>
      </c>
      <c r="AK599" t="s">
        <v>58</v>
      </c>
      <c r="AO599" t="s">
        <v>58</v>
      </c>
      <c r="AP599" t="s">
        <v>58</v>
      </c>
      <c r="AQ599" t="s">
        <v>58</v>
      </c>
      <c r="AR599" t="s">
        <v>58</v>
      </c>
      <c r="AS599" t="s">
        <v>58</v>
      </c>
      <c r="AV599" t="s">
        <v>58</v>
      </c>
      <c r="AW599" t="s">
        <v>58</v>
      </c>
      <c r="AX599" t="s">
        <v>58</v>
      </c>
      <c r="AY599" t="s">
        <v>58</v>
      </c>
      <c r="AZ599" t="s">
        <v>58</v>
      </c>
      <c r="BC599" t="s">
        <v>58</v>
      </c>
      <c r="BD599" t="s">
        <v>58</v>
      </c>
      <c r="BE599" t="s">
        <v>58</v>
      </c>
      <c r="BF599" t="s">
        <v>58</v>
      </c>
      <c r="BG599" t="s">
        <v>58</v>
      </c>
    </row>
    <row r="600" spans="1:59" x14ac:dyDescent="0.3">
      <c r="A600" t="s">
        <v>58</v>
      </c>
      <c r="B600" t="s">
        <v>58</v>
      </c>
      <c r="C600" t="s">
        <v>58</v>
      </c>
      <c r="D600" t="s">
        <v>58</v>
      </c>
      <c r="E600" t="s">
        <v>58</v>
      </c>
      <c r="J600" t="s">
        <v>58</v>
      </c>
      <c r="K600" t="s">
        <v>58</v>
      </c>
      <c r="L600" t="s">
        <v>58</v>
      </c>
      <c r="M600" t="s">
        <v>58</v>
      </c>
      <c r="N600" t="s">
        <v>58</v>
      </c>
      <c r="R600" t="s">
        <v>58</v>
      </c>
      <c r="S600" t="s">
        <v>58</v>
      </c>
      <c r="T600" t="s">
        <v>58</v>
      </c>
      <c r="U600" t="s">
        <v>58</v>
      </c>
      <c r="V600" t="s">
        <v>58</v>
      </c>
      <c r="Z600" t="s">
        <v>58</v>
      </c>
      <c r="AA600" t="s">
        <v>58</v>
      </c>
      <c r="AB600" t="s">
        <v>58</v>
      </c>
      <c r="AC600" t="s">
        <v>58</v>
      </c>
      <c r="AD600" t="s">
        <v>58</v>
      </c>
      <c r="AG600" t="s">
        <v>58</v>
      </c>
      <c r="AH600" t="s">
        <v>58</v>
      </c>
      <c r="AI600" t="s">
        <v>58</v>
      </c>
      <c r="AJ600" t="s">
        <v>58</v>
      </c>
      <c r="AK600" t="s">
        <v>58</v>
      </c>
      <c r="AO600" t="s">
        <v>58</v>
      </c>
      <c r="AP600" t="s">
        <v>58</v>
      </c>
      <c r="AQ600" t="s">
        <v>58</v>
      </c>
      <c r="AR600" t="s">
        <v>58</v>
      </c>
      <c r="AS600" t="s">
        <v>58</v>
      </c>
      <c r="AV600" t="s">
        <v>58</v>
      </c>
      <c r="AW600" t="s">
        <v>58</v>
      </c>
      <c r="AX600" t="s">
        <v>58</v>
      </c>
      <c r="AY600" t="s">
        <v>58</v>
      </c>
      <c r="AZ600" t="s">
        <v>58</v>
      </c>
      <c r="BC600" t="s">
        <v>58</v>
      </c>
      <c r="BD600" t="s">
        <v>58</v>
      </c>
      <c r="BE600" t="s">
        <v>58</v>
      </c>
      <c r="BF600" t="s">
        <v>58</v>
      </c>
      <c r="BG600" t="s">
        <v>58</v>
      </c>
    </row>
    <row r="601" spans="1:59" x14ac:dyDescent="0.3">
      <c r="A601" t="s">
        <v>58</v>
      </c>
      <c r="B601" t="s">
        <v>58</v>
      </c>
      <c r="C601" t="s">
        <v>58</v>
      </c>
      <c r="D601" t="s">
        <v>58</v>
      </c>
      <c r="E601" t="s">
        <v>58</v>
      </c>
      <c r="J601" t="s">
        <v>58</v>
      </c>
      <c r="K601" t="s">
        <v>58</v>
      </c>
      <c r="L601" t="s">
        <v>58</v>
      </c>
      <c r="M601" t="s">
        <v>58</v>
      </c>
      <c r="N601" t="s">
        <v>58</v>
      </c>
      <c r="R601" t="s">
        <v>58</v>
      </c>
      <c r="S601" t="s">
        <v>58</v>
      </c>
      <c r="T601" t="s">
        <v>58</v>
      </c>
      <c r="U601" t="s">
        <v>58</v>
      </c>
      <c r="V601" t="s">
        <v>58</v>
      </c>
      <c r="Z601" t="s">
        <v>58</v>
      </c>
      <c r="AA601" t="s">
        <v>58</v>
      </c>
      <c r="AB601" t="s">
        <v>58</v>
      </c>
      <c r="AC601" t="s">
        <v>58</v>
      </c>
      <c r="AD601" t="s">
        <v>58</v>
      </c>
      <c r="AG601" t="s">
        <v>58</v>
      </c>
      <c r="AH601" t="s">
        <v>58</v>
      </c>
      <c r="AI601" t="s">
        <v>58</v>
      </c>
      <c r="AJ601" t="s">
        <v>58</v>
      </c>
      <c r="AK601" t="s">
        <v>58</v>
      </c>
      <c r="AO601" t="s">
        <v>58</v>
      </c>
      <c r="AP601" t="s">
        <v>58</v>
      </c>
      <c r="AQ601" t="s">
        <v>58</v>
      </c>
      <c r="AR601" t="s">
        <v>58</v>
      </c>
      <c r="AS601" t="s">
        <v>58</v>
      </c>
      <c r="AV601" t="s">
        <v>58</v>
      </c>
      <c r="AW601" t="s">
        <v>58</v>
      </c>
      <c r="AX601" t="s">
        <v>58</v>
      </c>
      <c r="AY601" t="s">
        <v>58</v>
      </c>
      <c r="AZ601" t="s">
        <v>58</v>
      </c>
      <c r="BC601" t="s">
        <v>58</v>
      </c>
      <c r="BD601" t="s">
        <v>58</v>
      </c>
      <c r="BE601" t="s">
        <v>58</v>
      </c>
      <c r="BF601" t="s">
        <v>58</v>
      </c>
      <c r="BG601" t="s">
        <v>58</v>
      </c>
    </row>
    <row r="602" spans="1:59" x14ac:dyDescent="0.3">
      <c r="A602" t="s">
        <v>58</v>
      </c>
      <c r="B602" t="s">
        <v>58</v>
      </c>
      <c r="C602" t="s">
        <v>58</v>
      </c>
      <c r="D602" t="s">
        <v>58</v>
      </c>
      <c r="E602" t="s">
        <v>58</v>
      </c>
      <c r="J602" t="s">
        <v>58</v>
      </c>
      <c r="K602" t="s">
        <v>58</v>
      </c>
      <c r="L602" t="s">
        <v>58</v>
      </c>
      <c r="M602" t="s">
        <v>58</v>
      </c>
      <c r="N602" t="s">
        <v>58</v>
      </c>
      <c r="R602" t="s">
        <v>58</v>
      </c>
      <c r="S602" t="s">
        <v>58</v>
      </c>
      <c r="T602" t="s">
        <v>58</v>
      </c>
      <c r="U602" t="s">
        <v>58</v>
      </c>
      <c r="V602" t="s">
        <v>58</v>
      </c>
      <c r="Z602" t="s">
        <v>58</v>
      </c>
      <c r="AA602" t="s">
        <v>58</v>
      </c>
      <c r="AB602" t="s">
        <v>58</v>
      </c>
      <c r="AC602" t="s">
        <v>58</v>
      </c>
      <c r="AD602" t="s">
        <v>58</v>
      </c>
      <c r="AG602" t="s">
        <v>58</v>
      </c>
      <c r="AH602" t="s">
        <v>58</v>
      </c>
      <c r="AI602" t="s">
        <v>58</v>
      </c>
      <c r="AJ602" t="s">
        <v>58</v>
      </c>
      <c r="AK602" t="s">
        <v>58</v>
      </c>
      <c r="AO602" t="s">
        <v>58</v>
      </c>
      <c r="AP602" t="s">
        <v>58</v>
      </c>
      <c r="AQ602" t="s">
        <v>58</v>
      </c>
      <c r="AR602" t="s">
        <v>58</v>
      </c>
      <c r="AS602" t="s">
        <v>58</v>
      </c>
      <c r="AV602" t="s">
        <v>58</v>
      </c>
      <c r="AW602" t="s">
        <v>58</v>
      </c>
      <c r="AX602" t="s">
        <v>58</v>
      </c>
      <c r="AY602" t="s">
        <v>58</v>
      </c>
      <c r="AZ602" t="s">
        <v>58</v>
      </c>
      <c r="BC602" t="s">
        <v>58</v>
      </c>
      <c r="BD602" t="s">
        <v>58</v>
      </c>
      <c r="BE602" t="s">
        <v>58</v>
      </c>
      <c r="BF602" t="s">
        <v>58</v>
      </c>
      <c r="BG602" t="s">
        <v>58</v>
      </c>
    </row>
    <row r="603" spans="1:59" x14ac:dyDescent="0.3">
      <c r="A603" t="s">
        <v>58</v>
      </c>
      <c r="B603" t="s">
        <v>58</v>
      </c>
      <c r="C603" t="s">
        <v>58</v>
      </c>
      <c r="D603" t="s">
        <v>58</v>
      </c>
      <c r="E603" t="s">
        <v>58</v>
      </c>
      <c r="J603" t="s">
        <v>58</v>
      </c>
      <c r="K603" t="s">
        <v>58</v>
      </c>
      <c r="L603" t="s">
        <v>58</v>
      </c>
      <c r="M603" t="s">
        <v>58</v>
      </c>
      <c r="N603" t="s">
        <v>58</v>
      </c>
      <c r="R603" t="s">
        <v>58</v>
      </c>
      <c r="S603" t="s">
        <v>58</v>
      </c>
      <c r="T603" t="s">
        <v>58</v>
      </c>
      <c r="U603" t="s">
        <v>58</v>
      </c>
      <c r="V603" t="s">
        <v>58</v>
      </c>
      <c r="Z603" t="s">
        <v>58</v>
      </c>
      <c r="AA603" t="s">
        <v>58</v>
      </c>
      <c r="AB603" t="s">
        <v>58</v>
      </c>
      <c r="AC603" t="s">
        <v>58</v>
      </c>
      <c r="AD603" t="s">
        <v>58</v>
      </c>
      <c r="AG603" t="s">
        <v>58</v>
      </c>
      <c r="AH603" t="s">
        <v>58</v>
      </c>
      <c r="AI603" t="s">
        <v>58</v>
      </c>
      <c r="AJ603" t="s">
        <v>58</v>
      </c>
      <c r="AK603" t="s">
        <v>58</v>
      </c>
      <c r="AO603" t="s">
        <v>58</v>
      </c>
      <c r="AP603" t="s">
        <v>58</v>
      </c>
      <c r="AQ603" t="s">
        <v>58</v>
      </c>
      <c r="AR603" t="s">
        <v>58</v>
      </c>
      <c r="AS603" t="s">
        <v>58</v>
      </c>
      <c r="AV603" t="s">
        <v>58</v>
      </c>
      <c r="AW603" t="s">
        <v>58</v>
      </c>
      <c r="AX603" t="s">
        <v>58</v>
      </c>
      <c r="AY603" t="s">
        <v>58</v>
      </c>
      <c r="AZ603" t="s">
        <v>58</v>
      </c>
      <c r="BC603" t="s">
        <v>58</v>
      </c>
      <c r="BD603" t="s">
        <v>58</v>
      </c>
      <c r="BE603" t="s">
        <v>58</v>
      </c>
      <c r="BF603" t="s">
        <v>58</v>
      </c>
      <c r="BG603" t="s">
        <v>58</v>
      </c>
    </row>
    <row r="604" spans="1:59" x14ac:dyDescent="0.3">
      <c r="A604" t="s">
        <v>58</v>
      </c>
      <c r="B604" t="s">
        <v>58</v>
      </c>
      <c r="C604" t="s">
        <v>58</v>
      </c>
      <c r="D604" t="s">
        <v>58</v>
      </c>
      <c r="E604" t="s">
        <v>58</v>
      </c>
      <c r="J604" t="s">
        <v>58</v>
      </c>
      <c r="K604" t="s">
        <v>58</v>
      </c>
      <c r="L604" t="s">
        <v>58</v>
      </c>
      <c r="M604" t="s">
        <v>58</v>
      </c>
      <c r="N604" t="s">
        <v>58</v>
      </c>
      <c r="R604" t="s">
        <v>58</v>
      </c>
      <c r="S604" t="s">
        <v>58</v>
      </c>
      <c r="T604" t="s">
        <v>58</v>
      </c>
      <c r="U604" t="s">
        <v>58</v>
      </c>
      <c r="V604" t="s">
        <v>58</v>
      </c>
      <c r="Z604" t="s">
        <v>58</v>
      </c>
      <c r="AA604" t="s">
        <v>58</v>
      </c>
      <c r="AB604" t="s">
        <v>58</v>
      </c>
      <c r="AC604" t="s">
        <v>58</v>
      </c>
      <c r="AD604" t="s">
        <v>58</v>
      </c>
      <c r="AG604" t="s">
        <v>58</v>
      </c>
      <c r="AH604" t="s">
        <v>58</v>
      </c>
      <c r="AI604" t="s">
        <v>58</v>
      </c>
      <c r="AJ604" t="s">
        <v>58</v>
      </c>
      <c r="AK604" t="s">
        <v>58</v>
      </c>
      <c r="AO604" t="s">
        <v>58</v>
      </c>
      <c r="AP604" t="s">
        <v>58</v>
      </c>
      <c r="AQ604" t="s">
        <v>58</v>
      </c>
      <c r="AR604" t="s">
        <v>58</v>
      </c>
      <c r="AS604" t="s">
        <v>58</v>
      </c>
      <c r="AV604" t="s">
        <v>58</v>
      </c>
      <c r="AW604" t="s">
        <v>58</v>
      </c>
      <c r="AX604" t="s">
        <v>58</v>
      </c>
      <c r="AY604" t="s">
        <v>58</v>
      </c>
      <c r="AZ604" t="s">
        <v>58</v>
      </c>
      <c r="BC604" t="s">
        <v>58</v>
      </c>
      <c r="BD604" t="s">
        <v>58</v>
      </c>
      <c r="BE604" t="s">
        <v>58</v>
      </c>
      <c r="BF604" t="s">
        <v>58</v>
      </c>
      <c r="BG604" t="s">
        <v>58</v>
      </c>
    </row>
    <row r="605" spans="1:59" x14ac:dyDescent="0.3">
      <c r="A605" t="s">
        <v>58</v>
      </c>
      <c r="B605" t="s">
        <v>58</v>
      </c>
      <c r="C605" t="s">
        <v>58</v>
      </c>
      <c r="D605" t="s">
        <v>58</v>
      </c>
      <c r="E605" t="s">
        <v>58</v>
      </c>
      <c r="J605" t="s">
        <v>58</v>
      </c>
      <c r="K605" t="s">
        <v>58</v>
      </c>
      <c r="L605" t="s">
        <v>58</v>
      </c>
      <c r="M605" t="s">
        <v>58</v>
      </c>
      <c r="N605" t="s">
        <v>58</v>
      </c>
      <c r="R605" t="s">
        <v>58</v>
      </c>
      <c r="S605" t="s">
        <v>58</v>
      </c>
      <c r="T605" t="s">
        <v>58</v>
      </c>
      <c r="U605" t="s">
        <v>58</v>
      </c>
      <c r="V605" t="s">
        <v>58</v>
      </c>
      <c r="Z605" t="s">
        <v>58</v>
      </c>
      <c r="AA605" t="s">
        <v>58</v>
      </c>
      <c r="AB605" t="s">
        <v>58</v>
      </c>
      <c r="AC605" t="s">
        <v>58</v>
      </c>
      <c r="AD605" t="s">
        <v>58</v>
      </c>
      <c r="AG605" t="s">
        <v>58</v>
      </c>
      <c r="AH605" t="s">
        <v>58</v>
      </c>
      <c r="AI605" t="s">
        <v>58</v>
      </c>
      <c r="AJ605" t="s">
        <v>58</v>
      </c>
      <c r="AK605" t="s">
        <v>58</v>
      </c>
      <c r="AO605" t="s">
        <v>58</v>
      </c>
      <c r="AP605" t="s">
        <v>58</v>
      </c>
      <c r="AQ605" t="s">
        <v>58</v>
      </c>
      <c r="AR605" t="s">
        <v>58</v>
      </c>
      <c r="AS605" t="s">
        <v>58</v>
      </c>
      <c r="AV605" t="s">
        <v>58</v>
      </c>
      <c r="AW605" t="s">
        <v>58</v>
      </c>
      <c r="AX605" t="s">
        <v>58</v>
      </c>
      <c r="AY605" t="s">
        <v>58</v>
      </c>
      <c r="AZ605" t="s">
        <v>58</v>
      </c>
      <c r="BC605" t="s">
        <v>58</v>
      </c>
      <c r="BD605" t="s">
        <v>58</v>
      </c>
      <c r="BE605" t="s">
        <v>58</v>
      </c>
      <c r="BF605" t="s">
        <v>58</v>
      </c>
      <c r="BG605" t="s">
        <v>58</v>
      </c>
    </row>
    <row r="606" spans="1:59" x14ac:dyDescent="0.3">
      <c r="A606" t="s">
        <v>58</v>
      </c>
      <c r="B606" t="s">
        <v>58</v>
      </c>
      <c r="C606" t="s">
        <v>58</v>
      </c>
      <c r="D606" t="s">
        <v>58</v>
      </c>
      <c r="E606" t="s">
        <v>58</v>
      </c>
      <c r="J606" t="s">
        <v>58</v>
      </c>
      <c r="K606" t="s">
        <v>58</v>
      </c>
      <c r="L606" t="s">
        <v>58</v>
      </c>
      <c r="M606" t="s">
        <v>58</v>
      </c>
      <c r="N606" t="s">
        <v>58</v>
      </c>
      <c r="R606" t="s">
        <v>58</v>
      </c>
      <c r="S606" t="s">
        <v>58</v>
      </c>
      <c r="T606" t="s">
        <v>58</v>
      </c>
      <c r="U606" t="s">
        <v>58</v>
      </c>
      <c r="V606" t="s">
        <v>58</v>
      </c>
      <c r="Z606" t="s">
        <v>58</v>
      </c>
      <c r="AA606" t="s">
        <v>58</v>
      </c>
      <c r="AB606" t="s">
        <v>58</v>
      </c>
      <c r="AC606" t="s">
        <v>58</v>
      </c>
      <c r="AD606" t="s">
        <v>58</v>
      </c>
      <c r="AG606" t="s">
        <v>58</v>
      </c>
      <c r="AH606" t="s">
        <v>58</v>
      </c>
      <c r="AI606" t="s">
        <v>58</v>
      </c>
      <c r="AJ606" t="s">
        <v>58</v>
      </c>
      <c r="AK606" t="s">
        <v>58</v>
      </c>
      <c r="AO606" t="s">
        <v>58</v>
      </c>
      <c r="AP606" t="s">
        <v>58</v>
      </c>
      <c r="AQ606" t="s">
        <v>58</v>
      </c>
      <c r="AR606" t="s">
        <v>58</v>
      </c>
      <c r="AS606" t="s">
        <v>58</v>
      </c>
      <c r="AV606" t="s">
        <v>58</v>
      </c>
      <c r="AW606" t="s">
        <v>58</v>
      </c>
      <c r="AX606" t="s">
        <v>58</v>
      </c>
      <c r="AY606" t="s">
        <v>58</v>
      </c>
      <c r="AZ606" t="s">
        <v>58</v>
      </c>
      <c r="BC606" t="s">
        <v>58</v>
      </c>
      <c r="BD606" t="s">
        <v>58</v>
      </c>
      <c r="BE606" t="s">
        <v>58</v>
      </c>
      <c r="BF606" t="s">
        <v>58</v>
      </c>
      <c r="BG606" t="s">
        <v>58</v>
      </c>
    </row>
    <row r="607" spans="1:59" x14ac:dyDescent="0.3">
      <c r="A607" t="s">
        <v>58</v>
      </c>
      <c r="B607" t="s">
        <v>58</v>
      </c>
      <c r="C607" t="s">
        <v>58</v>
      </c>
      <c r="D607" t="s">
        <v>58</v>
      </c>
      <c r="E607" t="s">
        <v>58</v>
      </c>
      <c r="J607" t="s">
        <v>58</v>
      </c>
      <c r="K607" t="s">
        <v>58</v>
      </c>
      <c r="L607" t="s">
        <v>58</v>
      </c>
      <c r="M607" t="s">
        <v>58</v>
      </c>
      <c r="N607" t="s">
        <v>58</v>
      </c>
      <c r="R607" t="s">
        <v>58</v>
      </c>
      <c r="S607" t="s">
        <v>58</v>
      </c>
      <c r="T607" t="s">
        <v>58</v>
      </c>
      <c r="U607" t="s">
        <v>58</v>
      </c>
      <c r="V607" t="s">
        <v>58</v>
      </c>
      <c r="Z607" t="s">
        <v>58</v>
      </c>
      <c r="AA607" t="s">
        <v>58</v>
      </c>
      <c r="AB607" t="s">
        <v>58</v>
      </c>
      <c r="AC607" t="s">
        <v>58</v>
      </c>
      <c r="AD607" t="s">
        <v>58</v>
      </c>
      <c r="AG607" t="s">
        <v>58</v>
      </c>
      <c r="AH607" t="s">
        <v>58</v>
      </c>
      <c r="AI607" t="s">
        <v>58</v>
      </c>
      <c r="AJ607" t="s">
        <v>58</v>
      </c>
      <c r="AK607" t="s">
        <v>58</v>
      </c>
      <c r="AO607" t="s">
        <v>58</v>
      </c>
      <c r="AP607" t="s">
        <v>58</v>
      </c>
      <c r="AQ607" t="s">
        <v>58</v>
      </c>
      <c r="AR607" t="s">
        <v>58</v>
      </c>
      <c r="AS607" t="s">
        <v>58</v>
      </c>
      <c r="AV607" t="s">
        <v>58</v>
      </c>
      <c r="AW607" t="s">
        <v>58</v>
      </c>
      <c r="AX607" t="s">
        <v>58</v>
      </c>
      <c r="AY607" t="s">
        <v>58</v>
      </c>
      <c r="AZ607" t="s">
        <v>58</v>
      </c>
      <c r="BC607" t="s">
        <v>58</v>
      </c>
      <c r="BD607" t="s">
        <v>58</v>
      </c>
      <c r="BE607" t="s">
        <v>58</v>
      </c>
      <c r="BF607" t="s">
        <v>58</v>
      </c>
      <c r="BG607" t="s">
        <v>58</v>
      </c>
    </row>
    <row r="608" spans="1:59" x14ac:dyDescent="0.3">
      <c r="A608" t="s">
        <v>58</v>
      </c>
      <c r="B608" t="s">
        <v>58</v>
      </c>
      <c r="C608" t="s">
        <v>58</v>
      </c>
      <c r="D608" t="s">
        <v>58</v>
      </c>
      <c r="E608" t="s">
        <v>58</v>
      </c>
      <c r="J608" t="s">
        <v>58</v>
      </c>
      <c r="K608" t="s">
        <v>58</v>
      </c>
      <c r="L608" t="s">
        <v>58</v>
      </c>
      <c r="M608" t="s">
        <v>58</v>
      </c>
      <c r="N608" t="s">
        <v>58</v>
      </c>
      <c r="R608" t="s">
        <v>58</v>
      </c>
      <c r="S608" t="s">
        <v>58</v>
      </c>
      <c r="T608" t="s">
        <v>58</v>
      </c>
      <c r="U608" t="s">
        <v>58</v>
      </c>
      <c r="V608" t="s">
        <v>58</v>
      </c>
      <c r="Z608" t="s">
        <v>58</v>
      </c>
      <c r="AA608" t="s">
        <v>58</v>
      </c>
      <c r="AB608" t="s">
        <v>58</v>
      </c>
      <c r="AC608" t="s">
        <v>58</v>
      </c>
      <c r="AD608" t="s">
        <v>58</v>
      </c>
      <c r="AG608" t="s">
        <v>58</v>
      </c>
      <c r="AH608" t="s">
        <v>58</v>
      </c>
      <c r="AI608" t="s">
        <v>58</v>
      </c>
      <c r="AJ608" t="s">
        <v>58</v>
      </c>
      <c r="AK608" t="s">
        <v>58</v>
      </c>
      <c r="AO608" t="s">
        <v>58</v>
      </c>
      <c r="AP608" t="s">
        <v>58</v>
      </c>
      <c r="AQ608" t="s">
        <v>58</v>
      </c>
      <c r="AR608" t="s">
        <v>58</v>
      </c>
      <c r="AS608" t="s">
        <v>58</v>
      </c>
      <c r="AV608" t="s">
        <v>58</v>
      </c>
      <c r="AW608" t="s">
        <v>58</v>
      </c>
      <c r="AX608" t="s">
        <v>58</v>
      </c>
      <c r="AY608" t="s">
        <v>58</v>
      </c>
      <c r="AZ608" t="s">
        <v>58</v>
      </c>
      <c r="BC608" t="s">
        <v>58</v>
      </c>
      <c r="BD608" t="s">
        <v>58</v>
      </c>
      <c r="BE608" t="s">
        <v>58</v>
      </c>
      <c r="BF608" t="s">
        <v>58</v>
      </c>
      <c r="BG608" t="s">
        <v>58</v>
      </c>
    </row>
    <row r="609" spans="1:59" x14ac:dyDescent="0.3">
      <c r="A609" t="s">
        <v>58</v>
      </c>
      <c r="B609" t="s">
        <v>58</v>
      </c>
      <c r="C609" t="s">
        <v>58</v>
      </c>
      <c r="D609" t="s">
        <v>58</v>
      </c>
      <c r="E609" t="s">
        <v>58</v>
      </c>
      <c r="J609" t="s">
        <v>58</v>
      </c>
      <c r="K609" t="s">
        <v>58</v>
      </c>
      <c r="L609" t="s">
        <v>58</v>
      </c>
      <c r="M609" t="s">
        <v>58</v>
      </c>
      <c r="N609" t="s">
        <v>58</v>
      </c>
      <c r="R609" t="s">
        <v>58</v>
      </c>
      <c r="S609" t="s">
        <v>58</v>
      </c>
      <c r="T609" t="s">
        <v>58</v>
      </c>
      <c r="U609" t="s">
        <v>58</v>
      </c>
      <c r="V609" t="s">
        <v>58</v>
      </c>
      <c r="Z609" t="s">
        <v>58</v>
      </c>
      <c r="AA609" t="s">
        <v>58</v>
      </c>
      <c r="AB609" t="s">
        <v>58</v>
      </c>
      <c r="AC609" t="s">
        <v>58</v>
      </c>
      <c r="AD609" t="s">
        <v>58</v>
      </c>
      <c r="AG609" t="s">
        <v>58</v>
      </c>
      <c r="AH609" t="s">
        <v>58</v>
      </c>
      <c r="AI609" t="s">
        <v>58</v>
      </c>
      <c r="AJ609" t="s">
        <v>58</v>
      </c>
      <c r="AK609" t="s">
        <v>58</v>
      </c>
      <c r="AO609" t="s">
        <v>58</v>
      </c>
      <c r="AP609" t="s">
        <v>58</v>
      </c>
      <c r="AQ609" t="s">
        <v>58</v>
      </c>
      <c r="AR609" t="s">
        <v>58</v>
      </c>
      <c r="AS609" t="s">
        <v>58</v>
      </c>
      <c r="AV609" t="s">
        <v>58</v>
      </c>
      <c r="AW609" t="s">
        <v>58</v>
      </c>
      <c r="AX609" t="s">
        <v>58</v>
      </c>
      <c r="AY609" t="s">
        <v>58</v>
      </c>
      <c r="AZ609" t="s">
        <v>58</v>
      </c>
      <c r="BC609" t="s">
        <v>58</v>
      </c>
      <c r="BD609" t="s">
        <v>58</v>
      </c>
      <c r="BE609" t="s">
        <v>58</v>
      </c>
      <c r="BF609" t="s">
        <v>58</v>
      </c>
      <c r="BG609" t="s">
        <v>58</v>
      </c>
    </row>
    <row r="610" spans="1:59" x14ac:dyDescent="0.3">
      <c r="A610" t="s">
        <v>58</v>
      </c>
      <c r="B610" t="s">
        <v>58</v>
      </c>
      <c r="C610" t="s">
        <v>58</v>
      </c>
      <c r="D610" t="s">
        <v>58</v>
      </c>
      <c r="E610" t="s">
        <v>58</v>
      </c>
      <c r="J610" t="s">
        <v>58</v>
      </c>
      <c r="K610" t="s">
        <v>58</v>
      </c>
      <c r="L610" t="s">
        <v>58</v>
      </c>
      <c r="M610" t="s">
        <v>58</v>
      </c>
      <c r="N610" t="s">
        <v>58</v>
      </c>
      <c r="R610" t="s">
        <v>58</v>
      </c>
      <c r="S610" t="s">
        <v>58</v>
      </c>
      <c r="T610" t="s">
        <v>58</v>
      </c>
      <c r="U610" t="s">
        <v>58</v>
      </c>
      <c r="V610" t="s">
        <v>58</v>
      </c>
      <c r="Z610" t="s">
        <v>58</v>
      </c>
      <c r="AA610" t="s">
        <v>58</v>
      </c>
      <c r="AB610" t="s">
        <v>58</v>
      </c>
      <c r="AC610" t="s">
        <v>58</v>
      </c>
      <c r="AD610" t="s">
        <v>58</v>
      </c>
      <c r="AG610" t="s">
        <v>58</v>
      </c>
      <c r="AH610" t="s">
        <v>58</v>
      </c>
      <c r="AI610" t="s">
        <v>58</v>
      </c>
      <c r="AJ610" t="s">
        <v>58</v>
      </c>
      <c r="AK610" t="s">
        <v>58</v>
      </c>
      <c r="AO610" t="s">
        <v>58</v>
      </c>
      <c r="AP610" t="s">
        <v>58</v>
      </c>
      <c r="AQ610" t="s">
        <v>58</v>
      </c>
      <c r="AR610" t="s">
        <v>58</v>
      </c>
      <c r="AS610" t="s">
        <v>58</v>
      </c>
      <c r="AV610" t="s">
        <v>58</v>
      </c>
      <c r="AW610" t="s">
        <v>58</v>
      </c>
      <c r="AX610" t="s">
        <v>58</v>
      </c>
      <c r="AY610" t="s">
        <v>58</v>
      </c>
      <c r="AZ610" t="s">
        <v>58</v>
      </c>
      <c r="BC610" t="s">
        <v>58</v>
      </c>
      <c r="BD610" t="s">
        <v>58</v>
      </c>
      <c r="BE610" t="s">
        <v>58</v>
      </c>
      <c r="BF610" t="s">
        <v>58</v>
      </c>
      <c r="BG610" t="s">
        <v>58</v>
      </c>
    </row>
    <row r="611" spans="1:59" x14ac:dyDescent="0.3">
      <c r="A611" t="s">
        <v>58</v>
      </c>
      <c r="B611" t="s">
        <v>58</v>
      </c>
      <c r="C611" t="s">
        <v>58</v>
      </c>
      <c r="D611" t="s">
        <v>58</v>
      </c>
      <c r="E611" t="s">
        <v>58</v>
      </c>
      <c r="J611" t="s">
        <v>58</v>
      </c>
      <c r="K611" t="s">
        <v>58</v>
      </c>
      <c r="L611" t="s">
        <v>58</v>
      </c>
      <c r="M611" t="s">
        <v>58</v>
      </c>
      <c r="N611" t="s">
        <v>58</v>
      </c>
      <c r="R611" t="s">
        <v>58</v>
      </c>
      <c r="S611" t="s">
        <v>58</v>
      </c>
      <c r="T611" t="s">
        <v>58</v>
      </c>
      <c r="U611" t="s">
        <v>58</v>
      </c>
      <c r="V611" t="s">
        <v>58</v>
      </c>
      <c r="Z611" t="s">
        <v>58</v>
      </c>
      <c r="AA611" t="s">
        <v>58</v>
      </c>
      <c r="AB611" t="s">
        <v>58</v>
      </c>
      <c r="AC611" t="s">
        <v>58</v>
      </c>
      <c r="AD611" t="s">
        <v>58</v>
      </c>
      <c r="AG611" t="s">
        <v>58</v>
      </c>
      <c r="AH611" t="s">
        <v>58</v>
      </c>
      <c r="AI611" t="s">
        <v>58</v>
      </c>
      <c r="AJ611" t="s">
        <v>58</v>
      </c>
      <c r="AK611" t="s">
        <v>58</v>
      </c>
      <c r="AO611" t="s">
        <v>58</v>
      </c>
      <c r="AP611" t="s">
        <v>58</v>
      </c>
      <c r="AQ611" t="s">
        <v>58</v>
      </c>
      <c r="AR611" t="s">
        <v>58</v>
      </c>
      <c r="AS611" t="s">
        <v>58</v>
      </c>
      <c r="AV611" t="s">
        <v>58</v>
      </c>
      <c r="AW611" t="s">
        <v>58</v>
      </c>
      <c r="AX611" t="s">
        <v>58</v>
      </c>
      <c r="AY611" t="s">
        <v>58</v>
      </c>
      <c r="AZ611" t="s">
        <v>58</v>
      </c>
      <c r="BC611" t="s">
        <v>58</v>
      </c>
      <c r="BD611" t="s">
        <v>58</v>
      </c>
      <c r="BE611" t="s">
        <v>58</v>
      </c>
      <c r="BF611" t="s">
        <v>58</v>
      </c>
      <c r="BG611" t="s">
        <v>58</v>
      </c>
    </row>
    <row r="612" spans="1:59" x14ac:dyDescent="0.3">
      <c r="A612" t="s">
        <v>58</v>
      </c>
      <c r="B612" t="s">
        <v>58</v>
      </c>
      <c r="C612" t="s">
        <v>58</v>
      </c>
      <c r="D612" t="s">
        <v>58</v>
      </c>
      <c r="E612" t="s">
        <v>58</v>
      </c>
      <c r="J612" t="s">
        <v>58</v>
      </c>
      <c r="K612" t="s">
        <v>58</v>
      </c>
      <c r="L612" t="s">
        <v>58</v>
      </c>
      <c r="M612" t="s">
        <v>58</v>
      </c>
      <c r="N612" t="s">
        <v>58</v>
      </c>
      <c r="R612" t="s">
        <v>58</v>
      </c>
      <c r="S612" t="s">
        <v>58</v>
      </c>
      <c r="T612" t="s">
        <v>58</v>
      </c>
      <c r="U612" t="s">
        <v>58</v>
      </c>
      <c r="V612" t="s">
        <v>58</v>
      </c>
      <c r="Z612" t="s">
        <v>58</v>
      </c>
      <c r="AA612" t="s">
        <v>58</v>
      </c>
      <c r="AB612" t="s">
        <v>58</v>
      </c>
      <c r="AC612" t="s">
        <v>58</v>
      </c>
      <c r="AD612" t="s">
        <v>58</v>
      </c>
      <c r="AG612" t="s">
        <v>58</v>
      </c>
      <c r="AH612" t="s">
        <v>58</v>
      </c>
      <c r="AI612" t="s">
        <v>58</v>
      </c>
      <c r="AJ612" t="s">
        <v>58</v>
      </c>
      <c r="AK612" t="s">
        <v>58</v>
      </c>
      <c r="AO612" t="s">
        <v>58</v>
      </c>
      <c r="AP612" t="s">
        <v>58</v>
      </c>
      <c r="AQ612" t="s">
        <v>58</v>
      </c>
      <c r="AR612" t="s">
        <v>58</v>
      </c>
      <c r="AS612" t="s">
        <v>58</v>
      </c>
      <c r="AV612" t="s">
        <v>58</v>
      </c>
      <c r="AW612" t="s">
        <v>58</v>
      </c>
      <c r="AX612" t="s">
        <v>58</v>
      </c>
      <c r="AY612" t="s">
        <v>58</v>
      </c>
      <c r="AZ612" t="s">
        <v>58</v>
      </c>
      <c r="BC612" t="s">
        <v>58</v>
      </c>
      <c r="BD612" t="s">
        <v>58</v>
      </c>
      <c r="BE612" t="s">
        <v>58</v>
      </c>
      <c r="BF612" t="s">
        <v>58</v>
      </c>
      <c r="BG612" t="s">
        <v>58</v>
      </c>
    </row>
    <row r="613" spans="1:59" x14ac:dyDescent="0.3">
      <c r="A613" t="s">
        <v>58</v>
      </c>
      <c r="B613" t="s">
        <v>58</v>
      </c>
      <c r="C613" t="s">
        <v>58</v>
      </c>
      <c r="D613" t="s">
        <v>58</v>
      </c>
      <c r="E613" t="s">
        <v>58</v>
      </c>
      <c r="J613" t="s">
        <v>58</v>
      </c>
      <c r="K613" t="s">
        <v>58</v>
      </c>
      <c r="L613" t="s">
        <v>58</v>
      </c>
      <c r="M613" t="s">
        <v>58</v>
      </c>
      <c r="N613" t="s">
        <v>58</v>
      </c>
      <c r="R613" t="s">
        <v>58</v>
      </c>
      <c r="S613" t="s">
        <v>58</v>
      </c>
      <c r="T613" t="s">
        <v>58</v>
      </c>
      <c r="U613" t="s">
        <v>58</v>
      </c>
      <c r="V613" t="s">
        <v>58</v>
      </c>
      <c r="Z613" t="s">
        <v>58</v>
      </c>
      <c r="AA613" t="s">
        <v>58</v>
      </c>
      <c r="AB613" t="s">
        <v>58</v>
      </c>
      <c r="AC613" t="s">
        <v>58</v>
      </c>
      <c r="AD613" t="s">
        <v>58</v>
      </c>
      <c r="AG613" t="s">
        <v>58</v>
      </c>
      <c r="AH613" t="s">
        <v>58</v>
      </c>
      <c r="AI613" t="s">
        <v>58</v>
      </c>
      <c r="AJ613" t="s">
        <v>58</v>
      </c>
      <c r="AK613" t="s">
        <v>58</v>
      </c>
      <c r="AO613" t="s">
        <v>58</v>
      </c>
      <c r="AP613" t="s">
        <v>58</v>
      </c>
      <c r="AQ613" t="s">
        <v>58</v>
      </c>
      <c r="AR613" t="s">
        <v>58</v>
      </c>
      <c r="AS613" t="s">
        <v>58</v>
      </c>
      <c r="AV613" t="s">
        <v>58</v>
      </c>
      <c r="AW613" t="s">
        <v>58</v>
      </c>
      <c r="AX613" t="s">
        <v>58</v>
      </c>
      <c r="AY613" t="s">
        <v>58</v>
      </c>
      <c r="AZ613" t="s">
        <v>58</v>
      </c>
      <c r="BC613" t="s">
        <v>58</v>
      </c>
      <c r="BD613" t="s">
        <v>58</v>
      </c>
      <c r="BE613" t="s">
        <v>58</v>
      </c>
      <c r="BF613" t="s">
        <v>58</v>
      </c>
      <c r="BG613" t="s">
        <v>58</v>
      </c>
    </row>
    <row r="614" spans="1:59" x14ac:dyDescent="0.3">
      <c r="A614" t="s">
        <v>58</v>
      </c>
      <c r="B614" t="s">
        <v>58</v>
      </c>
      <c r="C614" t="s">
        <v>58</v>
      </c>
      <c r="D614" t="s">
        <v>58</v>
      </c>
      <c r="E614" t="s">
        <v>58</v>
      </c>
      <c r="J614" t="s">
        <v>58</v>
      </c>
      <c r="K614" t="s">
        <v>58</v>
      </c>
      <c r="L614" t="s">
        <v>58</v>
      </c>
      <c r="M614" t="s">
        <v>58</v>
      </c>
      <c r="N614" t="s">
        <v>58</v>
      </c>
      <c r="R614" t="s">
        <v>58</v>
      </c>
      <c r="S614" t="s">
        <v>58</v>
      </c>
      <c r="T614" t="s">
        <v>58</v>
      </c>
      <c r="U614" t="s">
        <v>58</v>
      </c>
      <c r="V614" t="s">
        <v>58</v>
      </c>
      <c r="Z614" t="s">
        <v>58</v>
      </c>
      <c r="AA614" t="s">
        <v>58</v>
      </c>
      <c r="AB614" t="s">
        <v>58</v>
      </c>
      <c r="AC614" t="s">
        <v>58</v>
      </c>
      <c r="AD614" t="s">
        <v>58</v>
      </c>
      <c r="AG614" t="s">
        <v>58</v>
      </c>
      <c r="AH614" t="s">
        <v>58</v>
      </c>
      <c r="AI614" t="s">
        <v>58</v>
      </c>
      <c r="AJ614" t="s">
        <v>58</v>
      </c>
      <c r="AK614" t="s">
        <v>58</v>
      </c>
      <c r="AO614" t="s">
        <v>58</v>
      </c>
      <c r="AP614" t="s">
        <v>58</v>
      </c>
      <c r="AQ614" t="s">
        <v>58</v>
      </c>
      <c r="AR614" t="s">
        <v>58</v>
      </c>
      <c r="AS614" t="s">
        <v>58</v>
      </c>
      <c r="AV614" t="s">
        <v>58</v>
      </c>
      <c r="AW614" t="s">
        <v>58</v>
      </c>
      <c r="AX614" t="s">
        <v>58</v>
      </c>
      <c r="AY614" t="s">
        <v>58</v>
      </c>
      <c r="AZ614" t="s">
        <v>58</v>
      </c>
      <c r="BC614" t="s">
        <v>58</v>
      </c>
      <c r="BD614" t="s">
        <v>58</v>
      </c>
      <c r="BE614" t="s">
        <v>58</v>
      </c>
      <c r="BF614" t="s">
        <v>58</v>
      </c>
      <c r="BG614" t="s">
        <v>58</v>
      </c>
    </row>
    <row r="615" spans="1:59" x14ac:dyDescent="0.3">
      <c r="A615" t="s">
        <v>58</v>
      </c>
      <c r="B615" t="s">
        <v>58</v>
      </c>
      <c r="C615" t="s">
        <v>58</v>
      </c>
      <c r="D615" t="s">
        <v>58</v>
      </c>
      <c r="E615" t="s">
        <v>58</v>
      </c>
      <c r="J615" t="s">
        <v>58</v>
      </c>
      <c r="K615" t="s">
        <v>58</v>
      </c>
      <c r="L615" t="s">
        <v>58</v>
      </c>
      <c r="M615" t="s">
        <v>58</v>
      </c>
      <c r="N615" t="s">
        <v>58</v>
      </c>
      <c r="R615" t="s">
        <v>58</v>
      </c>
      <c r="S615" t="s">
        <v>58</v>
      </c>
      <c r="T615" t="s">
        <v>58</v>
      </c>
      <c r="U615" t="s">
        <v>58</v>
      </c>
      <c r="V615" t="s">
        <v>58</v>
      </c>
      <c r="Z615" t="s">
        <v>58</v>
      </c>
      <c r="AA615" t="s">
        <v>58</v>
      </c>
      <c r="AB615" t="s">
        <v>58</v>
      </c>
      <c r="AC615" t="s">
        <v>58</v>
      </c>
      <c r="AD615" t="s">
        <v>58</v>
      </c>
      <c r="AG615" t="s">
        <v>58</v>
      </c>
      <c r="AH615" t="s">
        <v>58</v>
      </c>
      <c r="AI615" t="s">
        <v>58</v>
      </c>
      <c r="AJ615" t="s">
        <v>58</v>
      </c>
      <c r="AK615" t="s">
        <v>58</v>
      </c>
      <c r="AO615" t="s">
        <v>58</v>
      </c>
      <c r="AP615" t="s">
        <v>58</v>
      </c>
      <c r="AQ615" t="s">
        <v>58</v>
      </c>
      <c r="AR615" t="s">
        <v>58</v>
      </c>
      <c r="AS615" t="s">
        <v>58</v>
      </c>
      <c r="AV615" t="s">
        <v>58</v>
      </c>
      <c r="AW615" t="s">
        <v>58</v>
      </c>
      <c r="AX615" t="s">
        <v>58</v>
      </c>
      <c r="AY615" t="s">
        <v>58</v>
      </c>
      <c r="AZ615" t="s">
        <v>58</v>
      </c>
      <c r="BC615" t="s">
        <v>58</v>
      </c>
      <c r="BD615" t="s">
        <v>58</v>
      </c>
      <c r="BE615" t="s">
        <v>58</v>
      </c>
      <c r="BF615" t="s">
        <v>58</v>
      </c>
      <c r="BG615" t="s">
        <v>58</v>
      </c>
    </row>
    <row r="616" spans="1:59" x14ac:dyDescent="0.3">
      <c r="A616" t="s">
        <v>58</v>
      </c>
      <c r="B616" t="s">
        <v>58</v>
      </c>
      <c r="C616" t="s">
        <v>58</v>
      </c>
      <c r="D616" t="s">
        <v>58</v>
      </c>
      <c r="E616" t="s">
        <v>58</v>
      </c>
      <c r="J616" t="s">
        <v>58</v>
      </c>
      <c r="K616" t="s">
        <v>58</v>
      </c>
      <c r="L616" t="s">
        <v>58</v>
      </c>
      <c r="M616" t="s">
        <v>58</v>
      </c>
      <c r="N616" t="s">
        <v>58</v>
      </c>
      <c r="R616" t="s">
        <v>58</v>
      </c>
      <c r="S616" t="s">
        <v>58</v>
      </c>
      <c r="T616" t="s">
        <v>58</v>
      </c>
      <c r="U616" t="s">
        <v>58</v>
      </c>
      <c r="V616" t="s">
        <v>58</v>
      </c>
      <c r="Z616" t="s">
        <v>58</v>
      </c>
      <c r="AA616" t="s">
        <v>58</v>
      </c>
      <c r="AB616" t="s">
        <v>58</v>
      </c>
      <c r="AC616" t="s">
        <v>58</v>
      </c>
      <c r="AD616" t="s">
        <v>58</v>
      </c>
      <c r="AG616" t="s">
        <v>58</v>
      </c>
      <c r="AH616" t="s">
        <v>58</v>
      </c>
      <c r="AI616" t="s">
        <v>58</v>
      </c>
      <c r="AJ616" t="s">
        <v>58</v>
      </c>
      <c r="AK616" t="s">
        <v>58</v>
      </c>
      <c r="AO616" t="s">
        <v>58</v>
      </c>
      <c r="AP616" t="s">
        <v>58</v>
      </c>
      <c r="AQ616" t="s">
        <v>58</v>
      </c>
      <c r="AR616" t="s">
        <v>58</v>
      </c>
      <c r="AS616" t="s">
        <v>58</v>
      </c>
      <c r="AV616" t="s">
        <v>58</v>
      </c>
      <c r="AW616" t="s">
        <v>58</v>
      </c>
      <c r="AX616" t="s">
        <v>58</v>
      </c>
      <c r="AY616" t="s">
        <v>58</v>
      </c>
      <c r="AZ616" t="s">
        <v>58</v>
      </c>
      <c r="BC616" t="s">
        <v>58</v>
      </c>
      <c r="BD616" t="s">
        <v>58</v>
      </c>
      <c r="BE616" t="s">
        <v>58</v>
      </c>
      <c r="BF616" t="s">
        <v>58</v>
      </c>
      <c r="BG616" t="s">
        <v>58</v>
      </c>
    </row>
    <row r="617" spans="1:59" x14ac:dyDescent="0.3">
      <c r="A617" t="s">
        <v>58</v>
      </c>
      <c r="B617" t="s">
        <v>58</v>
      </c>
      <c r="C617" t="s">
        <v>58</v>
      </c>
      <c r="D617" t="s">
        <v>58</v>
      </c>
      <c r="E617" t="s">
        <v>58</v>
      </c>
      <c r="J617" t="s">
        <v>58</v>
      </c>
      <c r="K617" t="s">
        <v>58</v>
      </c>
      <c r="L617" t="s">
        <v>58</v>
      </c>
      <c r="M617" t="s">
        <v>58</v>
      </c>
      <c r="N617" t="s">
        <v>58</v>
      </c>
      <c r="R617" t="s">
        <v>58</v>
      </c>
      <c r="S617" t="s">
        <v>58</v>
      </c>
      <c r="T617" t="s">
        <v>58</v>
      </c>
      <c r="U617" t="s">
        <v>58</v>
      </c>
      <c r="V617" t="s">
        <v>58</v>
      </c>
      <c r="Z617" t="s">
        <v>58</v>
      </c>
      <c r="AA617" t="s">
        <v>58</v>
      </c>
      <c r="AB617" t="s">
        <v>58</v>
      </c>
      <c r="AC617" t="s">
        <v>58</v>
      </c>
      <c r="AD617" t="s">
        <v>58</v>
      </c>
      <c r="AG617" t="s">
        <v>58</v>
      </c>
      <c r="AH617" t="s">
        <v>58</v>
      </c>
      <c r="AI617" t="s">
        <v>58</v>
      </c>
      <c r="AJ617" t="s">
        <v>58</v>
      </c>
      <c r="AK617" t="s">
        <v>58</v>
      </c>
      <c r="AO617" t="s">
        <v>58</v>
      </c>
      <c r="AP617" t="s">
        <v>58</v>
      </c>
      <c r="AQ617" t="s">
        <v>58</v>
      </c>
      <c r="AR617" t="s">
        <v>58</v>
      </c>
      <c r="AS617" t="s">
        <v>58</v>
      </c>
      <c r="AV617" t="s">
        <v>58</v>
      </c>
      <c r="AW617" t="s">
        <v>58</v>
      </c>
      <c r="AX617" t="s">
        <v>58</v>
      </c>
      <c r="AY617" t="s">
        <v>58</v>
      </c>
      <c r="AZ617" t="s">
        <v>58</v>
      </c>
      <c r="BC617" t="s">
        <v>58</v>
      </c>
      <c r="BD617" t="s">
        <v>58</v>
      </c>
      <c r="BE617" t="s">
        <v>58</v>
      </c>
      <c r="BF617" t="s">
        <v>58</v>
      </c>
      <c r="BG617" t="s">
        <v>58</v>
      </c>
    </row>
    <row r="618" spans="1:59" x14ac:dyDescent="0.3">
      <c r="A618" t="s">
        <v>58</v>
      </c>
      <c r="B618" t="s">
        <v>58</v>
      </c>
      <c r="C618" t="s">
        <v>58</v>
      </c>
      <c r="D618" t="s">
        <v>58</v>
      </c>
      <c r="E618" t="s">
        <v>58</v>
      </c>
      <c r="J618" t="s">
        <v>58</v>
      </c>
      <c r="K618" t="s">
        <v>58</v>
      </c>
      <c r="L618" t="s">
        <v>58</v>
      </c>
      <c r="M618" t="s">
        <v>58</v>
      </c>
      <c r="N618" t="s">
        <v>58</v>
      </c>
      <c r="R618" t="s">
        <v>58</v>
      </c>
      <c r="S618" t="s">
        <v>58</v>
      </c>
      <c r="T618" t="s">
        <v>58</v>
      </c>
      <c r="U618" t="s">
        <v>58</v>
      </c>
      <c r="V618" t="s">
        <v>58</v>
      </c>
      <c r="Z618" t="s">
        <v>58</v>
      </c>
      <c r="AA618" t="s">
        <v>58</v>
      </c>
      <c r="AB618" t="s">
        <v>58</v>
      </c>
      <c r="AC618" t="s">
        <v>58</v>
      </c>
      <c r="AD618" t="s">
        <v>58</v>
      </c>
      <c r="AG618" t="s">
        <v>58</v>
      </c>
      <c r="AH618" t="s">
        <v>58</v>
      </c>
      <c r="AI618" t="s">
        <v>58</v>
      </c>
      <c r="AJ618" t="s">
        <v>58</v>
      </c>
      <c r="AK618" t="s">
        <v>58</v>
      </c>
      <c r="AO618" t="s">
        <v>58</v>
      </c>
      <c r="AP618" t="s">
        <v>58</v>
      </c>
      <c r="AQ618" t="s">
        <v>58</v>
      </c>
      <c r="AR618" t="s">
        <v>58</v>
      </c>
      <c r="AS618" t="s">
        <v>58</v>
      </c>
      <c r="AV618" t="s">
        <v>58</v>
      </c>
      <c r="AW618" t="s">
        <v>58</v>
      </c>
      <c r="AX618" t="s">
        <v>58</v>
      </c>
      <c r="AY618" t="s">
        <v>58</v>
      </c>
      <c r="AZ618" t="s">
        <v>58</v>
      </c>
      <c r="BC618" t="s">
        <v>58</v>
      </c>
      <c r="BD618" t="s">
        <v>58</v>
      </c>
      <c r="BE618" t="s">
        <v>58</v>
      </c>
      <c r="BF618" t="s">
        <v>58</v>
      </c>
      <c r="BG618" t="s">
        <v>58</v>
      </c>
    </row>
    <row r="619" spans="1:59" x14ac:dyDescent="0.3">
      <c r="A619" t="s">
        <v>58</v>
      </c>
      <c r="B619" t="s">
        <v>58</v>
      </c>
      <c r="C619" t="s">
        <v>58</v>
      </c>
      <c r="D619" t="s">
        <v>58</v>
      </c>
      <c r="E619" t="s">
        <v>58</v>
      </c>
      <c r="J619" t="s">
        <v>58</v>
      </c>
      <c r="K619" t="s">
        <v>58</v>
      </c>
      <c r="L619" t="s">
        <v>58</v>
      </c>
      <c r="M619" t="s">
        <v>58</v>
      </c>
      <c r="N619" t="s">
        <v>58</v>
      </c>
      <c r="R619" t="s">
        <v>58</v>
      </c>
      <c r="S619" t="s">
        <v>58</v>
      </c>
      <c r="T619" t="s">
        <v>58</v>
      </c>
      <c r="U619" t="s">
        <v>58</v>
      </c>
      <c r="V619" t="s">
        <v>58</v>
      </c>
      <c r="Z619" t="s">
        <v>58</v>
      </c>
      <c r="AA619" t="s">
        <v>58</v>
      </c>
      <c r="AB619" t="s">
        <v>58</v>
      </c>
      <c r="AC619" t="s">
        <v>58</v>
      </c>
      <c r="AD619" t="s">
        <v>58</v>
      </c>
      <c r="AG619" t="s">
        <v>58</v>
      </c>
      <c r="AH619" t="s">
        <v>58</v>
      </c>
      <c r="AI619" t="s">
        <v>58</v>
      </c>
      <c r="AJ619" t="s">
        <v>58</v>
      </c>
      <c r="AK619" t="s">
        <v>58</v>
      </c>
      <c r="AO619" t="s">
        <v>58</v>
      </c>
      <c r="AP619" t="s">
        <v>58</v>
      </c>
      <c r="AQ619" t="s">
        <v>58</v>
      </c>
      <c r="AR619" t="s">
        <v>58</v>
      </c>
      <c r="AS619" t="s">
        <v>58</v>
      </c>
      <c r="AV619" t="s">
        <v>58</v>
      </c>
      <c r="AW619" t="s">
        <v>58</v>
      </c>
      <c r="AX619" t="s">
        <v>58</v>
      </c>
      <c r="AY619" t="s">
        <v>58</v>
      </c>
      <c r="AZ619" t="s">
        <v>58</v>
      </c>
      <c r="BC619" t="s">
        <v>58</v>
      </c>
      <c r="BD619" t="s">
        <v>58</v>
      </c>
      <c r="BE619" t="s">
        <v>58</v>
      </c>
      <c r="BF619" t="s">
        <v>58</v>
      </c>
      <c r="BG619" t="s">
        <v>58</v>
      </c>
    </row>
    <row r="620" spans="1:59" x14ac:dyDescent="0.3">
      <c r="A620" t="s">
        <v>58</v>
      </c>
      <c r="B620" t="s">
        <v>58</v>
      </c>
      <c r="C620" t="s">
        <v>58</v>
      </c>
      <c r="D620" t="s">
        <v>58</v>
      </c>
      <c r="E620" t="s">
        <v>58</v>
      </c>
      <c r="J620" t="s">
        <v>58</v>
      </c>
      <c r="K620" t="s">
        <v>58</v>
      </c>
      <c r="L620" t="s">
        <v>58</v>
      </c>
      <c r="M620" t="s">
        <v>58</v>
      </c>
      <c r="N620" t="s">
        <v>58</v>
      </c>
      <c r="R620" t="s">
        <v>58</v>
      </c>
      <c r="S620" t="s">
        <v>58</v>
      </c>
      <c r="T620" t="s">
        <v>58</v>
      </c>
      <c r="U620" t="s">
        <v>58</v>
      </c>
      <c r="V620" t="s">
        <v>58</v>
      </c>
      <c r="Z620" t="s">
        <v>58</v>
      </c>
      <c r="AA620" t="s">
        <v>58</v>
      </c>
      <c r="AB620" t="s">
        <v>58</v>
      </c>
      <c r="AC620" t="s">
        <v>58</v>
      </c>
      <c r="AD620" t="s">
        <v>58</v>
      </c>
      <c r="AG620" t="s">
        <v>58</v>
      </c>
      <c r="AH620" t="s">
        <v>58</v>
      </c>
      <c r="AI620" t="s">
        <v>58</v>
      </c>
      <c r="AJ620" t="s">
        <v>58</v>
      </c>
      <c r="AK620" t="s">
        <v>58</v>
      </c>
      <c r="AO620" t="s">
        <v>58</v>
      </c>
      <c r="AP620" t="s">
        <v>58</v>
      </c>
      <c r="AQ620" t="s">
        <v>58</v>
      </c>
      <c r="AR620" t="s">
        <v>58</v>
      </c>
      <c r="AS620" t="s">
        <v>58</v>
      </c>
      <c r="AV620" t="s">
        <v>58</v>
      </c>
      <c r="AW620" t="s">
        <v>58</v>
      </c>
      <c r="AX620" t="s">
        <v>58</v>
      </c>
      <c r="AY620" t="s">
        <v>58</v>
      </c>
      <c r="AZ620" t="s">
        <v>58</v>
      </c>
      <c r="BC620" t="s">
        <v>58</v>
      </c>
      <c r="BD620" t="s">
        <v>58</v>
      </c>
      <c r="BE620" t="s">
        <v>58</v>
      </c>
      <c r="BF620" t="s">
        <v>58</v>
      </c>
      <c r="BG620" t="s">
        <v>58</v>
      </c>
    </row>
    <row r="621" spans="1:59" x14ac:dyDescent="0.3">
      <c r="A621" t="s">
        <v>58</v>
      </c>
      <c r="B621" t="s">
        <v>58</v>
      </c>
      <c r="C621" t="s">
        <v>58</v>
      </c>
      <c r="D621" t="s">
        <v>58</v>
      </c>
      <c r="E621" t="s">
        <v>58</v>
      </c>
      <c r="J621" t="s">
        <v>58</v>
      </c>
      <c r="K621" t="s">
        <v>58</v>
      </c>
      <c r="L621" t="s">
        <v>58</v>
      </c>
      <c r="M621" t="s">
        <v>58</v>
      </c>
      <c r="N621" t="s">
        <v>58</v>
      </c>
      <c r="R621" t="s">
        <v>58</v>
      </c>
      <c r="S621" t="s">
        <v>58</v>
      </c>
      <c r="T621" t="s">
        <v>58</v>
      </c>
      <c r="U621" t="s">
        <v>58</v>
      </c>
      <c r="V621" t="s">
        <v>58</v>
      </c>
      <c r="Z621" t="s">
        <v>58</v>
      </c>
      <c r="AA621" t="s">
        <v>58</v>
      </c>
      <c r="AB621" t="s">
        <v>58</v>
      </c>
      <c r="AC621" t="s">
        <v>58</v>
      </c>
      <c r="AD621" t="s">
        <v>58</v>
      </c>
      <c r="AG621" t="s">
        <v>58</v>
      </c>
      <c r="AH621" t="s">
        <v>58</v>
      </c>
      <c r="AI621" t="s">
        <v>58</v>
      </c>
      <c r="AJ621" t="s">
        <v>58</v>
      </c>
      <c r="AK621" t="s">
        <v>58</v>
      </c>
      <c r="AO621" t="s">
        <v>58</v>
      </c>
      <c r="AP621" t="s">
        <v>58</v>
      </c>
      <c r="AQ621" t="s">
        <v>58</v>
      </c>
      <c r="AR621" t="s">
        <v>58</v>
      </c>
      <c r="AS621" t="s">
        <v>58</v>
      </c>
      <c r="AV621" t="s">
        <v>58</v>
      </c>
      <c r="AW621" t="s">
        <v>58</v>
      </c>
      <c r="AX621" t="s">
        <v>58</v>
      </c>
      <c r="AY621" t="s">
        <v>58</v>
      </c>
      <c r="AZ621" t="s">
        <v>58</v>
      </c>
      <c r="BC621" t="s">
        <v>58</v>
      </c>
      <c r="BD621" t="s">
        <v>58</v>
      </c>
      <c r="BE621" t="s">
        <v>58</v>
      </c>
      <c r="BF621" t="s">
        <v>58</v>
      </c>
      <c r="BG621" t="s">
        <v>58</v>
      </c>
    </row>
    <row r="622" spans="1:59" x14ac:dyDescent="0.3">
      <c r="A622" t="s">
        <v>58</v>
      </c>
      <c r="B622" t="s">
        <v>58</v>
      </c>
      <c r="C622" t="s">
        <v>58</v>
      </c>
      <c r="D622" t="s">
        <v>58</v>
      </c>
      <c r="E622" t="s">
        <v>58</v>
      </c>
      <c r="J622" t="s">
        <v>58</v>
      </c>
      <c r="K622" t="s">
        <v>58</v>
      </c>
      <c r="L622" t="s">
        <v>58</v>
      </c>
      <c r="M622" t="s">
        <v>58</v>
      </c>
      <c r="N622" t="s">
        <v>58</v>
      </c>
      <c r="R622" t="s">
        <v>58</v>
      </c>
      <c r="S622" t="s">
        <v>58</v>
      </c>
      <c r="T622" t="s">
        <v>58</v>
      </c>
      <c r="U622" t="s">
        <v>58</v>
      </c>
      <c r="V622" t="s">
        <v>58</v>
      </c>
      <c r="Z622" t="s">
        <v>58</v>
      </c>
      <c r="AA622" t="s">
        <v>58</v>
      </c>
      <c r="AB622" t="s">
        <v>58</v>
      </c>
      <c r="AC622" t="s">
        <v>58</v>
      </c>
      <c r="AD622" t="s">
        <v>58</v>
      </c>
      <c r="AG622" t="s">
        <v>58</v>
      </c>
      <c r="AH622" t="s">
        <v>58</v>
      </c>
      <c r="AI622" t="s">
        <v>58</v>
      </c>
      <c r="AJ622" t="s">
        <v>58</v>
      </c>
      <c r="AK622" t="s">
        <v>58</v>
      </c>
      <c r="AO622" t="s">
        <v>58</v>
      </c>
      <c r="AP622" t="s">
        <v>58</v>
      </c>
      <c r="AQ622" t="s">
        <v>58</v>
      </c>
      <c r="AR622" t="s">
        <v>58</v>
      </c>
      <c r="AS622" t="s">
        <v>58</v>
      </c>
      <c r="AV622" t="s">
        <v>58</v>
      </c>
      <c r="AW622" t="s">
        <v>58</v>
      </c>
      <c r="AX622" t="s">
        <v>58</v>
      </c>
      <c r="AY622" t="s">
        <v>58</v>
      </c>
      <c r="AZ622" t="s">
        <v>58</v>
      </c>
      <c r="BC622" t="s">
        <v>58</v>
      </c>
      <c r="BD622" t="s">
        <v>58</v>
      </c>
      <c r="BE622" t="s">
        <v>58</v>
      </c>
      <c r="BF622" t="s">
        <v>58</v>
      </c>
      <c r="BG622" t="s">
        <v>58</v>
      </c>
    </row>
    <row r="623" spans="1:59" x14ac:dyDescent="0.3">
      <c r="A623" t="s">
        <v>58</v>
      </c>
      <c r="B623" t="s">
        <v>58</v>
      </c>
      <c r="C623" t="s">
        <v>58</v>
      </c>
      <c r="D623" t="s">
        <v>58</v>
      </c>
      <c r="E623" t="s">
        <v>58</v>
      </c>
      <c r="J623" t="s">
        <v>58</v>
      </c>
      <c r="K623" t="s">
        <v>58</v>
      </c>
      <c r="L623" t="s">
        <v>58</v>
      </c>
      <c r="M623" t="s">
        <v>58</v>
      </c>
      <c r="N623" t="s">
        <v>58</v>
      </c>
      <c r="R623" t="s">
        <v>58</v>
      </c>
      <c r="S623" t="s">
        <v>58</v>
      </c>
      <c r="T623" t="s">
        <v>58</v>
      </c>
      <c r="U623" t="s">
        <v>58</v>
      </c>
      <c r="V623" t="s">
        <v>58</v>
      </c>
      <c r="Z623" t="s">
        <v>58</v>
      </c>
      <c r="AA623" t="s">
        <v>58</v>
      </c>
      <c r="AB623" t="s">
        <v>58</v>
      </c>
      <c r="AC623" t="s">
        <v>58</v>
      </c>
      <c r="AD623" t="s">
        <v>58</v>
      </c>
      <c r="AG623" t="s">
        <v>58</v>
      </c>
      <c r="AH623" t="s">
        <v>58</v>
      </c>
      <c r="AI623" t="s">
        <v>58</v>
      </c>
      <c r="AJ623" t="s">
        <v>58</v>
      </c>
      <c r="AK623" t="s">
        <v>58</v>
      </c>
      <c r="AO623" t="s">
        <v>58</v>
      </c>
      <c r="AP623" t="s">
        <v>58</v>
      </c>
      <c r="AQ623" t="s">
        <v>58</v>
      </c>
      <c r="AR623" t="s">
        <v>58</v>
      </c>
      <c r="AS623" t="s">
        <v>58</v>
      </c>
      <c r="AV623" t="s">
        <v>58</v>
      </c>
      <c r="AW623" t="s">
        <v>58</v>
      </c>
      <c r="AX623" t="s">
        <v>58</v>
      </c>
      <c r="AY623" t="s">
        <v>58</v>
      </c>
      <c r="AZ623" t="s">
        <v>58</v>
      </c>
      <c r="BC623" t="s">
        <v>58</v>
      </c>
      <c r="BD623" t="s">
        <v>58</v>
      </c>
      <c r="BE623" t="s">
        <v>58</v>
      </c>
      <c r="BF623" t="s">
        <v>58</v>
      </c>
      <c r="BG623" t="s">
        <v>58</v>
      </c>
    </row>
    <row r="624" spans="1:59" x14ac:dyDescent="0.3">
      <c r="A624" t="s">
        <v>58</v>
      </c>
      <c r="B624" t="s">
        <v>58</v>
      </c>
      <c r="C624" t="s">
        <v>58</v>
      </c>
      <c r="D624" t="s">
        <v>58</v>
      </c>
      <c r="E624" t="s">
        <v>58</v>
      </c>
      <c r="J624" t="s">
        <v>58</v>
      </c>
      <c r="K624" t="s">
        <v>58</v>
      </c>
      <c r="L624" t="s">
        <v>58</v>
      </c>
      <c r="M624" t="s">
        <v>58</v>
      </c>
      <c r="N624" t="s">
        <v>58</v>
      </c>
      <c r="R624" t="s">
        <v>58</v>
      </c>
      <c r="S624" t="s">
        <v>58</v>
      </c>
      <c r="T624" t="s">
        <v>58</v>
      </c>
      <c r="U624" t="s">
        <v>58</v>
      </c>
      <c r="V624" t="s">
        <v>58</v>
      </c>
      <c r="Z624" t="s">
        <v>58</v>
      </c>
      <c r="AA624" t="s">
        <v>58</v>
      </c>
      <c r="AB624" t="s">
        <v>58</v>
      </c>
      <c r="AC624" t="s">
        <v>58</v>
      </c>
      <c r="AD624" t="s">
        <v>58</v>
      </c>
      <c r="AG624" t="s">
        <v>58</v>
      </c>
      <c r="AH624" t="s">
        <v>58</v>
      </c>
      <c r="AI624" t="s">
        <v>58</v>
      </c>
      <c r="AJ624" t="s">
        <v>58</v>
      </c>
      <c r="AK624" t="s">
        <v>58</v>
      </c>
      <c r="AO624" t="s">
        <v>58</v>
      </c>
      <c r="AP624" t="s">
        <v>58</v>
      </c>
      <c r="AQ624" t="s">
        <v>58</v>
      </c>
      <c r="AR624" t="s">
        <v>58</v>
      </c>
      <c r="AS624" t="s">
        <v>58</v>
      </c>
      <c r="AV624" t="s">
        <v>58</v>
      </c>
      <c r="AW624" t="s">
        <v>58</v>
      </c>
      <c r="AX624" t="s">
        <v>58</v>
      </c>
      <c r="AY624" t="s">
        <v>58</v>
      </c>
      <c r="AZ624" t="s">
        <v>58</v>
      </c>
      <c r="BC624" t="s">
        <v>58</v>
      </c>
      <c r="BD624" t="s">
        <v>58</v>
      </c>
      <c r="BE624" t="s">
        <v>58</v>
      </c>
      <c r="BF624" t="s">
        <v>58</v>
      </c>
      <c r="BG624" t="s">
        <v>58</v>
      </c>
    </row>
    <row r="625" spans="1:59" x14ac:dyDescent="0.3">
      <c r="A625" t="s">
        <v>58</v>
      </c>
      <c r="B625" t="s">
        <v>58</v>
      </c>
      <c r="C625" t="s">
        <v>58</v>
      </c>
      <c r="D625" t="s">
        <v>58</v>
      </c>
      <c r="E625" t="s">
        <v>58</v>
      </c>
      <c r="J625" t="s">
        <v>58</v>
      </c>
      <c r="K625" t="s">
        <v>58</v>
      </c>
      <c r="L625" t="s">
        <v>58</v>
      </c>
      <c r="M625" t="s">
        <v>58</v>
      </c>
      <c r="N625" t="s">
        <v>58</v>
      </c>
      <c r="R625" t="s">
        <v>58</v>
      </c>
      <c r="S625" t="s">
        <v>58</v>
      </c>
      <c r="T625" t="s">
        <v>58</v>
      </c>
      <c r="U625" t="s">
        <v>58</v>
      </c>
      <c r="V625" t="s">
        <v>58</v>
      </c>
      <c r="Z625" t="s">
        <v>58</v>
      </c>
      <c r="AA625" t="s">
        <v>58</v>
      </c>
      <c r="AB625" t="s">
        <v>58</v>
      </c>
      <c r="AC625" t="s">
        <v>58</v>
      </c>
      <c r="AD625" t="s">
        <v>58</v>
      </c>
      <c r="AG625" t="s">
        <v>58</v>
      </c>
      <c r="AH625" t="s">
        <v>58</v>
      </c>
      <c r="AI625" t="s">
        <v>58</v>
      </c>
      <c r="AJ625" t="s">
        <v>58</v>
      </c>
      <c r="AK625" t="s">
        <v>58</v>
      </c>
      <c r="AO625" t="s">
        <v>58</v>
      </c>
      <c r="AP625" t="s">
        <v>58</v>
      </c>
      <c r="AQ625" t="s">
        <v>58</v>
      </c>
      <c r="AR625" t="s">
        <v>58</v>
      </c>
      <c r="AS625" t="s">
        <v>58</v>
      </c>
      <c r="AV625" t="s">
        <v>58</v>
      </c>
      <c r="AW625" t="s">
        <v>58</v>
      </c>
      <c r="AX625" t="s">
        <v>58</v>
      </c>
      <c r="AY625" t="s">
        <v>58</v>
      </c>
      <c r="AZ625" t="s">
        <v>58</v>
      </c>
      <c r="BC625" t="s">
        <v>58</v>
      </c>
      <c r="BD625" t="s">
        <v>58</v>
      </c>
      <c r="BE625" t="s">
        <v>58</v>
      </c>
      <c r="BF625" t="s">
        <v>58</v>
      </c>
      <c r="BG625" t="s">
        <v>58</v>
      </c>
    </row>
    <row r="626" spans="1:59" x14ac:dyDescent="0.3">
      <c r="A626" t="s">
        <v>58</v>
      </c>
      <c r="B626" t="s">
        <v>58</v>
      </c>
      <c r="C626" t="s">
        <v>58</v>
      </c>
      <c r="D626" t="s">
        <v>58</v>
      </c>
      <c r="E626" t="s">
        <v>58</v>
      </c>
      <c r="J626" t="s">
        <v>58</v>
      </c>
      <c r="K626" t="s">
        <v>58</v>
      </c>
      <c r="L626" t="s">
        <v>58</v>
      </c>
      <c r="M626" t="s">
        <v>58</v>
      </c>
      <c r="N626" t="s">
        <v>58</v>
      </c>
      <c r="R626" t="s">
        <v>58</v>
      </c>
      <c r="S626" t="s">
        <v>58</v>
      </c>
      <c r="T626" t="s">
        <v>58</v>
      </c>
      <c r="U626" t="s">
        <v>58</v>
      </c>
      <c r="V626" t="s">
        <v>58</v>
      </c>
      <c r="Z626" t="s">
        <v>58</v>
      </c>
      <c r="AA626" t="s">
        <v>58</v>
      </c>
      <c r="AB626" t="s">
        <v>58</v>
      </c>
      <c r="AC626" t="s">
        <v>58</v>
      </c>
      <c r="AD626" t="s">
        <v>58</v>
      </c>
      <c r="AG626" t="s">
        <v>58</v>
      </c>
      <c r="AH626" t="s">
        <v>58</v>
      </c>
      <c r="AI626" t="s">
        <v>58</v>
      </c>
      <c r="AJ626" t="s">
        <v>58</v>
      </c>
      <c r="AK626" t="s">
        <v>58</v>
      </c>
      <c r="AO626" t="s">
        <v>58</v>
      </c>
      <c r="AP626" t="s">
        <v>58</v>
      </c>
      <c r="AQ626" t="s">
        <v>58</v>
      </c>
      <c r="AR626" t="s">
        <v>58</v>
      </c>
      <c r="AS626" t="s">
        <v>58</v>
      </c>
      <c r="AV626" t="s">
        <v>58</v>
      </c>
      <c r="AW626" t="s">
        <v>58</v>
      </c>
      <c r="AX626" t="s">
        <v>58</v>
      </c>
      <c r="AY626" t="s">
        <v>58</v>
      </c>
      <c r="AZ626" t="s">
        <v>58</v>
      </c>
      <c r="BC626" t="s">
        <v>58</v>
      </c>
      <c r="BD626" t="s">
        <v>58</v>
      </c>
      <c r="BE626" t="s">
        <v>58</v>
      </c>
      <c r="BF626" t="s">
        <v>58</v>
      </c>
      <c r="BG626" t="s">
        <v>58</v>
      </c>
    </row>
    <row r="627" spans="1:59" x14ac:dyDescent="0.3">
      <c r="A627" t="s">
        <v>58</v>
      </c>
      <c r="B627" t="s">
        <v>58</v>
      </c>
      <c r="C627" t="s">
        <v>58</v>
      </c>
      <c r="D627" t="s">
        <v>58</v>
      </c>
      <c r="E627" t="s">
        <v>58</v>
      </c>
      <c r="J627" t="s">
        <v>58</v>
      </c>
      <c r="K627" t="s">
        <v>58</v>
      </c>
      <c r="L627" t="s">
        <v>58</v>
      </c>
      <c r="M627" t="s">
        <v>58</v>
      </c>
      <c r="N627" t="s">
        <v>58</v>
      </c>
      <c r="R627" t="s">
        <v>58</v>
      </c>
      <c r="S627" t="s">
        <v>58</v>
      </c>
      <c r="T627" t="s">
        <v>58</v>
      </c>
      <c r="U627" t="s">
        <v>58</v>
      </c>
      <c r="V627" t="s">
        <v>58</v>
      </c>
      <c r="Z627" t="s">
        <v>58</v>
      </c>
      <c r="AA627" t="s">
        <v>58</v>
      </c>
      <c r="AB627" t="s">
        <v>58</v>
      </c>
      <c r="AC627" t="s">
        <v>58</v>
      </c>
      <c r="AD627" t="s">
        <v>58</v>
      </c>
      <c r="AG627" t="s">
        <v>58</v>
      </c>
      <c r="AH627" t="s">
        <v>58</v>
      </c>
      <c r="AI627" t="s">
        <v>58</v>
      </c>
      <c r="AJ627" t="s">
        <v>58</v>
      </c>
      <c r="AK627" t="s">
        <v>58</v>
      </c>
      <c r="AO627" t="s">
        <v>58</v>
      </c>
      <c r="AP627" t="s">
        <v>58</v>
      </c>
      <c r="AQ627" t="s">
        <v>58</v>
      </c>
      <c r="AR627" t="s">
        <v>58</v>
      </c>
      <c r="AS627" t="s">
        <v>58</v>
      </c>
      <c r="AV627" t="s">
        <v>58</v>
      </c>
      <c r="AW627" t="s">
        <v>58</v>
      </c>
      <c r="AX627" t="s">
        <v>58</v>
      </c>
      <c r="AY627" t="s">
        <v>58</v>
      </c>
      <c r="AZ627" t="s">
        <v>58</v>
      </c>
      <c r="BC627" t="s">
        <v>58</v>
      </c>
      <c r="BD627" t="s">
        <v>58</v>
      </c>
      <c r="BE627" t="s">
        <v>58</v>
      </c>
      <c r="BF627" t="s">
        <v>58</v>
      </c>
      <c r="BG627" t="s">
        <v>58</v>
      </c>
    </row>
    <row r="628" spans="1:59" x14ac:dyDescent="0.3">
      <c r="A628" t="s">
        <v>58</v>
      </c>
      <c r="B628" t="s">
        <v>58</v>
      </c>
      <c r="C628" t="s">
        <v>58</v>
      </c>
      <c r="D628" t="s">
        <v>58</v>
      </c>
      <c r="E628" t="s">
        <v>58</v>
      </c>
      <c r="J628" t="s">
        <v>58</v>
      </c>
      <c r="K628" t="s">
        <v>58</v>
      </c>
      <c r="L628" t="s">
        <v>58</v>
      </c>
      <c r="M628" t="s">
        <v>58</v>
      </c>
      <c r="N628" t="s">
        <v>58</v>
      </c>
      <c r="R628" t="s">
        <v>58</v>
      </c>
      <c r="S628" t="s">
        <v>58</v>
      </c>
      <c r="T628" t="s">
        <v>58</v>
      </c>
      <c r="U628" t="s">
        <v>58</v>
      </c>
      <c r="V628" t="s">
        <v>58</v>
      </c>
      <c r="Z628" t="s">
        <v>58</v>
      </c>
      <c r="AA628" t="s">
        <v>58</v>
      </c>
      <c r="AB628" t="s">
        <v>58</v>
      </c>
      <c r="AC628" t="s">
        <v>58</v>
      </c>
      <c r="AD628" t="s">
        <v>58</v>
      </c>
      <c r="AG628" t="s">
        <v>58</v>
      </c>
      <c r="AH628" t="s">
        <v>58</v>
      </c>
      <c r="AI628" t="s">
        <v>58</v>
      </c>
      <c r="AJ628" t="s">
        <v>58</v>
      </c>
      <c r="AK628" t="s">
        <v>58</v>
      </c>
      <c r="AO628" t="s">
        <v>58</v>
      </c>
      <c r="AP628" t="s">
        <v>58</v>
      </c>
      <c r="AQ628" t="s">
        <v>58</v>
      </c>
      <c r="AR628" t="s">
        <v>58</v>
      </c>
      <c r="AS628" t="s">
        <v>58</v>
      </c>
      <c r="AV628" t="s">
        <v>58</v>
      </c>
      <c r="AW628" t="s">
        <v>58</v>
      </c>
      <c r="AX628" t="s">
        <v>58</v>
      </c>
      <c r="AY628" t="s">
        <v>58</v>
      </c>
      <c r="AZ628" t="s">
        <v>58</v>
      </c>
      <c r="BC628" t="s">
        <v>58</v>
      </c>
      <c r="BD628" t="s">
        <v>58</v>
      </c>
      <c r="BE628" t="s">
        <v>58</v>
      </c>
      <c r="BF628" t="s">
        <v>58</v>
      </c>
      <c r="BG628" t="s">
        <v>58</v>
      </c>
    </row>
    <row r="629" spans="1:59" x14ac:dyDescent="0.3">
      <c r="A629" t="s">
        <v>58</v>
      </c>
      <c r="B629" t="s">
        <v>58</v>
      </c>
      <c r="C629" t="s">
        <v>58</v>
      </c>
      <c r="D629" t="s">
        <v>58</v>
      </c>
      <c r="E629" t="s">
        <v>58</v>
      </c>
      <c r="J629" t="s">
        <v>58</v>
      </c>
      <c r="K629" t="s">
        <v>58</v>
      </c>
      <c r="L629" t="s">
        <v>58</v>
      </c>
      <c r="M629" t="s">
        <v>58</v>
      </c>
      <c r="N629" t="s">
        <v>58</v>
      </c>
      <c r="R629" t="s">
        <v>58</v>
      </c>
      <c r="S629" t="s">
        <v>58</v>
      </c>
      <c r="T629" t="s">
        <v>58</v>
      </c>
      <c r="U629" t="s">
        <v>58</v>
      </c>
      <c r="V629" t="s">
        <v>58</v>
      </c>
      <c r="Z629" t="s">
        <v>58</v>
      </c>
      <c r="AA629" t="s">
        <v>58</v>
      </c>
      <c r="AB629" t="s">
        <v>58</v>
      </c>
      <c r="AC629" t="s">
        <v>58</v>
      </c>
      <c r="AD629" t="s">
        <v>58</v>
      </c>
      <c r="AG629" t="s">
        <v>58</v>
      </c>
      <c r="AH629" t="s">
        <v>58</v>
      </c>
      <c r="AI629" t="s">
        <v>58</v>
      </c>
      <c r="AJ629" t="s">
        <v>58</v>
      </c>
      <c r="AK629" t="s">
        <v>58</v>
      </c>
      <c r="AO629" t="s">
        <v>58</v>
      </c>
      <c r="AP629" t="s">
        <v>58</v>
      </c>
      <c r="AQ629" t="s">
        <v>58</v>
      </c>
      <c r="AR629" t="s">
        <v>58</v>
      </c>
      <c r="AS629" t="s">
        <v>58</v>
      </c>
      <c r="AV629" t="s">
        <v>58</v>
      </c>
      <c r="AW629" t="s">
        <v>58</v>
      </c>
      <c r="AX629" t="s">
        <v>58</v>
      </c>
      <c r="AY629" t="s">
        <v>58</v>
      </c>
      <c r="AZ629" t="s">
        <v>58</v>
      </c>
      <c r="BC629" t="s">
        <v>58</v>
      </c>
      <c r="BD629" t="s">
        <v>58</v>
      </c>
      <c r="BE629" t="s">
        <v>58</v>
      </c>
      <c r="BF629" t="s">
        <v>58</v>
      </c>
      <c r="BG629" t="s">
        <v>58</v>
      </c>
    </row>
    <row r="630" spans="1:59" x14ac:dyDescent="0.3">
      <c r="A630" t="s">
        <v>58</v>
      </c>
      <c r="B630" t="s">
        <v>58</v>
      </c>
      <c r="C630" t="s">
        <v>58</v>
      </c>
      <c r="D630" t="s">
        <v>58</v>
      </c>
      <c r="E630" t="s">
        <v>58</v>
      </c>
      <c r="J630" t="s">
        <v>58</v>
      </c>
      <c r="K630" t="s">
        <v>58</v>
      </c>
      <c r="L630" t="s">
        <v>58</v>
      </c>
      <c r="M630" t="s">
        <v>58</v>
      </c>
      <c r="N630" t="s">
        <v>58</v>
      </c>
      <c r="R630" t="s">
        <v>58</v>
      </c>
      <c r="S630" t="s">
        <v>58</v>
      </c>
      <c r="T630" t="s">
        <v>58</v>
      </c>
      <c r="U630" t="s">
        <v>58</v>
      </c>
      <c r="V630" t="s">
        <v>58</v>
      </c>
      <c r="Z630" t="s">
        <v>58</v>
      </c>
      <c r="AA630" t="s">
        <v>58</v>
      </c>
      <c r="AB630" t="s">
        <v>58</v>
      </c>
      <c r="AC630" t="s">
        <v>58</v>
      </c>
      <c r="AD630" t="s">
        <v>58</v>
      </c>
      <c r="AG630" t="s">
        <v>58</v>
      </c>
      <c r="AH630" t="s">
        <v>58</v>
      </c>
      <c r="AI630" t="s">
        <v>58</v>
      </c>
      <c r="AJ630" t="s">
        <v>58</v>
      </c>
      <c r="AK630" t="s">
        <v>58</v>
      </c>
      <c r="AO630" t="s">
        <v>58</v>
      </c>
      <c r="AP630" t="s">
        <v>58</v>
      </c>
      <c r="AQ630" t="s">
        <v>58</v>
      </c>
      <c r="AR630" t="s">
        <v>58</v>
      </c>
      <c r="AS630" t="s">
        <v>58</v>
      </c>
      <c r="AV630" t="s">
        <v>58</v>
      </c>
      <c r="AW630" t="s">
        <v>58</v>
      </c>
      <c r="AX630" t="s">
        <v>58</v>
      </c>
      <c r="AY630" t="s">
        <v>58</v>
      </c>
      <c r="AZ630" t="s">
        <v>58</v>
      </c>
      <c r="BC630" t="s">
        <v>58</v>
      </c>
      <c r="BD630" t="s">
        <v>58</v>
      </c>
      <c r="BE630" t="s">
        <v>58</v>
      </c>
      <c r="BF630" t="s">
        <v>58</v>
      </c>
      <c r="BG630" t="s">
        <v>58</v>
      </c>
    </row>
    <row r="631" spans="1:59" x14ac:dyDescent="0.3">
      <c r="A631" t="s">
        <v>58</v>
      </c>
      <c r="B631" t="s">
        <v>58</v>
      </c>
      <c r="C631" t="s">
        <v>58</v>
      </c>
      <c r="D631" t="s">
        <v>58</v>
      </c>
      <c r="E631" t="s">
        <v>58</v>
      </c>
      <c r="J631" t="s">
        <v>58</v>
      </c>
      <c r="K631" t="s">
        <v>58</v>
      </c>
      <c r="L631" t="s">
        <v>58</v>
      </c>
      <c r="M631" t="s">
        <v>58</v>
      </c>
      <c r="N631" t="s">
        <v>58</v>
      </c>
      <c r="R631" t="s">
        <v>58</v>
      </c>
      <c r="S631" t="s">
        <v>58</v>
      </c>
      <c r="T631" t="s">
        <v>58</v>
      </c>
      <c r="U631" t="s">
        <v>58</v>
      </c>
      <c r="V631" t="s">
        <v>58</v>
      </c>
      <c r="Z631" t="s">
        <v>58</v>
      </c>
      <c r="AA631" t="s">
        <v>58</v>
      </c>
      <c r="AB631" t="s">
        <v>58</v>
      </c>
      <c r="AC631" t="s">
        <v>58</v>
      </c>
      <c r="AD631" t="s">
        <v>58</v>
      </c>
      <c r="AG631" t="s">
        <v>58</v>
      </c>
      <c r="AH631" t="s">
        <v>58</v>
      </c>
      <c r="AI631" t="s">
        <v>58</v>
      </c>
      <c r="AJ631" t="s">
        <v>58</v>
      </c>
      <c r="AK631" t="s">
        <v>58</v>
      </c>
      <c r="AO631" t="s">
        <v>58</v>
      </c>
      <c r="AP631" t="s">
        <v>58</v>
      </c>
      <c r="AQ631" t="s">
        <v>58</v>
      </c>
      <c r="AR631" t="s">
        <v>58</v>
      </c>
      <c r="AS631" t="s">
        <v>58</v>
      </c>
      <c r="AV631" t="s">
        <v>58</v>
      </c>
      <c r="AW631" t="s">
        <v>58</v>
      </c>
      <c r="AX631" t="s">
        <v>58</v>
      </c>
      <c r="AY631" t="s">
        <v>58</v>
      </c>
      <c r="AZ631" t="s">
        <v>58</v>
      </c>
      <c r="BC631" t="s">
        <v>58</v>
      </c>
      <c r="BD631" t="s">
        <v>58</v>
      </c>
      <c r="BE631" t="s">
        <v>58</v>
      </c>
      <c r="BF631" t="s">
        <v>58</v>
      </c>
      <c r="BG631" t="s">
        <v>58</v>
      </c>
    </row>
    <row r="632" spans="1:59" x14ac:dyDescent="0.3">
      <c r="A632" t="s">
        <v>58</v>
      </c>
      <c r="B632" t="s">
        <v>58</v>
      </c>
      <c r="C632" t="s">
        <v>58</v>
      </c>
      <c r="D632" t="s">
        <v>58</v>
      </c>
      <c r="E632" t="s">
        <v>58</v>
      </c>
      <c r="J632" t="s">
        <v>58</v>
      </c>
      <c r="K632" t="s">
        <v>58</v>
      </c>
      <c r="L632" t="s">
        <v>58</v>
      </c>
      <c r="M632" t="s">
        <v>58</v>
      </c>
      <c r="N632" t="s">
        <v>58</v>
      </c>
      <c r="R632" t="s">
        <v>58</v>
      </c>
      <c r="S632" t="s">
        <v>58</v>
      </c>
      <c r="T632" t="s">
        <v>58</v>
      </c>
      <c r="U632" t="s">
        <v>58</v>
      </c>
      <c r="V632" t="s">
        <v>58</v>
      </c>
      <c r="Z632" t="s">
        <v>58</v>
      </c>
      <c r="AA632" t="s">
        <v>58</v>
      </c>
      <c r="AB632" t="s">
        <v>58</v>
      </c>
      <c r="AC632" t="s">
        <v>58</v>
      </c>
      <c r="AD632" t="s">
        <v>58</v>
      </c>
      <c r="AG632" t="s">
        <v>58</v>
      </c>
      <c r="AH632" t="s">
        <v>58</v>
      </c>
      <c r="AI632" t="s">
        <v>58</v>
      </c>
      <c r="AJ632" t="s">
        <v>58</v>
      </c>
      <c r="AK632" t="s">
        <v>58</v>
      </c>
      <c r="AO632" t="s">
        <v>58</v>
      </c>
      <c r="AP632" t="s">
        <v>58</v>
      </c>
      <c r="AQ632" t="s">
        <v>58</v>
      </c>
      <c r="AR632" t="s">
        <v>58</v>
      </c>
      <c r="AS632" t="s">
        <v>58</v>
      </c>
      <c r="AV632" t="s">
        <v>58</v>
      </c>
      <c r="AW632" t="s">
        <v>58</v>
      </c>
      <c r="AX632" t="s">
        <v>58</v>
      </c>
      <c r="AY632" t="s">
        <v>58</v>
      </c>
      <c r="AZ632" t="s">
        <v>58</v>
      </c>
      <c r="BC632" t="s">
        <v>58</v>
      </c>
      <c r="BD632" t="s">
        <v>58</v>
      </c>
      <c r="BE632" t="s">
        <v>58</v>
      </c>
      <c r="BF632" t="s">
        <v>58</v>
      </c>
      <c r="BG632" t="s">
        <v>58</v>
      </c>
    </row>
    <row r="633" spans="1:59" x14ac:dyDescent="0.3">
      <c r="A633" t="s">
        <v>58</v>
      </c>
      <c r="B633" t="s">
        <v>58</v>
      </c>
      <c r="C633" t="s">
        <v>58</v>
      </c>
      <c r="D633" t="s">
        <v>58</v>
      </c>
      <c r="E633" t="s">
        <v>58</v>
      </c>
      <c r="J633" t="s">
        <v>58</v>
      </c>
      <c r="K633" t="s">
        <v>58</v>
      </c>
      <c r="L633" t="s">
        <v>58</v>
      </c>
      <c r="M633" t="s">
        <v>58</v>
      </c>
      <c r="N633" t="s">
        <v>58</v>
      </c>
      <c r="R633" t="s">
        <v>58</v>
      </c>
      <c r="S633" t="s">
        <v>58</v>
      </c>
      <c r="T633" t="s">
        <v>58</v>
      </c>
      <c r="U633" t="s">
        <v>58</v>
      </c>
      <c r="V633" t="s">
        <v>58</v>
      </c>
      <c r="Z633" t="s">
        <v>58</v>
      </c>
      <c r="AA633" t="s">
        <v>58</v>
      </c>
      <c r="AB633" t="s">
        <v>58</v>
      </c>
      <c r="AC633" t="s">
        <v>58</v>
      </c>
      <c r="AD633" t="s">
        <v>58</v>
      </c>
      <c r="AG633" t="s">
        <v>58</v>
      </c>
      <c r="AH633" t="s">
        <v>58</v>
      </c>
      <c r="AI633" t="s">
        <v>58</v>
      </c>
      <c r="AJ633" t="s">
        <v>58</v>
      </c>
      <c r="AK633" t="s">
        <v>58</v>
      </c>
      <c r="AO633" t="s">
        <v>58</v>
      </c>
      <c r="AP633" t="s">
        <v>58</v>
      </c>
      <c r="AQ633" t="s">
        <v>58</v>
      </c>
      <c r="AR633" t="s">
        <v>58</v>
      </c>
      <c r="AS633" t="s">
        <v>58</v>
      </c>
      <c r="AV633" t="s">
        <v>58</v>
      </c>
      <c r="AW633" t="s">
        <v>58</v>
      </c>
      <c r="AX633" t="s">
        <v>58</v>
      </c>
      <c r="AY633" t="s">
        <v>58</v>
      </c>
      <c r="AZ633" t="s">
        <v>58</v>
      </c>
      <c r="BC633" t="s">
        <v>58</v>
      </c>
      <c r="BD633" t="s">
        <v>58</v>
      </c>
      <c r="BE633" t="s">
        <v>58</v>
      </c>
      <c r="BF633" t="s">
        <v>58</v>
      </c>
      <c r="BG633" t="s">
        <v>58</v>
      </c>
    </row>
    <row r="634" spans="1:59" x14ac:dyDescent="0.3">
      <c r="A634" t="s">
        <v>58</v>
      </c>
      <c r="B634" t="s">
        <v>58</v>
      </c>
      <c r="C634" t="s">
        <v>58</v>
      </c>
      <c r="D634" t="s">
        <v>58</v>
      </c>
      <c r="E634" t="s">
        <v>58</v>
      </c>
      <c r="J634" t="s">
        <v>58</v>
      </c>
      <c r="K634" t="s">
        <v>58</v>
      </c>
      <c r="L634" t="s">
        <v>58</v>
      </c>
      <c r="M634" t="s">
        <v>58</v>
      </c>
      <c r="N634" t="s">
        <v>58</v>
      </c>
      <c r="R634" t="s">
        <v>58</v>
      </c>
      <c r="S634" t="s">
        <v>58</v>
      </c>
      <c r="T634" t="s">
        <v>58</v>
      </c>
      <c r="U634" t="s">
        <v>58</v>
      </c>
      <c r="V634" t="s">
        <v>58</v>
      </c>
      <c r="Z634" t="s">
        <v>58</v>
      </c>
      <c r="AA634" t="s">
        <v>58</v>
      </c>
      <c r="AB634" t="s">
        <v>58</v>
      </c>
      <c r="AC634" t="s">
        <v>58</v>
      </c>
      <c r="AD634" t="s">
        <v>58</v>
      </c>
      <c r="AG634" t="s">
        <v>58</v>
      </c>
      <c r="AH634" t="s">
        <v>58</v>
      </c>
      <c r="AI634" t="s">
        <v>58</v>
      </c>
      <c r="AJ634" t="s">
        <v>58</v>
      </c>
      <c r="AK634" t="s">
        <v>58</v>
      </c>
      <c r="AO634" t="s">
        <v>58</v>
      </c>
      <c r="AP634" t="s">
        <v>58</v>
      </c>
      <c r="AQ634" t="s">
        <v>58</v>
      </c>
      <c r="AR634" t="s">
        <v>58</v>
      </c>
      <c r="AS634" t="s">
        <v>58</v>
      </c>
      <c r="AV634" t="s">
        <v>58</v>
      </c>
      <c r="AW634" t="s">
        <v>58</v>
      </c>
      <c r="AX634" t="s">
        <v>58</v>
      </c>
      <c r="AY634" t="s">
        <v>58</v>
      </c>
      <c r="AZ634" t="s">
        <v>58</v>
      </c>
      <c r="BC634" t="s">
        <v>58</v>
      </c>
      <c r="BD634" t="s">
        <v>58</v>
      </c>
      <c r="BE634" t="s">
        <v>58</v>
      </c>
      <c r="BF634" t="s">
        <v>58</v>
      </c>
      <c r="BG634" t="s">
        <v>58</v>
      </c>
    </row>
    <row r="635" spans="1:59" x14ac:dyDescent="0.3">
      <c r="A635" t="s">
        <v>58</v>
      </c>
      <c r="B635" t="s">
        <v>58</v>
      </c>
      <c r="C635" t="s">
        <v>58</v>
      </c>
      <c r="D635" t="s">
        <v>58</v>
      </c>
      <c r="E635" t="s">
        <v>58</v>
      </c>
      <c r="J635" t="s">
        <v>58</v>
      </c>
      <c r="K635" t="s">
        <v>58</v>
      </c>
      <c r="L635" t="s">
        <v>58</v>
      </c>
      <c r="M635" t="s">
        <v>58</v>
      </c>
      <c r="N635" t="s">
        <v>58</v>
      </c>
      <c r="R635" t="s">
        <v>58</v>
      </c>
      <c r="S635" t="s">
        <v>58</v>
      </c>
      <c r="T635" t="s">
        <v>58</v>
      </c>
      <c r="U635" t="s">
        <v>58</v>
      </c>
      <c r="V635" t="s">
        <v>58</v>
      </c>
      <c r="Z635" t="s">
        <v>58</v>
      </c>
      <c r="AA635" t="s">
        <v>58</v>
      </c>
      <c r="AB635" t="s">
        <v>58</v>
      </c>
      <c r="AC635" t="s">
        <v>58</v>
      </c>
      <c r="AD635" t="s">
        <v>58</v>
      </c>
      <c r="AG635" t="s">
        <v>58</v>
      </c>
      <c r="AH635" t="s">
        <v>58</v>
      </c>
      <c r="AI635" t="s">
        <v>58</v>
      </c>
      <c r="AJ635" t="s">
        <v>58</v>
      </c>
      <c r="AK635" t="s">
        <v>58</v>
      </c>
      <c r="AO635" t="s">
        <v>58</v>
      </c>
      <c r="AP635" t="s">
        <v>58</v>
      </c>
      <c r="AQ635" t="s">
        <v>58</v>
      </c>
      <c r="AR635" t="s">
        <v>58</v>
      </c>
      <c r="AS635" t="s">
        <v>58</v>
      </c>
      <c r="AV635" t="s">
        <v>58</v>
      </c>
      <c r="AW635" t="s">
        <v>58</v>
      </c>
      <c r="AX635" t="s">
        <v>58</v>
      </c>
      <c r="AY635" t="s">
        <v>58</v>
      </c>
      <c r="AZ635" t="s">
        <v>58</v>
      </c>
      <c r="BC635" t="s">
        <v>58</v>
      </c>
      <c r="BD635" t="s">
        <v>58</v>
      </c>
      <c r="BE635" t="s">
        <v>58</v>
      </c>
      <c r="BF635" t="s">
        <v>58</v>
      </c>
      <c r="BG635" t="s">
        <v>58</v>
      </c>
    </row>
    <row r="636" spans="1:59" x14ac:dyDescent="0.3">
      <c r="A636" t="s">
        <v>58</v>
      </c>
      <c r="B636" t="s">
        <v>58</v>
      </c>
      <c r="C636" t="s">
        <v>58</v>
      </c>
      <c r="D636" t="s">
        <v>58</v>
      </c>
      <c r="E636" t="s">
        <v>58</v>
      </c>
      <c r="J636" t="s">
        <v>58</v>
      </c>
      <c r="K636" t="s">
        <v>58</v>
      </c>
      <c r="L636" t="s">
        <v>58</v>
      </c>
      <c r="M636" t="s">
        <v>58</v>
      </c>
      <c r="N636" t="s">
        <v>58</v>
      </c>
      <c r="R636" t="s">
        <v>58</v>
      </c>
      <c r="S636" t="s">
        <v>58</v>
      </c>
      <c r="T636" t="s">
        <v>58</v>
      </c>
      <c r="U636" t="s">
        <v>58</v>
      </c>
      <c r="V636" t="s">
        <v>58</v>
      </c>
      <c r="Z636" t="s">
        <v>58</v>
      </c>
      <c r="AA636" t="s">
        <v>58</v>
      </c>
      <c r="AB636" t="s">
        <v>58</v>
      </c>
      <c r="AC636" t="s">
        <v>58</v>
      </c>
      <c r="AD636" t="s">
        <v>58</v>
      </c>
      <c r="AG636" t="s">
        <v>58</v>
      </c>
      <c r="AH636" t="s">
        <v>58</v>
      </c>
      <c r="AI636" t="s">
        <v>58</v>
      </c>
      <c r="AJ636" t="s">
        <v>58</v>
      </c>
      <c r="AK636" t="s">
        <v>58</v>
      </c>
      <c r="AO636" t="s">
        <v>58</v>
      </c>
      <c r="AP636" t="s">
        <v>58</v>
      </c>
      <c r="AQ636" t="s">
        <v>58</v>
      </c>
      <c r="AR636" t="s">
        <v>58</v>
      </c>
      <c r="AS636" t="s">
        <v>58</v>
      </c>
      <c r="AV636" t="s">
        <v>58</v>
      </c>
      <c r="AW636" t="s">
        <v>58</v>
      </c>
      <c r="AX636" t="s">
        <v>58</v>
      </c>
      <c r="AY636" t="s">
        <v>58</v>
      </c>
      <c r="AZ636" t="s">
        <v>58</v>
      </c>
      <c r="BC636" t="s">
        <v>58</v>
      </c>
      <c r="BD636" t="s">
        <v>58</v>
      </c>
      <c r="BE636" t="s">
        <v>58</v>
      </c>
      <c r="BF636" t="s">
        <v>58</v>
      </c>
      <c r="BG636" t="s">
        <v>58</v>
      </c>
    </row>
    <row r="637" spans="1:59" x14ac:dyDescent="0.3">
      <c r="A637" t="s">
        <v>58</v>
      </c>
      <c r="B637" t="s">
        <v>58</v>
      </c>
      <c r="C637" t="s">
        <v>58</v>
      </c>
      <c r="D637" t="s">
        <v>58</v>
      </c>
      <c r="E637" t="s">
        <v>58</v>
      </c>
      <c r="J637" t="s">
        <v>58</v>
      </c>
      <c r="K637" t="s">
        <v>58</v>
      </c>
      <c r="L637" t="s">
        <v>58</v>
      </c>
      <c r="M637" t="s">
        <v>58</v>
      </c>
      <c r="N637" t="s">
        <v>58</v>
      </c>
      <c r="R637" t="s">
        <v>58</v>
      </c>
      <c r="S637" t="s">
        <v>58</v>
      </c>
      <c r="T637" t="s">
        <v>58</v>
      </c>
      <c r="U637" t="s">
        <v>58</v>
      </c>
      <c r="V637" t="s">
        <v>58</v>
      </c>
      <c r="Z637" t="s">
        <v>58</v>
      </c>
      <c r="AA637" t="s">
        <v>58</v>
      </c>
      <c r="AB637" t="s">
        <v>58</v>
      </c>
      <c r="AC637" t="s">
        <v>58</v>
      </c>
      <c r="AD637" t="s">
        <v>58</v>
      </c>
      <c r="AG637" t="s">
        <v>58</v>
      </c>
      <c r="AH637" t="s">
        <v>58</v>
      </c>
      <c r="AI637" t="s">
        <v>58</v>
      </c>
      <c r="AJ637" t="s">
        <v>58</v>
      </c>
      <c r="AK637" t="s">
        <v>58</v>
      </c>
      <c r="AO637" t="s">
        <v>58</v>
      </c>
      <c r="AP637" t="s">
        <v>58</v>
      </c>
      <c r="AQ637" t="s">
        <v>58</v>
      </c>
      <c r="AR637" t="s">
        <v>58</v>
      </c>
      <c r="AS637" t="s">
        <v>58</v>
      </c>
      <c r="AV637" t="s">
        <v>58</v>
      </c>
      <c r="AW637" t="s">
        <v>58</v>
      </c>
      <c r="AX637" t="s">
        <v>58</v>
      </c>
      <c r="AY637" t="s">
        <v>58</v>
      </c>
      <c r="AZ637" t="s">
        <v>58</v>
      </c>
      <c r="BC637" t="s">
        <v>58</v>
      </c>
      <c r="BD637" t="s">
        <v>58</v>
      </c>
      <c r="BE637" t="s">
        <v>58</v>
      </c>
      <c r="BF637" t="s">
        <v>58</v>
      </c>
      <c r="BG637" t="s">
        <v>58</v>
      </c>
    </row>
    <row r="638" spans="1:59" x14ac:dyDescent="0.3">
      <c r="A638" t="s">
        <v>58</v>
      </c>
      <c r="B638" t="s">
        <v>58</v>
      </c>
      <c r="C638" t="s">
        <v>58</v>
      </c>
      <c r="D638" t="s">
        <v>58</v>
      </c>
      <c r="E638" t="s">
        <v>58</v>
      </c>
      <c r="J638" t="s">
        <v>58</v>
      </c>
      <c r="K638" t="s">
        <v>58</v>
      </c>
      <c r="L638" t="s">
        <v>58</v>
      </c>
      <c r="M638" t="s">
        <v>58</v>
      </c>
      <c r="N638" t="s">
        <v>58</v>
      </c>
      <c r="R638" t="s">
        <v>58</v>
      </c>
      <c r="S638" t="s">
        <v>58</v>
      </c>
      <c r="T638" t="s">
        <v>58</v>
      </c>
      <c r="U638" t="s">
        <v>58</v>
      </c>
      <c r="V638" t="s">
        <v>58</v>
      </c>
      <c r="Z638" t="s">
        <v>58</v>
      </c>
      <c r="AA638" t="s">
        <v>58</v>
      </c>
      <c r="AB638" t="s">
        <v>58</v>
      </c>
      <c r="AC638" t="s">
        <v>58</v>
      </c>
      <c r="AD638" t="s">
        <v>58</v>
      </c>
      <c r="AG638" t="s">
        <v>58</v>
      </c>
      <c r="AH638" t="s">
        <v>58</v>
      </c>
      <c r="AI638" t="s">
        <v>58</v>
      </c>
      <c r="AJ638" t="s">
        <v>58</v>
      </c>
      <c r="AK638" t="s">
        <v>58</v>
      </c>
      <c r="AO638" t="s">
        <v>58</v>
      </c>
      <c r="AP638" t="s">
        <v>58</v>
      </c>
      <c r="AQ638" t="s">
        <v>58</v>
      </c>
      <c r="AR638" t="s">
        <v>58</v>
      </c>
      <c r="AS638" t="s">
        <v>58</v>
      </c>
      <c r="AV638" t="s">
        <v>58</v>
      </c>
      <c r="AW638" t="s">
        <v>58</v>
      </c>
      <c r="AX638" t="s">
        <v>58</v>
      </c>
      <c r="AY638" t="s">
        <v>58</v>
      </c>
      <c r="AZ638" t="s">
        <v>58</v>
      </c>
      <c r="BC638" t="s">
        <v>58</v>
      </c>
      <c r="BD638" t="s">
        <v>58</v>
      </c>
      <c r="BE638" t="s">
        <v>58</v>
      </c>
      <c r="BF638" t="s">
        <v>58</v>
      </c>
      <c r="BG638" t="s">
        <v>58</v>
      </c>
    </row>
    <row r="639" spans="1:59" x14ac:dyDescent="0.3">
      <c r="A639" t="s">
        <v>58</v>
      </c>
      <c r="B639" t="s">
        <v>58</v>
      </c>
      <c r="C639" t="s">
        <v>58</v>
      </c>
      <c r="D639" t="s">
        <v>58</v>
      </c>
      <c r="E639" t="s">
        <v>58</v>
      </c>
      <c r="J639" t="s">
        <v>58</v>
      </c>
      <c r="K639" t="s">
        <v>58</v>
      </c>
      <c r="L639" t="s">
        <v>58</v>
      </c>
      <c r="M639" t="s">
        <v>58</v>
      </c>
      <c r="N639" t="s">
        <v>58</v>
      </c>
      <c r="R639" t="s">
        <v>58</v>
      </c>
      <c r="S639" t="s">
        <v>58</v>
      </c>
      <c r="T639" t="s">
        <v>58</v>
      </c>
      <c r="U639" t="s">
        <v>58</v>
      </c>
      <c r="V639" t="s">
        <v>58</v>
      </c>
      <c r="Z639" t="s">
        <v>58</v>
      </c>
      <c r="AA639" t="s">
        <v>58</v>
      </c>
      <c r="AB639" t="s">
        <v>58</v>
      </c>
      <c r="AC639" t="s">
        <v>58</v>
      </c>
      <c r="AD639" t="s">
        <v>58</v>
      </c>
      <c r="AG639" t="s">
        <v>58</v>
      </c>
      <c r="AH639" t="s">
        <v>58</v>
      </c>
      <c r="AI639" t="s">
        <v>58</v>
      </c>
      <c r="AJ639" t="s">
        <v>58</v>
      </c>
      <c r="AK639" t="s">
        <v>58</v>
      </c>
      <c r="AO639" t="s">
        <v>58</v>
      </c>
      <c r="AP639" t="s">
        <v>58</v>
      </c>
      <c r="AQ639" t="s">
        <v>58</v>
      </c>
      <c r="AR639" t="s">
        <v>58</v>
      </c>
      <c r="AS639" t="s">
        <v>58</v>
      </c>
      <c r="AV639" t="s">
        <v>58</v>
      </c>
      <c r="AW639" t="s">
        <v>58</v>
      </c>
      <c r="AX639" t="s">
        <v>58</v>
      </c>
      <c r="AY639" t="s">
        <v>58</v>
      </c>
      <c r="AZ639" t="s">
        <v>58</v>
      </c>
      <c r="BC639" t="s">
        <v>58</v>
      </c>
      <c r="BD639" t="s">
        <v>58</v>
      </c>
      <c r="BE639" t="s">
        <v>58</v>
      </c>
      <c r="BF639" t="s">
        <v>58</v>
      </c>
      <c r="BG639" t="s">
        <v>58</v>
      </c>
    </row>
    <row r="640" spans="1:59" x14ac:dyDescent="0.3">
      <c r="A640" t="s">
        <v>58</v>
      </c>
      <c r="B640" t="s">
        <v>58</v>
      </c>
      <c r="C640" t="s">
        <v>58</v>
      </c>
      <c r="D640" t="s">
        <v>58</v>
      </c>
      <c r="E640" t="s">
        <v>58</v>
      </c>
      <c r="J640" t="s">
        <v>58</v>
      </c>
      <c r="K640" t="s">
        <v>58</v>
      </c>
      <c r="L640" t="s">
        <v>58</v>
      </c>
      <c r="M640" t="s">
        <v>58</v>
      </c>
      <c r="N640" t="s">
        <v>58</v>
      </c>
      <c r="R640" t="s">
        <v>58</v>
      </c>
      <c r="S640" t="s">
        <v>58</v>
      </c>
      <c r="T640" t="s">
        <v>58</v>
      </c>
      <c r="U640" t="s">
        <v>58</v>
      </c>
      <c r="V640" t="s">
        <v>58</v>
      </c>
      <c r="Z640" t="s">
        <v>58</v>
      </c>
      <c r="AA640" t="s">
        <v>58</v>
      </c>
      <c r="AB640" t="s">
        <v>58</v>
      </c>
      <c r="AC640" t="s">
        <v>58</v>
      </c>
      <c r="AD640" t="s">
        <v>58</v>
      </c>
      <c r="AG640" t="s">
        <v>58</v>
      </c>
      <c r="AH640" t="s">
        <v>58</v>
      </c>
      <c r="AI640" t="s">
        <v>58</v>
      </c>
      <c r="AJ640" t="s">
        <v>58</v>
      </c>
      <c r="AK640" t="s">
        <v>58</v>
      </c>
      <c r="AO640" t="s">
        <v>58</v>
      </c>
      <c r="AP640" t="s">
        <v>58</v>
      </c>
      <c r="AQ640" t="s">
        <v>58</v>
      </c>
      <c r="AR640" t="s">
        <v>58</v>
      </c>
      <c r="AS640" t="s">
        <v>58</v>
      </c>
      <c r="AV640" t="s">
        <v>58</v>
      </c>
      <c r="AW640" t="s">
        <v>58</v>
      </c>
      <c r="AX640" t="s">
        <v>58</v>
      </c>
      <c r="AY640" t="s">
        <v>58</v>
      </c>
      <c r="AZ640" t="s">
        <v>58</v>
      </c>
      <c r="BC640" t="s">
        <v>58</v>
      </c>
      <c r="BD640" t="s">
        <v>58</v>
      </c>
      <c r="BE640" t="s">
        <v>58</v>
      </c>
      <c r="BF640" t="s">
        <v>58</v>
      </c>
      <c r="BG640" t="s">
        <v>58</v>
      </c>
    </row>
    <row r="641" spans="1:59" x14ac:dyDescent="0.3">
      <c r="A641" t="s">
        <v>58</v>
      </c>
      <c r="B641" t="s">
        <v>58</v>
      </c>
      <c r="C641" t="s">
        <v>58</v>
      </c>
      <c r="D641" t="s">
        <v>58</v>
      </c>
      <c r="E641" t="s">
        <v>58</v>
      </c>
      <c r="J641" t="s">
        <v>58</v>
      </c>
      <c r="K641" t="s">
        <v>58</v>
      </c>
      <c r="L641" t="s">
        <v>58</v>
      </c>
      <c r="M641" t="s">
        <v>58</v>
      </c>
      <c r="N641" t="s">
        <v>58</v>
      </c>
      <c r="R641" t="s">
        <v>58</v>
      </c>
      <c r="S641" t="s">
        <v>58</v>
      </c>
      <c r="T641" t="s">
        <v>58</v>
      </c>
      <c r="U641" t="s">
        <v>58</v>
      </c>
      <c r="V641" t="s">
        <v>58</v>
      </c>
      <c r="Z641" t="s">
        <v>58</v>
      </c>
      <c r="AA641" t="s">
        <v>58</v>
      </c>
      <c r="AB641" t="s">
        <v>58</v>
      </c>
      <c r="AC641" t="s">
        <v>58</v>
      </c>
      <c r="AD641" t="s">
        <v>58</v>
      </c>
      <c r="AG641" t="s">
        <v>58</v>
      </c>
      <c r="AH641" t="s">
        <v>58</v>
      </c>
      <c r="AI641" t="s">
        <v>58</v>
      </c>
      <c r="AJ641" t="s">
        <v>58</v>
      </c>
      <c r="AK641" t="s">
        <v>58</v>
      </c>
      <c r="AO641" t="s">
        <v>58</v>
      </c>
      <c r="AP641" t="s">
        <v>58</v>
      </c>
      <c r="AQ641" t="s">
        <v>58</v>
      </c>
      <c r="AR641" t="s">
        <v>58</v>
      </c>
      <c r="AS641" t="s">
        <v>58</v>
      </c>
      <c r="AV641" t="s">
        <v>58</v>
      </c>
      <c r="AW641" t="s">
        <v>58</v>
      </c>
      <c r="AX641" t="s">
        <v>58</v>
      </c>
      <c r="AY641" t="s">
        <v>58</v>
      </c>
      <c r="AZ641" t="s">
        <v>58</v>
      </c>
      <c r="BC641" t="s">
        <v>58</v>
      </c>
      <c r="BD641" t="s">
        <v>58</v>
      </c>
      <c r="BE641" t="s">
        <v>58</v>
      </c>
      <c r="BF641" t="s">
        <v>58</v>
      </c>
      <c r="BG641" t="s">
        <v>58</v>
      </c>
    </row>
    <row r="642" spans="1:59" x14ac:dyDescent="0.3">
      <c r="A642" t="s">
        <v>58</v>
      </c>
      <c r="B642" t="s">
        <v>58</v>
      </c>
      <c r="C642" t="s">
        <v>58</v>
      </c>
      <c r="D642" t="s">
        <v>58</v>
      </c>
      <c r="E642" t="s">
        <v>58</v>
      </c>
      <c r="J642" t="s">
        <v>58</v>
      </c>
      <c r="K642" t="s">
        <v>58</v>
      </c>
      <c r="L642" t="s">
        <v>58</v>
      </c>
      <c r="M642" t="s">
        <v>58</v>
      </c>
      <c r="N642" t="s">
        <v>58</v>
      </c>
      <c r="R642" t="s">
        <v>58</v>
      </c>
      <c r="S642" t="s">
        <v>58</v>
      </c>
      <c r="T642" t="s">
        <v>58</v>
      </c>
      <c r="U642" t="s">
        <v>58</v>
      </c>
      <c r="V642" t="s">
        <v>58</v>
      </c>
      <c r="Z642" t="s">
        <v>58</v>
      </c>
      <c r="AA642" t="s">
        <v>58</v>
      </c>
      <c r="AB642" t="s">
        <v>58</v>
      </c>
      <c r="AC642" t="s">
        <v>58</v>
      </c>
      <c r="AD642" t="s">
        <v>58</v>
      </c>
      <c r="AG642" t="s">
        <v>58</v>
      </c>
      <c r="AH642" t="s">
        <v>58</v>
      </c>
      <c r="AI642" t="s">
        <v>58</v>
      </c>
      <c r="AJ642" t="s">
        <v>58</v>
      </c>
      <c r="AK642" t="s">
        <v>58</v>
      </c>
      <c r="AO642" t="s">
        <v>58</v>
      </c>
      <c r="AP642" t="s">
        <v>58</v>
      </c>
      <c r="AQ642" t="s">
        <v>58</v>
      </c>
      <c r="AR642" t="s">
        <v>58</v>
      </c>
      <c r="AS642" t="s">
        <v>58</v>
      </c>
      <c r="AV642" t="s">
        <v>58</v>
      </c>
      <c r="AW642" t="s">
        <v>58</v>
      </c>
      <c r="AX642" t="s">
        <v>58</v>
      </c>
      <c r="AY642" t="s">
        <v>58</v>
      </c>
      <c r="AZ642" t="s">
        <v>58</v>
      </c>
      <c r="BC642" t="s">
        <v>58</v>
      </c>
      <c r="BD642" t="s">
        <v>58</v>
      </c>
      <c r="BE642" t="s">
        <v>58</v>
      </c>
      <c r="BF642" t="s">
        <v>58</v>
      </c>
      <c r="BG642" t="s">
        <v>58</v>
      </c>
    </row>
    <row r="643" spans="1:59" x14ac:dyDescent="0.3">
      <c r="A643" t="s">
        <v>58</v>
      </c>
      <c r="B643" t="s">
        <v>58</v>
      </c>
      <c r="C643" t="s">
        <v>58</v>
      </c>
      <c r="D643" t="s">
        <v>58</v>
      </c>
      <c r="E643" t="s">
        <v>58</v>
      </c>
      <c r="J643" t="s">
        <v>58</v>
      </c>
      <c r="K643" t="s">
        <v>58</v>
      </c>
      <c r="L643" t="s">
        <v>58</v>
      </c>
      <c r="M643" t="s">
        <v>58</v>
      </c>
      <c r="N643" t="s">
        <v>58</v>
      </c>
      <c r="R643" t="s">
        <v>58</v>
      </c>
      <c r="S643" t="s">
        <v>58</v>
      </c>
      <c r="T643" t="s">
        <v>58</v>
      </c>
      <c r="U643" t="s">
        <v>58</v>
      </c>
      <c r="V643" t="s">
        <v>58</v>
      </c>
      <c r="Z643" t="s">
        <v>58</v>
      </c>
      <c r="AA643" t="s">
        <v>58</v>
      </c>
      <c r="AB643" t="s">
        <v>58</v>
      </c>
      <c r="AC643" t="s">
        <v>58</v>
      </c>
      <c r="AD643" t="s">
        <v>58</v>
      </c>
      <c r="AG643" t="s">
        <v>58</v>
      </c>
      <c r="AH643" t="s">
        <v>58</v>
      </c>
      <c r="AI643" t="s">
        <v>58</v>
      </c>
      <c r="AJ643" t="s">
        <v>58</v>
      </c>
      <c r="AK643" t="s">
        <v>58</v>
      </c>
      <c r="AO643" t="s">
        <v>58</v>
      </c>
      <c r="AP643" t="s">
        <v>58</v>
      </c>
      <c r="AQ643" t="s">
        <v>58</v>
      </c>
      <c r="AR643" t="s">
        <v>58</v>
      </c>
      <c r="AS643" t="s">
        <v>58</v>
      </c>
      <c r="AV643" t="s">
        <v>58</v>
      </c>
      <c r="AW643" t="s">
        <v>58</v>
      </c>
      <c r="AX643" t="s">
        <v>58</v>
      </c>
      <c r="AY643" t="s">
        <v>58</v>
      </c>
      <c r="AZ643" t="s">
        <v>58</v>
      </c>
      <c r="BC643" t="s">
        <v>58</v>
      </c>
      <c r="BD643" t="s">
        <v>58</v>
      </c>
      <c r="BE643" t="s">
        <v>58</v>
      </c>
      <c r="BF643" t="s">
        <v>58</v>
      </c>
      <c r="BG643" t="s">
        <v>58</v>
      </c>
    </row>
    <row r="644" spans="1:59" x14ac:dyDescent="0.3">
      <c r="A644" t="s">
        <v>58</v>
      </c>
      <c r="B644" t="s">
        <v>58</v>
      </c>
      <c r="C644" t="s">
        <v>58</v>
      </c>
      <c r="D644" t="s">
        <v>58</v>
      </c>
      <c r="E644" t="s">
        <v>58</v>
      </c>
      <c r="J644" t="s">
        <v>58</v>
      </c>
      <c r="K644" t="s">
        <v>58</v>
      </c>
      <c r="L644" t="s">
        <v>58</v>
      </c>
      <c r="M644" t="s">
        <v>58</v>
      </c>
      <c r="N644" t="s">
        <v>58</v>
      </c>
      <c r="R644" t="s">
        <v>58</v>
      </c>
      <c r="S644" t="s">
        <v>58</v>
      </c>
      <c r="T644" t="s">
        <v>58</v>
      </c>
      <c r="U644" t="s">
        <v>58</v>
      </c>
      <c r="V644" t="s">
        <v>58</v>
      </c>
      <c r="Z644" t="s">
        <v>58</v>
      </c>
      <c r="AA644" t="s">
        <v>58</v>
      </c>
      <c r="AB644" t="s">
        <v>58</v>
      </c>
      <c r="AC644" t="s">
        <v>58</v>
      </c>
      <c r="AD644" t="s">
        <v>58</v>
      </c>
      <c r="AG644" t="s">
        <v>58</v>
      </c>
      <c r="AH644" t="s">
        <v>58</v>
      </c>
      <c r="AI644" t="s">
        <v>58</v>
      </c>
      <c r="AJ644" t="s">
        <v>58</v>
      </c>
      <c r="AK644" t="s">
        <v>58</v>
      </c>
      <c r="AO644" t="s">
        <v>58</v>
      </c>
      <c r="AP644" t="s">
        <v>58</v>
      </c>
      <c r="AQ644" t="s">
        <v>58</v>
      </c>
      <c r="AR644" t="s">
        <v>58</v>
      </c>
      <c r="AS644" t="s">
        <v>58</v>
      </c>
      <c r="AV644" t="s">
        <v>58</v>
      </c>
      <c r="AW644" t="s">
        <v>58</v>
      </c>
      <c r="AX644" t="s">
        <v>58</v>
      </c>
      <c r="AY644" t="s">
        <v>58</v>
      </c>
      <c r="AZ644" t="s">
        <v>58</v>
      </c>
      <c r="BC644" t="s">
        <v>58</v>
      </c>
      <c r="BD644" t="s">
        <v>58</v>
      </c>
      <c r="BE644" t="s">
        <v>58</v>
      </c>
      <c r="BF644" t="s">
        <v>58</v>
      </c>
      <c r="BG644" t="s">
        <v>58</v>
      </c>
    </row>
  </sheetData>
  <sortState ref="E1:G11">
    <sortCondition descending="1" ref="G1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44"/>
  <sheetViews>
    <sheetView tabSelected="1" workbookViewId="0">
      <selection activeCell="F6" sqref="F5:F6"/>
    </sheetView>
  </sheetViews>
  <sheetFormatPr defaultRowHeight="13.5" x14ac:dyDescent="0.3"/>
  <cols>
    <col min="1" max="1" width="11.59765625" style="13" bestFit="1" customWidth="1"/>
    <col min="2" max="5" width="9" style="11"/>
  </cols>
  <sheetData>
    <row r="1" spans="1:7" x14ac:dyDescent="0.3">
      <c r="A1" s="13" t="s">
        <v>79</v>
      </c>
      <c r="B1" s="23" t="s">
        <v>52</v>
      </c>
      <c r="C1" s="23" t="s">
        <v>53</v>
      </c>
      <c r="D1" s="23" t="s">
        <v>54</v>
      </c>
      <c r="E1" s="8" t="s">
        <v>55</v>
      </c>
    </row>
    <row r="2" spans="1:7" x14ac:dyDescent="0.3">
      <c r="A2" s="13" t="str">
        <f>IF(ISBLANK(data!U30),"",data!U30)</f>
        <v/>
      </c>
      <c r="B2" s="11" t="str">
        <f>IF(ISBLANK(data!V30),"",data!V30)</f>
        <v/>
      </c>
      <c r="C2" s="11" t="str">
        <f>IF(ISBLANK(data!W30),"",data!W30)</f>
        <v/>
      </c>
      <c r="D2" s="11" t="str">
        <f>IF(ISBLANK(data!X30),"",data!X30)</f>
        <v/>
      </c>
      <c r="E2" s="11" t="str">
        <f>IF(ISBLANK(data!Y30),"",data!Y30)</f>
        <v/>
      </c>
      <c r="G2">
        <f>COUNT(A2:A1206)</f>
        <v>642</v>
      </c>
    </row>
    <row r="3" spans="1:7" x14ac:dyDescent="0.3">
      <c r="A3" s="13">
        <f>data!S31</f>
        <v>41715.5</v>
      </c>
      <c r="B3" s="11">
        <f>IF(ISBLANK(data!V31),"",data!V31)</f>
        <v>0.21635360399723985</v>
      </c>
      <c r="C3" s="11">
        <f>IF(ISBLANK(data!W31),"",data!W31)</f>
        <v>1.9381378000691271E-5</v>
      </c>
      <c r="D3" s="11">
        <f>IF(ISBLANK(data!X31),"",data!X31)</f>
        <v>0.5695910454771238</v>
      </c>
      <c r="E3" s="11">
        <f>IF(ISBLANK(data!Y31),"",data!Y31)</f>
        <v>0.21403596914763559</v>
      </c>
    </row>
    <row r="4" spans="1:7" x14ac:dyDescent="0.3">
      <c r="A4" s="13">
        <f>data!S32</f>
        <v>41722.5</v>
      </c>
      <c r="B4" s="11">
        <f>IF(ISBLANK(data!V32),"",data!V32)</f>
        <v>0.23682641047636177</v>
      </c>
      <c r="C4" s="11">
        <f>IF(ISBLANK(data!W32),"",data!W32)</f>
        <v>2.3202449381807135E-5</v>
      </c>
      <c r="D4" s="11">
        <f>IF(ISBLANK(data!X32),"",data!X32)</f>
        <v>0.57641603136185016</v>
      </c>
      <c r="E4" s="11">
        <f>IF(ISBLANK(data!Y32),"",data!Y32)</f>
        <v>0.18673435571240629</v>
      </c>
    </row>
    <row r="5" spans="1:7" x14ac:dyDescent="0.3">
      <c r="A5" s="13">
        <f>data!S33</f>
        <v>41729.5</v>
      </c>
      <c r="B5" s="11">
        <f>IF(ISBLANK(data!V33),"",data!V33)</f>
        <v>0.22154322014805863</v>
      </c>
      <c r="C5" s="11">
        <f>IF(ISBLANK(data!W33),"",data!W33)</f>
        <v>1.6410502019406802E-5</v>
      </c>
      <c r="D5" s="11">
        <f>IF(ISBLANK(data!X33),"",data!X33)</f>
        <v>0.58736905105264436</v>
      </c>
      <c r="E5" s="11">
        <f>IF(ISBLANK(data!Y33),"",data!Y33)</f>
        <v>0.19107131829727764</v>
      </c>
    </row>
    <row r="6" spans="1:7" x14ac:dyDescent="0.3">
      <c r="A6" s="13">
        <f>data!S34</f>
        <v>41736</v>
      </c>
      <c r="B6" s="11">
        <f>IF(ISBLANK(data!V34),"",data!V34)</f>
        <v>0.22433044638344221</v>
      </c>
      <c r="C6" s="11">
        <f>IF(ISBLANK(data!W34),"",data!W34)</f>
        <v>1.6645277964376374E-5</v>
      </c>
      <c r="D6" s="11">
        <f>IF(ISBLANK(data!X34),"",data!X34)</f>
        <v>0.57960929267654371</v>
      </c>
      <c r="E6" s="11">
        <f>IF(ISBLANK(data!Y34),"",data!Y34)</f>
        <v>0.19604361566204961</v>
      </c>
    </row>
    <row r="7" spans="1:7" x14ac:dyDescent="0.3">
      <c r="A7" s="13">
        <f>data!S35</f>
        <v>41743.5</v>
      </c>
      <c r="B7" s="11">
        <f>IF(ISBLANK(data!V35),"",data!V35)</f>
        <v>0.21144160311378324</v>
      </c>
      <c r="C7" s="11">
        <f>IF(ISBLANK(data!W35),"",data!W35)</f>
        <v>2.0202698433150935E-5</v>
      </c>
      <c r="D7" s="11">
        <f>IF(ISBLANK(data!X35),"",data!X35)</f>
        <v>0.59039102699660451</v>
      </c>
      <c r="E7" s="11">
        <f>IF(ISBLANK(data!Y35),"",data!Y35)</f>
        <v>0.19814716719117917</v>
      </c>
    </row>
    <row r="8" spans="1:7" x14ac:dyDescent="0.3">
      <c r="A8" s="13">
        <f>data!S36</f>
        <v>41750.5</v>
      </c>
      <c r="B8" s="11">
        <f>IF(ISBLANK(data!V36),"",data!V36)</f>
        <v>0.21923317470344697</v>
      </c>
      <c r="C8" s="11">
        <f>IF(ISBLANK(data!W36),"",data!W36)</f>
        <v>2.1743490952252399E-5</v>
      </c>
      <c r="D8" s="11">
        <f>IF(ISBLANK(data!X36),"",data!X36)</f>
        <v>0.5803228462679455</v>
      </c>
      <c r="E8" s="11">
        <f>IF(ISBLANK(data!Y36),"",data!Y36)</f>
        <v>0.2004222355376552</v>
      </c>
    </row>
    <row r="9" spans="1:7" x14ac:dyDescent="0.3">
      <c r="A9" s="13">
        <f>data!S37</f>
        <v>41757.5</v>
      </c>
      <c r="B9" s="11">
        <f>IF(ISBLANK(data!V37),"",data!V37)</f>
        <v>0.28899782448795847</v>
      </c>
      <c r="C9" s="11">
        <f>IF(ISBLANK(data!W37),"",data!W37)</f>
        <v>1.8205867700739899E-5</v>
      </c>
      <c r="D9" s="11">
        <f>IF(ISBLANK(data!X37),"",data!X37)</f>
        <v>0.57402226031423553</v>
      </c>
      <c r="E9" s="11">
        <f>IF(ISBLANK(data!Y37),"",data!Y37)</f>
        <v>0.13696170933010529</v>
      </c>
    </row>
    <row r="10" spans="1:7" x14ac:dyDescent="0.3">
      <c r="A10" s="13">
        <f>data!S38</f>
        <v>41764.5</v>
      </c>
      <c r="B10" s="11">
        <f>IF(ISBLANK(data!V38),"",data!V38)</f>
        <v>0.30609492295309471</v>
      </c>
      <c r="C10" s="11">
        <f>IF(ISBLANK(data!W38),"",data!W38)</f>
        <v>1.7101978050583137E-5</v>
      </c>
      <c r="D10" s="11">
        <f>IF(ISBLANK(data!X38),"",data!X38)</f>
        <v>0.56863142634093033</v>
      </c>
      <c r="E10" s="11">
        <f>IF(ISBLANK(data!Y38),"",data!Y38)</f>
        <v>0.12525654872792436</v>
      </c>
    </row>
    <row r="11" spans="1:7" x14ac:dyDescent="0.3">
      <c r="A11" s="13">
        <f>data!S39</f>
        <v>41771.5</v>
      </c>
      <c r="B11" s="11">
        <f>IF(ISBLANK(data!V39),"",data!V39)</f>
        <v>0.25717166468218727</v>
      </c>
      <c r="C11" s="11">
        <f>IF(ISBLANK(data!W39),"",data!W39)</f>
        <v>1.7919176549766837E-5</v>
      </c>
      <c r="D11" s="11">
        <f>IF(ISBLANK(data!X39),"",data!X39)</f>
        <v>0.57238597651661483</v>
      </c>
      <c r="E11" s="11">
        <f>IF(ISBLANK(data!Y39),"",data!Y39)</f>
        <v>0.17042443962464807</v>
      </c>
    </row>
    <row r="12" spans="1:7" x14ac:dyDescent="0.3">
      <c r="A12" s="13">
        <f>data!S40</f>
        <v>41778.5</v>
      </c>
      <c r="B12" s="11">
        <f>IF(ISBLANK(data!V40),"",data!V40)</f>
        <v>0.23132510353508889</v>
      </c>
      <c r="C12" s="11">
        <f>IF(ISBLANK(data!W40),"",data!W40)</f>
        <v>1.854772279361667E-5</v>
      </c>
      <c r="D12" s="11">
        <f>IF(ISBLANK(data!X40),"",data!X40)</f>
        <v>0.59820551182571613</v>
      </c>
      <c r="E12" s="11">
        <f>IF(ISBLANK(data!Y40),"",data!Y40)</f>
        <v>0.17045083691640134</v>
      </c>
    </row>
    <row r="13" spans="1:7" x14ac:dyDescent="0.3">
      <c r="A13" s="13">
        <f>data!S41</f>
        <v>41785.5</v>
      </c>
      <c r="B13" s="11">
        <f>IF(ISBLANK(data!V41),"",data!V41)</f>
        <v>0.2322753030451539</v>
      </c>
      <c r="C13" s="11">
        <f>IF(ISBLANK(data!W41),"",data!W41)</f>
        <v>2.0930845253370271E-5</v>
      </c>
      <c r="D13" s="11">
        <f>IF(ISBLANK(data!X41),"",data!X41)</f>
        <v>0.6109459909040803</v>
      </c>
      <c r="E13" s="11">
        <f>IF(ISBLANK(data!Y41),"",data!Y41)</f>
        <v>0.1567577752055124</v>
      </c>
    </row>
    <row r="14" spans="1:7" x14ac:dyDescent="0.3">
      <c r="A14" s="13">
        <f>data!S42</f>
        <v>41792.5</v>
      </c>
      <c r="B14" s="11">
        <f>IF(ISBLANK(data!V42),"",data!V42)</f>
        <v>0.27079108000673746</v>
      </c>
      <c r="C14" s="11">
        <f>IF(ISBLANK(data!W42),"",data!W42)</f>
        <v>1.6410945500265294E-5</v>
      </c>
      <c r="D14" s="11">
        <f>IF(ISBLANK(data!X42),"",data!X42)</f>
        <v>0.60834906272386569</v>
      </c>
      <c r="E14" s="11">
        <f>IF(ISBLANK(data!Y42),"",data!Y42)</f>
        <v>0.12084344632389665</v>
      </c>
    </row>
    <row r="15" spans="1:7" x14ac:dyDescent="0.3">
      <c r="A15" s="13">
        <f>data!S43</f>
        <v>41799.5</v>
      </c>
      <c r="B15" s="11">
        <f>IF(ISBLANK(data!V43),"",data!V43)</f>
        <v>0.29180402650317977</v>
      </c>
      <c r="C15" s="11">
        <f>IF(ISBLANK(data!W43),"",data!W43)</f>
        <v>1.8202444602591538E-5</v>
      </c>
      <c r="D15" s="11">
        <f>IF(ISBLANK(data!X43),"",data!X43)</f>
        <v>0.55956675939189748</v>
      </c>
      <c r="E15" s="11">
        <f>IF(ISBLANK(data!Y43),"",data!Y43)</f>
        <v>0.1486110116603202</v>
      </c>
    </row>
    <row r="16" spans="1:7" x14ac:dyDescent="0.3">
      <c r="A16" s="13">
        <f>data!S44</f>
        <v>41806.5</v>
      </c>
      <c r="B16" s="11">
        <f>IF(ISBLANK(data!V44),"",data!V44)</f>
        <v>0.29074076608927274</v>
      </c>
      <c r="C16" s="11">
        <f>IF(ISBLANK(data!W44),"",data!W44)</f>
        <v>1.6687858615066285E-5</v>
      </c>
      <c r="D16" s="11">
        <f>IF(ISBLANK(data!X44),"",data!X44)</f>
        <v>0.55075067996287386</v>
      </c>
      <c r="E16" s="11">
        <f>IF(ISBLANK(data!Y44),"",data!Y44)</f>
        <v>0.15849186608923849</v>
      </c>
    </row>
    <row r="17" spans="1:5" x14ac:dyDescent="0.3">
      <c r="A17" s="13">
        <f>data!S45</f>
        <v>41813.5</v>
      </c>
      <c r="B17" s="11">
        <f>IF(ISBLANK(data!V45),"",data!V45)</f>
        <v>0.29025710031102886</v>
      </c>
      <c r="C17" s="11">
        <f>IF(ISBLANK(data!W45),"",data!W45)</f>
        <v>2.2728695998180065E-5</v>
      </c>
      <c r="D17" s="11">
        <f>IF(ISBLANK(data!X45),"",data!X45)</f>
        <v>0.54914231641041966</v>
      </c>
      <c r="E17" s="11">
        <f>IF(ISBLANK(data!Y45),"",data!Y45)</f>
        <v>0.16057785458255333</v>
      </c>
    </row>
    <row r="18" spans="1:5" x14ac:dyDescent="0.3">
      <c r="A18" s="13">
        <f>data!S46</f>
        <v>41820.5</v>
      </c>
      <c r="B18" s="11">
        <f>IF(ISBLANK(data!V46),"",data!V46)</f>
        <v>0.25742531140512359</v>
      </c>
      <c r="C18" s="11">
        <f>IF(ISBLANK(data!W46),"",data!W46)</f>
        <v>1.6793551130423843E-5</v>
      </c>
      <c r="D18" s="11">
        <f>IF(ISBLANK(data!X46),"",data!X46)</f>
        <v>0.55546856983447523</v>
      </c>
      <c r="E18" s="11">
        <f>IF(ISBLANK(data!Y46),"",data!Y46)</f>
        <v>0.18708932520927074</v>
      </c>
    </row>
    <row r="19" spans="1:5" x14ac:dyDescent="0.3">
      <c r="A19" s="13">
        <f>data!S47</f>
        <v>41826.5</v>
      </c>
      <c r="B19" s="11">
        <f>IF(ISBLANK(data!V47),"",data!V47)</f>
        <v>0.26862376317039105</v>
      </c>
      <c r="C19" s="11">
        <f>IF(ISBLANK(data!W47),"",data!W47)</f>
        <v>1.7169053288587889E-5</v>
      </c>
      <c r="D19" s="11">
        <f>IF(ISBLANK(data!X47),"",data!X47)</f>
        <v>0.5253146563872807</v>
      </c>
      <c r="E19" s="11">
        <f>IF(ISBLANK(data!Y47),"",data!Y47)</f>
        <v>0.20604441138903973</v>
      </c>
    </row>
    <row r="20" spans="1:5" x14ac:dyDescent="0.3">
      <c r="A20" s="13">
        <f>data!S48</f>
        <v>41834.5</v>
      </c>
      <c r="B20" s="11">
        <f>IF(ISBLANK(data!V48),"",data!V48)</f>
        <v>0.27242739467816141</v>
      </c>
      <c r="C20" s="11">
        <f>IF(ISBLANK(data!W48),"",data!W48)</f>
        <v>2.3055654820946973E-5</v>
      </c>
      <c r="D20" s="11">
        <f>IF(ISBLANK(data!X48),"",data!X48)</f>
        <v>0.52827402894181352</v>
      </c>
      <c r="E20" s="11">
        <f>IF(ISBLANK(data!Y48),"",data!Y48)</f>
        <v>0.19927552072520416</v>
      </c>
    </row>
    <row r="21" spans="1:5" x14ac:dyDescent="0.3">
      <c r="A21" s="13">
        <f>data!S49</f>
        <v>41841.5</v>
      </c>
      <c r="B21" s="11">
        <f>IF(ISBLANK(data!V49),"",data!V49)</f>
        <v>0.26673760030582883</v>
      </c>
      <c r="C21" s="11">
        <f>IF(ISBLANK(data!W49),"",data!W49)</f>
        <v>2.1999838880389897E-5</v>
      </c>
      <c r="D21" s="11">
        <f>IF(ISBLANK(data!X49),"",data!X49)</f>
        <v>0.52231601113191206</v>
      </c>
      <c r="E21" s="11">
        <f>IF(ISBLANK(data!Y49),"",data!Y49)</f>
        <v>0.2109243887233786</v>
      </c>
    </row>
    <row r="22" spans="1:5" x14ac:dyDescent="0.3">
      <c r="A22" s="13">
        <f>data!S50</f>
        <v>41847</v>
      </c>
      <c r="B22" s="11">
        <f>IF(ISBLANK(data!V50),"",data!V50)</f>
        <v>0.27748183513929248</v>
      </c>
      <c r="C22" s="11">
        <f>IF(ISBLANK(data!W50),"",data!W50)</f>
        <v>1.7350492897501133E-5</v>
      </c>
      <c r="D22" s="11">
        <f>IF(ISBLANK(data!X50),"",data!X50)</f>
        <v>0.51635745045473125</v>
      </c>
      <c r="E22" s="11">
        <f>IF(ISBLANK(data!Y50),"",data!Y50)</f>
        <v>0.20614336391307878</v>
      </c>
    </row>
    <row r="23" spans="1:5" x14ac:dyDescent="0.3">
      <c r="A23" s="13">
        <f>data!S51</f>
        <v>41855.5</v>
      </c>
      <c r="B23" s="11">
        <f>IF(ISBLANK(data!V51),"",data!V51)</f>
        <v>0.29386665853486982</v>
      </c>
      <c r="C23" s="11">
        <f>IF(ISBLANK(data!W51),"",data!W51)</f>
        <v>1.8484255876773828E-5</v>
      </c>
      <c r="D23" s="11">
        <f>IF(ISBLANK(data!X51),"",data!X51)</f>
        <v>0.49277069561412895</v>
      </c>
      <c r="E23" s="11">
        <f>IF(ISBLANK(data!Y51),"",data!Y51)</f>
        <v>0.21334416159512457</v>
      </c>
    </row>
    <row r="24" spans="1:5" x14ac:dyDescent="0.3">
      <c r="A24" s="13">
        <f>data!S52</f>
        <v>41862.5</v>
      </c>
      <c r="B24" s="11">
        <f>IF(ISBLANK(data!V52),"",data!V52)</f>
        <v>0.29489385760885095</v>
      </c>
      <c r="C24" s="11">
        <f>IF(ISBLANK(data!W52),"",data!W52)</f>
        <v>2.0925099328577197E-5</v>
      </c>
      <c r="D24" s="11">
        <f>IF(ISBLANK(data!X52),"",data!X52)</f>
        <v>0.49741098015877167</v>
      </c>
      <c r="E24" s="11">
        <f>IF(ISBLANK(data!Y52),"",data!Y52)</f>
        <v>0.20767423713304889</v>
      </c>
    </row>
    <row r="25" spans="1:5" x14ac:dyDescent="0.3">
      <c r="A25" s="13">
        <f>data!S53</f>
        <v>41869.5</v>
      </c>
      <c r="B25" s="11">
        <f>IF(ISBLANK(data!V53),"",data!V53)</f>
        <v>0.29705175044825732</v>
      </c>
      <c r="C25" s="11">
        <f>IF(ISBLANK(data!W53),"",data!W53)</f>
        <v>2.2407403357957211E-5</v>
      </c>
      <c r="D25" s="11">
        <f>IF(ISBLANK(data!X53),"",data!X53)</f>
        <v>0.49382042815400268</v>
      </c>
      <c r="E25" s="11">
        <f>IF(ISBLANK(data!Y53),"",data!Y53)</f>
        <v>0.20910541399438201</v>
      </c>
    </row>
    <row r="26" spans="1:5" x14ac:dyDescent="0.3">
      <c r="A26" s="13">
        <f>data!S54</f>
        <v>41876.5</v>
      </c>
      <c r="B26" s="11">
        <f>IF(ISBLANK(data!V54),"",data!V54)</f>
        <v>0.26981351458911618</v>
      </c>
      <c r="C26" s="11">
        <f>IF(ISBLANK(data!W54),"",data!W54)</f>
        <v>1.7363616939492653E-5</v>
      </c>
      <c r="D26" s="11">
        <f>IF(ISBLANK(data!X54),"",data!X54)</f>
        <v>0.49179780954885211</v>
      </c>
      <c r="E26" s="11">
        <f>IF(ISBLANK(data!Y54),"",data!Y54)</f>
        <v>0.2383713122450922</v>
      </c>
    </row>
    <row r="27" spans="1:5" x14ac:dyDescent="0.3">
      <c r="A27" s="13">
        <f>data!S55</f>
        <v>41883.5</v>
      </c>
      <c r="B27" s="11">
        <f>IF(ISBLANK(data!V55),"",data!V55)</f>
        <v>0.26787363716675783</v>
      </c>
      <c r="C27" s="11">
        <f>IF(ISBLANK(data!W55),"",data!W55)</f>
        <v>1.6822143883935903E-5</v>
      </c>
      <c r="D27" s="11">
        <f>IF(ISBLANK(data!X55),"",data!X55)</f>
        <v>0.48701321780665707</v>
      </c>
      <c r="E27" s="11">
        <f>IF(ISBLANK(data!Y55),"",data!Y55)</f>
        <v>0.2450963228827012</v>
      </c>
    </row>
    <row r="28" spans="1:5" x14ac:dyDescent="0.3">
      <c r="A28" s="13">
        <f>data!S56</f>
        <v>41890.5</v>
      </c>
      <c r="B28" s="11">
        <f>IF(ISBLANK(data!V56),"",data!V56)</f>
        <v>0.23350524636985723</v>
      </c>
      <c r="C28" s="11">
        <f>IF(ISBLANK(data!W56),"",data!W56)</f>
        <v>2.3197676810785945E-5</v>
      </c>
      <c r="D28" s="11">
        <f>IF(ISBLANK(data!X56),"",data!X56)</f>
        <v>0.51005468041174151</v>
      </c>
      <c r="E28" s="11">
        <f>IF(ISBLANK(data!Y56),"",data!Y56)</f>
        <v>0.25641687554159037</v>
      </c>
    </row>
    <row r="29" spans="1:5" x14ac:dyDescent="0.3">
      <c r="A29" s="13">
        <f>data!S57</f>
        <v>41897.5</v>
      </c>
      <c r="B29" s="11">
        <f>IF(ISBLANK(data!V57),"",data!V57)</f>
        <v>0.22923230573429423</v>
      </c>
      <c r="C29" s="11">
        <f>IF(ISBLANK(data!W57),"",data!W57)</f>
        <v>2.314554036593928E-5</v>
      </c>
      <c r="D29" s="11">
        <f>IF(ISBLANK(data!X57),"",data!X57)</f>
        <v>0.52002846925816659</v>
      </c>
      <c r="E29" s="11">
        <f>IF(ISBLANK(data!Y57),"",data!Y57)</f>
        <v>0.25071607946717328</v>
      </c>
    </row>
    <row r="30" spans="1:5" x14ac:dyDescent="0.3">
      <c r="A30" s="13">
        <f>data!S58</f>
        <v>41904.5</v>
      </c>
      <c r="B30" s="11">
        <f>IF(ISBLANK(data!V58),"",data!V58)</f>
        <v>0.27652367232687608</v>
      </c>
      <c r="C30" s="11">
        <f>IF(ISBLANK(data!W58),"",data!W58)</f>
        <v>1.7384227984092374E-5</v>
      </c>
      <c r="D30" s="11">
        <f>IF(ISBLANK(data!X58),"",data!X58)</f>
        <v>0.51546216977141768</v>
      </c>
      <c r="E30" s="11">
        <f>IF(ISBLANK(data!Y58),"",data!Y58)</f>
        <v>0.20799677367372221</v>
      </c>
    </row>
    <row r="31" spans="1:5" x14ac:dyDescent="0.3">
      <c r="A31" s="13">
        <f>data!S59</f>
        <v>41911.5</v>
      </c>
      <c r="B31" s="11">
        <f>IF(ISBLANK(data!V59),"",data!V59)</f>
        <v>0.31673347053664769</v>
      </c>
      <c r="C31" s="11">
        <f>IF(ISBLANK(data!W59),"",data!W59)</f>
        <v>2.1049287606752736E-5</v>
      </c>
      <c r="D31" s="11">
        <f>IF(ISBLANK(data!X59),"",data!X59)</f>
        <v>0.48974358746018887</v>
      </c>
      <c r="E31" s="11">
        <f>IF(ISBLANK(data!Y59),"",data!Y59)</f>
        <v>0.19350189271555665</v>
      </c>
    </row>
    <row r="32" spans="1:5" x14ac:dyDescent="0.3">
      <c r="A32" s="13">
        <f>data!S60</f>
        <v>41918.5</v>
      </c>
      <c r="B32" s="11">
        <f>IF(ISBLANK(data!V60),"",data!V60)</f>
        <v>0.31693038831610276</v>
      </c>
      <c r="C32" s="11">
        <f>IF(ISBLANK(data!W60),"",data!W60)</f>
        <v>1.6828622900412425E-5</v>
      </c>
      <c r="D32" s="11">
        <f>IF(ISBLANK(data!X60),"",data!X60)</f>
        <v>0.481643162086208</v>
      </c>
      <c r="E32" s="11">
        <f>IF(ISBLANK(data!Y60),"",data!Y60)</f>
        <v>0.20140962097478887</v>
      </c>
    </row>
    <row r="33" spans="1:5" x14ac:dyDescent="0.3">
      <c r="A33" s="13">
        <f>data!S61</f>
        <v>41925.5</v>
      </c>
      <c r="B33" s="11">
        <f>IF(ISBLANK(data!V61),"",data!V61)</f>
        <v>0.32554821283648899</v>
      </c>
      <c r="C33" s="11">
        <f>IF(ISBLANK(data!W61),"",data!W61)</f>
        <v>1.8064924534167013E-5</v>
      </c>
      <c r="D33" s="11">
        <f>IF(ISBLANK(data!X61),"",data!X61)</f>
        <v>0.47728900260249602</v>
      </c>
      <c r="E33" s="11">
        <f>IF(ISBLANK(data!Y61),"",data!Y61)</f>
        <v>0.19714471963648084</v>
      </c>
    </row>
    <row r="34" spans="1:5" x14ac:dyDescent="0.3">
      <c r="A34" s="13">
        <f>data!S62</f>
        <v>41932.5</v>
      </c>
      <c r="B34" s="11">
        <f>IF(ISBLANK(data!V62),"",data!V62)</f>
        <v>0.32385432831778949</v>
      </c>
      <c r="C34" s="11">
        <f>IF(ISBLANK(data!W62),"",data!W62)</f>
        <v>1.8003897059583161E-5</v>
      </c>
      <c r="D34" s="11">
        <f>IF(ISBLANK(data!X62),"",data!X62)</f>
        <v>0.48126062850958301</v>
      </c>
      <c r="E34" s="11">
        <f>IF(ISBLANK(data!Y62),"",data!Y62)</f>
        <v>0.19486703927556795</v>
      </c>
    </row>
    <row r="35" spans="1:5" x14ac:dyDescent="0.3">
      <c r="A35" s="13">
        <f>data!S63</f>
        <v>41938.5</v>
      </c>
      <c r="B35" s="11">
        <f>IF(ISBLANK(data!V63),"",data!V63)</f>
        <v>0.33505989014720494</v>
      </c>
      <c r="C35" s="11">
        <f>IF(ISBLANK(data!W63),"",data!W63)</f>
        <v>1.8587232584839084E-5</v>
      </c>
      <c r="D35" s="11">
        <f>IF(ISBLANK(data!X63),"",data!X63)</f>
        <v>0.46455641127631914</v>
      </c>
      <c r="E35" s="11">
        <f>IF(ISBLANK(data!Y63),"",data!Y63)</f>
        <v>0.20036511134389121</v>
      </c>
    </row>
    <row r="36" spans="1:5" x14ac:dyDescent="0.3">
      <c r="A36" s="13">
        <f>data!S64</f>
        <v>41946.5</v>
      </c>
      <c r="B36" s="11">
        <f>IF(ISBLANK(data!V64),"",data!V64)</f>
        <v>0.33494334451383351</v>
      </c>
      <c r="C36" s="11">
        <f>IF(ISBLANK(data!W64),"",data!W64)</f>
        <v>1.9651794728075119E-5</v>
      </c>
      <c r="D36" s="11">
        <f>IF(ISBLANK(data!X64),"",data!X64)</f>
        <v>0.46701653935166471</v>
      </c>
      <c r="E36" s="11">
        <f>IF(ISBLANK(data!Y64),"",data!Y64)</f>
        <v>0.19802046433977363</v>
      </c>
    </row>
    <row r="37" spans="1:5" x14ac:dyDescent="0.3">
      <c r="A37" s="13">
        <f>data!S65</f>
        <v>41953.5</v>
      </c>
      <c r="B37" s="11">
        <f>IF(ISBLANK(data!V65),"",data!V65)</f>
        <v>0.34285774333466756</v>
      </c>
      <c r="C37" s="11">
        <f>IF(ISBLANK(data!W65),"",data!W65)</f>
        <v>2.0188429957938668E-5</v>
      </c>
      <c r="D37" s="11">
        <f>IF(ISBLANK(data!X65),"",data!X65)</f>
        <v>0.48267109980191986</v>
      </c>
      <c r="E37" s="11">
        <f>IF(ISBLANK(data!Y65),"",data!Y65)</f>
        <v>0.17445096843345467</v>
      </c>
    </row>
    <row r="38" spans="1:5" x14ac:dyDescent="0.3">
      <c r="A38" s="13">
        <f>data!S66</f>
        <v>41960.5</v>
      </c>
      <c r="B38" s="11">
        <f>IF(ISBLANK(data!V66),"",data!V66)</f>
        <v>0.34682172526879645</v>
      </c>
      <c r="C38" s="11">
        <f>IF(ISBLANK(data!W66),"",data!W66)</f>
        <v>2.2204469207182069E-5</v>
      </c>
      <c r="D38" s="11">
        <f>IF(ISBLANK(data!X66),"",data!X66)</f>
        <v>0.48379653231007425</v>
      </c>
      <c r="E38" s="11">
        <f>IF(ISBLANK(data!Y66),"",data!Y66)</f>
        <v>0.1693595379519221</v>
      </c>
    </row>
    <row r="39" spans="1:5" x14ac:dyDescent="0.3">
      <c r="A39" s="13">
        <f>data!S67</f>
        <v>41967.5</v>
      </c>
      <c r="B39" s="11">
        <f>IF(ISBLANK(data!V67),"",data!V67)</f>
        <v>0.35157247657360796</v>
      </c>
      <c r="C39" s="11">
        <f>IF(ISBLANK(data!W67),"",data!W67)</f>
        <v>2.0838897125626153E-5</v>
      </c>
      <c r="D39" s="11">
        <f>IF(ISBLANK(data!X67),"",data!X67)</f>
        <v>0.48205303889263795</v>
      </c>
      <c r="E39" s="11">
        <f>IF(ISBLANK(data!Y67),"",data!Y67)</f>
        <v>0.16635364563662849</v>
      </c>
    </row>
    <row r="40" spans="1:5" x14ac:dyDescent="0.3">
      <c r="A40" s="13">
        <f>data!S68</f>
        <v>41974.5</v>
      </c>
      <c r="B40" s="11">
        <f>IF(ISBLANK(data!V68),"",data!V68)</f>
        <v>0.34415907508193694</v>
      </c>
      <c r="C40" s="11">
        <f>IF(ISBLANK(data!W68),"",data!W68)</f>
        <v>1.6688370481219972E-5</v>
      </c>
      <c r="D40" s="11">
        <f>IF(ISBLANK(data!X68),"",data!X68)</f>
        <v>0.48251083901472352</v>
      </c>
      <c r="E40" s="11">
        <f>IF(ISBLANK(data!Y68),"",data!Y68)</f>
        <v>0.1733133975328584</v>
      </c>
    </row>
    <row r="41" spans="1:5" x14ac:dyDescent="0.3">
      <c r="A41" s="13">
        <f>data!S69</f>
        <v>41980</v>
      </c>
      <c r="B41" s="11">
        <f>IF(ISBLANK(data!V69),"",data!V69)</f>
        <v>0.35102196607936981</v>
      </c>
      <c r="C41" s="11">
        <f>IF(ISBLANK(data!W69),"",data!W69)</f>
        <v>1.63551714063641E-5</v>
      </c>
      <c r="D41" s="11">
        <f>IF(ISBLANK(data!X69),"",data!X69)</f>
        <v>0.50470429210593926</v>
      </c>
      <c r="E41" s="11">
        <f>IF(ISBLANK(data!Y69),"",data!Y69)</f>
        <v>0.14425738664328466</v>
      </c>
    </row>
    <row r="42" spans="1:5" x14ac:dyDescent="0.3">
      <c r="A42" s="13">
        <f>data!S70</f>
        <v>41987</v>
      </c>
      <c r="B42" s="11">
        <f>IF(ISBLANK(data!V70),"",data!V70)</f>
        <v>0.35165884524212837</v>
      </c>
      <c r="C42" s="11">
        <f>IF(ISBLANK(data!W70),"",data!W70)</f>
        <v>1.6455973630077132E-5</v>
      </c>
      <c r="D42" s="11">
        <f>IF(ISBLANK(data!X70),"",data!X70)</f>
        <v>0.51322975145547411</v>
      </c>
      <c r="E42" s="11">
        <f>IF(ISBLANK(data!Y70),"",data!Y70)</f>
        <v>0.13509494732876748</v>
      </c>
    </row>
    <row r="43" spans="1:5" x14ac:dyDescent="0.3">
      <c r="A43" s="13">
        <f>data!S71</f>
        <v>41995.5</v>
      </c>
      <c r="B43" s="11">
        <f>IF(ISBLANK(data!V71),"",data!V71)</f>
        <v>0.34954300926100268</v>
      </c>
      <c r="C43" s="11">
        <f>IF(ISBLANK(data!W71),"",data!W71)</f>
        <v>2.1614185809300336E-5</v>
      </c>
      <c r="D43" s="11">
        <f>IF(ISBLANK(data!X71),"",data!X71)</f>
        <v>0.5069535696138382</v>
      </c>
      <c r="E43" s="11">
        <f>IF(ISBLANK(data!Y71),"",data!Y71)</f>
        <v>0.14348180693934995</v>
      </c>
    </row>
    <row r="44" spans="1:5" x14ac:dyDescent="0.3">
      <c r="A44" s="13">
        <f>data!S72</f>
        <v>42002.5</v>
      </c>
      <c r="B44" s="11">
        <f>IF(ISBLANK(data!V72),"",data!V72)</f>
        <v>0.35342257771019603</v>
      </c>
      <c r="C44" s="11">
        <f>IF(ISBLANK(data!W72),"",data!W72)</f>
        <v>1.8528481489441646E-5</v>
      </c>
      <c r="D44" s="11">
        <f>IF(ISBLANK(data!X72),"",data!X72)</f>
        <v>0.49126302831074486</v>
      </c>
      <c r="E44" s="11">
        <f>IF(ISBLANK(data!Y72),"",data!Y72)</f>
        <v>0.15529586549756969</v>
      </c>
    </row>
    <row r="45" spans="1:5" x14ac:dyDescent="0.3">
      <c r="A45" s="13">
        <f>data!S73</f>
        <v>42009.5</v>
      </c>
      <c r="B45" s="11">
        <f>IF(ISBLANK(data!V73),"",data!V73)</f>
        <v>0.35685298239298713</v>
      </c>
      <c r="C45" s="11">
        <f>IF(ISBLANK(data!W73),"",data!W73)</f>
        <v>1.7382286031707628E-5</v>
      </c>
      <c r="D45" s="11">
        <f>IF(ISBLANK(data!X73),"",data!X73)</f>
        <v>0.50127431555196511</v>
      </c>
      <c r="E45" s="11">
        <f>IF(ISBLANK(data!Y73),"",data!Y73)</f>
        <v>0.14185531976901597</v>
      </c>
    </row>
    <row r="46" spans="1:5" x14ac:dyDescent="0.3">
      <c r="A46" s="13">
        <f>data!S74</f>
        <v>42016.5</v>
      </c>
      <c r="B46" s="11">
        <f>IF(ISBLANK(data!V74),"",data!V74)</f>
        <v>0.36629755994870733</v>
      </c>
      <c r="C46" s="11">
        <f>IF(ISBLANK(data!W74),"",data!W74)</f>
        <v>1.9072471746572273E-5</v>
      </c>
      <c r="D46" s="11">
        <f>IF(ISBLANK(data!X74),"",data!X74)</f>
        <v>0.52474183578370825</v>
      </c>
      <c r="E46" s="11">
        <f>IF(ISBLANK(data!Y74),"",data!Y74)</f>
        <v>0.10894153179583779</v>
      </c>
    </row>
    <row r="47" spans="1:5" x14ac:dyDescent="0.3">
      <c r="A47" s="13">
        <f>data!S75</f>
        <v>42023.5</v>
      </c>
      <c r="B47" s="11">
        <f>IF(ISBLANK(data!V75),"",data!V75)</f>
        <v>0.36616137340295324</v>
      </c>
      <c r="C47" s="11">
        <f>IF(ISBLANK(data!W75),"",data!W75)</f>
        <v>2.2869693964768551E-5</v>
      </c>
      <c r="D47" s="11">
        <f>IF(ISBLANK(data!X75),"",data!X75)</f>
        <v>0.53885821754275731</v>
      </c>
      <c r="E47" s="11">
        <f>IF(ISBLANK(data!Y75),"",data!Y75)</f>
        <v>9.4957539360324583E-2</v>
      </c>
    </row>
    <row r="48" spans="1:5" x14ac:dyDescent="0.3">
      <c r="A48" s="13">
        <f>data!S76</f>
        <v>42030.5</v>
      </c>
      <c r="B48" s="11">
        <f>IF(ISBLANK(data!V76),"",data!V76)</f>
        <v>0.37700573244378571</v>
      </c>
      <c r="C48" s="11">
        <f>IF(ISBLANK(data!W76),"",data!W76)</f>
        <v>2.0068048747462093E-5</v>
      </c>
      <c r="D48" s="11">
        <f>IF(ISBLANK(data!X76),"",data!X76)</f>
        <v>0.53216940586333927</v>
      </c>
      <c r="E48" s="11">
        <f>IF(ISBLANK(data!Y76),"",data!Y76)</f>
        <v>9.0804793644127538E-2</v>
      </c>
    </row>
    <row r="49" spans="1:5" x14ac:dyDescent="0.3">
      <c r="A49" s="13">
        <f>data!S77</f>
        <v>42037.5</v>
      </c>
      <c r="B49" s="11">
        <f>IF(ISBLANK(data!V77),"",data!V77)</f>
        <v>0.3785764564189471</v>
      </c>
      <c r="C49" s="11">
        <f>IF(ISBLANK(data!W77),"",data!W77)</f>
        <v>2.2367026035301618E-5</v>
      </c>
      <c r="D49" s="11">
        <f>IF(ISBLANK(data!X77),"",data!X77)</f>
        <v>0.53037867154516649</v>
      </c>
      <c r="E49" s="11">
        <f>IF(ISBLANK(data!Y77),"",data!Y77)</f>
        <v>9.1022505009851096E-2</v>
      </c>
    </row>
    <row r="50" spans="1:5" x14ac:dyDescent="0.3">
      <c r="A50" s="13">
        <f>data!S78</f>
        <v>42044.5</v>
      </c>
      <c r="B50" s="11">
        <f>IF(ISBLANK(data!V78),"",data!V78)</f>
        <v>0.34146218438943066</v>
      </c>
      <c r="C50" s="11">
        <f>IF(ISBLANK(data!W78),"",data!W78)</f>
        <v>2.1335141142441584E-5</v>
      </c>
      <c r="D50" s="11">
        <f>IF(ISBLANK(data!X78),"",data!X78)</f>
        <v>0.5558270850227639</v>
      </c>
      <c r="E50" s="11">
        <f>IF(ISBLANK(data!Y78),"",data!Y78)</f>
        <v>0.10268939544666299</v>
      </c>
    </row>
    <row r="51" spans="1:5" x14ac:dyDescent="0.3">
      <c r="A51" s="13">
        <f>data!S79</f>
        <v>42051.5</v>
      </c>
      <c r="B51" s="11">
        <f>IF(ISBLANK(data!V79),"",data!V79)</f>
        <v>0.33450137351607634</v>
      </c>
      <c r="C51" s="11">
        <f>IF(ISBLANK(data!W79),"",data!W79)</f>
        <v>2.1271760162466495E-5</v>
      </c>
      <c r="D51" s="11">
        <f>IF(ISBLANK(data!X79),"",data!X79)</f>
        <v>0.56182632398503574</v>
      </c>
      <c r="E51" s="11">
        <f>IF(ISBLANK(data!Y79),"",data!Y79)</f>
        <v>0.10365103073872539</v>
      </c>
    </row>
    <row r="52" spans="1:5" x14ac:dyDescent="0.3">
      <c r="A52" s="13">
        <f>data!S80</f>
        <v>42058</v>
      </c>
      <c r="B52" s="11">
        <f>IF(ISBLANK(data!V80),"",data!V80)</f>
        <v>0.27482396699050338</v>
      </c>
      <c r="C52" s="11">
        <f>IF(ISBLANK(data!W80),"",data!W80)</f>
        <v>0.29750317775846524</v>
      </c>
      <c r="D52" s="11">
        <f>IF(ISBLANK(data!X80),"",data!X80)</f>
        <v>0.33829248139813212</v>
      </c>
      <c r="E52" s="11">
        <f>IF(ISBLANK(data!Y80),"",data!Y80)</f>
        <v>8.9380373852899195E-2</v>
      </c>
    </row>
    <row r="53" spans="1:5" x14ac:dyDescent="0.3">
      <c r="A53" s="13">
        <f>data!S81</f>
        <v>42065.5</v>
      </c>
      <c r="B53" s="11">
        <f>IF(ISBLANK(data!V81),"",data!V81)</f>
        <v>0.29026121517427583</v>
      </c>
      <c r="C53" s="11">
        <f>IF(ISBLANK(data!W81),"",data!W81)</f>
        <v>1.7145696127783966E-5</v>
      </c>
      <c r="D53" s="11">
        <f>IF(ISBLANK(data!X81),"",data!X81)</f>
        <v>0.59675362537004528</v>
      </c>
      <c r="E53" s="11">
        <f>IF(ISBLANK(data!Y81),"",data!Y81)</f>
        <v>0.112968013759551</v>
      </c>
    </row>
    <row r="54" spans="1:5" x14ac:dyDescent="0.3">
      <c r="A54" s="13">
        <f>data!S82</f>
        <v>42071.5</v>
      </c>
      <c r="B54" s="11">
        <f>IF(ISBLANK(data!V82),"",data!V82)</f>
        <v>0.27226696410859047</v>
      </c>
      <c r="C54" s="11">
        <f>IF(ISBLANK(data!W82),"",data!W82)</f>
        <v>1.6376259632676697E-5</v>
      </c>
      <c r="D54" s="11">
        <f>IF(ISBLANK(data!X82),"",data!X82)</f>
        <v>0.62602301570836816</v>
      </c>
      <c r="E54" s="11">
        <f>IF(ISBLANK(data!Y82),"",data!Y82)</f>
        <v>0.10169364392340874</v>
      </c>
    </row>
    <row r="55" spans="1:5" x14ac:dyDescent="0.3">
      <c r="A55" s="13">
        <f>data!S83</f>
        <v>42079.5</v>
      </c>
      <c r="B55" s="11">
        <f>IF(ISBLANK(data!V83),"",data!V83)</f>
        <v>0.23412389548214271</v>
      </c>
      <c r="C55" s="11">
        <f>IF(ISBLANK(data!W83),"",data!W83)</f>
        <v>1.9524177563509914E-5</v>
      </c>
      <c r="D55" s="11">
        <f>IF(ISBLANK(data!X83),"",data!X83)</f>
        <v>0.65872670305289893</v>
      </c>
      <c r="E55" s="11">
        <f>IF(ISBLANK(data!Y83),"",data!Y83)</f>
        <v>0.10712987728739487</v>
      </c>
    </row>
    <row r="56" spans="1:5" x14ac:dyDescent="0.3">
      <c r="A56" s="13">
        <f>data!S84</f>
        <v>42086.5</v>
      </c>
      <c r="B56" s="11">
        <f>IF(ISBLANK(data!V84),"",data!V84)</f>
        <v>0.23867984444237583</v>
      </c>
      <c r="C56" s="11">
        <f>IF(ISBLANK(data!W84),"",data!W84)</f>
        <v>1.8421536975082016E-5</v>
      </c>
      <c r="D56" s="11">
        <f>IF(ISBLANK(data!X84),"",data!X84)</f>
        <v>0.65531157568137288</v>
      </c>
      <c r="E56" s="11">
        <f>IF(ISBLANK(data!Y84),"",data!Y84)</f>
        <v>0.10599015833927616</v>
      </c>
    </row>
    <row r="57" spans="1:5" x14ac:dyDescent="0.3">
      <c r="A57" s="13">
        <f>data!S85</f>
        <v>42093.5</v>
      </c>
      <c r="B57" s="11">
        <f>IF(ISBLANK(data!V85),"",data!V85)</f>
        <v>0.21615069944658361</v>
      </c>
      <c r="C57" s="11">
        <f>IF(ISBLANK(data!W85),"",data!W85)</f>
        <v>1.9771988296742703E-5</v>
      </c>
      <c r="D57" s="11">
        <f>IF(ISBLANK(data!X85),"",data!X85)</f>
        <v>0.64646951118288842</v>
      </c>
      <c r="E57" s="11">
        <f>IF(ISBLANK(data!Y85),"",data!Y85)</f>
        <v>0.13736001738223128</v>
      </c>
    </row>
    <row r="58" spans="1:5" x14ac:dyDescent="0.3">
      <c r="A58" s="13">
        <f>data!S86</f>
        <v>42100.5</v>
      </c>
      <c r="B58" s="11">
        <f>IF(ISBLANK(data!V86),"",data!V86)</f>
        <v>0.19048633711174232</v>
      </c>
      <c r="C58" s="11">
        <f>IF(ISBLANK(data!W86),"",data!W86)</f>
        <v>1.6797439883597387E-5</v>
      </c>
      <c r="D58" s="11">
        <f>IF(ISBLANK(data!X86),"",data!X86)</f>
        <v>0.661196662181191</v>
      </c>
      <c r="E58" s="11">
        <f>IF(ISBLANK(data!Y86),"",data!Y86)</f>
        <v>0.14830020326718307</v>
      </c>
    </row>
    <row r="59" spans="1:5" x14ac:dyDescent="0.3">
      <c r="A59" s="13">
        <f>data!S87</f>
        <v>42107.5</v>
      </c>
      <c r="B59" s="11">
        <f>IF(ISBLANK(data!V87),"",data!V87)</f>
        <v>0.21023157442126381</v>
      </c>
      <c r="C59" s="11">
        <f>IF(ISBLANK(data!W87),"",data!W87)</f>
        <v>1.7886009600593776E-5</v>
      </c>
      <c r="D59" s="11">
        <f>IF(ISBLANK(data!X87),"",data!X87)</f>
        <v>0.6778103624548254</v>
      </c>
      <c r="E59" s="11">
        <f>IF(ISBLANK(data!Y87),"",data!Y87)</f>
        <v>0.11194017711431017</v>
      </c>
    </row>
    <row r="60" spans="1:5" x14ac:dyDescent="0.3">
      <c r="A60" s="13">
        <f>data!S88</f>
        <v>42114.5</v>
      </c>
      <c r="B60" s="11">
        <f>IF(ISBLANK(data!V88),"",data!V88)</f>
        <v>0.21454371377842327</v>
      </c>
      <c r="C60" s="11">
        <f>IF(ISBLANK(data!W88),"",data!W88)</f>
        <v>1.7294260767512585E-5</v>
      </c>
      <c r="D60" s="11">
        <f>IF(ISBLANK(data!X88),"",data!X88)</f>
        <v>0.68696442205669372</v>
      </c>
      <c r="E60" s="11">
        <f>IF(ISBLANK(data!Y88),"",data!Y88)</f>
        <v>9.8474569904115572E-2</v>
      </c>
    </row>
    <row r="61" spans="1:5" x14ac:dyDescent="0.3">
      <c r="A61" s="13">
        <f>data!S89</f>
        <v>42120</v>
      </c>
      <c r="B61" s="11">
        <f>IF(ISBLANK(data!V89),"",data!V89)</f>
        <v>0.21570584848569685</v>
      </c>
      <c r="C61" s="11">
        <f>IF(ISBLANK(data!W89),"",data!W89)</f>
        <v>1.6632465219335161E-5</v>
      </c>
      <c r="D61" s="11">
        <f>IF(ISBLANK(data!X89),"",data!X89)</f>
        <v>0.6755397789264993</v>
      </c>
      <c r="E61" s="11">
        <f>IF(ISBLANK(data!Y89),"",data!Y89)</f>
        <v>0.10873774012258448</v>
      </c>
    </row>
    <row r="62" spans="1:5" x14ac:dyDescent="0.3">
      <c r="A62" s="13">
        <f>data!S90</f>
        <v>42128.5</v>
      </c>
      <c r="B62" s="11">
        <f>IF(ISBLANK(data!V90),"",data!V90)</f>
        <v>0.22595122367901541</v>
      </c>
      <c r="C62" s="11">
        <f>IF(ISBLANK(data!W90),"",data!W90)</f>
        <v>1.9169224763778131E-5</v>
      </c>
      <c r="D62" s="11">
        <f>IF(ISBLANK(data!X90),"",data!X90)</f>
        <v>0.66818764018111754</v>
      </c>
      <c r="E62" s="11">
        <f>IF(ISBLANK(data!Y90),"",data!Y90)</f>
        <v>0.10584196691510332</v>
      </c>
    </row>
    <row r="63" spans="1:5" x14ac:dyDescent="0.3">
      <c r="A63" s="13">
        <f>data!S91</f>
        <v>42135.5</v>
      </c>
      <c r="B63" s="11">
        <f>IF(ISBLANK(data!V91),"",data!V91)</f>
        <v>0.20423441564425834</v>
      </c>
      <c r="C63" s="11">
        <f>IF(ISBLANK(data!W91),"",data!W91)</f>
        <v>2.0153154006532877E-5</v>
      </c>
      <c r="D63" s="11">
        <f>IF(ISBLANK(data!X91),"",data!X91)</f>
        <v>0.69151940395482103</v>
      </c>
      <c r="E63" s="11">
        <f>IF(ISBLANK(data!Y91),"",data!Y91)</f>
        <v>0.10422602724691404</v>
      </c>
    </row>
    <row r="64" spans="1:5" x14ac:dyDescent="0.3">
      <c r="A64" s="13">
        <f>data!S92</f>
        <v>42142.5</v>
      </c>
      <c r="B64" s="11">
        <f>IF(ISBLANK(data!V92),"",data!V92)</f>
        <v>0.17236495011416439</v>
      </c>
      <c r="C64" s="11">
        <f>IF(ISBLANK(data!W92),"",data!W92)</f>
        <v>3.9887733929216261E-2</v>
      </c>
      <c r="D64" s="11">
        <f>IF(ISBLANK(data!X92),"",data!X92)</f>
        <v>0.67285931275331967</v>
      </c>
      <c r="E64" s="11">
        <f>IF(ISBLANK(data!Y92),"",data!Y92)</f>
        <v>0.11488800320329962</v>
      </c>
    </row>
    <row r="65" spans="1:5" x14ac:dyDescent="0.3">
      <c r="A65" s="13">
        <f>data!S93</f>
        <v>42149.5</v>
      </c>
      <c r="B65" s="11">
        <f>IF(ISBLANK(data!V93),"",data!V93)</f>
        <v>0.18236506088689175</v>
      </c>
      <c r="C65" s="11">
        <f>IF(ISBLANK(data!W93),"",data!W93)</f>
        <v>1.851380362280422E-2</v>
      </c>
      <c r="D65" s="11">
        <f>IF(ISBLANK(data!X93),"",data!X93)</f>
        <v>0.68824610482072546</v>
      </c>
      <c r="E65" s="11">
        <f>IF(ISBLANK(data!Y93),"",data!Y93)</f>
        <v>0.11087503066957866</v>
      </c>
    </row>
    <row r="66" spans="1:5" x14ac:dyDescent="0.3">
      <c r="A66" s="13">
        <f>data!S94</f>
        <v>42156.5</v>
      </c>
      <c r="B66" s="11">
        <f>IF(ISBLANK(data!V94),"",data!V94)</f>
        <v>0.18527757776749243</v>
      </c>
      <c r="C66" s="11">
        <f>IF(ISBLANK(data!W94),"",data!W94)</f>
        <v>1.3924678928401947E-2</v>
      </c>
      <c r="D66" s="11">
        <f>IF(ISBLANK(data!X94),"",data!X94)</f>
        <v>0.69059814627899274</v>
      </c>
      <c r="E66" s="11">
        <f>IF(ISBLANK(data!Y94),"",data!Y94)</f>
        <v>0.11019959702511288</v>
      </c>
    </row>
    <row r="67" spans="1:5" x14ac:dyDescent="0.3">
      <c r="A67" s="13">
        <f>data!S95</f>
        <v>42163.5</v>
      </c>
      <c r="B67" s="11">
        <f>IF(ISBLANK(data!V95),"",data!V95)</f>
        <v>0.18971406675557781</v>
      </c>
      <c r="C67" s="11">
        <f>IF(ISBLANK(data!W95),"",data!W95)</f>
        <v>1.7666975570410341E-5</v>
      </c>
      <c r="D67" s="11">
        <f>IF(ISBLANK(data!X95),"",data!X95)</f>
        <v>0.69210811406073613</v>
      </c>
      <c r="E67" s="11">
        <f>IF(ISBLANK(data!Y95),"",data!Y95)</f>
        <v>0.11816015220811564</v>
      </c>
    </row>
    <row r="68" spans="1:5" x14ac:dyDescent="0.3">
      <c r="A68" s="13">
        <f>data!S96</f>
        <v>42170.5</v>
      </c>
      <c r="B68" s="11">
        <f>IF(ISBLANK(data!V96),"",data!V96)</f>
        <v>0.20767427305128125</v>
      </c>
      <c r="C68" s="11">
        <f>IF(ISBLANK(data!W96),"",data!W96)</f>
        <v>2.1871362159508011E-5</v>
      </c>
      <c r="D68" s="11">
        <f>IF(ISBLANK(data!X96),"",data!X96)</f>
        <v>0.68920922487454372</v>
      </c>
      <c r="E68" s="11">
        <f>IF(ISBLANK(data!Y96),"",data!Y96)</f>
        <v>0.10309463071201544</v>
      </c>
    </row>
    <row r="69" spans="1:5" x14ac:dyDescent="0.3">
      <c r="A69" s="13">
        <f>data!S97</f>
        <v>42177.5</v>
      </c>
      <c r="B69" s="11">
        <f>IF(ISBLANK(data!V97),"",data!V97)</f>
        <v>0.19375757292046744</v>
      </c>
      <c r="C69" s="11">
        <f>IF(ISBLANK(data!W97),"",data!W97)</f>
        <v>1.7290689912061686E-5</v>
      </c>
      <c r="D69" s="11">
        <f>IF(ISBLANK(data!X97),"",data!X97)</f>
        <v>0.6859575970449</v>
      </c>
      <c r="E69" s="11">
        <f>IF(ISBLANK(data!Y97),"",data!Y97)</f>
        <v>0.12026753934472056</v>
      </c>
    </row>
    <row r="70" spans="1:5" x14ac:dyDescent="0.3">
      <c r="A70" s="13">
        <f>data!S98</f>
        <v>42183.5</v>
      </c>
      <c r="B70" s="11">
        <f>IF(ISBLANK(data!V98),"",data!V98)</f>
        <v>0.25013516289138682</v>
      </c>
      <c r="C70" s="11">
        <f>IF(ISBLANK(data!W98),"",data!W98)</f>
        <v>1.968953048438562E-5</v>
      </c>
      <c r="D70" s="11">
        <f>IF(ISBLANK(data!X98),"",data!X98)</f>
        <v>0.64880794413148724</v>
      </c>
      <c r="E70" s="11">
        <f>IF(ISBLANK(data!Y98),"",data!Y98)</f>
        <v>0.10103720344664151</v>
      </c>
    </row>
    <row r="71" spans="1:5" x14ac:dyDescent="0.3">
      <c r="A71" s="13">
        <f>data!S99</f>
        <v>42191</v>
      </c>
      <c r="B71" s="11">
        <f>IF(ISBLANK(data!V99),"",data!V99)</f>
        <v>0.26792744460920292</v>
      </c>
      <c r="C71" s="11">
        <f>IF(ISBLANK(data!W99),"",data!W99)</f>
        <v>2.1934473759477135E-5</v>
      </c>
      <c r="D71" s="11">
        <f>IF(ISBLANK(data!X99),"",data!X99)</f>
        <v>0.63516755159102001</v>
      </c>
      <c r="E71" s="11">
        <f>IF(ISBLANK(data!Y99),"",data!Y99)</f>
        <v>9.6883069326017451E-2</v>
      </c>
    </row>
    <row r="72" spans="1:5" x14ac:dyDescent="0.3">
      <c r="A72" s="13">
        <f>data!S100</f>
        <v>42198.5</v>
      </c>
      <c r="B72" s="11">
        <f>IF(ISBLANK(data!V100),"",data!V100)</f>
        <v>0.26565293677003438</v>
      </c>
      <c r="C72" s="11">
        <f>IF(ISBLANK(data!W100),"",data!W100)</f>
        <v>2.2098367577029362E-5</v>
      </c>
      <c r="D72" s="11">
        <f>IF(ISBLANK(data!X100),"",data!X100)</f>
        <v>0.6346428010473244</v>
      </c>
      <c r="E72" s="11">
        <f>IF(ISBLANK(data!Y100),"",data!Y100)</f>
        <v>9.9682163815064104E-2</v>
      </c>
    </row>
    <row r="73" spans="1:5" x14ac:dyDescent="0.3">
      <c r="A73" s="13">
        <f>data!S101</f>
        <v>42205.5</v>
      </c>
      <c r="B73" s="11">
        <f>IF(ISBLANK(data!V101),"",data!V101)</f>
        <v>0.28048287289946461</v>
      </c>
      <c r="C73" s="11">
        <f>IF(ISBLANK(data!W101),"",data!W101)</f>
        <v>2.2740856151669751E-5</v>
      </c>
      <c r="D73" s="11">
        <f>IF(ISBLANK(data!X101),"",data!X101)</f>
        <v>0.62786877724859602</v>
      </c>
      <c r="E73" s="11">
        <f>IF(ISBLANK(data!Y101),"",data!Y101)</f>
        <v>9.1625608995787686E-2</v>
      </c>
    </row>
    <row r="74" spans="1:5" x14ac:dyDescent="0.3">
      <c r="A74" s="13">
        <f>data!S102</f>
        <v>42211.5</v>
      </c>
      <c r="B74" s="11">
        <f>IF(ISBLANK(data!V102),"",data!V102)</f>
        <v>0.28068464777444962</v>
      </c>
      <c r="C74" s="11">
        <f>IF(ISBLANK(data!W102),"",data!W102)</f>
        <v>2.1546865532821972E-5</v>
      </c>
      <c r="D74" s="11">
        <f>IF(ISBLANK(data!X102),"",data!X102)</f>
        <v>0.62611642979341797</v>
      </c>
      <c r="E74" s="11">
        <f>IF(ISBLANK(data!Y102),"",data!Y102)</f>
        <v>9.3177375566599566E-2</v>
      </c>
    </row>
    <row r="75" spans="1:5" x14ac:dyDescent="0.3">
      <c r="A75" s="13">
        <f>data!S103</f>
        <v>42219.5</v>
      </c>
      <c r="B75" s="11">
        <f>IF(ISBLANK(data!V103),"",data!V103)</f>
        <v>0.28064318093533797</v>
      </c>
      <c r="C75" s="11">
        <f>IF(ISBLANK(data!W103),"",data!W103)</f>
        <v>2.1460920532159784E-5</v>
      </c>
      <c r="D75" s="11">
        <f>IF(ISBLANK(data!X103),"",data!X103)</f>
        <v>0.62560790888394535</v>
      </c>
      <c r="E75" s="11">
        <f>IF(ISBLANK(data!Y103),"",data!Y103)</f>
        <v>9.3727449260184406E-2</v>
      </c>
    </row>
    <row r="76" spans="1:5" x14ac:dyDescent="0.3">
      <c r="A76" s="13">
        <f>data!S104</f>
        <v>42226.5</v>
      </c>
      <c r="B76" s="11">
        <f>IF(ISBLANK(data!V104),"",data!V104)</f>
        <v>0.28032570089018694</v>
      </c>
      <c r="C76" s="11">
        <f>IF(ISBLANK(data!W104),"",data!W104)</f>
        <v>2.1784678523964954E-5</v>
      </c>
      <c r="D76" s="11">
        <f>IF(ISBLANK(data!X104),"",data!X104)</f>
        <v>0.62575578087634798</v>
      </c>
      <c r="E76" s="11">
        <f>IF(ISBLANK(data!Y104),"",data!Y104)</f>
        <v>9.3896733554941061E-2</v>
      </c>
    </row>
    <row r="77" spans="1:5" x14ac:dyDescent="0.3">
      <c r="A77" s="13">
        <f>data!S105</f>
        <v>42233.5</v>
      </c>
      <c r="B77" s="11">
        <f>IF(ISBLANK(data!V105),"",data!V105)</f>
        <v>0.29014536007233632</v>
      </c>
      <c r="C77" s="11">
        <f>IF(ISBLANK(data!W105),"",data!W105)</f>
        <v>1.945416278391168E-5</v>
      </c>
      <c r="D77" s="11">
        <f>IF(ISBLANK(data!X105),"",data!X105)</f>
        <v>0.62714175564301156</v>
      </c>
      <c r="E77" s="11">
        <f>IF(ISBLANK(data!Y105),"",data!Y105)</f>
        <v>8.2693430121868153E-2</v>
      </c>
    </row>
    <row r="78" spans="1:5" x14ac:dyDescent="0.3">
      <c r="A78" s="13">
        <f>data!S106</f>
        <v>42240.5</v>
      </c>
      <c r="B78" s="11">
        <f>IF(ISBLANK(data!V106),"",data!V106)</f>
        <v>0.29018898936782811</v>
      </c>
      <c r="C78" s="11">
        <f>IF(ISBLANK(data!W106),"",data!W106)</f>
        <v>2.6514448760175569E-5</v>
      </c>
      <c r="D78" s="11">
        <f>IF(ISBLANK(data!X106),"",data!X106)</f>
        <v>0.62938427210939996</v>
      </c>
      <c r="E78" s="11">
        <f>IF(ISBLANK(data!Y106),"",data!Y106)</f>
        <v>8.0400224074011803E-2</v>
      </c>
    </row>
    <row r="79" spans="1:5" x14ac:dyDescent="0.3">
      <c r="A79" s="13">
        <f>data!S107</f>
        <v>42247.5</v>
      </c>
      <c r="B79" s="11">
        <f>IF(ISBLANK(data!V107),"",data!V107)</f>
        <v>0.26654349855059761</v>
      </c>
      <c r="C79" s="11">
        <f>IF(ISBLANK(data!W107),"",data!W107)</f>
        <v>7.4610207640988272E-3</v>
      </c>
      <c r="D79" s="11">
        <f>IF(ISBLANK(data!X107),"",data!X107)</f>
        <v>0.62626970808947757</v>
      </c>
      <c r="E79" s="11">
        <f>IF(ISBLANK(data!Y107),"",data!Y107)</f>
        <v>9.972577259582599E-2</v>
      </c>
    </row>
    <row r="80" spans="1:5" x14ac:dyDescent="0.3">
      <c r="A80" s="13">
        <f>data!S108</f>
        <v>42254.5</v>
      </c>
      <c r="B80" s="11">
        <f>IF(ISBLANK(data!V108),"",data!V108)</f>
        <v>0.25549114915768301</v>
      </c>
      <c r="C80" s="11">
        <f>IF(ISBLANK(data!W108),"",data!W108)</f>
        <v>1.3249221978172973E-2</v>
      </c>
      <c r="D80" s="11">
        <f>IF(ISBLANK(data!X108),"",data!X108)</f>
        <v>0.61815597058113403</v>
      </c>
      <c r="E80" s="11">
        <f>IF(ISBLANK(data!Y108),"",data!Y108)</f>
        <v>0.11310365828300996</v>
      </c>
    </row>
    <row r="81" spans="1:5" x14ac:dyDescent="0.3">
      <c r="A81" s="13">
        <f>data!S109</f>
        <v>42261.5</v>
      </c>
      <c r="B81" s="11">
        <f>IF(ISBLANK(data!V109),"",data!V109)</f>
        <v>0.25590167285720217</v>
      </c>
      <c r="C81" s="11">
        <f>IF(ISBLANK(data!W109),"",data!W109)</f>
        <v>9.6002459000902231E-3</v>
      </c>
      <c r="D81" s="11">
        <f>IF(ISBLANK(data!X109),"",data!X109)</f>
        <v>0.61883701733328755</v>
      </c>
      <c r="E81" s="11">
        <f>IF(ISBLANK(data!Y109),"",data!Y109)</f>
        <v>0.11566106390942013</v>
      </c>
    </row>
    <row r="82" spans="1:5" x14ac:dyDescent="0.3">
      <c r="A82" s="13">
        <f>data!S110</f>
        <v>42268.5</v>
      </c>
      <c r="B82" s="11">
        <f>IF(ISBLANK(data!V110),"",data!V110)</f>
        <v>0.25331941820419007</v>
      </c>
      <c r="C82" s="11">
        <f>IF(ISBLANK(data!W110),"",data!W110)</f>
        <v>3.2379136237509008E-2</v>
      </c>
      <c r="D82" s="11">
        <f>IF(ISBLANK(data!X110),"",data!X110)</f>
        <v>0.59568004525338214</v>
      </c>
      <c r="E82" s="11">
        <f>IF(ISBLANK(data!Y110),"",data!Y110)</f>
        <v>0.11862140030491881</v>
      </c>
    </row>
    <row r="83" spans="1:5" x14ac:dyDescent="0.3">
      <c r="A83" s="13">
        <f>data!S111</f>
        <v>42275.5</v>
      </c>
      <c r="B83" s="11">
        <f>IF(ISBLANK(data!V111),"",data!V111)</f>
        <v>0.28774477733375403</v>
      </c>
      <c r="C83" s="11">
        <f>IF(ISBLANK(data!W111),"",data!W111)</f>
        <v>1.7530644187921508E-5</v>
      </c>
      <c r="D83" s="11">
        <f>IF(ISBLANK(data!X111),"",data!X111)</f>
        <v>0.58665234112741749</v>
      </c>
      <c r="E83" s="11">
        <f>IF(ISBLANK(data!Y111),"",data!Y111)</f>
        <v>0.1255853508946406</v>
      </c>
    </row>
    <row r="84" spans="1:5" x14ac:dyDescent="0.3">
      <c r="A84" s="13">
        <f>data!S112</f>
        <v>42282.5</v>
      </c>
      <c r="B84" s="11">
        <f>IF(ISBLANK(data!V112),"",data!V112)</f>
        <v>0.30015692660493226</v>
      </c>
      <c r="C84" s="11">
        <f>IF(ISBLANK(data!W112),"",data!W112)</f>
        <v>2.0035434404945115E-5</v>
      </c>
      <c r="D84" s="11">
        <f>IF(ISBLANK(data!X112),"",data!X112)</f>
        <v>0.57302140387275691</v>
      </c>
      <c r="E84" s="11">
        <f>IF(ISBLANK(data!Y112),"",data!Y112)</f>
        <v>0.12680163408790585</v>
      </c>
    </row>
    <row r="85" spans="1:5" x14ac:dyDescent="0.3">
      <c r="A85" s="13">
        <f>data!S113</f>
        <v>42289.5</v>
      </c>
      <c r="B85" s="11">
        <f>IF(ISBLANK(data!V113),"",data!V113)</f>
        <v>0.2895970100139173</v>
      </c>
      <c r="C85" s="11">
        <f>IF(ISBLANK(data!W113),"",data!W113)</f>
        <v>2.1311665699126414E-5</v>
      </c>
      <c r="D85" s="11">
        <f>IF(ISBLANK(data!X113),"",data!X113)</f>
        <v>0.56961872913219158</v>
      </c>
      <c r="E85" s="11">
        <f>IF(ISBLANK(data!Y113),"",data!Y113)</f>
        <v>0.14076294918819199</v>
      </c>
    </row>
    <row r="86" spans="1:5" x14ac:dyDescent="0.3">
      <c r="A86" s="13">
        <f>data!S114</f>
        <v>42296.5</v>
      </c>
      <c r="B86" s="11">
        <f>IF(ISBLANK(data!V114),"",data!V114)</f>
        <v>0.28719949717396481</v>
      </c>
      <c r="C86" s="11">
        <f>IF(ISBLANK(data!W114),"",data!W114)</f>
        <v>2.2069385865044068E-5</v>
      </c>
      <c r="D86" s="11">
        <f>IF(ISBLANK(data!X114),"",data!X114)</f>
        <v>0.57100913270270959</v>
      </c>
      <c r="E86" s="11">
        <f>IF(ISBLANK(data!Y114),"",data!Y114)</f>
        <v>0.14176930073746052</v>
      </c>
    </row>
    <row r="87" spans="1:5" x14ac:dyDescent="0.3">
      <c r="A87" s="13">
        <f>data!S115</f>
        <v>42303</v>
      </c>
      <c r="B87" s="11">
        <f>IF(ISBLANK(data!V115),"",data!V115)</f>
        <v>0.28789763769743421</v>
      </c>
      <c r="C87" s="11">
        <f>IF(ISBLANK(data!W115),"",data!W115)</f>
        <v>1.8126136316331879E-5</v>
      </c>
      <c r="D87" s="11">
        <f>IF(ISBLANK(data!X115),"",data!X115)</f>
        <v>0.57938041690071351</v>
      </c>
      <c r="E87" s="11">
        <f>IF(ISBLANK(data!Y115),"",data!Y115)</f>
        <v>0.13270381926553604</v>
      </c>
    </row>
    <row r="88" spans="1:5" x14ac:dyDescent="0.3">
      <c r="A88" s="13">
        <f>data!S116</f>
        <v>42310.5</v>
      </c>
      <c r="B88" s="11">
        <f>IF(ISBLANK(data!V116),"",data!V116)</f>
        <v>0.25475834060050229</v>
      </c>
      <c r="C88" s="11">
        <f>IF(ISBLANK(data!W116),"",data!W116)</f>
        <v>2.091408587904593E-5</v>
      </c>
      <c r="D88" s="11">
        <f>IF(ISBLANK(data!X116),"",data!X116)</f>
        <v>0.59159475539861395</v>
      </c>
      <c r="E88" s="11">
        <f>IF(ISBLANK(data!Y116),"",data!Y116)</f>
        <v>0.15362598991500484</v>
      </c>
    </row>
    <row r="89" spans="1:5" x14ac:dyDescent="0.3">
      <c r="A89" s="13">
        <f>data!S117</f>
        <v>42316.5</v>
      </c>
      <c r="B89" s="11">
        <f>IF(ISBLANK(data!V117),"",data!V117)</f>
        <v>0.26225240413909023</v>
      </c>
      <c r="C89" s="11">
        <f>IF(ISBLANK(data!W117),"",data!W117)</f>
        <v>1.9326986318117936E-5</v>
      </c>
      <c r="D89" s="11">
        <f>IF(ISBLANK(data!X117),"",data!X117)</f>
        <v>0.59206104227238898</v>
      </c>
      <c r="E89" s="11">
        <f>IF(ISBLANK(data!Y117),"",data!Y117)</f>
        <v>0.14566722660220274</v>
      </c>
    </row>
    <row r="90" spans="1:5" x14ac:dyDescent="0.3">
      <c r="A90" s="13">
        <f>data!S118</f>
        <v>42324.5</v>
      </c>
      <c r="B90" s="11">
        <f>IF(ISBLANK(data!V118),"",data!V118)</f>
        <v>0.25364556679327244</v>
      </c>
      <c r="C90" s="11">
        <f>IF(ISBLANK(data!W118),"",data!W118)</f>
        <v>1.900126975731525E-5</v>
      </c>
      <c r="D90" s="11">
        <f>IF(ISBLANK(data!X118),"",data!X118)</f>
        <v>0.59872462431603168</v>
      </c>
      <c r="E90" s="11">
        <f>IF(ISBLANK(data!Y118),"",data!Y118)</f>
        <v>0.14761080762093856</v>
      </c>
    </row>
    <row r="91" spans="1:5" x14ac:dyDescent="0.3">
      <c r="A91" s="13">
        <f>data!S119</f>
        <v>42331.5</v>
      </c>
      <c r="B91" s="11">
        <f>IF(ISBLANK(data!V119),"",data!V119)</f>
        <v>0.18454126555011968</v>
      </c>
      <c r="C91" s="11">
        <f>IF(ISBLANK(data!W119),"",data!W119)</f>
        <v>2.0652969053390373E-5</v>
      </c>
      <c r="D91" s="11">
        <f>IF(ISBLANK(data!X119),"",data!X119)</f>
        <v>0.65384804994685608</v>
      </c>
      <c r="E91" s="11">
        <f>IF(ISBLANK(data!Y119),"",data!Y119)</f>
        <v>0.16159003153397086</v>
      </c>
    </row>
    <row r="92" spans="1:5" x14ac:dyDescent="0.3">
      <c r="A92" s="13">
        <f>data!S120</f>
        <v>42338.5</v>
      </c>
      <c r="B92" s="11">
        <f>IF(ISBLANK(data!V120),"",data!V120)</f>
        <v>0.15405241805030026</v>
      </c>
      <c r="C92" s="11">
        <f>IF(ISBLANK(data!W120),"",data!W120)</f>
        <v>4.9663731639853718E-3</v>
      </c>
      <c r="D92" s="11">
        <f>IF(ISBLANK(data!X120),"",data!X120)</f>
        <v>0.67656421134730582</v>
      </c>
      <c r="E92" s="11">
        <f>IF(ISBLANK(data!Y120),"",data!Y120)</f>
        <v>0.16441699743840854</v>
      </c>
    </row>
    <row r="93" spans="1:5" x14ac:dyDescent="0.3">
      <c r="A93" s="13">
        <f>data!S121</f>
        <v>42348</v>
      </c>
      <c r="B93" s="11">
        <f>IF(ISBLANK(data!V121),"",data!V121)</f>
        <v>0.17401588237671731</v>
      </c>
      <c r="C93" s="11">
        <f>IF(ISBLANK(data!W121),"",data!W121)</f>
        <v>2.2335271950928365E-5</v>
      </c>
      <c r="D93" s="11">
        <f>IF(ISBLANK(data!X121),"",data!X121)</f>
        <v>0.66565905850709406</v>
      </c>
      <c r="E93" s="11">
        <f>IF(ISBLANK(data!Y121),"",data!Y121)</f>
        <v>0.16030272384423774</v>
      </c>
    </row>
    <row r="94" spans="1:5" x14ac:dyDescent="0.3">
      <c r="A94" s="13">
        <f>data!S122</f>
        <v>42356</v>
      </c>
      <c r="B94" s="11">
        <f>IF(ISBLANK(data!V122),"",data!V122)</f>
        <v>0.18557235357106094</v>
      </c>
      <c r="C94" s="11">
        <f>IF(ISBLANK(data!W122),"",data!W122)</f>
        <v>2.0592544925715501E-5</v>
      </c>
      <c r="D94" s="11">
        <f>IF(ISBLANK(data!X122),"",data!X122)</f>
        <v>0.6625249072895909</v>
      </c>
      <c r="E94" s="11">
        <f>IF(ISBLANK(data!Y122),"",data!Y122)</f>
        <v>0.15188214659442253</v>
      </c>
    </row>
    <row r="95" spans="1:5" x14ac:dyDescent="0.3">
      <c r="A95" s="13">
        <f>data!S123</f>
        <v>42363</v>
      </c>
      <c r="B95" s="11">
        <f>IF(ISBLANK(data!V123),"",data!V123)</f>
        <v>0.15869666492749007</v>
      </c>
      <c r="C95" s="11">
        <f>IF(ISBLANK(data!W123),"",data!W123)</f>
        <v>2.0701834612118875E-5</v>
      </c>
      <c r="D95" s="11">
        <f>IF(ISBLANK(data!X123),"",data!X123)</f>
        <v>0.67783053652332126</v>
      </c>
      <c r="E95" s="11">
        <f>IF(ISBLANK(data!Y123),"",data!Y123)</f>
        <v>0.16345209671457653</v>
      </c>
    </row>
    <row r="96" spans="1:5" x14ac:dyDescent="0.3">
      <c r="A96" s="13">
        <f>data!S124</f>
        <v>42370</v>
      </c>
      <c r="B96" s="11">
        <f>IF(ISBLANK(data!V124),"",data!V124)</f>
        <v>0.16326566381920665</v>
      </c>
      <c r="C96" s="11">
        <f>IF(ISBLANK(data!W124),"",data!W124)</f>
        <v>2.0610401063778275E-5</v>
      </c>
      <c r="D96" s="11">
        <f>IF(ISBLANK(data!X124),"",data!X124)</f>
        <v>0.67293539306123396</v>
      </c>
      <c r="E96" s="11">
        <f>IF(ISBLANK(data!Y124),"",data!Y124)</f>
        <v>0.16377833271849571</v>
      </c>
    </row>
    <row r="97" spans="1:5" x14ac:dyDescent="0.3">
      <c r="A97" s="13">
        <f>data!S125</f>
        <v>42377</v>
      </c>
      <c r="B97" s="11">
        <f>IF(ISBLANK(data!V125),"",data!V125)</f>
        <v>0.15992364796146696</v>
      </c>
      <c r="C97" s="11">
        <f>IF(ISBLANK(data!W125),"",data!W125)</f>
        <v>1.8089297441493069E-5</v>
      </c>
      <c r="D97" s="11">
        <f>IF(ISBLANK(data!X125),"",data!X125)</f>
        <v>0.68103489496837288</v>
      </c>
      <c r="E97" s="11">
        <f>IF(ISBLANK(data!Y125),"",data!Y125)</f>
        <v>0.15902336777271875</v>
      </c>
    </row>
    <row r="98" spans="1:5" x14ac:dyDescent="0.3">
      <c r="A98" s="13">
        <f>data!S126</f>
        <v>42384</v>
      </c>
      <c r="B98" s="11">
        <f>IF(ISBLANK(data!V126),"",data!V126)</f>
        <v>0.16633916798819898</v>
      </c>
      <c r="C98" s="11">
        <f>IF(ISBLANK(data!W126),"",data!W126)</f>
        <v>2.1754505148870394E-5</v>
      </c>
      <c r="D98" s="11">
        <f>IF(ISBLANK(data!X126),"",data!X126)</f>
        <v>0.67514974063813959</v>
      </c>
      <c r="E98" s="11">
        <f>IF(ISBLANK(data!Y126),"",data!Y126)</f>
        <v>0.1584893368685126</v>
      </c>
    </row>
    <row r="99" spans="1:5" x14ac:dyDescent="0.3">
      <c r="A99" s="13">
        <f>data!S127</f>
        <v>42391</v>
      </c>
      <c r="B99" s="11">
        <f>IF(ISBLANK(data!V127),"",data!V127)</f>
        <v>0.12590814391633368</v>
      </c>
      <c r="C99" s="11">
        <f>IF(ISBLANK(data!W127),"",data!W127)</f>
        <v>3.6553554446940587E-4</v>
      </c>
      <c r="D99" s="11">
        <f>IF(ISBLANK(data!X127),"",data!X127)</f>
        <v>0.69195521771807766</v>
      </c>
      <c r="E99" s="11">
        <f>IF(ISBLANK(data!Y127),"",data!Y127)</f>
        <v>0.18177110282111925</v>
      </c>
    </row>
    <row r="100" spans="1:5" x14ac:dyDescent="0.3">
      <c r="A100" s="13">
        <f>data!S128</f>
        <v>42398</v>
      </c>
      <c r="B100" s="11">
        <f>IF(ISBLANK(data!V128),"",data!V128)</f>
        <v>0.11175144338476539</v>
      </c>
      <c r="C100" s="11">
        <f>IF(ISBLANK(data!W128),"",data!W128)</f>
        <v>1.7903624320595104E-5</v>
      </c>
      <c r="D100" s="11">
        <f>IF(ISBLANK(data!X128),"",data!X128)</f>
        <v>0.70190769157813038</v>
      </c>
      <c r="E100" s="11">
        <f>IF(ISBLANK(data!Y128),"",data!Y128)</f>
        <v>0.18632296141278373</v>
      </c>
    </row>
    <row r="101" spans="1:5" x14ac:dyDescent="0.3">
      <c r="A101" s="13">
        <f>data!S129</f>
        <v>42405</v>
      </c>
      <c r="B101" s="11">
        <f>IF(ISBLANK(data!V129),"",data!V129)</f>
        <v>0.10226131304108514</v>
      </c>
      <c r="C101" s="11">
        <f>IF(ISBLANK(data!W129),"",data!W129)</f>
        <v>2.2903309882118942E-5</v>
      </c>
      <c r="D101" s="11">
        <f>IF(ISBLANK(data!X129),"",data!X129)</f>
        <v>0.70891017700992254</v>
      </c>
      <c r="E101" s="11">
        <f>IF(ISBLANK(data!Y129),"",data!Y129)</f>
        <v>0.18880560663911025</v>
      </c>
    </row>
    <row r="102" spans="1:5" x14ac:dyDescent="0.3">
      <c r="A102" s="13">
        <f>data!S130</f>
        <v>42412</v>
      </c>
      <c r="B102" s="11">
        <f>IF(ISBLANK(data!V130),"",data!V130)</f>
        <v>0.111099484988289</v>
      </c>
      <c r="C102" s="11">
        <f>IF(ISBLANK(data!W130),"",data!W130)</f>
        <v>2.2207649722732707E-5</v>
      </c>
      <c r="D102" s="11">
        <f>IF(ISBLANK(data!X130),"",data!X130)</f>
        <v>0.70306368263495145</v>
      </c>
      <c r="E102" s="11">
        <f>IF(ISBLANK(data!Y130),"",data!Y130)</f>
        <v>0.18581462472703686</v>
      </c>
    </row>
    <row r="103" spans="1:5" x14ac:dyDescent="0.3">
      <c r="A103" s="13">
        <f>data!S131</f>
        <v>42419</v>
      </c>
      <c r="B103" s="11">
        <f>IF(ISBLANK(data!V131),"",data!V131)</f>
        <v>0.12086710790321961</v>
      </c>
      <c r="C103" s="11">
        <f>IF(ISBLANK(data!W131),"",data!W131)</f>
        <v>1.9990213357108707E-5</v>
      </c>
      <c r="D103" s="11">
        <f>IF(ISBLANK(data!X131),"",data!X131)</f>
        <v>0.69857780100677658</v>
      </c>
      <c r="E103" s="11">
        <f>IF(ISBLANK(data!Y131),"",data!Y131)</f>
        <v>0.18053510087664679</v>
      </c>
    </row>
    <row r="104" spans="1:5" x14ac:dyDescent="0.3">
      <c r="A104" s="13">
        <f>data!S132</f>
        <v>42426</v>
      </c>
      <c r="B104" s="11">
        <f>IF(ISBLANK(data!V132),"",data!V132)</f>
        <v>0.12380152381017903</v>
      </c>
      <c r="C104" s="11">
        <f>IF(ISBLANK(data!W132),"",data!W132)</f>
        <v>1.9608434319202367E-5</v>
      </c>
      <c r="D104" s="11">
        <f>IF(ISBLANK(data!X132),"",data!X132)</f>
        <v>0.69732913131149621</v>
      </c>
      <c r="E104" s="11">
        <f>IF(ISBLANK(data!Y132),"",data!Y132)</f>
        <v>0.17884973644400565</v>
      </c>
    </row>
    <row r="105" spans="1:5" x14ac:dyDescent="0.3">
      <c r="A105" s="13">
        <f>data!S133</f>
        <v>42433</v>
      </c>
      <c r="B105" s="11">
        <f>IF(ISBLANK(data!V133),"",data!V133)</f>
        <v>0.14185315158543976</v>
      </c>
      <c r="C105" s="11">
        <f>IF(ISBLANK(data!W133),"",data!W133)</f>
        <v>2.1701165329950821E-5</v>
      </c>
      <c r="D105" s="11">
        <f>IF(ISBLANK(data!X133),"",data!X133)</f>
        <v>0.68004992687495669</v>
      </c>
      <c r="E105" s="11">
        <f>IF(ISBLANK(data!Y133),"",data!Y133)</f>
        <v>0.17807522037427373</v>
      </c>
    </row>
    <row r="106" spans="1:5" x14ac:dyDescent="0.3">
      <c r="A106" s="13">
        <f>data!S134</f>
        <v>42439.5</v>
      </c>
      <c r="B106" s="11">
        <f>IF(ISBLANK(data!V134),"",data!V134)</f>
        <v>0.14722353206572017</v>
      </c>
      <c r="C106" s="11">
        <f>IF(ISBLANK(data!W134),"",data!W134)</f>
        <v>1.9998433246811945E-5</v>
      </c>
      <c r="D106" s="11">
        <f>IF(ISBLANK(data!X134),"",data!X134)</f>
        <v>0.67732347177994301</v>
      </c>
      <c r="E106" s="11">
        <f>IF(ISBLANK(data!Y134),"",data!Y134)</f>
        <v>0.17543299772109</v>
      </c>
    </row>
    <row r="107" spans="1:5" x14ac:dyDescent="0.3">
      <c r="A107" s="13">
        <f>data!S135</f>
        <v>42447</v>
      </c>
      <c r="B107" s="11">
        <f>IF(ISBLANK(data!V135),"",data!V135)</f>
        <v>0.14196053903940811</v>
      </c>
      <c r="C107" s="11">
        <f>IF(ISBLANK(data!W135),"",data!W135)</f>
        <v>2.1401562657587914E-5</v>
      </c>
      <c r="D107" s="11">
        <f>IF(ISBLANK(data!X135),"",data!X135)</f>
        <v>0.67980612930553808</v>
      </c>
      <c r="E107" s="11">
        <f>IF(ISBLANK(data!Y135),"",data!Y135)</f>
        <v>0.17821193009239616</v>
      </c>
    </row>
    <row r="108" spans="1:5" x14ac:dyDescent="0.3">
      <c r="A108" s="13">
        <f>data!S136</f>
        <v>42454</v>
      </c>
      <c r="B108" s="11">
        <f>IF(ISBLANK(data!V136),"",data!V136)</f>
        <v>0.11135095541765429</v>
      </c>
      <c r="C108" s="11">
        <f>IF(ISBLANK(data!W136),"",data!W136)</f>
        <v>5.147462542925163E-2</v>
      </c>
      <c r="D108" s="11">
        <f>IF(ISBLANK(data!X136),"",data!X136)</f>
        <v>0.64027826229245643</v>
      </c>
      <c r="E108" s="11">
        <f>IF(ISBLANK(data!Y136),"",data!Y136)</f>
        <v>0.19689615686063761</v>
      </c>
    </row>
    <row r="109" spans="1:5" x14ac:dyDescent="0.3">
      <c r="A109" s="13">
        <f>data!S137</f>
        <v>42460</v>
      </c>
      <c r="B109" s="11">
        <f>IF(ISBLANK(data!V137),"",data!V137)</f>
        <v>0.12659019610576561</v>
      </c>
      <c r="C109" s="11">
        <f>IF(ISBLANK(data!W137),"",data!W137)</f>
        <v>8.4695995269012156E-2</v>
      </c>
      <c r="D109" s="11">
        <f>IF(ISBLANK(data!X137),"",data!X137)</f>
        <v>0.62556666372665304</v>
      </c>
      <c r="E109" s="11">
        <f>IF(ISBLANK(data!Y137),"",data!Y137)</f>
        <v>0.16314714489856924</v>
      </c>
    </row>
    <row r="110" spans="1:5" x14ac:dyDescent="0.3">
      <c r="A110" s="13">
        <f>data!S138</f>
        <v>42468</v>
      </c>
      <c r="B110" s="11">
        <f>IF(ISBLANK(data!V138),"",data!V138)</f>
        <v>0.12906113083597959</v>
      </c>
      <c r="C110" s="11">
        <f>IF(ISBLANK(data!W138),"",data!W138)</f>
        <v>3.4673627661294233E-2</v>
      </c>
      <c r="D110" s="11">
        <f>IF(ISBLANK(data!X138),"",data!X138)</f>
        <v>0.66698254538111079</v>
      </c>
      <c r="E110" s="11">
        <f>IF(ISBLANK(data!Y138),"",data!Y138)</f>
        <v>0.16928269612161539</v>
      </c>
    </row>
    <row r="111" spans="1:5" x14ac:dyDescent="0.3">
      <c r="A111" s="13">
        <f>data!S139</f>
        <v>42475</v>
      </c>
      <c r="B111" s="11">
        <f>IF(ISBLANK(data!V139),"",data!V139)</f>
        <v>0.13084610588743967</v>
      </c>
      <c r="C111" s="11">
        <f>IF(ISBLANK(data!W139),"",data!W139)</f>
        <v>2.8564063926926141E-2</v>
      </c>
      <c r="D111" s="11">
        <f>IF(ISBLANK(data!X139),"",data!X139)</f>
        <v>0.67070593686671476</v>
      </c>
      <c r="E111" s="11">
        <f>IF(ISBLANK(data!Y139),"",data!Y139)</f>
        <v>0.16988389331891945</v>
      </c>
    </row>
    <row r="112" spans="1:5" x14ac:dyDescent="0.3">
      <c r="A112" s="13">
        <f>data!S140</f>
        <v>42485.5</v>
      </c>
      <c r="B112" s="11">
        <f>IF(ISBLANK(data!V140),"",data!V140)</f>
        <v>0.15564574242043377</v>
      </c>
      <c r="C112" s="11">
        <f>IF(ISBLANK(data!W140),"",data!W140)</f>
        <v>1.6767294351099586E-5</v>
      </c>
      <c r="D112" s="11">
        <f>IF(ISBLANK(data!X140),"",data!X140)</f>
        <v>0.67252395418191657</v>
      </c>
      <c r="E112" s="11">
        <f>IF(ISBLANK(data!Y140),"",data!Y140)</f>
        <v>0.1718135361032985</v>
      </c>
    </row>
    <row r="113" spans="1:5" x14ac:dyDescent="0.3">
      <c r="A113" s="13">
        <f>data!S141</f>
        <v>42492.5</v>
      </c>
      <c r="B113" s="11">
        <f>IF(ISBLANK(data!V141),"",data!V141)</f>
        <v>0.1474192872302427</v>
      </c>
      <c r="C113" s="11">
        <f>IF(ISBLANK(data!W141),"",data!W141)</f>
        <v>2.3036441404548195E-2</v>
      </c>
      <c r="D113" s="11">
        <f>IF(ISBLANK(data!X141),"",data!X141)</f>
        <v>0.66458229839569138</v>
      </c>
      <c r="E113" s="11">
        <f>IF(ISBLANK(data!Y141),"",data!Y141)</f>
        <v>0.16496197296951778</v>
      </c>
    </row>
    <row r="114" spans="1:5" x14ac:dyDescent="0.3">
      <c r="A114" s="13">
        <f>data!S142</f>
        <v>42499.5</v>
      </c>
      <c r="B114" s="11">
        <f>IF(ISBLANK(data!V142),"",data!V142)</f>
        <v>0.12106769044880886</v>
      </c>
      <c r="C114" s="11">
        <f>IF(ISBLANK(data!W142),"",data!W142)</f>
        <v>9.0467677914007602E-2</v>
      </c>
      <c r="D114" s="11">
        <f>IF(ISBLANK(data!X142),"",data!X142)</f>
        <v>0.60649558152787475</v>
      </c>
      <c r="E114" s="11">
        <f>IF(ISBLANK(data!Y142),"",data!Y142)</f>
        <v>0.18196905010930881</v>
      </c>
    </row>
    <row r="115" spans="1:5" x14ac:dyDescent="0.3">
      <c r="A115" s="13">
        <f>data!S143</f>
        <v>42506.5</v>
      </c>
      <c r="B115" s="11">
        <f>IF(ISBLANK(data!V143),"",data!V143)</f>
        <v>0.26068180432031557</v>
      </c>
      <c r="C115" s="11">
        <f>IF(ISBLANK(data!W143),"",data!W143)</f>
        <v>2.03265934048958E-5</v>
      </c>
      <c r="D115" s="11">
        <f>IF(ISBLANK(data!X143),"",data!X143)</f>
        <v>0.60871129525858991</v>
      </c>
      <c r="E115" s="11">
        <f>IF(ISBLANK(data!Y143),"",data!Y143)</f>
        <v>0.13058657382768962</v>
      </c>
    </row>
    <row r="116" spans="1:5" x14ac:dyDescent="0.3">
      <c r="A116" s="13">
        <f>data!S144</f>
        <v>42513.5</v>
      </c>
      <c r="B116" s="11">
        <f>IF(ISBLANK(data!V144),"",data!V144)</f>
        <v>0.29895048853530332</v>
      </c>
      <c r="C116" s="11">
        <f>IF(ISBLANK(data!W144),"",data!W144)</f>
        <v>2.1574229432659286E-5</v>
      </c>
      <c r="D116" s="11">
        <f>IF(ISBLANK(data!X144),"",data!X144)</f>
        <v>0.57745163898529861</v>
      </c>
      <c r="E116" s="11">
        <f>IF(ISBLANK(data!Y144),"",data!Y144)</f>
        <v>0.12357629824996542</v>
      </c>
    </row>
    <row r="117" spans="1:5" x14ac:dyDescent="0.3">
      <c r="A117" s="13">
        <f>data!S145</f>
        <v>42520.5</v>
      </c>
      <c r="B117" s="11">
        <f>IF(ISBLANK(data!V145),"",data!V145)</f>
        <v>0.22379132152099249</v>
      </c>
      <c r="C117" s="11">
        <f>IF(ISBLANK(data!W145),"",data!W145)</f>
        <v>0.11830584990368948</v>
      </c>
      <c r="D117" s="11">
        <f>IF(ISBLANK(data!X145),"",data!X145)</f>
        <v>0.47110999031139744</v>
      </c>
      <c r="E117" s="11">
        <f>IF(ISBLANK(data!Y145),"",data!Y145)</f>
        <v>0.1867928382639206</v>
      </c>
    </row>
    <row r="118" spans="1:5" x14ac:dyDescent="0.3">
      <c r="A118" s="13">
        <f>data!S146</f>
        <v>42527.5</v>
      </c>
      <c r="B118" s="11">
        <f>IF(ISBLANK(data!V146),"",data!V146)</f>
        <v>0.13273916509999584</v>
      </c>
      <c r="C118" s="11">
        <f>IF(ISBLANK(data!W146),"",data!W146)</f>
        <v>0.20364816653969833</v>
      </c>
      <c r="D118" s="11">
        <f>IF(ISBLANK(data!X146),"",data!X146)</f>
        <v>0.44489741534475413</v>
      </c>
      <c r="E118" s="11">
        <f>IF(ISBLANK(data!Y146),"",data!Y146)</f>
        <v>0.21871525301555172</v>
      </c>
    </row>
    <row r="119" spans="1:5" x14ac:dyDescent="0.3">
      <c r="A119" s="13">
        <f>data!S147</f>
        <v>42534.5</v>
      </c>
      <c r="B119" s="11">
        <f>IF(ISBLANK(data!V147),"",data!V147)</f>
        <v>0.12534137856534486</v>
      </c>
      <c r="C119" s="11">
        <f>IF(ISBLANK(data!W147),"",data!W147)</f>
        <v>0.19984754026196236</v>
      </c>
      <c r="D119" s="11">
        <f>IF(ISBLANK(data!X147),"",data!X147)</f>
        <v>0.44315458554279835</v>
      </c>
      <c r="E119" s="11">
        <f>IF(ISBLANK(data!Y147),"",data!Y147)</f>
        <v>0.2316564956298944</v>
      </c>
    </row>
    <row r="120" spans="1:5" x14ac:dyDescent="0.3">
      <c r="A120" s="13">
        <f>data!S148</f>
        <v>42541.5</v>
      </c>
      <c r="B120" s="11">
        <f>IF(ISBLANK(data!V148),"",data!V148)</f>
        <v>7.5355638529244498E-2</v>
      </c>
      <c r="C120" s="11">
        <f>IF(ISBLANK(data!W148),"",data!W148)</f>
        <v>0.24884237624188016</v>
      </c>
      <c r="D120" s="11">
        <f>IF(ISBLANK(data!X148),"",data!X148)</f>
        <v>0.42461446527811514</v>
      </c>
      <c r="E120" s="11">
        <f>IF(ISBLANK(data!Y148),"",data!Y148)</f>
        <v>0.25118751995076022</v>
      </c>
    </row>
    <row r="121" spans="1:5" x14ac:dyDescent="0.3">
      <c r="A121" s="13">
        <f>data!S149</f>
        <v>42548.5</v>
      </c>
      <c r="B121" s="11">
        <f>IF(ISBLANK(data!V149),"",data!V149)</f>
        <v>3.310507155796398E-2</v>
      </c>
      <c r="C121" s="11">
        <f>IF(ISBLANK(data!W149),"",data!W149)</f>
        <v>0.30746106330220302</v>
      </c>
      <c r="D121" s="11">
        <f>IF(ISBLANK(data!X149),"",data!X149)</f>
        <v>0.3905932176145393</v>
      </c>
      <c r="E121" s="11">
        <f>IF(ISBLANK(data!Y149),"",data!Y149)</f>
        <v>0.26884064752529374</v>
      </c>
    </row>
    <row r="122" spans="1:5" x14ac:dyDescent="0.3">
      <c r="A122" s="13">
        <f>data!S150</f>
        <v>42555.5</v>
      </c>
      <c r="B122" s="11">
        <f>IF(ISBLANK(data!V150),"",data!V150)</f>
        <v>2.8217339321927378E-2</v>
      </c>
      <c r="C122" s="11">
        <f>IF(ISBLANK(data!W150),"",data!W150)</f>
        <v>0.31108292449451991</v>
      </c>
      <c r="D122" s="11">
        <f>IF(ISBLANK(data!X150),"",data!X150)</f>
        <v>0.38496620277790772</v>
      </c>
      <c r="E122" s="11">
        <f>IF(ISBLANK(data!Y150),"",data!Y150)</f>
        <v>0.27573353340564494</v>
      </c>
    </row>
    <row r="123" spans="1:5" x14ac:dyDescent="0.3">
      <c r="A123" s="13">
        <f>data!S151</f>
        <v>42561.5</v>
      </c>
      <c r="B123" s="11">
        <f>IF(ISBLANK(data!V151),"",data!V151)</f>
        <v>2.4556890880131934E-2</v>
      </c>
      <c r="C123" s="11">
        <f>IF(ISBLANK(data!W151),"",data!W151)</f>
        <v>0.35509523776586249</v>
      </c>
      <c r="D123" s="11">
        <f>IF(ISBLANK(data!X151),"",data!X151)</f>
        <v>0.35187316363062465</v>
      </c>
      <c r="E123" s="11">
        <f>IF(ISBLANK(data!Y151),"",data!Y151)</f>
        <v>0.26847470772338095</v>
      </c>
    </row>
    <row r="124" spans="1:5" x14ac:dyDescent="0.3">
      <c r="A124" s="13">
        <f>data!S152</f>
        <v>42569.5</v>
      </c>
      <c r="B124" s="11">
        <f>IF(ISBLANK(data!V152),"",data!V152)</f>
        <v>2.4296074487695257E-2</v>
      </c>
      <c r="C124" s="11">
        <f>IF(ISBLANK(data!W152),"",data!W152)</f>
        <v>0.37274279753070338</v>
      </c>
      <c r="D124" s="11">
        <f>IF(ISBLANK(data!X152),"",data!X152)</f>
        <v>0.34103356416848785</v>
      </c>
      <c r="E124" s="11">
        <f>IF(ISBLANK(data!Y152),"",data!Y152)</f>
        <v>0.26192756381311355</v>
      </c>
    </row>
    <row r="125" spans="1:5" x14ac:dyDescent="0.3">
      <c r="A125" s="13">
        <f>data!S153</f>
        <v>42576.5</v>
      </c>
      <c r="B125" s="11">
        <f>IF(ISBLANK(data!V153),"",data!V153)</f>
        <v>2.3720897570546763E-3</v>
      </c>
      <c r="C125" s="11">
        <f>IF(ISBLANK(data!W153),"",data!W153)</f>
        <v>0.3615823157776995</v>
      </c>
      <c r="D125" s="11">
        <f>IF(ISBLANK(data!X153),"",data!X153)</f>
        <v>0.38660644940322425</v>
      </c>
      <c r="E125" s="11">
        <f>IF(ISBLANK(data!Y153),"",data!Y153)</f>
        <v>0.24943914506202167</v>
      </c>
    </row>
    <row r="126" spans="1:5" x14ac:dyDescent="0.3">
      <c r="A126" s="13">
        <f>data!S154</f>
        <v>42587</v>
      </c>
      <c r="B126" s="11">
        <f>IF(ISBLANK(data!V154),"",data!V154)</f>
        <v>1.5093002146373187E-5</v>
      </c>
      <c r="C126" s="11">
        <f>IF(ISBLANK(data!W154),"",data!W154)</f>
        <v>0.36520562267601442</v>
      </c>
      <c r="D126" s="11">
        <f>IF(ISBLANK(data!X154),"",data!X154)</f>
        <v>0.38223691983340208</v>
      </c>
      <c r="E126" s="11">
        <f>IF(ISBLANK(data!Y154),"",data!Y154)</f>
        <v>0.25254236448843725</v>
      </c>
    </row>
    <row r="127" spans="1:5" x14ac:dyDescent="0.3">
      <c r="A127" s="13">
        <f>data!S155</f>
        <v>42594</v>
      </c>
      <c r="B127" s="11">
        <f>IF(ISBLANK(data!V155),"",data!V155)</f>
        <v>1.5677940975419524E-5</v>
      </c>
      <c r="C127" s="11">
        <f>IF(ISBLANK(data!W155),"",data!W155)</f>
        <v>0.37094282038342574</v>
      </c>
      <c r="D127" s="11">
        <f>IF(ISBLANK(data!X155),"",data!X155)</f>
        <v>0.37653530713014155</v>
      </c>
      <c r="E127" s="11">
        <f>IF(ISBLANK(data!Y155),"",data!Y155)</f>
        <v>0.25250619454545725</v>
      </c>
    </row>
    <row r="128" spans="1:5" x14ac:dyDescent="0.3">
      <c r="A128" s="13">
        <f>data!S156</f>
        <v>42600</v>
      </c>
      <c r="B128" s="11">
        <f>IF(ISBLANK(data!V156),"",data!V156)</f>
        <v>1.4135861506662227E-5</v>
      </c>
      <c r="C128" s="11">
        <f>IF(ISBLANK(data!W156),"",data!W156)</f>
        <v>0.38819410311070274</v>
      </c>
      <c r="D128" s="11">
        <f>IF(ISBLANK(data!X156),"",data!X156)</f>
        <v>0.31661874679337165</v>
      </c>
      <c r="E128" s="11">
        <f>IF(ISBLANK(data!Y156),"",data!Y156)</f>
        <v>0.29517301423441911</v>
      </c>
    </row>
    <row r="129" spans="1:5" x14ac:dyDescent="0.3">
      <c r="A129" s="13">
        <f>data!S157</f>
        <v>42608</v>
      </c>
      <c r="B129" s="11">
        <f>IF(ISBLANK(data!V157),"",data!V157)</f>
        <v>1.4527815133046421E-5</v>
      </c>
      <c r="C129" s="11">
        <f>IF(ISBLANK(data!W157),"",data!W157)</f>
        <v>0.39926339518973014</v>
      </c>
      <c r="D129" s="11">
        <f>IF(ISBLANK(data!X157),"",data!X157)</f>
        <v>0.30563862700431099</v>
      </c>
      <c r="E129" s="11">
        <f>IF(ISBLANK(data!Y157),"",data!Y157)</f>
        <v>0.29508344999082586</v>
      </c>
    </row>
    <row r="130" spans="1:5" x14ac:dyDescent="0.3">
      <c r="A130" s="13">
        <f>data!S158</f>
        <v>42615</v>
      </c>
      <c r="B130" s="11">
        <f>IF(ISBLANK(data!V158),"",data!V158)</f>
        <v>1.4804784580742306E-5</v>
      </c>
      <c r="C130" s="11">
        <f>IF(ISBLANK(data!W158),"",data!W158)</f>
        <v>0.43597186242761438</v>
      </c>
      <c r="D130" s="11">
        <f>IF(ISBLANK(data!X158),"",data!X158)</f>
        <v>0.27189636910908394</v>
      </c>
      <c r="E130" s="11">
        <f>IF(ISBLANK(data!Y158),"",data!Y158)</f>
        <v>0.29211696367872098</v>
      </c>
    </row>
    <row r="131" spans="1:5" x14ac:dyDescent="0.3">
      <c r="A131" s="13">
        <f>data!S159</f>
        <v>42622</v>
      </c>
      <c r="B131" s="11">
        <f>IF(ISBLANK(data!V159),"",data!V159)</f>
        <v>1.3484995972227648E-5</v>
      </c>
      <c r="C131" s="11">
        <f>IF(ISBLANK(data!W159),"",data!W159)</f>
        <v>0.48721522668724304</v>
      </c>
      <c r="D131" s="11">
        <f>IF(ISBLANK(data!X159),"",data!X159)</f>
        <v>0.2243088070119198</v>
      </c>
      <c r="E131" s="11">
        <f>IF(ISBLANK(data!Y159),"",data!Y159)</f>
        <v>0.2884624813048649</v>
      </c>
    </row>
    <row r="132" spans="1:5" x14ac:dyDescent="0.3">
      <c r="A132" s="13">
        <f>data!S160</f>
        <v>42629</v>
      </c>
      <c r="B132" s="11">
        <f>IF(ISBLANK(data!V160),"",data!V160)</f>
        <v>1.1529414255978873E-5</v>
      </c>
      <c r="C132" s="11">
        <f>IF(ISBLANK(data!W160),"",data!W160)</f>
        <v>0.50875269757420394</v>
      </c>
      <c r="D132" s="11">
        <f>IF(ISBLANK(data!X160),"",data!X160)</f>
        <v>0.20184669780436373</v>
      </c>
      <c r="E132" s="11">
        <f>IF(ISBLANK(data!Y160),"",data!Y160)</f>
        <v>0.28938907520717644</v>
      </c>
    </row>
    <row r="133" spans="1:5" x14ac:dyDescent="0.3">
      <c r="A133" s="13">
        <f>data!S161</f>
        <v>42636</v>
      </c>
      <c r="B133" s="11">
        <f>IF(ISBLANK(data!V161),"",data!V161)</f>
        <v>2.0194212352209192E-2</v>
      </c>
      <c r="C133" s="11">
        <f>IF(ISBLANK(data!W161),"",data!W161)</f>
        <v>0.44167826332637505</v>
      </c>
      <c r="D133" s="11">
        <f>IF(ISBLANK(data!X161),"",data!X161)</f>
        <v>0.23878211277388775</v>
      </c>
      <c r="E133" s="11">
        <f>IF(ISBLANK(data!Y161),"",data!Y161)</f>
        <v>0.29934541154752797</v>
      </c>
    </row>
    <row r="134" spans="1:5" x14ac:dyDescent="0.3">
      <c r="A134" s="13">
        <f>data!S162</f>
        <v>42643</v>
      </c>
      <c r="B134" s="11">
        <f>IF(ISBLANK(data!V162),"",data!V162)</f>
        <v>1.1104773496007581E-5</v>
      </c>
      <c r="C134" s="11">
        <f>IF(ISBLANK(data!W162),"",data!W162)</f>
        <v>0.61006594356258792</v>
      </c>
      <c r="D134" s="11">
        <f>IF(ISBLANK(data!X162),"",data!X162)</f>
        <v>0.11223737079724008</v>
      </c>
      <c r="E134" s="11">
        <f>IF(ISBLANK(data!Y162),"",data!Y162)</f>
        <v>0.27768558086667605</v>
      </c>
    </row>
    <row r="135" spans="1:5" x14ac:dyDescent="0.3">
      <c r="A135" s="13">
        <f>data!S163</f>
        <v>42650</v>
      </c>
      <c r="B135" s="11">
        <f>IF(ISBLANK(data!V163),"",data!V163)</f>
        <v>8.7056615983444455E-2</v>
      </c>
      <c r="C135" s="11">
        <f>IF(ISBLANK(data!W163),"",data!W163)</f>
        <v>0.3917169721397718</v>
      </c>
      <c r="D135" s="11">
        <f>IF(ISBLANK(data!X163),"",data!X163)</f>
        <v>0.27536841554370056</v>
      </c>
      <c r="E135" s="11">
        <f>IF(ISBLANK(data!Y163),"",data!Y163)</f>
        <v>0.24585799633308317</v>
      </c>
    </row>
    <row r="136" spans="1:5" x14ac:dyDescent="0.3">
      <c r="A136" s="13">
        <f>data!S164</f>
        <v>42657</v>
      </c>
      <c r="B136" s="11">
        <f>IF(ISBLANK(data!V164),"",data!V164)</f>
        <v>8.7137106768211195E-2</v>
      </c>
      <c r="C136" s="11">
        <f>IF(ISBLANK(data!W164),"",data!W164)</f>
        <v>0.28775192231531738</v>
      </c>
      <c r="D136" s="11">
        <f>IF(ISBLANK(data!X164),"",data!X164)</f>
        <v>0.38206037591206826</v>
      </c>
      <c r="E136" s="11">
        <f>IF(ISBLANK(data!Y164),"",data!Y164)</f>
        <v>0.24305059500440307</v>
      </c>
    </row>
    <row r="137" spans="1:5" x14ac:dyDescent="0.3">
      <c r="A137" s="13">
        <f>data!S165</f>
        <v>42664</v>
      </c>
      <c r="B137" s="11">
        <f>IF(ISBLANK(data!V165),"",data!V165)</f>
        <v>9.9328957138566265E-2</v>
      </c>
      <c r="C137" s="11">
        <f>IF(ISBLANK(data!W165),"",data!W165)</f>
        <v>0.23998053606090344</v>
      </c>
      <c r="D137" s="11">
        <f>IF(ISBLANK(data!X165),"",data!X165)</f>
        <v>0.41460597558265594</v>
      </c>
      <c r="E137" s="11">
        <f>IF(ISBLANK(data!Y165),"",data!Y165)</f>
        <v>0.24608453121787449</v>
      </c>
    </row>
    <row r="138" spans="1:5" x14ac:dyDescent="0.3">
      <c r="A138" s="13">
        <f>data!S166</f>
        <v>42671</v>
      </c>
      <c r="B138" s="11">
        <f>IF(ISBLANK(data!V166),"",data!V166)</f>
        <v>0.1325261095632459</v>
      </c>
      <c r="C138" s="11">
        <f>IF(ISBLANK(data!W166),"",data!W166)</f>
        <v>0.20061976748412078</v>
      </c>
      <c r="D138" s="11">
        <f>IF(ISBLANK(data!X166),"",data!X166)</f>
        <v>0.42917674956047425</v>
      </c>
      <c r="E138" s="11">
        <f>IF(ISBLANK(data!Y166),"",data!Y166)</f>
        <v>0.23767737339215908</v>
      </c>
    </row>
    <row r="139" spans="1:5" x14ac:dyDescent="0.3">
      <c r="A139" s="13">
        <f>data!S167</f>
        <v>42678</v>
      </c>
      <c r="B139" s="11">
        <f>IF(ISBLANK(data!V167),"",data!V167)</f>
        <v>0.11903475940068511</v>
      </c>
      <c r="C139" s="11">
        <f>IF(ISBLANK(data!W167),"",data!W167)</f>
        <v>0.18426078370865059</v>
      </c>
      <c r="D139" s="11">
        <f>IF(ISBLANK(data!X167),"",data!X167)</f>
        <v>0.48712110147847582</v>
      </c>
      <c r="E139" s="11">
        <f>IF(ISBLANK(data!Y167),"",data!Y167)</f>
        <v>0.20958335541218853</v>
      </c>
    </row>
    <row r="140" spans="1:5" x14ac:dyDescent="0.3">
      <c r="A140" s="13">
        <f>data!S168</f>
        <v>42685</v>
      </c>
      <c r="B140" s="11">
        <f>IF(ISBLANK(data!V168),"",data!V168)</f>
        <v>0.16585384503594056</v>
      </c>
      <c r="C140" s="11">
        <f>IF(ISBLANK(data!W168),"",data!W168)</f>
        <v>0.37523470049325958</v>
      </c>
      <c r="D140" s="11">
        <f>IF(ISBLANK(data!X168),"",data!X168)</f>
        <v>0.28276829798141279</v>
      </c>
      <c r="E140" s="11">
        <f>IF(ISBLANK(data!Y168),"",data!Y168)</f>
        <v>0.17614315648938708</v>
      </c>
    </row>
    <row r="141" spans="1:5" x14ac:dyDescent="0.3">
      <c r="A141" s="13">
        <f>data!S169</f>
        <v>42691.5</v>
      </c>
      <c r="B141" s="11">
        <f>IF(ISBLANK(data!V169),"",data!V169)</f>
        <v>0.17427859402981044</v>
      </c>
      <c r="C141" s="11">
        <f>IF(ISBLANK(data!W169),"",data!W169)</f>
        <v>0.37496376283866156</v>
      </c>
      <c r="D141" s="11">
        <f>IF(ISBLANK(data!X169),"",data!X169)</f>
        <v>0.27664308813663213</v>
      </c>
      <c r="E141" s="11">
        <f>IF(ISBLANK(data!Y169),"",data!Y169)</f>
        <v>0.17411455499489592</v>
      </c>
    </row>
    <row r="142" spans="1:5" x14ac:dyDescent="0.3">
      <c r="A142" s="13">
        <f>data!S170</f>
        <v>42698</v>
      </c>
      <c r="B142" s="11">
        <f>IF(ISBLANK(data!V170),"",data!V170)</f>
        <v>0.19841594410569088</v>
      </c>
      <c r="C142" s="11">
        <f>IF(ISBLANK(data!W170),"",data!W170)</f>
        <v>0.30211348518445891</v>
      </c>
      <c r="D142" s="11">
        <f>IF(ISBLANK(data!X170),"",data!X170)</f>
        <v>0.31927731498513656</v>
      </c>
      <c r="E142" s="11">
        <f>IF(ISBLANK(data!Y170),"",data!Y170)</f>
        <v>0.18019325572471367</v>
      </c>
    </row>
    <row r="143" spans="1:5" x14ac:dyDescent="0.3">
      <c r="A143" s="13">
        <f>data!S171</f>
        <v>42706</v>
      </c>
      <c r="B143" s="11">
        <f>IF(ISBLANK(data!V171),"",data!V171)</f>
        <v>0.19618734255904755</v>
      </c>
      <c r="C143" s="11">
        <f>IF(ISBLANK(data!W171),"",data!W171)</f>
        <v>0.32218226654038606</v>
      </c>
      <c r="D143" s="11">
        <f>IF(ISBLANK(data!X171),"",data!X171)</f>
        <v>0.30689508597157927</v>
      </c>
      <c r="E143" s="11">
        <f>IF(ISBLANK(data!Y171),"",data!Y171)</f>
        <v>0.1747353049289872</v>
      </c>
    </row>
    <row r="144" spans="1:5" x14ac:dyDescent="0.3">
      <c r="A144" s="13">
        <f>data!S172</f>
        <v>42713</v>
      </c>
      <c r="B144" s="11">
        <f>IF(ISBLANK(data!V172),"",data!V172)</f>
        <v>0.20827584556493506</v>
      </c>
      <c r="C144" s="11">
        <f>IF(ISBLANK(data!W172),"",data!W172)</f>
        <v>0.24122486809666502</v>
      </c>
      <c r="D144" s="11">
        <f>IF(ISBLANK(data!X172),"",data!X172)</f>
        <v>0.35797787922592911</v>
      </c>
      <c r="E144" s="11">
        <f>IF(ISBLANK(data!Y172),"",data!Y172)</f>
        <v>0.19252140711247082</v>
      </c>
    </row>
    <row r="145" spans="1:5" x14ac:dyDescent="0.3">
      <c r="A145" s="13">
        <f>data!S173</f>
        <v>42723.5</v>
      </c>
      <c r="B145" s="11">
        <f>IF(ISBLANK(data!V173),"",data!V173)</f>
        <v>0.20550483999799846</v>
      </c>
      <c r="C145" s="11">
        <f>IF(ISBLANK(data!W173),"",data!W173)</f>
        <v>0.26200439310386087</v>
      </c>
      <c r="D145" s="11">
        <f>IF(ISBLANK(data!X173),"",data!X173)</f>
        <v>0.34663515416825003</v>
      </c>
      <c r="E145" s="11">
        <f>IF(ISBLANK(data!Y173),"",data!Y173)</f>
        <v>0.18585561272989065</v>
      </c>
    </row>
    <row r="146" spans="1:5" x14ac:dyDescent="0.3">
      <c r="A146" s="13">
        <f>data!S174</f>
        <v>42730.5</v>
      </c>
      <c r="B146" s="11">
        <f>IF(ISBLANK(data!V174),"",data!V174)</f>
        <v>0.17883638105337898</v>
      </c>
      <c r="C146" s="11">
        <f>IF(ISBLANK(data!W174),"",data!W174)</f>
        <v>0.31051872118025825</v>
      </c>
      <c r="D146" s="11">
        <f>IF(ISBLANK(data!X174),"",data!X174)</f>
        <v>0.32258731144664815</v>
      </c>
      <c r="E146" s="11">
        <f>IF(ISBLANK(data!Y174),"",data!Y174)</f>
        <v>0.18805758631971467</v>
      </c>
    </row>
    <row r="147" spans="1:5" x14ac:dyDescent="0.3">
      <c r="A147" s="13">
        <f>data!S175</f>
        <v>42737.5</v>
      </c>
      <c r="B147" s="11">
        <f>IF(ISBLANK(data!V175),"",data!V175)</f>
        <v>0.20468545554654016</v>
      </c>
      <c r="C147" s="11">
        <f>IF(ISBLANK(data!W175),"",data!W175)</f>
        <v>0.19613368181898444</v>
      </c>
      <c r="D147" s="11">
        <f>IF(ISBLANK(data!X175),"",data!X175)</f>
        <v>0.40761099495906078</v>
      </c>
      <c r="E147" s="11">
        <f>IF(ISBLANK(data!Y175),"",data!Y175)</f>
        <v>0.19156986767541465</v>
      </c>
    </row>
    <row r="148" spans="1:5" x14ac:dyDescent="0.3">
      <c r="A148" s="13">
        <f>data!S176</f>
        <v>42744.5</v>
      </c>
      <c r="B148" s="11">
        <f>IF(ISBLANK(data!V176),"",data!V176)</f>
        <v>0.21246487643285358</v>
      </c>
      <c r="C148" s="11">
        <f>IF(ISBLANK(data!W176),"",data!W176)</f>
        <v>0.1731362915820602</v>
      </c>
      <c r="D148" s="11">
        <f>IF(ISBLANK(data!X176),"",data!X176)</f>
        <v>0.42476153255738497</v>
      </c>
      <c r="E148" s="11">
        <f>IF(ISBLANK(data!Y176),"",data!Y176)</f>
        <v>0.18963729942770138</v>
      </c>
    </row>
    <row r="149" spans="1:5" x14ac:dyDescent="0.3">
      <c r="A149" s="13">
        <f>data!S177</f>
        <v>42751.5</v>
      </c>
      <c r="B149" s="11">
        <f>IF(ISBLANK(data!V177),"",data!V177)</f>
        <v>0.1736188328851471</v>
      </c>
      <c r="C149" s="11">
        <f>IF(ISBLANK(data!W177),"",data!W177)</f>
        <v>0.52902019574165271</v>
      </c>
      <c r="D149" s="11">
        <f>IF(ISBLANK(data!X177),"",data!X177)</f>
        <v>0.15134613306827421</v>
      </c>
      <c r="E149" s="11">
        <f>IF(ISBLANK(data!Y177),"",data!Y177)</f>
        <v>0.14601483830492598</v>
      </c>
    </row>
    <row r="150" spans="1:5" x14ac:dyDescent="0.3">
      <c r="A150" s="13">
        <f>data!S178</f>
        <v>42758.5</v>
      </c>
      <c r="B150" s="11">
        <f>IF(ISBLANK(data!V178),"",data!V178)</f>
        <v>0.17222669847734132</v>
      </c>
      <c r="C150" s="11">
        <f>IF(ISBLANK(data!W178),"",data!W178)</f>
        <v>0.61070225384895316</v>
      </c>
      <c r="D150" s="11">
        <f>IF(ISBLANK(data!X178),"",data!X178)</f>
        <v>9.4712154848503385E-2</v>
      </c>
      <c r="E150" s="11">
        <f>IF(ISBLANK(data!Y178),"",data!Y178)</f>
        <v>0.12235889282520217</v>
      </c>
    </row>
    <row r="151" spans="1:5" x14ac:dyDescent="0.3">
      <c r="A151" s="13">
        <f>data!S179</f>
        <v>42765.5</v>
      </c>
      <c r="B151" s="11">
        <f>IF(ISBLANK(data!V179),"",data!V179)</f>
        <v>0.17468808775879818</v>
      </c>
      <c r="C151" s="11">
        <f>IF(ISBLANK(data!W179),"",data!W179)</f>
        <v>0.58277332598271592</v>
      </c>
      <c r="D151" s="11">
        <f>IF(ISBLANK(data!X179),"",data!X179)</f>
        <v>0.11255661831131382</v>
      </c>
      <c r="E151" s="11">
        <f>IF(ISBLANK(data!Y179),"",data!Y179)</f>
        <v>0.12998196794717201</v>
      </c>
    </row>
    <row r="152" spans="1:5" x14ac:dyDescent="0.3">
      <c r="A152" s="13">
        <f>data!S180</f>
        <v>42772.5</v>
      </c>
      <c r="B152" s="11">
        <f>IF(ISBLANK(data!V180),"",data!V180)</f>
        <v>0.26695871412314687</v>
      </c>
      <c r="C152" s="11">
        <f>IF(ISBLANK(data!W180),"",data!W180)</f>
        <v>0.41842740676396062</v>
      </c>
      <c r="D152" s="11">
        <f>IF(ISBLANK(data!X180),"",data!X180)</f>
        <v>0.2158692175839457</v>
      </c>
      <c r="E152" s="11">
        <f>IF(ISBLANK(data!Y180),"",data!Y180)</f>
        <v>9.8744661528946759E-2</v>
      </c>
    </row>
    <row r="153" spans="1:5" x14ac:dyDescent="0.3">
      <c r="A153" s="13">
        <f>data!S181</f>
        <v>42779.5</v>
      </c>
      <c r="B153" s="11">
        <f>IF(ISBLANK(data!V181),"",data!V181)</f>
        <v>0.43415409834923785</v>
      </c>
      <c r="C153" s="11">
        <f>IF(ISBLANK(data!W181),"",data!W181)</f>
        <v>0.32392362545304049</v>
      </c>
      <c r="D153" s="11">
        <f>IF(ISBLANK(data!X181),"",data!X181)</f>
        <v>0.12019477867911885</v>
      </c>
      <c r="E153" s="11">
        <f>IF(ISBLANK(data!Y181),"",data!Y181)</f>
        <v>0.12172749751860278</v>
      </c>
    </row>
    <row r="154" spans="1:5" x14ac:dyDescent="0.3">
      <c r="A154" s="13">
        <f>data!S182</f>
        <v>42786.5</v>
      </c>
      <c r="B154" s="11">
        <f>IF(ISBLANK(data!V182),"",data!V182)</f>
        <v>0.46327330761896729</v>
      </c>
      <c r="C154" s="11">
        <f>IF(ISBLANK(data!W182),"",data!W182)</f>
        <v>0.24620096235716185</v>
      </c>
      <c r="D154" s="11">
        <f>IF(ISBLANK(data!X182),"",data!X182)</f>
        <v>0.16274498393793996</v>
      </c>
      <c r="E154" s="11">
        <f>IF(ISBLANK(data!Y182),"",data!Y182)</f>
        <v>0.1277807460859309</v>
      </c>
    </row>
    <row r="155" spans="1:5" x14ac:dyDescent="0.3">
      <c r="A155" s="13">
        <f>data!S183</f>
        <v>42793.5</v>
      </c>
      <c r="B155" s="11">
        <f>IF(ISBLANK(data!V183),"",data!V183)</f>
        <v>0.52999840786198171</v>
      </c>
      <c r="C155" s="11">
        <f>IF(ISBLANK(data!W183),"",data!W183)</f>
        <v>0.17062349761675927</v>
      </c>
      <c r="D155" s="11">
        <f>IF(ISBLANK(data!X183),"",data!X183)</f>
        <v>0.20588128283191887</v>
      </c>
      <c r="E155" s="11">
        <f>IF(ISBLANK(data!Y183),"",data!Y183)</f>
        <v>9.3496811689340112E-2</v>
      </c>
    </row>
    <row r="156" spans="1:5" x14ac:dyDescent="0.3">
      <c r="A156" s="13">
        <f>data!S184</f>
        <v>42800.5</v>
      </c>
      <c r="B156" s="11">
        <f>IF(ISBLANK(data!V184),"",data!V184)</f>
        <v>0.60076399982318784</v>
      </c>
      <c r="C156" s="11">
        <f>IF(ISBLANK(data!W184),"",data!W184)</f>
        <v>9.3257502004429504E-2</v>
      </c>
      <c r="D156" s="11">
        <f>IF(ISBLANK(data!X184),"",data!X184)</f>
        <v>0.24142043841876171</v>
      </c>
      <c r="E156" s="11">
        <f>IF(ISBLANK(data!Y184),"",data!Y184)</f>
        <v>6.4558059753621042E-2</v>
      </c>
    </row>
    <row r="157" spans="1:5" x14ac:dyDescent="0.3">
      <c r="A157" s="13">
        <f>data!S185</f>
        <v>42807.5</v>
      </c>
      <c r="B157" s="11">
        <f>IF(ISBLANK(data!V185),"",data!V185)</f>
        <v>0.58216845067775513</v>
      </c>
      <c r="C157" s="11">
        <f>IF(ISBLANK(data!W185),"",data!W185)</f>
        <v>0.13583984647253117</v>
      </c>
      <c r="D157" s="11">
        <f>IF(ISBLANK(data!X185),"",data!X185)</f>
        <v>0.21681695578995322</v>
      </c>
      <c r="E157" s="11">
        <f>IF(ISBLANK(data!Y185),"",data!Y185)</f>
        <v>6.5174747059760438E-2</v>
      </c>
    </row>
    <row r="158" spans="1:5" x14ac:dyDescent="0.3">
      <c r="A158" s="13">
        <f>data!S186</f>
        <v>42814.5</v>
      </c>
      <c r="B158" s="11">
        <f>IF(ISBLANK(data!V186),"",data!V186)</f>
        <v>0.38573236314858772</v>
      </c>
      <c r="C158" s="11">
        <f>IF(ISBLANK(data!W186),"",data!W186)</f>
        <v>0.27265798631108751</v>
      </c>
      <c r="D158" s="11">
        <f>IF(ISBLANK(data!X186),"",data!X186)</f>
        <v>0.18504951354835486</v>
      </c>
      <c r="E158" s="11">
        <f>IF(ISBLANK(data!Y186),"",data!Y186)</f>
        <v>0.15656013699196991</v>
      </c>
    </row>
    <row r="159" spans="1:5" x14ac:dyDescent="0.3">
      <c r="A159" s="13">
        <f>data!S187</f>
        <v>42821.5</v>
      </c>
      <c r="B159" s="11">
        <f>IF(ISBLANK(data!V187),"",data!V187)</f>
        <v>0.35879030674876872</v>
      </c>
      <c r="C159" s="11">
        <f>IF(ISBLANK(data!W187),"",data!W187)</f>
        <v>0.31963993410253755</v>
      </c>
      <c r="D159" s="11">
        <f>IF(ISBLANK(data!X187),"",data!X187)</f>
        <v>0.12760080737842733</v>
      </c>
      <c r="E159" s="11">
        <f>IF(ISBLANK(data!Y187),"",data!Y187)</f>
        <v>0.19396895177026635</v>
      </c>
    </row>
    <row r="160" spans="1:5" x14ac:dyDescent="0.3">
      <c r="A160" s="13">
        <f>data!S188</f>
        <v>42828</v>
      </c>
      <c r="B160" s="11">
        <f>IF(ISBLANK(data!V188),"",data!V188)</f>
        <v>0.44804946747214952</v>
      </c>
      <c r="C160" s="11">
        <f>IF(ISBLANK(data!W188),"",data!W188)</f>
        <v>0.32606531802746147</v>
      </c>
      <c r="D160" s="11">
        <f>IF(ISBLANK(data!X188),"",data!X188)</f>
        <v>0.13679418290253331</v>
      </c>
      <c r="E160" s="11">
        <f>IF(ISBLANK(data!Y188),"",data!Y188)</f>
        <v>8.9091031597855738E-2</v>
      </c>
    </row>
    <row r="161" spans="1:5" x14ac:dyDescent="0.3">
      <c r="A161" s="13">
        <f>data!S189</f>
        <v>42835.5</v>
      </c>
      <c r="B161" s="11">
        <f>IF(ISBLANK(data!V189),"",data!V189)</f>
        <v>0.44241845563925847</v>
      </c>
      <c r="C161" s="11">
        <f>IF(ISBLANK(data!W189),"",data!W189)</f>
        <v>0.31772018671070668</v>
      </c>
      <c r="D161" s="11">
        <f>IF(ISBLANK(data!X189),"",data!X189)</f>
        <v>0.1437596150817845</v>
      </c>
      <c r="E161" s="11">
        <f>IF(ISBLANK(data!Y189),"",data!Y189)</f>
        <v>9.6101742568250367E-2</v>
      </c>
    </row>
    <row r="162" spans="1:5" x14ac:dyDescent="0.3">
      <c r="A162" s="13">
        <f>data!S190</f>
        <v>42842.5</v>
      </c>
      <c r="B162" s="11">
        <f>IF(ISBLANK(data!V190),"",data!V190)</f>
        <v>0.46960325843254758</v>
      </c>
      <c r="C162" s="11">
        <f>IF(ISBLANK(data!W190),"",data!W190)</f>
        <v>0.30646036867814391</v>
      </c>
      <c r="D162" s="11">
        <f>IF(ISBLANK(data!X190),"",data!X190)</f>
        <v>0.14588780854324937</v>
      </c>
      <c r="E162" s="11">
        <f>IF(ISBLANK(data!Y190),"",data!Y190)</f>
        <v>7.8048564346059182E-2</v>
      </c>
    </row>
    <row r="163" spans="1:5" x14ac:dyDescent="0.3">
      <c r="A163" s="13">
        <f>data!S191</f>
        <v>42849.5</v>
      </c>
      <c r="B163" s="11">
        <f>IF(ISBLANK(data!V191),"",data!V191)</f>
        <v>0.46911478485281605</v>
      </c>
      <c r="C163" s="11">
        <f>IF(ISBLANK(data!W191),"",data!W191)</f>
        <v>0.30808955045856873</v>
      </c>
      <c r="D163" s="11">
        <f>IF(ISBLANK(data!X191),"",data!X191)</f>
        <v>0.14456812279450779</v>
      </c>
      <c r="E163" s="11">
        <f>IF(ISBLANK(data!Y191),"",data!Y191)</f>
        <v>7.8227541894107411E-2</v>
      </c>
    </row>
    <row r="164" spans="1:5" x14ac:dyDescent="0.3">
      <c r="A164" s="13">
        <f>data!S192</f>
        <v>42856.5</v>
      </c>
      <c r="B164" s="11">
        <f>IF(ISBLANK(data!V192),"",data!V192)</f>
        <v>0.4712700734989092</v>
      </c>
      <c r="C164" s="11">
        <f>IF(ISBLANK(data!W192),"",data!W192)</f>
        <v>0.30845232279928786</v>
      </c>
      <c r="D164" s="11">
        <f>IF(ISBLANK(data!X192),"",data!X192)</f>
        <v>0.14210067854607658</v>
      </c>
      <c r="E164" s="11">
        <f>IF(ISBLANK(data!Y192),"",data!Y192)</f>
        <v>7.8176925155726287E-2</v>
      </c>
    </row>
    <row r="165" spans="1:5" x14ac:dyDescent="0.3">
      <c r="A165" s="13">
        <f>data!S193</f>
        <v>42863.5</v>
      </c>
      <c r="B165" s="11">
        <f>IF(ISBLANK(data!V193),"",data!V193)</f>
        <v>0.44640045818324292</v>
      </c>
      <c r="C165" s="11">
        <f>IF(ISBLANK(data!W193),"",data!W193)</f>
        <v>0.30800506428833679</v>
      </c>
      <c r="D165" s="11">
        <f>IF(ISBLANK(data!X193),"",data!X193)</f>
        <v>0.15536478186821062</v>
      </c>
      <c r="E165" s="11">
        <f>IF(ISBLANK(data!Y193),"",data!Y193)</f>
        <v>9.0229695660209649E-2</v>
      </c>
    </row>
    <row r="166" spans="1:5" x14ac:dyDescent="0.3">
      <c r="A166" s="13">
        <f>data!S194</f>
        <v>42870.5</v>
      </c>
      <c r="B166" s="11">
        <f>IF(ISBLANK(data!V194),"",data!V194)</f>
        <v>0.46953444233192454</v>
      </c>
      <c r="C166" s="11">
        <f>IF(ISBLANK(data!W194),"",data!W194)</f>
        <v>0.33567470397173771</v>
      </c>
      <c r="D166" s="11">
        <f>IF(ISBLANK(data!X194),"",data!X194)</f>
        <v>0.12968622658253767</v>
      </c>
      <c r="E166" s="11">
        <f>IF(ISBLANK(data!Y194),"",data!Y194)</f>
        <v>6.5104627113800093E-2</v>
      </c>
    </row>
    <row r="167" spans="1:5" x14ac:dyDescent="0.3">
      <c r="A167" s="13">
        <f>data!S195</f>
        <v>42877.5</v>
      </c>
      <c r="B167" s="11">
        <f>IF(ISBLANK(data!V195),"",data!V195)</f>
        <v>0.46624196780365912</v>
      </c>
      <c r="C167" s="11">
        <f>IF(ISBLANK(data!W195),"",data!W195)</f>
        <v>0.35411973990076873</v>
      </c>
      <c r="D167" s="11">
        <f>IF(ISBLANK(data!X195),"",data!X195)</f>
        <v>0.11074760294175955</v>
      </c>
      <c r="E167" s="11">
        <f>IF(ISBLANK(data!Y195),"",data!Y195)</f>
        <v>6.8890689353812581E-2</v>
      </c>
    </row>
    <row r="168" spans="1:5" x14ac:dyDescent="0.3">
      <c r="A168" s="13">
        <f>data!S196</f>
        <v>42884.5</v>
      </c>
      <c r="B168" s="11">
        <f>IF(ISBLANK(data!V196),"",data!V196)</f>
        <v>0.47831755223870748</v>
      </c>
      <c r="C168" s="11">
        <f>IF(ISBLANK(data!W196),"",data!W196)</f>
        <v>0.33134902373228425</v>
      </c>
      <c r="D168" s="11">
        <f>IF(ISBLANK(data!X196),"",data!X196)</f>
        <v>0.12537205553054548</v>
      </c>
      <c r="E168" s="11">
        <f>IF(ISBLANK(data!Y196),"",data!Y196)</f>
        <v>6.4961368498462776E-2</v>
      </c>
    </row>
    <row r="169" spans="1:5" x14ac:dyDescent="0.3">
      <c r="A169" s="13">
        <f>data!S197</f>
        <v>42891.5</v>
      </c>
      <c r="B169" s="11">
        <f>IF(ISBLANK(data!V197),"",data!V197)</f>
        <v>0.43709914003430073</v>
      </c>
      <c r="C169" s="11">
        <f>IF(ISBLANK(data!W197),"",data!W197)</f>
        <v>0.26790160199456636</v>
      </c>
      <c r="D169" s="11">
        <f>IF(ISBLANK(data!X197),"",data!X197)</f>
        <v>0.17027964321458164</v>
      </c>
      <c r="E169" s="11">
        <f>IF(ISBLANK(data!Y197),"",data!Y197)</f>
        <v>0.12471961475655126</v>
      </c>
    </row>
    <row r="170" spans="1:5" x14ac:dyDescent="0.3">
      <c r="A170" s="13">
        <f>data!S198</f>
        <v>42898.5</v>
      </c>
      <c r="B170" s="11">
        <f>IF(ISBLANK(data!V198),"",data!V198)</f>
        <v>0.41850214826929355</v>
      </c>
      <c r="C170" s="11">
        <f>IF(ISBLANK(data!W198),"",data!W198)</f>
        <v>0.28308426556127686</v>
      </c>
      <c r="D170" s="11">
        <f>IF(ISBLANK(data!X198),"",data!X198)</f>
        <v>0.14886012547270014</v>
      </c>
      <c r="E170" s="11">
        <f>IF(ISBLANK(data!Y198),"",data!Y198)</f>
        <v>0.14955346069672942</v>
      </c>
    </row>
    <row r="171" spans="1:5" x14ac:dyDescent="0.3">
      <c r="A171" s="13">
        <f>data!S199</f>
        <v>42905.5</v>
      </c>
      <c r="B171" s="11">
        <f>IF(ISBLANK(data!V199),"",data!V199)</f>
        <v>0.40737171948293432</v>
      </c>
      <c r="C171" s="11">
        <f>IF(ISBLANK(data!W199),"",data!W199)</f>
        <v>0.27577386410100907</v>
      </c>
      <c r="D171" s="11">
        <f>IF(ISBLANK(data!X199),"",data!X199)</f>
        <v>0.15179406602274648</v>
      </c>
      <c r="E171" s="11">
        <f>IF(ISBLANK(data!Y199),"",data!Y199)</f>
        <v>0.16506035039331013</v>
      </c>
    </row>
    <row r="172" spans="1:5" x14ac:dyDescent="0.3">
      <c r="A172" s="13">
        <f>data!S200</f>
        <v>42912.5</v>
      </c>
      <c r="B172" s="11">
        <f>IF(ISBLANK(data!V200),"",data!V200)</f>
        <v>0.35065757861217151</v>
      </c>
      <c r="C172" s="11">
        <f>IF(ISBLANK(data!W200),"",data!W200)</f>
        <v>0.48632852072370192</v>
      </c>
      <c r="D172" s="11">
        <f>IF(ISBLANK(data!X200),"",data!X200)</f>
        <v>1.369390637411195E-5</v>
      </c>
      <c r="E172" s="11">
        <f>IF(ISBLANK(data!Y200),"",data!Y200)</f>
        <v>0.16300020675775254</v>
      </c>
    </row>
    <row r="173" spans="1:5" x14ac:dyDescent="0.3">
      <c r="A173" s="13">
        <f>data!S201</f>
        <v>42919.5</v>
      </c>
      <c r="B173" s="11">
        <f>IF(ISBLANK(data!V201),"",data!V201)</f>
        <v>0.3707178946085829</v>
      </c>
      <c r="C173" s="11">
        <f>IF(ISBLANK(data!W201),"",data!W201)</f>
        <v>0.44453625241974237</v>
      </c>
      <c r="D173" s="11">
        <f>IF(ISBLANK(data!X201),"",data!X201)</f>
        <v>8.138257460918423E-2</v>
      </c>
      <c r="E173" s="11">
        <f>IF(ISBLANK(data!Y201),"",data!Y201)</f>
        <v>0.10336327836249053</v>
      </c>
    </row>
    <row r="174" spans="1:5" x14ac:dyDescent="0.3">
      <c r="A174" s="13">
        <f>data!S202</f>
        <v>42926.5</v>
      </c>
      <c r="B174" s="11">
        <f>IF(ISBLANK(data!V202),"",data!V202)</f>
        <v>0.37317149727295529</v>
      </c>
      <c r="C174" s="11">
        <f>IF(ISBLANK(data!W202),"",data!W202)</f>
        <v>0.47028386626301644</v>
      </c>
      <c r="D174" s="11">
        <f>IF(ISBLANK(data!X202),"",data!X202)</f>
        <v>6.89235849373869E-2</v>
      </c>
      <c r="E174" s="11">
        <f>IF(ISBLANK(data!Y202),"",data!Y202)</f>
        <v>8.7621051526641333E-2</v>
      </c>
    </row>
    <row r="175" spans="1:5" x14ac:dyDescent="0.3">
      <c r="A175" s="13">
        <f>data!S203</f>
        <v>42933.5</v>
      </c>
      <c r="B175" s="11">
        <f>IF(ISBLANK(data!V203),"",data!V203)</f>
        <v>0.38999508085613033</v>
      </c>
      <c r="C175" s="11">
        <f>IF(ISBLANK(data!W203),"",data!W203)</f>
        <v>0.44241434284532216</v>
      </c>
      <c r="D175" s="11">
        <f>IF(ISBLANK(data!X203),"",data!X203)</f>
        <v>9.2410453414595875E-2</v>
      </c>
      <c r="E175" s="11">
        <f>IF(ISBLANK(data!Y203),"",data!Y203)</f>
        <v>7.5180122883951706E-2</v>
      </c>
    </row>
    <row r="176" spans="1:5" x14ac:dyDescent="0.3">
      <c r="A176" s="13">
        <f>data!S204</f>
        <v>42940.5</v>
      </c>
      <c r="B176" s="11">
        <f>IF(ISBLANK(data!V204),"",data!V204)</f>
        <v>0.33803592058174764</v>
      </c>
      <c r="C176" s="11">
        <f>IF(ISBLANK(data!W204),"",data!W204)</f>
        <v>0.60195811067792615</v>
      </c>
      <c r="D176" s="11">
        <f>IF(ISBLANK(data!X204),"",data!X204)</f>
        <v>1.3886096808791456E-2</v>
      </c>
      <c r="E176" s="11">
        <f>IF(ISBLANK(data!Y204),"",data!Y204)</f>
        <v>4.611987193153478E-2</v>
      </c>
    </row>
    <row r="177" spans="1:5" x14ac:dyDescent="0.3">
      <c r="A177" s="13">
        <f>data!S205</f>
        <v>42951</v>
      </c>
      <c r="B177" s="11">
        <f>IF(ISBLANK(data!V205),"",data!V205)</f>
        <v>0.35026050297611683</v>
      </c>
      <c r="C177" s="11">
        <f>IF(ISBLANK(data!W205),"",data!W205)</f>
        <v>0.60239791424313194</v>
      </c>
      <c r="D177" s="11">
        <f>IF(ISBLANK(data!X205),"",data!X205)</f>
        <v>2.1234289361129529E-2</v>
      </c>
      <c r="E177" s="11">
        <f>IF(ISBLANK(data!Y205),"",data!Y205)</f>
        <v>2.6107293419621713E-2</v>
      </c>
    </row>
    <row r="178" spans="1:5" x14ac:dyDescent="0.3">
      <c r="A178" s="13">
        <f>data!S206</f>
        <v>42958</v>
      </c>
      <c r="B178" s="11">
        <f>IF(ISBLANK(data!V206),"",data!V206)</f>
        <v>0.42244696772591911</v>
      </c>
      <c r="C178" s="11">
        <f>IF(ISBLANK(data!W206),"",data!W206)</f>
        <v>0.5376455601504524</v>
      </c>
      <c r="D178" s="11">
        <f>IF(ISBLANK(data!X206),"",data!X206)</f>
        <v>1.5199641375270807E-5</v>
      </c>
      <c r="E178" s="11">
        <f>IF(ISBLANK(data!Y206),"",data!Y206)</f>
        <v>3.9892272482253292E-2</v>
      </c>
    </row>
    <row r="179" spans="1:5" x14ac:dyDescent="0.3">
      <c r="A179" s="13">
        <f>data!S207</f>
        <v>42965</v>
      </c>
      <c r="B179" s="11">
        <f>IF(ISBLANK(data!V207),"",data!V207)</f>
        <v>0.46748178108382688</v>
      </c>
      <c r="C179" s="11">
        <f>IF(ISBLANK(data!W207),"",data!W207)</f>
        <v>0.52534337828432776</v>
      </c>
      <c r="D179" s="11">
        <f>IF(ISBLANK(data!X207),"",data!X207)</f>
        <v>9.7350257661852457E-6</v>
      </c>
      <c r="E179" s="11">
        <f>IF(ISBLANK(data!Y207),"",data!Y207)</f>
        <v>7.1651056060791302E-3</v>
      </c>
    </row>
    <row r="180" spans="1:5" x14ac:dyDescent="0.3">
      <c r="A180" s="13">
        <f>data!S208</f>
        <v>42972</v>
      </c>
      <c r="B180" s="11">
        <f>IF(ISBLANK(data!V208),"",data!V208)</f>
        <v>0.44560211113854403</v>
      </c>
      <c r="C180" s="11">
        <f>IF(ISBLANK(data!W208),"",data!W208)</f>
        <v>0.44010769242124737</v>
      </c>
      <c r="D180" s="11">
        <f>IF(ISBLANK(data!X208),"",data!X208)</f>
        <v>1.3829289478158586E-5</v>
      </c>
      <c r="E180" s="11">
        <f>IF(ISBLANK(data!Y208),"",data!Y208)</f>
        <v>0.11427636715073049</v>
      </c>
    </row>
    <row r="181" spans="1:5" x14ac:dyDescent="0.3">
      <c r="A181" s="13">
        <f>data!S209</f>
        <v>42979</v>
      </c>
      <c r="B181" s="11">
        <f>IF(ISBLANK(data!V209),"",data!V209)</f>
        <v>0.5022318763904724</v>
      </c>
      <c r="C181" s="11">
        <f>IF(ISBLANK(data!W209),"",data!W209)</f>
        <v>0.46998404836819657</v>
      </c>
      <c r="D181" s="11">
        <f>IF(ISBLANK(data!X209),"",data!X209)</f>
        <v>1.4208124248782961E-5</v>
      </c>
      <c r="E181" s="11">
        <f>IF(ISBLANK(data!Y209),"",data!Y209)</f>
        <v>2.7769867117082275E-2</v>
      </c>
    </row>
    <row r="182" spans="1:5" x14ac:dyDescent="0.3">
      <c r="A182" s="13">
        <f>data!S210</f>
        <v>42986</v>
      </c>
      <c r="B182" s="11">
        <f>IF(ISBLANK(data!V210),"",data!V210)</f>
        <v>0.48766547330951743</v>
      </c>
      <c r="C182" s="11">
        <f>IF(ISBLANK(data!W210),"",data!W210)</f>
        <v>0.48964579284783533</v>
      </c>
      <c r="D182" s="11">
        <f>IF(ISBLANK(data!X210),"",data!X210)</f>
        <v>1.4475359316432402E-5</v>
      </c>
      <c r="E182" s="11">
        <f>IF(ISBLANK(data!Y210),"",data!Y210)</f>
        <v>2.2674258483330805E-2</v>
      </c>
    </row>
    <row r="183" spans="1:5" x14ac:dyDescent="0.3">
      <c r="A183" s="13">
        <f>data!S211</f>
        <v>42993</v>
      </c>
      <c r="B183" s="11">
        <f>IF(ISBLANK(data!V211),"",data!V211)</f>
        <v>0.48722431242492237</v>
      </c>
      <c r="C183" s="11">
        <f>IF(ISBLANK(data!W211),"",data!W211)</f>
        <v>0.51275750493667061</v>
      </c>
      <c r="D183" s="11">
        <f>IF(ISBLANK(data!X211),"",data!X211)</f>
        <v>1.3551035146216512E-6</v>
      </c>
      <c r="E183" s="11">
        <f>IF(ISBLANK(data!Y211),"",data!Y211)</f>
        <v>1.6827534892408408E-5</v>
      </c>
    </row>
    <row r="184" spans="1:5" x14ac:dyDescent="0.3">
      <c r="A184" s="13">
        <f>data!S212</f>
        <v>43000</v>
      </c>
      <c r="B184" s="11">
        <f>IF(ISBLANK(data!V212),"",data!V212)</f>
        <v>0.49242023184095524</v>
      </c>
      <c r="C184" s="11">
        <f>IF(ISBLANK(data!W212),"",data!W212)</f>
        <v>0.50755297532457855</v>
      </c>
      <c r="D184" s="11">
        <f>IF(ISBLANK(data!X212),"",data!X212)</f>
        <v>5.9190911963503477E-6</v>
      </c>
      <c r="E184" s="11">
        <f>IF(ISBLANK(data!Y212),"",data!Y212)</f>
        <v>2.0873743269929062E-5</v>
      </c>
    </row>
    <row r="185" spans="1:5" x14ac:dyDescent="0.3">
      <c r="A185" s="13">
        <f>data!S213</f>
        <v>43007</v>
      </c>
      <c r="B185" s="11">
        <f>IF(ISBLANK(data!V213),"",data!V213)</f>
        <v>0.53911870476003132</v>
      </c>
      <c r="C185" s="11">
        <f>IF(ISBLANK(data!W213),"",data!W213)</f>
        <v>0.46084686015835291</v>
      </c>
      <c r="D185" s="11">
        <f>IF(ISBLANK(data!X213),"",data!X213)</f>
        <v>1.1147114034893687E-5</v>
      </c>
      <c r="E185" s="11">
        <f>IF(ISBLANK(data!Y213),"",data!Y213)</f>
        <v>2.328796758086864E-5</v>
      </c>
    </row>
    <row r="186" spans="1:5" x14ac:dyDescent="0.3">
      <c r="A186" s="13">
        <f>data!S214</f>
        <v>43014</v>
      </c>
      <c r="B186" s="11">
        <f>IF(ISBLANK(data!V214),"",data!V214)</f>
        <v>0.52858768320657445</v>
      </c>
      <c r="C186" s="11">
        <f>IF(ISBLANK(data!W214),"",data!W214)</f>
        <v>0.47138437213831857</v>
      </c>
      <c r="D186" s="11">
        <f>IF(ISBLANK(data!X214),"",data!X214)</f>
        <v>5.1486358285546296E-6</v>
      </c>
      <c r="E186" s="11">
        <f>IF(ISBLANK(data!Y214),"",data!Y214)</f>
        <v>2.27960192784355E-5</v>
      </c>
    </row>
    <row r="187" spans="1:5" x14ac:dyDescent="0.3">
      <c r="A187" s="13">
        <f>data!S215</f>
        <v>43021</v>
      </c>
      <c r="B187" s="11">
        <f>IF(ISBLANK(data!V215),"",data!V215)</f>
        <v>0.53859285260383882</v>
      </c>
      <c r="C187" s="11">
        <f>IF(ISBLANK(data!W215),"",data!W215)</f>
        <v>0.46137711184514862</v>
      </c>
      <c r="D187" s="11">
        <f>IF(ISBLANK(data!X215),"",data!X215)</f>
        <v>1.0686536968211583E-5</v>
      </c>
      <c r="E187" s="11">
        <f>IF(ISBLANK(data!Y215),"",data!Y215)</f>
        <v>1.9349014044414219E-5</v>
      </c>
    </row>
    <row r="188" spans="1:5" x14ac:dyDescent="0.3">
      <c r="A188" s="13">
        <f>data!S216</f>
        <v>43028</v>
      </c>
      <c r="B188" s="11">
        <f>IF(ISBLANK(data!V216),"",data!V216)</f>
        <v>0.53633660007833006</v>
      </c>
      <c r="C188" s="11">
        <f>IF(ISBLANK(data!W216),"",data!W216)</f>
        <v>0.46363251674077538</v>
      </c>
      <c r="D188" s="11">
        <f>IF(ISBLANK(data!X216),"",data!X216)</f>
        <v>1.0875064552362697E-5</v>
      </c>
      <c r="E188" s="11">
        <f>IF(ISBLANK(data!Y216),"",data!Y216)</f>
        <v>2.0008116342164251E-5</v>
      </c>
    </row>
    <row r="189" spans="1:5" x14ac:dyDescent="0.3">
      <c r="A189" s="13">
        <f>data!S217</f>
        <v>43035</v>
      </c>
      <c r="B189" s="11">
        <f>IF(ISBLANK(data!V217),"",data!V217)</f>
        <v>0.54603205863400384</v>
      </c>
      <c r="C189" s="11">
        <f>IF(ISBLANK(data!W217),"",data!W217)</f>
        <v>0.45394282446779544</v>
      </c>
      <c r="D189" s="11">
        <f>IF(ISBLANK(data!X217),"",data!X217)</f>
        <v>1.1312288522902841E-5</v>
      </c>
      <c r="E189" s="11">
        <f>IF(ISBLANK(data!Y217),"",data!Y217)</f>
        <v>1.3804609677754051E-5</v>
      </c>
    </row>
    <row r="190" spans="1:5" x14ac:dyDescent="0.3">
      <c r="A190" s="13">
        <f>data!S218</f>
        <v>43042</v>
      </c>
      <c r="B190" s="11">
        <f>IF(ISBLANK(data!V218),"",data!V218)</f>
        <v>0.52337008207563296</v>
      </c>
      <c r="C190" s="11">
        <f>IF(ISBLANK(data!W218),"",data!W218)</f>
        <v>0.47660819644469221</v>
      </c>
      <c r="D190" s="11">
        <f>IF(ISBLANK(data!X218),"",data!X218)</f>
        <v>1.1682510550541318E-5</v>
      </c>
      <c r="E190" s="11">
        <f>IF(ISBLANK(data!Y218),"",data!Y218)</f>
        <v>1.0038969124253848E-5</v>
      </c>
    </row>
    <row r="191" spans="1:5" x14ac:dyDescent="0.3">
      <c r="A191" s="13">
        <f>data!S219</f>
        <v>43049</v>
      </c>
      <c r="B191" s="11">
        <f>IF(ISBLANK(data!V219),"",data!V219)</f>
        <v>0.50213234006255969</v>
      </c>
      <c r="C191" s="11">
        <f>IF(ISBLANK(data!W219),"",data!W219)</f>
        <v>0.49784665362292363</v>
      </c>
      <c r="D191" s="11">
        <f>IF(ISBLANK(data!X219),"",data!X219)</f>
        <v>1.2129032776641642E-5</v>
      </c>
      <c r="E191" s="11">
        <f>IF(ISBLANK(data!Y219),"",data!Y219)</f>
        <v>8.8772817401259868E-6</v>
      </c>
    </row>
    <row r="192" spans="1:5" x14ac:dyDescent="0.3">
      <c r="A192" s="13">
        <f>data!S220</f>
        <v>43056</v>
      </c>
      <c r="B192" s="11">
        <f>IF(ISBLANK(data!V220),"",data!V220)</f>
        <v>0.51605600065783697</v>
      </c>
      <c r="C192" s="11">
        <f>IF(ISBLANK(data!W220),"",data!W220)</f>
        <v>0.48392461422122807</v>
      </c>
      <c r="D192" s="11">
        <f>IF(ISBLANK(data!X220),"",data!X220)</f>
        <v>1.1523890859992554E-5</v>
      </c>
      <c r="E192" s="11">
        <f>IF(ISBLANK(data!Y220),"",data!Y220)</f>
        <v>7.8612300750050866E-6</v>
      </c>
    </row>
    <row r="193" spans="1:5" x14ac:dyDescent="0.3">
      <c r="A193" s="13">
        <f>data!S221</f>
        <v>43063</v>
      </c>
      <c r="B193" s="11">
        <f>IF(ISBLANK(data!V221),"",data!V221)</f>
        <v>0.53443864601700353</v>
      </c>
      <c r="C193" s="11">
        <f>IF(ISBLANK(data!W221),"",data!W221)</f>
        <v>0.4004361015037643</v>
      </c>
      <c r="D193" s="11">
        <f>IF(ISBLANK(data!X221),"",data!X221)</f>
        <v>1.2210894075400883E-5</v>
      </c>
      <c r="E193" s="11">
        <f>IF(ISBLANK(data!Y221),"",data!Y221)</f>
        <v>6.5113041585156864E-2</v>
      </c>
    </row>
    <row r="194" spans="1:5" x14ac:dyDescent="0.3">
      <c r="A194" s="13">
        <f>data!S222</f>
        <v>43070</v>
      </c>
      <c r="B194" s="11">
        <f>IF(ISBLANK(data!V222),"",data!V222)</f>
        <v>0.56698469348549485</v>
      </c>
      <c r="C194" s="11">
        <f>IF(ISBLANK(data!W222),"",data!W222)</f>
        <v>0.40092230360577674</v>
      </c>
      <c r="D194" s="11">
        <f>IF(ISBLANK(data!X222),"",data!X222)</f>
        <v>1.2369814472612349E-5</v>
      </c>
      <c r="E194" s="11">
        <f>IF(ISBLANK(data!Y222),"",data!Y222)</f>
        <v>3.208063309425583E-2</v>
      </c>
    </row>
    <row r="195" spans="1:5" x14ac:dyDescent="0.3">
      <c r="A195" s="13">
        <f>data!S223</f>
        <v>43076</v>
      </c>
      <c r="B195" s="11">
        <f>IF(ISBLANK(data!V223),"",data!V223)</f>
        <v>0.57219832530869419</v>
      </c>
      <c r="C195" s="11">
        <f>IF(ISBLANK(data!W223),"",data!W223)</f>
        <v>0.41573588410936108</v>
      </c>
      <c r="D195" s="11">
        <f>IF(ISBLANK(data!X223),"",data!X223)</f>
        <v>6.9978878430275764E-6</v>
      </c>
      <c r="E195" s="11">
        <f>IF(ISBLANK(data!Y223),"",data!Y223)</f>
        <v>1.2058792694101723E-2</v>
      </c>
    </row>
    <row r="196" spans="1:5" x14ac:dyDescent="0.3">
      <c r="A196" s="13">
        <f>data!S224</f>
        <v>43087.5</v>
      </c>
      <c r="B196" s="11">
        <f>IF(ISBLANK(data!V224),"",data!V224)</f>
        <v>0.57529055358674974</v>
      </c>
      <c r="C196" s="11">
        <f>IF(ISBLANK(data!W224),"",data!W224)</f>
        <v>0.41018110593671175</v>
      </c>
      <c r="D196" s="11">
        <f>IF(ISBLANK(data!X224),"",data!X224)</f>
        <v>8.3197452389461808E-6</v>
      </c>
      <c r="E196" s="11">
        <f>IF(ISBLANK(data!Y224),"",data!Y224)</f>
        <v>1.452002073129947E-2</v>
      </c>
    </row>
    <row r="197" spans="1:5" x14ac:dyDescent="0.3">
      <c r="A197" s="13">
        <f>data!S225</f>
        <v>43094.5</v>
      </c>
      <c r="B197" s="11">
        <f>IF(ISBLANK(data!V225),"",data!V225)</f>
        <v>0.58807650862352268</v>
      </c>
      <c r="C197" s="11">
        <f>IF(ISBLANK(data!W225),"",data!W225)</f>
        <v>0.3957395940990468</v>
      </c>
      <c r="D197" s="11">
        <f>IF(ISBLANK(data!X225),"",data!X225)</f>
        <v>8.0327105153866285E-6</v>
      </c>
      <c r="E197" s="11">
        <f>IF(ISBLANK(data!Y225),"",data!Y225)</f>
        <v>1.6175864566915124E-2</v>
      </c>
    </row>
    <row r="198" spans="1:5" x14ac:dyDescent="0.3">
      <c r="A198" s="13">
        <f>data!S226</f>
        <v>43101.5</v>
      </c>
      <c r="B198" s="11">
        <f>IF(ISBLANK(data!V226),"",data!V226)</f>
        <v>0.57987172706202528</v>
      </c>
      <c r="C198" s="11">
        <f>IF(ISBLANK(data!W226),"",data!W226)</f>
        <v>0.40712364974795484</v>
      </c>
      <c r="D198" s="11">
        <f>IF(ISBLANK(data!X226),"",data!X226)</f>
        <v>8.1346077503888825E-6</v>
      </c>
      <c r="E198" s="11">
        <f>IF(ISBLANK(data!Y226),"",data!Y226)</f>
        <v>1.2996488582269559E-2</v>
      </c>
    </row>
    <row r="199" spans="1:5" x14ac:dyDescent="0.3">
      <c r="A199" s="13">
        <f>data!S227</f>
        <v>43108.5</v>
      </c>
      <c r="B199" s="11">
        <f>IF(ISBLANK(data!V227),"",data!V227)</f>
        <v>0.57034114585379436</v>
      </c>
      <c r="C199" s="11">
        <f>IF(ISBLANK(data!W227),"",data!W227)</f>
        <v>0.41163138943549599</v>
      </c>
      <c r="D199" s="11">
        <f>IF(ISBLANK(data!X227),"",data!X227)</f>
        <v>1.1942605684013469E-5</v>
      </c>
      <c r="E199" s="11">
        <f>IF(ISBLANK(data!Y227),"",data!Y227)</f>
        <v>1.8015522105025664E-2</v>
      </c>
    </row>
    <row r="200" spans="1:5" x14ac:dyDescent="0.3">
      <c r="A200" s="13">
        <f>data!S228</f>
        <v>43115.5</v>
      </c>
      <c r="B200" s="11">
        <f>IF(ISBLANK(data!V228),"",data!V228)</f>
        <v>0.56262268943139027</v>
      </c>
      <c r="C200" s="11">
        <f>IF(ISBLANK(data!W228),"",data!W228)</f>
        <v>0.41997549683125873</v>
      </c>
      <c r="D200" s="11">
        <f>IF(ISBLANK(data!X228),"",data!X228)</f>
        <v>1.2376045181328144E-5</v>
      </c>
      <c r="E200" s="11">
        <f>IF(ISBLANK(data!Y228),"",data!Y228)</f>
        <v>1.738943769216969E-2</v>
      </c>
    </row>
    <row r="201" spans="1:5" x14ac:dyDescent="0.3">
      <c r="A201" s="13">
        <f>data!S229</f>
        <v>43122.5</v>
      </c>
      <c r="B201" s="11">
        <f>IF(ISBLANK(data!V229),"",data!V229)</f>
        <v>0.53521185434959861</v>
      </c>
      <c r="C201" s="11">
        <f>IF(ISBLANK(data!W229),"",data!W229)</f>
        <v>0.43826578673065741</v>
      </c>
      <c r="D201" s="11">
        <f>IF(ISBLANK(data!X229),"",data!X229)</f>
        <v>1.291881254592533E-5</v>
      </c>
      <c r="E201" s="11">
        <f>IF(ISBLANK(data!Y229),"",data!Y229)</f>
        <v>2.6509440107198089E-2</v>
      </c>
    </row>
    <row r="202" spans="1:5" x14ac:dyDescent="0.3">
      <c r="A202" s="13">
        <f>data!S230</f>
        <v>43128.5</v>
      </c>
      <c r="B202" s="11">
        <f>IF(ISBLANK(data!V230),"",data!V230)</f>
        <v>0.54943474581337803</v>
      </c>
      <c r="C202" s="11">
        <f>IF(ISBLANK(data!W230),"",data!W230)</f>
        <v>0.42060344627802582</v>
      </c>
      <c r="D202" s="11">
        <f>IF(ISBLANK(data!X230),"",data!X230)</f>
        <v>1.3135651395488966E-5</v>
      </c>
      <c r="E202" s="11">
        <f>IF(ISBLANK(data!Y230),"",data!Y230)</f>
        <v>2.9948672257200673E-2</v>
      </c>
    </row>
    <row r="203" spans="1:5" x14ac:dyDescent="0.3">
      <c r="A203" s="13">
        <f>data!S231</f>
        <v>43136.5</v>
      </c>
      <c r="B203" s="11">
        <f>IF(ISBLANK(data!V231),"",data!V231)</f>
        <v>0.55541723735510939</v>
      </c>
      <c r="C203" s="11">
        <f>IF(ISBLANK(data!W231),"",data!W231)</f>
        <v>0.40983284993268304</v>
      </c>
      <c r="D203" s="11">
        <f>IF(ISBLANK(data!X231),"",data!X231)</f>
        <v>1.6703018803553406E-5</v>
      </c>
      <c r="E203" s="11">
        <f>IF(ISBLANK(data!Y231),"",data!Y231)</f>
        <v>3.4733209693403932E-2</v>
      </c>
    </row>
    <row r="204" spans="1:5" x14ac:dyDescent="0.3">
      <c r="A204" s="13">
        <f>data!S232</f>
        <v>43143.5</v>
      </c>
      <c r="B204" s="11">
        <f>IF(ISBLANK(data!V232),"",data!V232)</f>
        <v>0.55580597284693811</v>
      </c>
      <c r="C204" s="11">
        <f>IF(ISBLANK(data!W232),"",data!W232)</f>
        <v>0.40645831235005814</v>
      </c>
      <c r="D204" s="11">
        <f>IF(ISBLANK(data!X232),"",data!X232)</f>
        <v>1.6254130073880304E-5</v>
      </c>
      <c r="E204" s="11">
        <f>IF(ISBLANK(data!Y232),"",data!Y232)</f>
        <v>3.7719460672929937E-2</v>
      </c>
    </row>
    <row r="205" spans="1:5" x14ac:dyDescent="0.3">
      <c r="A205" s="13">
        <f>data!S233</f>
        <v>43150.5</v>
      </c>
      <c r="B205" s="11">
        <f>IF(ISBLANK(data!V233),"",data!V233)</f>
        <v>0.54957053761542218</v>
      </c>
      <c r="C205" s="11">
        <f>IF(ISBLANK(data!W233),"",data!W233)</f>
        <v>0.41343775892123175</v>
      </c>
      <c r="D205" s="11">
        <f>IF(ISBLANK(data!X233),"",data!X233)</f>
        <v>1.5727737107870127E-5</v>
      </c>
      <c r="E205" s="11">
        <f>IF(ISBLANK(data!Y233),"",data!Y233)</f>
        <v>3.6975975726238258E-2</v>
      </c>
    </row>
    <row r="206" spans="1:5" x14ac:dyDescent="0.3">
      <c r="A206" s="13">
        <f>data!S234</f>
        <v>43157.5</v>
      </c>
      <c r="B206" s="11">
        <f>IF(ISBLANK(data!V234),"",data!V234)</f>
        <v>0.55767232416698709</v>
      </c>
      <c r="C206" s="11">
        <f>IF(ISBLANK(data!W234),"",data!W234)</f>
        <v>0.40827671642571106</v>
      </c>
      <c r="D206" s="11">
        <f>IF(ISBLANK(data!X234),"",data!X234)</f>
        <v>1.4528841607740904E-5</v>
      </c>
      <c r="E206" s="11">
        <f>IF(ISBLANK(data!Y234),"",data!Y234)</f>
        <v>3.4036430565694151E-2</v>
      </c>
    </row>
    <row r="207" spans="1:5" x14ac:dyDescent="0.3">
      <c r="A207" s="13">
        <f>data!S235</f>
        <v>43164.5</v>
      </c>
      <c r="B207" s="11">
        <f>IF(ISBLANK(data!V235),"",data!V235)</f>
        <v>0.53933595366942533</v>
      </c>
      <c r="C207" s="11">
        <f>IF(ISBLANK(data!W235),"",data!W235)</f>
        <v>0.41921274208270315</v>
      </c>
      <c r="D207" s="11">
        <f>IF(ISBLANK(data!X235),"",data!X235)</f>
        <v>1.5856901354634545E-5</v>
      </c>
      <c r="E207" s="11">
        <f>IF(ISBLANK(data!Y235),"",data!Y235)</f>
        <v>4.1435447346516809E-2</v>
      </c>
    </row>
    <row r="208" spans="1:5" x14ac:dyDescent="0.3">
      <c r="A208" s="13">
        <f>data!S236</f>
        <v>43171.5</v>
      </c>
      <c r="B208" s="11">
        <f>IF(ISBLANK(data!V236),"",data!V236)</f>
        <v>0.53768434460083847</v>
      </c>
      <c r="C208" s="11">
        <f>IF(ISBLANK(data!W236),"",data!W236)</f>
        <v>0.42061916932400795</v>
      </c>
      <c r="D208" s="11">
        <f>IF(ISBLANK(data!X236),"",data!X236)</f>
        <v>1.4863461393930362E-5</v>
      </c>
      <c r="E208" s="11">
        <f>IF(ISBLANK(data!Y236),"",data!Y236)</f>
        <v>4.168162261375969E-2</v>
      </c>
    </row>
    <row r="209" spans="1:5" x14ac:dyDescent="0.3">
      <c r="A209" s="13">
        <f>data!S237</f>
        <v>43178.5</v>
      </c>
      <c r="B209" s="11">
        <f>IF(ISBLANK(data!V237),"",data!V237)</f>
        <v>0.52900263810403114</v>
      </c>
      <c r="C209" s="11">
        <f>IF(ISBLANK(data!W237),"",data!W237)</f>
        <v>0.42606951391032044</v>
      </c>
      <c r="D209" s="11">
        <f>IF(ISBLANK(data!X237),"",data!X237)</f>
        <v>1.4017641588808202E-5</v>
      </c>
      <c r="E209" s="11">
        <f>IF(ISBLANK(data!Y237),"",data!Y237)</f>
        <v>4.4913830344059533E-2</v>
      </c>
    </row>
    <row r="210" spans="1:5" x14ac:dyDescent="0.3">
      <c r="A210" s="13">
        <f>data!S238</f>
        <v>43185.5</v>
      </c>
      <c r="B210" s="11">
        <f>IF(ISBLANK(data!V238),"",data!V238)</f>
        <v>0.55145861092923021</v>
      </c>
      <c r="C210" s="11">
        <f>IF(ISBLANK(data!W238),"",data!W238)</f>
        <v>0.40261564688535939</v>
      </c>
      <c r="D210" s="11">
        <f>IF(ISBLANK(data!X238),"",data!X238)</f>
        <v>1.4386102835171846E-5</v>
      </c>
      <c r="E210" s="11">
        <f>IF(ISBLANK(data!Y238),"",data!Y238)</f>
        <v>4.5911356082575183E-2</v>
      </c>
    </row>
    <row r="211" spans="1:5" x14ac:dyDescent="0.3">
      <c r="A211" s="13">
        <f>data!S239</f>
        <v>43192.5</v>
      </c>
      <c r="B211" s="11">
        <f>IF(ISBLANK(data!V239),"",data!V239)</f>
        <v>0.59621391887650566</v>
      </c>
      <c r="C211" s="11">
        <f>IF(ISBLANK(data!W239),"",data!W239)</f>
        <v>0.36185816376614643</v>
      </c>
      <c r="D211" s="11">
        <f>IF(ISBLANK(data!X239),"",data!X239)</f>
        <v>1.4145836351811056E-5</v>
      </c>
      <c r="E211" s="11">
        <f>IF(ISBLANK(data!Y239),"",data!Y239)</f>
        <v>4.1913771520996138E-2</v>
      </c>
    </row>
    <row r="212" spans="1:5" x14ac:dyDescent="0.3">
      <c r="A212" s="13">
        <f>data!S240</f>
        <v>43199.5</v>
      </c>
      <c r="B212" s="11">
        <f>IF(ISBLANK(data!V240),"",data!V240)</f>
        <v>0.58513921080935494</v>
      </c>
      <c r="C212" s="11">
        <f>IF(ISBLANK(data!W240),"",data!W240)</f>
        <v>0.37292808490116874</v>
      </c>
      <c r="D212" s="11">
        <f>IF(ISBLANK(data!X240),"",data!X240)</f>
        <v>1.4883530005438889E-5</v>
      </c>
      <c r="E212" s="11">
        <f>IF(ISBLANK(data!Y240),"",data!Y240)</f>
        <v>4.1917820759470953E-2</v>
      </c>
    </row>
    <row r="213" spans="1:5" x14ac:dyDescent="0.3">
      <c r="A213" s="13">
        <f>data!S241</f>
        <v>43206.5</v>
      </c>
      <c r="B213" s="11">
        <f>IF(ISBLANK(data!V241),"",data!V241)</f>
        <v>0.56259732462682932</v>
      </c>
      <c r="C213" s="11">
        <f>IF(ISBLANK(data!W241),"",data!W241)</f>
        <v>0.37752243189211615</v>
      </c>
      <c r="D213" s="11">
        <f>IF(ISBLANK(data!X241),"",data!X241)</f>
        <v>1.629776086291253E-5</v>
      </c>
      <c r="E213" s="11">
        <f>IF(ISBLANK(data!Y241),"",data!Y241)</f>
        <v>5.9863945720191603E-2</v>
      </c>
    </row>
    <row r="214" spans="1:5" x14ac:dyDescent="0.3">
      <c r="A214" s="13">
        <f>data!S242</f>
        <v>43212.5</v>
      </c>
      <c r="B214" s="11">
        <f>IF(ISBLANK(data!V242),"",data!V242)</f>
        <v>0.47026484025308157</v>
      </c>
      <c r="C214" s="11">
        <f>IF(ISBLANK(data!W242),"",data!W242)</f>
        <v>0.40815658434769997</v>
      </c>
      <c r="D214" s="11">
        <f>IF(ISBLANK(data!X242),"",data!X242)</f>
        <v>1.5201192361295904E-5</v>
      </c>
      <c r="E214" s="11">
        <f>IF(ISBLANK(data!Y242),"",data!Y242)</f>
        <v>0.12156337420685724</v>
      </c>
    </row>
    <row r="215" spans="1:5" x14ac:dyDescent="0.3">
      <c r="A215" s="13">
        <f>data!S243</f>
        <v>43220.5</v>
      </c>
      <c r="B215" s="11">
        <f>IF(ISBLANK(data!V243),"",data!V243)</f>
        <v>0.45151123483151873</v>
      </c>
      <c r="C215" s="11">
        <f>IF(ISBLANK(data!W243),"",data!W243)</f>
        <v>0.40406834127533198</v>
      </c>
      <c r="D215" s="11">
        <f>IF(ISBLANK(data!X243),"",data!X243)</f>
        <v>1.609442321622111E-5</v>
      </c>
      <c r="E215" s="11">
        <f>IF(ISBLANK(data!Y243),"",data!Y243)</f>
        <v>0.14440432946993312</v>
      </c>
    </row>
    <row r="216" spans="1:5" x14ac:dyDescent="0.3">
      <c r="A216" s="13">
        <f>data!S244</f>
        <v>43227.5</v>
      </c>
      <c r="B216" s="11">
        <f>IF(ISBLANK(data!V244),"",data!V244)</f>
        <v>0.512082267107277</v>
      </c>
      <c r="C216" s="11">
        <f>IF(ISBLANK(data!W244),"",data!W244)</f>
        <v>0.41298268072101052</v>
      </c>
      <c r="D216" s="11">
        <f>IF(ISBLANK(data!X244),"",data!X244)</f>
        <v>1.7327007874566344E-5</v>
      </c>
      <c r="E216" s="11">
        <f>IF(ISBLANK(data!Y244),"",data!Y244)</f>
        <v>7.4917725163837837E-2</v>
      </c>
    </row>
    <row r="217" spans="1:5" x14ac:dyDescent="0.3">
      <c r="A217" s="13">
        <f>data!S245</f>
        <v>43234.5</v>
      </c>
      <c r="B217" s="11">
        <f>IF(ISBLANK(data!V245),"",data!V245)</f>
        <v>0.4779312619090248</v>
      </c>
      <c r="C217" s="11">
        <f>IF(ISBLANK(data!W245),"",data!W245)</f>
        <v>0.43970204258069961</v>
      </c>
      <c r="D217" s="11">
        <f>IF(ISBLANK(data!X245),"",data!X245)</f>
        <v>1.944270833642866E-5</v>
      </c>
      <c r="E217" s="11">
        <f>IF(ISBLANK(data!Y245),"",data!Y245)</f>
        <v>8.2347252801939205E-2</v>
      </c>
    </row>
    <row r="218" spans="1:5" x14ac:dyDescent="0.3">
      <c r="A218" s="13">
        <f>data!S246</f>
        <v>0</v>
      </c>
      <c r="B218" s="11" t="str">
        <f>IF(ISBLANK(data!V246),"",data!V246)</f>
        <v/>
      </c>
      <c r="C218" s="11" t="str">
        <f>IF(ISBLANK(data!W246),"",data!W246)</f>
        <v/>
      </c>
      <c r="D218" s="11" t="str">
        <f>IF(ISBLANK(data!X246),"",data!X246)</f>
        <v/>
      </c>
      <c r="E218" s="11" t="str">
        <f>IF(ISBLANK(data!Y246),"",data!Y246)</f>
        <v/>
      </c>
    </row>
    <row r="219" spans="1:5" x14ac:dyDescent="0.3">
      <c r="A219" s="13">
        <f>data!S247</f>
        <v>0</v>
      </c>
      <c r="B219" s="11" t="str">
        <f>IF(ISBLANK(data!V247),"",data!V247)</f>
        <v/>
      </c>
      <c r="C219" s="11" t="str">
        <f>IF(ISBLANK(data!W247),"",data!W247)</f>
        <v/>
      </c>
      <c r="D219" s="11" t="str">
        <f>IF(ISBLANK(data!X247),"",data!X247)</f>
        <v/>
      </c>
      <c r="E219" s="11" t="str">
        <f>IF(ISBLANK(data!Y247),"",data!Y247)</f>
        <v/>
      </c>
    </row>
    <row r="220" spans="1:5" x14ac:dyDescent="0.3">
      <c r="A220" s="13">
        <f>data!S248</f>
        <v>0</v>
      </c>
      <c r="B220" s="11" t="str">
        <f>IF(ISBLANK(data!V248),"",data!V248)</f>
        <v/>
      </c>
      <c r="C220" s="11" t="str">
        <f>IF(ISBLANK(data!W248),"",data!W248)</f>
        <v/>
      </c>
      <c r="D220" s="11" t="str">
        <f>IF(ISBLANK(data!X248),"",data!X248)</f>
        <v/>
      </c>
      <c r="E220" s="11" t="str">
        <f>IF(ISBLANK(data!Y248),"",data!Y248)</f>
        <v/>
      </c>
    </row>
    <row r="221" spans="1:5" x14ac:dyDescent="0.3">
      <c r="A221" s="13">
        <f>data!S249</f>
        <v>0</v>
      </c>
      <c r="B221" s="11" t="str">
        <f>IF(ISBLANK(data!V249),"",data!V249)</f>
        <v/>
      </c>
      <c r="C221" s="11" t="str">
        <f>IF(ISBLANK(data!W249),"",data!W249)</f>
        <v/>
      </c>
      <c r="D221" s="11" t="str">
        <f>IF(ISBLANK(data!X249),"",data!X249)</f>
        <v/>
      </c>
      <c r="E221" s="11" t="str">
        <f>IF(ISBLANK(data!Y249),"",data!Y249)</f>
        <v/>
      </c>
    </row>
    <row r="222" spans="1:5" x14ac:dyDescent="0.3">
      <c r="A222" s="13">
        <f>data!S250</f>
        <v>0</v>
      </c>
      <c r="B222" s="11" t="str">
        <f>IF(ISBLANK(data!V250),"",data!V250)</f>
        <v/>
      </c>
      <c r="C222" s="11" t="str">
        <f>IF(ISBLANK(data!W250),"",data!W250)</f>
        <v/>
      </c>
      <c r="D222" s="11" t="str">
        <f>IF(ISBLANK(data!X250),"",data!X250)</f>
        <v/>
      </c>
      <c r="E222" s="11" t="str">
        <f>IF(ISBLANK(data!Y250),"",data!Y250)</f>
        <v/>
      </c>
    </row>
    <row r="223" spans="1:5" x14ac:dyDescent="0.3">
      <c r="A223" s="13">
        <f>data!S251</f>
        <v>0</v>
      </c>
      <c r="B223" s="11" t="str">
        <f>IF(ISBLANK(data!V251),"",data!V251)</f>
        <v/>
      </c>
      <c r="C223" s="11" t="str">
        <f>IF(ISBLANK(data!W251),"",data!W251)</f>
        <v/>
      </c>
      <c r="D223" s="11" t="str">
        <f>IF(ISBLANK(data!X251),"",data!X251)</f>
        <v/>
      </c>
      <c r="E223" s="11" t="str">
        <f>IF(ISBLANK(data!Y251),"",data!Y251)</f>
        <v/>
      </c>
    </row>
    <row r="224" spans="1:5" x14ac:dyDescent="0.3">
      <c r="A224" s="13">
        <f>data!S252</f>
        <v>0</v>
      </c>
      <c r="B224" s="11" t="str">
        <f>IF(ISBLANK(data!V252),"",data!V252)</f>
        <v/>
      </c>
      <c r="C224" s="11" t="str">
        <f>IF(ISBLANK(data!W252),"",data!W252)</f>
        <v/>
      </c>
      <c r="D224" s="11" t="str">
        <f>IF(ISBLANK(data!X252),"",data!X252)</f>
        <v/>
      </c>
      <c r="E224" s="11" t="str">
        <f>IF(ISBLANK(data!Y252),"",data!Y252)</f>
        <v/>
      </c>
    </row>
    <row r="225" spans="1:5" x14ac:dyDescent="0.3">
      <c r="A225" s="13">
        <f>data!S253</f>
        <v>0</v>
      </c>
      <c r="B225" s="11" t="str">
        <f>IF(ISBLANK(data!V253),"",data!V253)</f>
        <v/>
      </c>
      <c r="C225" s="11" t="str">
        <f>IF(ISBLANK(data!W253),"",data!W253)</f>
        <v/>
      </c>
      <c r="D225" s="11" t="str">
        <f>IF(ISBLANK(data!X253),"",data!X253)</f>
        <v/>
      </c>
      <c r="E225" s="11" t="str">
        <f>IF(ISBLANK(data!Y253),"",data!Y253)</f>
        <v/>
      </c>
    </row>
    <row r="226" spans="1:5" x14ac:dyDescent="0.3">
      <c r="A226" s="13">
        <f>data!S254</f>
        <v>0</v>
      </c>
      <c r="B226" s="11" t="str">
        <f>IF(ISBLANK(data!V254),"",data!V254)</f>
        <v/>
      </c>
      <c r="C226" s="11" t="str">
        <f>IF(ISBLANK(data!W254),"",data!W254)</f>
        <v/>
      </c>
      <c r="D226" s="11" t="str">
        <f>IF(ISBLANK(data!X254),"",data!X254)</f>
        <v/>
      </c>
      <c r="E226" s="11" t="str">
        <f>IF(ISBLANK(data!Y254),"",data!Y254)</f>
        <v/>
      </c>
    </row>
    <row r="227" spans="1:5" x14ac:dyDescent="0.3">
      <c r="A227" s="13">
        <f>data!S255</f>
        <v>0</v>
      </c>
      <c r="B227" s="11" t="str">
        <f>IF(ISBLANK(data!V255),"",data!V255)</f>
        <v/>
      </c>
      <c r="C227" s="11" t="str">
        <f>IF(ISBLANK(data!W255),"",data!W255)</f>
        <v/>
      </c>
      <c r="D227" s="11" t="str">
        <f>IF(ISBLANK(data!X255),"",data!X255)</f>
        <v/>
      </c>
      <c r="E227" s="11" t="str">
        <f>IF(ISBLANK(data!Y255),"",data!Y255)</f>
        <v/>
      </c>
    </row>
    <row r="228" spans="1:5" x14ac:dyDescent="0.3">
      <c r="A228" s="13">
        <f>data!S256</f>
        <v>0</v>
      </c>
      <c r="B228" s="11" t="str">
        <f>IF(ISBLANK(data!V256),"",data!V256)</f>
        <v/>
      </c>
      <c r="C228" s="11" t="str">
        <f>IF(ISBLANK(data!W256),"",data!W256)</f>
        <v/>
      </c>
      <c r="D228" s="11" t="str">
        <f>IF(ISBLANK(data!X256),"",data!X256)</f>
        <v/>
      </c>
      <c r="E228" s="11" t="str">
        <f>IF(ISBLANK(data!Y256),"",data!Y256)</f>
        <v/>
      </c>
    </row>
    <row r="229" spans="1:5" x14ac:dyDescent="0.3">
      <c r="A229" s="13">
        <f>data!S257</f>
        <v>0</v>
      </c>
      <c r="B229" s="11" t="str">
        <f>IF(ISBLANK(data!V257),"",data!V257)</f>
        <v/>
      </c>
      <c r="C229" s="11" t="str">
        <f>IF(ISBLANK(data!W257),"",data!W257)</f>
        <v/>
      </c>
      <c r="D229" s="11" t="str">
        <f>IF(ISBLANK(data!X257),"",data!X257)</f>
        <v/>
      </c>
      <c r="E229" s="11" t="str">
        <f>IF(ISBLANK(data!Y257),"",data!Y257)</f>
        <v/>
      </c>
    </row>
    <row r="230" spans="1:5" x14ac:dyDescent="0.3">
      <c r="A230" s="13">
        <f>data!S258</f>
        <v>0</v>
      </c>
      <c r="B230" s="11" t="str">
        <f>IF(ISBLANK(data!V258),"",data!V258)</f>
        <v/>
      </c>
      <c r="C230" s="11" t="str">
        <f>IF(ISBLANK(data!W258),"",data!W258)</f>
        <v/>
      </c>
      <c r="D230" s="11" t="str">
        <f>IF(ISBLANK(data!X258),"",data!X258)</f>
        <v/>
      </c>
      <c r="E230" s="11" t="str">
        <f>IF(ISBLANK(data!Y258),"",data!Y258)</f>
        <v/>
      </c>
    </row>
    <row r="231" spans="1:5" x14ac:dyDescent="0.3">
      <c r="A231" s="13">
        <f>data!S259</f>
        <v>0</v>
      </c>
      <c r="B231" s="11" t="str">
        <f>IF(ISBLANK(data!V259),"",data!V259)</f>
        <v/>
      </c>
      <c r="C231" s="11" t="str">
        <f>IF(ISBLANK(data!W259),"",data!W259)</f>
        <v/>
      </c>
      <c r="D231" s="11" t="str">
        <f>IF(ISBLANK(data!X259),"",data!X259)</f>
        <v/>
      </c>
      <c r="E231" s="11" t="str">
        <f>IF(ISBLANK(data!Y259),"",data!Y259)</f>
        <v/>
      </c>
    </row>
    <row r="232" spans="1:5" x14ac:dyDescent="0.3">
      <c r="A232" s="13">
        <f>data!S260</f>
        <v>0</v>
      </c>
      <c r="B232" s="11" t="str">
        <f>IF(ISBLANK(data!V260),"",data!V260)</f>
        <v/>
      </c>
      <c r="C232" s="11" t="str">
        <f>IF(ISBLANK(data!W260),"",data!W260)</f>
        <v/>
      </c>
      <c r="D232" s="11" t="str">
        <f>IF(ISBLANK(data!X260),"",data!X260)</f>
        <v/>
      </c>
      <c r="E232" s="11" t="str">
        <f>IF(ISBLANK(data!Y260),"",data!Y260)</f>
        <v/>
      </c>
    </row>
    <row r="233" spans="1:5" x14ac:dyDescent="0.3">
      <c r="A233" s="13">
        <f>data!S261</f>
        <v>0</v>
      </c>
      <c r="B233" s="11" t="str">
        <f>IF(ISBLANK(data!V261),"",data!V261)</f>
        <v/>
      </c>
      <c r="C233" s="11" t="str">
        <f>IF(ISBLANK(data!W261),"",data!W261)</f>
        <v/>
      </c>
      <c r="D233" s="11" t="str">
        <f>IF(ISBLANK(data!X261),"",data!X261)</f>
        <v/>
      </c>
      <c r="E233" s="11" t="str">
        <f>IF(ISBLANK(data!Y261),"",data!Y261)</f>
        <v/>
      </c>
    </row>
    <row r="234" spans="1:5" x14ac:dyDescent="0.3">
      <c r="A234" s="13">
        <f>data!S262</f>
        <v>0</v>
      </c>
      <c r="B234" s="11" t="str">
        <f>IF(ISBLANK(data!V262),"",data!V262)</f>
        <v/>
      </c>
      <c r="C234" s="11" t="str">
        <f>IF(ISBLANK(data!W262),"",data!W262)</f>
        <v/>
      </c>
      <c r="D234" s="11" t="str">
        <f>IF(ISBLANK(data!X262),"",data!X262)</f>
        <v/>
      </c>
      <c r="E234" s="11" t="str">
        <f>IF(ISBLANK(data!Y262),"",data!Y262)</f>
        <v/>
      </c>
    </row>
    <row r="235" spans="1:5" x14ac:dyDescent="0.3">
      <c r="A235" s="13">
        <f>data!S263</f>
        <v>0</v>
      </c>
      <c r="B235" s="11" t="str">
        <f>IF(ISBLANK(data!V263),"",data!V263)</f>
        <v/>
      </c>
      <c r="C235" s="11" t="str">
        <f>IF(ISBLANK(data!W263),"",data!W263)</f>
        <v/>
      </c>
      <c r="D235" s="11" t="str">
        <f>IF(ISBLANK(data!X263),"",data!X263)</f>
        <v/>
      </c>
      <c r="E235" s="11" t="str">
        <f>IF(ISBLANK(data!Y263),"",data!Y263)</f>
        <v/>
      </c>
    </row>
    <row r="236" spans="1:5" x14ac:dyDescent="0.3">
      <c r="A236" s="13">
        <f>data!S264</f>
        <v>0</v>
      </c>
      <c r="B236" s="11" t="str">
        <f>IF(ISBLANK(data!V264),"",data!V264)</f>
        <v/>
      </c>
      <c r="C236" s="11" t="str">
        <f>IF(ISBLANK(data!W264),"",data!W264)</f>
        <v/>
      </c>
      <c r="D236" s="11" t="str">
        <f>IF(ISBLANK(data!X264),"",data!X264)</f>
        <v/>
      </c>
      <c r="E236" s="11" t="str">
        <f>IF(ISBLANK(data!Y264),"",data!Y264)</f>
        <v/>
      </c>
    </row>
    <row r="237" spans="1:5" x14ac:dyDescent="0.3">
      <c r="A237" s="13">
        <f>data!S265</f>
        <v>0</v>
      </c>
      <c r="B237" s="11" t="str">
        <f>IF(ISBLANK(data!V265),"",data!V265)</f>
        <v/>
      </c>
      <c r="C237" s="11" t="str">
        <f>IF(ISBLANK(data!W265),"",data!W265)</f>
        <v/>
      </c>
      <c r="D237" s="11" t="str">
        <f>IF(ISBLANK(data!X265),"",data!X265)</f>
        <v/>
      </c>
      <c r="E237" s="11" t="str">
        <f>IF(ISBLANK(data!Y265),"",data!Y265)</f>
        <v/>
      </c>
    </row>
    <row r="238" spans="1:5" x14ac:dyDescent="0.3">
      <c r="A238" s="13">
        <f>data!S266</f>
        <v>0</v>
      </c>
      <c r="B238" s="11" t="str">
        <f>IF(ISBLANK(data!V266),"",data!V266)</f>
        <v/>
      </c>
      <c r="C238" s="11" t="str">
        <f>IF(ISBLANK(data!W266),"",data!W266)</f>
        <v/>
      </c>
      <c r="D238" s="11" t="str">
        <f>IF(ISBLANK(data!X266),"",data!X266)</f>
        <v/>
      </c>
      <c r="E238" s="11" t="str">
        <f>IF(ISBLANK(data!Y266),"",data!Y266)</f>
        <v/>
      </c>
    </row>
    <row r="239" spans="1:5" x14ac:dyDescent="0.3">
      <c r="A239" s="13">
        <f>data!S267</f>
        <v>0</v>
      </c>
      <c r="B239" s="11" t="str">
        <f>IF(ISBLANK(data!V267),"",data!V267)</f>
        <v/>
      </c>
      <c r="C239" s="11" t="str">
        <f>IF(ISBLANK(data!W267),"",data!W267)</f>
        <v/>
      </c>
      <c r="D239" s="11" t="str">
        <f>IF(ISBLANK(data!X267),"",data!X267)</f>
        <v/>
      </c>
      <c r="E239" s="11" t="str">
        <f>IF(ISBLANK(data!Y267),"",data!Y267)</f>
        <v/>
      </c>
    </row>
    <row r="240" spans="1:5" x14ac:dyDescent="0.3">
      <c r="A240" s="13">
        <f>data!S268</f>
        <v>0</v>
      </c>
      <c r="B240" s="11" t="str">
        <f>IF(ISBLANK(data!V268),"",data!V268)</f>
        <v/>
      </c>
      <c r="C240" s="11" t="str">
        <f>IF(ISBLANK(data!W268),"",data!W268)</f>
        <v/>
      </c>
      <c r="D240" s="11" t="str">
        <f>IF(ISBLANK(data!X268),"",data!X268)</f>
        <v/>
      </c>
      <c r="E240" s="11" t="str">
        <f>IF(ISBLANK(data!Y268),"",data!Y268)</f>
        <v/>
      </c>
    </row>
    <row r="241" spans="1:5" x14ac:dyDescent="0.3">
      <c r="A241" s="13">
        <f>data!S269</f>
        <v>0</v>
      </c>
      <c r="B241" s="11" t="str">
        <f>IF(ISBLANK(data!V269),"",data!V269)</f>
        <v/>
      </c>
      <c r="C241" s="11" t="str">
        <f>IF(ISBLANK(data!W269),"",data!W269)</f>
        <v/>
      </c>
      <c r="D241" s="11" t="str">
        <f>IF(ISBLANK(data!X269),"",data!X269)</f>
        <v/>
      </c>
      <c r="E241" s="11" t="str">
        <f>IF(ISBLANK(data!Y269),"",data!Y269)</f>
        <v/>
      </c>
    </row>
    <row r="242" spans="1:5" x14ac:dyDescent="0.3">
      <c r="A242" s="13">
        <f>data!S270</f>
        <v>0</v>
      </c>
      <c r="B242" s="11" t="str">
        <f>IF(ISBLANK(data!V270),"",data!V270)</f>
        <v/>
      </c>
      <c r="C242" s="11" t="str">
        <f>IF(ISBLANK(data!W270),"",data!W270)</f>
        <v/>
      </c>
      <c r="D242" s="11" t="str">
        <f>IF(ISBLANK(data!X270),"",data!X270)</f>
        <v/>
      </c>
      <c r="E242" s="11" t="str">
        <f>IF(ISBLANK(data!Y270),"",data!Y270)</f>
        <v/>
      </c>
    </row>
    <row r="243" spans="1:5" x14ac:dyDescent="0.3">
      <c r="A243" s="13">
        <f>data!S271</f>
        <v>0</v>
      </c>
      <c r="B243" s="11" t="str">
        <f>IF(ISBLANK(data!V271),"",data!V271)</f>
        <v/>
      </c>
      <c r="C243" s="11" t="str">
        <f>IF(ISBLANK(data!W271),"",data!W271)</f>
        <v/>
      </c>
      <c r="D243" s="11" t="str">
        <f>IF(ISBLANK(data!X271),"",data!X271)</f>
        <v/>
      </c>
      <c r="E243" s="11" t="str">
        <f>IF(ISBLANK(data!Y271),"",data!Y271)</f>
        <v/>
      </c>
    </row>
    <row r="244" spans="1:5" x14ac:dyDescent="0.3">
      <c r="A244" s="13">
        <f>data!S272</f>
        <v>0</v>
      </c>
      <c r="B244" s="11" t="str">
        <f>IF(ISBLANK(data!V272),"",data!V272)</f>
        <v/>
      </c>
      <c r="C244" s="11" t="str">
        <f>IF(ISBLANK(data!W272),"",data!W272)</f>
        <v/>
      </c>
      <c r="D244" s="11" t="str">
        <f>IF(ISBLANK(data!X272),"",data!X272)</f>
        <v/>
      </c>
      <c r="E244" s="11" t="str">
        <f>IF(ISBLANK(data!Y272),"",data!Y272)</f>
        <v/>
      </c>
    </row>
    <row r="245" spans="1:5" x14ac:dyDescent="0.3">
      <c r="A245" s="13">
        <f>data!S273</f>
        <v>0</v>
      </c>
      <c r="B245" s="11" t="str">
        <f>IF(ISBLANK(data!V273),"",data!V273)</f>
        <v/>
      </c>
      <c r="C245" s="11" t="str">
        <f>IF(ISBLANK(data!W273),"",data!W273)</f>
        <v/>
      </c>
      <c r="D245" s="11" t="str">
        <f>IF(ISBLANK(data!X273),"",data!X273)</f>
        <v/>
      </c>
      <c r="E245" s="11" t="str">
        <f>IF(ISBLANK(data!Y273),"",data!Y273)</f>
        <v/>
      </c>
    </row>
    <row r="246" spans="1:5" x14ac:dyDescent="0.3">
      <c r="A246" s="13">
        <f>data!S274</f>
        <v>0</v>
      </c>
      <c r="B246" s="11" t="str">
        <f>IF(ISBLANK(data!V274),"",data!V274)</f>
        <v/>
      </c>
      <c r="C246" s="11" t="str">
        <f>IF(ISBLANK(data!W274),"",data!W274)</f>
        <v/>
      </c>
      <c r="D246" s="11" t="str">
        <f>IF(ISBLANK(data!X274),"",data!X274)</f>
        <v/>
      </c>
      <c r="E246" s="11" t="str">
        <f>IF(ISBLANK(data!Y274),"",data!Y274)</f>
        <v/>
      </c>
    </row>
    <row r="247" spans="1:5" x14ac:dyDescent="0.3">
      <c r="A247" s="13">
        <f>data!S275</f>
        <v>0</v>
      </c>
      <c r="B247" s="11" t="str">
        <f>IF(ISBLANK(data!V275),"",data!V275)</f>
        <v/>
      </c>
      <c r="C247" s="11" t="str">
        <f>IF(ISBLANK(data!W275),"",data!W275)</f>
        <v/>
      </c>
      <c r="D247" s="11" t="str">
        <f>IF(ISBLANK(data!X275),"",data!X275)</f>
        <v/>
      </c>
      <c r="E247" s="11" t="str">
        <f>IF(ISBLANK(data!Y275),"",data!Y275)</f>
        <v/>
      </c>
    </row>
    <row r="248" spans="1:5" x14ac:dyDescent="0.3">
      <c r="A248" s="13">
        <f>data!S276</f>
        <v>0</v>
      </c>
      <c r="B248" s="11" t="str">
        <f>IF(ISBLANK(data!V276),"",data!V276)</f>
        <v/>
      </c>
      <c r="C248" s="11" t="str">
        <f>IF(ISBLANK(data!W276),"",data!W276)</f>
        <v/>
      </c>
      <c r="D248" s="11" t="str">
        <f>IF(ISBLANK(data!X276),"",data!X276)</f>
        <v/>
      </c>
      <c r="E248" s="11" t="str">
        <f>IF(ISBLANK(data!Y276),"",data!Y276)</f>
        <v/>
      </c>
    </row>
    <row r="249" spans="1:5" x14ac:dyDescent="0.3">
      <c r="A249" s="13">
        <f>data!S277</f>
        <v>0</v>
      </c>
      <c r="B249" s="11" t="str">
        <f>IF(ISBLANK(data!V277),"",data!V277)</f>
        <v/>
      </c>
      <c r="C249" s="11" t="str">
        <f>IF(ISBLANK(data!W277),"",data!W277)</f>
        <v/>
      </c>
      <c r="D249" s="11" t="str">
        <f>IF(ISBLANK(data!X277),"",data!X277)</f>
        <v/>
      </c>
      <c r="E249" s="11" t="str">
        <f>IF(ISBLANK(data!Y277),"",data!Y277)</f>
        <v/>
      </c>
    </row>
    <row r="250" spans="1:5" x14ac:dyDescent="0.3">
      <c r="A250" s="13">
        <f>data!S278</f>
        <v>0</v>
      </c>
      <c r="B250" s="11" t="str">
        <f>IF(ISBLANK(data!V278),"",data!V278)</f>
        <v/>
      </c>
      <c r="C250" s="11" t="str">
        <f>IF(ISBLANK(data!W278),"",data!W278)</f>
        <v/>
      </c>
      <c r="D250" s="11" t="str">
        <f>IF(ISBLANK(data!X278),"",data!X278)</f>
        <v/>
      </c>
      <c r="E250" s="11" t="str">
        <f>IF(ISBLANK(data!Y278),"",data!Y278)</f>
        <v/>
      </c>
    </row>
    <row r="251" spans="1:5" x14ac:dyDescent="0.3">
      <c r="A251" s="13">
        <f>data!S279</f>
        <v>0</v>
      </c>
      <c r="B251" s="11" t="str">
        <f>IF(ISBLANK(data!V279),"",data!V279)</f>
        <v/>
      </c>
      <c r="C251" s="11" t="str">
        <f>IF(ISBLANK(data!W279),"",data!W279)</f>
        <v/>
      </c>
      <c r="D251" s="11" t="str">
        <f>IF(ISBLANK(data!X279),"",data!X279)</f>
        <v/>
      </c>
      <c r="E251" s="11" t="str">
        <f>IF(ISBLANK(data!Y279),"",data!Y279)</f>
        <v/>
      </c>
    </row>
    <row r="252" spans="1:5" x14ac:dyDescent="0.3">
      <c r="A252" s="13">
        <f>data!S280</f>
        <v>0</v>
      </c>
      <c r="B252" s="11" t="str">
        <f>IF(ISBLANK(data!V280),"",data!V280)</f>
        <v/>
      </c>
      <c r="C252" s="11" t="str">
        <f>IF(ISBLANK(data!W280),"",data!W280)</f>
        <v/>
      </c>
      <c r="D252" s="11" t="str">
        <f>IF(ISBLANK(data!X280),"",data!X280)</f>
        <v/>
      </c>
      <c r="E252" s="11" t="str">
        <f>IF(ISBLANK(data!Y280),"",data!Y280)</f>
        <v/>
      </c>
    </row>
    <row r="253" spans="1:5" x14ac:dyDescent="0.3">
      <c r="A253" s="13">
        <f>data!S281</f>
        <v>0</v>
      </c>
      <c r="B253" s="11" t="str">
        <f>IF(ISBLANK(data!V281),"",data!V281)</f>
        <v/>
      </c>
      <c r="C253" s="11" t="str">
        <f>IF(ISBLANK(data!W281),"",data!W281)</f>
        <v/>
      </c>
      <c r="D253" s="11" t="str">
        <f>IF(ISBLANK(data!X281),"",data!X281)</f>
        <v/>
      </c>
      <c r="E253" s="11" t="str">
        <f>IF(ISBLANK(data!Y281),"",data!Y281)</f>
        <v/>
      </c>
    </row>
    <row r="254" spans="1:5" x14ac:dyDescent="0.3">
      <c r="A254" s="13">
        <f>data!S282</f>
        <v>0</v>
      </c>
      <c r="B254" s="11" t="str">
        <f>IF(ISBLANK(data!V282),"",data!V282)</f>
        <v/>
      </c>
      <c r="C254" s="11" t="str">
        <f>IF(ISBLANK(data!W282),"",data!W282)</f>
        <v/>
      </c>
      <c r="D254" s="11" t="str">
        <f>IF(ISBLANK(data!X282),"",data!X282)</f>
        <v/>
      </c>
      <c r="E254" s="11" t="str">
        <f>IF(ISBLANK(data!Y282),"",data!Y282)</f>
        <v/>
      </c>
    </row>
    <row r="255" spans="1:5" x14ac:dyDescent="0.3">
      <c r="A255" s="13">
        <f>data!S283</f>
        <v>0</v>
      </c>
      <c r="B255" s="11" t="str">
        <f>IF(ISBLANK(data!V283),"",data!V283)</f>
        <v/>
      </c>
      <c r="C255" s="11" t="str">
        <f>IF(ISBLANK(data!W283),"",data!W283)</f>
        <v/>
      </c>
      <c r="D255" s="11" t="str">
        <f>IF(ISBLANK(data!X283),"",data!X283)</f>
        <v/>
      </c>
      <c r="E255" s="11" t="str">
        <f>IF(ISBLANK(data!Y283),"",data!Y283)</f>
        <v/>
      </c>
    </row>
    <row r="256" spans="1:5" x14ac:dyDescent="0.3">
      <c r="A256" s="13">
        <f>data!S284</f>
        <v>0</v>
      </c>
      <c r="B256" s="11" t="str">
        <f>IF(ISBLANK(data!V284),"",data!V284)</f>
        <v/>
      </c>
      <c r="C256" s="11" t="str">
        <f>IF(ISBLANK(data!W284),"",data!W284)</f>
        <v/>
      </c>
      <c r="D256" s="11" t="str">
        <f>IF(ISBLANK(data!X284),"",data!X284)</f>
        <v/>
      </c>
      <c r="E256" s="11" t="str">
        <f>IF(ISBLANK(data!Y284),"",data!Y284)</f>
        <v/>
      </c>
    </row>
    <row r="257" spans="1:5" x14ac:dyDescent="0.3">
      <c r="A257" s="13">
        <f>data!S285</f>
        <v>0</v>
      </c>
      <c r="B257" s="11" t="str">
        <f>IF(ISBLANK(data!V285),"",data!V285)</f>
        <v/>
      </c>
      <c r="C257" s="11" t="str">
        <f>IF(ISBLANK(data!W285),"",data!W285)</f>
        <v/>
      </c>
      <c r="D257" s="11" t="str">
        <f>IF(ISBLANK(data!X285),"",data!X285)</f>
        <v/>
      </c>
      <c r="E257" s="11" t="str">
        <f>IF(ISBLANK(data!Y285),"",data!Y285)</f>
        <v/>
      </c>
    </row>
    <row r="258" spans="1:5" x14ac:dyDescent="0.3">
      <c r="A258" s="13">
        <f>data!S286</f>
        <v>0</v>
      </c>
      <c r="B258" s="11" t="str">
        <f>IF(ISBLANK(data!V286),"",data!V286)</f>
        <v/>
      </c>
      <c r="C258" s="11" t="str">
        <f>IF(ISBLANK(data!W286),"",data!W286)</f>
        <v/>
      </c>
      <c r="D258" s="11" t="str">
        <f>IF(ISBLANK(data!X286),"",data!X286)</f>
        <v/>
      </c>
      <c r="E258" s="11" t="str">
        <f>IF(ISBLANK(data!Y286),"",data!Y286)</f>
        <v/>
      </c>
    </row>
    <row r="259" spans="1:5" x14ac:dyDescent="0.3">
      <c r="A259" s="13">
        <f>data!S287</f>
        <v>0</v>
      </c>
      <c r="B259" s="11" t="str">
        <f>IF(ISBLANK(data!V287),"",data!V287)</f>
        <v/>
      </c>
      <c r="C259" s="11" t="str">
        <f>IF(ISBLANK(data!W287),"",data!W287)</f>
        <v/>
      </c>
      <c r="D259" s="11" t="str">
        <f>IF(ISBLANK(data!X287),"",data!X287)</f>
        <v/>
      </c>
      <c r="E259" s="11" t="str">
        <f>IF(ISBLANK(data!Y287),"",data!Y287)</f>
        <v/>
      </c>
    </row>
    <row r="260" spans="1:5" x14ac:dyDescent="0.3">
      <c r="A260" s="13">
        <f>data!S288</f>
        <v>0</v>
      </c>
      <c r="B260" s="11" t="str">
        <f>IF(ISBLANK(data!V288),"",data!V288)</f>
        <v/>
      </c>
      <c r="C260" s="11" t="str">
        <f>IF(ISBLANK(data!W288),"",data!W288)</f>
        <v/>
      </c>
      <c r="D260" s="11" t="str">
        <f>IF(ISBLANK(data!X288),"",data!X288)</f>
        <v/>
      </c>
      <c r="E260" s="11" t="str">
        <f>IF(ISBLANK(data!Y288),"",data!Y288)</f>
        <v/>
      </c>
    </row>
    <row r="261" spans="1:5" x14ac:dyDescent="0.3">
      <c r="A261" s="13">
        <f>data!S289</f>
        <v>0</v>
      </c>
      <c r="B261" s="11" t="str">
        <f>IF(ISBLANK(data!V289),"",data!V289)</f>
        <v/>
      </c>
      <c r="C261" s="11" t="str">
        <f>IF(ISBLANK(data!W289),"",data!W289)</f>
        <v/>
      </c>
      <c r="D261" s="11" t="str">
        <f>IF(ISBLANK(data!X289),"",data!X289)</f>
        <v/>
      </c>
      <c r="E261" s="11" t="str">
        <f>IF(ISBLANK(data!Y289),"",data!Y289)</f>
        <v/>
      </c>
    </row>
    <row r="262" spans="1:5" x14ac:dyDescent="0.3">
      <c r="A262" s="13">
        <f>data!S290</f>
        <v>0</v>
      </c>
      <c r="B262" s="11" t="str">
        <f>IF(ISBLANK(data!V290),"",data!V290)</f>
        <v/>
      </c>
      <c r="C262" s="11" t="str">
        <f>IF(ISBLANK(data!W290),"",data!W290)</f>
        <v/>
      </c>
      <c r="D262" s="11" t="str">
        <f>IF(ISBLANK(data!X290),"",data!X290)</f>
        <v/>
      </c>
      <c r="E262" s="11" t="str">
        <f>IF(ISBLANK(data!Y290),"",data!Y290)</f>
        <v/>
      </c>
    </row>
    <row r="263" spans="1:5" x14ac:dyDescent="0.3">
      <c r="A263" s="13">
        <f>data!S291</f>
        <v>0</v>
      </c>
      <c r="B263" s="11" t="str">
        <f>IF(ISBLANK(data!V291),"",data!V291)</f>
        <v/>
      </c>
      <c r="C263" s="11" t="str">
        <f>IF(ISBLANK(data!W291),"",data!W291)</f>
        <v/>
      </c>
      <c r="D263" s="11" t="str">
        <f>IF(ISBLANK(data!X291),"",data!X291)</f>
        <v/>
      </c>
      <c r="E263" s="11" t="str">
        <f>IF(ISBLANK(data!Y291),"",data!Y291)</f>
        <v/>
      </c>
    </row>
    <row r="264" spans="1:5" x14ac:dyDescent="0.3">
      <c r="A264" s="13">
        <f>data!S292</f>
        <v>0</v>
      </c>
      <c r="B264" s="11" t="str">
        <f>IF(ISBLANK(data!V292),"",data!V292)</f>
        <v/>
      </c>
      <c r="C264" s="11" t="str">
        <f>IF(ISBLANK(data!W292),"",data!W292)</f>
        <v/>
      </c>
      <c r="D264" s="11" t="str">
        <f>IF(ISBLANK(data!X292),"",data!X292)</f>
        <v/>
      </c>
      <c r="E264" s="11" t="str">
        <f>IF(ISBLANK(data!Y292),"",data!Y292)</f>
        <v/>
      </c>
    </row>
    <row r="265" spans="1:5" x14ac:dyDescent="0.3">
      <c r="A265" s="13">
        <f>data!S293</f>
        <v>0</v>
      </c>
      <c r="B265" s="11" t="str">
        <f>IF(ISBLANK(data!V293),"",data!V293)</f>
        <v/>
      </c>
      <c r="C265" s="11" t="str">
        <f>IF(ISBLANK(data!W293),"",data!W293)</f>
        <v/>
      </c>
      <c r="D265" s="11" t="str">
        <f>IF(ISBLANK(data!X293),"",data!X293)</f>
        <v/>
      </c>
      <c r="E265" s="11" t="str">
        <f>IF(ISBLANK(data!Y293),"",data!Y293)</f>
        <v/>
      </c>
    </row>
    <row r="266" spans="1:5" x14ac:dyDescent="0.3">
      <c r="A266" s="13">
        <f>data!S294</f>
        <v>0</v>
      </c>
      <c r="B266" s="11" t="str">
        <f>IF(ISBLANK(data!V294),"",data!V294)</f>
        <v/>
      </c>
      <c r="C266" s="11" t="str">
        <f>IF(ISBLANK(data!W294),"",data!W294)</f>
        <v/>
      </c>
      <c r="D266" s="11" t="str">
        <f>IF(ISBLANK(data!X294),"",data!X294)</f>
        <v/>
      </c>
      <c r="E266" s="11" t="str">
        <f>IF(ISBLANK(data!Y294),"",data!Y294)</f>
        <v/>
      </c>
    </row>
    <row r="267" spans="1:5" x14ac:dyDescent="0.3">
      <c r="A267" s="13">
        <f>data!S295</f>
        <v>0</v>
      </c>
      <c r="B267" s="11" t="str">
        <f>IF(ISBLANK(data!V295),"",data!V295)</f>
        <v/>
      </c>
      <c r="C267" s="11" t="str">
        <f>IF(ISBLANK(data!W295),"",data!W295)</f>
        <v/>
      </c>
      <c r="D267" s="11" t="str">
        <f>IF(ISBLANK(data!X295),"",data!X295)</f>
        <v/>
      </c>
      <c r="E267" s="11" t="str">
        <f>IF(ISBLANK(data!Y295),"",data!Y295)</f>
        <v/>
      </c>
    </row>
    <row r="268" spans="1:5" x14ac:dyDescent="0.3">
      <c r="A268" s="13">
        <f>data!S296</f>
        <v>0</v>
      </c>
      <c r="B268" s="11" t="str">
        <f>IF(ISBLANK(data!V296),"",data!V296)</f>
        <v/>
      </c>
      <c r="C268" s="11" t="str">
        <f>IF(ISBLANK(data!W296),"",data!W296)</f>
        <v/>
      </c>
      <c r="D268" s="11" t="str">
        <f>IF(ISBLANK(data!X296),"",data!X296)</f>
        <v/>
      </c>
      <c r="E268" s="11" t="str">
        <f>IF(ISBLANK(data!Y296),"",data!Y296)</f>
        <v/>
      </c>
    </row>
    <row r="269" spans="1:5" x14ac:dyDescent="0.3">
      <c r="A269" s="13">
        <f>data!S297</f>
        <v>0</v>
      </c>
      <c r="B269" s="11" t="str">
        <f>IF(ISBLANK(data!V297),"",data!V297)</f>
        <v/>
      </c>
      <c r="C269" s="11" t="str">
        <f>IF(ISBLANK(data!W297),"",data!W297)</f>
        <v/>
      </c>
      <c r="D269" s="11" t="str">
        <f>IF(ISBLANK(data!X297),"",data!X297)</f>
        <v/>
      </c>
      <c r="E269" s="11" t="str">
        <f>IF(ISBLANK(data!Y297),"",data!Y297)</f>
        <v/>
      </c>
    </row>
    <row r="270" spans="1:5" x14ac:dyDescent="0.3">
      <c r="A270" s="13">
        <f>data!S298</f>
        <v>0</v>
      </c>
      <c r="B270" s="11" t="str">
        <f>IF(ISBLANK(data!V298),"",data!V298)</f>
        <v/>
      </c>
      <c r="C270" s="11" t="str">
        <f>IF(ISBLANK(data!W298),"",data!W298)</f>
        <v/>
      </c>
      <c r="D270" s="11" t="str">
        <f>IF(ISBLANK(data!X298),"",data!X298)</f>
        <v/>
      </c>
      <c r="E270" s="11" t="str">
        <f>IF(ISBLANK(data!Y298),"",data!Y298)</f>
        <v/>
      </c>
    </row>
    <row r="271" spans="1:5" x14ac:dyDescent="0.3">
      <c r="A271" s="13">
        <f>data!S299</f>
        <v>0</v>
      </c>
      <c r="B271" s="11" t="str">
        <f>IF(ISBLANK(data!V299),"",data!V299)</f>
        <v/>
      </c>
      <c r="C271" s="11" t="str">
        <f>IF(ISBLANK(data!W299),"",data!W299)</f>
        <v/>
      </c>
      <c r="D271" s="11" t="str">
        <f>IF(ISBLANK(data!X299),"",data!X299)</f>
        <v/>
      </c>
      <c r="E271" s="11" t="str">
        <f>IF(ISBLANK(data!Y299),"",data!Y299)</f>
        <v/>
      </c>
    </row>
    <row r="272" spans="1:5" x14ac:dyDescent="0.3">
      <c r="A272" s="13">
        <f>data!S300</f>
        <v>0</v>
      </c>
      <c r="B272" s="11" t="str">
        <f>IF(ISBLANK(data!V300),"",data!V300)</f>
        <v/>
      </c>
      <c r="C272" s="11" t="str">
        <f>IF(ISBLANK(data!W300),"",data!W300)</f>
        <v/>
      </c>
      <c r="D272" s="11" t="str">
        <f>IF(ISBLANK(data!X300),"",data!X300)</f>
        <v/>
      </c>
      <c r="E272" s="11" t="str">
        <f>IF(ISBLANK(data!Y300),"",data!Y300)</f>
        <v/>
      </c>
    </row>
    <row r="273" spans="1:9" x14ac:dyDescent="0.3">
      <c r="A273" s="13">
        <f>data!S301</f>
        <v>0</v>
      </c>
      <c r="B273" s="11" t="str">
        <f>IF(ISBLANK(data!V301),"",data!V301)</f>
        <v/>
      </c>
      <c r="C273" s="11" t="str">
        <f>IF(ISBLANK(data!W301),"",data!W301)</f>
        <v/>
      </c>
      <c r="D273" s="11" t="str">
        <f>IF(ISBLANK(data!X301),"",data!X301)</f>
        <v/>
      </c>
      <c r="E273" s="11" t="str">
        <f>IF(ISBLANK(data!Y301),"",data!Y301)</f>
        <v/>
      </c>
    </row>
    <row r="274" spans="1:9" x14ac:dyDescent="0.3">
      <c r="A274" s="13">
        <f>data!S302</f>
        <v>0</v>
      </c>
      <c r="B274" s="11" t="str">
        <f>IF(ISBLANK(data!V302),"",data!V302)</f>
        <v/>
      </c>
      <c r="C274" s="11" t="str">
        <f>IF(ISBLANK(data!W302),"",data!W302)</f>
        <v/>
      </c>
      <c r="D274" s="11" t="str">
        <f>IF(ISBLANK(data!X302),"",data!X302)</f>
        <v/>
      </c>
      <c r="E274" s="11" t="str">
        <f>IF(ISBLANK(data!Y302),"",data!Y302)</f>
        <v/>
      </c>
    </row>
    <row r="275" spans="1:9" x14ac:dyDescent="0.3">
      <c r="A275" s="13">
        <f>data!S303</f>
        <v>0</v>
      </c>
      <c r="B275" s="11" t="str">
        <f>IF(ISBLANK(data!V303),"",data!V303)</f>
        <v/>
      </c>
      <c r="C275" s="11" t="str">
        <f>IF(ISBLANK(data!W303),"",data!W303)</f>
        <v/>
      </c>
      <c r="D275" s="11" t="str">
        <f>IF(ISBLANK(data!X303),"",data!X303)</f>
        <v/>
      </c>
      <c r="E275" s="11" t="str">
        <f>IF(ISBLANK(data!Y303),"",data!Y303)</f>
        <v/>
      </c>
    </row>
    <row r="276" spans="1:9" x14ac:dyDescent="0.3">
      <c r="A276" s="13">
        <f>data!S304</f>
        <v>0</v>
      </c>
      <c r="B276" s="11" t="str">
        <f>IF(ISBLANK(data!V304),"",data!V304)</f>
        <v/>
      </c>
      <c r="C276" s="11" t="str">
        <f>IF(ISBLANK(data!W304),"",data!W304)</f>
        <v/>
      </c>
      <c r="D276" s="11" t="str">
        <f>IF(ISBLANK(data!X304),"",data!X304)</f>
        <v/>
      </c>
      <c r="E276" s="11" t="str">
        <f>IF(ISBLANK(data!Y304),"",data!Y304)</f>
        <v/>
      </c>
    </row>
    <row r="277" spans="1:9" x14ac:dyDescent="0.3">
      <c r="A277" s="13">
        <f>data!S305</f>
        <v>0</v>
      </c>
      <c r="B277" s="11" t="str">
        <f>IF(ISBLANK(data!V305),"",data!V305)</f>
        <v/>
      </c>
      <c r="C277" s="11" t="str">
        <f>IF(ISBLANK(data!W305),"",data!W305)</f>
        <v/>
      </c>
      <c r="D277" s="11" t="str">
        <f>IF(ISBLANK(data!X305),"",data!X305)</f>
        <v/>
      </c>
      <c r="E277" s="11" t="str">
        <f>IF(ISBLANK(data!Y305),"",data!Y305)</f>
        <v/>
      </c>
    </row>
    <row r="278" spans="1:9" x14ac:dyDescent="0.3">
      <c r="A278" s="13">
        <f>data!S306</f>
        <v>0</v>
      </c>
      <c r="B278" s="11" t="str">
        <f>IF(ISBLANK(data!V306),"",data!V306)</f>
        <v/>
      </c>
      <c r="C278" s="11" t="str">
        <f>IF(ISBLANK(data!W306),"",data!W306)</f>
        <v/>
      </c>
      <c r="D278" s="11" t="str">
        <f>IF(ISBLANK(data!X306),"",data!X306)</f>
        <v/>
      </c>
      <c r="E278" s="11" t="str">
        <f>IF(ISBLANK(data!Y306),"",data!Y306)</f>
        <v/>
      </c>
    </row>
    <row r="279" spans="1:9" x14ac:dyDescent="0.3">
      <c r="A279" s="13">
        <f>data!S307</f>
        <v>0</v>
      </c>
      <c r="B279" s="11" t="str">
        <f>IF(ISBLANK(data!V307),"",data!V307)</f>
        <v/>
      </c>
      <c r="C279" s="11" t="str">
        <f>IF(ISBLANK(data!W307),"",data!W307)</f>
        <v/>
      </c>
      <c r="D279" s="11" t="str">
        <f>IF(ISBLANK(data!X307),"",data!X307)</f>
        <v/>
      </c>
      <c r="E279" s="11" t="str">
        <f>IF(ISBLANK(data!Y307),"",data!Y307)</f>
        <v/>
      </c>
    </row>
    <row r="280" spans="1:9" x14ac:dyDescent="0.3">
      <c r="A280" s="13">
        <f>data!S308</f>
        <v>0</v>
      </c>
      <c r="B280" s="11" t="str">
        <f>IF(ISBLANK(data!V308),"",data!V308)</f>
        <v/>
      </c>
      <c r="C280" s="11" t="str">
        <f>IF(ISBLANK(data!W308),"",data!W308)</f>
        <v/>
      </c>
      <c r="D280" s="11" t="str">
        <f>IF(ISBLANK(data!X308),"",data!X308)</f>
        <v/>
      </c>
      <c r="E280" s="11" t="str">
        <f>IF(ISBLANK(data!Y308),"",data!Y308)</f>
        <v/>
      </c>
    </row>
    <row r="281" spans="1:9" x14ac:dyDescent="0.3">
      <c r="A281" s="13">
        <f>data!S309</f>
        <v>0</v>
      </c>
      <c r="B281" s="11" t="str">
        <f>IF(ISBLANK(data!V309),"",data!V309)</f>
        <v/>
      </c>
      <c r="C281" s="11" t="str">
        <f>IF(ISBLANK(data!W309),"",data!W309)</f>
        <v/>
      </c>
      <c r="D281" s="11" t="str">
        <f>IF(ISBLANK(data!X309),"",data!X309)</f>
        <v/>
      </c>
      <c r="E281" s="11" t="str">
        <f>IF(ISBLANK(data!Y309),"",data!Y309)</f>
        <v/>
      </c>
    </row>
    <row r="282" spans="1:9" x14ac:dyDescent="0.3">
      <c r="A282" s="13">
        <f>data!S310</f>
        <v>0</v>
      </c>
      <c r="B282" s="11" t="str">
        <f>IF(ISBLANK(data!V310),"",data!V310)</f>
        <v/>
      </c>
      <c r="C282" s="11" t="str">
        <f>IF(ISBLANK(data!W310),"",data!W310)</f>
        <v/>
      </c>
      <c r="D282" s="11" t="str">
        <f>IF(ISBLANK(data!X310),"",data!X310)</f>
        <v/>
      </c>
      <c r="E282" s="11" t="str">
        <f>IF(ISBLANK(data!Y310),"",data!Y310)</f>
        <v/>
      </c>
    </row>
    <row r="283" spans="1:9" x14ac:dyDescent="0.3">
      <c r="A283" s="13">
        <f>data!S311</f>
        <v>0</v>
      </c>
      <c r="B283" s="11" t="str">
        <f>IF(ISBLANK(data!V311),"",data!V311)</f>
        <v/>
      </c>
      <c r="C283" s="11" t="str">
        <f>IF(ISBLANK(data!W311),"",data!W311)</f>
        <v/>
      </c>
      <c r="D283" s="11" t="str">
        <f>IF(ISBLANK(data!X311),"",data!X311)</f>
        <v/>
      </c>
      <c r="E283" s="11" t="str">
        <f>IF(ISBLANK(data!Y311),"",data!Y311)</f>
        <v/>
      </c>
    </row>
    <row r="284" spans="1:9" x14ac:dyDescent="0.3">
      <c r="A284" s="13">
        <f>data!S312</f>
        <v>0</v>
      </c>
      <c r="B284" s="11" t="str">
        <f>IF(ISBLANK(data!V312),"",data!V312)</f>
        <v/>
      </c>
      <c r="C284" s="11" t="str">
        <f>IF(ISBLANK(data!W312),"",data!W312)</f>
        <v/>
      </c>
      <c r="D284" s="11" t="str">
        <f>IF(ISBLANK(data!X312),"",data!X312)</f>
        <v/>
      </c>
      <c r="E284" s="11" t="str">
        <f>IF(ISBLANK(data!Y312),"",data!Y312)</f>
        <v/>
      </c>
    </row>
    <row r="285" spans="1:9" x14ac:dyDescent="0.3">
      <c r="A285" s="13">
        <f>data!S313</f>
        <v>0</v>
      </c>
      <c r="B285" s="11" t="str">
        <f>IF(ISBLANK(data!V313),"",data!V313)</f>
        <v/>
      </c>
      <c r="C285" s="11" t="str">
        <f>IF(ISBLANK(data!W313),"",data!W313)</f>
        <v/>
      </c>
      <c r="D285" s="11" t="str">
        <f>IF(ISBLANK(data!X313),"",data!X313)</f>
        <v/>
      </c>
      <c r="E285" s="11" t="str">
        <f>IF(ISBLANK(data!Y313),"",data!Y313)</f>
        <v/>
      </c>
      <c r="I285" t="str">
        <f>data!T6&amp;data!T7&amp;"/"&amp;data!U6&amp;"风格分析"</f>
        <v>160215.OF国泰价值经典/周伟锋风格分析</v>
      </c>
    </row>
    <row r="286" spans="1:9" x14ac:dyDescent="0.3">
      <c r="A286" s="13">
        <f>data!S314</f>
        <v>0</v>
      </c>
      <c r="B286" s="11" t="str">
        <f>IF(ISBLANK(data!V314),"",data!V314)</f>
        <v/>
      </c>
      <c r="C286" s="11" t="str">
        <f>IF(ISBLANK(data!W314),"",data!W314)</f>
        <v/>
      </c>
      <c r="D286" s="11" t="str">
        <f>IF(ISBLANK(data!X314),"",data!X314)</f>
        <v/>
      </c>
      <c r="E286" s="11" t="str">
        <f>IF(ISBLANK(data!Y314),"",data!Y314)</f>
        <v/>
      </c>
    </row>
    <row r="287" spans="1:9" x14ac:dyDescent="0.3">
      <c r="A287" s="13">
        <f>data!S315</f>
        <v>0</v>
      </c>
      <c r="B287" s="11" t="str">
        <f>IF(ISBLANK(data!V315),"",data!V315)</f>
        <v/>
      </c>
      <c r="C287" s="11" t="str">
        <f>IF(ISBLANK(data!W315),"",data!W315)</f>
        <v/>
      </c>
      <c r="D287" s="11" t="str">
        <f>IF(ISBLANK(data!X315),"",data!X315)</f>
        <v/>
      </c>
      <c r="E287" s="11" t="str">
        <f>IF(ISBLANK(data!Y315),"",data!Y315)</f>
        <v/>
      </c>
    </row>
    <row r="288" spans="1:9" x14ac:dyDescent="0.3">
      <c r="A288" s="13">
        <f>data!S316</f>
        <v>0</v>
      </c>
      <c r="B288" s="11" t="str">
        <f>IF(ISBLANK(data!V316),"",data!V316)</f>
        <v/>
      </c>
      <c r="C288" s="11" t="str">
        <f>IF(ISBLANK(data!W316),"",data!W316)</f>
        <v/>
      </c>
      <c r="D288" s="11" t="str">
        <f>IF(ISBLANK(data!X316),"",data!X316)</f>
        <v/>
      </c>
      <c r="E288" s="11" t="str">
        <f>IF(ISBLANK(data!Y316),"",data!Y316)</f>
        <v/>
      </c>
    </row>
    <row r="289" spans="1:5" x14ac:dyDescent="0.3">
      <c r="A289" s="13">
        <f>data!S317</f>
        <v>0</v>
      </c>
      <c r="B289" s="11" t="str">
        <f>IF(ISBLANK(data!V317),"",data!V317)</f>
        <v/>
      </c>
      <c r="C289" s="11" t="str">
        <f>IF(ISBLANK(data!W317),"",data!W317)</f>
        <v/>
      </c>
      <c r="D289" s="11" t="str">
        <f>IF(ISBLANK(data!X317),"",data!X317)</f>
        <v/>
      </c>
      <c r="E289" s="11" t="str">
        <f>IF(ISBLANK(data!Y317),"",data!Y317)</f>
        <v/>
      </c>
    </row>
    <row r="290" spans="1:5" x14ac:dyDescent="0.3">
      <c r="A290" s="13">
        <f>data!S318</f>
        <v>0</v>
      </c>
      <c r="B290" s="11" t="str">
        <f>IF(ISBLANK(data!V318),"",data!V318)</f>
        <v/>
      </c>
      <c r="C290" s="11" t="str">
        <f>IF(ISBLANK(data!W318),"",data!W318)</f>
        <v/>
      </c>
      <c r="D290" s="11" t="str">
        <f>IF(ISBLANK(data!X318),"",data!X318)</f>
        <v/>
      </c>
      <c r="E290" s="11" t="str">
        <f>IF(ISBLANK(data!Y318),"",data!Y318)</f>
        <v/>
      </c>
    </row>
    <row r="291" spans="1:5" x14ac:dyDescent="0.3">
      <c r="A291" s="13">
        <f>data!S319</f>
        <v>0</v>
      </c>
      <c r="B291" s="11" t="str">
        <f>IF(ISBLANK(data!V319),"",data!V319)</f>
        <v/>
      </c>
      <c r="C291" s="11" t="str">
        <f>IF(ISBLANK(data!W319),"",data!W319)</f>
        <v/>
      </c>
      <c r="D291" s="11" t="str">
        <f>IF(ISBLANK(data!X319),"",data!X319)</f>
        <v/>
      </c>
      <c r="E291" s="11" t="str">
        <f>IF(ISBLANK(data!Y319),"",data!Y319)</f>
        <v/>
      </c>
    </row>
    <row r="292" spans="1:5" x14ac:dyDescent="0.3">
      <c r="A292" s="13">
        <f>data!S320</f>
        <v>0</v>
      </c>
      <c r="B292" s="11" t="str">
        <f>IF(ISBLANK(data!V320),"",data!V320)</f>
        <v/>
      </c>
      <c r="C292" s="11" t="str">
        <f>IF(ISBLANK(data!W320),"",data!W320)</f>
        <v/>
      </c>
      <c r="D292" s="11" t="str">
        <f>IF(ISBLANK(data!X320),"",data!X320)</f>
        <v/>
      </c>
      <c r="E292" s="11" t="str">
        <f>IF(ISBLANK(data!Y320),"",data!Y320)</f>
        <v/>
      </c>
    </row>
    <row r="293" spans="1:5" x14ac:dyDescent="0.3">
      <c r="A293" s="13">
        <f>data!S321</f>
        <v>0</v>
      </c>
      <c r="B293" s="11" t="str">
        <f>IF(ISBLANK(data!V321),"",data!V321)</f>
        <v/>
      </c>
      <c r="C293" s="11" t="str">
        <f>IF(ISBLANK(data!W321),"",data!W321)</f>
        <v/>
      </c>
      <c r="D293" s="11" t="str">
        <f>IF(ISBLANK(data!X321),"",data!X321)</f>
        <v/>
      </c>
      <c r="E293" s="11" t="str">
        <f>IF(ISBLANK(data!Y321),"",data!Y321)</f>
        <v/>
      </c>
    </row>
    <row r="294" spans="1:5" x14ac:dyDescent="0.3">
      <c r="A294" s="13">
        <f>data!S322</f>
        <v>0</v>
      </c>
      <c r="B294" s="11" t="str">
        <f>IF(ISBLANK(data!V322),"",data!V322)</f>
        <v/>
      </c>
      <c r="C294" s="11" t="str">
        <f>IF(ISBLANK(data!W322),"",data!W322)</f>
        <v/>
      </c>
      <c r="D294" s="11" t="str">
        <f>IF(ISBLANK(data!X322),"",data!X322)</f>
        <v/>
      </c>
      <c r="E294" s="11" t="str">
        <f>IF(ISBLANK(data!Y322),"",data!Y322)</f>
        <v/>
      </c>
    </row>
    <row r="295" spans="1:5" x14ac:dyDescent="0.3">
      <c r="A295" s="13">
        <f>data!S323</f>
        <v>0</v>
      </c>
      <c r="B295" s="11" t="str">
        <f>IF(ISBLANK(data!V323),"",data!V323)</f>
        <v/>
      </c>
      <c r="C295" s="11" t="str">
        <f>IF(ISBLANK(data!W323),"",data!W323)</f>
        <v/>
      </c>
      <c r="D295" s="11" t="str">
        <f>IF(ISBLANK(data!X323),"",data!X323)</f>
        <v/>
      </c>
      <c r="E295" s="11" t="str">
        <f>IF(ISBLANK(data!Y323),"",data!Y323)</f>
        <v/>
      </c>
    </row>
    <row r="296" spans="1:5" x14ac:dyDescent="0.3">
      <c r="A296" s="13">
        <f>data!S324</f>
        <v>0</v>
      </c>
      <c r="B296" s="11" t="str">
        <f>IF(ISBLANK(data!V324),"",data!V324)</f>
        <v/>
      </c>
      <c r="C296" s="11" t="str">
        <f>IF(ISBLANK(data!W324),"",data!W324)</f>
        <v/>
      </c>
      <c r="D296" s="11" t="str">
        <f>IF(ISBLANK(data!X324),"",data!X324)</f>
        <v/>
      </c>
      <c r="E296" s="11" t="str">
        <f>IF(ISBLANK(data!Y324),"",data!Y324)</f>
        <v/>
      </c>
    </row>
    <row r="297" spans="1:5" x14ac:dyDescent="0.3">
      <c r="A297" s="13">
        <f>data!S325</f>
        <v>0</v>
      </c>
      <c r="B297" s="11" t="str">
        <f>IF(ISBLANK(data!V325),"",data!V325)</f>
        <v/>
      </c>
      <c r="C297" s="11" t="str">
        <f>IF(ISBLANK(data!W325),"",data!W325)</f>
        <v/>
      </c>
      <c r="D297" s="11" t="str">
        <f>IF(ISBLANK(data!X325),"",data!X325)</f>
        <v/>
      </c>
      <c r="E297" s="11" t="str">
        <f>IF(ISBLANK(data!Y325),"",data!Y325)</f>
        <v/>
      </c>
    </row>
    <row r="298" spans="1:5" x14ac:dyDescent="0.3">
      <c r="A298" s="13">
        <f>data!S326</f>
        <v>0</v>
      </c>
      <c r="B298" s="11" t="str">
        <f>IF(ISBLANK(data!V326),"",data!V326)</f>
        <v/>
      </c>
      <c r="C298" s="11" t="str">
        <f>IF(ISBLANK(data!W326),"",data!W326)</f>
        <v/>
      </c>
      <c r="D298" s="11" t="str">
        <f>IF(ISBLANK(data!X326),"",data!X326)</f>
        <v/>
      </c>
      <c r="E298" s="11" t="str">
        <f>IF(ISBLANK(data!Y326),"",data!Y326)</f>
        <v/>
      </c>
    </row>
    <row r="299" spans="1:5" x14ac:dyDescent="0.3">
      <c r="A299" s="13">
        <f>data!S327</f>
        <v>0</v>
      </c>
      <c r="B299" s="11" t="str">
        <f>IF(ISBLANK(data!V327),"",data!V327)</f>
        <v/>
      </c>
      <c r="C299" s="11" t="str">
        <f>IF(ISBLANK(data!W327),"",data!W327)</f>
        <v/>
      </c>
      <c r="D299" s="11" t="str">
        <f>IF(ISBLANK(data!X327),"",data!X327)</f>
        <v/>
      </c>
      <c r="E299" s="11" t="str">
        <f>IF(ISBLANK(data!Y327),"",data!Y327)</f>
        <v/>
      </c>
    </row>
    <row r="300" spans="1:5" x14ac:dyDescent="0.3">
      <c r="A300" s="13">
        <f>data!S328</f>
        <v>0</v>
      </c>
      <c r="B300" s="11" t="str">
        <f>IF(ISBLANK(data!V328),"",data!V328)</f>
        <v/>
      </c>
      <c r="C300" s="11" t="str">
        <f>IF(ISBLANK(data!W328),"",data!W328)</f>
        <v/>
      </c>
      <c r="D300" s="11" t="str">
        <f>IF(ISBLANK(data!X328),"",data!X328)</f>
        <v/>
      </c>
      <c r="E300" s="11" t="str">
        <f>IF(ISBLANK(data!Y328),"",data!Y328)</f>
        <v/>
      </c>
    </row>
    <row r="301" spans="1:5" x14ac:dyDescent="0.3">
      <c r="A301" s="13">
        <f>data!S329</f>
        <v>0</v>
      </c>
      <c r="B301" s="11" t="str">
        <f>IF(ISBLANK(data!V329),"",data!V329)</f>
        <v/>
      </c>
      <c r="C301" s="11" t="str">
        <f>IF(ISBLANK(data!W329),"",data!W329)</f>
        <v/>
      </c>
      <c r="D301" s="11" t="str">
        <f>IF(ISBLANK(data!X329),"",data!X329)</f>
        <v/>
      </c>
      <c r="E301" s="11" t="str">
        <f>IF(ISBLANK(data!Y329),"",data!Y329)</f>
        <v/>
      </c>
    </row>
    <row r="302" spans="1:5" x14ac:dyDescent="0.3">
      <c r="A302" s="13">
        <f>data!S330</f>
        <v>0</v>
      </c>
      <c r="B302" s="11" t="str">
        <f>IF(ISBLANK(data!V330),"",data!V330)</f>
        <v/>
      </c>
      <c r="C302" s="11" t="str">
        <f>IF(ISBLANK(data!W330),"",data!W330)</f>
        <v/>
      </c>
      <c r="D302" s="11" t="str">
        <f>IF(ISBLANK(data!X330),"",data!X330)</f>
        <v/>
      </c>
      <c r="E302" s="11" t="str">
        <f>IF(ISBLANK(data!Y330),"",data!Y330)</f>
        <v/>
      </c>
    </row>
    <row r="303" spans="1:5" x14ac:dyDescent="0.3">
      <c r="A303" s="13">
        <f>data!S331</f>
        <v>0</v>
      </c>
      <c r="B303" s="11" t="str">
        <f>IF(ISBLANK(data!V331),"",data!V331)</f>
        <v/>
      </c>
      <c r="C303" s="11" t="str">
        <f>IF(ISBLANK(data!W331),"",data!W331)</f>
        <v/>
      </c>
      <c r="D303" s="11" t="str">
        <f>IF(ISBLANK(data!X331),"",data!X331)</f>
        <v/>
      </c>
      <c r="E303" s="11" t="str">
        <f>IF(ISBLANK(data!Y331),"",data!Y331)</f>
        <v/>
      </c>
    </row>
    <row r="304" spans="1:5" x14ac:dyDescent="0.3">
      <c r="A304" s="13">
        <f>data!S332</f>
        <v>0</v>
      </c>
      <c r="B304" s="11" t="str">
        <f>IF(ISBLANK(data!V332),"",data!V332)</f>
        <v/>
      </c>
      <c r="C304" s="11" t="str">
        <f>IF(ISBLANK(data!W332),"",data!W332)</f>
        <v/>
      </c>
      <c r="D304" s="11" t="str">
        <f>IF(ISBLANK(data!X332),"",data!X332)</f>
        <v/>
      </c>
      <c r="E304" s="11" t="str">
        <f>IF(ISBLANK(data!Y332),"",data!Y332)</f>
        <v/>
      </c>
    </row>
    <row r="305" spans="1:5" x14ac:dyDescent="0.3">
      <c r="A305" s="13">
        <f>data!S333</f>
        <v>0</v>
      </c>
      <c r="B305" s="11" t="str">
        <f>IF(ISBLANK(data!V333),"",data!V333)</f>
        <v/>
      </c>
      <c r="C305" s="11" t="str">
        <f>IF(ISBLANK(data!W333),"",data!W333)</f>
        <v/>
      </c>
      <c r="D305" s="11" t="str">
        <f>IF(ISBLANK(data!X333),"",data!X333)</f>
        <v/>
      </c>
      <c r="E305" s="11" t="str">
        <f>IF(ISBLANK(data!Y333),"",data!Y333)</f>
        <v/>
      </c>
    </row>
    <row r="306" spans="1:5" x14ac:dyDescent="0.3">
      <c r="A306" s="13">
        <f>data!S334</f>
        <v>0</v>
      </c>
      <c r="B306" s="11" t="str">
        <f>IF(ISBLANK(data!V334),"",data!V334)</f>
        <v/>
      </c>
      <c r="C306" s="11" t="str">
        <f>IF(ISBLANK(data!W334),"",data!W334)</f>
        <v/>
      </c>
      <c r="D306" s="11" t="str">
        <f>IF(ISBLANK(data!X334),"",data!X334)</f>
        <v/>
      </c>
      <c r="E306" s="11" t="str">
        <f>IF(ISBLANK(data!Y334),"",data!Y334)</f>
        <v/>
      </c>
    </row>
    <row r="307" spans="1:5" x14ac:dyDescent="0.3">
      <c r="A307" s="13">
        <f>data!S335</f>
        <v>0</v>
      </c>
      <c r="B307" s="11" t="str">
        <f>IF(ISBLANK(data!V335),"",data!V335)</f>
        <v/>
      </c>
      <c r="C307" s="11" t="str">
        <f>IF(ISBLANK(data!W335),"",data!W335)</f>
        <v/>
      </c>
      <c r="D307" s="11" t="str">
        <f>IF(ISBLANK(data!X335),"",data!X335)</f>
        <v/>
      </c>
      <c r="E307" s="11" t="str">
        <f>IF(ISBLANK(data!Y335),"",data!Y335)</f>
        <v/>
      </c>
    </row>
    <row r="308" spans="1:5" x14ac:dyDescent="0.3">
      <c r="A308" s="13">
        <f>data!S336</f>
        <v>0</v>
      </c>
      <c r="B308" s="11" t="str">
        <f>IF(ISBLANK(data!V336),"",data!V336)</f>
        <v/>
      </c>
      <c r="C308" s="11" t="str">
        <f>IF(ISBLANK(data!W336),"",data!W336)</f>
        <v/>
      </c>
      <c r="D308" s="11" t="str">
        <f>IF(ISBLANK(data!X336),"",data!X336)</f>
        <v/>
      </c>
      <c r="E308" s="11" t="str">
        <f>IF(ISBLANK(data!Y336),"",data!Y336)</f>
        <v/>
      </c>
    </row>
    <row r="309" spans="1:5" x14ac:dyDescent="0.3">
      <c r="A309" s="13">
        <f>data!S337</f>
        <v>0</v>
      </c>
      <c r="B309" s="11" t="str">
        <f>IF(ISBLANK(data!V337),"",data!V337)</f>
        <v/>
      </c>
      <c r="C309" s="11" t="str">
        <f>IF(ISBLANK(data!W337),"",data!W337)</f>
        <v/>
      </c>
      <c r="D309" s="11" t="str">
        <f>IF(ISBLANK(data!X337),"",data!X337)</f>
        <v/>
      </c>
      <c r="E309" s="11" t="str">
        <f>IF(ISBLANK(data!Y337),"",data!Y337)</f>
        <v/>
      </c>
    </row>
    <row r="310" spans="1:5" x14ac:dyDescent="0.3">
      <c r="A310" s="13">
        <f>data!S338</f>
        <v>0</v>
      </c>
      <c r="B310" s="11" t="str">
        <f>IF(ISBLANK(data!V338),"",data!V338)</f>
        <v/>
      </c>
      <c r="C310" s="11" t="str">
        <f>IF(ISBLANK(data!W338),"",data!W338)</f>
        <v/>
      </c>
      <c r="D310" s="11" t="str">
        <f>IF(ISBLANK(data!X338),"",data!X338)</f>
        <v/>
      </c>
      <c r="E310" s="11" t="str">
        <f>IF(ISBLANK(data!Y338),"",data!Y338)</f>
        <v/>
      </c>
    </row>
    <row r="311" spans="1:5" x14ac:dyDescent="0.3">
      <c r="A311" s="13">
        <f>data!S339</f>
        <v>0</v>
      </c>
      <c r="B311" s="11" t="str">
        <f>IF(ISBLANK(data!V339),"",data!V339)</f>
        <v/>
      </c>
      <c r="C311" s="11" t="str">
        <f>IF(ISBLANK(data!W339),"",data!W339)</f>
        <v/>
      </c>
      <c r="D311" s="11" t="str">
        <f>IF(ISBLANK(data!X339),"",data!X339)</f>
        <v/>
      </c>
      <c r="E311" s="11" t="str">
        <f>IF(ISBLANK(data!Y339),"",data!Y339)</f>
        <v/>
      </c>
    </row>
    <row r="312" spans="1:5" x14ac:dyDescent="0.3">
      <c r="A312" s="13">
        <f>data!S340</f>
        <v>0</v>
      </c>
      <c r="B312" s="11" t="str">
        <f>IF(ISBLANK(data!V340),"",data!V340)</f>
        <v/>
      </c>
      <c r="C312" s="11" t="str">
        <f>IF(ISBLANK(data!W340),"",data!W340)</f>
        <v/>
      </c>
      <c r="D312" s="11" t="str">
        <f>IF(ISBLANK(data!X340),"",data!X340)</f>
        <v/>
      </c>
      <c r="E312" s="11" t="str">
        <f>IF(ISBLANK(data!Y340),"",data!Y340)</f>
        <v/>
      </c>
    </row>
    <row r="313" spans="1:5" x14ac:dyDescent="0.3">
      <c r="A313" s="13">
        <f>data!S341</f>
        <v>0</v>
      </c>
      <c r="B313" s="11" t="str">
        <f>IF(ISBLANK(data!V341),"",data!V341)</f>
        <v/>
      </c>
      <c r="C313" s="11" t="str">
        <f>IF(ISBLANK(data!W341),"",data!W341)</f>
        <v/>
      </c>
      <c r="D313" s="11" t="str">
        <f>IF(ISBLANK(data!X341),"",data!X341)</f>
        <v/>
      </c>
      <c r="E313" s="11" t="str">
        <f>IF(ISBLANK(data!Y341),"",data!Y341)</f>
        <v/>
      </c>
    </row>
    <row r="314" spans="1:5" x14ac:dyDescent="0.3">
      <c r="A314" s="13">
        <f>data!S342</f>
        <v>0</v>
      </c>
      <c r="B314" s="11" t="str">
        <f>IF(ISBLANK(data!V342),"",data!V342)</f>
        <v/>
      </c>
      <c r="C314" s="11" t="str">
        <f>IF(ISBLANK(data!W342),"",data!W342)</f>
        <v/>
      </c>
      <c r="D314" s="11" t="str">
        <f>IF(ISBLANK(data!X342),"",data!X342)</f>
        <v/>
      </c>
      <c r="E314" s="11" t="str">
        <f>IF(ISBLANK(data!Y342),"",data!Y342)</f>
        <v/>
      </c>
    </row>
    <row r="315" spans="1:5" x14ac:dyDescent="0.3">
      <c r="A315" s="13">
        <f>data!S343</f>
        <v>0</v>
      </c>
      <c r="B315" s="11" t="str">
        <f>IF(ISBLANK(data!V343),"",data!V343)</f>
        <v/>
      </c>
      <c r="C315" s="11" t="str">
        <f>IF(ISBLANK(data!W343),"",data!W343)</f>
        <v/>
      </c>
      <c r="D315" s="11" t="str">
        <f>IF(ISBLANK(data!X343),"",data!X343)</f>
        <v/>
      </c>
      <c r="E315" s="11" t="str">
        <f>IF(ISBLANK(data!Y343),"",data!Y343)</f>
        <v/>
      </c>
    </row>
    <row r="316" spans="1:5" x14ac:dyDescent="0.3">
      <c r="A316" s="13">
        <f>data!S344</f>
        <v>0</v>
      </c>
      <c r="B316" s="11" t="str">
        <f>IF(ISBLANK(data!V344),"",data!V344)</f>
        <v/>
      </c>
      <c r="C316" s="11" t="str">
        <f>IF(ISBLANK(data!W344),"",data!W344)</f>
        <v/>
      </c>
      <c r="D316" s="11" t="str">
        <f>IF(ISBLANK(data!X344),"",data!X344)</f>
        <v/>
      </c>
      <c r="E316" s="11" t="str">
        <f>IF(ISBLANK(data!Y344),"",data!Y344)</f>
        <v/>
      </c>
    </row>
    <row r="317" spans="1:5" x14ac:dyDescent="0.3">
      <c r="A317" s="13">
        <f>data!S345</f>
        <v>0</v>
      </c>
      <c r="B317" s="11" t="str">
        <f>IF(ISBLANK(data!V345),"",data!V345)</f>
        <v/>
      </c>
      <c r="C317" s="11" t="str">
        <f>IF(ISBLANK(data!W345),"",data!W345)</f>
        <v/>
      </c>
      <c r="D317" s="11" t="str">
        <f>IF(ISBLANK(data!X345),"",data!X345)</f>
        <v/>
      </c>
      <c r="E317" s="11" t="str">
        <f>IF(ISBLANK(data!Y345),"",data!Y345)</f>
        <v/>
      </c>
    </row>
    <row r="318" spans="1:5" x14ac:dyDescent="0.3">
      <c r="A318" s="13">
        <f>data!S346</f>
        <v>0</v>
      </c>
      <c r="B318" s="11" t="str">
        <f>IF(ISBLANK(data!V346),"",data!V346)</f>
        <v/>
      </c>
      <c r="C318" s="11" t="str">
        <f>IF(ISBLANK(data!W346),"",data!W346)</f>
        <v/>
      </c>
      <c r="D318" s="11" t="str">
        <f>IF(ISBLANK(data!X346),"",data!X346)</f>
        <v/>
      </c>
      <c r="E318" s="11" t="str">
        <f>IF(ISBLANK(data!Y346),"",data!Y346)</f>
        <v/>
      </c>
    </row>
    <row r="319" spans="1:5" x14ac:dyDescent="0.3">
      <c r="A319" s="13">
        <f>data!S347</f>
        <v>0</v>
      </c>
      <c r="B319" s="11" t="str">
        <f>IF(ISBLANK(data!V347),"",data!V347)</f>
        <v/>
      </c>
      <c r="C319" s="11" t="str">
        <f>IF(ISBLANK(data!W347),"",data!W347)</f>
        <v/>
      </c>
      <c r="D319" s="11" t="str">
        <f>IF(ISBLANK(data!X347),"",data!X347)</f>
        <v/>
      </c>
      <c r="E319" s="11" t="str">
        <f>IF(ISBLANK(data!Y347),"",data!Y347)</f>
        <v/>
      </c>
    </row>
    <row r="320" spans="1:5" x14ac:dyDescent="0.3">
      <c r="A320" s="13">
        <f>data!S348</f>
        <v>0</v>
      </c>
      <c r="B320" s="11" t="str">
        <f>IF(ISBLANK(data!V348),"",data!V348)</f>
        <v/>
      </c>
      <c r="C320" s="11" t="str">
        <f>IF(ISBLANK(data!W348),"",data!W348)</f>
        <v/>
      </c>
      <c r="D320" s="11" t="str">
        <f>IF(ISBLANK(data!X348),"",data!X348)</f>
        <v/>
      </c>
      <c r="E320" s="11" t="str">
        <f>IF(ISBLANK(data!Y348),"",data!Y348)</f>
        <v/>
      </c>
    </row>
    <row r="321" spans="1:5" x14ac:dyDescent="0.3">
      <c r="A321" s="13">
        <f>data!S349</f>
        <v>0</v>
      </c>
      <c r="B321" s="11" t="str">
        <f>IF(ISBLANK(data!V349),"",data!V349)</f>
        <v/>
      </c>
      <c r="C321" s="11" t="str">
        <f>IF(ISBLANK(data!W349),"",data!W349)</f>
        <v/>
      </c>
      <c r="D321" s="11" t="str">
        <f>IF(ISBLANK(data!X349),"",data!X349)</f>
        <v/>
      </c>
      <c r="E321" s="11" t="str">
        <f>IF(ISBLANK(data!Y349),"",data!Y349)</f>
        <v/>
      </c>
    </row>
    <row r="322" spans="1:5" x14ac:dyDescent="0.3">
      <c r="A322" s="13">
        <f>data!S350</f>
        <v>0</v>
      </c>
      <c r="B322" s="11" t="str">
        <f>IF(ISBLANK(data!V350),"",data!V350)</f>
        <v/>
      </c>
      <c r="C322" s="11" t="str">
        <f>IF(ISBLANK(data!W350),"",data!W350)</f>
        <v/>
      </c>
      <c r="D322" s="11" t="str">
        <f>IF(ISBLANK(data!X350),"",data!X350)</f>
        <v/>
      </c>
      <c r="E322" s="11" t="str">
        <f>IF(ISBLANK(data!Y350),"",data!Y350)</f>
        <v/>
      </c>
    </row>
    <row r="323" spans="1:5" x14ac:dyDescent="0.3">
      <c r="A323" s="13">
        <f>data!S351</f>
        <v>0</v>
      </c>
      <c r="B323" s="11" t="str">
        <f>IF(ISBLANK(data!V351),"",data!V351)</f>
        <v/>
      </c>
      <c r="C323" s="11" t="str">
        <f>IF(ISBLANK(data!W351),"",data!W351)</f>
        <v/>
      </c>
      <c r="D323" s="11" t="str">
        <f>IF(ISBLANK(data!X351),"",data!X351)</f>
        <v/>
      </c>
      <c r="E323" s="11" t="str">
        <f>IF(ISBLANK(data!Y351),"",data!Y351)</f>
        <v/>
      </c>
    </row>
    <row r="324" spans="1:5" x14ac:dyDescent="0.3">
      <c r="A324" s="13">
        <f>data!S352</f>
        <v>0</v>
      </c>
      <c r="B324" s="11" t="str">
        <f>IF(ISBLANK(data!V352),"",data!V352)</f>
        <v/>
      </c>
      <c r="C324" s="11" t="str">
        <f>IF(ISBLANK(data!W352),"",data!W352)</f>
        <v/>
      </c>
      <c r="D324" s="11" t="str">
        <f>IF(ISBLANK(data!X352),"",data!X352)</f>
        <v/>
      </c>
      <c r="E324" s="11" t="str">
        <f>IF(ISBLANK(data!Y352),"",data!Y352)</f>
        <v/>
      </c>
    </row>
    <row r="325" spans="1:5" x14ac:dyDescent="0.3">
      <c r="A325" s="13">
        <f>data!S353</f>
        <v>0</v>
      </c>
      <c r="B325" s="11" t="str">
        <f>IF(ISBLANK(data!V353),"",data!V353)</f>
        <v/>
      </c>
      <c r="C325" s="11" t="str">
        <f>IF(ISBLANK(data!W353),"",data!W353)</f>
        <v/>
      </c>
      <c r="D325" s="11" t="str">
        <f>IF(ISBLANK(data!X353),"",data!X353)</f>
        <v/>
      </c>
      <c r="E325" s="11" t="str">
        <f>IF(ISBLANK(data!Y353),"",data!Y353)</f>
        <v/>
      </c>
    </row>
    <row r="326" spans="1:5" x14ac:dyDescent="0.3">
      <c r="A326" s="13">
        <f>data!S354</f>
        <v>0</v>
      </c>
      <c r="B326" s="11" t="str">
        <f>IF(ISBLANK(data!V354),"",data!V354)</f>
        <v/>
      </c>
      <c r="C326" s="11" t="str">
        <f>IF(ISBLANK(data!W354),"",data!W354)</f>
        <v/>
      </c>
      <c r="D326" s="11" t="str">
        <f>IF(ISBLANK(data!X354),"",data!X354)</f>
        <v/>
      </c>
      <c r="E326" s="11" t="str">
        <f>IF(ISBLANK(data!Y354),"",data!Y354)</f>
        <v/>
      </c>
    </row>
    <row r="327" spans="1:5" x14ac:dyDescent="0.3">
      <c r="A327" s="13">
        <f>data!S355</f>
        <v>0</v>
      </c>
      <c r="B327" s="11" t="str">
        <f>IF(ISBLANK(data!V355),"",data!V355)</f>
        <v/>
      </c>
      <c r="C327" s="11" t="str">
        <f>IF(ISBLANK(data!W355),"",data!W355)</f>
        <v/>
      </c>
      <c r="D327" s="11" t="str">
        <f>IF(ISBLANK(data!X355),"",data!X355)</f>
        <v/>
      </c>
      <c r="E327" s="11" t="str">
        <f>IF(ISBLANK(data!Y355),"",data!Y355)</f>
        <v/>
      </c>
    </row>
    <row r="328" spans="1:5" x14ac:dyDescent="0.3">
      <c r="A328" s="13">
        <f>data!S356</f>
        <v>0</v>
      </c>
      <c r="B328" s="11" t="str">
        <f>IF(ISBLANK(data!V356),"",data!V356)</f>
        <v/>
      </c>
      <c r="C328" s="11" t="str">
        <f>IF(ISBLANK(data!W356),"",data!W356)</f>
        <v/>
      </c>
      <c r="D328" s="11" t="str">
        <f>IF(ISBLANK(data!X356),"",data!X356)</f>
        <v/>
      </c>
      <c r="E328" s="11" t="str">
        <f>IF(ISBLANK(data!Y356),"",data!Y356)</f>
        <v/>
      </c>
    </row>
    <row r="329" spans="1:5" x14ac:dyDescent="0.3">
      <c r="A329" s="13">
        <f>data!S357</f>
        <v>0</v>
      </c>
      <c r="B329" s="11" t="str">
        <f>IF(ISBLANK(data!V357),"",data!V357)</f>
        <v/>
      </c>
      <c r="C329" s="11" t="str">
        <f>IF(ISBLANK(data!W357),"",data!W357)</f>
        <v/>
      </c>
      <c r="D329" s="11" t="str">
        <f>IF(ISBLANK(data!X357),"",data!X357)</f>
        <v/>
      </c>
      <c r="E329" s="11" t="str">
        <f>IF(ISBLANK(data!Y357),"",data!Y357)</f>
        <v/>
      </c>
    </row>
    <row r="330" spans="1:5" x14ac:dyDescent="0.3">
      <c r="A330" s="13">
        <f>data!S358</f>
        <v>0</v>
      </c>
      <c r="B330" s="11" t="str">
        <f>IF(ISBLANK(data!V358),"",data!V358)</f>
        <v/>
      </c>
      <c r="C330" s="11" t="str">
        <f>IF(ISBLANK(data!W358),"",data!W358)</f>
        <v/>
      </c>
      <c r="D330" s="11" t="str">
        <f>IF(ISBLANK(data!X358),"",data!X358)</f>
        <v/>
      </c>
      <c r="E330" s="11" t="str">
        <f>IF(ISBLANK(data!Y358),"",data!Y358)</f>
        <v/>
      </c>
    </row>
    <row r="331" spans="1:5" x14ac:dyDescent="0.3">
      <c r="A331" s="13">
        <f>data!S359</f>
        <v>0</v>
      </c>
      <c r="B331" s="11" t="str">
        <f>IF(ISBLANK(data!V359),"",data!V359)</f>
        <v/>
      </c>
      <c r="C331" s="11" t="str">
        <f>IF(ISBLANK(data!W359),"",data!W359)</f>
        <v/>
      </c>
      <c r="D331" s="11" t="str">
        <f>IF(ISBLANK(data!X359),"",data!X359)</f>
        <v/>
      </c>
      <c r="E331" s="11" t="str">
        <f>IF(ISBLANK(data!Y359),"",data!Y359)</f>
        <v/>
      </c>
    </row>
    <row r="332" spans="1:5" x14ac:dyDescent="0.3">
      <c r="A332" s="13">
        <f>data!S360</f>
        <v>0</v>
      </c>
      <c r="B332" s="11" t="str">
        <f>IF(ISBLANK(data!V360),"",data!V360)</f>
        <v/>
      </c>
      <c r="C332" s="11" t="str">
        <f>IF(ISBLANK(data!W360),"",data!W360)</f>
        <v/>
      </c>
      <c r="D332" s="11" t="str">
        <f>IF(ISBLANK(data!X360),"",data!X360)</f>
        <v/>
      </c>
      <c r="E332" s="11" t="str">
        <f>IF(ISBLANK(data!Y360),"",data!Y360)</f>
        <v/>
      </c>
    </row>
    <row r="333" spans="1:5" x14ac:dyDescent="0.3">
      <c r="A333" s="13">
        <f>data!S361</f>
        <v>0</v>
      </c>
      <c r="B333" s="11" t="str">
        <f>IF(ISBLANK(data!V361),"",data!V361)</f>
        <v/>
      </c>
      <c r="C333" s="11" t="str">
        <f>IF(ISBLANK(data!W361),"",data!W361)</f>
        <v/>
      </c>
      <c r="D333" s="11" t="str">
        <f>IF(ISBLANK(data!X361),"",data!X361)</f>
        <v/>
      </c>
      <c r="E333" s="11" t="str">
        <f>IF(ISBLANK(data!Y361),"",data!Y361)</f>
        <v/>
      </c>
    </row>
    <row r="334" spans="1:5" x14ac:dyDescent="0.3">
      <c r="A334" s="13">
        <f>data!S362</f>
        <v>0</v>
      </c>
      <c r="B334" s="11" t="str">
        <f>IF(ISBLANK(data!V362),"",data!V362)</f>
        <v/>
      </c>
      <c r="C334" s="11" t="str">
        <f>IF(ISBLANK(data!W362),"",data!W362)</f>
        <v/>
      </c>
      <c r="D334" s="11" t="str">
        <f>IF(ISBLANK(data!X362),"",data!X362)</f>
        <v/>
      </c>
      <c r="E334" s="11" t="str">
        <f>IF(ISBLANK(data!Y362),"",data!Y362)</f>
        <v/>
      </c>
    </row>
    <row r="335" spans="1:5" x14ac:dyDescent="0.3">
      <c r="A335" s="13">
        <f>data!S363</f>
        <v>0</v>
      </c>
      <c r="B335" s="11" t="str">
        <f>IF(ISBLANK(data!V363),"",data!V363)</f>
        <v/>
      </c>
      <c r="C335" s="11" t="str">
        <f>IF(ISBLANK(data!W363),"",data!W363)</f>
        <v/>
      </c>
      <c r="D335" s="11" t="str">
        <f>IF(ISBLANK(data!X363),"",data!X363)</f>
        <v/>
      </c>
      <c r="E335" s="11" t="str">
        <f>IF(ISBLANK(data!Y363),"",data!Y363)</f>
        <v/>
      </c>
    </row>
    <row r="336" spans="1:5" x14ac:dyDescent="0.3">
      <c r="A336" s="13">
        <f>data!S364</f>
        <v>0</v>
      </c>
      <c r="B336" s="11" t="str">
        <f>IF(ISBLANK(data!V364),"",data!V364)</f>
        <v/>
      </c>
      <c r="C336" s="11" t="str">
        <f>IF(ISBLANK(data!W364),"",data!W364)</f>
        <v/>
      </c>
      <c r="D336" s="11" t="str">
        <f>IF(ISBLANK(data!X364),"",data!X364)</f>
        <v/>
      </c>
      <c r="E336" s="11" t="str">
        <f>IF(ISBLANK(data!Y364),"",data!Y364)</f>
        <v/>
      </c>
    </row>
    <row r="337" spans="1:5" x14ac:dyDescent="0.3">
      <c r="A337" s="13">
        <f>data!S365</f>
        <v>0</v>
      </c>
      <c r="B337" s="11" t="str">
        <f>IF(ISBLANK(data!V365),"",data!V365)</f>
        <v/>
      </c>
      <c r="C337" s="11" t="str">
        <f>IF(ISBLANK(data!W365),"",data!W365)</f>
        <v/>
      </c>
      <c r="D337" s="11" t="str">
        <f>IF(ISBLANK(data!X365),"",data!X365)</f>
        <v/>
      </c>
      <c r="E337" s="11" t="str">
        <f>IF(ISBLANK(data!Y365),"",data!Y365)</f>
        <v/>
      </c>
    </row>
    <row r="338" spans="1:5" x14ac:dyDescent="0.3">
      <c r="A338" s="13">
        <f>data!S366</f>
        <v>0</v>
      </c>
      <c r="B338" s="11" t="str">
        <f>IF(ISBLANK(data!V366),"",data!V366)</f>
        <v/>
      </c>
      <c r="C338" s="11" t="str">
        <f>IF(ISBLANK(data!W366),"",data!W366)</f>
        <v/>
      </c>
      <c r="D338" s="11" t="str">
        <f>IF(ISBLANK(data!X366),"",data!X366)</f>
        <v/>
      </c>
      <c r="E338" s="11" t="str">
        <f>IF(ISBLANK(data!Y366),"",data!Y366)</f>
        <v/>
      </c>
    </row>
    <row r="339" spans="1:5" x14ac:dyDescent="0.3">
      <c r="A339" s="13">
        <f>data!S367</f>
        <v>0</v>
      </c>
      <c r="B339" s="11" t="str">
        <f>IF(ISBLANK(data!V367),"",data!V367)</f>
        <v/>
      </c>
      <c r="C339" s="11" t="str">
        <f>IF(ISBLANK(data!W367),"",data!W367)</f>
        <v/>
      </c>
      <c r="D339" s="11" t="str">
        <f>IF(ISBLANK(data!X367),"",data!X367)</f>
        <v/>
      </c>
      <c r="E339" s="11" t="str">
        <f>IF(ISBLANK(data!Y367),"",data!Y367)</f>
        <v/>
      </c>
    </row>
    <row r="340" spans="1:5" x14ac:dyDescent="0.3">
      <c r="A340" s="13">
        <f>data!S368</f>
        <v>0</v>
      </c>
      <c r="B340" s="11" t="str">
        <f>IF(ISBLANK(data!V368),"",data!V368)</f>
        <v/>
      </c>
      <c r="C340" s="11" t="str">
        <f>IF(ISBLANK(data!W368),"",data!W368)</f>
        <v/>
      </c>
      <c r="D340" s="11" t="str">
        <f>IF(ISBLANK(data!X368),"",data!X368)</f>
        <v/>
      </c>
      <c r="E340" s="11" t="str">
        <f>IF(ISBLANK(data!Y368),"",data!Y368)</f>
        <v/>
      </c>
    </row>
    <row r="341" spans="1:5" x14ac:dyDescent="0.3">
      <c r="A341" s="13">
        <f>data!S369</f>
        <v>0</v>
      </c>
      <c r="B341" s="11" t="str">
        <f>IF(ISBLANK(data!V369),"",data!V369)</f>
        <v/>
      </c>
      <c r="C341" s="11" t="str">
        <f>IF(ISBLANK(data!W369),"",data!W369)</f>
        <v/>
      </c>
      <c r="D341" s="11" t="str">
        <f>IF(ISBLANK(data!X369),"",data!X369)</f>
        <v/>
      </c>
      <c r="E341" s="11" t="str">
        <f>IF(ISBLANK(data!Y369),"",data!Y369)</f>
        <v/>
      </c>
    </row>
    <row r="342" spans="1:5" x14ac:dyDescent="0.3">
      <c r="A342" s="13">
        <f>data!S370</f>
        <v>0</v>
      </c>
      <c r="B342" s="11" t="str">
        <f>IF(ISBLANK(data!V370),"",data!V370)</f>
        <v/>
      </c>
      <c r="C342" s="11" t="str">
        <f>IF(ISBLANK(data!W370),"",data!W370)</f>
        <v/>
      </c>
      <c r="D342" s="11" t="str">
        <f>IF(ISBLANK(data!X370),"",data!X370)</f>
        <v/>
      </c>
      <c r="E342" s="11" t="str">
        <f>IF(ISBLANK(data!Y370),"",data!Y370)</f>
        <v/>
      </c>
    </row>
    <row r="343" spans="1:5" x14ac:dyDescent="0.3">
      <c r="A343" s="13">
        <f>data!S371</f>
        <v>0</v>
      </c>
      <c r="B343" s="11" t="str">
        <f>IF(ISBLANK(data!V371),"",data!V371)</f>
        <v/>
      </c>
      <c r="C343" s="11" t="str">
        <f>IF(ISBLANK(data!W371),"",data!W371)</f>
        <v/>
      </c>
      <c r="D343" s="11" t="str">
        <f>IF(ISBLANK(data!X371),"",data!X371)</f>
        <v/>
      </c>
      <c r="E343" s="11" t="str">
        <f>IF(ISBLANK(data!Y371),"",data!Y371)</f>
        <v/>
      </c>
    </row>
    <row r="344" spans="1:5" x14ac:dyDescent="0.3">
      <c r="A344" s="13">
        <f>data!S372</f>
        <v>0</v>
      </c>
      <c r="B344" s="11" t="str">
        <f>IF(ISBLANK(data!V372),"",data!V372)</f>
        <v/>
      </c>
      <c r="C344" s="11" t="str">
        <f>IF(ISBLANK(data!W372),"",data!W372)</f>
        <v/>
      </c>
      <c r="D344" s="11" t="str">
        <f>IF(ISBLANK(data!X372),"",data!X372)</f>
        <v/>
      </c>
      <c r="E344" s="11" t="str">
        <f>IF(ISBLANK(data!Y372),"",data!Y372)</f>
        <v/>
      </c>
    </row>
    <row r="345" spans="1:5" x14ac:dyDescent="0.3">
      <c r="A345" s="13">
        <f>data!S373</f>
        <v>0</v>
      </c>
      <c r="B345" s="11" t="str">
        <f>IF(ISBLANK(data!V373),"",data!V373)</f>
        <v/>
      </c>
      <c r="C345" s="11" t="str">
        <f>IF(ISBLANK(data!W373),"",data!W373)</f>
        <v/>
      </c>
      <c r="D345" s="11" t="str">
        <f>IF(ISBLANK(data!X373),"",data!X373)</f>
        <v/>
      </c>
      <c r="E345" s="11" t="str">
        <f>IF(ISBLANK(data!Y373),"",data!Y373)</f>
        <v/>
      </c>
    </row>
    <row r="346" spans="1:5" x14ac:dyDescent="0.3">
      <c r="A346" s="13">
        <f>data!S374</f>
        <v>0</v>
      </c>
      <c r="B346" s="11" t="str">
        <f>IF(ISBLANK(data!V374),"",data!V374)</f>
        <v/>
      </c>
      <c r="C346" s="11" t="str">
        <f>IF(ISBLANK(data!W374),"",data!W374)</f>
        <v/>
      </c>
      <c r="D346" s="11" t="str">
        <f>IF(ISBLANK(data!X374),"",data!X374)</f>
        <v/>
      </c>
      <c r="E346" s="11" t="str">
        <f>IF(ISBLANK(data!Y374),"",data!Y374)</f>
        <v/>
      </c>
    </row>
    <row r="347" spans="1:5" x14ac:dyDescent="0.3">
      <c r="A347" s="13">
        <f>data!S375</f>
        <v>0</v>
      </c>
      <c r="B347" s="11" t="str">
        <f>IF(ISBLANK(data!V375),"",data!V375)</f>
        <v/>
      </c>
      <c r="C347" s="11" t="str">
        <f>IF(ISBLANK(data!W375),"",data!W375)</f>
        <v/>
      </c>
      <c r="D347" s="11" t="str">
        <f>IF(ISBLANK(data!X375),"",data!X375)</f>
        <v/>
      </c>
      <c r="E347" s="11" t="str">
        <f>IF(ISBLANK(data!Y375),"",data!Y375)</f>
        <v/>
      </c>
    </row>
    <row r="348" spans="1:5" x14ac:dyDescent="0.3">
      <c r="A348" s="13">
        <f>data!S376</f>
        <v>0</v>
      </c>
      <c r="B348" s="11" t="str">
        <f>IF(ISBLANK(data!V376),"",data!V376)</f>
        <v/>
      </c>
      <c r="C348" s="11" t="str">
        <f>IF(ISBLANK(data!W376),"",data!W376)</f>
        <v/>
      </c>
      <c r="D348" s="11" t="str">
        <f>IF(ISBLANK(data!X376),"",data!X376)</f>
        <v/>
      </c>
      <c r="E348" s="11" t="str">
        <f>IF(ISBLANK(data!Y376),"",data!Y376)</f>
        <v/>
      </c>
    </row>
    <row r="349" spans="1:5" x14ac:dyDescent="0.3">
      <c r="A349" s="13">
        <f>data!S377</f>
        <v>0</v>
      </c>
      <c r="B349" s="11" t="str">
        <f>IF(ISBLANK(data!V377),"",data!V377)</f>
        <v/>
      </c>
      <c r="C349" s="11" t="str">
        <f>IF(ISBLANK(data!W377),"",data!W377)</f>
        <v/>
      </c>
      <c r="D349" s="11" t="str">
        <f>IF(ISBLANK(data!X377),"",data!X377)</f>
        <v/>
      </c>
      <c r="E349" s="11" t="str">
        <f>IF(ISBLANK(data!Y377),"",data!Y377)</f>
        <v/>
      </c>
    </row>
    <row r="350" spans="1:5" x14ac:dyDescent="0.3">
      <c r="A350" s="13">
        <f>data!S378</f>
        <v>0</v>
      </c>
      <c r="B350" s="11" t="str">
        <f>IF(ISBLANK(data!V378),"",data!V378)</f>
        <v/>
      </c>
      <c r="C350" s="11" t="str">
        <f>IF(ISBLANK(data!W378),"",data!W378)</f>
        <v/>
      </c>
      <c r="D350" s="11" t="str">
        <f>IF(ISBLANK(data!X378),"",data!X378)</f>
        <v/>
      </c>
      <c r="E350" s="11" t="str">
        <f>IF(ISBLANK(data!Y378),"",data!Y378)</f>
        <v/>
      </c>
    </row>
    <row r="351" spans="1:5" x14ac:dyDescent="0.3">
      <c r="A351" s="13">
        <f>data!S379</f>
        <v>0</v>
      </c>
      <c r="B351" s="11" t="str">
        <f>IF(ISBLANK(data!V379),"",data!V379)</f>
        <v/>
      </c>
      <c r="C351" s="11" t="str">
        <f>IF(ISBLANK(data!W379),"",data!W379)</f>
        <v/>
      </c>
      <c r="D351" s="11" t="str">
        <f>IF(ISBLANK(data!X379),"",data!X379)</f>
        <v/>
      </c>
      <c r="E351" s="11" t="str">
        <f>IF(ISBLANK(data!Y379),"",data!Y379)</f>
        <v/>
      </c>
    </row>
    <row r="352" spans="1:5" x14ac:dyDescent="0.3">
      <c r="A352" s="13">
        <f>data!S380</f>
        <v>0</v>
      </c>
      <c r="B352" s="11" t="str">
        <f>IF(ISBLANK(data!V380),"",data!V380)</f>
        <v/>
      </c>
      <c r="C352" s="11" t="str">
        <f>IF(ISBLANK(data!W380),"",data!W380)</f>
        <v/>
      </c>
      <c r="D352" s="11" t="str">
        <f>IF(ISBLANK(data!X380),"",data!X380)</f>
        <v/>
      </c>
      <c r="E352" s="11" t="str">
        <f>IF(ISBLANK(data!Y380),"",data!Y380)</f>
        <v/>
      </c>
    </row>
    <row r="353" spans="1:5" x14ac:dyDescent="0.3">
      <c r="A353" s="13">
        <f>data!S381</f>
        <v>0</v>
      </c>
      <c r="B353" s="11" t="str">
        <f>IF(ISBLANK(data!V381),"",data!V381)</f>
        <v/>
      </c>
      <c r="C353" s="11" t="str">
        <f>IF(ISBLANK(data!W381),"",data!W381)</f>
        <v/>
      </c>
      <c r="D353" s="11" t="str">
        <f>IF(ISBLANK(data!X381),"",data!X381)</f>
        <v/>
      </c>
      <c r="E353" s="11" t="str">
        <f>IF(ISBLANK(data!Y381),"",data!Y381)</f>
        <v/>
      </c>
    </row>
    <row r="354" spans="1:5" x14ac:dyDescent="0.3">
      <c r="A354" s="13">
        <f>data!S382</f>
        <v>0</v>
      </c>
      <c r="B354" s="11" t="str">
        <f>IF(ISBLANK(data!V382),"",data!V382)</f>
        <v/>
      </c>
      <c r="C354" s="11" t="str">
        <f>IF(ISBLANK(data!W382),"",data!W382)</f>
        <v/>
      </c>
      <c r="D354" s="11" t="str">
        <f>IF(ISBLANK(data!X382),"",data!X382)</f>
        <v/>
      </c>
      <c r="E354" s="11" t="str">
        <f>IF(ISBLANK(data!Y382),"",data!Y382)</f>
        <v/>
      </c>
    </row>
    <row r="355" spans="1:5" x14ac:dyDescent="0.3">
      <c r="A355" s="13">
        <f>data!S383</f>
        <v>0</v>
      </c>
      <c r="B355" s="11" t="str">
        <f>IF(ISBLANK(data!V383),"",data!V383)</f>
        <v/>
      </c>
      <c r="C355" s="11" t="str">
        <f>IF(ISBLANK(data!W383),"",data!W383)</f>
        <v/>
      </c>
      <c r="D355" s="11" t="str">
        <f>IF(ISBLANK(data!X383),"",data!X383)</f>
        <v/>
      </c>
      <c r="E355" s="11" t="str">
        <f>IF(ISBLANK(data!Y383),"",data!Y383)</f>
        <v/>
      </c>
    </row>
    <row r="356" spans="1:5" x14ac:dyDescent="0.3">
      <c r="A356" s="13">
        <f>data!S384</f>
        <v>0</v>
      </c>
      <c r="B356" s="11" t="str">
        <f>IF(ISBLANK(data!V384),"",data!V384)</f>
        <v/>
      </c>
      <c r="C356" s="11" t="str">
        <f>IF(ISBLANK(data!W384),"",data!W384)</f>
        <v/>
      </c>
      <c r="D356" s="11" t="str">
        <f>IF(ISBLANK(data!X384),"",data!X384)</f>
        <v/>
      </c>
      <c r="E356" s="11" t="str">
        <f>IF(ISBLANK(data!Y384),"",data!Y384)</f>
        <v/>
      </c>
    </row>
    <row r="357" spans="1:5" x14ac:dyDescent="0.3">
      <c r="A357" s="13">
        <f>data!S385</f>
        <v>0</v>
      </c>
      <c r="B357" s="11" t="str">
        <f>IF(ISBLANK(data!V385),"",data!V385)</f>
        <v/>
      </c>
      <c r="C357" s="11" t="str">
        <f>IF(ISBLANK(data!W385),"",data!W385)</f>
        <v/>
      </c>
      <c r="D357" s="11" t="str">
        <f>IF(ISBLANK(data!X385),"",data!X385)</f>
        <v/>
      </c>
      <c r="E357" s="11" t="str">
        <f>IF(ISBLANK(data!Y385),"",data!Y385)</f>
        <v/>
      </c>
    </row>
    <row r="358" spans="1:5" x14ac:dyDescent="0.3">
      <c r="A358" s="13">
        <f>data!S386</f>
        <v>0</v>
      </c>
      <c r="B358" s="11" t="str">
        <f>IF(ISBLANK(data!V386),"",data!V386)</f>
        <v/>
      </c>
      <c r="C358" s="11" t="str">
        <f>IF(ISBLANK(data!W386),"",data!W386)</f>
        <v/>
      </c>
      <c r="D358" s="11" t="str">
        <f>IF(ISBLANK(data!X386),"",data!X386)</f>
        <v/>
      </c>
      <c r="E358" s="11" t="str">
        <f>IF(ISBLANK(data!Y386),"",data!Y386)</f>
        <v/>
      </c>
    </row>
    <row r="359" spans="1:5" x14ac:dyDescent="0.3">
      <c r="A359" s="13">
        <f>data!S387</f>
        <v>0</v>
      </c>
      <c r="B359" s="11" t="str">
        <f>IF(ISBLANK(data!V387),"",data!V387)</f>
        <v/>
      </c>
      <c r="C359" s="11" t="str">
        <f>IF(ISBLANK(data!W387),"",data!W387)</f>
        <v/>
      </c>
      <c r="D359" s="11" t="str">
        <f>IF(ISBLANK(data!X387),"",data!X387)</f>
        <v/>
      </c>
      <c r="E359" s="11" t="str">
        <f>IF(ISBLANK(data!Y387),"",data!Y387)</f>
        <v/>
      </c>
    </row>
    <row r="360" spans="1:5" x14ac:dyDescent="0.3">
      <c r="A360" s="13">
        <f>data!S388</f>
        <v>0</v>
      </c>
      <c r="B360" s="11" t="str">
        <f>IF(ISBLANK(data!V388),"",data!V388)</f>
        <v/>
      </c>
      <c r="C360" s="11" t="str">
        <f>IF(ISBLANK(data!W388),"",data!W388)</f>
        <v/>
      </c>
      <c r="D360" s="11" t="str">
        <f>IF(ISBLANK(data!X388),"",data!X388)</f>
        <v/>
      </c>
      <c r="E360" s="11" t="str">
        <f>IF(ISBLANK(data!Y388),"",data!Y388)</f>
        <v/>
      </c>
    </row>
    <row r="361" spans="1:5" x14ac:dyDescent="0.3">
      <c r="A361" s="13">
        <f>data!S389</f>
        <v>0</v>
      </c>
      <c r="B361" s="11" t="str">
        <f>IF(ISBLANK(data!V389),"",data!V389)</f>
        <v/>
      </c>
      <c r="C361" s="11" t="str">
        <f>IF(ISBLANK(data!W389),"",data!W389)</f>
        <v/>
      </c>
      <c r="D361" s="11" t="str">
        <f>IF(ISBLANK(data!X389),"",data!X389)</f>
        <v/>
      </c>
      <c r="E361" s="11" t="str">
        <f>IF(ISBLANK(data!Y389),"",data!Y389)</f>
        <v/>
      </c>
    </row>
    <row r="362" spans="1:5" x14ac:dyDescent="0.3">
      <c r="A362" s="13">
        <f>data!S390</f>
        <v>0</v>
      </c>
      <c r="B362" s="11" t="str">
        <f>IF(ISBLANK(data!V390),"",data!V390)</f>
        <v/>
      </c>
      <c r="C362" s="11" t="str">
        <f>IF(ISBLANK(data!W390),"",data!W390)</f>
        <v/>
      </c>
      <c r="D362" s="11" t="str">
        <f>IF(ISBLANK(data!X390),"",data!X390)</f>
        <v/>
      </c>
      <c r="E362" s="11" t="str">
        <f>IF(ISBLANK(data!Y390),"",data!Y390)</f>
        <v/>
      </c>
    </row>
    <row r="363" spans="1:5" x14ac:dyDescent="0.3">
      <c r="A363" s="13">
        <f>data!S391</f>
        <v>0</v>
      </c>
      <c r="B363" s="11" t="str">
        <f>IF(ISBLANK(data!V391),"",data!V391)</f>
        <v/>
      </c>
      <c r="C363" s="11" t="str">
        <f>IF(ISBLANK(data!W391),"",data!W391)</f>
        <v/>
      </c>
      <c r="D363" s="11" t="str">
        <f>IF(ISBLANK(data!X391),"",data!X391)</f>
        <v/>
      </c>
      <c r="E363" s="11" t="str">
        <f>IF(ISBLANK(data!Y391),"",data!Y391)</f>
        <v/>
      </c>
    </row>
    <row r="364" spans="1:5" x14ac:dyDescent="0.3">
      <c r="A364" s="13">
        <f>data!S392</f>
        <v>0</v>
      </c>
      <c r="B364" s="11" t="str">
        <f>IF(ISBLANK(data!V392),"",data!V392)</f>
        <v/>
      </c>
      <c r="C364" s="11" t="str">
        <f>IF(ISBLANK(data!W392),"",data!W392)</f>
        <v/>
      </c>
      <c r="D364" s="11" t="str">
        <f>IF(ISBLANK(data!X392),"",data!X392)</f>
        <v/>
      </c>
      <c r="E364" s="11" t="str">
        <f>IF(ISBLANK(data!Y392),"",data!Y392)</f>
        <v/>
      </c>
    </row>
    <row r="365" spans="1:5" x14ac:dyDescent="0.3">
      <c r="A365" s="13">
        <f>data!S393</f>
        <v>0</v>
      </c>
      <c r="B365" s="11" t="str">
        <f>IF(ISBLANK(data!V393),"",data!V393)</f>
        <v/>
      </c>
      <c r="C365" s="11" t="str">
        <f>IF(ISBLANK(data!W393),"",data!W393)</f>
        <v/>
      </c>
      <c r="D365" s="11" t="str">
        <f>IF(ISBLANK(data!X393),"",data!X393)</f>
        <v/>
      </c>
      <c r="E365" s="11" t="str">
        <f>IF(ISBLANK(data!Y393),"",data!Y393)</f>
        <v/>
      </c>
    </row>
    <row r="366" spans="1:5" x14ac:dyDescent="0.3">
      <c r="A366" s="13">
        <f>data!S394</f>
        <v>0</v>
      </c>
      <c r="B366" s="11" t="str">
        <f>IF(ISBLANK(data!V394),"",data!V394)</f>
        <v/>
      </c>
      <c r="C366" s="11" t="str">
        <f>IF(ISBLANK(data!W394),"",data!W394)</f>
        <v/>
      </c>
      <c r="D366" s="11" t="str">
        <f>IF(ISBLANK(data!X394),"",data!X394)</f>
        <v/>
      </c>
      <c r="E366" s="11" t="str">
        <f>IF(ISBLANK(data!Y394),"",data!Y394)</f>
        <v/>
      </c>
    </row>
    <row r="367" spans="1:5" x14ac:dyDescent="0.3">
      <c r="A367" s="13">
        <f>data!S395</f>
        <v>0</v>
      </c>
      <c r="B367" s="11" t="str">
        <f>IF(ISBLANK(data!V395),"",data!V395)</f>
        <v/>
      </c>
      <c r="C367" s="11" t="str">
        <f>IF(ISBLANK(data!W395),"",data!W395)</f>
        <v/>
      </c>
      <c r="D367" s="11" t="str">
        <f>IF(ISBLANK(data!X395),"",data!X395)</f>
        <v/>
      </c>
      <c r="E367" s="11" t="str">
        <f>IF(ISBLANK(data!Y395),"",data!Y395)</f>
        <v/>
      </c>
    </row>
    <row r="368" spans="1:5" x14ac:dyDescent="0.3">
      <c r="A368" s="13">
        <f>data!S396</f>
        <v>0</v>
      </c>
      <c r="B368" s="11" t="str">
        <f>IF(ISBLANK(data!V396),"",data!V396)</f>
        <v/>
      </c>
      <c r="C368" s="11" t="str">
        <f>IF(ISBLANK(data!W396),"",data!W396)</f>
        <v/>
      </c>
      <c r="D368" s="11" t="str">
        <f>IF(ISBLANK(data!X396),"",data!X396)</f>
        <v/>
      </c>
      <c r="E368" s="11" t="str">
        <f>IF(ISBLANK(data!Y396),"",data!Y396)</f>
        <v/>
      </c>
    </row>
    <row r="369" spans="1:5" x14ac:dyDescent="0.3">
      <c r="A369" s="13">
        <f>data!S397</f>
        <v>0</v>
      </c>
      <c r="B369" s="11" t="str">
        <f>IF(ISBLANK(data!V397),"",data!V397)</f>
        <v/>
      </c>
      <c r="C369" s="11" t="str">
        <f>IF(ISBLANK(data!W397),"",data!W397)</f>
        <v/>
      </c>
      <c r="D369" s="11" t="str">
        <f>IF(ISBLANK(data!X397),"",data!X397)</f>
        <v/>
      </c>
      <c r="E369" s="11" t="str">
        <f>IF(ISBLANK(data!Y397),"",data!Y397)</f>
        <v/>
      </c>
    </row>
    <row r="370" spans="1:5" x14ac:dyDescent="0.3">
      <c r="A370" s="13">
        <f>data!S398</f>
        <v>0</v>
      </c>
      <c r="B370" s="11" t="str">
        <f>IF(ISBLANK(data!V398),"",data!V398)</f>
        <v/>
      </c>
      <c r="C370" s="11" t="str">
        <f>IF(ISBLANK(data!W398),"",data!W398)</f>
        <v/>
      </c>
      <c r="D370" s="11" t="str">
        <f>IF(ISBLANK(data!X398),"",data!X398)</f>
        <v/>
      </c>
      <c r="E370" s="11" t="str">
        <f>IF(ISBLANK(data!Y398),"",data!Y398)</f>
        <v/>
      </c>
    </row>
    <row r="371" spans="1:5" x14ac:dyDescent="0.3">
      <c r="A371" s="13">
        <f>data!S399</f>
        <v>0</v>
      </c>
      <c r="B371" s="11" t="str">
        <f>IF(ISBLANK(data!V399),"",data!V399)</f>
        <v/>
      </c>
      <c r="C371" s="11" t="str">
        <f>IF(ISBLANK(data!W399),"",data!W399)</f>
        <v/>
      </c>
      <c r="D371" s="11" t="str">
        <f>IF(ISBLANK(data!X399),"",data!X399)</f>
        <v/>
      </c>
      <c r="E371" s="11" t="str">
        <f>IF(ISBLANK(data!Y399),"",data!Y399)</f>
        <v/>
      </c>
    </row>
    <row r="372" spans="1:5" x14ac:dyDescent="0.3">
      <c r="A372" s="13">
        <f>data!S400</f>
        <v>0</v>
      </c>
      <c r="B372" s="11" t="str">
        <f>IF(ISBLANK(data!V400),"",data!V400)</f>
        <v/>
      </c>
      <c r="C372" s="11" t="str">
        <f>IF(ISBLANK(data!W400),"",data!W400)</f>
        <v/>
      </c>
      <c r="D372" s="11" t="str">
        <f>IF(ISBLANK(data!X400),"",data!X400)</f>
        <v/>
      </c>
      <c r="E372" s="11" t="str">
        <f>IF(ISBLANK(data!Y400),"",data!Y400)</f>
        <v/>
      </c>
    </row>
    <row r="373" spans="1:5" x14ac:dyDescent="0.3">
      <c r="A373" s="13">
        <f>data!S401</f>
        <v>0</v>
      </c>
      <c r="B373" s="11" t="str">
        <f>IF(ISBLANK(data!V401),"",data!V401)</f>
        <v/>
      </c>
      <c r="C373" s="11" t="str">
        <f>IF(ISBLANK(data!W401),"",data!W401)</f>
        <v/>
      </c>
      <c r="D373" s="11" t="str">
        <f>IF(ISBLANK(data!X401),"",data!X401)</f>
        <v/>
      </c>
      <c r="E373" s="11" t="str">
        <f>IF(ISBLANK(data!Y401),"",data!Y401)</f>
        <v/>
      </c>
    </row>
    <row r="374" spans="1:5" x14ac:dyDescent="0.3">
      <c r="A374" s="13">
        <f>data!S402</f>
        <v>0</v>
      </c>
      <c r="B374" s="11" t="str">
        <f>IF(ISBLANK(data!V402),"",data!V402)</f>
        <v/>
      </c>
      <c r="C374" s="11" t="str">
        <f>IF(ISBLANK(data!W402),"",data!W402)</f>
        <v/>
      </c>
      <c r="D374" s="11" t="str">
        <f>IF(ISBLANK(data!X402),"",data!X402)</f>
        <v/>
      </c>
      <c r="E374" s="11" t="str">
        <f>IF(ISBLANK(data!Y402),"",data!Y402)</f>
        <v/>
      </c>
    </row>
    <row r="375" spans="1:5" x14ac:dyDescent="0.3">
      <c r="A375" s="13">
        <f>data!S403</f>
        <v>0</v>
      </c>
      <c r="B375" s="11" t="str">
        <f>IF(ISBLANK(data!V403),"",data!V403)</f>
        <v/>
      </c>
      <c r="C375" s="11" t="str">
        <f>IF(ISBLANK(data!W403),"",data!W403)</f>
        <v/>
      </c>
      <c r="D375" s="11" t="str">
        <f>IF(ISBLANK(data!X403),"",data!X403)</f>
        <v/>
      </c>
      <c r="E375" s="11" t="str">
        <f>IF(ISBLANK(data!Y403),"",data!Y403)</f>
        <v/>
      </c>
    </row>
    <row r="376" spans="1:5" x14ac:dyDescent="0.3">
      <c r="A376" s="13">
        <f>data!S404</f>
        <v>0</v>
      </c>
      <c r="B376" s="11" t="str">
        <f>IF(ISBLANK(data!V404),"",data!V404)</f>
        <v/>
      </c>
      <c r="C376" s="11" t="str">
        <f>IF(ISBLANK(data!W404),"",data!W404)</f>
        <v/>
      </c>
      <c r="D376" s="11" t="str">
        <f>IF(ISBLANK(data!X404),"",data!X404)</f>
        <v/>
      </c>
      <c r="E376" s="11" t="str">
        <f>IF(ISBLANK(data!Y404),"",data!Y404)</f>
        <v/>
      </c>
    </row>
    <row r="377" spans="1:5" x14ac:dyDescent="0.3">
      <c r="A377" s="13">
        <f>data!S405</f>
        <v>0</v>
      </c>
      <c r="B377" s="11" t="str">
        <f>IF(ISBLANK(data!V405),"",data!V405)</f>
        <v/>
      </c>
      <c r="C377" s="11" t="str">
        <f>IF(ISBLANK(data!W405),"",data!W405)</f>
        <v/>
      </c>
      <c r="D377" s="11" t="str">
        <f>IF(ISBLANK(data!X405),"",data!X405)</f>
        <v/>
      </c>
      <c r="E377" s="11" t="str">
        <f>IF(ISBLANK(data!Y405),"",data!Y405)</f>
        <v/>
      </c>
    </row>
    <row r="378" spans="1:5" x14ac:dyDescent="0.3">
      <c r="A378" s="13">
        <f>data!S406</f>
        <v>0</v>
      </c>
      <c r="B378" s="11" t="str">
        <f>IF(ISBLANK(data!V406),"",data!V406)</f>
        <v/>
      </c>
      <c r="C378" s="11" t="str">
        <f>IF(ISBLANK(data!W406),"",data!W406)</f>
        <v/>
      </c>
      <c r="D378" s="11" t="str">
        <f>IF(ISBLANK(data!X406),"",data!X406)</f>
        <v/>
      </c>
      <c r="E378" s="11" t="str">
        <f>IF(ISBLANK(data!Y406),"",data!Y406)</f>
        <v/>
      </c>
    </row>
    <row r="379" spans="1:5" x14ac:dyDescent="0.3">
      <c r="A379" s="13">
        <f>data!S407</f>
        <v>0</v>
      </c>
      <c r="B379" s="11" t="str">
        <f>IF(ISBLANK(data!V407),"",data!V407)</f>
        <v/>
      </c>
      <c r="C379" s="11" t="str">
        <f>IF(ISBLANK(data!W407),"",data!W407)</f>
        <v/>
      </c>
      <c r="D379" s="11" t="str">
        <f>IF(ISBLANK(data!X407),"",data!X407)</f>
        <v/>
      </c>
      <c r="E379" s="11" t="str">
        <f>IF(ISBLANK(data!Y407),"",data!Y407)</f>
        <v/>
      </c>
    </row>
    <row r="380" spans="1:5" x14ac:dyDescent="0.3">
      <c r="A380" s="13">
        <f>data!S408</f>
        <v>0</v>
      </c>
      <c r="B380" s="11" t="str">
        <f>IF(ISBLANK(data!V408),"",data!V408)</f>
        <v/>
      </c>
      <c r="C380" s="11" t="str">
        <f>IF(ISBLANK(data!W408),"",data!W408)</f>
        <v/>
      </c>
      <c r="D380" s="11" t="str">
        <f>IF(ISBLANK(data!X408),"",data!X408)</f>
        <v/>
      </c>
      <c r="E380" s="11" t="str">
        <f>IF(ISBLANK(data!Y408),"",data!Y408)</f>
        <v/>
      </c>
    </row>
    <row r="381" spans="1:5" x14ac:dyDescent="0.3">
      <c r="A381" s="13">
        <f>data!S409</f>
        <v>0</v>
      </c>
      <c r="B381" s="11" t="str">
        <f>IF(ISBLANK(data!V409),"",data!V409)</f>
        <v/>
      </c>
      <c r="C381" s="11" t="str">
        <f>IF(ISBLANK(data!W409),"",data!W409)</f>
        <v/>
      </c>
      <c r="D381" s="11" t="str">
        <f>IF(ISBLANK(data!X409),"",data!X409)</f>
        <v/>
      </c>
      <c r="E381" s="11" t="str">
        <f>IF(ISBLANK(data!Y409),"",data!Y409)</f>
        <v/>
      </c>
    </row>
    <row r="382" spans="1:5" x14ac:dyDescent="0.3">
      <c r="A382" s="13">
        <f>data!S410</f>
        <v>0</v>
      </c>
      <c r="B382" s="11" t="str">
        <f>IF(ISBLANK(data!V410),"",data!V410)</f>
        <v/>
      </c>
      <c r="C382" s="11" t="str">
        <f>IF(ISBLANK(data!W410),"",data!W410)</f>
        <v/>
      </c>
      <c r="D382" s="11" t="str">
        <f>IF(ISBLANK(data!X410),"",data!X410)</f>
        <v/>
      </c>
      <c r="E382" s="11" t="str">
        <f>IF(ISBLANK(data!Y410),"",data!Y410)</f>
        <v/>
      </c>
    </row>
    <row r="383" spans="1:5" x14ac:dyDescent="0.3">
      <c r="A383" s="13">
        <f>data!S411</f>
        <v>0</v>
      </c>
      <c r="B383" s="11" t="str">
        <f>IF(ISBLANK(data!V411),"",data!V411)</f>
        <v/>
      </c>
      <c r="C383" s="11" t="str">
        <f>IF(ISBLANK(data!W411),"",data!W411)</f>
        <v/>
      </c>
      <c r="D383" s="11" t="str">
        <f>IF(ISBLANK(data!X411),"",data!X411)</f>
        <v/>
      </c>
      <c r="E383" s="11" t="str">
        <f>IF(ISBLANK(data!Y411),"",data!Y411)</f>
        <v/>
      </c>
    </row>
    <row r="384" spans="1:5" x14ac:dyDescent="0.3">
      <c r="A384" s="13">
        <f>data!S412</f>
        <v>0</v>
      </c>
      <c r="B384" s="11" t="str">
        <f>IF(ISBLANK(data!V412),"",data!V412)</f>
        <v/>
      </c>
      <c r="C384" s="11" t="str">
        <f>IF(ISBLANK(data!W412),"",data!W412)</f>
        <v/>
      </c>
      <c r="D384" s="11" t="str">
        <f>IF(ISBLANK(data!X412),"",data!X412)</f>
        <v/>
      </c>
      <c r="E384" s="11" t="str">
        <f>IF(ISBLANK(data!Y412),"",data!Y412)</f>
        <v/>
      </c>
    </row>
    <row r="385" spans="1:5" x14ac:dyDescent="0.3">
      <c r="A385" s="13">
        <f>data!S413</f>
        <v>0</v>
      </c>
      <c r="B385" s="11" t="str">
        <f>IF(ISBLANK(data!V413),"",data!V413)</f>
        <v/>
      </c>
      <c r="C385" s="11" t="str">
        <f>IF(ISBLANK(data!W413),"",data!W413)</f>
        <v/>
      </c>
      <c r="D385" s="11" t="str">
        <f>IF(ISBLANK(data!X413),"",data!X413)</f>
        <v/>
      </c>
      <c r="E385" s="11" t="str">
        <f>IF(ISBLANK(data!Y413),"",data!Y413)</f>
        <v/>
      </c>
    </row>
    <row r="386" spans="1:5" x14ac:dyDescent="0.3">
      <c r="A386" s="13">
        <f>data!S414</f>
        <v>0</v>
      </c>
      <c r="B386" s="11" t="str">
        <f>IF(ISBLANK(data!V414),"",data!V414)</f>
        <v/>
      </c>
      <c r="C386" s="11" t="str">
        <f>IF(ISBLANK(data!W414),"",data!W414)</f>
        <v/>
      </c>
      <c r="D386" s="11" t="str">
        <f>IF(ISBLANK(data!X414),"",data!X414)</f>
        <v/>
      </c>
      <c r="E386" s="11" t="str">
        <f>IF(ISBLANK(data!Y414),"",data!Y414)</f>
        <v/>
      </c>
    </row>
    <row r="387" spans="1:5" x14ac:dyDescent="0.3">
      <c r="A387" s="13">
        <f>data!S415</f>
        <v>0</v>
      </c>
      <c r="B387" s="11" t="str">
        <f>IF(ISBLANK(data!V415),"",data!V415)</f>
        <v/>
      </c>
      <c r="C387" s="11" t="str">
        <f>IF(ISBLANK(data!W415),"",data!W415)</f>
        <v/>
      </c>
      <c r="D387" s="11" t="str">
        <f>IF(ISBLANK(data!X415),"",data!X415)</f>
        <v/>
      </c>
      <c r="E387" s="11" t="str">
        <f>IF(ISBLANK(data!Y415),"",data!Y415)</f>
        <v/>
      </c>
    </row>
    <row r="388" spans="1:5" x14ac:dyDescent="0.3">
      <c r="A388" s="13">
        <f>data!S416</f>
        <v>0</v>
      </c>
      <c r="B388" s="11" t="str">
        <f>IF(ISBLANK(data!V416),"",data!V416)</f>
        <v/>
      </c>
      <c r="C388" s="11" t="str">
        <f>IF(ISBLANK(data!W416),"",data!W416)</f>
        <v/>
      </c>
      <c r="D388" s="11" t="str">
        <f>IF(ISBLANK(data!X416),"",data!X416)</f>
        <v/>
      </c>
      <c r="E388" s="11" t="str">
        <f>IF(ISBLANK(data!Y416),"",data!Y416)</f>
        <v/>
      </c>
    </row>
    <row r="389" spans="1:5" x14ac:dyDescent="0.3">
      <c r="A389" s="13">
        <f>data!S417</f>
        <v>0</v>
      </c>
      <c r="B389" s="11" t="str">
        <f>IF(ISBLANK(data!V417),"",data!V417)</f>
        <v/>
      </c>
      <c r="C389" s="11" t="str">
        <f>IF(ISBLANK(data!W417),"",data!W417)</f>
        <v/>
      </c>
      <c r="D389" s="11" t="str">
        <f>IF(ISBLANK(data!X417),"",data!X417)</f>
        <v/>
      </c>
      <c r="E389" s="11" t="str">
        <f>IF(ISBLANK(data!Y417),"",data!Y417)</f>
        <v/>
      </c>
    </row>
    <row r="390" spans="1:5" x14ac:dyDescent="0.3">
      <c r="A390" s="13">
        <f>data!S418</f>
        <v>0</v>
      </c>
      <c r="B390" s="11" t="str">
        <f>IF(ISBLANK(data!V418),"",data!V418)</f>
        <v/>
      </c>
      <c r="C390" s="11" t="str">
        <f>IF(ISBLANK(data!W418),"",data!W418)</f>
        <v/>
      </c>
      <c r="D390" s="11" t="str">
        <f>IF(ISBLANK(data!X418),"",data!X418)</f>
        <v/>
      </c>
      <c r="E390" s="11" t="str">
        <f>IF(ISBLANK(data!Y418),"",data!Y418)</f>
        <v/>
      </c>
    </row>
    <row r="391" spans="1:5" x14ac:dyDescent="0.3">
      <c r="A391" s="13">
        <f>data!S419</f>
        <v>0</v>
      </c>
      <c r="B391" s="11" t="str">
        <f>IF(ISBLANK(data!V419),"",data!V419)</f>
        <v/>
      </c>
      <c r="C391" s="11" t="str">
        <f>IF(ISBLANK(data!W419),"",data!W419)</f>
        <v/>
      </c>
      <c r="D391" s="11" t="str">
        <f>IF(ISBLANK(data!X419),"",data!X419)</f>
        <v/>
      </c>
      <c r="E391" s="11" t="str">
        <f>IF(ISBLANK(data!Y419),"",data!Y419)</f>
        <v/>
      </c>
    </row>
    <row r="392" spans="1:5" x14ac:dyDescent="0.3">
      <c r="A392" s="13">
        <f>data!S420</f>
        <v>0</v>
      </c>
      <c r="B392" s="11" t="str">
        <f>IF(ISBLANK(data!V420),"",data!V420)</f>
        <v/>
      </c>
      <c r="C392" s="11" t="str">
        <f>IF(ISBLANK(data!W420),"",data!W420)</f>
        <v/>
      </c>
      <c r="D392" s="11" t="str">
        <f>IF(ISBLANK(data!X420),"",data!X420)</f>
        <v/>
      </c>
      <c r="E392" s="11" t="str">
        <f>IF(ISBLANK(data!Y420),"",data!Y420)</f>
        <v/>
      </c>
    </row>
    <row r="393" spans="1:5" x14ac:dyDescent="0.3">
      <c r="A393" s="13">
        <f>data!S421</f>
        <v>0</v>
      </c>
      <c r="B393" s="11" t="str">
        <f>IF(ISBLANK(data!V421),"",data!V421)</f>
        <v/>
      </c>
      <c r="C393" s="11" t="str">
        <f>IF(ISBLANK(data!W421),"",data!W421)</f>
        <v/>
      </c>
      <c r="D393" s="11" t="str">
        <f>IF(ISBLANK(data!X421),"",data!X421)</f>
        <v/>
      </c>
      <c r="E393" s="11" t="str">
        <f>IF(ISBLANK(data!Y421),"",data!Y421)</f>
        <v/>
      </c>
    </row>
    <row r="394" spans="1:5" x14ac:dyDescent="0.3">
      <c r="A394" s="13">
        <f>data!S422</f>
        <v>0</v>
      </c>
      <c r="B394" s="11" t="str">
        <f>IF(ISBLANK(data!V422),"",data!V422)</f>
        <v/>
      </c>
      <c r="C394" s="11" t="str">
        <f>IF(ISBLANK(data!W422),"",data!W422)</f>
        <v/>
      </c>
      <c r="D394" s="11" t="str">
        <f>IF(ISBLANK(data!X422),"",data!X422)</f>
        <v/>
      </c>
      <c r="E394" s="11" t="str">
        <f>IF(ISBLANK(data!Y422),"",data!Y422)</f>
        <v/>
      </c>
    </row>
    <row r="395" spans="1:5" x14ac:dyDescent="0.3">
      <c r="A395" s="13">
        <f>data!S423</f>
        <v>0</v>
      </c>
      <c r="B395" s="11" t="str">
        <f>IF(ISBLANK(data!V423),"",data!V423)</f>
        <v/>
      </c>
      <c r="C395" s="11" t="str">
        <f>IF(ISBLANK(data!W423),"",data!W423)</f>
        <v/>
      </c>
      <c r="D395" s="11" t="str">
        <f>IF(ISBLANK(data!X423),"",data!X423)</f>
        <v/>
      </c>
      <c r="E395" s="11" t="str">
        <f>IF(ISBLANK(data!Y423),"",data!Y423)</f>
        <v/>
      </c>
    </row>
    <row r="396" spans="1:5" x14ac:dyDescent="0.3">
      <c r="A396" s="13">
        <f>data!S424</f>
        <v>0</v>
      </c>
      <c r="B396" s="11" t="str">
        <f>IF(ISBLANK(data!V424),"",data!V424)</f>
        <v/>
      </c>
      <c r="C396" s="11" t="str">
        <f>IF(ISBLANK(data!W424),"",data!W424)</f>
        <v/>
      </c>
      <c r="D396" s="11" t="str">
        <f>IF(ISBLANK(data!X424),"",data!X424)</f>
        <v/>
      </c>
      <c r="E396" s="11" t="str">
        <f>IF(ISBLANK(data!Y424),"",data!Y424)</f>
        <v/>
      </c>
    </row>
    <row r="397" spans="1:5" x14ac:dyDescent="0.3">
      <c r="A397" s="13">
        <f>data!S425</f>
        <v>0</v>
      </c>
      <c r="B397" s="11" t="str">
        <f>IF(ISBLANK(data!V425),"",data!V425)</f>
        <v/>
      </c>
      <c r="C397" s="11" t="str">
        <f>IF(ISBLANK(data!W425),"",data!W425)</f>
        <v/>
      </c>
      <c r="D397" s="11" t="str">
        <f>IF(ISBLANK(data!X425),"",data!X425)</f>
        <v/>
      </c>
      <c r="E397" s="11" t="str">
        <f>IF(ISBLANK(data!Y425),"",data!Y425)</f>
        <v/>
      </c>
    </row>
    <row r="398" spans="1:5" x14ac:dyDescent="0.3">
      <c r="A398" s="13">
        <f>data!S426</f>
        <v>0</v>
      </c>
      <c r="B398" s="11" t="str">
        <f>IF(ISBLANK(data!V426),"",data!V426)</f>
        <v/>
      </c>
      <c r="C398" s="11" t="str">
        <f>IF(ISBLANK(data!W426),"",data!W426)</f>
        <v/>
      </c>
      <c r="D398" s="11" t="str">
        <f>IF(ISBLANK(data!X426),"",data!X426)</f>
        <v/>
      </c>
      <c r="E398" s="11" t="str">
        <f>IF(ISBLANK(data!Y426),"",data!Y426)</f>
        <v/>
      </c>
    </row>
    <row r="399" spans="1:5" x14ac:dyDescent="0.3">
      <c r="A399" s="13">
        <f>data!S427</f>
        <v>0</v>
      </c>
      <c r="B399" s="11" t="str">
        <f>IF(ISBLANK(data!V427),"",data!V427)</f>
        <v/>
      </c>
      <c r="C399" s="11" t="str">
        <f>IF(ISBLANK(data!W427),"",data!W427)</f>
        <v/>
      </c>
      <c r="D399" s="11" t="str">
        <f>IF(ISBLANK(data!X427),"",data!X427)</f>
        <v/>
      </c>
      <c r="E399" s="11" t="str">
        <f>IF(ISBLANK(data!Y427),"",data!Y427)</f>
        <v/>
      </c>
    </row>
    <row r="400" spans="1:5" x14ac:dyDescent="0.3">
      <c r="A400" s="13">
        <f>data!S428</f>
        <v>0</v>
      </c>
      <c r="B400" s="11" t="str">
        <f>IF(ISBLANK(data!V428),"",data!V428)</f>
        <v/>
      </c>
      <c r="C400" s="11" t="str">
        <f>IF(ISBLANK(data!W428),"",data!W428)</f>
        <v/>
      </c>
      <c r="D400" s="11" t="str">
        <f>IF(ISBLANK(data!X428),"",data!X428)</f>
        <v/>
      </c>
      <c r="E400" s="11" t="str">
        <f>IF(ISBLANK(data!Y428),"",data!Y428)</f>
        <v/>
      </c>
    </row>
    <row r="401" spans="1:5" x14ac:dyDescent="0.3">
      <c r="A401" s="13">
        <f>data!S429</f>
        <v>0</v>
      </c>
      <c r="B401" s="11" t="str">
        <f>IF(ISBLANK(data!V429),"",data!V429)</f>
        <v/>
      </c>
      <c r="C401" s="11" t="str">
        <f>IF(ISBLANK(data!W429),"",data!W429)</f>
        <v/>
      </c>
      <c r="D401" s="11" t="str">
        <f>IF(ISBLANK(data!X429),"",data!X429)</f>
        <v/>
      </c>
      <c r="E401" s="11" t="str">
        <f>IF(ISBLANK(data!Y429),"",data!Y429)</f>
        <v/>
      </c>
    </row>
    <row r="402" spans="1:5" x14ac:dyDescent="0.3">
      <c r="A402" s="13">
        <f>data!S430</f>
        <v>0</v>
      </c>
      <c r="B402" s="11" t="str">
        <f>IF(ISBLANK(data!V430),"",data!V430)</f>
        <v/>
      </c>
      <c r="C402" s="11" t="str">
        <f>IF(ISBLANK(data!W430),"",data!W430)</f>
        <v/>
      </c>
      <c r="D402" s="11" t="str">
        <f>IF(ISBLANK(data!X430),"",data!X430)</f>
        <v/>
      </c>
      <c r="E402" s="11" t="str">
        <f>IF(ISBLANK(data!Y430),"",data!Y430)</f>
        <v/>
      </c>
    </row>
    <row r="403" spans="1:5" x14ac:dyDescent="0.3">
      <c r="A403" s="13">
        <f>data!S431</f>
        <v>0</v>
      </c>
      <c r="B403" s="11" t="str">
        <f>IF(ISBLANK(data!V431),"",data!V431)</f>
        <v/>
      </c>
      <c r="C403" s="11" t="str">
        <f>IF(ISBLANK(data!W431),"",data!W431)</f>
        <v/>
      </c>
      <c r="D403" s="11" t="str">
        <f>IF(ISBLANK(data!X431),"",data!X431)</f>
        <v/>
      </c>
      <c r="E403" s="11" t="str">
        <f>IF(ISBLANK(data!Y431),"",data!Y431)</f>
        <v/>
      </c>
    </row>
    <row r="404" spans="1:5" x14ac:dyDescent="0.3">
      <c r="A404" s="13">
        <f>data!S432</f>
        <v>0</v>
      </c>
      <c r="B404" s="11" t="str">
        <f>IF(ISBLANK(data!V432),"",data!V432)</f>
        <v/>
      </c>
      <c r="C404" s="11" t="str">
        <f>IF(ISBLANK(data!W432),"",data!W432)</f>
        <v/>
      </c>
      <c r="D404" s="11" t="str">
        <f>IF(ISBLANK(data!X432),"",data!X432)</f>
        <v/>
      </c>
      <c r="E404" s="11" t="str">
        <f>IF(ISBLANK(data!Y432),"",data!Y432)</f>
        <v/>
      </c>
    </row>
    <row r="405" spans="1:5" x14ac:dyDescent="0.3">
      <c r="A405" s="13">
        <f>data!S433</f>
        <v>0</v>
      </c>
      <c r="B405" s="11" t="str">
        <f>IF(ISBLANK(data!V433),"",data!V433)</f>
        <v/>
      </c>
      <c r="C405" s="11" t="str">
        <f>IF(ISBLANK(data!W433),"",data!W433)</f>
        <v/>
      </c>
      <c r="D405" s="11" t="str">
        <f>IF(ISBLANK(data!X433),"",data!X433)</f>
        <v/>
      </c>
      <c r="E405" s="11" t="str">
        <f>IF(ISBLANK(data!Y433),"",data!Y433)</f>
        <v/>
      </c>
    </row>
    <row r="406" spans="1:5" x14ac:dyDescent="0.3">
      <c r="A406" s="13">
        <f>data!S434</f>
        <v>0</v>
      </c>
      <c r="B406" s="11" t="str">
        <f>IF(ISBLANK(data!V434),"",data!V434)</f>
        <v/>
      </c>
      <c r="C406" s="11" t="str">
        <f>IF(ISBLANK(data!W434),"",data!W434)</f>
        <v/>
      </c>
      <c r="D406" s="11" t="str">
        <f>IF(ISBLANK(data!X434),"",data!X434)</f>
        <v/>
      </c>
      <c r="E406" s="11" t="str">
        <f>IF(ISBLANK(data!Y434),"",data!Y434)</f>
        <v/>
      </c>
    </row>
    <row r="407" spans="1:5" x14ac:dyDescent="0.3">
      <c r="A407" s="13">
        <f>data!S435</f>
        <v>0</v>
      </c>
      <c r="B407" s="11" t="str">
        <f>IF(ISBLANK(data!V435),"",data!V435)</f>
        <v/>
      </c>
      <c r="C407" s="11" t="str">
        <f>IF(ISBLANK(data!W435),"",data!W435)</f>
        <v/>
      </c>
      <c r="D407" s="11" t="str">
        <f>IF(ISBLANK(data!X435),"",data!X435)</f>
        <v/>
      </c>
      <c r="E407" s="11" t="str">
        <f>IF(ISBLANK(data!Y435),"",data!Y435)</f>
        <v/>
      </c>
    </row>
    <row r="408" spans="1:5" x14ac:dyDescent="0.3">
      <c r="A408" s="13">
        <f>data!S436</f>
        <v>0</v>
      </c>
      <c r="B408" s="11" t="str">
        <f>IF(ISBLANK(data!V436),"",data!V436)</f>
        <v/>
      </c>
      <c r="C408" s="11" t="str">
        <f>IF(ISBLANK(data!W436),"",data!W436)</f>
        <v/>
      </c>
      <c r="D408" s="11" t="str">
        <f>IF(ISBLANK(data!X436),"",data!X436)</f>
        <v/>
      </c>
      <c r="E408" s="11" t="str">
        <f>IF(ISBLANK(data!Y436),"",data!Y436)</f>
        <v/>
      </c>
    </row>
    <row r="409" spans="1:5" x14ac:dyDescent="0.3">
      <c r="A409" s="13">
        <f>data!S437</f>
        <v>0</v>
      </c>
      <c r="B409" s="11" t="str">
        <f>IF(ISBLANK(data!V437),"",data!V437)</f>
        <v/>
      </c>
      <c r="C409" s="11" t="str">
        <f>IF(ISBLANK(data!W437),"",data!W437)</f>
        <v/>
      </c>
      <c r="D409" s="11" t="str">
        <f>IF(ISBLANK(data!X437),"",data!X437)</f>
        <v/>
      </c>
      <c r="E409" s="11" t="str">
        <f>IF(ISBLANK(data!Y437),"",data!Y437)</f>
        <v/>
      </c>
    </row>
    <row r="410" spans="1:5" x14ac:dyDescent="0.3">
      <c r="A410" s="13">
        <f>data!S438</f>
        <v>0</v>
      </c>
      <c r="B410" s="11" t="str">
        <f>IF(ISBLANK(data!V438),"",data!V438)</f>
        <v/>
      </c>
      <c r="C410" s="11" t="str">
        <f>IF(ISBLANK(data!W438),"",data!W438)</f>
        <v/>
      </c>
      <c r="D410" s="11" t="str">
        <f>IF(ISBLANK(data!X438),"",data!X438)</f>
        <v/>
      </c>
      <c r="E410" s="11" t="str">
        <f>IF(ISBLANK(data!Y438),"",data!Y438)</f>
        <v/>
      </c>
    </row>
    <row r="411" spans="1:5" x14ac:dyDescent="0.3">
      <c r="A411" s="13">
        <f>data!S439</f>
        <v>0</v>
      </c>
      <c r="B411" s="11" t="str">
        <f>IF(ISBLANK(data!V439),"",data!V439)</f>
        <v/>
      </c>
      <c r="C411" s="11" t="str">
        <f>IF(ISBLANK(data!W439),"",data!W439)</f>
        <v/>
      </c>
      <c r="D411" s="11" t="str">
        <f>IF(ISBLANK(data!X439),"",data!X439)</f>
        <v/>
      </c>
      <c r="E411" s="11" t="str">
        <f>IF(ISBLANK(data!Y439),"",data!Y439)</f>
        <v/>
      </c>
    </row>
    <row r="412" spans="1:5" x14ac:dyDescent="0.3">
      <c r="A412" s="13">
        <f>data!S440</f>
        <v>0</v>
      </c>
      <c r="B412" s="11" t="str">
        <f>IF(ISBLANK(data!V440),"",data!V440)</f>
        <v/>
      </c>
      <c r="C412" s="11" t="str">
        <f>IF(ISBLANK(data!W440),"",data!W440)</f>
        <v/>
      </c>
      <c r="D412" s="11" t="str">
        <f>IF(ISBLANK(data!X440),"",data!X440)</f>
        <v/>
      </c>
      <c r="E412" s="11" t="str">
        <f>IF(ISBLANK(data!Y440),"",data!Y440)</f>
        <v/>
      </c>
    </row>
    <row r="413" spans="1:5" x14ac:dyDescent="0.3">
      <c r="A413" s="13">
        <f>data!S441</f>
        <v>0</v>
      </c>
      <c r="B413" s="11" t="str">
        <f>IF(ISBLANK(data!V441),"",data!V441)</f>
        <v/>
      </c>
      <c r="C413" s="11" t="str">
        <f>IF(ISBLANK(data!W441),"",data!W441)</f>
        <v/>
      </c>
      <c r="D413" s="11" t="str">
        <f>IF(ISBLANK(data!X441),"",data!X441)</f>
        <v/>
      </c>
      <c r="E413" s="11" t="str">
        <f>IF(ISBLANK(data!Y441),"",data!Y441)</f>
        <v/>
      </c>
    </row>
    <row r="414" spans="1:5" x14ac:dyDescent="0.3">
      <c r="A414" s="13">
        <f>data!S442</f>
        <v>0</v>
      </c>
      <c r="B414" s="11" t="str">
        <f>IF(ISBLANK(data!V442),"",data!V442)</f>
        <v/>
      </c>
      <c r="C414" s="11" t="str">
        <f>IF(ISBLANK(data!W442),"",data!W442)</f>
        <v/>
      </c>
      <c r="D414" s="11" t="str">
        <f>IF(ISBLANK(data!X442),"",data!X442)</f>
        <v/>
      </c>
      <c r="E414" s="11" t="str">
        <f>IF(ISBLANK(data!Y442),"",data!Y442)</f>
        <v/>
      </c>
    </row>
    <row r="415" spans="1:5" x14ac:dyDescent="0.3">
      <c r="A415" s="13">
        <f>data!S443</f>
        <v>0</v>
      </c>
      <c r="B415" s="11" t="str">
        <f>IF(ISBLANK(data!V443),"",data!V443)</f>
        <v/>
      </c>
      <c r="C415" s="11" t="str">
        <f>IF(ISBLANK(data!W443),"",data!W443)</f>
        <v/>
      </c>
      <c r="D415" s="11" t="str">
        <f>IF(ISBLANK(data!X443),"",data!X443)</f>
        <v/>
      </c>
      <c r="E415" s="11" t="str">
        <f>IF(ISBLANK(data!Y443),"",data!Y443)</f>
        <v/>
      </c>
    </row>
    <row r="416" spans="1:5" x14ac:dyDescent="0.3">
      <c r="A416" s="13">
        <f>data!S444</f>
        <v>0</v>
      </c>
      <c r="B416" s="11" t="str">
        <f>IF(ISBLANK(data!V444),"",data!V444)</f>
        <v/>
      </c>
      <c r="C416" s="11" t="str">
        <f>IF(ISBLANK(data!W444),"",data!W444)</f>
        <v/>
      </c>
      <c r="D416" s="11" t="str">
        <f>IF(ISBLANK(data!X444),"",data!X444)</f>
        <v/>
      </c>
      <c r="E416" s="11" t="str">
        <f>IF(ISBLANK(data!Y444),"",data!Y444)</f>
        <v/>
      </c>
    </row>
    <row r="417" spans="1:5" x14ac:dyDescent="0.3">
      <c r="A417" s="13">
        <f>data!S445</f>
        <v>0</v>
      </c>
      <c r="B417" s="11" t="str">
        <f>IF(ISBLANK(data!V445),"",data!V445)</f>
        <v/>
      </c>
      <c r="C417" s="11" t="str">
        <f>IF(ISBLANK(data!W445),"",data!W445)</f>
        <v/>
      </c>
      <c r="D417" s="11" t="str">
        <f>IF(ISBLANK(data!X445),"",data!X445)</f>
        <v/>
      </c>
      <c r="E417" s="11" t="str">
        <f>IF(ISBLANK(data!Y445),"",data!Y445)</f>
        <v/>
      </c>
    </row>
    <row r="418" spans="1:5" x14ac:dyDescent="0.3">
      <c r="A418" s="13">
        <f>data!S446</f>
        <v>0</v>
      </c>
      <c r="B418" s="11" t="str">
        <f>IF(ISBLANK(data!V446),"",data!V446)</f>
        <v/>
      </c>
      <c r="C418" s="11" t="str">
        <f>IF(ISBLANK(data!W446),"",data!W446)</f>
        <v/>
      </c>
      <c r="D418" s="11" t="str">
        <f>IF(ISBLANK(data!X446),"",data!X446)</f>
        <v/>
      </c>
      <c r="E418" s="11" t="str">
        <f>IF(ISBLANK(data!Y446),"",data!Y446)</f>
        <v/>
      </c>
    </row>
    <row r="419" spans="1:5" x14ac:dyDescent="0.3">
      <c r="A419" s="13">
        <f>data!S447</f>
        <v>0</v>
      </c>
      <c r="B419" s="11" t="str">
        <f>IF(ISBLANK(data!V447),"",data!V447)</f>
        <v/>
      </c>
      <c r="C419" s="11" t="str">
        <f>IF(ISBLANK(data!W447),"",data!W447)</f>
        <v/>
      </c>
      <c r="D419" s="11" t="str">
        <f>IF(ISBLANK(data!X447),"",data!X447)</f>
        <v/>
      </c>
      <c r="E419" s="11" t="str">
        <f>IF(ISBLANK(data!Y447),"",data!Y447)</f>
        <v/>
      </c>
    </row>
    <row r="420" spans="1:5" x14ac:dyDescent="0.3">
      <c r="A420" s="13">
        <f>data!S448</f>
        <v>0</v>
      </c>
      <c r="B420" s="11" t="str">
        <f>IF(ISBLANK(data!V448),"",data!V448)</f>
        <v/>
      </c>
      <c r="C420" s="11" t="str">
        <f>IF(ISBLANK(data!W448),"",data!W448)</f>
        <v/>
      </c>
      <c r="D420" s="11" t="str">
        <f>IF(ISBLANK(data!X448),"",data!X448)</f>
        <v/>
      </c>
      <c r="E420" s="11" t="str">
        <f>IF(ISBLANK(data!Y448),"",data!Y448)</f>
        <v/>
      </c>
    </row>
    <row r="421" spans="1:5" x14ac:dyDescent="0.3">
      <c r="A421" s="13">
        <f>data!S449</f>
        <v>0</v>
      </c>
      <c r="B421" s="11" t="str">
        <f>IF(ISBLANK(data!V449),"",data!V449)</f>
        <v/>
      </c>
      <c r="C421" s="11" t="str">
        <f>IF(ISBLANK(data!W449),"",data!W449)</f>
        <v/>
      </c>
      <c r="D421" s="11" t="str">
        <f>IF(ISBLANK(data!X449),"",data!X449)</f>
        <v/>
      </c>
      <c r="E421" s="11" t="str">
        <f>IF(ISBLANK(data!Y449),"",data!Y449)</f>
        <v/>
      </c>
    </row>
    <row r="422" spans="1:5" x14ac:dyDescent="0.3">
      <c r="A422" s="13">
        <f>data!S450</f>
        <v>0</v>
      </c>
      <c r="B422" s="11" t="str">
        <f>IF(ISBLANK(data!V450),"",data!V450)</f>
        <v/>
      </c>
      <c r="C422" s="11" t="str">
        <f>IF(ISBLANK(data!W450),"",data!W450)</f>
        <v/>
      </c>
      <c r="D422" s="11" t="str">
        <f>IF(ISBLANK(data!X450),"",data!X450)</f>
        <v/>
      </c>
      <c r="E422" s="11" t="str">
        <f>IF(ISBLANK(data!Y450),"",data!Y450)</f>
        <v/>
      </c>
    </row>
    <row r="423" spans="1:5" x14ac:dyDescent="0.3">
      <c r="A423" s="13">
        <f>data!S451</f>
        <v>0</v>
      </c>
      <c r="B423" s="11" t="str">
        <f>IF(ISBLANK(data!V451),"",data!V451)</f>
        <v/>
      </c>
      <c r="C423" s="11" t="str">
        <f>IF(ISBLANK(data!W451),"",data!W451)</f>
        <v/>
      </c>
      <c r="D423" s="11" t="str">
        <f>IF(ISBLANK(data!X451),"",data!X451)</f>
        <v/>
      </c>
      <c r="E423" s="11" t="str">
        <f>IF(ISBLANK(data!Y451),"",data!Y451)</f>
        <v/>
      </c>
    </row>
    <row r="424" spans="1:5" x14ac:dyDescent="0.3">
      <c r="A424" s="13">
        <f>data!S452</f>
        <v>0</v>
      </c>
      <c r="B424" s="11" t="str">
        <f>IF(ISBLANK(data!V452),"",data!V452)</f>
        <v/>
      </c>
      <c r="C424" s="11" t="str">
        <f>IF(ISBLANK(data!W452),"",data!W452)</f>
        <v/>
      </c>
      <c r="D424" s="11" t="str">
        <f>IF(ISBLANK(data!X452),"",data!X452)</f>
        <v/>
      </c>
      <c r="E424" s="11" t="str">
        <f>IF(ISBLANK(data!Y452),"",data!Y452)</f>
        <v/>
      </c>
    </row>
    <row r="425" spans="1:5" x14ac:dyDescent="0.3">
      <c r="A425" s="13">
        <f>data!S453</f>
        <v>0</v>
      </c>
      <c r="B425" s="11" t="str">
        <f>IF(ISBLANK(data!V453),"",data!V453)</f>
        <v/>
      </c>
      <c r="C425" s="11" t="str">
        <f>IF(ISBLANK(data!W453),"",data!W453)</f>
        <v/>
      </c>
      <c r="D425" s="11" t="str">
        <f>IF(ISBLANK(data!X453),"",data!X453)</f>
        <v/>
      </c>
      <c r="E425" s="11" t="str">
        <f>IF(ISBLANK(data!Y453),"",data!Y453)</f>
        <v/>
      </c>
    </row>
    <row r="426" spans="1:5" x14ac:dyDescent="0.3">
      <c r="A426" s="13">
        <f>data!S454</f>
        <v>0</v>
      </c>
      <c r="B426" s="11" t="str">
        <f>IF(ISBLANK(data!V454),"",data!V454)</f>
        <v/>
      </c>
      <c r="C426" s="11" t="str">
        <f>IF(ISBLANK(data!W454),"",data!W454)</f>
        <v/>
      </c>
      <c r="D426" s="11" t="str">
        <f>IF(ISBLANK(data!X454),"",data!X454)</f>
        <v/>
      </c>
      <c r="E426" s="11" t="str">
        <f>IF(ISBLANK(data!Y454),"",data!Y454)</f>
        <v/>
      </c>
    </row>
    <row r="427" spans="1:5" x14ac:dyDescent="0.3">
      <c r="A427" s="13">
        <f>data!S455</f>
        <v>0</v>
      </c>
      <c r="B427" s="11" t="str">
        <f>IF(ISBLANK(data!V455),"",data!V455)</f>
        <v/>
      </c>
      <c r="C427" s="11" t="str">
        <f>IF(ISBLANK(data!W455),"",data!W455)</f>
        <v/>
      </c>
      <c r="D427" s="11" t="str">
        <f>IF(ISBLANK(data!X455),"",data!X455)</f>
        <v/>
      </c>
      <c r="E427" s="11" t="str">
        <f>IF(ISBLANK(data!Y455),"",data!Y455)</f>
        <v/>
      </c>
    </row>
    <row r="428" spans="1:5" x14ac:dyDescent="0.3">
      <c r="A428" s="13">
        <f>data!S456</f>
        <v>0</v>
      </c>
      <c r="B428" s="11" t="str">
        <f>IF(ISBLANK(data!V456),"",data!V456)</f>
        <v/>
      </c>
      <c r="C428" s="11" t="str">
        <f>IF(ISBLANK(data!W456),"",data!W456)</f>
        <v/>
      </c>
      <c r="D428" s="11" t="str">
        <f>IF(ISBLANK(data!X456),"",data!X456)</f>
        <v/>
      </c>
      <c r="E428" s="11" t="str">
        <f>IF(ISBLANK(data!Y456),"",data!Y456)</f>
        <v/>
      </c>
    </row>
    <row r="429" spans="1:5" x14ac:dyDescent="0.3">
      <c r="A429" s="13">
        <f>data!S457</f>
        <v>0</v>
      </c>
      <c r="B429" s="11" t="str">
        <f>IF(ISBLANK(data!V457),"",data!V457)</f>
        <v/>
      </c>
      <c r="C429" s="11" t="str">
        <f>IF(ISBLANK(data!W457),"",data!W457)</f>
        <v/>
      </c>
      <c r="D429" s="11" t="str">
        <f>IF(ISBLANK(data!X457),"",data!X457)</f>
        <v/>
      </c>
      <c r="E429" s="11" t="str">
        <f>IF(ISBLANK(data!Y457),"",data!Y457)</f>
        <v/>
      </c>
    </row>
    <row r="430" spans="1:5" x14ac:dyDescent="0.3">
      <c r="A430" s="13">
        <f>data!S458</f>
        <v>0</v>
      </c>
      <c r="B430" s="11" t="str">
        <f>IF(ISBLANK(data!V458),"",data!V458)</f>
        <v/>
      </c>
      <c r="C430" s="11" t="str">
        <f>IF(ISBLANK(data!W458),"",data!W458)</f>
        <v/>
      </c>
      <c r="D430" s="11" t="str">
        <f>IF(ISBLANK(data!X458),"",data!X458)</f>
        <v/>
      </c>
      <c r="E430" s="11" t="str">
        <f>IF(ISBLANK(data!Y458),"",data!Y458)</f>
        <v/>
      </c>
    </row>
    <row r="431" spans="1:5" x14ac:dyDescent="0.3">
      <c r="A431" s="13">
        <f>data!S459</f>
        <v>0</v>
      </c>
      <c r="B431" s="11" t="str">
        <f>IF(ISBLANK(data!V459),"",data!V459)</f>
        <v/>
      </c>
      <c r="C431" s="11" t="str">
        <f>IF(ISBLANK(data!W459),"",data!W459)</f>
        <v/>
      </c>
      <c r="D431" s="11" t="str">
        <f>IF(ISBLANK(data!X459),"",data!X459)</f>
        <v/>
      </c>
      <c r="E431" s="11" t="str">
        <f>IF(ISBLANK(data!Y459),"",data!Y459)</f>
        <v/>
      </c>
    </row>
    <row r="432" spans="1:5" x14ac:dyDescent="0.3">
      <c r="A432" s="13">
        <f>data!S460</f>
        <v>0</v>
      </c>
      <c r="B432" s="11" t="str">
        <f>IF(ISBLANK(data!V460),"",data!V460)</f>
        <v/>
      </c>
      <c r="C432" s="11" t="str">
        <f>IF(ISBLANK(data!W460),"",data!W460)</f>
        <v/>
      </c>
      <c r="D432" s="11" t="str">
        <f>IF(ISBLANK(data!X460),"",data!X460)</f>
        <v/>
      </c>
      <c r="E432" s="11" t="str">
        <f>IF(ISBLANK(data!Y460),"",data!Y460)</f>
        <v/>
      </c>
    </row>
    <row r="433" spans="1:5" x14ac:dyDescent="0.3">
      <c r="A433" s="13">
        <f>data!S461</f>
        <v>0</v>
      </c>
      <c r="B433" s="11" t="str">
        <f>IF(ISBLANK(data!V461),"",data!V461)</f>
        <v/>
      </c>
      <c r="C433" s="11" t="str">
        <f>IF(ISBLANK(data!W461),"",data!W461)</f>
        <v/>
      </c>
      <c r="D433" s="11" t="str">
        <f>IF(ISBLANK(data!X461),"",data!X461)</f>
        <v/>
      </c>
      <c r="E433" s="11" t="str">
        <f>IF(ISBLANK(data!Y461),"",data!Y461)</f>
        <v/>
      </c>
    </row>
    <row r="434" spans="1:5" x14ac:dyDescent="0.3">
      <c r="A434" s="13">
        <f>data!S462</f>
        <v>0</v>
      </c>
      <c r="B434" s="11" t="str">
        <f>IF(ISBLANK(data!V462),"",data!V462)</f>
        <v/>
      </c>
      <c r="C434" s="11" t="str">
        <f>IF(ISBLANK(data!W462),"",data!W462)</f>
        <v/>
      </c>
      <c r="D434" s="11" t="str">
        <f>IF(ISBLANK(data!X462),"",data!X462)</f>
        <v/>
      </c>
      <c r="E434" s="11" t="str">
        <f>IF(ISBLANK(data!Y462),"",data!Y462)</f>
        <v/>
      </c>
    </row>
    <row r="435" spans="1:5" x14ac:dyDescent="0.3">
      <c r="A435" s="13">
        <f>data!S463</f>
        <v>0</v>
      </c>
      <c r="B435" s="11" t="str">
        <f>IF(ISBLANK(data!V463),"",data!V463)</f>
        <v/>
      </c>
      <c r="C435" s="11" t="str">
        <f>IF(ISBLANK(data!W463),"",data!W463)</f>
        <v/>
      </c>
      <c r="D435" s="11" t="str">
        <f>IF(ISBLANK(data!X463),"",data!X463)</f>
        <v/>
      </c>
      <c r="E435" s="11" t="str">
        <f>IF(ISBLANK(data!Y463),"",data!Y463)</f>
        <v/>
      </c>
    </row>
    <row r="436" spans="1:5" x14ac:dyDescent="0.3">
      <c r="A436" s="13">
        <f>data!S464</f>
        <v>0</v>
      </c>
      <c r="B436" s="11" t="str">
        <f>IF(ISBLANK(data!V464),"",data!V464)</f>
        <v/>
      </c>
      <c r="C436" s="11" t="str">
        <f>IF(ISBLANK(data!W464),"",data!W464)</f>
        <v/>
      </c>
      <c r="D436" s="11" t="str">
        <f>IF(ISBLANK(data!X464),"",data!X464)</f>
        <v/>
      </c>
      <c r="E436" s="11" t="str">
        <f>IF(ISBLANK(data!Y464),"",data!Y464)</f>
        <v/>
      </c>
    </row>
    <row r="437" spans="1:5" x14ac:dyDescent="0.3">
      <c r="A437" s="13">
        <f>data!S465</f>
        <v>0</v>
      </c>
      <c r="B437" s="11" t="str">
        <f>IF(ISBLANK(data!V465),"",data!V465)</f>
        <v/>
      </c>
      <c r="C437" s="11" t="str">
        <f>IF(ISBLANK(data!W465),"",data!W465)</f>
        <v/>
      </c>
      <c r="D437" s="11" t="str">
        <f>IF(ISBLANK(data!X465),"",data!X465)</f>
        <v/>
      </c>
      <c r="E437" s="11" t="str">
        <f>IF(ISBLANK(data!Y465),"",data!Y465)</f>
        <v/>
      </c>
    </row>
    <row r="438" spans="1:5" x14ac:dyDescent="0.3">
      <c r="A438" s="13">
        <f>data!S466</f>
        <v>0</v>
      </c>
      <c r="B438" s="11" t="str">
        <f>IF(ISBLANK(data!V466),"",data!V466)</f>
        <v/>
      </c>
      <c r="C438" s="11" t="str">
        <f>IF(ISBLANK(data!W466),"",data!W466)</f>
        <v/>
      </c>
      <c r="D438" s="11" t="str">
        <f>IF(ISBLANK(data!X466),"",data!X466)</f>
        <v/>
      </c>
      <c r="E438" s="11" t="str">
        <f>IF(ISBLANK(data!Y466),"",data!Y466)</f>
        <v/>
      </c>
    </row>
    <row r="439" spans="1:5" x14ac:dyDescent="0.3">
      <c r="A439" s="13">
        <f>data!S467</f>
        <v>0</v>
      </c>
      <c r="B439" s="11" t="str">
        <f>IF(ISBLANK(data!V467),"",data!V467)</f>
        <v/>
      </c>
      <c r="C439" s="11" t="str">
        <f>IF(ISBLANK(data!W467),"",data!W467)</f>
        <v/>
      </c>
      <c r="D439" s="11" t="str">
        <f>IF(ISBLANK(data!X467),"",data!X467)</f>
        <v/>
      </c>
      <c r="E439" s="11" t="str">
        <f>IF(ISBLANK(data!Y467),"",data!Y467)</f>
        <v/>
      </c>
    </row>
    <row r="440" spans="1:5" x14ac:dyDescent="0.3">
      <c r="A440" s="13">
        <f>data!S468</f>
        <v>0</v>
      </c>
      <c r="B440" s="11" t="str">
        <f>IF(ISBLANK(data!V468),"",data!V468)</f>
        <v/>
      </c>
      <c r="C440" s="11" t="str">
        <f>IF(ISBLANK(data!W468),"",data!W468)</f>
        <v/>
      </c>
      <c r="D440" s="11" t="str">
        <f>IF(ISBLANK(data!X468),"",data!X468)</f>
        <v/>
      </c>
      <c r="E440" s="11" t="str">
        <f>IF(ISBLANK(data!Y468),"",data!Y468)</f>
        <v/>
      </c>
    </row>
    <row r="441" spans="1:5" x14ac:dyDescent="0.3">
      <c r="A441" s="13">
        <f>data!S469</f>
        <v>0</v>
      </c>
      <c r="B441" s="11" t="str">
        <f>IF(ISBLANK(data!V469),"",data!V469)</f>
        <v/>
      </c>
      <c r="C441" s="11" t="str">
        <f>IF(ISBLANK(data!W469),"",data!W469)</f>
        <v/>
      </c>
      <c r="D441" s="11" t="str">
        <f>IF(ISBLANK(data!X469),"",data!X469)</f>
        <v/>
      </c>
      <c r="E441" s="11" t="str">
        <f>IF(ISBLANK(data!Y469),"",data!Y469)</f>
        <v/>
      </c>
    </row>
    <row r="442" spans="1:5" x14ac:dyDescent="0.3">
      <c r="A442" s="13">
        <f>data!S470</f>
        <v>0</v>
      </c>
      <c r="B442" s="11" t="str">
        <f>IF(ISBLANK(data!V470),"",data!V470)</f>
        <v/>
      </c>
      <c r="C442" s="11" t="str">
        <f>IF(ISBLANK(data!W470),"",data!W470)</f>
        <v/>
      </c>
      <c r="D442" s="11" t="str">
        <f>IF(ISBLANK(data!X470),"",data!X470)</f>
        <v/>
      </c>
      <c r="E442" s="11" t="str">
        <f>IF(ISBLANK(data!Y470),"",data!Y470)</f>
        <v/>
      </c>
    </row>
    <row r="443" spans="1:5" x14ac:dyDescent="0.3">
      <c r="A443" s="13">
        <f>data!S471</f>
        <v>0</v>
      </c>
      <c r="B443" s="11" t="str">
        <f>IF(ISBLANK(data!V471),"",data!V471)</f>
        <v/>
      </c>
      <c r="C443" s="11" t="str">
        <f>IF(ISBLANK(data!W471),"",data!W471)</f>
        <v/>
      </c>
      <c r="D443" s="11" t="str">
        <f>IF(ISBLANK(data!X471),"",data!X471)</f>
        <v/>
      </c>
      <c r="E443" s="11" t="str">
        <f>IF(ISBLANK(data!Y471),"",data!Y471)</f>
        <v/>
      </c>
    </row>
    <row r="444" spans="1:5" x14ac:dyDescent="0.3">
      <c r="A444" s="13">
        <f>data!S472</f>
        <v>0</v>
      </c>
      <c r="B444" s="11" t="str">
        <f>IF(ISBLANK(data!V472),"",data!V472)</f>
        <v/>
      </c>
      <c r="C444" s="11" t="str">
        <f>IF(ISBLANK(data!W472),"",data!W472)</f>
        <v/>
      </c>
      <c r="D444" s="11" t="str">
        <f>IF(ISBLANK(data!X472),"",data!X472)</f>
        <v/>
      </c>
      <c r="E444" s="11" t="str">
        <f>IF(ISBLANK(data!Y472),"",data!Y472)</f>
        <v/>
      </c>
    </row>
    <row r="445" spans="1:5" x14ac:dyDescent="0.3">
      <c r="A445" s="13">
        <f>data!S473</f>
        <v>0</v>
      </c>
      <c r="B445" s="11" t="str">
        <f>IF(ISBLANK(data!V473),"",data!V473)</f>
        <v/>
      </c>
      <c r="C445" s="11" t="str">
        <f>IF(ISBLANK(data!W473),"",data!W473)</f>
        <v/>
      </c>
      <c r="D445" s="11" t="str">
        <f>IF(ISBLANK(data!X473),"",data!X473)</f>
        <v/>
      </c>
      <c r="E445" s="11" t="str">
        <f>IF(ISBLANK(data!Y473),"",data!Y473)</f>
        <v/>
      </c>
    </row>
    <row r="446" spans="1:5" x14ac:dyDescent="0.3">
      <c r="A446" s="13">
        <f>data!S474</f>
        <v>0</v>
      </c>
      <c r="B446" s="11" t="str">
        <f>IF(ISBLANK(data!V474),"",data!V474)</f>
        <v/>
      </c>
      <c r="C446" s="11" t="str">
        <f>IF(ISBLANK(data!W474),"",data!W474)</f>
        <v/>
      </c>
      <c r="D446" s="11" t="str">
        <f>IF(ISBLANK(data!X474),"",data!X474)</f>
        <v/>
      </c>
      <c r="E446" s="11" t="str">
        <f>IF(ISBLANK(data!Y474),"",data!Y474)</f>
        <v/>
      </c>
    </row>
    <row r="447" spans="1:5" x14ac:dyDescent="0.3">
      <c r="A447" s="13">
        <f>data!S475</f>
        <v>0</v>
      </c>
      <c r="B447" s="11" t="str">
        <f>IF(ISBLANK(data!V475),"",data!V475)</f>
        <v/>
      </c>
      <c r="C447" s="11" t="str">
        <f>IF(ISBLANK(data!W475),"",data!W475)</f>
        <v/>
      </c>
      <c r="D447" s="11" t="str">
        <f>IF(ISBLANK(data!X475),"",data!X475)</f>
        <v/>
      </c>
      <c r="E447" s="11" t="str">
        <f>IF(ISBLANK(data!Y475),"",data!Y475)</f>
        <v/>
      </c>
    </row>
    <row r="448" spans="1:5" x14ac:dyDescent="0.3">
      <c r="A448" s="13">
        <f>data!S476</f>
        <v>0</v>
      </c>
      <c r="B448" s="11" t="str">
        <f>IF(ISBLANK(data!V476),"",data!V476)</f>
        <v/>
      </c>
      <c r="C448" s="11" t="str">
        <f>IF(ISBLANK(data!W476),"",data!W476)</f>
        <v/>
      </c>
      <c r="D448" s="11" t="str">
        <f>IF(ISBLANK(data!X476),"",data!X476)</f>
        <v/>
      </c>
      <c r="E448" s="11" t="str">
        <f>IF(ISBLANK(data!Y476),"",data!Y476)</f>
        <v/>
      </c>
    </row>
    <row r="449" spans="1:5" x14ac:dyDescent="0.3">
      <c r="A449" s="13">
        <f>data!S477</f>
        <v>0</v>
      </c>
      <c r="B449" s="11" t="str">
        <f>IF(ISBLANK(data!V477),"",data!V477)</f>
        <v/>
      </c>
      <c r="C449" s="11" t="str">
        <f>IF(ISBLANK(data!W477),"",data!W477)</f>
        <v/>
      </c>
      <c r="D449" s="11" t="str">
        <f>IF(ISBLANK(data!X477),"",data!X477)</f>
        <v/>
      </c>
      <c r="E449" s="11" t="str">
        <f>IF(ISBLANK(data!Y477),"",data!Y477)</f>
        <v/>
      </c>
    </row>
    <row r="450" spans="1:5" x14ac:dyDescent="0.3">
      <c r="A450" s="13">
        <f>data!S478</f>
        <v>0</v>
      </c>
      <c r="B450" s="11" t="str">
        <f>IF(ISBLANK(data!V478),"",data!V478)</f>
        <v/>
      </c>
      <c r="C450" s="11" t="str">
        <f>IF(ISBLANK(data!W478),"",data!W478)</f>
        <v/>
      </c>
      <c r="D450" s="11" t="str">
        <f>IF(ISBLANK(data!X478),"",data!X478)</f>
        <v/>
      </c>
      <c r="E450" s="11" t="str">
        <f>IF(ISBLANK(data!Y478),"",data!Y478)</f>
        <v/>
      </c>
    </row>
    <row r="451" spans="1:5" x14ac:dyDescent="0.3">
      <c r="A451" s="13">
        <f>data!S479</f>
        <v>0</v>
      </c>
      <c r="B451" s="11" t="str">
        <f>IF(ISBLANK(data!V479),"",data!V479)</f>
        <v/>
      </c>
      <c r="C451" s="11" t="str">
        <f>IF(ISBLANK(data!W479),"",data!W479)</f>
        <v/>
      </c>
      <c r="D451" s="11" t="str">
        <f>IF(ISBLANK(data!X479),"",data!X479)</f>
        <v/>
      </c>
      <c r="E451" s="11" t="str">
        <f>IF(ISBLANK(data!Y479),"",data!Y479)</f>
        <v/>
      </c>
    </row>
    <row r="452" spans="1:5" x14ac:dyDescent="0.3">
      <c r="A452" s="13">
        <f>data!S480</f>
        <v>0</v>
      </c>
      <c r="B452" s="11" t="str">
        <f>IF(ISBLANK(data!V480),"",data!V480)</f>
        <v/>
      </c>
      <c r="C452" s="11" t="str">
        <f>IF(ISBLANK(data!W480),"",data!W480)</f>
        <v/>
      </c>
      <c r="D452" s="11" t="str">
        <f>IF(ISBLANK(data!X480),"",data!X480)</f>
        <v/>
      </c>
      <c r="E452" s="11" t="str">
        <f>IF(ISBLANK(data!Y480),"",data!Y480)</f>
        <v/>
      </c>
    </row>
    <row r="453" spans="1:5" x14ac:dyDescent="0.3">
      <c r="A453" s="13">
        <f>data!S481</f>
        <v>0</v>
      </c>
      <c r="B453" s="11" t="str">
        <f>IF(ISBLANK(data!V481),"",data!V481)</f>
        <v/>
      </c>
      <c r="C453" s="11" t="str">
        <f>IF(ISBLANK(data!W481),"",data!W481)</f>
        <v/>
      </c>
      <c r="D453" s="11" t="str">
        <f>IF(ISBLANK(data!X481),"",data!X481)</f>
        <v/>
      </c>
      <c r="E453" s="11" t="str">
        <f>IF(ISBLANK(data!Y481),"",data!Y481)</f>
        <v/>
      </c>
    </row>
    <row r="454" spans="1:5" x14ac:dyDescent="0.3">
      <c r="A454" s="13">
        <f>data!S482</f>
        <v>0</v>
      </c>
      <c r="B454" s="11" t="str">
        <f>IF(ISBLANK(data!V482),"",data!V482)</f>
        <v/>
      </c>
      <c r="C454" s="11" t="str">
        <f>IF(ISBLANK(data!W482),"",data!W482)</f>
        <v/>
      </c>
      <c r="D454" s="11" t="str">
        <f>IF(ISBLANK(data!X482),"",data!X482)</f>
        <v/>
      </c>
      <c r="E454" s="11" t="str">
        <f>IF(ISBLANK(data!Y482),"",data!Y482)</f>
        <v/>
      </c>
    </row>
    <row r="455" spans="1:5" x14ac:dyDescent="0.3">
      <c r="A455" s="13">
        <f>data!S483</f>
        <v>0</v>
      </c>
      <c r="B455" s="11" t="str">
        <f>IF(ISBLANK(data!V483),"",data!V483)</f>
        <v/>
      </c>
      <c r="C455" s="11" t="str">
        <f>IF(ISBLANK(data!W483),"",data!W483)</f>
        <v/>
      </c>
      <c r="D455" s="11" t="str">
        <f>IF(ISBLANK(data!X483),"",data!X483)</f>
        <v/>
      </c>
      <c r="E455" s="11" t="str">
        <f>IF(ISBLANK(data!Y483),"",data!Y483)</f>
        <v/>
      </c>
    </row>
    <row r="456" spans="1:5" x14ac:dyDescent="0.3">
      <c r="A456" s="13">
        <f>data!S484</f>
        <v>0</v>
      </c>
      <c r="B456" s="11" t="str">
        <f>IF(ISBLANK(data!V484),"",data!V484)</f>
        <v/>
      </c>
      <c r="C456" s="11" t="str">
        <f>IF(ISBLANK(data!W484),"",data!W484)</f>
        <v/>
      </c>
      <c r="D456" s="11" t="str">
        <f>IF(ISBLANK(data!X484),"",data!X484)</f>
        <v/>
      </c>
      <c r="E456" s="11" t="str">
        <f>IF(ISBLANK(data!Y484),"",data!Y484)</f>
        <v/>
      </c>
    </row>
    <row r="457" spans="1:5" x14ac:dyDescent="0.3">
      <c r="A457" s="13">
        <f>data!S485</f>
        <v>0</v>
      </c>
      <c r="B457" s="11" t="str">
        <f>IF(ISBLANK(data!V485),"",data!V485)</f>
        <v/>
      </c>
      <c r="C457" s="11" t="str">
        <f>IF(ISBLANK(data!W485),"",data!W485)</f>
        <v/>
      </c>
      <c r="D457" s="11" t="str">
        <f>IF(ISBLANK(data!X485),"",data!X485)</f>
        <v/>
      </c>
      <c r="E457" s="11" t="str">
        <f>IF(ISBLANK(data!Y485),"",data!Y485)</f>
        <v/>
      </c>
    </row>
    <row r="458" spans="1:5" x14ac:dyDescent="0.3">
      <c r="A458" s="13">
        <f>data!S486</f>
        <v>0</v>
      </c>
      <c r="B458" s="11" t="str">
        <f>IF(ISBLANK(data!V486),"",data!V486)</f>
        <v/>
      </c>
      <c r="C458" s="11" t="str">
        <f>IF(ISBLANK(data!W486),"",data!W486)</f>
        <v/>
      </c>
      <c r="D458" s="11" t="str">
        <f>IF(ISBLANK(data!X486),"",data!X486)</f>
        <v/>
      </c>
      <c r="E458" s="11" t="str">
        <f>IF(ISBLANK(data!Y486),"",data!Y486)</f>
        <v/>
      </c>
    </row>
    <row r="459" spans="1:5" x14ac:dyDescent="0.3">
      <c r="A459" s="13">
        <f>data!S487</f>
        <v>0</v>
      </c>
      <c r="B459" s="11" t="str">
        <f>IF(ISBLANK(data!V487),"",data!V487)</f>
        <v/>
      </c>
      <c r="C459" s="11" t="str">
        <f>IF(ISBLANK(data!W487),"",data!W487)</f>
        <v/>
      </c>
      <c r="D459" s="11" t="str">
        <f>IF(ISBLANK(data!X487),"",data!X487)</f>
        <v/>
      </c>
      <c r="E459" s="11" t="str">
        <f>IF(ISBLANK(data!Y487),"",data!Y487)</f>
        <v/>
      </c>
    </row>
    <row r="460" spans="1:5" x14ac:dyDescent="0.3">
      <c r="A460" s="13">
        <f>data!S488</f>
        <v>0</v>
      </c>
      <c r="B460" s="11" t="str">
        <f>IF(ISBLANK(data!V488),"",data!V488)</f>
        <v/>
      </c>
      <c r="C460" s="11" t="str">
        <f>IF(ISBLANK(data!W488),"",data!W488)</f>
        <v/>
      </c>
      <c r="D460" s="11" t="str">
        <f>IF(ISBLANK(data!X488),"",data!X488)</f>
        <v/>
      </c>
      <c r="E460" s="11" t="str">
        <f>IF(ISBLANK(data!Y488),"",data!Y488)</f>
        <v/>
      </c>
    </row>
    <row r="461" spans="1:5" x14ac:dyDescent="0.3">
      <c r="A461" s="13">
        <f>data!S489</f>
        <v>0</v>
      </c>
      <c r="B461" s="11" t="str">
        <f>IF(ISBLANK(data!V489),"",data!V489)</f>
        <v/>
      </c>
      <c r="C461" s="11" t="str">
        <f>IF(ISBLANK(data!W489),"",data!W489)</f>
        <v/>
      </c>
      <c r="D461" s="11" t="str">
        <f>IF(ISBLANK(data!X489),"",data!X489)</f>
        <v/>
      </c>
      <c r="E461" s="11" t="str">
        <f>IF(ISBLANK(data!Y489),"",data!Y489)</f>
        <v/>
      </c>
    </row>
    <row r="462" spans="1:5" x14ac:dyDescent="0.3">
      <c r="A462" s="13">
        <f>data!S490</f>
        <v>0</v>
      </c>
      <c r="B462" s="11" t="str">
        <f>IF(ISBLANK(data!V490),"",data!V490)</f>
        <v/>
      </c>
      <c r="C462" s="11" t="str">
        <f>IF(ISBLANK(data!W490),"",data!W490)</f>
        <v/>
      </c>
      <c r="D462" s="11" t="str">
        <f>IF(ISBLANK(data!X490),"",data!X490)</f>
        <v/>
      </c>
      <c r="E462" s="11" t="str">
        <f>IF(ISBLANK(data!Y490),"",data!Y490)</f>
        <v/>
      </c>
    </row>
    <row r="463" spans="1:5" x14ac:dyDescent="0.3">
      <c r="A463" s="13">
        <f>data!S491</f>
        <v>0</v>
      </c>
      <c r="B463" s="11" t="str">
        <f>IF(ISBLANK(data!V491),"",data!V491)</f>
        <v/>
      </c>
      <c r="C463" s="11" t="str">
        <f>IF(ISBLANK(data!W491),"",data!W491)</f>
        <v/>
      </c>
      <c r="D463" s="11" t="str">
        <f>IF(ISBLANK(data!X491),"",data!X491)</f>
        <v/>
      </c>
      <c r="E463" s="11" t="str">
        <f>IF(ISBLANK(data!Y491),"",data!Y491)</f>
        <v/>
      </c>
    </row>
    <row r="464" spans="1:5" x14ac:dyDescent="0.3">
      <c r="A464" s="13">
        <f>data!S492</f>
        <v>0</v>
      </c>
      <c r="B464" s="11" t="str">
        <f>IF(ISBLANK(data!V492),"",data!V492)</f>
        <v/>
      </c>
      <c r="C464" s="11" t="str">
        <f>IF(ISBLANK(data!W492),"",data!W492)</f>
        <v/>
      </c>
      <c r="D464" s="11" t="str">
        <f>IF(ISBLANK(data!X492),"",data!X492)</f>
        <v/>
      </c>
      <c r="E464" s="11" t="str">
        <f>IF(ISBLANK(data!Y492),"",data!Y492)</f>
        <v/>
      </c>
    </row>
    <row r="465" spans="1:5" x14ac:dyDescent="0.3">
      <c r="A465" s="13">
        <f>data!S493</f>
        <v>0</v>
      </c>
      <c r="B465" s="11" t="str">
        <f>IF(ISBLANK(data!V493),"",data!V493)</f>
        <v/>
      </c>
      <c r="C465" s="11" t="str">
        <f>IF(ISBLANK(data!W493),"",data!W493)</f>
        <v/>
      </c>
      <c r="D465" s="11" t="str">
        <f>IF(ISBLANK(data!X493),"",data!X493)</f>
        <v/>
      </c>
      <c r="E465" s="11" t="str">
        <f>IF(ISBLANK(data!Y493),"",data!Y493)</f>
        <v/>
      </c>
    </row>
    <row r="466" spans="1:5" x14ac:dyDescent="0.3">
      <c r="A466" s="13">
        <f>data!S494</f>
        <v>0</v>
      </c>
      <c r="B466" s="11" t="str">
        <f>IF(ISBLANK(data!V494),"",data!V494)</f>
        <v/>
      </c>
      <c r="C466" s="11" t="str">
        <f>IF(ISBLANK(data!W494),"",data!W494)</f>
        <v/>
      </c>
      <c r="D466" s="11" t="str">
        <f>IF(ISBLANK(data!X494),"",data!X494)</f>
        <v/>
      </c>
      <c r="E466" s="11" t="str">
        <f>IF(ISBLANK(data!Y494),"",data!Y494)</f>
        <v/>
      </c>
    </row>
    <row r="467" spans="1:5" x14ac:dyDescent="0.3">
      <c r="A467" s="13">
        <f>data!S495</f>
        <v>0</v>
      </c>
      <c r="B467" s="11" t="str">
        <f>IF(ISBLANK(data!V495),"",data!V495)</f>
        <v/>
      </c>
      <c r="C467" s="11" t="str">
        <f>IF(ISBLANK(data!W495),"",data!W495)</f>
        <v/>
      </c>
      <c r="D467" s="11" t="str">
        <f>IF(ISBLANK(data!X495),"",data!X495)</f>
        <v/>
      </c>
      <c r="E467" s="11" t="str">
        <f>IF(ISBLANK(data!Y495),"",data!Y495)</f>
        <v/>
      </c>
    </row>
    <row r="468" spans="1:5" x14ac:dyDescent="0.3">
      <c r="A468" s="13">
        <f>data!S496</f>
        <v>0</v>
      </c>
      <c r="B468" s="11" t="str">
        <f>IF(ISBLANK(data!V496),"",data!V496)</f>
        <v/>
      </c>
      <c r="C468" s="11" t="str">
        <f>IF(ISBLANK(data!W496),"",data!W496)</f>
        <v/>
      </c>
      <c r="D468" s="11" t="str">
        <f>IF(ISBLANK(data!X496),"",data!X496)</f>
        <v/>
      </c>
      <c r="E468" s="11" t="str">
        <f>IF(ISBLANK(data!Y496),"",data!Y496)</f>
        <v/>
      </c>
    </row>
    <row r="469" spans="1:5" x14ac:dyDescent="0.3">
      <c r="A469" s="13">
        <f>data!S497</f>
        <v>0</v>
      </c>
      <c r="B469" s="11" t="str">
        <f>IF(ISBLANK(data!V497),"",data!V497)</f>
        <v/>
      </c>
      <c r="C469" s="11" t="str">
        <f>IF(ISBLANK(data!W497),"",data!W497)</f>
        <v/>
      </c>
      <c r="D469" s="11" t="str">
        <f>IF(ISBLANK(data!X497),"",data!X497)</f>
        <v/>
      </c>
      <c r="E469" s="11" t="str">
        <f>IF(ISBLANK(data!Y497),"",data!Y497)</f>
        <v/>
      </c>
    </row>
    <row r="470" spans="1:5" x14ac:dyDescent="0.3">
      <c r="A470" s="13">
        <f>data!S498</f>
        <v>0</v>
      </c>
      <c r="B470" s="11" t="str">
        <f>IF(ISBLANK(data!V498),"",data!V498)</f>
        <v/>
      </c>
      <c r="C470" s="11" t="str">
        <f>IF(ISBLANK(data!W498),"",data!W498)</f>
        <v/>
      </c>
      <c r="D470" s="11" t="str">
        <f>IF(ISBLANK(data!X498),"",data!X498)</f>
        <v/>
      </c>
      <c r="E470" s="11" t="str">
        <f>IF(ISBLANK(data!Y498),"",data!Y498)</f>
        <v/>
      </c>
    </row>
    <row r="471" spans="1:5" x14ac:dyDescent="0.3">
      <c r="A471" s="13">
        <f>data!S499</f>
        <v>0</v>
      </c>
      <c r="B471" s="11" t="str">
        <f>IF(ISBLANK(data!V499),"",data!V499)</f>
        <v/>
      </c>
      <c r="C471" s="11" t="str">
        <f>IF(ISBLANK(data!W499),"",data!W499)</f>
        <v/>
      </c>
      <c r="D471" s="11" t="str">
        <f>IF(ISBLANK(data!X499),"",data!X499)</f>
        <v/>
      </c>
      <c r="E471" s="11" t="str">
        <f>IF(ISBLANK(data!Y499),"",data!Y499)</f>
        <v/>
      </c>
    </row>
    <row r="472" spans="1:5" x14ac:dyDescent="0.3">
      <c r="A472" s="13">
        <f>data!S500</f>
        <v>0</v>
      </c>
      <c r="B472" s="11" t="str">
        <f>IF(ISBLANK(data!V500),"",data!V500)</f>
        <v/>
      </c>
      <c r="C472" s="11" t="str">
        <f>IF(ISBLANK(data!W500),"",data!W500)</f>
        <v/>
      </c>
      <c r="D472" s="11" t="str">
        <f>IF(ISBLANK(data!X500),"",data!X500)</f>
        <v/>
      </c>
      <c r="E472" s="11" t="str">
        <f>IF(ISBLANK(data!Y500),"",data!Y500)</f>
        <v/>
      </c>
    </row>
    <row r="473" spans="1:5" x14ac:dyDescent="0.3">
      <c r="A473" s="13">
        <f>data!S501</f>
        <v>0</v>
      </c>
      <c r="B473" s="11" t="str">
        <f>IF(ISBLANK(data!V501),"",data!V501)</f>
        <v/>
      </c>
      <c r="C473" s="11" t="str">
        <f>IF(ISBLANK(data!W501),"",data!W501)</f>
        <v/>
      </c>
      <c r="D473" s="11" t="str">
        <f>IF(ISBLANK(data!X501),"",data!X501)</f>
        <v/>
      </c>
      <c r="E473" s="11" t="str">
        <f>IF(ISBLANK(data!Y501),"",data!Y501)</f>
        <v/>
      </c>
    </row>
    <row r="474" spans="1:5" x14ac:dyDescent="0.3">
      <c r="A474" s="13">
        <f>data!S502</f>
        <v>0</v>
      </c>
      <c r="B474" s="11" t="str">
        <f>IF(ISBLANK(data!V502),"",data!V502)</f>
        <v/>
      </c>
      <c r="C474" s="11" t="str">
        <f>IF(ISBLANK(data!W502),"",data!W502)</f>
        <v/>
      </c>
      <c r="D474" s="11" t="str">
        <f>IF(ISBLANK(data!X502),"",data!X502)</f>
        <v/>
      </c>
      <c r="E474" s="11" t="str">
        <f>IF(ISBLANK(data!Y502),"",data!Y502)</f>
        <v/>
      </c>
    </row>
    <row r="475" spans="1:5" x14ac:dyDescent="0.3">
      <c r="A475" s="13">
        <f>data!S503</f>
        <v>0</v>
      </c>
      <c r="B475" s="11" t="str">
        <f>IF(ISBLANK(data!V503),"",data!V503)</f>
        <v/>
      </c>
      <c r="C475" s="11" t="str">
        <f>IF(ISBLANK(data!W503),"",data!W503)</f>
        <v/>
      </c>
      <c r="D475" s="11" t="str">
        <f>IF(ISBLANK(data!X503),"",data!X503)</f>
        <v/>
      </c>
      <c r="E475" s="11" t="str">
        <f>IF(ISBLANK(data!Y503),"",data!Y503)</f>
        <v/>
      </c>
    </row>
    <row r="476" spans="1:5" x14ac:dyDescent="0.3">
      <c r="A476" s="13">
        <f>data!S504</f>
        <v>0</v>
      </c>
      <c r="B476" s="11" t="str">
        <f>IF(ISBLANK(data!V504),"",data!V504)</f>
        <v/>
      </c>
      <c r="C476" s="11" t="str">
        <f>IF(ISBLANK(data!W504),"",data!W504)</f>
        <v/>
      </c>
      <c r="D476" s="11" t="str">
        <f>IF(ISBLANK(data!X504),"",data!X504)</f>
        <v/>
      </c>
      <c r="E476" s="11" t="str">
        <f>IF(ISBLANK(data!Y504),"",data!Y504)</f>
        <v/>
      </c>
    </row>
    <row r="477" spans="1:5" x14ac:dyDescent="0.3">
      <c r="A477" s="13">
        <f>data!S505</f>
        <v>0</v>
      </c>
      <c r="B477" s="11" t="str">
        <f>IF(ISBLANK(data!V505),"",data!V505)</f>
        <v/>
      </c>
      <c r="C477" s="11" t="str">
        <f>IF(ISBLANK(data!W505),"",data!W505)</f>
        <v/>
      </c>
      <c r="D477" s="11" t="str">
        <f>IF(ISBLANK(data!X505),"",data!X505)</f>
        <v/>
      </c>
      <c r="E477" s="11" t="str">
        <f>IF(ISBLANK(data!Y505),"",data!Y505)</f>
        <v/>
      </c>
    </row>
    <row r="478" spans="1:5" x14ac:dyDescent="0.3">
      <c r="A478" s="13">
        <f>data!S506</f>
        <v>0</v>
      </c>
      <c r="B478" s="11" t="str">
        <f>IF(ISBLANK(data!V506),"",data!V506)</f>
        <v/>
      </c>
      <c r="C478" s="11" t="str">
        <f>IF(ISBLANK(data!W506),"",data!W506)</f>
        <v/>
      </c>
      <c r="D478" s="11" t="str">
        <f>IF(ISBLANK(data!X506),"",data!X506)</f>
        <v/>
      </c>
      <c r="E478" s="11" t="str">
        <f>IF(ISBLANK(data!Y506),"",data!Y506)</f>
        <v/>
      </c>
    </row>
    <row r="479" spans="1:5" x14ac:dyDescent="0.3">
      <c r="A479" s="13">
        <f>data!S507</f>
        <v>0</v>
      </c>
      <c r="B479" s="11" t="str">
        <f>IF(ISBLANK(data!V507),"",data!V507)</f>
        <v/>
      </c>
      <c r="C479" s="11" t="str">
        <f>IF(ISBLANK(data!W507),"",data!W507)</f>
        <v/>
      </c>
      <c r="D479" s="11" t="str">
        <f>IF(ISBLANK(data!X507),"",data!X507)</f>
        <v/>
      </c>
      <c r="E479" s="11" t="str">
        <f>IF(ISBLANK(data!Y507),"",data!Y507)</f>
        <v/>
      </c>
    </row>
    <row r="480" spans="1:5" x14ac:dyDescent="0.3">
      <c r="A480" s="13">
        <f>data!S508</f>
        <v>0</v>
      </c>
      <c r="B480" s="11" t="str">
        <f>IF(ISBLANK(data!V508),"",data!V508)</f>
        <v/>
      </c>
      <c r="C480" s="11" t="str">
        <f>IF(ISBLANK(data!W508),"",data!W508)</f>
        <v/>
      </c>
      <c r="D480" s="11" t="str">
        <f>IF(ISBLANK(data!X508),"",data!X508)</f>
        <v/>
      </c>
      <c r="E480" s="11" t="str">
        <f>IF(ISBLANK(data!Y508),"",data!Y508)</f>
        <v/>
      </c>
    </row>
    <row r="481" spans="1:5" x14ac:dyDescent="0.3">
      <c r="A481" s="13">
        <f>data!S509</f>
        <v>0</v>
      </c>
      <c r="B481" s="11" t="str">
        <f>IF(ISBLANK(data!V509),"",data!V509)</f>
        <v/>
      </c>
      <c r="C481" s="11" t="str">
        <f>IF(ISBLANK(data!W509),"",data!W509)</f>
        <v/>
      </c>
      <c r="D481" s="11" t="str">
        <f>IF(ISBLANK(data!X509),"",data!X509)</f>
        <v/>
      </c>
      <c r="E481" s="11" t="str">
        <f>IF(ISBLANK(data!Y509),"",data!Y509)</f>
        <v/>
      </c>
    </row>
    <row r="482" spans="1:5" x14ac:dyDescent="0.3">
      <c r="A482" s="13">
        <f>data!S510</f>
        <v>0</v>
      </c>
      <c r="B482" s="11" t="str">
        <f>IF(ISBLANK(data!V510),"",data!V510)</f>
        <v/>
      </c>
      <c r="C482" s="11" t="str">
        <f>IF(ISBLANK(data!W510),"",data!W510)</f>
        <v/>
      </c>
      <c r="D482" s="11" t="str">
        <f>IF(ISBLANK(data!X510),"",data!X510)</f>
        <v/>
      </c>
      <c r="E482" s="11" t="str">
        <f>IF(ISBLANK(data!Y510),"",data!Y510)</f>
        <v/>
      </c>
    </row>
    <row r="483" spans="1:5" x14ac:dyDescent="0.3">
      <c r="A483" s="13">
        <f>data!S511</f>
        <v>0</v>
      </c>
      <c r="B483" s="11" t="str">
        <f>IF(ISBLANK(data!V511),"",data!V511)</f>
        <v/>
      </c>
      <c r="C483" s="11" t="str">
        <f>IF(ISBLANK(data!W511),"",data!W511)</f>
        <v/>
      </c>
      <c r="D483" s="11" t="str">
        <f>IF(ISBLANK(data!X511),"",data!X511)</f>
        <v/>
      </c>
      <c r="E483" s="11" t="str">
        <f>IF(ISBLANK(data!Y511),"",data!Y511)</f>
        <v/>
      </c>
    </row>
    <row r="484" spans="1:5" x14ac:dyDescent="0.3">
      <c r="A484" s="13">
        <f>data!S512</f>
        <v>0</v>
      </c>
      <c r="B484" s="11" t="str">
        <f>IF(ISBLANK(data!V512),"",data!V512)</f>
        <v/>
      </c>
      <c r="C484" s="11" t="str">
        <f>IF(ISBLANK(data!W512),"",data!W512)</f>
        <v/>
      </c>
      <c r="D484" s="11" t="str">
        <f>IF(ISBLANK(data!X512),"",data!X512)</f>
        <v/>
      </c>
      <c r="E484" s="11" t="str">
        <f>IF(ISBLANK(data!Y512),"",data!Y512)</f>
        <v/>
      </c>
    </row>
    <row r="485" spans="1:5" x14ac:dyDescent="0.3">
      <c r="A485" s="13">
        <f>data!S513</f>
        <v>0</v>
      </c>
      <c r="B485" s="11" t="str">
        <f>IF(ISBLANK(data!V513),"",data!V513)</f>
        <v/>
      </c>
      <c r="C485" s="11" t="str">
        <f>IF(ISBLANK(data!W513),"",data!W513)</f>
        <v/>
      </c>
      <c r="D485" s="11" t="str">
        <f>IF(ISBLANK(data!X513),"",data!X513)</f>
        <v/>
      </c>
      <c r="E485" s="11" t="str">
        <f>IF(ISBLANK(data!Y513),"",data!Y513)</f>
        <v/>
      </c>
    </row>
    <row r="486" spans="1:5" x14ac:dyDescent="0.3">
      <c r="A486" s="13">
        <f>data!S514</f>
        <v>0</v>
      </c>
      <c r="B486" s="11" t="str">
        <f>IF(ISBLANK(data!V514),"",data!V514)</f>
        <v/>
      </c>
      <c r="C486" s="11" t="str">
        <f>IF(ISBLANK(data!W514),"",data!W514)</f>
        <v/>
      </c>
      <c r="D486" s="11" t="str">
        <f>IF(ISBLANK(data!X514),"",data!X514)</f>
        <v/>
      </c>
      <c r="E486" s="11" t="str">
        <f>IF(ISBLANK(data!Y514),"",data!Y514)</f>
        <v/>
      </c>
    </row>
    <row r="487" spans="1:5" x14ac:dyDescent="0.3">
      <c r="A487" s="13">
        <f>data!S515</f>
        <v>0</v>
      </c>
      <c r="B487" s="11" t="str">
        <f>IF(ISBLANK(data!V515),"",data!V515)</f>
        <v/>
      </c>
      <c r="C487" s="11" t="str">
        <f>IF(ISBLANK(data!W515),"",data!W515)</f>
        <v/>
      </c>
      <c r="D487" s="11" t="str">
        <f>IF(ISBLANK(data!X515),"",data!X515)</f>
        <v/>
      </c>
      <c r="E487" s="11" t="str">
        <f>IF(ISBLANK(data!Y515),"",data!Y515)</f>
        <v/>
      </c>
    </row>
    <row r="488" spans="1:5" x14ac:dyDescent="0.3">
      <c r="A488" s="13">
        <f>data!S516</f>
        <v>0</v>
      </c>
      <c r="B488" s="11" t="str">
        <f>IF(ISBLANK(data!V516),"",data!V516)</f>
        <v/>
      </c>
      <c r="C488" s="11" t="str">
        <f>IF(ISBLANK(data!W516),"",data!W516)</f>
        <v/>
      </c>
      <c r="D488" s="11" t="str">
        <f>IF(ISBLANK(data!X516),"",data!X516)</f>
        <v/>
      </c>
      <c r="E488" s="11" t="str">
        <f>IF(ISBLANK(data!Y516),"",data!Y516)</f>
        <v/>
      </c>
    </row>
    <row r="489" spans="1:5" x14ac:dyDescent="0.3">
      <c r="A489" s="13">
        <f>data!S517</f>
        <v>0</v>
      </c>
      <c r="B489" s="11" t="str">
        <f>IF(ISBLANK(data!V517),"",data!V517)</f>
        <v/>
      </c>
      <c r="C489" s="11" t="str">
        <f>IF(ISBLANK(data!W517),"",data!W517)</f>
        <v/>
      </c>
      <c r="D489" s="11" t="str">
        <f>IF(ISBLANK(data!X517),"",data!X517)</f>
        <v/>
      </c>
      <c r="E489" s="11" t="str">
        <f>IF(ISBLANK(data!Y517),"",data!Y517)</f>
        <v/>
      </c>
    </row>
    <row r="490" spans="1:5" x14ac:dyDescent="0.3">
      <c r="A490" s="13">
        <f>data!S518</f>
        <v>0</v>
      </c>
      <c r="B490" s="11" t="str">
        <f>IF(ISBLANK(data!V518),"",data!V518)</f>
        <v/>
      </c>
      <c r="C490" s="11" t="str">
        <f>IF(ISBLANK(data!W518),"",data!W518)</f>
        <v/>
      </c>
      <c r="D490" s="11" t="str">
        <f>IF(ISBLANK(data!X518),"",data!X518)</f>
        <v/>
      </c>
      <c r="E490" s="11" t="str">
        <f>IF(ISBLANK(data!Y518),"",data!Y518)</f>
        <v/>
      </c>
    </row>
    <row r="491" spans="1:5" x14ac:dyDescent="0.3">
      <c r="A491" s="13">
        <f>data!S519</f>
        <v>0</v>
      </c>
      <c r="B491" s="11" t="str">
        <f>IF(ISBLANK(data!V519),"",data!V519)</f>
        <v/>
      </c>
      <c r="C491" s="11" t="str">
        <f>IF(ISBLANK(data!W519),"",data!W519)</f>
        <v/>
      </c>
      <c r="D491" s="11" t="str">
        <f>IF(ISBLANK(data!X519),"",data!X519)</f>
        <v/>
      </c>
      <c r="E491" s="11" t="str">
        <f>IF(ISBLANK(data!Y519),"",data!Y519)</f>
        <v/>
      </c>
    </row>
    <row r="492" spans="1:5" x14ac:dyDescent="0.3">
      <c r="A492" s="13">
        <f>data!S520</f>
        <v>0</v>
      </c>
      <c r="B492" s="11" t="str">
        <f>IF(ISBLANK(data!V520),"",data!V520)</f>
        <v/>
      </c>
      <c r="C492" s="11" t="str">
        <f>IF(ISBLANK(data!W520),"",data!W520)</f>
        <v/>
      </c>
      <c r="D492" s="11" t="str">
        <f>IF(ISBLANK(data!X520),"",data!X520)</f>
        <v/>
      </c>
      <c r="E492" s="11" t="str">
        <f>IF(ISBLANK(data!Y520),"",data!Y520)</f>
        <v/>
      </c>
    </row>
    <row r="493" spans="1:5" x14ac:dyDescent="0.3">
      <c r="A493" s="13">
        <f>data!S521</f>
        <v>0</v>
      </c>
      <c r="B493" s="11" t="str">
        <f>IF(ISBLANK(data!V521),"",data!V521)</f>
        <v/>
      </c>
      <c r="C493" s="11" t="str">
        <f>IF(ISBLANK(data!W521),"",data!W521)</f>
        <v/>
      </c>
      <c r="D493" s="11" t="str">
        <f>IF(ISBLANK(data!X521),"",data!X521)</f>
        <v/>
      </c>
      <c r="E493" s="11" t="str">
        <f>IF(ISBLANK(data!Y521),"",data!Y521)</f>
        <v/>
      </c>
    </row>
    <row r="494" spans="1:5" x14ac:dyDescent="0.3">
      <c r="A494" s="13">
        <f>data!S522</f>
        <v>0</v>
      </c>
      <c r="B494" s="11" t="str">
        <f>IF(ISBLANK(data!V522),"",data!V522)</f>
        <v/>
      </c>
      <c r="C494" s="11" t="str">
        <f>IF(ISBLANK(data!W522),"",data!W522)</f>
        <v/>
      </c>
      <c r="D494" s="11" t="str">
        <f>IF(ISBLANK(data!X522),"",data!X522)</f>
        <v/>
      </c>
      <c r="E494" s="11" t="str">
        <f>IF(ISBLANK(data!Y522),"",data!Y522)</f>
        <v/>
      </c>
    </row>
    <row r="495" spans="1:5" x14ac:dyDescent="0.3">
      <c r="A495" s="13">
        <f>data!S523</f>
        <v>0</v>
      </c>
      <c r="B495" s="11" t="str">
        <f>IF(ISBLANK(data!V523),"",data!V523)</f>
        <v/>
      </c>
      <c r="C495" s="11" t="str">
        <f>IF(ISBLANK(data!W523),"",data!W523)</f>
        <v/>
      </c>
      <c r="D495" s="11" t="str">
        <f>IF(ISBLANK(data!X523),"",data!X523)</f>
        <v/>
      </c>
      <c r="E495" s="11" t="str">
        <f>IF(ISBLANK(data!Y523),"",data!Y523)</f>
        <v/>
      </c>
    </row>
    <row r="496" spans="1:5" x14ac:dyDescent="0.3">
      <c r="A496" s="13">
        <f>data!S524</f>
        <v>0</v>
      </c>
      <c r="B496" s="11" t="str">
        <f>IF(ISBLANK(data!V524),"",data!V524)</f>
        <v/>
      </c>
      <c r="C496" s="11" t="str">
        <f>IF(ISBLANK(data!W524),"",data!W524)</f>
        <v/>
      </c>
      <c r="D496" s="11" t="str">
        <f>IF(ISBLANK(data!X524),"",data!X524)</f>
        <v/>
      </c>
      <c r="E496" s="11" t="str">
        <f>IF(ISBLANK(data!Y524),"",data!Y524)</f>
        <v/>
      </c>
    </row>
    <row r="497" spans="1:5" x14ac:dyDescent="0.3">
      <c r="A497" s="13">
        <f>data!S525</f>
        <v>0</v>
      </c>
      <c r="B497" s="11" t="str">
        <f>IF(ISBLANK(data!V525),"",data!V525)</f>
        <v/>
      </c>
      <c r="C497" s="11" t="str">
        <f>IF(ISBLANK(data!W525),"",data!W525)</f>
        <v/>
      </c>
      <c r="D497" s="11" t="str">
        <f>IF(ISBLANK(data!X525),"",data!X525)</f>
        <v/>
      </c>
      <c r="E497" s="11" t="str">
        <f>IF(ISBLANK(data!Y525),"",data!Y525)</f>
        <v/>
      </c>
    </row>
    <row r="498" spans="1:5" x14ac:dyDescent="0.3">
      <c r="A498" s="13">
        <f>data!S526</f>
        <v>0</v>
      </c>
      <c r="B498" s="11" t="str">
        <f>IF(ISBLANK(data!V526),"",data!V526)</f>
        <v/>
      </c>
      <c r="C498" s="11" t="str">
        <f>IF(ISBLANK(data!W526),"",data!W526)</f>
        <v/>
      </c>
      <c r="D498" s="11" t="str">
        <f>IF(ISBLANK(data!X526),"",data!X526)</f>
        <v/>
      </c>
      <c r="E498" s="11" t="str">
        <f>IF(ISBLANK(data!Y526),"",data!Y526)</f>
        <v/>
      </c>
    </row>
    <row r="499" spans="1:5" x14ac:dyDescent="0.3">
      <c r="A499" s="13">
        <f>data!S527</f>
        <v>0</v>
      </c>
      <c r="B499" s="11" t="str">
        <f>IF(ISBLANK(data!V527),"",data!V527)</f>
        <v/>
      </c>
      <c r="C499" s="11" t="str">
        <f>IF(ISBLANK(data!W527),"",data!W527)</f>
        <v/>
      </c>
      <c r="D499" s="11" t="str">
        <f>IF(ISBLANK(data!X527),"",data!X527)</f>
        <v/>
      </c>
      <c r="E499" s="11" t="str">
        <f>IF(ISBLANK(data!Y527),"",data!Y527)</f>
        <v/>
      </c>
    </row>
    <row r="500" spans="1:5" x14ac:dyDescent="0.3">
      <c r="A500" s="13">
        <f>data!S528</f>
        <v>0</v>
      </c>
      <c r="B500" s="11" t="str">
        <f>IF(ISBLANK(data!V528),"",data!V528)</f>
        <v/>
      </c>
      <c r="C500" s="11" t="str">
        <f>IF(ISBLANK(data!W528),"",data!W528)</f>
        <v/>
      </c>
      <c r="D500" s="11" t="str">
        <f>IF(ISBLANK(data!X528),"",data!X528)</f>
        <v/>
      </c>
      <c r="E500" s="11" t="str">
        <f>IF(ISBLANK(data!Y528),"",data!Y528)</f>
        <v/>
      </c>
    </row>
    <row r="501" spans="1:5" x14ac:dyDescent="0.3">
      <c r="A501" s="13">
        <f>data!S529</f>
        <v>0</v>
      </c>
      <c r="B501" s="11" t="str">
        <f>IF(ISBLANK(data!V529),"",data!V529)</f>
        <v/>
      </c>
      <c r="C501" s="11" t="str">
        <f>IF(ISBLANK(data!W529),"",data!W529)</f>
        <v/>
      </c>
      <c r="D501" s="11" t="str">
        <f>IF(ISBLANK(data!X529),"",data!X529)</f>
        <v/>
      </c>
      <c r="E501" s="11" t="str">
        <f>IF(ISBLANK(data!Y529),"",data!Y529)</f>
        <v/>
      </c>
    </row>
    <row r="502" spans="1:5" x14ac:dyDescent="0.3">
      <c r="A502" s="13">
        <f>data!S530</f>
        <v>0</v>
      </c>
      <c r="B502" s="11" t="str">
        <f>IF(ISBLANK(data!V530),"",data!V530)</f>
        <v/>
      </c>
      <c r="C502" s="11" t="str">
        <f>IF(ISBLANK(data!W530),"",data!W530)</f>
        <v/>
      </c>
      <c r="D502" s="11" t="str">
        <f>IF(ISBLANK(data!X530),"",data!X530)</f>
        <v/>
      </c>
      <c r="E502" s="11" t="str">
        <f>IF(ISBLANK(data!Y530),"",data!Y530)</f>
        <v/>
      </c>
    </row>
    <row r="503" spans="1:5" x14ac:dyDescent="0.3">
      <c r="A503" s="13">
        <f>data!S531</f>
        <v>0</v>
      </c>
      <c r="B503" s="11" t="str">
        <f>IF(ISBLANK(data!V531),"",data!V531)</f>
        <v/>
      </c>
      <c r="C503" s="11" t="str">
        <f>IF(ISBLANK(data!W531),"",data!W531)</f>
        <v/>
      </c>
      <c r="D503" s="11" t="str">
        <f>IF(ISBLANK(data!X531),"",data!X531)</f>
        <v/>
      </c>
      <c r="E503" s="11" t="str">
        <f>IF(ISBLANK(data!Y531),"",data!Y531)</f>
        <v/>
      </c>
    </row>
    <row r="504" spans="1:5" x14ac:dyDescent="0.3">
      <c r="A504" s="13">
        <f>data!S532</f>
        <v>0</v>
      </c>
      <c r="B504" s="11" t="str">
        <f>IF(ISBLANK(data!V532),"",data!V532)</f>
        <v/>
      </c>
      <c r="C504" s="11" t="str">
        <f>IF(ISBLANK(data!W532),"",data!W532)</f>
        <v/>
      </c>
      <c r="D504" s="11" t="str">
        <f>IF(ISBLANK(data!X532),"",data!X532)</f>
        <v/>
      </c>
      <c r="E504" s="11" t="str">
        <f>IF(ISBLANK(data!Y532),"",data!Y532)</f>
        <v/>
      </c>
    </row>
    <row r="505" spans="1:5" x14ac:dyDescent="0.3">
      <c r="A505" s="13">
        <f>data!S533</f>
        <v>0</v>
      </c>
      <c r="B505" s="11" t="str">
        <f>IF(ISBLANK(data!V533),"",data!V533)</f>
        <v/>
      </c>
      <c r="C505" s="11" t="str">
        <f>IF(ISBLANK(data!W533),"",data!W533)</f>
        <v/>
      </c>
      <c r="D505" s="11" t="str">
        <f>IF(ISBLANK(data!X533),"",data!X533)</f>
        <v/>
      </c>
      <c r="E505" s="11" t="str">
        <f>IF(ISBLANK(data!Y533),"",data!Y533)</f>
        <v/>
      </c>
    </row>
    <row r="506" spans="1:5" x14ac:dyDescent="0.3">
      <c r="A506" s="13">
        <f>data!S534</f>
        <v>0</v>
      </c>
      <c r="B506" s="11" t="str">
        <f>IF(ISBLANK(data!V534),"",data!V534)</f>
        <v/>
      </c>
      <c r="C506" s="11" t="str">
        <f>IF(ISBLANK(data!W534),"",data!W534)</f>
        <v/>
      </c>
      <c r="D506" s="11" t="str">
        <f>IF(ISBLANK(data!X534),"",data!X534)</f>
        <v/>
      </c>
      <c r="E506" s="11" t="str">
        <f>IF(ISBLANK(data!Y534),"",data!Y534)</f>
        <v/>
      </c>
    </row>
    <row r="507" spans="1:5" x14ac:dyDescent="0.3">
      <c r="A507" s="13">
        <f>data!S535</f>
        <v>0</v>
      </c>
      <c r="B507" s="11" t="str">
        <f>IF(ISBLANK(data!V535),"",data!V535)</f>
        <v/>
      </c>
      <c r="C507" s="11" t="str">
        <f>IF(ISBLANK(data!W535),"",data!W535)</f>
        <v/>
      </c>
      <c r="D507" s="11" t="str">
        <f>IF(ISBLANK(data!X535),"",data!X535)</f>
        <v/>
      </c>
      <c r="E507" s="11" t="str">
        <f>IF(ISBLANK(data!Y535),"",data!Y535)</f>
        <v/>
      </c>
    </row>
    <row r="508" spans="1:5" x14ac:dyDescent="0.3">
      <c r="A508" s="13">
        <f>data!S536</f>
        <v>0</v>
      </c>
      <c r="B508" s="11" t="str">
        <f>IF(ISBLANK(data!V536),"",data!V536)</f>
        <v/>
      </c>
      <c r="C508" s="11" t="str">
        <f>IF(ISBLANK(data!W536),"",data!W536)</f>
        <v/>
      </c>
      <c r="D508" s="11" t="str">
        <f>IF(ISBLANK(data!X536),"",data!X536)</f>
        <v/>
      </c>
      <c r="E508" s="11" t="str">
        <f>IF(ISBLANK(data!Y536),"",data!Y536)</f>
        <v/>
      </c>
    </row>
    <row r="509" spans="1:5" x14ac:dyDescent="0.3">
      <c r="A509" s="13">
        <f>data!S537</f>
        <v>0</v>
      </c>
      <c r="B509" s="11" t="str">
        <f>IF(ISBLANK(data!V537),"",data!V537)</f>
        <v/>
      </c>
      <c r="C509" s="11" t="str">
        <f>IF(ISBLANK(data!W537),"",data!W537)</f>
        <v/>
      </c>
      <c r="D509" s="11" t="str">
        <f>IF(ISBLANK(data!X537),"",data!X537)</f>
        <v/>
      </c>
      <c r="E509" s="11" t="str">
        <f>IF(ISBLANK(data!Y537),"",data!Y537)</f>
        <v/>
      </c>
    </row>
    <row r="510" spans="1:5" x14ac:dyDescent="0.3">
      <c r="A510" s="13">
        <f>data!S538</f>
        <v>0</v>
      </c>
      <c r="B510" s="11" t="str">
        <f>IF(ISBLANK(data!V538),"",data!V538)</f>
        <v/>
      </c>
      <c r="C510" s="11" t="str">
        <f>IF(ISBLANK(data!W538),"",data!W538)</f>
        <v/>
      </c>
      <c r="D510" s="11" t="str">
        <f>IF(ISBLANK(data!X538),"",data!X538)</f>
        <v/>
      </c>
      <c r="E510" s="11" t="str">
        <f>IF(ISBLANK(data!Y538),"",data!Y538)</f>
        <v/>
      </c>
    </row>
    <row r="511" spans="1:5" x14ac:dyDescent="0.3">
      <c r="A511" s="13">
        <f>data!S539</f>
        <v>0</v>
      </c>
      <c r="B511" s="11" t="str">
        <f>IF(ISBLANK(data!V539),"",data!V539)</f>
        <v/>
      </c>
      <c r="C511" s="11" t="str">
        <f>IF(ISBLANK(data!W539),"",data!W539)</f>
        <v/>
      </c>
      <c r="D511" s="11" t="str">
        <f>IF(ISBLANK(data!X539),"",data!X539)</f>
        <v/>
      </c>
      <c r="E511" s="11" t="str">
        <f>IF(ISBLANK(data!Y539),"",data!Y539)</f>
        <v/>
      </c>
    </row>
    <row r="512" spans="1:5" x14ac:dyDescent="0.3">
      <c r="A512" s="13">
        <f>data!S540</f>
        <v>0</v>
      </c>
      <c r="B512" s="11" t="str">
        <f>IF(ISBLANK(data!V540),"",data!V540)</f>
        <v/>
      </c>
      <c r="C512" s="11" t="str">
        <f>IF(ISBLANK(data!W540),"",data!W540)</f>
        <v/>
      </c>
      <c r="D512" s="11" t="str">
        <f>IF(ISBLANK(data!X540),"",data!X540)</f>
        <v/>
      </c>
      <c r="E512" s="11" t="str">
        <f>IF(ISBLANK(data!Y540),"",data!Y540)</f>
        <v/>
      </c>
    </row>
    <row r="513" spans="1:5" x14ac:dyDescent="0.3">
      <c r="A513" s="13">
        <f>data!S541</f>
        <v>0</v>
      </c>
      <c r="B513" s="11" t="str">
        <f>IF(ISBLANK(data!V541),"",data!V541)</f>
        <v/>
      </c>
      <c r="C513" s="11" t="str">
        <f>IF(ISBLANK(data!W541),"",data!W541)</f>
        <v/>
      </c>
      <c r="D513" s="11" t="str">
        <f>IF(ISBLANK(data!X541),"",data!X541)</f>
        <v/>
      </c>
      <c r="E513" s="11" t="str">
        <f>IF(ISBLANK(data!Y541),"",data!Y541)</f>
        <v/>
      </c>
    </row>
    <row r="514" spans="1:5" x14ac:dyDescent="0.3">
      <c r="A514" s="13">
        <f>data!S542</f>
        <v>0</v>
      </c>
      <c r="B514" s="11" t="str">
        <f>IF(ISBLANK(data!V542),"",data!V542)</f>
        <v/>
      </c>
      <c r="C514" s="11" t="str">
        <f>IF(ISBLANK(data!W542),"",data!W542)</f>
        <v/>
      </c>
      <c r="D514" s="11" t="str">
        <f>IF(ISBLANK(data!X542),"",data!X542)</f>
        <v/>
      </c>
      <c r="E514" s="11" t="str">
        <f>IF(ISBLANK(data!Y542),"",data!Y542)</f>
        <v/>
      </c>
    </row>
    <row r="515" spans="1:5" x14ac:dyDescent="0.3">
      <c r="A515" s="13">
        <f>data!S543</f>
        <v>0</v>
      </c>
      <c r="B515" s="11" t="str">
        <f>IF(ISBLANK(data!V543),"",data!V543)</f>
        <v/>
      </c>
      <c r="C515" s="11" t="str">
        <f>IF(ISBLANK(data!W543),"",data!W543)</f>
        <v/>
      </c>
      <c r="D515" s="11" t="str">
        <f>IF(ISBLANK(data!X543),"",data!X543)</f>
        <v/>
      </c>
      <c r="E515" s="11" t="str">
        <f>IF(ISBLANK(data!Y543),"",data!Y543)</f>
        <v/>
      </c>
    </row>
    <row r="516" spans="1:5" x14ac:dyDescent="0.3">
      <c r="A516" s="13">
        <f>data!S544</f>
        <v>0</v>
      </c>
      <c r="B516" s="11" t="str">
        <f>IF(ISBLANK(data!V544),"",data!V544)</f>
        <v/>
      </c>
      <c r="C516" s="11" t="str">
        <f>IF(ISBLANK(data!W544),"",data!W544)</f>
        <v/>
      </c>
      <c r="D516" s="11" t="str">
        <f>IF(ISBLANK(data!X544),"",data!X544)</f>
        <v/>
      </c>
      <c r="E516" s="11" t="str">
        <f>IF(ISBLANK(data!Y544),"",data!Y544)</f>
        <v/>
      </c>
    </row>
    <row r="517" spans="1:5" x14ac:dyDescent="0.3">
      <c r="A517" s="13">
        <f>data!S545</f>
        <v>0</v>
      </c>
      <c r="B517" s="11" t="str">
        <f>IF(ISBLANK(data!V545),"",data!V545)</f>
        <v/>
      </c>
      <c r="C517" s="11" t="str">
        <f>IF(ISBLANK(data!W545),"",data!W545)</f>
        <v/>
      </c>
      <c r="D517" s="11" t="str">
        <f>IF(ISBLANK(data!X545),"",data!X545)</f>
        <v/>
      </c>
      <c r="E517" s="11" t="str">
        <f>IF(ISBLANK(data!Y545),"",data!Y545)</f>
        <v/>
      </c>
    </row>
    <row r="518" spans="1:5" x14ac:dyDescent="0.3">
      <c r="A518" s="13">
        <f>data!S546</f>
        <v>0</v>
      </c>
      <c r="B518" s="11" t="str">
        <f>IF(ISBLANK(data!V546),"",data!V546)</f>
        <v/>
      </c>
      <c r="C518" s="11" t="str">
        <f>IF(ISBLANK(data!W546),"",data!W546)</f>
        <v/>
      </c>
      <c r="D518" s="11" t="str">
        <f>IF(ISBLANK(data!X546),"",data!X546)</f>
        <v/>
      </c>
      <c r="E518" s="11" t="str">
        <f>IF(ISBLANK(data!Y546),"",data!Y546)</f>
        <v/>
      </c>
    </row>
    <row r="519" spans="1:5" x14ac:dyDescent="0.3">
      <c r="A519" s="13">
        <f>data!S547</f>
        <v>0</v>
      </c>
      <c r="B519" s="11" t="str">
        <f>IF(ISBLANK(data!V547),"",data!V547)</f>
        <v/>
      </c>
      <c r="C519" s="11" t="str">
        <f>IF(ISBLANK(data!W547),"",data!W547)</f>
        <v/>
      </c>
      <c r="D519" s="11" t="str">
        <f>IF(ISBLANK(data!X547),"",data!X547)</f>
        <v/>
      </c>
      <c r="E519" s="11" t="str">
        <f>IF(ISBLANK(data!Y547),"",data!Y547)</f>
        <v/>
      </c>
    </row>
    <row r="520" spans="1:5" x14ac:dyDescent="0.3">
      <c r="A520" s="13">
        <f>data!S548</f>
        <v>0</v>
      </c>
      <c r="B520" s="11" t="str">
        <f>IF(ISBLANK(data!V548),"",data!V548)</f>
        <v/>
      </c>
      <c r="C520" s="11" t="str">
        <f>IF(ISBLANK(data!W548),"",data!W548)</f>
        <v/>
      </c>
      <c r="D520" s="11" t="str">
        <f>IF(ISBLANK(data!X548),"",data!X548)</f>
        <v/>
      </c>
      <c r="E520" s="11" t="str">
        <f>IF(ISBLANK(data!Y548),"",data!Y548)</f>
        <v/>
      </c>
    </row>
    <row r="521" spans="1:5" x14ac:dyDescent="0.3">
      <c r="A521" s="13">
        <f>data!S549</f>
        <v>0</v>
      </c>
      <c r="B521" s="11" t="str">
        <f>IF(ISBLANK(data!V549),"",data!V549)</f>
        <v/>
      </c>
      <c r="C521" s="11" t="str">
        <f>IF(ISBLANK(data!W549),"",data!W549)</f>
        <v/>
      </c>
      <c r="D521" s="11" t="str">
        <f>IF(ISBLANK(data!X549),"",data!X549)</f>
        <v/>
      </c>
      <c r="E521" s="11" t="str">
        <f>IF(ISBLANK(data!Y549),"",data!Y549)</f>
        <v/>
      </c>
    </row>
    <row r="522" spans="1:5" x14ac:dyDescent="0.3">
      <c r="A522" s="13">
        <f>data!S550</f>
        <v>0</v>
      </c>
      <c r="B522" s="11" t="str">
        <f>IF(ISBLANK(data!V550),"",data!V550)</f>
        <v/>
      </c>
      <c r="C522" s="11" t="str">
        <f>IF(ISBLANK(data!W550),"",data!W550)</f>
        <v/>
      </c>
      <c r="D522" s="11" t="str">
        <f>IF(ISBLANK(data!X550),"",data!X550)</f>
        <v/>
      </c>
      <c r="E522" s="11" t="str">
        <f>IF(ISBLANK(data!Y550),"",data!Y550)</f>
        <v/>
      </c>
    </row>
    <row r="523" spans="1:5" x14ac:dyDescent="0.3">
      <c r="A523" s="13">
        <f>data!S551</f>
        <v>0</v>
      </c>
      <c r="B523" s="11" t="str">
        <f>IF(ISBLANK(data!V551),"",data!V551)</f>
        <v/>
      </c>
      <c r="C523" s="11" t="str">
        <f>IF(ISBLANK(data!W551),"",data!W551)</f>
        <v/>
      </c>
      <c r="D523" s="11" t="str">
        <f>IF(ISBLANK(data!X551),"",data!X551)</f>
        <v/>
      </c>
      <c r="E523" s="11" t="str">
        <f>IF(ISBLANK(data!Y551),"",data!Y551)</f>
        <v/>
      </c>
    </row>
    <row r="524" spans="1:5" x14ac:dyDescent="0.3">
      <c r="A524" s="13">
        <f>data!S552</f>
        <v>0</v>
      </c>
      <c r="B524" s="11" t="str">
        <f>IF(ISBLANK(data!V552),"",data!V552)</f>
        <v/>
      </c>
      <c r="C524" s="11" t="str">
        <f>IF(ISBLANK(data!W552),"",data!W552)</f>
        <v/>
      </c>
      <c r="D524" s="11" t="str">
        <f>IF(ISBLANK(data!X552),"",data!X552)</f>
        <v/>
      </c>
      <c r="E524" s="11" t="str">
        <f>IF(ISBLANK(data!Y552),"",data!Y552)</f>
        <v/>
      </c>
    </row>
    <row r="525" spans="1:5" x14ac:dyDescent="0.3">
      <c r="A525" s="13">
        <f>data!S553</f>
        <v>0</v>
      </c>
      <c r="B525" s="11" t="str">
        <f>IF(ISBLANK(data!V553),"",data!V553)</f>
        <v/>
      </c>
      <c r="C525" s="11" t="str">
        <f>IF(ISBLANK(data!W553),"",data!W553)</f>
        <v/>
      </c>
      <c r="D525" s="11" t="str">
        <f>IF(ISBLANK(data!X553),"",data!X553)</f>
        <v/>
      </c>
      <c r="E525" s="11" t="str">
        <f>IF(ISBLANK(data!Y553),"",data!Y553)</f>
        <v/>
      </c>
    </row>
    <row r="526" spans="1:5" x14ac:dyDescent="0.3">
      <c r="A526" s="13">
        <f>data!S554</f>
        <v>0</v>
      </c>
      <c r="B526" s="11" t="str">
        <f>IF(ISBLANK(data!V554),"",data!V554)</f>
        <v/>
      </c>
      <c r="C526" s="11" t="str">
        <f>IF(ISBLANK(data!W554),"",data!W554)</f>
        <v/>
      </c>
      <c r="D526" s="11" t="str">
        <f>IF(ISBLANK(data!X554),"",data!X554)</f>
        <v/>
      </c>
      <c r="E526" s="11" t="str">
        <f>IF(ISBLANK(data!Y554),"",data!Y554)</f>
        <v/>
      </c>
    </row>
    <row r="527" spans="1:5" x14ac:dyDescent="0.3">
      <c r="A527" s="13">
        <f>data!S555</f>
        <v>0</v>
      </c>
      <c r="B527" s="11" t="str">
        <f>IF(ISBLANK(data!V555),"",data!V555)</f>
        <v/>
      </c>
      <c r="C527" s="11" t="str">
        <f>IF(ISBLANK(data!W555),"",data!W555)</f>
        <v/>
      </c>
      <c r="D527" s="11" t="str">
        <f>IF(ISBLANK(data!X555),"",data!X555)</f>
        <v/>
      </c>
      <c r="E527" s="11" t="str">
        <f>IF(ISBLANK(data!Y555),"",data!Y555)</f>
        <v/>
      </c>
    </row>
    <row r="528" spans="1:5" x14ac:dyDescent="0.3">
      <c r="A528" s="13">
        <f>data!S556</f>
        <v>0</v>
      </c>
      <c r="B528" s="11" t="str">
        <f>IF(ISBLANK(data!V556),"",data!V556)</f>
        <v/>
      </c>
      <c r="C528" s="11" t="str">
        <f>IF(ISBLANK(data!W556),"",data!W556)</f>
        <v/>
      </c>
      <c r="D528" s="11" t="str">
        <f>IF(ISBLANK(data!X556),"",data!X556)</f>
        <v/>
      </c>
      <c r="E528" s="11" t="str">
        <f>IF(ISBLANK(data!Y556),"",data!Y556)</f>
        <v/>
      </c>
    </row>
    <row r="529" spans="1:5" x14ac:dyDescent="0.3">
      <c r="A529" s="13">
        <f>data!S557</f>
        <v>0</v>
      </c>
      <c r="B529" s="11" t="str">
        <f>IF(ISBLANK(data!V557),"",data!V557)</f>
        <v/>
      </c>
      <c r="C529" s="11" t="str">
        <f>IF(ISBLANK(data!W557),"",data!W557)</f>
        <v/>
      </c>
      <c r="D529" s="11" t="str">
        <f>IF(ISBLANK(data!X557),"",data!X557)</f>
        <v/>
      </c>
      <c r="E529" s="11" t="str">
        <f>IF(ISBLANK(data!Y557),"",data!Y557)</f>
        <v/>
      </c>
    </row>
    <row r="530" spans="1:5" x14ac:dyDescent="0.3">
      <c r="A530" s="13">
        <f>data!S558</f>
        <v>0</v>
      </c>
      <c r="B530" s="11" t="str">
        <f>IF(ISBLANK(data!V558),"",data!V558)</f>
        <v/>
      </c>
      <c r="C530" s="11" t="str">
        <f>IF(ISBLANK(data!W558),"",data!W558)</f>
        <v/>
      </c>
      <c r="D530" s="11" t="str">
        <f>IF(ISBLANK(data!X558),"",data!X558)</f>
        <v/>
      </c>
      <c r="E530" s="11" t="str">
        <f>IF(ISBLANK(data!Y558),"",data!Y558)</f>
        <v/>
      </c>
    </row>
    <row r="531" spans="1:5" x14ac:dyDescent="0.3">
      <c r="A531" s="13">
        <f>data!S559</f>
        <v>0</v>
      </c>
      <c r="B531" s="11" t="str">
        <f>IF(ISBLANK(data!V559),"",data!V559)</f>
        <v/>
      </c>
      <c r="C531" s="11" t="str">
        <f>IF(ISBLANK(data!W559),"",data!W559)</f>
        <v/>
      </c>
      <c r="D531" s="11" t="str">
        <f>IF(ISBLANK(data!X559),"",data!X559)</f>
        <v/>
      </c>
      <c r="E531" s="11" t="str">
        <f>IF(ISBLANK(data!Y559),"",data!Y559)</f>
        <v/>
      </c>
    </row>
    <row r="532" spans="1:5" x14ac:dyDescent="0.3">
      <c r="A532" s="13">
        <f>data!S560</f>
        <v>0</v>
      </c>
      <c r="B532" s="11" t="str">
        <f>IF(ISBLANK(data!V560),"",data!V560)</f>
        <v/>
      </c>
      <c r="C532" s="11" t="str">
        <f>IF(ISBLANK(data!W560),"",data!W560)</f>
        <v/>
      </c>
      <c r="D532" s="11" t="str">
        <f>IF(ISBLANK(data!X560),"",data!X560)</f>
        <v/>
      </c>
      <c r="E532" s="11" t="str">
        <f>IF(ISBLANK(data!Y560),"",data!Y560)</f>
        <v/>
      </c>
    </row>
    <row r="533" spans="1:5" x14ac:dyDescent="0.3">
      <c r="A533" s="13">
        <f>data!S561</f>
        <v>0</v>
      </c>
      <c r="B533" s="11" t="str">
        <f>IF(ISBLANK(data!V561),"",data!V561)</f>
        <v/>
      </c>
      <c r="C533" s="11" t="str">
        <f>IF(ISBLANK(data!W561),"",data!W561)</f>
        <v/>
      </c>
      <c r="D533" s="11" t="str">
        <f>IF(ISBLANK(data!X561),"",data!X561)</f>
        <v/>
      </c>
      <c r="E533" s="11" t="str">
        <f>IF(ISBLANK(data!Y561),"",data!Y561)</f>
        <v/>
      </c>
    </row>
    <row r="534" spans="1:5" x14ac:dyDescent="0.3">
      <c r="A534" s="13">
        <f>data!S562</f>
        <v>0</v>
      </c>
      <c r="B534" s="11" t="str">
        <f>IF(ISBLANK(data!V562),"",data!V562)</f>
        <v/>
      </c>
      <c r="C534" s="11" t="str">
        <f>IF(ISBLANK(data!W562),"",data!W562)</f>
        <v/>
      </c>
      <c r="D534" s="11" t="str">
        <f>IF(ISBLANK(data!X562),"",data!X562)</f>
        <v/>
      </c>
      <c r="E534" s="11" t="str">
        <f>IF(ISBLANK(data!Y562),"",data!Y562)</f>
        <v/>
      </c>
    </row>
    <row r="535" spans="1:5" x14ac:dyDescent="0.3">
      <c r="A535" s="13">
        <f>data!S563</f>
        <v>0</v>
      </c>
      <c r="B535" s="11" t="str">
        <f>IF(ISBLANK(data!V563),"",data!V563)</f>
        <v/>
      </c>
      <c r="C535" s="11" t="str">
        <f>IF(ISBLANK(data!W563),"",data!W563)</f>
        <v/>
      </c>
      <c r="D535" s="11" t="str">
        <f>IF(ISBLANK(data!X563),"",data!X563)</f>
        <v/>
      </c>
      <c r="E535" s="11" t="str">
        <f>IF(ISBLANK(data!Y563),"",data!Y563)</f>
        <v/>
      </c>
    </row>
    <row r="536" spans="1:5" x14ac:dyDescent="0.3">
      <c r="A536" s="13">
        <f>data!S564</f>
        <v>0</v>
      </c>
      <c r="B536" s="11" t="str">
        <f>IF(ISBLANK(data!V564),"",data!V564)</f>
        <v/>
      </c>
      <c r="C536" s="11" t="str">
        <f>IF(ISBLANK(data!W564),"",data!W564)</f>
        <v/>
      </c>
      <c r="D536" s="11" t="str">
        <f>IF(ISBLANK(data!X564),"",data!X564)</f>
        <v/>
      </c>
      <c r="E536" s="11" t="str">
        <f>IF(ISBLANK(data!Y564),"",data!Y564)</f>
        <v/>
      </c>
    </row>
    <row r="537" spans="1:5" x14ac:dyDescent="0.3">
      <c r="A537" s="13">
        <f>data!S565</f>
        <v>0</v>
      </c>
      <c r="B537" s="11" t="str">
        <f>IF(ISBLANK(data!V565),"",data!V565)</f>
        <v/>
      </c>
      <c r="C537" s="11" t="str">
        <f>IF(ISBLANK(data!W565),"",data!W565)</f>
        <v/>
      </c>
      <c r="D537" s="11" t="str">
        <f>IF(ISBLANK(data!X565),"",data!X565)</f>
        <v/>
      </c>
      <c r="E537" s="11" t="str">
        <f>IF(ISBLANK(data!Y565),"",data!Y565)</f>
        <v/>
      </c>
    </row>
    <row r="538" spans="1:5" x14ac:dyDescent="0.3">
      <c r="A538" s="13">
        <f>data!S566</f>
        <v>0</v>
      </c>
      <c r="B538" s="11" t="str">
        <f>IF(ISBLANK(data!V566),"",data!V566)</f>
        <v/>
      </c>
      <c r="C538" s="11" t="str">
        <f>IF(ISBLANK(data!W566),"",data!W566)</f>
        <v/>
      </c>
      <c r="D538" s="11" t="str">
        <f>IF(ISBLANK(data!X566),"",data!X566)</f>
        <v/>
      </c>
      <c r="E538" s="11" t="str">
        <f>IF(ISBLANK(data!Y566),"",data!Y566)</f>
        <v/>
      </c>
    </row>
    <row r="539" spans="1:5" x14ac:dyDescent="0.3">
      <c r="A539" s="13">
        <f>data!S567</f>
        <v>0</v>
      </c>
      <c r="B539" s="11" t="str">
        <f>IF(ISBLANK(data!V567),"",data!V567)</f>
        <v/>
      </c>
      <c r="C539" s="11" t="str">
        <f>IF(ISBLANK(data!W567),"",data!W567)</f>
        <v/>
      </c>
      <c r="D539" s="11" t="str">
        <f>IF(ISBLANK(data!X567),"",data!X567)</f>
        <v/>
      </c>
      <c r="E539" s="11" t="str">
        <f>IF(ISBLANK(data!Y567),"",data!Y567)</f>
        <v/>
      </c>
    </row>
    <row r="540" spans="1:5" x14ac:dyDescent="0.3">
      <c r="A540" s="13">
        <f>data!S568</f>
        <v>0</v>
      </c>
      <c r="B540" s="11" t="str">
        <f>IF(ISBLANK(data!V568),"",data!V568)</f>
        <v/>
      </c>
      <c r="C540" s="11" t="str">
        <f>IF(ISBLANK(data!W568),"",data!W568)</f>
        <v/>
      </c>
      <c r="D540" s="11" t="str">
        <f>IF(ISBLANK(data!X568),"",data!X568)</f>
        <v/>
      </c>
      <c r="E540" s="11" t="str">
        <f>IF(ISBLANK(data!Y568),"",data!Y568)</f>
        <v/>
      </c>
    </row>
    <row r="541" spans="1:5" x14ac:dyDescent="0.3">
      <c r="A541" s="13">
        <f>data!S569</f>
        <v>0</v>
      </c>
      <c r="B541" s="11" t="str">
        <f>IF(ISBLANK(data!V569),"",data!V569)</f>
        <v/>
      </c>
      <c r="C541" s="11" t="str">
        <f>IF(ISBLANK(data!W569),"",data!W569)</f>
        <v/>
      </c>
      <c r="D541" s="11" t="str">
        <f>IF(ISBLANK(data!X569),"",data!X569)</f>
        <v/>
      </c>
      <c r="E541" s="11" t="str">
        <f>IF(ISBLANK(data!Y569),"",data!Y569)</f>
        <v/>
      </c>
    </row>
    <row r="542" spans="1:5" x14ac:dyDescent="0.3">
      <c r="A542" s="13">
        <f>data!S570</f>
        <v>0</v>
      </c>
      <c r="B542" s="11" t="str">
        <f>IF(ISBLANK(data!V570),"",data!V570)</f>
        <v/>
      </c>
      <c r="C542" s="11" t="str">
        <f>IF(ISBLANK(data!W570),"",data!W570)</f>
        <v/>
      </c>
      <c r="D542" s="11" t="str">
        <f>IF(ISBLANK(data!X570),"",data!X570)</f>
        <v/>
      </c>
      <c r="E542" s="11" t="str">
        <f>IF(ISBLANK(data!Y570),"",data!Y570)</f>
        <v/>
      </c>
    </row>
    <row r="543" spans="1:5" x14ac:dyDescent="0.3">
      <c r="A543" s="13">
        <f>data!S571</f>
        <v>0</v>
      </c>
      <c r="B543" s="11" t="str">
        <f>IF(ISBLANK(data!V571),"",data!V571)</f>
        <v/>
      </c>
      <c r="C543" s="11" t="str">
        <f>IF(ISBLANK(data!W571),"",data!W571)</f>
        <v/>
      </c>
      <c r="D543" s="11" t="str">
        <f>IF(ISBLANK(data!X571),"",data!X571)</f>
        <v/>
      </c>
      <c r="E543" s="11" t="str">
        <f>IF(ISBLANK(data!Y571),"",data!Y571)</f>
        <v/>
      </c>
    </row>
    <row r="544" spans="1:5" x14ac:dyDescent="0.3">
      <c r="A544" s="13">
        <f>data!S572</f>
        <v>0</v>
      </c>
      <c r="B544" s="11" t="str">
        <f>IF(ISBLANK(data!V572),"",data!V572)</f>
        <v/>
      </c>
      <c r="C544" s="11" t="str">
        <f>IF(ISBLANK(data!W572),"",data!W572)</f>
        <v/>
      </c>
      <c r="D544" s="11" t="str">
        <f>IF(ISBLANK(data!X572),"",data!X572)</f>
        <v/>
      </c>
      <c r="E544" s="11" t="str">
        <f>IF(ISBLANK(data!Y572),"",data!Y572)</f>
        <v/>
      </c>
    </row>
    <row r="545" spans="1:5" x14ac:dyDescent="0.3">
      <c r="A545" s="13">
        <f>data!S573</f>
        <v>0</v>
      </c>
      <c r="B545" s="11" t="str">
        <f>IF(ISBLANK(data!V573),"",data!V573)</f>
        <v/>
      </c>
      <c r="C545" s="11" t="str">
        <f>IF(ISBLANK(data!W573),"",data!W573)</f>
        <v/>
      </c>
      <c r="D545" s="11" t="str">
        <f>IF(ISBLANK(data!X573),"",data!X573)</f>
        <v/>
      </c>
      <c r="E545" s="11" t="str">
        <f>IF(ISBLANK(data!Y573),"",data!Y573)</f>
        <v/>
      </c>
    </row>
    <row r="546" spans="1:5" x14ac:dyDescent="0.3">
      <c r="A546" s="13">
        <f>data!S574</f>
        <v>0</v>
      </c>
      <c r="B546" s="11" t="str">
        <f>IF(ISBLANK(data!V574),"",data!V574)</f>
        <v/>
      </c>
      <c r="C546" s="11" t="str">
        <f>IF(ISBLANK(data!W574),"",data!W574)</f>
        <v/>
      </c>
      <c r="D546" s="11" t="str">
        <f>IF(ISBLANK(data!X574),"",data!X574)</f>
        <v/>
      </c>
      <c r="E546" s="11" t="str">
        <f>IF(ISBLANK(data!Y574),"",data!Y574)</f>
        <v/>
      </c>
    </row>
    <row r="547" spans="1:5" x14ac:dyDescent="0.3">
      <c r="A547" s="13">
        <f>data!S575</f>
        <v>0</v>
      </c>
      <c r="B547" s="11" t="str">
        <f>IF(ISBLANK(data!V575),"",data!V575)</f>
        <v/>
      </c>
      <c r="C547" s="11" t="str">
        <f>IF(ISBLANK(data!W575),"",data!W575)</f>
        <v/>
      </c>
      <c r="D547" s="11" t="str">
        <f>IF(ISBLANK(data!X575),"",data!X575)</f>
        <v/>
      </c>
      <c r="E547" s="11" t="str">
        <f>IF(ISBLANK(data!Y575),"",data!Y575)</f>
        <v/>
      </c>
    </row>
    <row r="548" spans="1:5" x14ac:dyDescent="0.3">
      <c r="A548" s="13">
        <f>data!S576</f>
        <v>0</v>
      </c>
      <c r="B548" s="11" t="str">
        <f>IF(ISBLANK(data!V576),"",data!V576)</f>
        <v/>
      </c>
      <c r="C548" s="11" t="str">
        <f>IF(ISBLANK(data!W576),"",data!W576)</f>
        <v/>
      </c>
      <c r="D548" s="11" t="str">
        <f>IF(ISBLANK(data!X576),"",data!X576)</f>
        <v/>
      </c>
      <c r="E548" s="11" t="str">
        <f>IF(ISBLANK(data!Y576),"",data!Y576)</f>
        <v/>
      </c>
    </row>
    <row r="549" spans="1:5" x14ac:dyDescent="0.3">
      <c r="A549" s="13">
        <f>data!S577</f>
        <v>0</v>
      </c>
      <c r="B549" s="11" t="str">
        <f>IF(ISBLANK(data!V577),"",data!V577)</f>
        <v/>
      </c>
      <c r="C549" s="11" t="str">
        <f>IF(ISBLANK(data!W577),"",data!W577)</f>
        <v/>
      </c>
      <c r="D549" s="11" t="str">
        <f>IF(ISBLANK(data!X577),"",data!X577)</f>
        <v/>
      </c>
      <c r="E549" s="11" t="str">
        <f>IF(ISBLANK(data!Y577),"",data!Y577)</f>
        <v/>
      </c>
    </row>
    <row r="550" spans="1:5" x14ac:dyDescent="0.3">
      <c r="A550" s="13">
        <f>data!S578</f>
        <v>0</v>
      </c>
      <c r="B550" s="11" t="str">
        <f>IF(ISBLANK(data!V578),"",data!V578)</f>
        <v/>
      </c>
      <c r="C550" s="11" t="str">
        <f>IF(ISBLANK(data!W578),"",data!W578)</f>
        <v/>
      </c>
      <c r="D550" s="11" t="str">
        <f>IF(ISBLANK(data!X578),"",data!X578)</f>
        <v/>
      </c>
      <c r="E550" s="11" t="str">
        <f>IF(ISBLANK(data!Y578),"",data!Y578)</f>
        <v/>
      </c>
    </row>
    <row r="551" spans="1:5" x14ac:dyDescent="0.3">
      <c r="A551" s="13">
        <f>data!S579</f>
        <v>0</v>
      </c>
      <c r="B551" s="11" t="str">
        <f>IF(ISBLANK(data!V579),"",data!V579)</f>
        <v/>
      </c>
      <c r="C551" s="11" t="str">
        <f>IF(ISBLANK(data!W579),"",data!W579)</f>
        <v/>
      </c>
      <c r="D551" s="11" t="str">
        <f>IF(ISBLANK(data!X579),"",data!X579)</f>
        <v/>
      </c>
      <c r="E551" s="11" t="str">
        <f>IF(ISBLANK(data!Y579),"",data!Y579)</f>
        <v/>
      </c>
    </row>
    <row r="552" spans="1:5" x14ac:dyDescent="0.3">
      <c r="A552" s="13">
        <f>data!S580</f>
        <v>0</v>
      </c>
      <c r="B552" s="11" t="str">
        <f>IF(ISBLANK(data!V580),"",data!V580)</f>
        <v/>
      </c>
      <c r="C552" s="11" t="str">
        <f>IF(ISBLANK(data!W580),"",data!W580)</f>
        <v/>
      </c>
      <c r="D552" s="11" t="str">
        <f>IF(ISBLANK(data!X580),"",data!X580)</f>
        <v/>
      </c>
      <c r="E552" s="11" t="str">
        <f>IF(ISBLANK(data!Y580),"",data!Y580)</f>
        <v/>
      </c>
    </row>
    <row r="553" spans="1:5" x14ac:dyDescent="0.3">
      <c r="A553" s="13">
        <f>data!S581</f>
        <v>0</v>
      </c>
      <c r="B553" s="11" t="str">
        <f>IF(ISBLANK(data!V581),"",data!V581)</f>
        <v/>
      </c>
      <c r="C553" s="11" t="str">
        <f>IF(ISBLANK(data!W581),"",data!W581)</f>
        <v/>
      </c>
      <c r="D553" s="11" t="str">
        <f>IF(ISBLANK(data!X581),"",data!X581)</f>
        <v/>
      </c>
      <c r="E553" s="11" t="str">
        <f>IF(ISBLANK(data!Y581),"",data!Y581)</f>
        <v/>
      </c>
    </row>
    <row r="554" spans="1:5" x14ac:dyDescent="0.3">
      <c r="A554" s="13">
        <f>data!S582</f>
        <v>0</v>
      </c>
      <c r="B554" s="11" t="str">
        <f>IF(ISBLANK(data!V582),"",data!V582)</f>
        <v/>
      </c>
      <c r="C554" s="11" t="str">
        <f>IF(ISBLANK(data!W582),"",data!W582)</f>
        <v/>
      </c>
      <c r="D554" s="11" t="str">
        <f>IF(ISBLANK(data!X582),"",data!X582)</f>
        <v/>
      </c>
      <c r="E554" s="11" t="str">
        <f>IF(ISBLANK(data!Y582),"",data!Y582)</f>
        <v/>
      </c>
    </row>
    <row r="555" spans="1:5" x14ac:dyDescent="0.3">
      <c r="A555" s="13">
        <f>data!S583</f>
        <v>0</v>
      </c>
      <c r="B555" s="11" t="str">
        <f>IF(ISBLANK(data!V583),"",data!V583)</f>
        <v/>
      </c>
      <c r="C555" s="11" t="str">
        <f>IF(ISBLANK(data!W583),"",data!W583)</f>
        <v/>
      </c>
      <c r="D555" s="11" t="str">
        <f>IF(ISBLANK(data!X583),"",data!X583)</f>
        <v/>
      </c>
      <c r="E555" s="11" t="str">
        <f>IF(ISBLANK(data!Y583),"",data!Y583)</f>
        <v/>
      </c>
    </row>
    <row r="556" spans="1:5" x14ac:dyDescent="0.3">
      <c r="A556" s="13">
        <f>data!S584</f>
        <v>0</v>
      </c>
      <c r="B556" s="11" t="str">
        <f>IF(ISBLANK(data!V584),"",data!V584)</f>
        <v/>
      </c>
      <c r="C556" s="11" t="str">
        <f>IF(ISBLANK(data!W584),"",data!W584)</f>
        <v/>
      </c>
      <c r="D556" s="11" t="str">
        <f>IF(ISBLANK(data!X584),"",data!X584)</f>
        <v/>
      </c>
      <c r="E556" s="11" t="str">
        <f>IF(ISBLANK(data!Y584),"",data!Y584)</f>
        <v/>
      </c>
    </row>
    <row r="557" spans="1:5" x14ac:dyDescent="0.3">
      <c r="A557" s="13">
        <f>data!S585</f>
        <v>0</v>
      </c>
      <c r="B557" s="11" t="str">
        <f>IF(ISBLANK(data!V585),"",data!V585)</f>
        <v/>
      </c>
      <c r="C557" s="11" t="str">
        <f>IF(ISBLANK(data!W585),"",data!W585)</f>
        <v/>
      </c>
      <c r="D557" s="11" t="str">
        <f>IF(ISBLANK(data!X585),"",data!X585)</f>
        <v/>
      </c>
      <c r="E557" s="11" t="str">
        <f>IF(ISBLANK(data!Y585),"",data!Y585)</f>
        <v/>
      </c>
    </row>
    <row r="558" spans="1:5" x14ac:dyDescent="0.3">
      <c r="A558" s="13">
        <f>data!S586</f>
        <v>0</v>
      </c>
      <c r="B558" s="11" t="str">
        <f>IF(ISBLANK(data!V586),"",data!V586)</f>
        <v/>
      </c>
      <c r="C558" s="11" t="str">
        <f>IF(ISBLANK(data!W586),"",data!W586)</f>
        <v/>
      </c>
      <c r="D558" s="11" t="str">
        <f>IF(ISBLANK(data!X586),"",data!X586)</f>
        <v/>
      </c>
      <c r="E558" s="11" t="str">
        <f>IF(ISBLANK(data!Y586),"",data!Y586)</f>
        <v/>
      </c>
    </row>
    <row r="559" spans="1:5" x14ac:dyDescent="0.3">
      <c r="A559" s="13">
        <f>data!S587</f>
        <v>0</v>
      </c>
      <c r="B559" s="11" t="str">
        <f>IF(ISBLANK(data!V587),"",data!V587)</f>
        <v/>
      </c>
      <c r="C559" s="11" t="str">
        <f>IF(ISBLANK(data!W587),"",data!W587)</f>
        <v/>
      </c>
      <c r="D559" s="11" t="str">
        <f>IF(ISBLANK(data!X587),"",data!X587)</f>
        <v/>
      </c>
      <c r="E559" s="11" t="str">
        <f>IF(ISBLANK(data!Y587),"",data!Y587)</f>
        <v/>
      </c>
    </row>
    <row r="560" spans="1:5" x14ac:dyDescent="0.3">
      <c r="A560" s="13">
        <f>data!S588</f>
        <v>0</v>
      </c>
      <c r="B560" s="11" t="str">
        <f>IF(ISBLANK(data!V588),"",data!V588)</f>
        <v/>
      </c>
      <c r="C560" s="11" t="str">
        <f>IF(ISBLANK(data!W588),"",data!W588)</f>
        <v/>
      </c>
      <c r="D560" s="11" t="str">
        <f>IF(ISBLANK(data!X588),"",data!X588)</f>
        <v/>
      </c>
      <c r="E560" s="11" t="str">
        <f>IF(ISBLANK(data!Y588),"",data!Y588)</f>
        <v/>
      </c>
    </row>
    <row r="561" spans="1:5" x14ac:dyDescent="0.3">
      <c r="A561" s="13">
        <f>data!S589</f>
        <v>0</v>
      </c>
      <c r="B561" s="11" t="str">
        <f>IF(ISBLANK(data!V589),"",data!V589)</f>
        <v/>
      </c>
      <c r="C561" s="11" t="str">
        <f>IF(ISBLANK(data!W589),"",data!W589)</f>
        <v/>
      </c>
      <c r="D561" s="11" t="str">
        <f>IF(ISBLANK(data!X589),"",data!X589)</f>
        <v/>
      </c>
      <c r="E561" s="11" t="str">
        <f>IF(ISBLANK(data!Y589),"",data!Y589)</f>
        <v/>
      </c>
    </row>
    <row r="562" spans="1:5" x14ac:dyDescent="0.3">
      <c r="A562" s="13">
        <f>data!S590</f>
        <v>0</v>
      </c>
      <c r="B562" s="11" t="str">
        <f>IF(ISBLANK(data!V590),"",data!V590)</f>
        <v/>
      </c>
      <c r="C562" s="11" t="str">
        <f>IF(ISBLANK(data!W590),"",data!W590)</f>
        <v/>
      </c>
      <c r="D562" s="11" t="str">
        <f>IF(ISBLANK(data!X590),"",data!X590)</f>
        <v/>
      </c>
      <c r="E562" s="11" t="str">
        <f>IF(ISBLANK(data!Y590),"",data!Y590)</f>
        <v/>
      </c>
    </row>
    <row r="563" spans="1:5" x14ac:dyDescent="0.3">
      <c r="A563" s="13">
        <f>data!S591</f>
        <v>0</v>
      </c>
      <c r="B563" s="11" t="str">
        <f>IF(ISBLANK(data!V591),"",data!V591)</f>
        <v/>
      </c>
      <c r="C563" s="11" t="str">
        <f>IF(ISBLANK(data!W591),"",data!W591)</f>
        <v/>
      </c>
      <c r="D563" s="11" t="str">
        <f>IF(ISBLANK(data!X591),"",data!X591)</f>
        <v/>
      </c>
      <c r="E563" s="11" t="str">
        <f>IF(ISBLANK(data!Y591),"",data!Y591)</f>
        <v/>
      </c>
    </row>
    <row r="564" spans="1:5" x14ac:dyDescent="0.3">
      <c r="A564" s="13">
        <f>data!S592</f>
        <v>0</v>
      </c>
      <c r="B564" s="11" t="str">
        <f>IF(ISBLANK(data!V592),"",data!V592)</f>
        <v/>
      </c>
      <c r="C564" s="11" t="str">
        <f>IF(ISBLANK(data!W592),"",data!W592)</f>
        <v/>
      </c>
      <c r="D564" s="11" t="str">
        <f>IF(ISBLANK(data!X592),"",data!X592)</f>
        <v/>
      </c>
      <c r="E564" s="11" t="str">
        <f>IF(ISBLANK(data!Y592),"",data!Y592)</f>
        <v/>
      </c>
    </row>
    <row r="565" spans="1:5" x14ac:dyDescent="0.3">
      <c r="A565" s="13">
        <f>data!S593</f>
        <v>0</v>
      </c>
      <c r="B565" s="11" t="str">
        <f>IF(ISBLANK(data!V593),"",data!V593)</f>
        <v/>
      </c>
      <c r="C565" s="11" t="str">
        <f>IF(ISBLANK(data!W593),"",data!W593)</f>
        <v/>
      </c>
      <c r="D565" s="11" t="str">
        <f>IF(ISBLANK(data!X593),"",data!X593)</f>
        <v/>
      </c>
      <c r="E565" s="11" t="str">
        <f>IF(ISBLANK(data!Y593),"",data!Y593)</f>
        <v/>
      </c>
    </row>
    <row r="566" spans="1:5" x14ac:dyDescent="0.3">
      <c r="A566" s="13">
        <f>data!S594</f>
        <v>0</v>
      </c>
      <c r="B566" s="11" t="str">
        <f>IF(ISBLANK(data!V594),"",data!V594)</f>
        <v/>
      </c>
      <c r="C566" s="11" t="str">
        <f>IF(ISBLANK(data!W594),"",data!W594)</f>
        <v/>
      </c>
      <c r="D566" s="11" t="str">
        <f>IF(ISBLANK(data!X594),"",data!X594)</f>
        <v/>
      </c>
      <c r="E566" s="11" t="str">
        <f>IF(ISBLANK(data!Y594),"",data!Y594)</f>
        <v/>
      </c>
    </row>
    <row r="567" spans="1:5" x14ac:dyDescent="0.3">
      <c r="A567" s="13">
        <f>data!S595</f>
        <v>0</v>
      </c>
      <c r="B567" s="11" t="str">
        <f>IF(ISBLANK(data!V595),"",data!V595)</f>
        <v/>
      </c>
      <c r="C567" s="11" t="str">
        <f>IF(ISBLANK(data!W595),"",data!W595)</f>
        <v/>
      </c>
      <c r="D567" s="11" t="str">
        <f>IF(ISBLANK(data!X595),"",data!X595)</f>
        <v/>
      </c>
      <c r="E567" s="11" t="str">
        <f>IF(ISBLANK(data!Y595),"",data!Y595)</f>
        <v/>
      </c>
    </row>
    <row r="568" spans="1:5" x14ac:dyDescent="0.3">
      <c r="A568" s="13">
        <f>data!S596</f>
        <v>0</v>
      </c>
      <c r="B568" s="11" t="str">
        <f>IF(ISBLANK(data!V596),"",data!V596)</f>
        <v/>
      </c>
      <c r="C568" s="11" t="str">
        <f>IF(ISBLANK(data!W596),"",data!W596)</f>
        <v/>
      </c>
      <c r="D568" s="11" t="str">
        <f>IF(ISBLANK(data!X596),"",data!X596)</f>
        <v/>
      </c>
      <c r="E568" s="11" t="str">
        <f>IF(ISBLANK(data!Y596),"",data!Y596)</f>
        <v/>
      </c>
    </row>
    <row r="569" spans="1:5" x14ac:dyDescent="0.3">
      <c r="A569" s="13">
        <f>data!S597</f>
        <v>0</v>
      </c>
      <c r="B569" s="11" t="str">
        <f>IF(ISBLANK(data!V597),"",data!V597)</f>
        <v/>
      </c>
      <c r="C569" s="11" t="str">
        <f>IF(ISBLANK(data!W597),"",data!W597)</f>
        <v/>
      </c>
      <c r="D569" s="11" t="str">
        <f>IF(ISBLANK(data!X597),"",data!X597)</f>
        <v/>
      </c>
      <c r="E569" s="11" t="str">
        <f>IF(ISBLANK(data!Y597),"",data!Y597)</f>
        <v/>
      </c>
    </row>
    <row r="570" spans="1:5" x14ac:dyDescent="0.3">
      <c r="A570" s="13">
        <f>data!S598</f>
        <v>0</v>
      </c>
      <c r="B570" s="11" t="str">
        <f>IF(ISBLANK(data!V598),"",data!V598)</f>
        <v/>
      </c>
      <c r="C570" s="11" t="str">
        <f>IF(ISBLANK(data!W598),"",data!W598)</f>
        <v/>
      </c>
      <c r="D570" s="11" t="str">
        <f>IF(ISBLANK(data!X598),"",data!X598)</f>
        <v/>
      </c>
      <c r="E570" s="11" t="str">
        <f>IF(ISBLANK(data!Y598),"",data!Y598)</f>
        <v/>
      </c>
    </row>
    <row r="571" spans="1:5" x14ac:dyDescent="0.3">
      <c r="A571" s="13">
        <f>data!S599</f>
        <v>0</v>
      </c>
      <c r="B571" s="11" t="str">
        <f>IF(ISBLANK(data!V599),"",data!V599)</f>
        <v/>
      </c>
      <c r="C571" s="11" t="str">
        <f>IF(ISBLANK(data!W599),"",data!W599)</f>
        <v/>
      </c>
      <c r="D571" s="11" t="str">
        <f>IF(ISBLANK(data!X599),"",data!X599)</f>
        <v/>
      </c>
      <c r="E571" s="11" t="str">
        <f>IF(ISBLANK(data!Y599),"",data!Y599)</f>
        <v/>
      </c>
    </row>
    <row r="572" spans="1:5" x14ac:dyDescent="0.3">
      <c r="A572" s="13">
        <f>data!S600</f>
        <v>0</v>
      </c>
      <c r="B572" s="11" t="str">
        <f>IF(ISBLANK(data!V600),"",data!V600)</f>
        <v/>
      </c>
      <c r="C572" s="11" t="str">
        <f>IF(ISBLANK(data!W600),"",data!W600)</f>
        <v/>
      </c>
      <c r="D572" s="11" t="str">
        <f>IF(ISBLANK(data!X600),"",data!X600)</f>
        <v/>
      </c>
      <c r="E572" s="11" t="str">
        <f>IF(ISBLANK(data!Y600),"",data!Y600)</f>
        <v/>
      </c>
    </row>
    <row r="573" spans="1:5" x14ac:dyDescent="0.3">
      <c r="A573" s="13">
        <f>data!S601</f>
        <v>0</v>
      </c>
      <c r="B573" s="11" t="str">
        <f>IF(ISBLANK(data!V601),"",data!V601)</f>
        <v/>
      </c>
      <c r="C573" s="11" t="str">
        <f>IF(ISBLANK(data!W601),"",data!W601)</f>
        <v/>
      </c>
      <c r="D573" s="11" t="str">
        <f>IF(ISBLANK(data!X601),"",data!X601)</f>
        <v/>
      </c>
      <c r="E573" s="11" t="str">
        <f>IF(ISBLANK(data!Y601),"",data!Y601)</f>
        <v/>
      </c>
    </row>
    <row r="574" spans="1:5" x14ac:dyDescent="0.3">
      <c r="A574" s="13">
        <f>data!S602</f>
        <v>0</v>
      </c>
      <c r="B574" s="11" t="str">
        <f>IF(ISBLANK(data!V602),"",data!V602)</f>
        <v/>
      </c>
      <c r="C574" s="11" t="str">
        <f>IF(ISBLANK(data!W602),"",data!W602)</f>
        <v/>
      </c>
      <c r="D574" s="11" t="str">
        <f>IF(ISBLANK(data!X602),"",data!X602)</f>
        <v/>
      </c>
      <c r="E574" s="11" t="str">
        <f>IF(ISBLANK(data!Y602),"",data!Y602)</f>
        <v/>
      </c>
    </row>
    <row r="575" spans="1:5" x14ac:dyDescent="0.3">
      <c r="A575" s="13">
        <f>data!S603</f>
        <v>0</v>
      </c>
      <c r="B575" s="11" t="str">
        <f>IF(ISBLANK(data!V603),"",data!V603)</f>
        <v/>
      </c>
      <c r="C575" s="11" t="str">
        <f>IF(ISBLANK(data!W603),"",data!W603)</f>
        <v/>
      </c>
      <c r="D575" s="11" t="str">
        <f>IF(ISBLANK(data!X603),"",data!X603)</f>
        <v/>
      </c>
      <c r="E575" s="11" t="str">
        <f>IF(ISBLANK(data!Y603),"",data!Y603)</f>
        <v/>
      </c>
    </row>
    <row r="576" spans="1:5" x14ac:dyDescent="0.3">
      <c r="A576" s="13">
        <f>data!S604</f>
        <v>0</v>
      </c>
      <c r="B576" s="11" t="str">
        <f>IF(ISBLANK(data!V604),"",data!V604)</f>
        <v/>
      </c>
      <c r="C576" s="11" t="str">
        <f>IF(ISBLANK(data!W604),"",data!W604)</f>
        <v/>
      </c>
      <c r="D576" s="11" t="str">
        <f>IF(ISBLANK(data!X604),"",data!X604)</f>
        <v/>
      </c>
      <c r="E576" s="11" t="str">
        <f>IF(ISBLANK(data!Y604),"",data!Y604)</f>
        <v/>
      </c>
    </row>
    <row r="577" spans="1:5" x14ac:dyDescent="0.3">
      <c r="A577" s="13">
        <f>data!S605</f>
        <v>0</v>
      </c>
      <c r="B577" s="11" t="str">
        <f>IF(ISBLANK(data!V605),"",data!V605)</f>
        <v/>
      </c>
      <c r="C577" s="11" t="str">
        <f>IF(ISBLANK(data!W605),"",data!W605)</f>
        <v/>
      </c>
      <c r="D577" s="11" t="str">
        <f>IF(ISBLANK(data!X605),"",data!X605)</f>
        <v/>
      </c>
      <c r="E577" s="11" t="str">
        <f>IF(ISBLANK(data!Y605),"",data!Y605)</f>
        <v/>
      </c>
    </row>
    <row r="578" spans="1:5" x14ac:dyDescent="0.3">
      <c r="A578" s="13">
        <f>data!S606</f>
        <v>0</v>
      </c>
      <c r="B578" s="11" t="str">
        <f>IF(ISBLANK(data!V606),"",data!V606)</f>
        <v/>
      </c>
      <c r="C578" s="11" t="str">
        <f>IF(ISBLANK(data!W606),"",data!W606)</f>
        <v/>
      </c>
      <c r="D578" s="11" t="str">
        <f>IF(ISBLANK(data!X606),"",data!X606)</f>
        <v/>
      </c>
      <c r="E578" s="11" t="str">
        <f>IF(ISBLANK(data!Y606),"",data!Y606)</f>
        <v/>
      </c>
    </row>
    <row r="579" spans="1:5" x14ac:dyDescent="0.3">
      <c r="A579" s="13">
        <f>data!S607</f>
        <v>0</v>
      </c>
      <c r="B579" s="11" t="str">
        <f>IF(ISBLANK(data!V607),"",data!V607)</f>
        <v/>
      </c>
      <c r="C579" s="11" t="str">
        <f>IF(ISBLANK(data!W607),"",data!W607)</f>
        <v/>
      </c>
      <c r="D579" s="11" t="str">
        <f>IF(ISBLANK(data!X607),"",data!X607)</f>
        <v/>
      </c>
      <c r="E579" s="11" t="str">
        <f>IF(ISBLANK(data!Y607),"",data!Y607)</f>
        <v/>
      </c>
    </row>
    <row r="580" spans="1:5" x14ac:dyDescent="0.3">
      <c r="A580" s="13">
        <f>data!S608</f>
        <v>0</v>
      </c>
      <c r="B580" s="11" t="str">
        <f>IF(ISBLANK(data!V608),"",data!V608)</f>
        <v/>
      </c>
      <c r="C580" s="11" t="str">
        <f>IF(ISBLANK(data!W608),"",data!W608)</f>
        <v/>
      </c>
      <c r="D580" s="11" t="str">
        <f>IF(ISBLANK(data!X608),"",data!X608)</f>
        <v/>
      </c>
      <c r="E580" s="11" t="str">
        <f>IF(ISBLANK(data!Y608),"",data!Y608)</f>
        <v/>
      </c>
    </row>
    <row r="581" spans="1:5" x14ac:dyDescent="0.3">
      <c r="A581" s="13">
        <f>data!S609</f>
        <v>0</v>
      </c>
      <c r="B581" s="11" t="str">
        <f>IF(ISBLANK(data!V609),"",data!V609)</f>
        <v/>
      </c>
      <c r="C581" s="11" t="str">
        <f>IF(ISBLANK(data!W609),"",data!W609)</f>
        <v/>
      </c>
      <c r="D581" s="11" t="str">
        <f>IF(ISBLANK(data!X609),"",data!X609)</f>
        <v/>
      </c>
      <c r="E581" s="11" t="str">
        <f>IF(ISBLANK(data!Y609),"",data!Y609)</f>
        <v/>
      </c>
    </row>
    <row r="582" spans="1:5" x14ac:dyDescent="0.3">
      <c r="A582" s="13">
        <f>data!S610</f>
        <v>0</v>
      </c>
      <c r="B582" s="11" t="str">
        <f>IF(ISBLANK(data!V610),"",data!V610)</f>
        <v/>
      </c>
      <c r="C582" s="11" t="str">
        <f>IF(ISBLANK(data!W610),"",data!W610)</f>
        <v/>
      </c>
      <c r="D582" s="11" t="str">
        <f>IF(ISBLANK(data!X610),"",data!X610)</f>
        <v/>
      </c>
      <c r="E582" s="11" t="str">
        <f>IF(ISBLANK(data!Y610),"",data!Y610)</f>
        <v/>
      </c>
    </row>
    <row r="583" spans="1:5" x14ac:dyDescent="0.3">
      <c r="A583" s="13">
        <f>data!S611</f>
        <v>0</v>
      </c>
      <c r="B583" s="11" t="str">
        <f>IF(ISBLANK(data!V611),"",data!V611)</f>
        <v/>
      </c>
      <c r="C583" s="11" t="str">
        <f>IF(ISBLANK(data!W611),"",data!W611)</f>
        <v/>
      </c>
      <c r="D583" s="11" t="str">
        <f>IF(ISBLANK(data!X611),"",data!X611)</f>
        <v/>
      </c>
      <c r="E583" s="11" t="str">
        <f>IF(ISBLANK(data!Y611),"",data!Y611)</f>
        <v/>
      </c>
    </row>
    <row r="584" spans="1:5" x14ac:dyDescent="0.3">
      <c r="A584" s="13">
        <f>data!S612</f>
        <v>0</v>
      </c>
      <c r="B584" s="11" t="str">
        <f>IF(ISBLANK(data!V612),"",data!V612)</f>
        <v/>
      </c>
      <c r="C584" s="11" t="str">
        <f>IF(ISBLANK(data!W612),"",data!W612)</f>
        <v/>
      </c>
      <c r="D584" s="11" t="str">
        <f>IF(ISBLANK(data!X612),"",data!X612)</f>
        <v/>
      </c>
      <c r="E584" s="11" t="str">
        <f>IF(ISBLANK(data!Y612),"",data!Y612)</f>
        <v/>
      </c>
    </row>
    <row r="585" spans="1:5" x14ac:dyDescent="0.3">
      <c r="A585" s="13">
        <f>data!S613</f>
        <v>0</v>
      </c>
      <c r="B585" s="11" t="str">
        <f>IF(ISBLANK(data!V613),"",data!V613)</f>
        <v/>
      </c>
      <c r="C585" s="11" t="str">
        <f>IF(ISBLANK(data!W613),"",data!W613)</f>
        <v/>
      </c>
      <c r="D585" s="11" t="str">
        <f>IF(ISBLANK(data!X613),"",data!X613)</f>
        <v/>
      </c>
      <c r="E585" s="11" t="str">
        <f>IF(ISBLANK(data!Y613),"",data!Y613)</f>
        <v/>
      </c>
    </row>
    <row r="586" spans="1:5" x14ac:dyDescent="0.3">
      <c r="A586" s="13">
        <f>data!S614</f>
        <v>0</v>
      </c>
      <c r="B586" s="11" t="str">
        <f>IF(ISBLANK(data!V614),"",data!V614)</f>
        <v/>
      </c>
      <c r="C586" s="11" t="str">
        <f>IF(ISBLANK(data!W614),"",data!W614)</f>
        <v/>
      </c>
      <c r="D586" s="11" t="str">
        <f>IF(ISBLANK(data!X614),"",data!X614)</f>
        <v/>
      </c>
      <c r="E586" s="11" t="str">
        <f>IF(ISBLANK(data!Y614),"",data!Y614)</f>
        <v/>
      </c>
    </row>
    <row r="587" spans="1:5" x14ac:dyDescent="0.3">
      <c r="A587" s="13">
        <f>data!S615</f>
        <v>0</v>
      </c>
      <c r="B587" s="11" t="str">
        <f>IF(ISBLANK(data!V615),"",data!V615)</f>
        <v/>
      </c>
      <c r="C587" s="11" t="str">
        <f>IF(ISBLANK(data!W615),"",data!W615)</f>
        <v/>
      </c>
      <c r="D587" s="11" t="str">
        <f>IF(ISBLANK(data!X615),"",data!X615)</f>
        <v/>
      </c>
      <c r="E587" s="11" t="str">
        <f>IF(ISBLANK(data!Y615),"",data!Y615)</f>
        <v/>
      </c>
    </row>
    <row r="588" spans="1:5" x14ac:dyDescent="0.3">
      <c r="A588" s="13">
        <f>data!S616</f>
        <v>0</v>
      </c>
      <c r="B588" s="11" t="str">
        <f>IF(ISBLANK(data!V616),"",data!V616)</f>
        <v/>
      </c>
      <c r="C588" s="11" t="str">
        <f>IF(ISBLANK(data!W616),"",data!W616)</f>
        <v/>
      </c>
      <c r="D588" s="11" t="str">
        <f>IF(ISBLANK(data!X616),"",data!X616)</f>
        <v/>
      </c>
      <c r="E588" s="11" t="str">
        <f>IF(ISBLANK(data!Y616),"",data!Y616)</f>
        <v/>
      </c>
    </row>
    <row r="589" spans="1:5" x14ac:dyDescent="0.3">
      <c r="A589" s="13">
        <f>data!S617</f>
        <v>0</v>
      </c>
      <c r="B589" s="11" t="str">
        <f>IF(ISBLANK(data!V617),"",data!V617)</f>
        <v/>
      </c>
      <c r="C589" s="11" t="str">
        <f>IF(ISBLANK(data!W617),"",data!W617)</f>
        <v/>
      </c>
      <c r="D589" s="11" t="str">
        <f>IF(ISBLANK(data!X617),"",data!X617)</f>
        <v/>
      </c>
      <c r="E589" s="11" t="str">
        <f>IF(ISBLANK(data!Y617),"",data!Y617)</f>
        <v/>
      </c>
    </row>
    <row r="590" spans="1:5" x14ac:dyDescent="0.3">
      <c r="A590" s="13">
        <f>data!S618</f>
        <v>0</v>
      </c>
      <c r="B590" s="11" t="str">
        <f>IF(ISBLANK(data!V618),"",data!V618)</f>
        <v/>
      </c>
      <c r="C590" s="11" t="str">
        <f>IF(ISBLANK(data!W618),"",data!W618)</f>
        <v/>
      </c>
      <c r="D590" s="11" t="str">
        <f>IF(ISBLANK(data!X618),"",data!X618)</f>
        <v/>
      </c>
      <c r="E590" s="11" t="str">
        <f>IF(ISBLANK(data!Y618),"",data!Y618)</f>
        <v/>
      </c>
    </row>
    <row r="591" spans="1:5" x14ac:dyDescent="0.3">
      <c r="A591" s="13">
        <f>data!S619</f>
        <v>0</v>
      </c>
      <c r="B591" s="11" t="str">
        <f>IF(ISBLANK(data!V619),"",data!V619)</f>
        <v/>
      </c>
      <c r="C591" s="11" t="str">
        <f>IF(ISBLANK(data!W619),"",data!W619)</f>
        <v/>
      </c>
      <c r="D591" s="11" t="str">
        <f>IF(ISBLANK(data!X619),"",data!X619)</f>
        <v/>
      </c>
      <c r="E591" s="11" t="str">
        <f>IF(ISBLANK(data!Y619),"",data!Y619)</f>
        <v/>
      </c>
    </row>
    <row r="592" spans="1:5" x14ac:dyDescent="0.3">
      <c r="A592" s="13">
        <f>data!S620</f>
        <v>0</v>
      </c>
      <c r="B592" s="11" t="str">
        <f>IF(ISBLANK(data!V620),"",data!V620)</f>
        <v/>
      </c>
      <c r="C592" s="11" t="str">
        <f>IF(ISBLANK(data!W620),"",data!W620)</f>
        <v/>
      </c>
      <c r="D592" s="11" t="str">
        <f>IF(ISBLANK(data!X620),"",data!X620)</f>
        <v/>
      </c>
      <c r="E592" s="11" t="str">
        <f>IF(ISBLANK(data!Y620),"",data!Y620)</f>
        <v/>
      </c>
    </row>
    <row r="593" spans="1:5" x14ac:dyDescent="0.3">
      <c r="A593" s="13">
        <f>data!S621</f>
        <v>0</v>
      </c>
      <c r="B593" s="11" t="str">
        <f>IF(ISBLANK(data!V621),"",data!V621)</f>
        <v/>
      </c>
      <c r="C593" s="11" t="str">
        <f>IF(ISBLANK(data!W621),"",data!W621)</f>
        <v/>
      </c>
      <c r="D593" s="11" t="str">
        <f>IF(ISBLANK(data!X621),"",data!X621)</f>
        <v/>
      </c>
      <c r="E593" s="11" t="str">
        <f>IF(ISBLANK(data!Y621),"",data!Y621)</f>
        <v/>
      </c>
    </row>
    <row r="594" spans="1:5" x14ac:dyDescent="0.3">
      <c r="A594" s="13">
        <f>data!S622</f>
        <v>0</v>
      </c>
      <c r="B594" s="11" t="str">
        <f>IF(ISBLANK(data!V622),"",data!V622)</f>
        <v/>
      </c>
      <c r="C594" s="11" t="str">
        <f>IF(ISBLANK(data!W622),"",data!W622)</f>
        <v/>
      </c>
      <c r="D594" s="11" t="str">
        <f>IF(ISBLANK(data!X622),"",data!X622)</f>
        <v/>
      </c>
      <c r="E594" s="11" t="str">
        <f>IF(ISBLANK(data!Y622),"",data!Y622)</f>
        <v/>
      </c>
    </row>
    <row r="595" spans="1:5" x14ac:dyDescent="0.3">
      <c r="A595" s="13">
        <f>data!S623</f>
        <v>0</v>
      </c>
      <c r="B595" s="11" t="str">
        <f>IF(ISBLANK(data!V623),"",data!V623)</f>
        <v/>
      </c>
      <c r="C595" s="11" t="str">
        <f>IF(ISBLANK(data!W623),"",data!W623)</f>
        <v/>
      </c>
      <c r="D595" s="11" t="str">
        <f>IF(ISBLANK(data!X623),"",data!X623)</f>
        <v/>
      </c>
      <c r="E595" s="11" t="str">
        <f>IF(ISBLANK(data!Y623),"",data!Y623)</f>
        <v/>
      </c>
    </row>
    <row r="596" spans="1:5" x14ac:dyDescent="0.3">
      <c r="A596" s="13">
        <f>data!S624</f>
        <v>0</v>
      </c>
      <c r="B596" s="11" t="str">
        <f>IF(ISBLANK(data!V624),"",data!V624)</f>
        <v/>
      </c>
      <c r="C596" s="11" t="str">
        <f>IF(ISBLANK(data!W624),"",data!W624)</f>
        <v/>
      </c>
      <c r="D596" s="11" t="str">
        <f>IF(ISBLANK(data!X624),"",data!X624)</f>
        <v/>
      </c>
      <c r="E596" s="11" t="str">
        <f>IF(ISBLANK(data!Y624),"",data!Y624)</f>
        <v/>
      </c>
    </row>
    <row r="597" spans="1:5" x14ac:dyDescent="0.3">
      <c r="A597" s="13">
        <f>data!S625</f>
        <v>0</v>
      </c>
      <c r="B597" s="11" t="str">
        <f>IF(ISBLANK(data!V625),"",data!V625)</f>
        <v/>
      </c>
      <c r="C597" s="11" t="str">
        <f>IF(ISBLANK(data!W625),"",data!W625)</f>
        <v/>
      </c>
      <c r="D597" s="11" t="str">
        <f>IF(ISBLANK(data!X625),"",data!X625)</f>
        <v/>
      </c>
      <c r="E597" s="11" t="str">
        <f>IF(ISBLANK(data!Y625),"",data!Y625)</f>
        <v/>
      </c>
    </row>
    <row r="598" spans="1:5" x14ac:dyDescent="0.3">
      <c r="A598" s="13">
        <f>data!S626</f>
        <v>0</v>
      </c>
      <c r="B598" s="11" t="str">
        <f>IF(ISBLANK(data!V626),"",data!V626)</f>
        <v/>
      </c>
      <c r="C598" s="11" t="str">
        <f>IF(ISBLANK(data!W626),"",data!W626)</f>
        <v/>
      </c>
      <c r="D598" s="11" t="str">
        <f>IF(ISBLANK(data!X626),"",data!X626)</f>
        <v/>
      </c>
      <c r="E598" s="11" t="str">
        <f>IF(ISBLANK(data!Y626),"",data!Y626)</f>
        <v/>
      </c>
    </row>
    <row r="599" spans="1:5" x14ac:dyDescent="0.3">
      <c r="A599" s="13">
        <f>data!S627</f>
        <v>0</v>
      </c>
      <c r="B599" s="11" t="str">
        <f>IF(ISBLANK(data!V627),"",data!V627)</f>
        <v/>
      </c>
      <c r="C599" s="11" t="str">
        <f>IF(ISBLANK(data!W627),"",data!W627)</f>
        <v/>
      </c>
      <c r="D599" s="11" t="str">
        <f>IF(ISBLANK(data!X627),"",data!X627)</f>
        <v/>
      </c>
      <c r="E599" s="11" t="str">
        <f>IF(ISBLANK(data!Y627),"",data!Y627)</f>
        <v/>
      </c>
    </row>
    <row r="600" spans="1:5" x14ac:dyDescent="0.3">
      <c r="A600" s="13">
        <f>data!S628</f>
        <v>0</v>
      </c>
      <c r="B600" s="11" t="str">
        <f>IF(ISBLANK(data!V628),"",data!V628)</f>
        <v/>
      </c>
      <c r="C600" s="11" t="str">
        <f>IF(ISBLANK(data!W628),"",data!W628)</f>
        <v/>
      </c>
      <c r="D600" s="11" t="str">
        <f>IF(ISBLANK(data!X628),"",data!X628)</f>
        <v/>
      </c>
      <c r="E600" s="11" t="str">
        <f>IF(ISBLANK(data!Y628),"",data!Y628)</f>
        <v/>
      </c>
    </row>
    <row r="601" spans="1:5" x14ac:dyDescent="0.3">
      <c r="A601" s="13">
        <f>data!S629</f>
        <v>0</v>
      </c>
      <c r="B601" s="11" t="str">
        <f>IF(ISBLANK(data!V629),"",data!V629)</f>
        <v/>
      </c>
      <c r="C601" s="11" t="str">
        <f>IF(ISBLANK(data!W629),"",data!W629)</f>
        <v/>
      </c>
      <c r="D601" s="11" t="str">
        <f>IF(ISBLANK(data!X629),"",data!X629)</f>
        <v/>
      </c>
      <c r="E601" s="11" t="str">
        <f>IF(ISBLANK(data!Y629),"",data!Y629)</f>
        <v/>
      </c>
    </row>
    <row r="602" spans="1:5" x14ac:dyDescent="0.3">
      <c r="A602" s="13">
        <f>data!S630</f>
        <v>0</v>
      </c>
      <c r="B602" s="11" t="str">
        <f>IF(ISBLANK(data!V630),"",data!V630)</f>
        <v/>
      </c>
      <c r="C602" s="11" t="str">
        <f>IF(ISBLANK(data!W630),"",data!W630)</f>
        <v/>
      </c>
      <c r="D602" s="11" t="str">
        <f>IF(ISBLANK(data!X630),"",data!X630)</f>
        <v/>
      </c>
      <c r="E602" s="11" t="str">
        <f>IF(ISBLANK(data!Y630),"",data!Y630)</f>
        <v/>
      </c>
    </row>
    <row r="603" spans="1:5" x14ac:dyDescent="0.3">
      <c r="A603" s="13">
        <f>data!S631</f>
        <v>0</v>
      </c>
      <c r="B603" s="11" t="str">
        <f>IF(ISBLANK(data!V631),"",data!V631)</f>
        <v/>
      </c>
      <c r="C603" s="11" t="str">
        <f>IF(ISBLANK(data!W631),"",data!W631)</f>
        <v/>
      </c>
      <c r="D603" s="11" t="str">
        <f>IF(ISBLANK(data!X631),"",data!X631)</f>
        <v/>
      </c>
      <c r="E603" s="11" t="str">
        <f>IF(ISBLANK(data!Y631),"",data!Y631)</f>
        <v/>
      </c>
    </row>
    <row r="604" spans="1:5" x14ac:dyDescent="0.3">
      <c r="A604" s="13">
        <f>data!S632</f>
        <v>0</v>
      </c>
      <c r="B604" s="11" t="str">
        <f>IF(ISBLANK(data!V632),"",data!V632)</f>
        <v/>
      </c>
      <c r="C604" s="11" t="str">
        <f>IF(ISBLANK(data!W632),"",data!W632)</f>
        <v/>
      </c>
      <c r="D604" s="11" t="str">
        <f>IF(ISBLANK(data!X632),"",data!X632)</f>
        <v/>
      </c>
      <c r="E604" s="11" t="str">
        <f>IF(ISBLANK(data!Y632),"",data!Y632)</f>
        <v/>
      </c>
    </row>
    <row r="605" spans="1:5" x14ac:dyDescent="0.3">
      <c r="A605" s="13">
        <f>data!S633</f>
        <v>0</v>
      </c>
      <c r="B605" s="11" t="str">
        <f>IF(ISBLANK(data!V633),"",data!V633)</f>
        <v/>
      </c>
      <c r="C605" s="11" t="str">
        <f>IF(ISBLANK(data!W633),"",data!W633)</f>
        <v/>
      </c>
      <c r="D605" s="11" t="str">
        <f>IF(ISBLANK(data!X633),"",data!X633)</f>
        <v/>
      </c>
      <c r="E605" s="11" t="str">
        <f>IF(ISBLANK(data!Y633),"",data!Y633)</f>
        <v/>
      </c>
    </row>
    <row r="606" spans="1:5" x14ac:dyDescent="0.3">
      <c r="A606" s="13">
        <f>data!S634</f>
        <v>0</v>
      </c>
      <c r="B606" s="11" t="str">
        <f>IF(ISBLANK(data!V634),"",data!V634)</f>
        <v/>
      </c>
      <c r="C606" s="11" t="str">
        <f>IF(ISBLANK(data!W634),"",data!W634)</f>
        <v/>
      </c>
      <c r="D606" s="11" t="str">
        <f>IF(ISBLANK(data!X634),"",data!X634)</f>
        <v/>
      </c>
      <c r="E606" s="11" t="str">
        <f>IF(ISBLANK(data!Y634),"",data!Y634)</f>
        <v/>
      </c>
    </row>
    <row r="607" spans="1:5" x14ac:dyDescent="0.3">
      <c r="A607" s="13">
        <f>data!S635</f>
        <v>0</v>
      </c>
      <c r="B607" s="11" t="str">
        <f>IF(ISBLANK(data!V635),"",data!V635)</f>
        <v/>
      </c>
      <c r="C607" s="11" t="str">
        <f>IF(ISBLANK(data!W635),"",data!W635)</f>
        <v/>
      </c>
      <c r="D607" s="11" t="str">
        <f>IF(ISBLANK(data!X635),"",data!X635)</f>
        <v/>
      </c>
      <c r="E607" s="11" t="str">
        <f>IF(ISBLANK(data!Y635),"",data!Y635)</f>
        <v/>
      </c>
    </row>
    <row r="608" spans="1:5" x14ac:dyDescent="0.3">
      <c r="A608" s="13">
        <f>data!S636</f>
        <v>0</v>
      </c>
      <c r="B608" s="11" t="str">
        <f>IF(ISBLANK(data!V636),"",data!V636)</f>
        <v/>
      </c>
      <c r="C608" s="11" t="str">
        <f>IF(ISBLANK(data!W636),"",data!W636)</f>
        <v/>
      </c>
      <c r="D608" s="11" t="str">
        <f>IF(ISBLANK(data!X636),"",data!X636)</f>
        <v/>
      </c>
      <c r="E608" s="11" t="str">
        <f>IF(ISBLANK(data!Y636),"",data!Y636)</f>
        <v/>
      </c>
    </row>
    <row r="609" spans="1:5" x14ac:dyDescent="0.3">
      <c r="A609" s="13">
        <f>data!S637</f>
        <v>0</v>
      </c>
      <c r="B609" s="11" t="str">
        <f>IF(ISBLANK(data!V637),"",data!V637)</f>
        <v/>
      </c>
      <c r="C609" s="11" t="str">
        <f>IF(ISBLANK(data!W637),"",data!W637)</f>
        <v/>
      </c>
      <c r="D609" s="11" t="str">
        <f>IF(ISBLANK(data!X637),"",data!X637)</f>
        <v/>
      </c>
      <c r="E609" s="11" t="str">
        <f>IF(ISBLANK(data!Y637),"",data!Y637)</f>
        <v/>
      </c>
    </row>
    <row r="610" spans="1:5" x14ac:dyDescent="0.3">
      <c r="A610" s="13">
        <f>data!S638</f>
        <v>0</v>
      </c>
      <c r="B610" s="11" t="str">
        <f>IF(ISBLANK(data!V638),"",data!V638)</f>
        <v/>
      </c>
      <c r="C610" s="11" t="str">
        <f>IF(ISBLANK(data!W638),"",data!W638)</f>
        <v/>
      </c>
      <c r="D610" s="11" t="str">
        <f>IF(ISBLANK(data!X638),"",data!X638)</f>
        <v/>
      </c>
      <c r="E610" s="11" t="str">
        <f>IF(ISBLANK(data!Y638),"",data!Y638)</f>
        <v/>
      </c>
    </row>
    <row r="611" spans="1:5" x14ac:dyDescent="0.3">
      <c r="A611" s="13">
        <f>data!S639</f>
        <v>0</v>
      </c>
      <c r="B611" s="11" t="str">
        <f>IF(ISBLANK(data!V639),"",data!V639)</f>
        <v/>
      </c>
      <c r="C611" s="11" t="str">
        <f>IF(ISBLANK(data!W639),"",data!W639)</f>
        <v/>
      </c>
      <c r="D611" s="11" t="str">
        <f>IF(ISBLANK(data!X639),"",data!X639)</f>
        <v/>
      </c>
      <c r="E611" s="11" t="str">
        <f>IF(ISBLANK(data!Y639),"",data!Y639)</f>
        <v/>
      </c>
    </row>
    <row r="612" spans="1:5" x14ac:dyDescent="0.3">
      <c r="A612" s="13">
        <f>data!S640</f>
        <v>0</v>
      </c>
      <c r="B612" s="11" t="str">
        <f>IF(ISBLANK(data!V640),"",data!V640)</f>
        <v/>
      </c>
      <c r="C612" s="11" t="str">
        <f>IF(ISBLANK(data!W640),"",data!W640)</f>
        <v/>
      </c>
      <c r="D612" s="11" t="str">
        <f>IF(ISBLANK(data!X640),"",data!X640)</f>
        <v/>
      </c>
      <c r="E612" s="11" t="str">
        <f>IF(ISBLANK(data!Y640),"",data!Y640)</f>
        <v/>
      </c>
    </row>
    <row r="613" spans="1:5" x14ac:dyDescent="0.3">
      <c r="A613" s="13">
        <f>data!S641</f>
        <v>0</v>
      </c>
      <c r="B613" s="11" t="str">
        <f>IF(ISBLANK(data!V641),"",data!V641)</f>
        <v/>
      </c>
      <c r="C613" s="11" t="str">
        <f>IF(ISBLANK(data!W641),"",data!W641)</f>
        <v/>
      </c>
      <c r="D613" s="11" t="str">
        <f>IF(ISBLANK(data!X641),"",data!X641)</f>
        <v/>
      </c>
      <c r="E613" s="11" t="str">
        <f>IF(ISBLANK(data!Y641),"",data!Y641)</f>
        <v/>
      </c>
    </row>
    <row r="614" spans="1:5" x14ac:dyDescent="0.3">
      <c r="A614" s="13">
        <f>data!S642</f>
        <v>0</v>
      </c>
      <c r="B614" s="11" t="str">
        <f>IF(ISBLANK(data!V642),"",data!V642)</f>
        <v/>
      </c>
      <c r="C614" s="11" t="str">
        <f>IF(ISBLANK(data!W642),"",data!W642)</f>
        <v/>
      </c>
      <c r="D614" s="11" t="str">
        <f>IF(ISBLANK(data!X642),"",data!X642)</f>
        <v/>
      </c>
      <c r="E614" s="11" t="str">
        <f>IF(ISBLANK(data!Y642),"",data!Y642)</f>
        <v/>
      </c>
    </row>
    <row r="615" spans="1:5" x14ac:dyDescent="0.3">
      <c r="A615" s="13">
        <f>data!S643</f>
        <v>0</v>
      </c>
      <c r="B615" s="11" t="str">
        <f>IF(ISBLANK(data!V643),"",data!V643)</f>
        <v/>
      </c>
      <c r="C615" s="11" t="str">
        <f>IF(ISBLANK(data!W643),"",data!W643)</f>
        <v/>
      </c>
      <c r="D615" s="11" t="str">
        <f>IF(ISBLANK(data!X643),"",data!X643)</f>
        <v/>
      </c>
      <c r="E615" s="11" t="str">
        <f>IF(ISBLANK(data!Y643),"",data!Y643)</f>
        <v/>
      </c>
    </row>
    <row r="616" spans="1:5" x14ac:dyDescent="0.3">
      <c r="A616" s="13">
        <f>data!S644</f>
        <v>0</v>
      </c>
      <c r="B616" s="11" t="str">
        <f>IF(ISBLANK(data!V644),"",data!V644)</f>
        <v/>
      </c>
      <c r="C616" s="11" t="str">
        <f>IF(ISBLANK(data!W644),"",data!W644)</f>
        <v/>
      </c>
      <c r="D616" s="11" t="str">
        <f>IF(ISBLANK(data!X644),"",data!X644)</f>
        <v/>
      </c>
      <c r="E616" s="11" t="str">
        <f>IF(ISBLANK(data!Y644),"",data!Y644)</f>
        <v/>
      </c>
    </row>
    <row r="617" spans="1:5" x14ac:dyDescent="0.3">
      <c r="A617" s="13">
        <f>data!S645</f>
        <v>0</v>
      </c>
      <c r="B617" s="11" t="str">
        <f>IF(ISBLANK(data!V645),"",data!V645)</f>
        <v/>
      </c>
      <c r="C617" s="11" t="str">
        <f>IF(ISBLANK(data!W645),"",data!W645)</f>
        <v/>
      </c>
      <c r="D617" s="11" t="str">
        <f>IF(ISBLANK(data!X645),"",data!X645)</f>
        <v/>
      </c>
      <c r="E617" s="11" t="str">
        <f>IF(ISBLANK(data!Y645),"",data!Y645)</f>
        <v/>
      </c>
    </row>
    <row r="618" spans="1:5" x14ac:dyDescent="0.3">
      <c r="A618" s="13">
        <f>data!S646</f>
        <v>0</v>
      </c>
      <c r="B618" s="11" t="str">
        <f>IF(ISBLANK(data!V646),"",data!V646)</f>
        <v/>
      </c>
      <c r="C618" s="11" t="str">
        <f>IF(ISBLANK(data!W646),"",data!W646)</f>
        <v/>
      </c>
      <c r="D618" s="11" t="str">
        <f>IF(ISBLANK(data!X646),"",data!X646)</f>
        <v/>
      </c>
      <c r="E618" s="11" t="str">
        <f>IF(ISBLANK(data!Y646),"",data!Y646)</f>
        <v/>
      </c>
    </row>
    <row r="619" spans="1:5" x14ac:dyDescent="0.3">
      <c r="A619" s="13">
        <f>data!S647</f>
        <v>0</v>
      </c>
      <c r="B619" s="11" t="str">
        <f>IF(ISBLANK(data!V647),"",data!V647)</f>
        <v/>
      </c>
      <c r="C619" s="11" t="str">
        <f>IF(ISBLANK(data!W647),"",data!W647)</f>
        <v/>
      </c>
      <c r="D619" s="11" t="str">
        <f>IF(ISBLANK(data!X647),"",data!X647)</f>
        <v/>
      </c>
      <c r="E619" s="11" t="str">
        <f>IF(ISBLANK(data!Y647),"",data!Y647)</f>
        <v/>
      </c>
    </row>
    <row r="620" spans="1:5" x14ac:dyDescent="0.3">
      <c r="A620" s="13">
        <f>data!S648</f>
        <v>0</v>
      </c>
      <c r="B620" s="11" t="str">
        <f>IF(ISBLANK(data!V648),"",data!V648)</f>
        <v/>
      </c>
      <c r="C620" s="11" t="str">
        <f>IF(ISBLANK(data!W648),"",data!W648)</f>
        <v/>
      </c>
      <c r="D620" s="11" t="str">
        <f>IF(ISBLANK(data!X648),"",data!X648)</f>
        <v/>
      </c>
      <c r="E620" s="11" t="str">
        <f>IF(ISBLANK(data!Y648),"",data!Y648)</f>
        <v/>
      </c>
    </row>
    <row r="621" spans="1:5" x14ac:dyDescent="0.3">
      <c r="A621" s="13">
        <f>data!S649</f>
        <v>0</v>
      </c>
      <c r="B621" s="11" t="str">
        <f>IF(ISBLANK(data!V649),"",data!V649)</f>
        <v/>
      </c>
      <c r="C621" s="11" t="str">
        <f>IF(ISBLANK(data!W649),"",data!W649)</f>
        <v/>
      </c>
      <c r="D621" s="11" t="str">
        <f>IF(ISBLANK(data!X649),"",data!X649)</f>
        <v/>
      </c>
      <c r="E621" s="11" t="str">
        <f>IF(ISBLANK(data!Y649),"",data!Y649)</f>
        <v/>
      </c>
    </row>
    <row r="622" spans="1:5" x14ac:dyDescent="0.3">
      <c r="A622" s="13">
        <f>data!S650</f>
        <v>0</v>
      </c>
      <c r="B622" s="11" t="str">
        <f>IF(ISBLANK(data!V650),"",data!V650)</f>
        <v/>
      </c>
      <c r="C622" s="11" t="str">
        <f>IF(ISBLANK(data!W650),"",data!W650)</f>
        <v/>
      </c>
      <c r="D622" s="11" t="str">
        <f>IF(ISBLANK(data!X650),"",data!X650)</f>
        <v/>
      </c>
      <c r="E622" s="11" t="str">
        <f>IF(ISBLANK(data!Y650),"",data!Y650)</f>
        <v/>
      </c>
    </row>
    <row r="623" spans="1:5" x14ac:dyDescent="0.3">
      <c r="A623" s="13">
        <f>data!S651</f>
        <v>0</v>
      </c>
      <c r="B623" s="11" t="str">
        <f>IF(ISBLANK(data!V651),"",data!V651)</f>
        <v/>
      </c>
      <c r="C623" s="11" t="str">
        <f>IF(ISBLANK(data!W651),"",data!W651)</f>
        <v/>
      </c>
      <c r="D623" s="11" t="str">
        <f>IF(ISBLANK(data!X651),"",data!X651)</f>
        <v/>
      </c>
      <c r="E623" s="11" t="str">
        <f>IF(ISBLANK(data!Y651),"",data!Y651)</f>
        <v/>
      </c>
    </row>
    <row r="624" spans="1:5" x14ac:dyDescent="0.3">
      <c r="A624" s="13">
        <f>data!S652</f>
        <v>0</v>
      </c>
      <c r="B624" s="11" t="str">
        <f>IF(ISBLANK(data!V652),"",data!V652)</f>
        <v/>
      </c>
      <c r="C624" s="11" t="str">
        <f>IF(ISBLANK(data!W652),"",data!W652)</f>
        <v/>
      </c>
      <c r="D624" s="11" t="str">
        <f>IF(ISBLANK(data!X652),"",data!X652)</f>
        <v/>
      </c>
      <c r="E624" s="11" t="str">
        <f>IF(ISBLANK(data!Y652),"",data!Y652)</f>
        <v/>
      </c>
    </row>
    <row r="625" spans="1:5" x14ac:dyDescent="0.3">
      <c r="A625" s="13">
        <f>data!S653</f>
        <v>0</v>
      </c>
      <c r="B625" s="11" t="str">
        <f>IF(ISBLANK(data!V653),"",data!V653)</f>
        <v/>
      </c>
      <c r="C625" s="11" t="str">
        <f>IF(ISBLANK(data!W653),"",data!W653)</f>
        <v/>
      </c>
      <c r="D625" s="11" t="str">
        <f>IF(ISBLANK(data!X653),"",data!X653)</f>
        <v/>
      </c>
      <c r="E625" s="11" t="str">
        <f>IF(ISBLANK(data!Y653),"",data!Y653)</f>
        <v/>
      </c>
    </row>
    <row r="626" spans="1:5" x14ac:dyDescent="0.3">
      <c r="A626" s="13">
        <f>data!S654</f>
        <v>0</v>
      </c>
      <c r="B626" s="11" t="str">
        <f>IF(ISBLANK(data!V654),"",data!V654)</f>
        <v/>
      </c>
      <c r="C626" s="11" t="str">
        <f>IF(ISBLANK(data!W654),"",data!W654)</f>
        <v/>
      </c>
      <c r="D626" s="11" t="str">
        <f>IF(ISBLANK(data!X654),"",data!X654)</f>
        <v/>
      </c>
      <c r="E626" s="11" t="str">
        <f>IF(ISBLANK(data!Y654),"",data!Y654)</f>
        <v/>
      </c>
    </row>
    <row r="627" spans="1:5" x14ac:dyDescent="0.3">
      <c r="A627" s="13">
        <f>data!S655</f>
        <v>0</v>
      </c>
      <c r="B627" s="11" t="str">
        <f>IF(ISBLANK(data!V655),"",data!V655)</f>
        <v/>
      </c>
      <c r="C627" s="11" t="str">
        <f>IF(ISBLANK(data!W655),"",data!W655)</f>
        <v/>
      </c>
      <c r="D627" s="11" t="str">
        <f>IF(ISBLANK(data!X655),"",data!X655)</f>
        <v/>
      </c>
      <c r="E627" s="11" t="str">
        <f>IF(ISBLANK(data!Y655),"",data!Y655)</f>
        <v/>
      </c>
    </row>
    <row r="628" spans="1:5" x14ac:dyDescent="0.3">
      <c r="A628" s="13">
        <f>data!S656</f>
        <v>0</v>
      </c>
      <c r="B628" s="11" t="str">
        <f>IF(ISBLANK(data!V656),"",data!V656)</f>
        <v/>
      </c>
      <c r="C628" s="11" t="str">
        <f>IF(ISBLANK(data!W656),"",data!W656)</f>
        <v/>
      </c>
      <c r="D628" s="11" t="str">
        <f>IF(ISBLANK(data!X656),"",data!X656)</f>
        <v/>
      </c>
      <c r="E628" s="11" t="str">
        <f>IF(ISBLANK(data!Y656),"",data!Y656)</f>
        <v/>
      </c>
    </row>
    <row r="629" spans="1:5" x14ac:dyDescent="0.3">
      <c r="A629" s="13">
        <f>data!S657</f>
        <v>0</v>
      </c>
      <c r="B629" s="11" t="str">
        <f>IF(ISBLANK(data!V657),"",data!V657)</f>
        <v/>
      </c>
      <c r="C629" s="11" t="str">
        <f>IF(ISBLANK(data!W657),"",data!W657)</f>
        <v/>
      </c>
      <c r="D629" s="11" t="str">
        <f>IF(ISBLANK(data!X657),"",data!X657)</f>
        <v/>
      </c>
      <c r="E629" s="11" t="str">
        <f>IF(ISBLANK(data!Y657),"",data!Y657)</f>
        <v/>
      </c>
    </row>
    <row r="630" spans="1:5" x14ac:dyDescent="0.3">
      <c r="A630" s="13">
        <f>data!S658</f>
        <v>0</v>
      </c>
      <c r="B630" s="11" t="str">
        <f>IF(ISBLANK(data!V658),"",data!V658)</f>
        <v/>
      </c>
      <c r="C630" s="11" t="str">
        <f>IF(ISBLANK(data!W658),"",data!W658)</f>
        <v/>
      </c>
      <c r="D630" s="11" t="str">
        <f>IF(ISBLANK(data!X658),"",data!X658)</f>
        <v/>
      </c>
      <c r="E630" s="11" t="str">
        <f>IF(ISBLANK(data!Y658),"",data!Y658)</f>
        <v/>
      </c>
    </row>
    <row r="631" spans="1:5" x14ac:dyDescent="0.3">
      <c r="A631" s="13">
        <f>data!S659</f>
        <v>0</v>
      </c>
      <c r="B631" s="11" t="str">
        <f>IF(ISBLANK(data!V659),"",data!V659)</f>
        <v/>
      </c>
      <c r="C631" s="11" t="str">
        <f>IF(ISBLANK(data!W659),"",data!W659)</f>
        <v/>
      </c>
      <c r="D631" s="11" t="str">
        <f>IF(ISBLANK(data!X659),"",data!X659)</f>
        <v/>
      </c>
      <c r="E631" s="11" t="str">
        <f>IF(ISBLANK(data!Y659),"",data!Y659)</f>
        <v/>
      </c>
    </row>
    <row r="632" spans="1:5" x14ac:dyDescent="0.3">
      <c r="A632" s="13">
        <f>data!S660</f>
        <v>0</v>
      </c>
      <c r="B632" s="11" t="str">
        <f>IF(ISBLANK(data!V660),"",data!V660)</f>
        <v/>
      </c>
      <c r="C632" s="11" t="str">
        <f>IF(ISBLANK(data!W660),"",data!W660)</f>
        <v/>
      </c>
      <c r="D632" s="11" t="str">
        <f>IF(ISBLANK(data!X660),"",data!X660)</f>
        <v/>
      </c>
      <c r="E632" s="11" t="str">
        <f>IF(ISBLANK(data!Y660),"",data!Y660)</f>
        <v/>
      </c>
    </row>
    <row r="633" spans="1:5" x14ac:dyDescent="0.3">
      <c r="A633" s="13">
        <f>data!S661</f>
        <v>0</v>
      </c>
      <c r="B633" s="11" t="str">
        <f>IF(ISBLANK(data!V661),"",data!V661)</f>
        <v/>
      </c>
      <c r="C633" s="11" t="str">
        <f>IF(ISBLANK(data!W661),"",data!W661)</f>
        <v/>
      </c>
      <c r="D633" s="11" t="str">
        <f>IF(ISBLANK(data!X661),"",data!X661)</f>
        <v/>
      </c>
      <c r="E633" s="11" t="str">
        <f>IF(ISBLANK(data!Y661),"",data!Y661)</f>
        <v/>
      </c>
    </row>
    <row r="634" spans="1:5" x14ac:dyDescent="0.3">
      <c r="A634" s="13">
        <f>data!S662</f>
        <v>0</v>
      </c>
      <c r="B634" s="11" t="str">
        <f>IF(ISBLANK(data!V662),"",data!V662)</f>
        <v/>
      </c>
      <c r="C634" s="11" t="str">
        <f>IF(ISBLANK(data!W662),"",data!W662)</f>
        <v/>
      </c>
      <c r="D634" s="11" t="str">
        <f>IF(ISBLANK(data!X662),"",data!X662)</f>
        <v/>
      </c>
      <c r="E634" s="11" t="str">
        <f>IF(ISBLANK(data!Y662),"",data!Y662)</f>
        <v/>
      </c>
    </row>
    <row r="635" spans="1:5" x14ac:dyDescent="0.3">
      <c r="A635" s="13">
        <f>data!S663</f>
        <v>0</v>
      </c>
      <c r="B635" s="11" t="str">
        <f>IF(ISBLANK(data!V663),"",data!V663)</f>
        <v/>
      </c>
      <c r="C635" s="11" t="str">
        <f>IF(ISBLANK(data!W663),"",data!W663)</f>
        <v/>
      </c>
      <c r="D635" s="11" t="str">
        <f>IF(ISBLANK(data!X663),"",data!X663)</f>
        <v/>
      </c>
      <c r="E635" s="11" t="str">
        <f>IF(ISBLANK(data!Y663),"",data!Y663)</f>
        <v/>
      </c>
    </row>
    <row r="636" spans="1:5" x14ac:dyDescent="0.3">
      <c r="A636" s="13">
        <f>data!S664</f>
        <v>0</v>
      </c>
      <c r="B636" s="11" t="str">
        <f>IF(ISBLANK(data!V664),"",data!V664)</f>
        <v/>
      </c>
      <c r="C636" s="11" t="str">
        <f>IF(ISBLANK(data!W664),"",data!W664)</f>
        <v/>
      </c>
      <c r="D636" s="11" t="str">
        <f>IF(ISBLANK(data!X664),"",data!X664)</f>
        <v/>
      </c>
      <c r="E636" s="11" t="str">
        <f>IF(ISBLANK(data!Y664),"",data!Y664)</f>
        <v/>
      </c>
    </row>
    <row r="637" spans="1:5" x14ac:dyDescent="0.3">
      <c r="A637" s="13">
        <f>data!S665</f>
        <v>0</v>
      </c>
      <c r="B637" s="11" t="str">
        <f>IF(ISBLANK(data!V665),"",data!V665)</f>
        <v/>
      </c>
      <c r="C637" s="11" t="str">
        <f>IF(ISBLANK(data!W665),"",data!W665)</f>
        <v/>
      </c>
      <c r="D637" s="11" t="str">
        <f>IF(ISBLANK(data!X665),"",data!X665)</f>
        <v/>
      </c>
      <c r="E637" s="11" t="str">
        <f>IF(ISBLANK(data!Y665),"",data!Y665)</f>
        <v/>
      </c>
    </row>
    <row r="638" spans="1:5" x14ac:dyDescent="0.3">
      <c r="A638" s="13">
        <f>data!S666</f>
        <v>0</v>
      </c>
      <c r="B638" s="11" t="str">
        <f>IF(ISBLANK(data!V666),"",data!V666)</f>
        <v/>
      </c>
      <c r="C638" s="11" t="str">
        <f>IF(ISBLANK(data!W666),"",data!W666)</f>
        <v/>
      </c>
      <c r="D638" s="11" t="str">
        <f>IF(ISBLANK(data!X666),"",data!X666)</f>
        <v/>
      </c>
      <c r="E638" s="11" t="str">
        <f>IF(ISBLANK(data!Y666),"",data!Y666)</f>
        <v/>
      </c>
    </row>
    <row r="639" spans="1:5" x14ac:dyDescent="0.3">
      <c r="A639" s="13">
        <f>data!S667</f>
        <v>0</v>
      </c>
      <c r="B639" s="11" t="str">
        <f>IF(ISBLANK(data!V667),"",data!V667)</f>
        <v/>
      </c>
      <c r="C639" s="11" t="str">
        <f>IF(ISBLANK(data!W667),"",data!W667)</f>
        <v/>
      </c>
      <c r="D639" s="11" t="str">
        <f>IF(ISBLANK(data!X667),"",data!X667)</f>
        <v/>
      </c>
      <c r="E639" s="11" t="str">
        <f>IF(ISBLANK(data!Y667),"",data!Y667)</f>
        <v/>
      </c>
    </row>
    <row r="640" spans="1:5" x14ac:dyDescent="0.3">
      <c r="A640" s="13">
        <f>data!S668</f>
        <v>0</v>
      </c>
      <c r="B640" s="11" t="str">
        <f>IF(ISBLANK(data!V668),"",data!V668)</f>
        <v/>
      </c>
      <c r="C640" s="11" t="str">
        <f>IF(ISBLANK(data!W668),"",data!W668)</f>
        <v/>
      </c>
      <c r="D640" s="11" t="str">
        <f>IF(ISBLANK(data!X668),"",data!X668)</f>
        <v/>
      </c>
      <c r="E640" s="11" t="str">
        <f>IF(ISBLANK(data!Y668),"",data!Y668)</f>
        <v/>
      </c>
    </row>
    <row r="641" spans="1:5" x14ac:dyDescent="0.3">
      <c r="A641" s="13">
        <f>data!S669</f>
        <v>0</v>
      </c>
      <c r="B641" s="11" t="str">
        <f>IF(ISBLANK(data!V669),"",data!V669)</f>
        <v/>
      </c>
      <c r="C641" s="11" t="str">
        <f>IF(ISBLANK(data!W669),"",data!W669)</f>
        <v/>
      </c>
      <c r="D641" s="11" t="str">
        <f>IF(ISBLANK(data!X669),"",data!X669)</f>
        <v/>
      </c>
      <c r="E641" s="11" t="str">
        <f>IF(ISBLANK(data!Y669),"",data!Y669)</f>
        <v/>
      </c>
    </row>
    <row r="642" spans="1:5" x14ac:dyDescent="0.3">
      <c r="A642" s="13">
        <f>data!S670</f>
        <v>0</v>
      </c>
      <c r="B642" s="11" t="str">
        <f>IF(ISBLANK(data!V670),"",data!V670)</f>
        <v/>
      </c>
      <c r="C642" s="11" t="str">
        <f>IF(ISBLANK(data!W670),"",data!W670)</f>
        <v/>
      </c>
      <c r="D642" s="11" t="str">
        <f>IF(ISBLANK(data!X670),"",data!X670)</f>
        <v/>
      </c>
      <c r="E642" s="11" t="str">
        <f>IF(ISBLANK(data!Y670),"",data!Y670)</f>
        <v/>
      </c>
    </row>
    <row r="643" spans="1:5" x14ac:dyDescent="0.3">
      <c r="A643" s="13">
        <f>data!S671</f>
        <v>0</v>
      </c>
      <c r="B643" s="11" t="str">
        <f>IF(ISBLANK(data!V671),"",data!V671)</f>
        <v/>
      </c>
      <c r="C643" s="11" t="str">
        <f>IF(ISBLANK(data!W671),"",data!W671)</f>
        <v/>
      </c>
      <c r="D643" s="11" t="str">
        <f>IF(ISBLANK(data!X671),"",data!X671)</f>
        <v/>
      </c>
      <c r="E643" s="11" t="str">
        <f>IF(ISBLANK(data!Y671),"",data!Y671)</f>
        <v/>
      </c>
    </row>
    <row r="644" spans="1:5" x14ac:dyDescent="0.3">
      <c r="A644" s="13">
        <f>data!S672</f>
        <v>0</v>
      </c>
      <c r="B644" s="11" t="str">
        <f>IF(ISBLANK(data!V672),"",data!V672)</f>
        <v/>
      </c>
      <c r="C644" s="11" t="str">
        <f>IF(ISBLANK(data!W672),"",data!W672)</f>
        <v/>
      </c>
      <c r="D644" s="11" t="str">
        <f>IF(ISBLANK(data!X672),"",data!X672)</f>
        <v/>
      </c>
      <c r="E644" s="11" t="str">
        <f>IF(ISBLANK(data!Y672),"",data!Y672)</f>
        <v/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K123"/>
  <sheetViews>
    <sheetView topLeftCell="D1" workbookViewId="0">
      <selection activeCell="M1" sqref="M1"/>
    </sheetView>
  </sheetViews>
  <sheetFormatPr defaultRowHeight="13.5" x14ac:dyDescent="0.3"/>
  <cols>
    <col min="1" max="1" width="12.86328125" customWidth="1"/>
    <col min="2" max="2" width="19.46484375" customWidth="1"/>
    <col min="3" max="3" width="16.3984375" customWidth="1"/>
    <col min="4" max="4" width="14.73046875" customWidth="1"/>
    <col min="5" max="5" width="14.3984375" customWidth="1"/>
    <col min="6" max="6" width="13.265625" customWidth="1"/>
    <col min="8" max="8" width="11.3984375" customWidth="1"/>
    <col min="9" max="9" width="12.3984375" customWidth="1"/>
  </cols>
  <sheetData>
    <row r="1" spans="1:37" x14ac:dyDescent="0.3">
      <c r="A1" s="2">
        <v>1</v>
      </c>
      <c r="B1" s="1">
        <f>A1+1</f>
        <v>2</v>
      </c>
      <c r="C1" s="1">
        <f t="shared" ref="C1:AK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7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</row>
    <row r="2" spans="1:37" x14ac:dyDescent="0.3">
      <c r="B2" s="1"/>
      <c r="C2" s="7"/>
      <c r="D2" s="7"/>
      <c r="E2" s="7"/>
      <c r="F2" s="10"/>
      <c r="G2" s="7"/>
    </row>
    <row r="3" spans="1:37" x14ac:dyDescent="0.3">
      <c r="A3" s="1"/>
      <c r="B3" s="1"/>
    </row>
    <row r="4" spans="1:37" x14ac:dyDescent="0.3">
      <c r="A4" s="4"/>
      <c r="B4" s="6"/>
      <c r="C4" s="9"/>
      <c r="D4" s="9"/>
      <c r="E4" s="9"/>
      <c r="I4" s="9"/>
    </row>
    <row r="5" spans="1:37" x14ac:dyDescent="0.3">
      <c r="A5" s="4"/>
      <c r="B5" s="6"/>
      <c r="C5" s="9"/>
      <c r="D5" s="9"/>
      <c r="E5" s="9"/>
      <c r="I5" s="9"/>
    </row>
    <row r="6" spans="1:37" x14ac:dyDescent="0.3">
      <c r="A6" s="4"/>
      <c r="B6" s="6"/>
      <c r="C6" s="9"/>
      <c r="D6" s="9"/>
      <c r="E6" s="9"/>
      <c r="I6" s="9"/>
    </row>
    <row r="7" spans="1:37" x14ac:dyDescent="0.3">
      <c r="A7" s="4"/>
      <c r="B7" s="6"/>
      <c r="C7" s="9"/>
      <c r="D7" s="9"/>
      <c r="E7" s="9"/>
      <c r="I7" s="9"/>
    </row>
    <row r="8" spans="1:37" x14ac:dyDescent="0.3">
      <c r="A8" s="4"/>
      <c r="B8" s="6"/>
      <c r="C8" s="9"/>
      <c r="D8" s="9"/>
      <c r="E8" s="9"/>
      <c r="I8" s="9"/>
    </row>
    <row r="9" spans="1:37" x14ac:dyDescent="0.3">
      <c r="A9" s="4"/>
      <c r="B9" s="6"/>
      <c r="C9" s="9"/>
      <c r="D9" s="9"/>
      <c r="E9" s="9"/>
      <c r="I9" s="9"/>
    </row>
    <row r="10" spans="1:37" x14ac:dyDescent="0.3">
      <c r="A10" s="4"/>
      <c r="B10" s="6"/>
      <c r="C10" s="5"/>
      <c r="D10" s="5"/>
      <c r="E10" s="5"/>
      <c r="I10" s="9"/>
    </row>
    <row r="11" spans="1:37" x14ac:dyDescent="0.3">
      <c r="A11" s="4"/>
      <c r="B11" s="6"/>
      <c r="C11" s="5"/>
      <c r="D11" s="5"/>
      <c r="E11" s="5"/>
      <c r="I11" s="9"/>
    </row>
    <row r="12" spans="1:37" x14ac:dyDescent="0.3">
      <c r="A12" s="4"/>
      <c r="B12" s="6"/>
      <c r="C12" s="5"/>
      <c r="D12" s="5"/>
      <c r="E12" s="5"/>
      <c r="I12" s="9"/>
    </row>
    <row r="13" spans="1:37" x14ac:dyDescent="0.3">
      <c r="A13" s="4"/>
      <c r="B13" s="6"/>
      <c r="C13" s="5"/>
      <c r="D13" s="5"/>
      <c r="E13" s="5"/>
      <c r="I13" s="9"/>
    </row>
    <row r="14" spans="1:37" x14ac:dyDescent="0.3">
      <c r="A14" s="4"/>
      <c r="B14" s="6"/>
      <c r="C14" s="5"/>
      <c r="D14" s="5"/>
      <c r="E14" s="5"/>
      <c r="I14" s="9"/>
    </row>
    <row r="15" spans="1:37" x14ac:dyDescent="0.3">
      <c r="A15" s="4"/>
      <c r="B15" s="6"/>
      <c r="C15" s="5"/>
      <c r="D15" s="5"/>
      <c r="E15" s="5"/>
      <c r="I15" s="9"/>
    </row>
    <row r="16" spans="1:37" x14ac:dyDescent="0.3">
      <c r="A16" s="4"/>
      <c r="B16" s="6"/>
      <c r="C16" s="5"/>
      <c r="D16" s="5"/>
      <c r="E16" s="5"/>
      <c r="I16" s="9"/>
    </row>
    <row r="17" spans="1:9" x14ac:dyDescent="0.3">
      <c r="A17" s="4"/>
      <c r="B17" s="6"/>
      <c r="C17" s="5"/>
      <c r="D17" s="5"/>
      <c r="E17" s="5"/>
      <c r="I17" s="9"/>
    </row>
    <row r="18" spans="1:9" x14ac:dyDescent="0.3">
      <c r="A18" s="4"/>
      <c r="B18" s="6"/>
      <c r="C18" s="5"/>
      <c r="D18" s="5"/>
      <c r="E18" s="5"/>
      <c r="I18" s="9"/>
    </row>
    <row r="19" spans="1:9" x14ac:dyDescent="0.3">
      <c r="A19" s="4"/>
      <c r="B19" s="6"/>
      <c r="C19" s="5"/>
      <c r="D19" s="5"/>
      <c r="E19" s="5"/>
      <c r="I19" s="9"/>
    </row>
    <row r="20" spans="1:9" x14ac:dyDescent="0.3">
      <c r="A20" s="4"/>
      <c r="B20" s="6"/>
      <c r="C20" s="5"/>
      <c r="D20" s="5"/>
      <c r="E20" s="5"/>
      <c r="I20" s="9"/>
    </row>
    <row r="21" spans="1:9" x14ac:dyDescent="0.3">
      <c r="A21" s="4"/>
      <c r="B21" s="6"/>
      <c r="C21" s="5"/>
      <c r="D21" s="5"/>
      <c r="E21" s="5"/>
      <c r="I21" s="9"/>
    </row>
    <row r="22" spans="1:9" x14ac:dyDescent="0.3">
      <c r="A22" s="4"/>
      <c r="B22" s="6"/>
      <c r="C22" s="5"/>
      <c r="D22" s="5"/>
      <c r="E22" s="5"/>
      <c r="I22" s="9"/>
    </row>
    <row r="23" spans="1:9" x14ac:dyDescent="0.3">
      <c r="A23" s="4"/>
      <c r="B23" s="6"/>
      <c r="C23" s="5"/>
      <c r="D23" s="5"/>
      <c r="E23" s="5"/>
      <c r="I23" s="9"/>
    </row>
    <row r="24" spans="1:9" x14ac:dyDescent="0.3">
      <c r="A24" s="4"/>
      <c r="B24" s="6"/>
      <c r="C24" s="5"/>
      <c r="D24" s="5"/>
      <c r="E24" s="5"/>
      <c r="I24" s="9"/>
    </row>
    <row r="25" spans="1:9" x14ac:dyDescent="0.3">
      <c r="A25" s="4"/>
      <c r="B25" s="6"/>
      <c r="C25" s="5"/>
      <c r="D25" s="5"/>
      <c r="E25" s="5"/>
      <c r="I25" s="9"/>
    </row>
    <row r="26" spans="1:9" x14ac:dyDescent="0.3">
      <c r="A26" s="4"/>
      <c r="B26" s="6"/>
      <c r="C26" s="5"/>
      <c r="D26" s="5"/>
      <c r="E26" s="5"/>
      <c r="I26" s="9"/>
    </row>
    <row r="27" spans="1:9" x14ac:dyDescent="0.3">
      <c r="A27" s="4"/>
      <c r="B27" s="6"/>
      <c r="C27" s="5"/>
      <c r="D27" s="5"/>
      <c r="E27" s="5"/>
      <c r="I27" s="9"/>
    </row>
    <row r="28" spans="1:9" x14ac:dyDescent="0.3">
      <c r="A28" s="4"/>
      <c r="B28" s="6"/>
      <c r="C28" s="5"/>
      <c r="D28" s="5"/>
      <c r="E28" s="5"/>
      <c r="I28" s="9"/>
    </row>
    <row r="29" spans="1:9" x14ac:dyDescent="0.3">
      <c r="A29" s="4"/>
      <c r="B29" s="6"/>
      <c r="C29" s="5"/>
      <c r="D29" s="5"/>
      <c r="E29" s="5"/>
      <c r="I29" s="9"/>
    </row>
    <row r="30" spans="1:9" x14ac:dyDescent="0.3">
      <c r="A30" s="4"/>
      <c r="B30" s="6"/>
      <c r="C30" s="9"/>
      <c r="D30" s="9"/>
      <c r="E30" s="9"/>
      <c r="I30" s="9"/>
    </row>
    <row r="31" spans="1:9" x14ac:dyDescent="0.3">
      <c r="A31" s="4"/>
      <c r="B31" s="6"/>
      <c r="C31" s="9"/>
      <c r="D31" s="9"/>
      <c r="E31" s="9"/>
      <c r="I31" s="9"/>
    </row>
    <row r="32" spans="1:9" x14ac:dyDescent="0.3">
      <c r="A32" s="4"/>
      <c r="B32" s="6"/>
      <c r="C32" s="9"/>
      <c r="D32" s="9"/>
      <c r="E32" s="9"/>
      <c r="I32" s="9"/>
    </row>
    <row r="33" spans="1:9" x14ac:dyDescent="0.3">
      <c r="A33" s="4"/>
      <c r="B33" s="6"/>
      <c r="C33" s="9"/>
      <c r="D33" s="9"/>
      <c r="E33" s="9"/>
      <c r="I33" s="9"/>
    </row>
    <row r="34" spans="1:9" x14ac:dyDescent="0.3">
      <c r="A34" s="4"/>
      <c r="B34" s="6"/>
      <c r="C34" s="9"/>
      <c r="D34" s="9"/>
      <c r="E34" s="9"/>
      <c r="I34" s="9"/>
    </row>
    <row r="35" spans="1:9" x14ac:dyDescent="0.3">
      <c r="A35" s="4"/>
      <c r="B35" s="6"/>
      <c r="C35" s="9"/>
      <c r="D35" s="9"/>
      <c r="E35" s="9"/>
      <c r="I35" s="9"/>
    </row>
    <row r="36" spans="1:9" x14ac:dyDescent="0.3">
      <c r="A36" s="4"/>
      <c r="B36" s="6"/>
      <c r="C36" s="9"/>
      <c r="D36" s="9"/>
      <c r="E36" s="9"/>
      <c r="I36" s="9"/>
    </row>
    <row r="37" spans="1:9" x14ac:dyDescent="0.3">
      <c r="A37" s="4"/>
      <c r="B37" s="6"/>
      <c r="C37" s="6"/>
      <c r="D37" s="6"/>
      <c r="E37" s="6"/>
      <c r="H37" s="9"/>
    </row>
    <row r="38" spans="1:9" x14ac:dyDescent="0.3">
      <c r="A38" s="4"/>
      <c r="B38" s="6"/>
      <c r="C38" s="6"/>
      <c r="D38" s="6"/>
      <c r="E38" s="6"/>
      <c r="H38" s="9"/>
    </row>
    <row r="39" spans="1:9" x14ac:dyDescent="0.3">
      <c r="A39" s="4"/>
      <c r="B39" s="6"/>
      <c r="C39" s="6"/>
      <c r="D39" s="6"/>
      <c r="E39" s="6"/>
      <c r="H39" s="9"/>
    </row>
    <row r="40" spans="1:9" x14ac:dyDescent="0.3">
      <c r="A40" s="4"/>
      <c r="B40" s="6"/>
      <c r="C40" s="6"/>
      <c r="D40" s="6"/>
      <c r="E40" s="6"/>
      <c r="H40" s="9"/>
    </row>
    <row r="41" spans="1:9" x14ac:dyDescent="0.3">
      <c r="A41" s="4"/>
      <c r="B41" s="6"/>
      <c r="C41" s="6"/>
      <c r="D41" s="6"/>
      <c r="E41" s="6"/>
      <c r="H41" s="9"/>
    </row>
    <row r="42" spans="1:9" x14ac:dyDescent="0.3">
      <c r="A42" s="4"/>
      <c r="B42" s="6"/>
      <c r="C42" s="6"/>
      <c r="D42" s="6"/>
      <c r="E42" s="6"/>
      <c r="H42" s="9"/>
    </row>
    <row r="43" spans="1:9" x14ac:dyDescent="0.3">
      <c r="A43" s="4"/>
      <c r="B43" s="6"/>
      <c r="C43" s="6"/>
      <c r="D43" s="6"/>
      <c r="E43" s="6"/>
      <c r="H43" s="9"/>
    </row>
    <row r="44" spans="1:9" x14ac:dyDescent="0.3">
      <c r="A44" s="4"/>
      <c r="B44" s="6"/>
      <c r="C44" s="6"/>
      <c r="D44" s="6"/>
      <c r="E44" s="6"/>
      <c r="H44" s="9"/>
    </row>
    <row r="45" spans="1:9" x14ac:dyDescent="0.3">
      <c r="A45" s="4"/>
      <c r="B45" s="6"/>
      <c r="C45" s="6"/>
      <c r="D45" s="6"/>
      <c r="E45" s="6"/>
      <c r="H45" s="9"/>
    </row>
    <row r="46" spans="1:9" x14ac:dyDescent="0.3">
      <c r="A46" s="4"/>
      <c r="B46" s="6"/>
      <c r="C46" s="6"/>
      <c r="D46" s="6"/>
      <c r="E46" s="6"/>
      <c r="H46" s="9"/>
    </row>
    <row r="47" spans="1:9" x14ac:dyDescent="0.3">
      <c r="A47" s="4"/>
      <c r="B47" s="6"/>
      <c r="C47" s="6"/>
      <c r="D47" s="6"/>
      <c r="E47" s="6"/>
      <c r="H47" s="9"/>
    </row>
    <row r="48" spans="1:9" x14ac:dyDescent="0.3">
      <c r="A48" s="4"/>
      <c r="B48" s="6"/>
      <c r="C48" s="6"/>
      <c r="D48" s="6"/>
      <c r="E48" s="6"/>
      <c r="H48" s="9"/>
    </row>
    <row r="49" spans="1:9" x14ac:dyDescent="0.3">
      <c r="A49" s="4"/>
      <c r="B49" s="6"/>
      <c r="C49" s="6"/>
      <c r="D49" s="6"/>
      <c r="E49" s="6"/>
      <c r="H49" s="9"/>
    </row>
    <row r="50" spans="1:9" x14ac:dyDescent="0.3">
      <c r="A50" s="4"/>
      <c r="B50" s="6"/>
      <c r="C50" s="6"/>
      <c r="D50" s="6"/>
      <c r="E50" s="6"/>
      <c r="H50" s="9"/>
    </row>
    <row r="51" spans="1:9" x14ac:dyDescent="0.3">
      <c r="A51" s="4"/>
      <c r="B51" s="6"/>
      <c r="C51" s="6"/>
      <c r="D51" s="6"/>
      <c r="E51" s="6"/>
      <c r="H51" s="9"/>
    </row>
    <row r="52" spans="1:9" x14ac:dyDescent="0.3">
      <c r="A52" s="4"/>
      <c r="B52" s="6"/>
      <c r="C52" s="6"/>
      <c r="D52" s="6"/>
      <c r="E52" s="6"/>
      <c r="H52" s="9"/>
    </row>
    <row r="53" spans="1:9" x14ac:dyDescent="0.3">
      <c r="A53" s="4"/>
      <c r="B53" s="6"/>
      <c r="C53" s="6"/>
      <c r="D53" s="6"/>
      <c r="E53" s="6"/>
      <c r="H53" s="9"/>
    </row>
    <row r="54" spans="1:9" x14ac:dyDescent="0.3">
      <c r="A54" s="4"/>
      <c r="B54" s="6"/>
      <c r="C54" s="6"/>
      <c r="D54" s="6"/>
      <c r="E54" s="6"/>
      <c r="H54" s="9"/>
    </row>
    <row r="55" spans="1:9" x14ac:dyDescent="0.3">
      <c r="A55" s="4"/>
      <c r="B55" s="6"/>
      <c r="C55" s="6"/>
      <c r="D55" s="6"/>
      <c r="E55" s="6"/>
      <c r="H55" s="9"/>
    </row>
    <row r="56" spans="1:9" x14ac:dyDescent="0.3">
      <c r="A56" s="4"/>
      <c r="B56" s="6"/>
      <c r="C56" s="6"/>
      <c r="D56" s="6"/>
      <c r="E56" s="6"/>
      <c r="H56" s="9"/>
    </row>
    <row r="57" spans="1:9" x14ac:dyDescent="0.3">
      <c r="A57" s="4"/>
      <c r="B57" s="6"/>
      <c r="C57" s="6"/>
      <c r="D57" s="6"/>
      <c r="E57" s="6"/>
      <c r="H57" s="9"/>
    </row>
    <row r="58" spans="1:9" x14ac:dyDescent="0.3">
      <c r="A58" s="4"/>
      <c r="B58" s="6"/>
      <c r="C58" s="6"/>
      <c r="D58" s="6"/>
      <c r="E58" s="6"/>
      <c r="H58" s="9"/>
    </row>
    <row r="59" spans="1:9" x14ac:dyDescent="0.3">
      <c r="A59" s="4"/>
      <c r="B59" s="6"/>
      <c r="C59" s="6"/>
      <c r="D59" s="6"/>
      <c r="E59" s="6"/>
      <c r="H59" s="9"/>
    </row>
    <row r="60" spans="1:9" x14ac:dyDescent="0.3">
      <c r="A60" s="4"/>
      <c r="B60" s="6"/>
      <c r="C60" s="6"/>
      <c r="D60" s="6"/>
      <c r="E60" s="6"/>
      <c r="H60" s="9"/>
    </row>
    <row r="61" spans="1:9" x14ac:dyDescent="0.3">
      <c r="A61" s="4"/>
      <c r="B61" s="6"/>
      <c r="C61" s="6"/>
      <c r="D61" s="6"/>
      <c r="E61" s="6"/>
      <c r="H61" s="9"/>
    </row>
    <row r="62" spans="1:9" x14ac:dyDescent="0.3">
      <c r="A62" s="4"/>
      <c r="B62" s="6"/>
      <c r="C62" s="9"/>
      <c r="D62" s="9"/>
      <c r="E62" s="9"/>
      <c r="I62" s="9"/>
    </row>
    <row r="63" spans="1:9" x14ac:dyDescent="0.3">
      <c r="A63" s="4"/>
      <c r="B63" s="6"/>
      <c r="C63" s="9"/>
      <c r="D63" s="9"/>
      <c r="E63" s="9"/>
      <c r="I63" s="9"/>
    </row>
    <row r="64" spans="1:9" x14ac:dyDescent="0.3">
      <c r="A64" s="4"/>
      <c r="B64" s="6"/>
      <c r="C64" s="9"/>
      <c r="D64" s="9"/>
      <c r="E64" s="9"/>
    </row>
    <row r="65" spans="1:5" x14ac:dyDescent="0.3">
      <c r="A65" s="4"/>
      <c r="B65" s="6"/>
      <c r="C65" s="9"/>
      <c r="D65" s="9"/>
      <c r="E65" s="9"/>
    </row>
    <row r="66" spans="1:5" x14ac:dyDescent="0.3">
      <c r="A66" s="4"/>
      <c r="B66" s="6"/>
      <c r="C66" s="9"/>
      <c r="D66" s="9"/>
      <c r="E66" s="9"/>
    </row>
    <row r="67" spans="1:5" x14ac:dyDescent="0.3">
      <c r="A67" s="4"/>
      <c r="B67" s="6"/>
      <c r="C67" s="9"/>
      <c r="D67" s="9"/>
      <c r="E67" s="9"/>
    </row>
    <row r="68" spans="1:5" x14ac:dyDescent="0.3">
      <c r="A68" s="4"/>
      <c r="B68" s="6"/>
      <c r="C68" s="9"/>
      <c r="D68" s="9"/>
      <c r="E68" s="9"/>
    </row>
    <row r="69" spans="1:5" x14ac:dyDescent="0.3">
      <c r="A69" s="4"/>
      <c r="B69" s="6"/>
      <c r="C69" s="9"/>
      <c r="D69" s="9"/>
      <c r="E69" s="9"/>
    </row>
    <row r="70" spans="1:5" x14ac:dyDescent="0.3">
      <c r="A70" s="4"/>
      <c r="B70" s="6"/>
      <c r="C70" s="9"/>
      <c r="D70" s="9"/>
      <c r="E70" s="9"/>
    </row>
    <row r="71" spans="1:5" x14ac:dyDescent="0.3">
      <c r="A71" s="4"/>
      <c r="B71" s="6"/>
      <c r="C71" s="9"/>
      <c r="D71" s="9"/>
      <c r="E71" s="9"/>
    </row>
    <row r="72" spans="1:5" x14ac:dyDescent="0.3">
      <c r="A72" s="4"/>
      <c r="B72" s="6"/>
      <c r="C72" s="9"/>
      <c r="D72" s="9"/>
      <c r="E72" s="9"/>
    </row>
    <row r="73" spans="1:5" x14ac:dyDescent="0.3">
      <c r="A73" s="4"/>
      <c r="B73" s="6"/>
      <c r="C73" s="9"/>
      <c r="D73" s="9"/>
      <c r="E73" s="9"/>
    </row>
    <row r="74" spans="1:5" x14ac:dyDescent="0.3">
      <c r="A74" s="4"/>
      <c r="B74" s="6"/>
      <c r="C74" s="9"/>
      <c r="D74" s="9"/>
      <c r="E74" s="9"/>
    </row>
    <row r="75" spans="1:5" x14ac:dyDescent="0.3">
      <c r="A75" s="4"/>
      <c r="B75" s="6"/>
      <c r="C75" s="9"/>
      <c r="D75" s="9"/>
      <c r="E75" s="9"/>
    </row>
    <row r="76" spans="1:5" x14ac:dyDescent="0.3">
      <c r="A76" s="4"/>
      <c r="B76" s="6"/>
      <c r="C76" s="9"/>
      <c r="D76" s="9"/>
      <c r="E76" s="9"/>
    </row>
    <row r="77" spans="1:5" x14ac:dyDescent="0.3">
      <c r="A77" s="4"/>
      <c r="B77" s="6"/>
      <c r="C77" s="9"/>
      <c r="D77" s="9"/>
      <c r="E77" s="9"/>
    </row>
    <row r="78" spans="1:5" x14ac:dyDescent="0.3">
      <c r="A78" s="4"/>
      <c r="B78" s="6"/>
      <c r="C78" s="9"/>
      <c r="D78" s="9"/>
      <c r="E78" s="9"/>
    </row>
    <row r="79" spans="1:5" x14ac:dyDescent="0.3">
      <c r="A79" s="4"/>
      <c r="B79" s="6"/>
      <c r="C79" s="9"/>
      <c r="D79" s="9"/>
      <c r="E79" s="9"/>
    </row>
    <row r="80" spans="1:5" x14ac:dyDescent="0.3">
      <c r="A80" s="4"/>
      <c r="B80" s="6"/>
      <c r="C80" s="9"/>
      <c r="D80" s="9"/>
      <c r="E80" s="9"/>
    </row>
    <row r="81" spans="1:5" x14ac:dyDescent="0.3">
      <c r="A81" s="4"/>
      <c r="B81" s="6"/>
      <c r="C81" s="9"/>
      <c r="D81" s="9"/>
      <c r="E81" s="9"/>
    </row>
    <row r="82" spans="1:5" x14ac:dyDescent="0.3">
      <c r="A82" s="4"/>
      <c r="B82" s="6"/>
      <c r="C82" s="9"/>
      <c r="D82" s="9"/>
      <c r="E82" s="9"/>
    </row>
    <row r="83" spans="1:5" x14ac:dyDescent="0.3">
      <c r="A83" s="4"/>
      <c r="B83" s="6"/>
      <c r="C83" s="9"/>
      <c r="D83" s="9"/>
      <c r="E83" s="9"/>
    </row>
    <row r="84" spans="1:5" x14ac:dyDescent="0.3">
      <c r="A84" s="4"/>
      <c r="B84" s="6"/>
      <c r="C84" s="9"/>
      <c r="D84" s="9"/>
      <c r="E84" s="9"/>
    </row>
    <row r="85" spans="1:5" x14ac:dyDescent="0.3">
      <c r="A85" s="4"/>
      <c r="B85" s="6"/>
      <c r="C85" s="9"/>
      <c r="D85" s="9"/>
      <c r="E85" s="9"/>
    </row>
    <row r="86" spans="1:5" x14ac:dyDescent="0.3">
      <c r="A86" s="4"/>
      <c r="B86" s="6"/>
      <c r="C86" s="9"/>
      <c r="D86" s="9"/>
      <c r="E86" s="9"/>
    </row>
    <row r="87" spans="1:5" x14ac:dyDescent="0.3">
      <c r="A87" s="4"/>
      <c r="B87" s="6"/>
      <c r="C87" s="9"/>
      <c r="D87" s="9"/>
      <c r="E87" s="9"/>
    </row>
    <row r="88" spans="1:5" x14ac:dyDescent="0.3">
      <c r="A88" s="4"/>
      <c r="B88" s="6"/>
      <c r="C88" s="9"/>
      <c r="D88" s="9"/>
      <c r="E88" s="9"/>
    </row>
    <row r="89" spans="1:5" x14ac:dyDescent="0.3">
      <c r="A89" s="4"/>
      <c r="B89" s="6"/>
      <c r="C89" s="9"/>
      <c r="D89" s="9"/>
      <c r="E89" s="9"/>
    </row>
    <row r="90" spans="1:5" x14ac:dyDescent="0.3">
      <c r="A90" s="4"/>
      <c r="B90" s="6"/>
      <c r="C90" s="9"/>
      <c r="D90" s="9"/>
      <c r="E90" s="9"/>
    </row>
    <row r="91" spans="1:5" x14ac:dyDescent="0.3">
      <c r="A91" s="4"/>
      <c r="B91" s="6"/>
      <c r="C91" s="9"/>
      <c r="D91" s="9"/>
      <c r="E91" s="9"/>
    </row>
    <row r="92" spans="1:5" x14ac:dyDescent="0.3">
      <c r="A92" s="4"/>
      <c r="B92" s="6"/>
      <c r="C92" s="9"/>
      <c r="D92" s="9"/>
      <c r="E92" s="9"/>
    </row>
    <row r="93" spans="1:5" x14ac:dyDescent="0.3">
      <c r="A93" s="4"/>
      <c r="B93" s="6"/>
      <c r="C93" s="9"/>
      <c r="D93" s="9"/>
      <c r="E93" s="9"/>
    </row>
    <row r="94" spans="1:5" x14ac:dyDescent="0.3">
      <c r="A94" s="4"/>
      <c r="B94" s="6"/>
      <c r="C94" s="9"/>
      <c r="D94" s="9"/>
      <c r="E94" s="9"/>
    </row>
    <row r="95" spans="1:5" x14ac:dyDescent="0.3">
      <c r="A95" s="4"/>
      <c r="B95" s="6"/>
      <c r="C95" s="9"/>
      <c r="D95" s="9"/>
      <c r="E95" s="9"/>
    </row>
    <row r="96" spans="1:5" x14ac:dyDescent="0.3">
      <c r="A96" s="4"/>
      <c r="B96" s="6"/>
      <c r="C96" s="9"/>
      <c r="D96" s="9"/>
      <c r="E96" s="9"/>
    </row>
    <row r="97" spans="1:5" x14ac:dyDescent="0.3">
      <c r="A97" s="4"/>
      <c r="B97" s="6"/>
      <c r="C97" s="9"/>
      <c r="D97" s="9"/>
      <c r="E97" s="9"/>
    </row>
    <row r="98" spans="1:5" x14ac:dyDescent="0.3">
      <c r="A98" s="4"/>
      <c r="B98" s="6"/>
      <c r="C98" s="9"/>
      <c r="D98" s="9"/>
      <c r="E98" s="9"/>
    </row>
    <row r="99" spans="1:5" x14ac:dyDescent="0.3">
      <c r="A99" s="4"/>
      <c r="B99" s="6"/>
      <c r="C99" s="9"/>
      <c r="D99" s="9"/>
      <c r="E99" s="9"/>
    </row>
    <row r="100" spans="1:5" x14ac:dyDescent="0.3">
      <c r="A100" s="4"/>
      <c r="B100" s="6"/>
      <c r="C100" s="9"/>
      <c r="D100" s="9"/>
      <c r="E100" s="9"/>
    </row>
    <row r="101" spans="1:5" x14ac:dyDescent="0.3">
      <c r="A101" s="4"/>
      <c r="B101" s="6"/>
      <c r="C101" s="9"/>
      <c r="D101" s="9"/>
      <c r="E101" s="9"/>
    </row>
    <row r="102" spans="1:5" x14ac:dyDescent="0.3">
      <c r="A102" s="4"/>
      <c r="B102" s="6"/>
      <c r="C102" s="9"/>
      <c r="D102" s="9"/>
      <c r="E102" s="9"/>
    </row>
    <row r="103" spans="1:5" x14ac:dyDescent="0.3">
      <c r="A103" s="4"/>
      <c r="B103" s="6"/>
      <c r="C103" s="9"/>
      <c r="D103" s="9"/>
      <c r="E103" s="9"/>
    </row>
    <row r="104" spans="1:5" x14ac:dyDescent="0.3">
      <c r="A104" s="4"/>
      <c r="B104" s="6"/>
      <c r="C104" s="9"/>
      <c r="D104" s="9"/>
      <c r="E104" s="9"/>
    </row>
    <row r="105" spans="1:5" x14ac:dyDescent="0.3">
      <c r="A105" s="4"/>
      <c r="B105" s="6"/>
      <c r="C105" s="9"/>
      <c r="D105" s="9"/>
      <c r="E105" s="9"/>
    </row>
    <row r="106" spans="1:5" x14ac:dyDescent="0.3">
      <c r="A106" s="4"/>
      <c r="B106" s="6"/>
      <c r="C106" s="9"/>
      <c r="D106" s="9"/>
      <c r="E106" s="9"/>
    </row>
    <row r="107" spans="1:5" x14ac:dyDescent="0.3">
      <c r="A107" s="4"/>
      <c r="B107" s="6"/>
      <c r="C107" s="9"/>
      <c r="D107" s="9"/>
      <c r="E107" s="9"/>
    </row>
    <row r="108" spans="1:5" x14ac:dyDescent="0.3">
      <c r="A108" s="4"/>
      <c r="B108" s="6"/>
      <c r="C108" s="9"/>
      <c r="D108" s="9"/>
      <c r="E108" s="9"/>
    </row>
    <row r="109" spans="1:5" x14ac:dyDescent="0.3">
      <c r="A109" s="4"/>
      <c r="B109" s="6"/>
      <c r="C109" s="9"/>
      <c r="D109" s="9"/>
      <c r="E109" s="9"/>
    </row>
    <row r="110" spans="1:5" x14ac:dyDescent="0.3">
      <c r="A110" s="4"/>
      <c r="B110" s="6"/>
      <c r="C110" s="9"/>
      <c r="D110" s="9"/>
      <c r="E110" s="9"/>
    </row>
    <row r="111" spans="1:5" x14ac:dyDescent="0.3">
      <c r="A111" s="4"/>
      <c r="B111" s="6"/>
      <c r="C111" s="9"/>
      <c r="D111" s="9"/>
      <c r="E111" s="9"/>
    </row>
    <row r="112" spans="1:5" x14ac:dyDescent="0.3">
      <c r="A112" s="4"/>
      <c r="B112" s="6"/>
      <c r="C112" s="9"/>
      <c r="D112" s="9"/>
      <c r="E112" s="9"/>
    </row>
    <row r="113" spans="1:5" x14ac:dyDescent="0.3">
      <c r="A113" s="4"/>
      <c r="B113" s="6"/>
      <c r="C113" s="9"/>
      <c r="D113" s="9"/>
      <c r="E113" s="9"/>
    </row>
    <row r="114" spans="1:5" x14ac:dyDescent="0.3">
      <c r="A114" s="4"/>
      <c r="B114" s="6"/>
      <c r="C114" s="9"/>
      <c r="D114" s="9"/>
      <c r="E114" s="9"/>
    </row>
    <row r="115" spans="1:5" x14ac:dyDescent="0.3">
      <c r="A115" s="4"/>
      <c r="B115" s="6"/>
      <c r="C115" s="9"/>
      <c r="D115" s="9"/>
      <c r="E115" s="9"/>
    </row>
    <row r="116" spans="1:5" x14ac:dyDescent="0.3">
      <c r="A116" s="4"/>
      <c r="B116" s="6"/>
      <c r="C116" s="9"/>
      <c r="D116" s="9"/>
      <c r="E116" s="9"/>
    </row>
    <row r="117" spans="1:5" x14ac:dyDescent="0.3">
      <c r="A117" s="4"/>
      <c r="B117" s="6"/>
      <c r="C117" s="9"/>
      <c r="D117" s="9"/>
      <c r="E117" s="9"/>
    </row>
    <row r="118" spans="1:5" x14ac:dyDescent="0.3">
      <c r="A118" s="4"/>
      <c r="B118" s="6"/>
      <c r="C118" s="9"/>
      <c r="D118" s="9"/>
      <c r="E118" s="9"/>
    </row>
    <row r="119" spans="1:5" x14ac:dyDescent="0.3">
      <c r="A119" s="4"/>
      <c r="B119" s="6"/>
      <c r="C119" s="9"/>
      <c r="D119" s="9"/>
      <c r="E119" s="9"/>
    </row>
    <row r="120" spans="1:5" x14ac:dyDescent="0.3">
      <c r="A120" s="4"/>
      <c r="B120" s="6"/>
      <c r="C120" s="9"/>
      <c r="D120" s="9"/>
      <c r="E120" s="9"/>
    </row>
    <row r="121" spans="1:5" x14ac:dyDescent="0.3">
      <c r="A121" s="4"/>
      <c r="B121" s="6"/>
      <c r="C121" s="9"/>
      <c r="D121" s="9"/>
      <c r="E121" s="9"/>
    </row>
    <row r="122" spans="1:5" x14ac:dyDescent="0.3">
      <c r="A122" s="4"/>
      <c r="B122" s="6"/>
      <c r="C122" s="9"/>
      <c r="D122" s="9"/>
      <c r="E122" s="9"/>
    </row>
    <row r="123" spans="1:5" x14ac:dyDescent="0.3">
      <c r="A123" s="4"/>
      <c r="B123" s="6"/>
      <c r="C123" s="9"/>
      <c r="D123" s="9"/>
      <c r="E123" s="9"/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2:D6"/>
  <sheetViews>
    <sheetView topLeftCell="B1" workbookViewId="0">
      <selection activeCell="J16" sqref="J16"/>
    </sheetView>
  </sheetViews>
  <sheetFormatPr defaultRowHeight="13.5" x14ac:dyDescent="0.3"/>
  <cols>
    <col min="4" max="4" width="17.86328125" customWidth="1"/>
  </cols>
  <sheetData>
    <row r="2" spans="4:4" x14ac:dyDescent="0.3">
      <c r="D2" t="s">
        <v>44</v>
      </c>
    </row>
    <row r="3" spans="4:4" x14ac:dyDescent="0.3">
      <c r="D3" t="s">
        <v>67</v>
      </c>
    </row>
    <row r="4" spans="4:4" x14ac:dyDescent="0.3">
      <c r="D4" t="s">
        <v>68</v>
      </c>
    </row>
    <row r="5" spans="4:4" x14ac:dyDescent="0.3">
      <c r="D5" t="s">
        <v>69</v>
      </c>
    </row>
    <row r="6" spans="4:4" x14ac:dyDescent="0.3">
      <c r="D6" t="s">
        <v>70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13"/>
  <sheetViews>
    <sheetView workbookViewId="0">
      <selection activeCell="F7" sqref="F7"/>
    </sheetView>
  </sheetViews>
  <sheetFormatPr defaultRowHeight="13.5" x14ac:dyDescent="0.3"/>
  <cols>
    <col min="1" max="1" width="17.46484375" customWidth="1"/>
  </cols>
  <sheetData>
    <row r="1" spans="1:2" x14ac:dyDescent="0.3">
      <c r="A1" s="13">
        <v>41641</v>
      </c>
      <c r="B1">
        <v>1</v>
      </c>
    </row>
    <row r="2" spans="1:2" x14ac:dyDescent="0.3">
      <c r="A2" s="13">
        <v>41642</v>
      </c>
      <c r="B2">
        <v>0.99793563466637047</v>
      </c>
    </row>
    <row r="3" spans="1:2" x14ac:dyDescent="0.3">
      <c r="A3" s="13">
        <v>41645</v>
      </c>
      <c r="B3">
        <v>0.97910274016594423</v>
      </c>
    </row>
    <row r="4" spans="1:2" x14ac:dyDescent="0.3">
      <c r="A4" s="13">
        <v>41646</v>
      </c>
      <c r="B4">
        <v>0.98645391521692549</v>
      </c>
    </row>
    <row r="5" spans="1:2" x14ac:dyDescent="0.3">
      <c r="A5" s="13">
        <v>41647</v>
      </c>
      <c r="B5">
        <v>0.99622243386162845</v>
      </c>
    </row>
    <row r="6" spans="1:2" x14ac:dyDescent="0.3">
      <c r="A6" s="13">
        <v>41648</v>
      </c>
      <c r="B6">
        <v>0.9858399718204981</v>
      </c>
    </row>
    <row r="7" spans="1:2" x14ac:dyDescent="0.3">
      <c r="A7" s="13">
        <v>41649</v>
      </c>
      <c r="B7">
        <v>0.97323732213192071</v>
      </c>
    </row>
    <row r="8" spans="1:2" x14ac:dyDescent="0.3">
      <c r="A8" s="13">
        <v>41652</v>
      </c>
      <c r="B8">
        <v>0.97062081434311698</v>
      </c>
    </row>
    <row r="9" spans="1:2" x14ac:dyDescent="0.3">
      <c r="A9" s="13">
        <v>41653</v>
      </c>
      <c r="B9">
        <v>0.98533225198663021</v>
      </c>
    </row>
    <row r="10" spans="1:2" x14ac:dyDescent="0.3">
      <c r="A10" s="13">
        <v>41654</v>
      </c>
      <c r="B10">
        <v>0.99412581828420876</v>
      </c>
    </row>
    <row r="11" spans="1:2" x14ac:dyDescent="0.3">
      <c r="A11" s="13">
        <v>41655</v>
      </c>
      <c r="B11">
        <v>0.98984310089504879</v>
      </c>
    </row>
    <row r="12" spans="1:2" x14ac:dyDescent="0.3">
      <c r="A12" s="13">
        <v>41656</v>
      </c>
      <c r="B12">
        <v>0.98016724006167344</v>
      </c>
    </row>
    <row r="13" spans="1:2" x14ac:dyDescent="0.3">
      <c r="A13" s="13">
        <v>41659</v>
      </c>
      <c r="B13">
        <v>0.97029361366643563</v>
      </c>
    </row>
    <row r="14" spans="1:2" x14ac:dyDescent="0.3">
      <c r="A14" s="13">
        <v>41660</v>
      </c>
      <c r="B14">
        <v>0.98195003772304401</v>
      </c>
    </row>
    <row r="15" spans="1:2" x14ac:dyDescent="0.3">
      <c r="A15" s="13">
        <v>41661</v>
      </c>
      <c r="B15">
        <v>1.0015228870133099</v>
      </c>
    </row>
    <row r="16" spans="1:2" x14ac:dyDescent="0.3">
      <c r="A16" s="13">
        <v>41662</v>
      </c>
      <c r="B16">
        <v>1.010184524555271</v>
      </c>
    </row>
    <row r="17" spans="1:2" x14ac:dyDescent="0.3">
      <c r="A17" s="13">
        <v>41663</v>
      </c>
      <c r="B17">
        <v>1.0213734590131549</v>
      </c>
    </row>
    <row r="18" spans="1:2" x14ac:dyDescent="0.3">
      <c r="A18" s="13">
        <v>41666</v>
      </c>
      <c r="B18">
        <v>1.014554259750565</v>
      </c>
    </row>
    <row r="19" spans="1:2" x14ac:dyDescent="0.3">
      <c r="A19" s="13">
        <v>41667</v>
      </c>
      <c r="B19">
        <v>1.011389648595439</v>
      </c>
    </row>
    <row r="20" spans="1:2" x14ac:dyDescent="0.3">
      <c r="A20" s="13">
        <v>41668</v>
      </c>
      <c r="B20">
        <v>1.021851426334506</v>
      </c>
    </row>
    <row r="21" spans="1:2" x14ac:dyDescent="0.3">
      <c r="A21" s="13">
        <v>41669</v>
      </c>
      <c r="B21">
        <v>1.016877104125206</v>
      </c>
    </row>
    <row r="22" spans="1:2" x14ac:dyDescent="0.3">
      <c r="A22" s="13">
        <v>41677</v>
      </c>
      <c r="B22">
        <v>1.031845972884365</v>
      </c>
    </row>
    <row r="23" spans="1:2" x14ac:dyDescent="0.3">
      <c r="A23" s="13">
        <v>41680</v>
      </c>
      <c r="B23">
        <v>1.055090723544047</v>
      </c>
    </row>
    <row r="24" spans="1:2" x14ac:dyDescent="0.3">
      <c r="A24" s="13">
        <v>41681</v>
      </c>
      <c r="B24">
        <v>1.049254889483803</v>
      </c>
    </row>
    <row r="25" spans="1:2" x14ac:dyDescent="0.3">
      <c r="A25" s="13">
        <v>41682</v>
      </c>
      <c r="B25">
        <v>1.054619003115731</v>
      </c>
    </row>
    <row r="26" spans="1:2" x14ac:dyDescent="0.3">
      <c r="A26" s="13">
        <v>41683</v>
      </c>
      <c r="B26">
        <v>1.0361173522941201</v>
      </c>
    </row>
    <row r="27" spans="1:2" x14ac:dyDescent="0.3">
      <c r="A27" s="13">
        <v>41684</v>
      </c>
      <c r="B27">
        <v>1.050625491888312</v>
      </c>
    </row>
    <row r="28" spans="1:2" x14ac:dyDescent="0.3">
      <c r="A28" s="13">
        <v>41687</v>
      </c>
      <c r="B28">
        <v>1.067947825735275</v>
      </c>
    </row>
    <row r="29" spans="1:2" x14ac:dyDescent="0.3">
      <c r="A29" s="13">
        <v>41688</v>
      </c>
      <c r="B29">
        <v>1.0637557863556011</v>
      </c>
    </row>
    <row r="30" spans="1:2" x14ac:dyDescent="0.3">
      <c r="A30" s="13">
        <v>41689</v>
      </c>
      <c r="B30">
        <v>1.062615741768602</v>
      </c>
    </row>
    <row r="31" spans="1:2" x14ac:dyDescent="0.3">
      <c r="A31" s="13">
        <v>41690</v>
      </c>
      <c r="B31">
        <v>1.0495432264555651</v>
      </c>
    </row>
    <row r="32" spans="1:2" x14ac:dyDescent="0.3">
      <c r="A32" s="13">
        <v>41691</v>
      </c>
      <c r="B32">
        <v>1.0472992804193619</v>
      </c>
    </row>
    <row r="33" spans="1:2" x14ac:dyDescent="0.3">
      <c r="A33" s="13">
        <v>41694</v>
      </c>
      <c r="B33">
        <v>1.047301909409766</v>
      </c>
    </row>
    <row r="34" spans="1:2" x14ac:dyDescent="0.3">
      <c r="A34" s="13">
        <v>41695</v>
      </c>
      <c r="B34">
        <v>1.0133487727567381</v>
      </c>
    </row>
    <row r="35" spans="1:2" x14ac:dyDescent="0.3">
      <c r="A35" s="13">
        <v>41696</v>
      </c>
      <c r="B35">
        <v>1.015201613891269</v>
      </c>
    </row>
    <row r="36" spans="1:2" x14ac:dyDescent="0.3">
      <c r="A36" s="13">
        <v>41697</v>
      </c>
      <c r="B36">
        <v>0.99766237779367783</v>
      </c>
    </row>
    <row r="37" spans="1:2" x14ac:dyDescent="0.3">
      <c r="A37" s="13">
        <v>41698</v>
      </c>
      <c r="B37">
        <v>1.006933012870918</v>
      </c>
    </row>
    <row r="38" spans="1:2" x14ac:dyDescent="0.3">
      <c r="A38" s="13">
        <v>41701</v>
      </c>
      <c r="B38">
        <v>1.022011553915473</v>
      </c>
    </row>
    <row r="39" spans="1:2" x14ac:dyDescent="0.3">
      <c r="A39" s="13">
        <v>41702</v>
      </c>
      <c r="B39">
        <v>1.0172569556695159</v>
      </c>
    </row>
    <row r="40" spans="1:2" x14ac:dyDescent="0.3">
      <c r="A40" s="13">
        <v>41703</v>
      </c>
      <c r="B40">
        <v>1.0131120706492009</v>
      </c>
    </row>
    <row r="41" spans="1:2" x14ac:dyDescent="0.3">
      <c r="A41" s="13">
        <v>41704</v>
      </c>
      <c r="B41">
        <v>1.010105717199419</v>
      </c>
    </row>
    <row r="42" spans="1:2" x14ac:dyDescent="0.3">
      <c r="A42" s="13">
        <v>41705</v>
      </c>
      <c r="B42">
        <v>1.0098239236994311</v>
      </c>
    </row>
    <row r="43" spans="1:2" x14ac:dyDescent="0.3">
      <c r="A43" s="13">
        <v>41708</v>
      </c>
      <c r="B43">
        <v>0.98309461429783263</v>
      </c>
    </row>
    <row r="44" spans="1:2" x14ac:dyDescent="0.3">
      <c r="A44" s="13">
        <v>41709</v>
      </c>
      <c r="B44">
        <v>0.98246191432428331</v>
      </c>
    </row>
    <row r="45" spans="1:2" x14ac:dyDescent="0.3">
      <c r="A45" s="13">
        <v>41710</v>
      </c>
      <c r="B45">
        <v>0.98100029810765488</v>
      </c>
    </row>
    <row r="46" spans="1:2" x14ac:dyDescent="0.3">
      <c r="A46" s="13">
        <v>41711</v>
      </c>
      <c r="B46">
        <v>0.99505780377400666</v>
      </c>
    </row>
    <row r="47" spans="1:2" x14ac:dyDescent="0.3">
      <c r="A47" s="13">
        <v>41712</v>
      </c>
      <c r="B47">
        <v>0.99227117121142883</v>
      </c>
    </row>
    <row r="48" spans="1:2" x14ac:dyDescent="0.3">
      <c r="A48" s="13">
        <v>41715</v>
      </c>
      <c r="B48">
        <v>1.009078349808666</v>
      </c>
    </row>
    <row r="49" spans="1:2" x14ac:dyDescent="0.3">
      <c r="A49" s="13">
        <v>41716</v>
      </c>
      <c r="B49">
        <v>1.011954076219757</v>
      </c>
    </row>
    <row r="50" spans="1:2" x14ac:dyDescent="0.3">
      <c r="A50" s="13">
        <v>41717</v>
      </c>
      <c r="B50">
        <v>1.00319703035445</v>
      </c>
    </row>
    <row r="51" spans="1:2" x14ac:dyDescent="0.3">
      <c r="A51" s="13">
        <v>41718</v>
      </c>
      <c r="B51">
        <v>0.97947791687690722</v>
      </c>
    </row>
    <row r="52" spans="1:2" x14ac:dyDescent="0.3">
      <c r="A52" s="13">
        <v>41719</v>
      </c>
      <c r="B52">
        <v>0.99122541656014529</v>
      </c>
    </row>
    <row r="53" spans="1:2" x14ac:dyDescent="0.3">
      <c r="A53" s="13">
        <v>41722</v>
      </c>
      <c r="B53">
        <v>0.98882053263058423</v>
      </c>
    </row>
    <row r="54" spans="1:2" x14ac:dyDescent="0.3">
      <c r="A54" s="13">
        <v>41723</v>
      </c>
      <c r="B54">
        <v>0.98744380033218093</v>
      </c>
    </row>
    <row r="55" spans="1:2" x14ac:dyDescent="0.3">
      <c r="A55" s="13">
        <v>41724</v>
      </c>
      <c r="B55">
        <v>0.99429420527228274</v>
      </c>
    </row>
    <row r="56" spans="1:2" x14ac:dyDescent="0.3">
      <c r="A56" s="13">
        <v>41725</v>
      </c>
      <c r="B56">
        <v>0.97726114845598921</v>
      </c>
    </row>
    <row r="57" spans="1:2" x14ac:dyDescent="0.3">
      <c r="A57" s="13">
        <v>41726</v>
      </c>
      <c r="B57">
        <v>0.95852831105232517</v>
      </c>
    </row>
    <row r="58" spans="1:2" x14ac:dyDescent="0.3">
      <c r="A58" s="13">
        <v>41729</v>
      </c>
      <c r="B58">
        <v>0.95721033042895309</v>
      </c>
    </row>
    <row r="59" spans="1:2" x14ac:dyDescent="0.3">
      <c r="A59" s="13">
        <v>41730</v>
      </c>
      <c r="B59">
        <v>0.97032538715752137</v>
      </c>
    </row>
    <row r="60" spans="1:2" x14ac:dyDescent="0.3">
      <c r="A60" s="13">
        <v>41731</v>
      </c>
      <c r="B60">
        <v>0.96574072759400853</v>
      </c>
    </row>
    <row r="61" spans="1:2" x14ac:dyDescent="0.3">
      <c r="A61" s="13">
        <v>41732</v>
      </c>
      <c r="B61">
        <v>0.96385848965717369</v>
      </c>
    </row>
    <row r="62" spans="1:2" x14ac:dyDescent="0.3">
      <c r="A62" s="13">
        <v>41733</v>
      </c>
      <c r="B62">
        <v>0.97405615347989161</v>
      </c>
    </row>
    <row r="63" spans="1:2" x14ac:dyDescent="0.3">
      <c r="A63" s="13">
        <v>41737</v>
      </c>
      <c r="B63">
        <v>0.98369627215275846</v>
      </c>
    </row>
    <row r="64" spans="1:2" x14ac:dyDescent="0.3">
      <c r="A64" s="13">
        <v>41738</v>
      </c>
      <c r="B64">
        <v>0.9914440541235211</v>
      </c>
    </row>
    <row r="65" spans="1:2" x14ac:dyDescent="0.3">
      <c r="A65" s="13">
        <v>41739</v>
      </c>
      <c r="B65">
        <v>0.99779735502547473</v>
      </c>
    </row>
    <row r="66" spans="1:2" x14ac:dyDescent="0.3">
      <c r="A66" s="13">
        <v>41740</v>
      </c>
      <c r="B66">
        <v>0.9939041904470437</v>
      </c>
    </row>
    <row r="67" spans="1:2" x14ac:dyDescent="0.3">
      <c r="A67" s="13">
        <v>41743</v>
      </c>
      <c r="B67">
        <v>0.99702902234507096</v>
      </c>
    </row>
    <row r="68" spans="1:2" x14ac:dyDescent="0.3">
      <c r="A68" s="13">
        <v>41744</v>
      </c>
      <c r="B68">
        <v>0.98993860905909103</v>
      </c>
    </row>
    <row r="69" spans="1:2" x14ac:dyDescent="0.3">
      <c r="A69" s="13">
        <v>41745</v>
      </c>
      <c r="B69">
        <v>0.98770737365597028</v>
      </c>
    </row>
    <row r="70" spans="1:2" x14ac:dyDescent="0.3">
      <c r="A70" s="13">
        <v>41746</v>
      </c>
      <c r="B70">
        <v>0.9879947568558618</v>
      </c>
    </row>
    <row r="71" spans="1:2" x14ac:dyDescent="0.3">
      <c r="A71" s="13">
        <v>41747</v>
      </c>
      <c r="B71">
        <v>0.99070435021201741</v>
      </c>
    </row>
    <row r="72" spans="1:2" x14ac:dyDescent="0.3">
      <c r="A72" s="13">
        <v>41750</v>
      </c>
      <c r="B72">
        <v>0.98041058310702978</v>
      </c>
    </row>
    <row r="73" spans="1:2" x14ac:dyDescent="0.3">
      <c r="A73" s="13">
        <v>41751</v>
      </c>
      <c r="B73">
        <v>0.9721530538536779</v>
      </c>
    </row>
    <row r="74" spans="1:2" x14ac:dyDescent="0.3">
      <c r="A74" s="13">
        <v>41752</v>
      </c>
      <c r="B74">
        <v>0.96833622918397522</v>
      </c>
    </row>
    <row r="75" spans="1:2" x14ac:dyDescent="0.3">
      <c r="A75" s="13">
        <v>41753</v>
      </c>
      <c r="B75">
        <v>0.96234889773193466</v>
      </c>
    </row>
    <row r="76" spans="1:2" x14ac:dyDescent="0.3">
      <c r="A76" s="13">
        <v>41754</v>
      </c>
      <c r="B76">
        <v>0.94740721871523303</v>
      </c>
    </row>
    <row r="77" spans="1:2" x14ac:dyDescent="0.3">
      <c r="A77" s="13">
        <v>41757</v>
      </c>
      <c r="B77">
        <v>0.92695299318939905</v>
      </c>
    </row>
    <row r="78" spans="1:2" x14ac:dyDescent="0.3">
      <c r="A78" s="13">
        <v>41758</v>
      </c>
      <c r="B78">
        <v>0.93774904422916894</v>
      </c>
    </row>
    <row r="79" spans="1:2" x14ac:dyDescent="0.3">
      <c r="A79" s="13">
        <v>41759</v>
      </c>
      <c r="B79">
        <v>0.94504361334790754</v>
      </c>
    </row>
    <row r="80" spans="1:2" x14ac:dyDescent="0.3">
      <c r="A80" s="13">
        <v>41764</v>
      </c>
      <c r="B80">
        <v>0.95251895485759419</v>
      </c>
    </row>
    <row r="81" spans="1:2" x14ac:dyDescent="0.3">
      <c r="A81" s="13">
        <v>41765</v>
      </c>
      <c r="B81">
        <v>0.95753034616782906</v>
      </c>
    </row>
    <row r="82" spans="1:2" x14ac:dyDescent="0.3">
      <c r="A82" s="13">
        <v>41766</v>
      </c>
      <c r="B82">
        <v>0.94445178973207622</v>
      </c>
    </row>
    <row r="83" spans="1:2" x14ac:dyDescent="0.3">
      <c r="A83" s="13">
        <v>41767</v>
      </c>
      <c r="B83">
        <v>0.9412603519353212</v>
      </c>
    </row>
    <row r="84" spans="1:2" x14ac:dyDescent="0.3">
      <c r="A84" s="13">
        <v>41768</v>
      </c>
      <c r="B84">
        <v>0.93223533726653185</v>
      </c>
    </row>
    <row r="85" spans="1:2" x14ac:dyDescent="0.3">
      <c r="A85" s="13">
        <v>41771</v>
      </c>
      <c r="B85">
        <v>0.94501307198305395</v>
      </c>
    </row>
    <row r="86" spans="1:2" x14ac:dyDescent="0.3">
      <c r="A86" s="13">
        <v>41772</v>
      </c>
      <c r="B86">
        <v>0.94434299930072951</v>
      </c>
    </row>
    <row r="87" spans="1:2" x14ac:dyDescent="0.3">
      <c r="A87" s="13">
        <v>41773</v>
      </c>
      <c r="B87">
        <v>0.94510269343807274</v>
      </c>
    </row>
    <row r="88" spans="1:2" x14ac:dyDescent="0.3">
      <c r="A88" s="13">
        <v>41774</v>
      </c>
      <c r="B88">
        <v>0.93166772103616746</v>
      </c>
    </row>
    <row r="89" spans="1:2" x14ac:dyDescent="0.3">
      <c r="A89" s="13">
        <v>41775</v>
      </c>
      <c r="B89">
        <v>0.92608663465111896</v>
      </c>
    </row>
    <row r="90" spans="1:2" x14ac:dyDescent="0.3">
      <c r="A90" s="13">
        <v>41778</v>
      </c>
      <c r="B90">
        <v>0.92016874527042181</v>
      </c>
    </row>
    <row r="91" spans="1:2" x14ac:dyDescent="0.3">
      <c r="A91" s="13">
        <v>41779</v>
      </c>
      <c r="B91">
        <v>0.92369477828387159</v>
      </c>
    </row>
    <row r="92" spans="1:2" x14ac:dyDescent="0.3">
      <c r="A92" s="13">
        <v>41780</v>
      </c>
      <c r="B92">
        <v>0.93147898506892823</v>
      </c>
    </row>
    <row r="93" spans="1:2" x14ac:dyDescent="0.3">
      <c r="A93" s="13">
        <v>41781</v>
      </c>
      <c r="B93">
        <v>0.93447804205186258</v>
      </c>
    </row>
    <row r="94" spans="1:2" x14ac:dyDescent="0.3">
      <c r="A94" s="13">
        <v>41782</v>
      </c>
      <c r="B94">
        <v>0.94452815940889434</v>
      </c>
    </row>
    <row r="95" spans="1:2" x14ac:dyDescent="0.3">
      <c r="A95" s="13">
        <v>41785</v>
      </c>
      <c r="B95">
        <v>0.95408676012076477</v>
      </c>
    </row>
    <row r="96" spans="1:2" x14ac:dyDescent="0.3">
      <c r="A96" s="13">
        <v>41786</v>
      </c>
      <c r="B96">
        <v>0.95074823653533669</v>
      </c>
    </row>
    <row r="97" spans="1:2" x14ac:dyDescent="0.3">
      <c r="A97" s="13">
        <v>41787</v>
      </c>
      <c r="B97">
        <v>0.96279669095912568</v>
      </c>
    </row>
    <row r="98" spans="1:2" x14ac:dyDescent="0.3">
      <c r="A98" s="13">
        <v>41788</v>
      </c>
      <c r="B98">
        <v>0.95476623430149876</v>
      </c>
    </row>
    <row r="99" spans="1:2" x14ac:dyDescent="0.3">
      <c r="A99" s="13">
        <v>41789</v>
      </c>
      <c r="B99">
        <v>0.95606038720861009</v>
      </c>
    </row>
    <row r="100" spans="1:2" x14ac:dyDescent="0.3">
      <c r="A100" s="13">
        <v>41793</v>
      </c>
      <c r="B100">
        <v>0.95407774301709114</v>
      </c>
    </row>
    <row r="101" spans="1:2" x14ac:dyDescent="0.3">
      <c r="A101" s="13">
        <v>41794</v>
      </c>
      <c r="B101">
        <v>0.94793592247939307</v>
      </c>
    </row>
    <row r="102" spans="1:2" x14ac:dyDescent="0.3">
      <c r="A102" s="13">
        <v>41795</v>
      </c>
      <c r="B102">
        <v>0.95867123363376594</v>
      </c>
    </row>
    <row r="103" spans="1:2" x14ac:dyDescent="0.3">
      <c r="A103" s="13">
        <v>41796</v>
      </c>
      <c r="B103">
        <v>0.9568938714394648</v>
      </c>
    </row>
    <row r="104" spans="1:2" x14ac:dyDescent="0.3">
      <c r="A104" s="13">
        <v>41799</v>
      </c>
      <c r="B104">
        <v>0.95075796430005377</v>
      </c>
    </row>
    <row r="105" spans="1:2" x14ac:dyDescent="0.3">
      <c r="A105" s="13">
        <v>41800</v>
      </c>
      <c r="B105">
        <v>0.96232668623685991</v>
      </c>
    </row>
    <row r="106" spans="1:2" x14ac:dyDescent="0.3">
      <c r="A106" s="13">
        <v>41801</v>
      </c>
      <c r="B106">
        <v>0.96701250799846328</v>
      </c>
    </row>
    <row r="107" spans="1:2" x14ac:dyDescent="0.3">
      <c r="A107" s="13">
        <v>41802</v>
      </c>
      <c r="B107">
        <v>0.96593174769825307</v>
      </c>
    </row>
    <row r="108" spans="1:2" x14ac:dyDescent="0.3">
      <c r="A108" s="13">
        <v>41803</v>
      </c>
      <c r="B108">
        <v>0.97538322581063119</v>
      </c>
    </row>
    <row r="109" spans="1:2" x14ac:dyDescent="0.3">
      <c r="A109" s="13">
        <v>41806</v>
      </c>
      <c r="B109">
        <v>0.9802418753238693</v>
      </c>
    </row>
    <row r="110" spans="1:2" x14ac:dyDescent="0.3">
      <c r="A110" s="13">
        <v>41807</v>
      </c>
      <c r="B110">
        <v>0.970547350308266</v>
      </c>
    </row>
    <row r="111" spans="1:2" x14ac:dyDescent="0.3">
      <c r="A111" s="13">
        <v>41808</v>
      </c>
      <c r="B111">
        <v>0.96545345460321796</v>
      </c>
    </row>
    <row r="112" spans="1:2" x14ac:dyDescent="0.3">
      <c r="A112" s="13">
        <v>41809</v>
      </c>
      <c r="B112">
        <v>0.94692273320721698</v>
      </c>
    </row>
    <row r="113" spans="1:2" x14ac:dyDescent="0.3">
      <c r="A113" s="13">
        <v>41810</v>
      </c>
      <c r="B113">
        <v>0.95436665433480261</v>
      </c>
    </row>
    <row r="114" spans="1:2" x14ac:dyDescent="0.3">
      <c r="A114" s="13">
        <v>41813</v>
      </c>
      <c r="B114">
        <v>0.96225905176927673</v>
      </c>
    </row>
    <row r="115" spans="1:2" x14ac:dyDescent="0.3">
      <c r="A115" s="13">
        <v>41814</v>
      </c>
      <c r="B115">
        <v>0.96741179211596995</v>
      </c>
    </row>
    <row r="116" spans="1:2" x14ac:dyDescent="0.3">
      <c r="A116" s="13">
        <v>41815</v>
      </c>
      <c r="B116">
        <v>0.96389640001511767</v>
      </c>
    </row>
    <row r="117" spans="1:2" x14ac:dyDescent="0.3">
      <c r="A117" s="13">
        <v>41816</v>
      </c>
      <c r="B117">
        <v>0.9745920401340803</v>
      </c>
    </row>
    <row r="118" spans="1:2" x14ac:dyDescent="0.3">
      <c r="A118" s="13">
        <v>41817</v>
      </c>
      <c r="B118">
        <v>0.97762522206783142</v>
      </c>
    </row>
    <row r="119" spans="1:2" x14ac:dyDescent="0.3">
      <c r="A119" s="13">
        <v>41820</v>
      </c>
      <c r="B119">
        <v>0.98612538807091221</v>
      </c>
    </row>
    <row r="120" spans="1:2" x14ac:dyDescent="0.3">
      <c r="A120" s="13">
        <v>41821</v>
      </c>
      <c r="B120">
        <v>0.98817041107160208</v>
      </c>
    </row>
    <row r="121" spans="1:2" x14ac:dyDescent="0.3">
      <c r="A121" s="13">
        <v>41822</v>
      </c>
      <c r="B121">
        <v>0.99176425165209725</v>
      </c>
    </row>
    <row r="122" spans="1:2" x14ac:dyDescent="0.3">
      <c r="A122" s="13">
        <v>41823</v>
      </c>
      <c r="B122">
        <v>0.99683140078565968</v>
      </c>
    </row>
    <row r="123" spans="1:2" x14ac:dyDescent="0.3">
      <c r="A123" s="13">
        <v>41824</v>
      </c>
      <c r="B123">
        <v>0.99466594025727106</v>
      </c>
    </row>
    <row r="124" spans="1:2" x14ac:dyDescent="0.3">
      <c r="A124" s="13">
        <v>41827</v>
      </c>
      <c r="B124">
        <v>0.9908417461479514</v>
      </c>
    </row>
    <row r="125" spans="1:2" x14ac:dyDescent="0.3">
      <c r="A125" s="13">
        <v>41828</v>
      </c>
      <c r="B125">
        <v>0.99682979489855228</v>
      </c>
    </row>
    <row r="126" spans="1:2" x14ac:dyDescent="0.3">
      <c r="A126" s="13">
        <v>41829</v>
      </c>
      <c r="B126">
        <v>0.98355100426703845</v>
      </c>
    </row>
    <row r="127" spans="1:2" x14ac:dyDescent="0.3">
      <c r="A127" s="13">
        <v>41830</v>
      </c>
      <c r="B127">
        <v>0.97818818836543842</v>
      </c>
    </row>
    <row r="128" spans="1:2" x14ac:dyDescent="0.3">
      <c r="A128" s="13">
        <v>41831</v>
      </c>
      <c r="B128">
        <v>0.98141955245748924</v>
      </c>
    </row>
    <row r="129" spans="1:2" x14ac:dyDescent="0.3">
      <c r="A129" s="13">
        <v>41834</v>
      </c>
      <c r="B129">
        <v>0.99132387825399049</v>
      </c>
    </row>
    <row r="130" spans="1:2" x14ac:dyDescent="0.3">
      <c r="A130" s="13">
        <v>41835</v>
      </c>
      <c r="B130">
        <v>0.98721484881829824</v>
      </c>
    </row>
    <row r="131" spans="1:2" x14ac:dyDescent="0.3">
      <c r="A131" s="13">
        <v>41836</v>
      </c>
      <c r="B131">
        <v>0.97784812670334442</v>
      </c>
    </row>
    <row r="132" spans="1:2" x14ac:dyDescent="0.3">
      <c r="A132" s="13">
        <v>41837</v>
      </c>
      <c r="B132">
        <v>0.97369830047669392</v>
      </c>
    </row>
    <row r="133" spans="1:2" x14ac:dyDescent="0.3">
      <c r="A133" s="13">
        <v>41838</v>
      </c>
      <c r="B133">
        <v>0.9757406020121826</v>
      </c>
    </row>
    <row r="134" spans="1:2" x14ac:dyDescent="0.3">
      <c r="A134" s="13">
        <v>41841</v>
      </c>
      <c r="B134">
        <v>0.97696093102104231</v>
      </c>
    </row>
    <row r="135" spans="1:2" x14ac:dyDescent="0.3">
      <c r="A135" s="13">
        <v>41842</v>
      </c>
      <c r="B135">
        <v>0.98889002179026431</v>
      </c>
    </row>
    <row r="136" spans="1:2" x14ac:dyDescent="0.3">
      <c r="A136" s="13">
        <v>41843</v>
      </c>
      <c r="B136">
        <v>0.98002113720677098</v>
      </c>
    </row>
    <row r="137" spans="1:2" x14ac:dyDescent="0.3">
      <c r="A137" s="13">
        <v>41844</v>
      </c>
      <c r="B137">
        <v>0.97895652268487732</v>
      </c>
    </row>
    <row r="138" spans="1:2" x14ac:dyDescent="0.3">
      <c r="A138" s="13">
        <v>41845</v>
      </c>
      <c r="B138">
        <v>0.98540779194571704</v>
      </c>
    </row>
    <row r="139" spans="1:2" x14ac:dyDescent="0.3">
      <c r="A139" s="13">
        <v>41848</v>
      </c>
      <c r="B139">
        <v>1.000215630826639</v>
      </c>
    </row>
    <row r="140" spans="1:2" x14ac:dyDescent="0.3">
      <c r="A140" s="13">
        <v>41849</v>
      </c>
      <c r="B140">
        <v>1.0080909489031991</v>
      </c>
    </row>
    <row r="141" spans="1:2" x14ac:dyDescent="0.3">
      <c r="A141" s="13">
        <v>41850</v>
      </c>
      <c r="B141">
        <v>1.0099986060973021</v>
      </c>
    </row>
    <row r="142" spans="1:2" x14ac:dyDescent="0.3">
      <c r="A142" s="13">
        <v>41851</v>
      </c>
      <c r="B142">
        <v>1.016313928296839</v>
      </c>
    </row>
    <row r="143" spans="1:2" x14ac:dyDescent="0.3">
      <c r="A143" s="13">
        <v>41852</v>
      </c>
      <c r="B143">
        <v>1.008547707080921</v>
      </c>
    </row>
    <row r="144" spans="1:2" x14ac:dyDescent="0.3">
      <c r="A144" s="13">
        <v>41855</v>
      </c>
      <c r="B144">
        <v>1.0195944421607579</v>
      </c>
    </row>
    <row r="145" spans="1:2" x14ac:dyDescent="0.3">
      <c r="A145" s="13">
        <v>41856</v>
      </c>
      <c r="B145">
        <v>1.0229733784385631</v>
      </c>
    </row>
    <row r="146" spans="1:2" x14ac:dyDescent="0.3">
      <c r="A146" s="13">
        <v>41857</v>
      </c>
      <c r="B146">
        <v>1.0250699682179829</v>
      </c>
    </row>
    <row r="147" spans="1:2" x14ac:dyDescent="0.3">
      <c r="A147" s="13">
        <v>41858</v>
      </c>
      <c r="B147">
        <v>1.0177083934819131</v>
      </c>
    </row>
    <row r="148" spans="1:2" x14ac:dyDescent="0.3">
      <c r="A148" s="13">
        <v>41859</v>
      </c>
      <c r="B148">
        <v>1.0228449678963101</v>
      </c>
    </row>
    <row r="149" spans="1:2" x14ac:dyDescent="0.3">
      <c r="A149" s="13">
        <v>41862</v>
      </c>
      <c r="B149">
        <v>1.0362758130806611</v>
      </c>
    </row>
    <row r="150" spans="1:2" x14ac:dyDescent="0.3">
      <c r="A150" s="13">
        <v>41863</v>
      </c>
      <c r="B150">
        <v>1.0382144077180919</v>
      </c>
    </row>
    <row r="151" spans="1:2" x14ac:dyDescent="0.3">
      <c r="A151" s="13">
        <v>41864</v>
      </c>
      <c r="B151">
        <v>1.0361852965297771</v>
      </c>
    </row>
    <row r="152" spans="1:2" x14ac:dyDescent="0.3">
      <c r="A152" s="13">
        <v>41865</v>
      </c>
      <c r="B152">
        <v>1.0298943781472509</v>
      </c>
    </row>
    <row r="153" spans="1:2" x14ac:dyDescent="0.3">
      <c r="A153" s="13">
        <v>41866</v>
      </c>
      <c r="B153">
        <v>1.0385299744607279</v>
      </c>
    </row>
    <row r="154" spans="1:2" x14ac:dyDescent="0.3">
      <c r="A154" s="13">
        <v>41869</v>
      </c>
      <c r="B154">
        <v>1.04994474426094</v>
      </c>
    </row>
    <row r="155" spans="1:2" x14ac:dyDescent="0.3">
      <c r="A155" s="13">
        <v>41870</v>
      </c>
      <c r="B155">
        <v>1.051787211841692</v>
      </c>
    </row>
    <row r="156" spans="1:2" x14ac:dyDescent="0.3">
      <c r="A156" s="13">
        <v>41871</v>
      </c>
      <c r="B156">
        <v>1.0480953088434599</v>
      </c>
    </row>
    <row r="157" spans="1:2" x14ac:dyDescent="0.3">
      <c r="A157" s="13">
        <v>41872</v>
      </c>
      <c r="B157">
        <v>1.048421886554125</v>
      </c>
    </row>
    <row r="158" spans="1:2" x14ac:dyDescent="0.3">
      <c r="A158" s="13">
        <v>41873</v>
      </c>
      <c r="B158">
        <v>1.0545912504625159</v>
      </c>
    </row>
    <row r="159" spans="1:2" x14ac:dyDescent="0.3">
      <c r="A159" s="13">
        <v>41876</v>
      </c>
      <c r="B159">
        <v>1.0479507502343901</v>
      </c>
    </row>
    <row r="160" spans="1:2" x14ac:dyDescent="0.3">
      <c r="A160" s="13">
        <v>41877</v>
      </c>
      <c r="B160">
        <v>1.034042234100282</v>
      </c>
    </row>
    <row r="161" spans="1:2" x14ac:dyDescent="0.3">
      <c r="A161" s="13">
        <v>41878</v>
      </c>
      <c r="B161">
        <v>1.0377342752085641</v>
      </c>
    </row>
    <row r="162" spans="1:2" x14ac:dyDescent="0.3">
      <c r="A162" s="13">
        <v>41879</v>
      </c>
      <c r="B162">
        <v>1.031069850848277</v>
      </c>
    </row>
    <row r="163" spans="1:2" x14ac:dyDescent="0.3">
      <c r="A163" s="13">
        <v>41880</v>
      </c>
      <c r="B163">
        <v>1.04165520507062</v>
      </c>
    </row>
    <row r="164" spans="1:2" x14ac:dyDescent="0.3">
      <c r="A164" s="13">
        <v>41883</v>
      </c>
      <c r="B164">
        <v>1.0561564453183541</v>
      </c>
    </row>
    <row r="165" spans="1:2" x14ac:dyDescent="0.3">
      <c r="A165" s="13">
        <v>41884</v>
      </c>
      <c r="B165">
        <v>1.067329698638861</v>
      </c>
    </row>
    <row r="166" spans="1:2" x14ac:dyDescent="0.3">
      <c r="A166" s="13">
        <v>41885</v>
      </c>
      <c r="B166">
        <v>1.0746645845201881</v>
      </c>
    </row>
    <row r="167" spans="1:2" x14ac:dyDescent="0.3">
      <c r="A167" s="13">
        <v>41886</v>
      </c>
      <c r="B167">
        <v>1.0810466565069601</v>
      </c>
    </row>
    <row r="168" spans="1:2" x14ac:dyDescent="0.3">
      <c r="A168" s="13">
        <v>41887</v>
      </c>
      <c r="B168">
        <v>1.08461051616218</v>
      </c>
    </row>
    <row r="169" spans="1:2" x14ac:dyDescent="0.3">
      <c r="A169" s="13">
        <v>41891</v>
      </c>
      <c r="B169">
        <v>1.086812253820076</v>
      </c>
    </row>
    <row r="170" spans="1:2" x14ac:dyDescent="0.3">
      <c r="A170" s="13">
        <v>41892</v>
      </c>
      <c r="B170">
        <v>1.088628970478158</v>
      </c>
    </row>
    <row r="171" spans="1:2" x14ac:dyDescent="0.3">
      <c r="A171" s="13">
        <v>41893</v>
      </c>
      <c r="B171">
        <v>1.0871408615568341</v>
      </c>
    </row>
    <row r="172" spans="1:2" x14ac:dyDescent="0.3">
      <c r="A172" s="13">
        <v>41894</v>
      </c>
      <c r="B172">
        <v>1.0950035026462479</v>
      </c>
    </row>
    <row r="173" spans="1:2" x14ac:dyDescent="0.3">
      <c r="A173" s="13">
        <v>41897</v>
      </c>
      <c r="B173">
        <v>1.099858350953892</v>
      </c>
    </row>
    <row r="174" spans="1:2" x14ac:dyDescent="0.3">
      <c r="A174" s="13">
        <v>41898</v>
      </c>
      <c r="B174">
        <v>1.0690656465707029</v>
      </c>
    </row>
    <row r="175" spans="1:2" x14ac:dyDescent="0.3">
      <c r="A175" s="13">
        <v>41899</v>
      </c>
      <c r="B175">
        <v>1.073460076544192</v>
      </c>
    </row>
    <row r="176" spans="1:2" x14ac:dyDescent="0.3">
      <c r="A176" s="13">
        <v>41900</v>
      </c>
      <c r="B176">
        <v>1.0802268248830491</v>
      </c>
    </row>
    <row r="177" spans="1:2" x14ac:dyDescent="0.3">
      <c r="A177" s="13">
        <v>41901</v>
      </c>
      <c r="B177">
        <v>1.0898135256861889</v>
      </c>
    </row>
    <row r="178" spans="1:2" x14ac:dyDescent="0.3">
      <c r="A178" s="13">
        <v>41904</v>
      </c>
      <c r="B178">
        <v>1.0784912826083091</v>
      </c>
    </row>
    <row r="179" spans="1:2" x14ac:dyDescent="0.3">
      <c r="A179" s="13">
        <v>41905</v>
      </c>
      <c r="B179">
        <v>1.089411369002137</v>
      </c>
    </row>
    <row r="180" spans="1:2" x14ac:dyDescent="0.3">
      <c r="A180" s="13">
        <v>41906</v>
      </c>
      <c r="B180">
        <v>1.100946599146637</v>
      </c>
    </row>
    <row r="181" spans="1:2" x14ac:dyDescent="0.3">
      <c r="A181" s="13">
        <v>41907</v>
      </c>
      <c r="B181">
        <v>1.1009195379331089</v>
      </c>
    </row>
    <row r="182" spans="1:2" x14ac:dyDescent="0.3">
      <c r="A182" s="13">
        <v>41908</v>
      </c>
      <c r="B182">
        <v>1.102868872154722</v>
      </c>
    </row>
    <row r="183" spans="1:2" x14ac:dyDescent="0.3">
      <c r="A183" s="13">
        <v>41911</v>
      </c>
      <c r="B183">
        <v>1.109796408815364</v>
      </c>
    </row>
    <row r="184" spans="1:2" x14ac:dyDescent="0.3">
      <c r="A184" s="13">
        <v>41912</v>
      </c>
      <c r="B184">
        <v>1.1150623414758201</v>
      </c>
    </row>
    <row r="185" spans="1:2" x14ac:dyDescent="0.3">
      <c r="A185" s="13">
        <v>41920</v>
      </c>
      <c r="B185">
        <v>1.1277989345172741</v>
      </c>
    </row>
    <row r="186" spans="1:2" x14ac:dyDescent="0.3">
      <c r="A186" s="13">
        <v>41921</v>
      </c>
      <c r="B186">
        <v>1.128624222375421</v>
      </c>
    </row>
    <row r="187" spans="1:2" x14ac:dyDescent="0.3">
      <c r="A187" s="13">
        <v>41922</v>
      </c>
      <c r="B187">
        <v>1.1220686372638811</v>
      </c>
    </row>
    <row r="188" spans="1:2" x14ac:dyDescent="0.3">
      <c r="A188" s="13">
        <v>41925</v>
      </c>
      <c r="B188">
        <v>1.1178150734670369</v>
      </c>
    </row>
    <row r="189" spans="1:2" x14ac:dyDescent="0.3">
      <c r="A189" s="13">
        <v>41926</v>
      </c>
      <c r="B189">
        <v>1.1135567334357219</v>
      </c>
    </row>
    <row r="190" spans="1:2" x14ac:dyDescent="0.3">
      <c r="A190" s="13">
        <v>41927</v>
      </c>
      <c r="B190">
        <v>1.117796277864888</v>
      </c>
    </row>
    <row r="191" spans="1:2" x14ac:dyDescent="0.3">
      <c r="A191" s="13">
        <v>41928</v>
      </c>
      <c r="B191">
        <v>1.105827580377247</v>
      </c>
    </row>
    <row r="192" spans="1:2" x14ac:dyDescent="0.3">
      <c r="A192" s="13">
        <v>41929</v>
      </c>
      <c r="B192">
        <v>1.09901004976432</v>
      </c>
    </row>
    <row r="193" spans="1:2" x14ac:dyDescent="0.3">
      <c r="A193" s="13">
        <v>41932</v>
      </c>
      <c r="B193">
        <v>1.11145705774359</v>
      </c>
    </row>
    <row r="194" spans="1:2" x14ac:dyDescent="0.3">
      <c r="A194" s="13">
        <v>41933</v>
      </c>
      <c r="B194">
        <v>1.1039065323180339</v>
      </c>
    </row>
    <row r="195" spans="1:2" x14ac:dyDescent="0.3">
      <c r="A195" s="13">
        <v>41934</v>
      </c>
      <c r="B195">
        <v>1.0942178371904081</v>
      </c>
    </row>
    <row r="196" spans="1:2" x14ac:dyDescent="0.3">
      <c r="A196" s="13">
        <v>41935</v>
      </c>
      <c r="B196">
        <v>1.081378674707079</v>
      </c>
    </row>
    <row r="197" spans="1:2" x14ac:dyDescent="0.3">
      <c r="A197" s="13">
        <v>41936</v>
      </c>
      <c r="B197">
        <v>1.083360100627244</v>
      </c>
    </row>
    <row r="198" spans="1:2" x14ac:dyDescent="0.3">
      <c r="A198" s="13">
        <v>41939</v>
      </c>
      <c r="B198">
        <v>1.0898755196757779</v>
      </c>
    </row>
    <row r="199" spans="1:2" x14ac:dyDescent="0.3">
      <c r="A199" s="13">
        <v>41940</v>
      </c>
      <c r="B199">
        <v>1.110429976709616</v>
      </c>
    </row>
    <row r="200" spans="1:2" x14ac:dyDescent="0.3">
      <c r="A200" s="13">
        <v>41941</v>
      </c>
      <c r="B200">
        <v>1.121095857938925</v>
      </c>
    </row>
    <row r="201" spans="1:2" x14ac:dyDescent="0.3">
      <c r="A201" s="13">
        <v>41942</v>
      </c>
      <c r="B201">
        <v>1.120577557033495</v>
      </c>
    </row>
    <row r="202" spans="1:2" x14ac:dyDescent="0.3">
      <c r="A202" s="13">
        <v>41943</v>
      </c>
      <c r="B202">
        <v>1.1182868076208681</v>
      </c>
    </row>
    <row r="203" spans="1:2" x14ac:dyDescent="0.3">
      <c r="A203" s="13">
        <v>41946</v>
      </c>
      <c r="B203">
        <v>1.1236604670886521</v>
      </c>
    </row>
    <row r="204" spans="1:2" x14ac:dyDescent="0.3">
      <c r="A204" s="13">
        <v>41947</v>
      </c>
      <c r="B204">
        <v>1.117278483172115</v>
      </c>
    </row>
    <row r="205" spans="1:2" x14ac:dyDescent="0.3">
      <c r="A205" s="13">
        <v>41948</v>
      </c>
      <c r="B205">
        <v>1.115882345705264</v>
      </c>
    </row>
    <row r="206" spans="1:2" x14ac:dyDescent="0.3">
      <c r="A206" s="13">
        <v>41949</v>
      </c>
      <c r="B206">
        <v>1.1237439419341479</v>
      </c>
    </row>
    <row r="207" spans="1:2" x14ac:dyDescent="0.3">
      <c r="A207" s="13">
        <v>41950</v>
      </c>
      <c r="B207">
        <v>1.118912680363912</v>
      </c>
    </row>
    <row r="208" spans="1:2" x14ac:dyDescent="0.3">
      <c r="A208" s="13">
        <v>41953</v>
      </c>
      <c r="B208">
        <v>1.127755023018115</v>
      </c>
    </row>
    <row r="209" spans="1:2" x14ac:dyDescent="0.3">
      <c r="A209" s="13">
        <v>41954</v>
      </c>
      <c r="B209">
        <v>1.104376976740727</v>
      </c>
    </row>
    <row r="210" spans="1:2" x14ac:dyDescent="0.3">
      <c r="A210" s="13">
        <v>41955</v>
      </c>
      <c r="B210">
        <v>1.118774708228768</v>
      </c>
    </row>
    <row r="211" spans="1:2" x14ac:dyDescent="0.3">
      <c r="A211" s="13">
        <v>41956</v>
      </c>
      <c r="B211">
        <v>1.105756582182285</v>
      </c>
    </row>
    <row r="212" spans="1:2" x14ac:dyDescent="0.3">
      <c r="A212" s="13">
        <v>41957</v>
      </c>
      <c r="B212">
        <v>1.102861608228566</v>
      </c>
    </row>
    <row r="213" spans="1:2" x14ac:dyDescent="0.3">
      <c r="A213" s="13">
        <v>41960</v>
      </c>
      <c r="B213">
        <v>1.111224875982384</v>
      </c>
    </row>
    <row r="214" spans="1:2" x14ac:dyDescent="0.3">
      <c r="A214" s="13">
        <v>41961</v>
      </c>
      <c r="B214">
        <v>1.1110171488113461</v>
      </c>
    </row>
    <row r="215" spans="1:2" x14ac:dyDescent="0.3">
      <c r="A215" s="13">
        <v>41962</v>
      </c>
      <c r="B215">
        <v>1.1165164277680879</v>
      </c>
    </row>
    <row r="216" spans="1:2" x14ac:dyDescent="0.3">
      <c r="A216" s="13">
        <v>41963</v>
      </c>
      <c r="B216">
        <v>1.11472289240708</v>
      </c>
    </row>
    <row r="217" spans="1:2" x14ac:dyDescent="0.3">
      <c r="A217" s="13">
        <v>41964</v>
      </c>
      <c r="B217">
        <v>1.1270931693362789</v>
      </c>
    </row>
    <row r="218" spans="1:2" x14ac:dyDescent="0.3">
      <c r="A218" s="13">
        <v>41967</v>
      </c>
      <c r="B218">
        <v>1.14193516308739</v>
      </c>
    </row>
    <row r="219" spans="1:2" x14ac:dyDescent="0.3">
      <c r="A219" s="13">
        <v>41968</v>
      </c>
      <c r="B219">
        <v>1.157441571630097</v>
      </c>
    </row>
    <row r="220" spans="1:2" x14ac:dyDescent="0.3">
      <c r="A220" s="13">
        <v>41969</v>
      </c>
      <c r="B220">
        <v>1.1677592029300561</v>
      </c>
    </row>
    <row r="221" spans="1:2" x14ac:dyDescent="0.3">
      <c r="A221" s="13">
        <v>41970</v>
      </c>
      <c r="B221">
        <v>1.176173465893062</v>
      </c>
    </row>
    <row r="222" spans="1:2" x14ac:dyDescent="0.3">
      <c r="A222" s="13">
        <v>41971</v>
      </c>
      <c r="B222">
        <v>1.18351610078188</v>
      </c>
    </row>
    <row r="223" spans="1:2" x14ac:dyDescent="0.3">
      <c r="A223" s="13">
        <v>41974</v>
      </c>
      <c r="B223">
        <v>1.1775280550971761</v>
      </c>
    </row>
    <row r="224" spans="1:2" x14ac:dyDescent="0.3">
      <c r="A224" s="13">
        <v>41975</v>
      </c>
      <c r="B224">
        <v>1.199097265722562</v>
      </c>
    </row>
    <row r="225" spans="1:2" x14ac:dyDescent="0.3">
      <c r="A225" s="13">
        <v>41976</v>
      </c>
      <c r="B225">
        <v>1.207717355494901</v>
      </c>
    </row>
    <row r="226" spans="1:2" x14ac:dyDescent="0.3">
      <c r="A226" s="13">
        <v>41977</v>
      </c>
      <c r="B226">
        <v>1.240490070691312</v>
      </c>
    </row>
    <row r="227" spans="1:2" x14ac:dyDescent="0.3">
      <c r="A227" s="13">
        <v>41978</v>
      </c>
      <c r="B227">
        <v>1.228794540683037</v>
      </c>
    </row>
    <row r="228" spans="1:2" x14ac:dyDescent="0.3">
      <c r="A228" s="13">
        <v>41981</v>
      </c>
      <c r="B228">
        <v>1.244078358165805</v>
      </c>
    </row>
    <row r="229" spans="1:2" x14ac:dyDescent="0.3">
      <c r="A229" s="13">
        <v>41982</v>
      </c>
      <c r="B229">
        <v>1.186791734228853</v>
      </c>
    </row>
    <row r="230" spans="1:2" x14ac:dyDescent="0.3">
      <c r="A230" s="13">
        <v>41983</v>
      </c>
      <c r="B230">
        <v>1.220660425919321</v>
      </c>
    </row>
    <row r="231" spans="1:2" x14ac:dyDescent="0.3">
      <c r="A231" s="13">
        <v>41984</v>
      </c>
      <c r="B231">
        <v>1.222370631057502</v>
      </c>
    </row>
    <row r="232" spans="1:2" x14ac:dyDescent="0.3">
      <c r="A232" s="13">
        <v>41985</v>
      </c>
      <c r="B232">
        <v>1.233268724269029</v>
      </c>
    </row>
    <row r="233" spans="1:2" x14ac:dyDescent="0.3">
      <c r="A233" s="13">
        <v>41988</v>
      </c>
      <c r="B233">
        <v>1.2507778607819771</v>
      </c>
    </row>
    <row r="234" spans="1:2" x14ac:dyDescent="0.3">
      <c r="A234" s="13">
        <v>41989</v>
      </c>
      <c r="B234">
        <v>1.261738337023057</v>
      </c>
    </row>
    <row r="235" spans="1:2" x14ac:dyDescent="0.3">
      <c r="A235" s="13">
        <v>41990</v>
      </c>
      <c r="B235">
        <v>1.262406083210156</v>
      </c>
    </row>
    <row r="236" spans="1:2" x14ac:dyDescent="0.3">
      <c r="A236" s="13">
        <v>41991</v>
      </c>
      <c r="B236">
        <v>1.2578344141495059</v>
      </c>
    </row>
    <row r="237" spans="1:2" x14ac:dyDescent="0.3">
      <c r="A237" s="13">
        <v>41992</v>
      </c>
      <c r="B237">
        <v>1.2506522670027509</v>
      </c>
    </row>
    <row r="238" spans="1:2" x14ac:dyDescent="0.3">
      <c r="A238" s="13">
        <v>41995</v>
      </c>
      <c r="B238">
        <v>1.219479792126648</v>
      </c>
    </row>
    <row r="239" spans="1:2" x14ac:dyDescent="0.3">
      <c r="A239" s="13">
        <v>41996</v>
      </c>
      <c r="B239">
        <v>1.199169691708579</v>
      </c>
    </row>
    <row r="240" spans="1:2" x14ac:dyDescent="0.3">
      <c r="A240" s="13">
        <v>41997</v>
      </c>
      <c r="B240">
        <v>1.194245997276711</v>
      </c>
    </row>
    <row r="241" spans="1:2" x14ac:dyDescent="0.3">
      <c r="A241" s="13">
        <v>41998</v>
      </c>
      <c r="B241">
        <v>1.2181557324421539</v>
      </c>
    </row>
    <row r="242" spans="1:2" x14ac:dyDescent="0.3">
      <c r="A242" s="13">
        <v>41999</v>
      </c>
      <c r="B242">
        <v>1.237567926943544</v>
      </c>
    </row>
    <row r="243" spans="1:2" x14ac:dyDescent="0.3">
      <c r="A243" s="13">
        <v>42002</v>
      </c>
      <c r="B243">
        <v>1.22984034443656</v>
      </c>
    </row>
    <row r="244" spans="1:2" x14ac:dyDescent="0.3">
      <c r="A244" s="13">
        <v>42003</v>
      </c>
      <c r="B244">
        <v>1.219665259700665</v>
      </c>
    </row>
    <row r="245" spans="1:2" x14ac:dyDescent="0.3">
      <c r="A245" s="13">
        <v>42004</v>
      </c>
      <c r="B245">
        <v>1.2388110237219381</v>
      </c>
    </row>
    <row r="246" spans="1:2" x14ac:dyDescent="0.3">
      <c r="A246" s="13">
        <v>42009</v>
      </c>
      <c r="B246">
        <v>1.2593821259747671</v>
      </c>
    </row>
    <row r="247" spans="1:2" x14ac:dyDescent="0.3">
      <c r="A247" s="13">
        <v>42010</v>
      </c>
      <c r="B247">
        <v>1.268579093810168</v>
      </c>
    </row>
    <row r="248" spans="1:2" x14ac:dyDescent="0.3">
      <c r="A248" s="13">
        <v>42011</v>
      </c>
      <c r="B248">
        <v>1.2673505852866089</v>
      </c>
    </row>
    <row r="249" spans="1:2" x14ac:dyDescent="0.3">
      <c r="A249" s="13">
        <v>42012</v>
      </c>
      <c r="B249">
        <v>1.255458173575948</v>
      </c>
    </row>
    <row r="250" spans="1:2" x14ac:dyDescent="0.3">
      <c r="A250" s="13">
        <v>42013</v>
      </c>
      <c r="B250">
        <v>1.2538651502071929</v>
      </c>
    </row>
    <row r="251" spans="1:2" x14ac:dyDescent="0.3">
      <c r="A251" s="13">
        <v>42016</v>
      </c>
      <c r="B251">
        <v>1.2519889577131811</v>
      </c>
    </row>
    <row r="252" spans="1:2" x14ac:dyDescent="0.3">
      <c r="A252" s="13">
        <v>42017</v>
      </c>
      <c r="B252">
        <v>1.26415507202702</v>
      </c>
    </row>
    <row r="253" spans="1:2" x14ac:dyDescent="0.3">
      <c r="A253" s="13">
        <v>42018</v>
      </c>
      <c r="B253">
        <v>1.2592809238234799</v>
      </c>
    </row>
    <row r="254" spans="1:2" x14ac:dyDescent="0.3">
      <c r="A254" s="13">
        <v>42019</v>
      </c>
      <c r="B254">
        <v>1.2774860060730879</v>
      </c>
    </row>
    <row r="255" spans="1:2" x14ac:dyDescent="0.3">
      <c r="A255" s="13">
        <v>42020</v>
      </c>
      <c r="B255">
        <v>1.2936925968510049</v>
      </c>
    </row>
    <row r="256" spans="1:2" x14ac:dyDescent="0.3">
      <c r="A256" s="13">
        <v>42023</v>
      </c>
      <c r="B256">
        <v>1.242404987241561</v>
      </c>
    </row>
    <row r="257" spans="1:2" x14ac:dyDescent="0.3">
      <c r="A257" s="13">
        <v>42024</v>
      </c>
      <c r="B257">
        <v>1.276835798496033</v>
      </c>
    </row>
    <row r="258" spans="1:2" x14ac:dyDescent="0.3">
      <c r="A258" s="13">
        <v>42025</v>
      </c>
      <c r="B258">
        <v>1.3094679308922139</v>
      </c>
    </row>
    <row r="259" spans="1:2" x14ac:dyDescent="0.3">
      <c r="A259" s="13">
        <v>42026</v>
      </c>
      <c r="B259">
        <v>1.3201540869891459</v>
      </c>
    </row>
    <row r="260" spans="1:2" x14ac:dyDescent="0.3">
      <c r="A260" s="13">
        <v>42027</v>
      </c>
      <c r="B260">
        <v>1.3083968382238429</v>
      </c>
    </row>
    <row r="261" spans="1:2" x14ac:dyDescent="0.3">
      <c r="A261" s="13">
        <v>42030</v>
      </c>
      <c r="B261">
        <v>1.328546141786449</v>
      </c>
    </row>
    <row r="262" spans="1:2" x14ac:dyDescent="0.3">
      <c r="A262" s="13">
        <v>42031</v>
      </c>
      <c r="B262">
        <v>1.328401636505693</v>
      </c>
    </row>
    <row r="263" spans="1:2" x14ac:dyDescent="0.3">
      <c r="A263" s="13">
        <v>42032</v>
      </c>
      <c r="B263">
        <v>1.314883480388239</v>
      </c>
    </row>
    <row r="264" spans="1:2" x14ac:dyDescent="0.3">
      <c r="A264" s="13">
        <v>42033</v>
      </c>
      <c r="B264">
        <v>1.3050046194383469</v>
      </c>
    </row>
    <row r="265" spans="1:2" x14ac:dyDescent="0.3">
      <c r="A265" s="13">
        <v>42034</v>
      </c>
      <c r="B265">
        <v>1.2902010800588519</v>
      </c>
    </row>
    <row r="266" spans="1:2" x14ac:dyDescent="0.3">
      <c r="A266" s="13">
        <v>42037</v>
      </c>
      <c r="B266">
        <v>1.2852796789246539</v>
      </c>
    </row>
    <row r="267" spans="1:2" x14ac:dyDescent="0.3">
      <c r="A267" s="13">
        <v>42038</v>
      </c>
      <c r="B267">
        <v>1.31092198418015</v>
      </c>
    </row>
    <row r="268" spans="1:2" x14ac:dyDescent="0.3">
      <c r="A268" s="13">
        <v>42039</v>
      </c>
      <c r="B268">
        <v>1.3072621451311941</v>
      </c>
    </row>
    <row r="269" spans="1:2" x14ac:dyDescent="0.3">
      <c r="A269" s="13">
        <v>42040</v>
      </c>
      <c r="B269">
        <v>1.3042540148320241</v>
      </c>
    </row>
    <row r="270" spans="1:2" x14ac:dyDescent="0.3">
      <c r="A270" s="13">
        <v>42041</v>
      </c>
      <c r="B270">
        <v>1.2803893952552241</v>
      </c>
    </row>
    <row r="271" spans="1:2" x14ac:dyDescent="0.3">
      <c r="A271" s="13">
        <v>42044</v>
      </c>
      <c r="B271">
        <v>1.275581285207062</v>
      </c>
    </row>
    <row r="272" spans="1:2" x14ac:dyDescent="0.3">
      <c r="A272" s="13">
        <v>42045</v>
      </c>
      <c r="B272">
        <v>1.294850624477045</v>
      </c>
    </row>
    <row r="273" spans="1:2" x14ac:dyDescent="0.3">
      <c r="A273" s="13">
        <v>42046</v>
      </c>
      <c r="B273">
        <v>1.3132656539363621</v>
      </c>
    </row>
    <row r="274" spans="1:2" x14ac:dyDescent="0.3">
      <c r="A274" s="13">
        <v>42047</v>
      </c>
      <c r="B274">
        <v>1.3202236777936029</v>
      </c>
    </row>
    <row r="275" spans="1:2" x14ac:dyDescent="0.3">
      <c r="A275" s="13">
        <v>42048</v>
      </c>
      <c r="B275">
        <v>1.337794571972138</v>
      </c>
    </row>
    <row r="276" spans="1:2" x14ac:dyDescent="0.3">
      <c r="A276" s="13">
        <v>42051</v>
      </c>
      <c r="B276">
        <v>1.362237728839637</v>
      </c>
    </row>
    <row r="277" spans="1:2" x14ac:dyDescent="0.3">
      <c r="A277" s="13">
        <v>42052</v>
      </c>
      <c r="B277">
        <v>1.3707950994158229</v>
      </c>
    </row>
    <row r="278" spans="1:2" x14ac:dyDescent="0.3">
      <c r="A278" s="13">
        <v>42060</v>
      </c>
      <c r="B278">
        <v>1.3540186102425009</v>
      </c>
    </row>
    <row r="279" spans="1:2" x14ac:dyDescent="0.3">
      <c r="A279" s="13">
        <v>42061</v>
      </c>
      <c r="B279">
        <v>1.3647092465984061</v>
      </c>
    </row>
    <row r="280" spans="1:2" x14ac:dyDescent="0.3">
      <c r="A280" s="13">
        <v>42062</v>
      </c>
      <c r="B280">
        <v>1.377429665451174</v>
      </c>
    </row>
    <row r="281" spans="1:2" x14ac:dyDescent="0.3">
      <c r="A281" s="13">
        <v>42065</v>
      </c>
      <c r="B281">
        <v>1.401842507474744</v>
      </c>
    </row>
    <row r="282" spans="1:2" x14ac:dyDescent="0.3">
      <c r="A282" s="13">
        <v>42066</v>
      </c>
      <c r="B282">
        <v>1.384521357207219</v>
      </c>
    </row>
    <row r="283" spans="1:2" x14ac:dyDescent="0.3">
      <c r="A283" s="13">
        <v>42067</v>
      </c>
      <c r="B283">
        <v>1.403914644365186</v>
      </c>
    </row>
    <row r="284" spans="1:2" x14ac:dyDescent="0.3">
      <c r="A284" s="13">
        <v>42068</v>
      </c>
      <c r="B284">
        <v>1.4023276196623231</v>
      </c>
    </row>
    <row r="285" spans="1:2" x14ac:dyDescent="0.3">
      <c r="A285" s="13">
        <v>42069</v>
      </c>
      <c r="B285">
        <v>1.377906559044026</v>
      </c>
    </row>
    <row r="286" spans="1:2" x14ac:dyDescent="0.3">
      <c r="A286" s="13">
        <v>42072</v>
      </c>
      <c r="B286">
        <v>1.398622177018946</v>
      </c>
    </row>
    <row r="287" spans="1:2" x14ac:dyDescent="0.3">
      <c r="A287" s="13">
        <v>42073</v>
      </c>
      <c r="B287">
        <v>1.414111104238811</v>
      </c>
    </row>
    <row r="288" spans="1:2" x14ac:dyDescent="0.3">
      <c r="A288" s="13">
        <v>42074</v>
      </c>
      <c r="B288">
        <v>1.4122449666094159</v>
      </c>
    </row>
    <row r="289" spans="1:2" x14ac:dyDescent="0.3">
      <c r="A289" s="13">
        <v>42075</v>
      </c>
      <c r="B289">
        <v>1.409967509826787</v>
      </c>
    </row>
    <row r="290" spans="1:2" x14ac:dyDescent="0.3">
      <c r="A290" s="13">
        <v>42076</v>
      </c>
      <c r="B290">
        <v>1.430510879384026</v>
      </c>
    </row>
    <row r="291" spans="1:2" x14ac:dyDescent="0.3">
      <c r="A291" s="13">
        <v>42079</v>
      </c>
      <c r="B291">
        <v>1.475972086249858</v>
      </c>
    </row>
    <row r="292" spans="1:2" x14ac:dyDescent="0.3">
      <c r="A292" s="13">
        <v>42080</v>
      </c>
      <c r="B292">
        <v>1.4866560390262951</v>
      </c>
    </row>
    <row r="293" spans="1:2" x14ac:dyDescent="0.3">
      <c r="A293" s="13">
        <v>42081</v>
      </c>
      <c r="B293">
        <v>1.5124888304325159</v>
      </c>
    </row>
    <row r="294" spans="1:2" x14ac:dyDescent="0.3">
      <c r="A294" s="13">
        <v>42082</v>
      </c>
      <c r="B294">
        <v>1.515324207101632</v>
      </c>
    </row>
    <row r="295" spans="1:2" x14ac:dyDescent="0.3">
      <c r="A295" s="13">
        <v>42083</v>
      </c>
      <c r="B295">
        <v>1.5364739461733301</v>
      </c>
    </row>
    <row r="296" spans="1:2" x14ac:dyDescent="0.3">
      <c r="A296" s="13">
        <v>42086</v>
      </c>
      <c r="B296">
        <v>1.580874784708264</v>
      </c>
    </row>
    <row r="297" spans="1:2" x14ac:dyDescent="0.3">
      <c r="A297" s="13">
        <v>42087</v>
      </c>
      <c r="B297">
        <v>1.6001066931645731</v>
      </c>
    </row>
    <row r="298" spans="1:2" x14ac:dyDescent="0.3">
      <c r="A298" s="13">
        <v>42088</v>
      </c>
      <c r="B298">
        <v>1.6096223864873109</v>
      </c>
    </row>
    <row r="299" spans="1:2" x14ac:dyDescent="0.3">
      <c r="A299" s="13">
        <v>42089</v>
      </c>
      <c r="B299">
        <v>1.579917881731888</v>
      </c>
    </row>
    <row r="300" spans="1:2" x14ac:dyDescent="0.3">
      <c r="A300" s="13">
        <v>42090</v>
      </c>
      <c r="B300">
        <v>1.597142052886581</v>
      </c>
    </row>
    <row r="301" spans="1:2" x14ac:dyDescent="0.3">
      <c r="A301" s="13">
        <v>42093</v>
      </c>
      <c r="B301">
        <v>1.604410483842136</v>
      </c>
    </row>
    <row r="302" spans="1:2" x14ac:dyDescent="0.3">
      <c r="A302" s="13">
        <v>42094</v>
      </c>
      <c r="B302">
        <v>1.6118964683283481</v>
      </c>
    </row>
    <row r="303" spans="1:2" x14ac:dyDescent="0.3">
      <c r="A303" s="13">
        <v>42095</v>
      </c>
      <c r="B303">
        <v>1.6500660895667829</v>
      </c>
    </row>
    <row r="304" spans="1:2" x14ac:dyDescent="0.3">
      <c r="A304" s="13">
        <v>42096</v>
      </c>
      <c r="B304">
        <v>1.675474610891059</v>
      </c>
    </row>
    <row r="305" spans="1:2" x14ac:dyDescent="0.3">
      <c r="A305" s="13">
        <v>42097</v>
      </c>
      <c r="B305">
        <v>1.7007614599864831</v>
      </c>
    </row>
    <row r="306" spans="1:2" x14ac:dyDescent="0.3">
      <c r="A306" s="13">
        <v>42101</v>
      </c>
      <c r="B306">
        <v>1.7316520120629439</v>
      </c>
    </row>
    <row r="307" spans="1:2" x14ac:dyDescent="0.3">
      <c r="A307" s="13">
        <v>42102</v>
      </c>
      <c r="B307">
        <v>1.7151747305262539</v>
      </c>
    </row>
    <row r="308" spans="1:2" x14ac:dyDescent="0.3">
      <c r="A308" s="13">
        <v>42103</v>
      </c>
      <c r="B308">
        <v>1.7067522731088809</v>
      </c>
    </row>
    <row r="309" spans="1:2" x14ac:dyDescent="0.3">
      <c r="A309" s="13">
        <v>42104</v>
      </c>
      <c r="B309">
        <v>1.7465621113920411</v>
      </c>
    </row>
    <row r="310" spans="1:2" x14ac:dyDescent="0.3">
      <c r="A310" s="13">
        <v>42107</v>
      </c>
      <c r="B310">
        <v>1.7750093072202779</v>
      </c>
    </row>
    <row r="311" spans="1:2" x14ac:dyDescent="0.3">
      <c r="A311" s="13">
        <v>42108</v>
      </c>
      <c r="B311">
        <v>1.76897692643569</v>
      </c>
    </row>
    <row r="312" spans="1:2" x14ac:dyDescent="0.3">
      <c r="A312" s="13">
        <v>42109</v>
      </c>
      <c r="B312">
        <v>1.709343097374028</v>
      </c>
    </row>
    <row r="313" spans="1:2" x14ac:dyDescent="0.3">
      <c r="A313" s="13">
        <v>42110</v>
      </c>
      <c r="B313">
        <v>1.735464233060904</v>
      </c>
    </row>
    <row r="314" spans="1:2" x14ac:dyDescent="0.3">
      <c r="A314" s="13">
        <v>42111</v>
      </c>
      <c r="B314">
        <v>1.7388313018988331</v>
      </c>
    </row>
    <row r="315" spans="1:2" x14ac:dyDescent="0.3">
      <c r="A315" s="13">
        <v>42114</v>
      </c>
      <c r="B315">
        <v>1.6970430193760779</v>
      </c>
    </row>
    <row r="316" spans="1:2" x14ac:dyDescent="0.3">
      <c r="A316" s="13">
        <v>42115</v>
      </c>
      <c r="B316">
        <v>1.755444371436871</v>
      </c>
    </row>
    <row r="317" spans="1:2" x14ac:dyDescent="0.3">
      <c r="A317" s="13">
        <v>42116</v>
      </c>
      <c r="B317">
        <v>1.8017164461356709</v>
      </c>
    </row>
    <row r="318" spans="1:2" x14ac:dyDescent="0.3">
      <c r="A318" s="13">
        <v>42117</v>
      </c>
      <c r="B318">
        <v>1.816107529000347</v>
      </c>
    </row>
    <row r="319" spans="1:2" x14ac:dyDescent="0.3">
      <c r="A319" s="13">
        <v>42118</v>
      </c>
      <c r="B319">
        <v>1.8111022540109341</v>
      </c>
    </row>
    <row r="320" spans="1:2" x14ac:dyDescent="0.3">
      <c r="A320" s="13">
        <v>42121</v>
      </c>
      <c r="B320">
        <v>1.824740914494053</v>
      </c>
    </row>
    <row r="321" spans="1:2" x14ac:dyDescent="0.3">
      <c r="A321" s="13">
        <v>42122</v>
      </c>
      <c r="B321">
        <v>1.778770381245395</v>
      </c>
    </row>
    <row r="322" spans="1:2" x14ac:dyDescent="0.3">
      <c r="A322" s="13">
        <v>42123</v>
      </c>
      <c r="B322">
        <v>1.815245111578585</v>
      </c>
    </row>
    <row r="323" spans="1:2" x14ac:dyDescent="0.3">
      <c r="A323" s="13">
        <v>42124</v>
      </c>
      <c r="B323">
        <v>1.833136585340998</v>
      </c>
    </row>
    <row r="324" spans="1:2" x14ac:dyDescent="0.3">
      <c r="A324" s="13">
        <v>42128</v>
      </c>
      <c r="B324">
        <v>1.835860000261891</v>
      </c>
    </row>
    <row r="325" spans="1:2" x14ac:dyDescent="0.3">
      <c r="A325" s="13">
        <v>42129</v>
      </c>
      <c r="B325">
        <v>1.784784784907784</v>
      </c>
    </row>
    <row r="326" spans="1:2" x14ac:dyDescent="0.3">
      <c r="A326" s="13">
        <v>42130</v>
      </c>
      <c r="B326">
        <v>1.7917202459389721</v>
      </c>
    </row>
    <row r="327" spans="1:2" x14ac:dyDescent="0.3">
      <c r="A327" s="13">
        <v>42131</v>
      </c>
      <c r="B327">
        <v>1.7781356971537989</v>
      </c>
    </row>
    <row r="328" spans="1:2" x14ac:dyDescent="0.3">
      <c r="A328" s="13">
        <v>42132</v>
      </c>
      <c r="B328">
        <v>1.849475970083343</v>
      </c>
    </row>
    <row r="329" spans="1:2" x14ac:dyDescent="0.3">
      <c r="A329" s="13">
        <v>42135</v>
      </c>
      <c r="B329">
        <v>1.931281178554501</v>
      </c>
    </row>
    <row r="330" spans="1:2" x14ac:dyDescent="0.3">
      <c r="A330" s="13">
        <v>42136</v>
      </c>
      <c r="B330">
        <v>1.97936913162138</v>
      </c>
    </row>
    <row r="331" spans="1:2" x14ac:dyDescent="0.3">
      <c r="A331" s="13">
        <v>42137</v>
      </c>
      <c r="B331">
        <v>1.98308869615307</v>
      </c>
    </row>
    <row r="332" spans="1:2" x14ac:dyDescent="0.3">
      <c r="A332" s="13">
        <v>42138</v>
      </c>
      <c r="B332">
        <v>1.9734028815061559</v>
      </c>
    </row>
    <row r="333" spans="1:2" x14ac:dyDescent="0.3">
      <c r="A333" s="13">
        <v>42139</v>
      </c>
      <c r="B333">
        <v>1.9719846062050139</v>
      </c>
    </row>
    <row r="334" spans="1:2" x14ac:dyDescent="0.3">
      <c r="A334" s="13">
        <v>42142</v>
      </c>
      <c r="B334">
        <v>2.0197838009461599</v>
      </c>
    </row>
    <row r="335" spans="1:2" x14ac:dyDescent="0.3">
      <c r="A335" s="13">
        <v>42143</v>
      </c>
      <c r="B335">
        <v>2.0625817829322162</v>
      </c>
    </row>
    <row r="336" spans="1:2" x14ac:dyDescent="0.3">
      <c r="A336" s="13">
        <v>42144</v>
      </c>
      <c r="B336">
        <v>2.1047397003009398</v>
      </c>
    </row>
    <row r="337" spans="1:2" x14ac:dyDescent="0.3">
      <c r="A337" s="13">
        <v>42145</v>
      </c>
      <c r="B337">
        <v>2.167161947366198</v>
      </c>
    </row>
    <row r="338" spans="1:2" x14ac:dyDescent="0.3">
      <c r="A338" s="13">
        <v>42146</v>
      </c>
      <c r="B338">
        <v>2.1759634849033702</v>
      </c>
    </row>
    <row r="339" spans="1:2" x14ac:dyDescent="0.3">
      <c r="A339" s="13">
        <v>42149</v>
      </c>
      <c r="B339">
        <v>2.1982774839840431</v>
      </c>
    </row>
    <row r="340" spans="1:2" x14ac:dyDescent="0.3">
      <c r="A340" s="13">
        <v>42150</v>
      </c>
      <c r="B340">
        <v>2.2709364973694228</v>
      </c>
    </row>
    <row r="341" spans="1:2" x14ac:dyDescent="0.3">
      <c r="A341" s="13">
        <v>42151</v>
      </c>
      <c r="B341">
        <v>2.2835026799991009</v>
      </c>
    </row>
    <row r="342" spans="1:2" x14ac:dyDescent="0.3">
      <c r="A342" s="13">
        <v>42152</v>
      </c>
      <c r="B342">
        <v>2.1620080829485828</v>
      </c>
    </row>
    <row r="343" spans="1:2" x14ac:dyDescent="0.3">
      <c r="A343" s="13">
        <v>42153</v>
      </c>
      <c r="B343">
        <v>2.1982220418094252</v>
      </c>
    </row>
    <row r="344" spans="1:2" x14ac:dyDescent="0.3">
      <c r="A344" s="13">
        <v>42156</v>
      </c>
      <c r="B344">
        <v>2.3008101321672521</v>
      </c>
    </row>
    <row r="345" spans="1:2" x14ac:dyDescent="0.3">
      <c r="A345" s="13">
        <v>42157</v>
      </c>
      <c r="B345">
        <v>2.3791836778656519</v>
      </c>
    </row>
    <row r="346" spans="1:2" x14ac:dyDescent="0.3">
      <c r="A346" s="13">
        <v>42158</v>
      </c>
      <c r="B346">
        <v>2.3918691000235239</v>
      </c>
    </row>
    <row r="347" spans="1:2" x14ac:dyDescent="0.3">
      <c r="A347" s="13">
        <v>42159</v>
      </c>
      <c r="B347">
        <v>2.3728372692497448</v>
      </c>
    </row>
    <row r="348" spans="1:2" x14ac:dyDescent="0.3">
      <c r="A348" s="13">
        <v>42160</v>
      </c>
      <c r="B348">
        <v>2.3771532999199372</v>
      </c>
    </row>
    <row r="349" spans="1:2" x14ac:dyDescent="0.3">
      <c r="A349" s="13">
        <v>42163</v>
      </c>
      <c r="B349">
        <v>2.3261847508785132</v>
      </c>
    </row>
    <row r="350" spans="1:2" x14ac:dyDescent="0.3">
      <c r="A350" s="13">
        <v>42164</v>
      </c>
      <c r="B350">
        <v>2.3143067730970408</v>
      </c>
    </row>
    <row r="351" spans="1:2" x14ac:dyDescent="0.3">
      <c r="A351" s="13">
        <v>42165</v>
      </c>
      <c r="B351">
        <v>2.362537440935812</v>
      </c>
    </row>
    <row r="352" spans="1:2" x14ac:dyDescent="0.3">
      <c r="A352" s="13">
        <v>42166</v>
      </c>
      <c r="B352">
        <v>2.3912106316804529</v>
      </c>
    </row>
    <row r="353" spans="1:2" x14ac:dyDescent="0.3">
      <c r="A353" s="13">
        <v>42167</v>
      </c>
      <c r="B353">
        <v>2.4196544704522278</v>
      </c>
    </row>
    <row r="354" spans="1:2" x14ac:dyDescent="0.3">
      <c r="A354" s="13">
        <v>42170</v>
      </c>
      <c r="B354">
        <v>2.3574166977776501</v>
      </c>
    </row>
    <row r="355" spans="1:2" x14ac:dyDescent="0.3">
      <c r="A355" s="13">
        <v>42171</v>
      </c>
      <c r="B355">
        <v>2.2678996850513609</v>
      </c>
    </row>
    <row r="356" spans="1:2" x14ac:dyDescent="0.3">
      <c r="A356" s="13">
        <v>42172</v>
      </c>
      <c r="B356">
        <v>2.3123568091793612</v>
      </c>
    </row>
    <row r="357" spans="1:2" x14ac:dyDescent="0.3">
      <c r="A357" s="13">
        <v>42173</v>
      </c>
      <c r="B357">
        <v>2.225615876654917</v>
      </c>
    </row>
    <row r="358" spans="1:2" x14ac:dyDescent="0.3">
      <c r="A358" s="13">
        <v>42174</v>
      </c>
      <c r="B358">
        <v>2.104467756841597</v>
      </c>
    </row>
    <row r="359" spans="1:2" x14ac:dyDescent="0.3">
      <c r="A359" s="13">
        <v>42178</v>
      </c>
      <c r="B359">
        <v>2.1267294413259932</v>
      </c>
    </row>
    <row r="360" spans="1:2" x14ac:dyDescent="0.3">
      <c r="A360" s="13">
        <v>42179</v>
      </c>
      <c r="B360">
        <v>2.1522391011888411</v>
      </c>
    </row>
    <row r="361" spans="1:2" x14ac:dyDescent="0.3">
      <c r="A361" s="13">
        <v>42180</v>
      </c>
      <c r="B361">
        <v>2.0661638712814629</v>
      </c>
    </row>
    <row r="362" spans="1:2" x14ac:dyDescent="0.3">
      <c r="A362" s="13">
        <v>42181</v>
      </c>
      <c r="B362">
        <v>1.9105503804387201</v>
      </c>
    </row>
    <row r="363" spans="1:2" x14ac:dyDescent="0.3">
      <c r="A363" s="13">
        <v>42184</v>
      </c>
      <c r="B363">
        <v>1.7987077879326721</v>
      </c>
    </row>
    <row r="364" spans="1:2" x14ac:dyDescent="0.3">
      <c r="A364" s="13">
        <v>42185</v>
      </c>
      <c r="B364">
        <v>1.882025813554105</v>
      </c>
    </row>
    <row r="365" spans="1:2" x14ac:dyDescent="0.3">
      <c r="A365" s="13">
        <v>42186</v>
      </c>
      <c r="B365">
        <v>1.793997773984888</v>
      </c>
    </row>
    <row r="366" spans="1:2" x14ac:dyDescent="0.3">
      <c r="A366" s="13">
        <v>42187</v>
      </c>
      <c r="B366">
        <v>1.697458898149532</v>
      </c>
    </row>
    <row r="367" spans="1:2" x14ac:dyDescent="0.3">
      <c r="A367" s="13">
        <v>42188</v>
      </c>
      <c r="B367">
        <v>1.6142212618516221</v>
      </c>
    </row>
    <row r="368" spans="1:2" x14ac:dyDescent="0.3">
      <c r="A368" s="13">
        <v>42191</v>
      </c>
      <c r="B368">
        <v>1.574663856010837</v>
      </c>
    </row>
    <row r="369" spans="1:2" x14ac:dyDescent="0.3">
      <c r="A369" s="13">
        <v>42192</v>
      </c>
      <c r="B369">
        <v>1.493416977140954</v>
      </c>
    </row>
    <row r="370" spans="1:2" x14ac:dyDescent="0.3">
      <c r="A370" s="13">
        <v>42193</v>
      </c>
      <c r="B370">
        <v>1.428637113549686</v>
      </c>
    </row>
    <row r="371" spans="1:2" x14ac:dyDescent="0.3">
      <c r="A371" s="13">
        <v>42194</v>
      </c>
      <c r="B371">
        <v>1.483537746200094</v>
      </c>
    </row>
    <row r="372" spans="1:2" x14ac:dyDescent="0.3">
      <c r="A372" s="13">
        <v>42195</v>
      </c>
      <c r="B372">
        <v>1.5523041217169571</v>
      </c>
    </row>
    <row r="373" spans="1:2" x14ac:dyDescent="0.3">
      <c r="A373" s="13">
        <v>42198</v>
      </c>
      <c r="B373">
        <v>1.636813751219993</v>
      </c>
    </row>
    <row r="374" spans="1:2" x14ac:dyDescent="0.3">
      <c r="A374" s="13">
        <v>42199</v>
      </c>
      <c r="B374">
        <v>1.664523829424307</v>
      </c>
    </row>
    <row r="375" spans="1:2" x14ac:dyDescent="0.3">
      <c r="A375" s="13">
        <v>42200</v>
      </c>
      <c r="B375">
        <v>1.588919433975547</v>
      </c>
    </row>
    <row r="376" spans="1:2" x14ac:dyDescent="0.3">
      <c r="A376" s="13">
        <v>42201</v>
      </c>
      <c r="B376">
        <v>1.6087566280837791</v>
      </c>
    </row>
    <row r="377" spans="1:2" x14ac:dyDescent="0.3">
      <c r="A377" s="13">
        <v>42202</v>
      </c>
      <c r="B377">
        <v>1.691046332102625</v>
      </c>
    </row>
    <row r="378" spans="1:2" x14ac:dyDescent="0.3">
      <c r="A378" s="13">
        <v>42205</v>
      </c>
      <c r="B378">
        <v>1.72924094227596</v>
      </c>
    </row>
    <row r="379" spans="1:2" x14ac:dyDescent="0.3">
      <c r="A379" s="13">
        <v>42206</v>
      </c>
      <c r="B379">
        <v>1.7601128036709339</v>
      </c>
    </row>
    <row r="380" spans="1:2" x14ac:dyDescent="0.3">
      <c r="A380" s="13">
        <v>42207</v>
      </c>
      <c r="B380">
        <v>1.777626492765235</v>
      </c>
    </row>
    <row r="381" spans="1:2" x14ac:dyDescent="0.3">
      <c r="A381" s="13">
        <v>42208</v>
      </c>
      <c r="B381">
        <v>1.8252849202709709</v>
      </c>
    </row>
    <row r="382" spans="1:2" x14ac:dyDescent="0.3">
      <c r="A382" s="13">
        <v>42209</v>
      </c>
      <c r="B382">
        <v>1.801174480952064</v>
      </c>
    </row>
    <row r="383" spans="1:2" x14ac:dyDescent="0.3">
      <c r="A383" s="13">
        <v>42212</v>
      </c>
      <c r="B383">
        <v>1.677072875655673</v>
      </c>
    </row>
    <row r="384" spans="1:2" x14ac:dyDescent="0.3">
      <c r="A384" s="13">
        <v>42213</v>
      </c>
      <c r="B384">
        <v>1.6326712973376289</v>
      </c>
    </row>
    <row r="385" spans="1:2" x14ac:dyDescent="0.3">
      <c r="A385" s="13">
        <v>42214</v>
      </c>
      <c r="B385">
        <v>1.6950151171433421</v>
      </c>
    </row>
    <row r="386" spans="1:2" x14ac:dyDescent="0.3">
      <c r="A386" s="13">
        <v>42215</v>
      </c>
      <c r="B386">
        <v>1.6449651647892269</v>
      </c>
    </row>
    <row r="387" spans="1:2" x14ac:dyDescent="0.3">
      <c r="A387" s="13">
        <v>42216</v>
      </c>
      <c r="B387">
        <v>1.6208044276472611</v>
      </c>
    </row>
    <row r="388" spans="1:2" x14ac:dyDescent="0.3">
      <c r="A388" s="13">
        <v>42219</v>
      </c>
      <c r="B388">
        <v>1.5701999778317</v>
      </c>
    </row>
    <row r="389" spans="1:2" x14ac:dyDescent="0.3">
      <c r="A389" s="13">
        <v>42220</v>
      </c>
      <c r="B389">
        <v>1.6409397204812419</v>
      </c>
    </row>
    <row r="390" spans="1:2" x14ac:dyDescent="0.3">
      <c r="A390" s="13">
        <v>42221</v>
      </c>
      <c r="B390">
        <v>1.625120212848677</v>
      </c>
    </row>
    <row r="391" spans="1:2" x14ac:dyDescent="0.3">
      <c r="A391" s="13">
        <v>42222</v>
      </c>
      <c r="B391">
        <v>1.618480854029603</v>
      </c>
    </row>
    <row r="392" spans="1:2" x14ac:dyDescent="0.3">
      <c r="A392" s="13">
        <v>42223</v>
      </c>
      <c r="B392">
        <v>1.665491642791316</v>
      </c>
    </row>
    <row r="393" spans="1:2" x14ac:dyDescent="0.3">
      <c r="A393" s="13">
        <v>42226</v>
      </c>
      <c r="B393">
        <v>1.7396999763033529</v>
      </c>
    </row>
    <row r="394" spans="1:2" x14ac:dyDescent="0.3">
      <c r="A394" s="13">
        <v>42227</v>
      </c>
      <c r="B394">
        <v>1.7432590027839949</v>
      </c>
    </row>
    <row r="395" spans="1:2" x14ac:dyDescent="0.3">
      <c r="A395" s="13">
        <v>42228</v>
      </c>
      <c r="B395">
        <v>1.712619077825895</v>
      </c>
    </row>
    <row r="396" spans="1:2" x14ac:dyDescent="0.3">
      <c r="A396" s="13">
        <v>42229</v>
      </c>
      <c r="B396">
        <v>1.744975173561534</v>
      </c>
    </row>
    <row r="397" spans="1:2" x14ac:dyDescent="0.3">
      <c r="A397" s="13">
        <v>42230</v>
      </c>
      <c r="B397">
        <v>1.7495122350547869</v>
      </c>
    </row>
    <row r="398" spans="1:2" x14ac:dyDescent="0.3">
      <c r="A398" s="13">
        <v>42233</v>
      </c>
      <c r="B398">
        <v>1.763943064558336</v>
      </c>
    </row>
    <row r="399" spans="1:2" x14ac:dyDescent="0.3">
      <c r="A399" s="13">
        <v>42234</v>
      </c>
      <c r="B399">
        <v>1.6521407389771221</v>
      </c>
    </row>
    <row r="400" spans="1:2" x14ac:dyDescent="0.3">
      <c r="A400" s="13">
        <v>42235</v>
      </c>
      <c r="B400">
        <v>1.6828632848835621</v>
      </c>
    </row>
    <row r="401" spans="1:2" x14ac:dyDescent="0.3">
      <c r="A401" s="13">
        <v>42236</v>
      </c>
      <c r="B401">
        <v>1.635217739601402</v>
      </c>
    </row>
    <row r="402" spans="1:2" x14ac:dyDescent="0.3">
      <c r="A402" s="13">
        <v>42237</v>
      </c>
      <c r="B402">
        <v>1.55714032753525</v>
      </c>
    </row>
    <row r="403" spans="1:2" x14ac:dyDescent="0.3">
      <c r="A403" s="13">
        <v>42240</v>
      </c>
      <c r="B403">
        <v>1.449665432879282</v>
      </c>
    </row>
    <row r="404" spans="1:2" x14ac:dyDescent="0.3">
      <c r="A404" s="13">
        <v>42241</v>
      </c>
      <c r="B404">
        <v>1.3601657318895519</v>
      </c>
    </row>
    <row r="405" spans="1:2" x14ac:dyDescent="0.3">
      <c r="A405" s="13">
        <v>42242</v>
      </c>
      <c r="B405">
        <v>1.3340351089350411</v>
      </c>
    </row>
    <row r="406" spans="1:2" x14ac:dyDescent="0.3">
      <c r="A406" s="13">
        <v>42243</v>
      </c>
      <c r="B406">
        <v>1.3860270094265641</v>
      </c>
    </row>
    <row r="407" spans="1:2" x14ac:dyDescent="0.3">
      <c r="A407" s="13">
        <v>42244</v>
      </c>
      <c r="B407">
        <v>1.4540521775297379</v>
      </c>
    </row>
    <row r="408" spans="1:2" x14ac:dyDescent="0.3">
      <c r="A408" s="13">
        <v>42247</v>
      </c>
      <c r="B408">
        <v>1.4190920135499649</v>
      </c>
    </row>
    <row r="409" spans="1:2" x14ac:dyDescent="0.3">
      <c r="A409" s="13">
        <v>42248</v>
      </c>
      <c r="B409">
        <v>1.359364868716922</v>
      </c>
    </row>
    <row r="410" spans="1:2" x14ac:dyDescent="0.3">
      <c r="A410" s="13">
        <v>42249</v>
      </c>
      <c r="B410">
        <v>1.3397980045273119</v>
      </c>
    </row>
    <row r="411" spans="1:2" x14ac:dyDescent="0.3">
      <c r="A411" s="13">
        <v>42254</v>
      </c>
      <c r="B411">
        <v>1.340388419312502</v>
      </c>
    </row>
    <row r="412" spans="1:2" x14ac:dyDescent="0.3">
      <c r="A412" s="13">
        <v>42255</v>
      </c>
      <c r="B412">
        <v>1.390269756758203</v>
      </c>
    </row>
    <row r="413" spans="1:2" x14ac:dyDescent="0.3">
      <c r="A413" s="13">
        <v>42256</v>
      </c>
      <c r="B413">
        <v>1.4302432907620011</v>
      </c>
    </row>
    <row r="414" spans="1:2" x14ac:dyDescent="0.3">
      <c r="A414" s="13">
        <v>42257</v>
      </c>
      <c r="B414">
        <v>1.4147151123001149</v>
      </c>
    </row>
    <row r="415" spans="1:2" x14ac:dyDescent="0.3">
      <c r="A415" s="13">
        <v>42258</v>
      </c>
      <c r="B415">
        <v>1.4227726869439099</v>
      </c>
    </row>
    <row r="416" spans="1:2" x14ac:dyDescent="0.3">
      <c r="A416" s="13">
        <v>42261</v>
      </c>
      <c r="B416">
        <v>1.351446417988285</v>
      </c>
    </row>
    <row r="417" spans="1:2" x14ac:dyDescent="0.3">
      <c r="A417" s="13">
        <v>42262</v>
      </c>
      <c r="B417">
        <v>1.2998254356437491</v>
      </c>
    </row>
    <row r="418" spans="1:2" x14ac:dyDescent="0.3">
      <c r="A418" s="13">
        <v>42263</v>
      </c>
      <c r="B418">
        <v>1.372979834393101</v>
      </c>
    </row>
    <row r="419" spans="1:2" x14ac:dyDescent="0.3">
      <c r="A419" s="13">
        <v>42264</v>
      </c>
      <c r="B419">
        <v>1.3576105346716509</v>
      </c>
    </row>
    <row r="420" spans="1:2" x14ac:dyDescent="0.3">
      <c r="A420" s="13">
        <v>42265</v>
      </c>
      <c r="B420">
        <v>1.3753686246215759</v>
      </c>
    </row>
    <row r="421" spans="1:2" x14ac:dyDescent="0.3">
      <c r="A421" s="13">
        <v>42268</v>
      </c>
      <c r="B421">
        <v>1.4225414937550249</v>
      </c>
    </row>
    <row r="422" spans="1:2" x14ac:dyDescent="0.3">
      <c r="A422" s="13">
        <v>42269</v>
      </c>
      <c r="B422">
        <v>1.430193173483854</v>
      </c>
    </row>
    <row r="423" spans="1:2" x14ac:dyDescent="0.3">
      <c r="A423" s="13">
        <v>42270</v>
      </c>
      <c r="B423">
        <v>1.4190417829161821</v>
      </c>
    </row>
    <row r="424" spans="1:2" x14ac:dyDescent="0.3">
      <c r="A424" s="13">
        <v>42271</v>
      </c>
      <c r="B424">
        <v>1.433218003526296</v>
      </c>
    </row>
    <row r="425" spans="1:2" x14ac:dyDescent="0.3">
      <c r="A425" s="13">
        <v>42272</v>
      </c>
      <c r="B425">
        <v>1.395293414467516</v>
      </c>
    </row>
    <row r="426" spans="1:2" x14ac:dyDescent="0.3">
      <c r="A426" s="13">
        <v>42275</v>
      </c>
      <c r="B426">
        <v>1.4280325696484271</v>
      </c>
    </row>
    <row r="427" spans="1:2" x14ac:dyDescent="0.3">
      <c r="A427" s="13">
        <v>42276</v>
      </c>
      <c r="B427">
        <v>1.4137479393024961</v>
      </c>
    </row>
    <row r="428" spans="1:2" x14ac:dyDescent="0.3">
      <c r="A428" s="13">
        <v>42277</v>
      </c>
      <c r="B428">
        <v>1.41532444028111</v>
      </c>
    </row>
    <row r="429" spans="1:2" x14ac:dyDescent="0.3">
      <c r="A429" s="13">
        <v>42285</v>
      </c>
      <c r="B429">
        <v>1.4656569872029019</v>
      </c>
    </row>
    <row r="430" spans="1:2" x14ac:dyDescent="0.3">
      <c r="A430" s="13">
        <v>42286</v>
      </c>
      <c r="B430">
        <v>1.485391663496004</v>
      </c>
    </row>
    <row r="431" spans="1:2" x14ac:dyDescent="0.3">
      <c r="A431" s="13">
        <v>42289</v>
      </c>
      <c r="B431">
        <v>1.5360590424249581</v>
      </c>
    </row>
    <row r="432" spans="1:2" x14ac:dyDescent="0.3">
      <c r="A432" s="13">
        <v>42290</v>
      </c>
      <c r="B432">
        <v>1.552315286750402</v>
      </c>
    </row>
    <row r="433" spans="1:2" x14ac:dyDescent="0.3">
      <c r="A433" s="13">
        <v>42291</v>
      </c>
      <c r="B433">
        <v>1.5319826484132979</v>
      </c>
    </row>
    <row r="434" spans="1:2" x14ac:dyDescent="0.3">
      <c r="A434" s="13">
        <v>42292</v>
      </c>
      <c r="B434">
        <v>1.5764213830686979</v>
      </c>
    </row>
    <row r="435" spans="1:2" x14ac:dyDescent="0.3">
      <c r="A435" s="13">
        <v>42293</v>
      </c>
      <c r="B435">
        <v>1.59611551642252</v>
      </c>
    </row>
    <row r="436" spans="1:2" x14ac:dyDescent="0.3">
      <c r="A436" s="13">
        <v>42296</v>
      </c>
      <c r="B436">
        <v>1.594432416331399</v>
      </c>
    </row>
    <row r="437" spans="1:2" x14ac:dyDescent="0.3">
      <c r="A437" s="13">
        <v>42297</v>
      </c>
      <c r="B437">
        <v>1.62328115731571</v>
      </c>
    </row>
    <row r="438" spans="1:2" x14ac:dyDescent="0.3">
      <c r="A438" s="13">
        <v>42298</v>
      </c>
      <c r="B438">
        <v>1.536835464878298</v>
      </c>
    </row>
    <row r="439" spans="1:2" x14ac:dyDescent="0.3">
      <c r="A439" s="13">
        <v>42299</v>
      </c>
      <c r="B439">
        <v>1.586677512110495</v>
      </c>
    </row>
    <row r="440" spans="1:2" x14ac:dyDescent="0.3">
      <c r="A440" s="13">
        <v>42300</v>
      </c>
      <c r="B440">
        <v>1.6256477622651939</v>
      </c>
    </row>
    <row r="441" spans="1:2" x14ac:dyDescent="0.3">
      <c r="A441" s="13">
        <v>42303</v>
      </c>
      <c r="B441">
        <v>1.635241503768921</v>
      </c>
    </row>
    <row r="442" spans="1:2" x14ac:dyDescent="0.3">
      <c r="A442" s="13">
        <v>42304</v>
      </c>
      <c r="B442">
        <v>1.6452458085523609</v>
      </c>
    </row>
    <row r="443" spans="1:2" x14ac:dyDescent="0.3">
      <c r="A443" s="13">
        <v>42305</v>
      </c>
      <c r="B443">
        <v>1.611284367756985</v>
      </c>
    </row>
    <row r="444" spans="1:2" x14ac:dyDescent="0.3">
      <c r="A444" s="13">
        <v>42306</v>
      </c>
      <c r="B444">
        <v>1.6214608202783649</v>
      </c>
    </row>
    <row r="445" spans="1:2" x14ac:dyDescent="0.3">
      <c r="A445" s="13">
        <v>42307</v>
      </c>
      <c r="B445">
        <v>1.6265694199422931</v>
      </c>
    </row>
    <row r="446" spans="1:2" x14ac:dyDescent="0.3">
      <c r="A446" s="13">
        <v>42310</v>
      </c>
      <c r="B446">
        <v>1.598767602852819</v>
      </c>
    </row>
    <row r="447" spans="1:2" x14ac:dyDescent="0.3">
      <c r="A447" s="13">
        <v>42311</v>
      </c>
      <c r="B447">
        <v>1.596122708738047</v>
      </c>
    </row>
    <row r="448" spans="1:2" x14ac:dyDescent="0.3">
      <c r="A448" s="13">
        <v>42312</v>
      </c>
      <c r="B448">
        <v>1.6665575139339459</v>
      </c>
    </row>
    <row r="449" spans="1:2" x14ac:dyDescent="0.3">
      <c r="A449" s="13">
        <v>42313</v>
      </c>
      <c r="B449">
        <v>1.6679447662139271</v>
      </c>
    </row>
    <row r="450" spans="1:2" x14ac:dyDescent="0.3">
      <c r="A450" s="13">
        <v>42314</v>
      </c>
      <c r="B450">
        <v>1.712873841291171</v>
      </c>
    </row>
    <row r="451" spans="1:2" x14ac:dyDescent="0.3">
      <c r="A451" s="13">
        <v>42317</v>
      </c>
      <c r="B451">
        <v>1.743361763567892</v>
      </c>
    </row>
    <row r="452" spans="1:2" x14ac:dyDescent="0.3">
      <c r="A452" s="13">
        <v>42318</v>
      </c>
      <c r="B452">
        <v>1.7537348403347319</v>
      </c>
    </row>
    <row r="453" spans="1:2" x14ac:dyDescent="0.3">
      <c r="A453" s="13">
        <v>42319</v>
      </c>
      <c r="B453">
        <v>1.7790421352063199</v>
      </c>
    </row>
    <row r="454" spans="1:2" x14ac:dyDescent="0.3">
      <c r="A454" s="13">
        <v>42320</v>
      </c>
      <c r="B454">
        <v>1.778731100041381</v>
      </c>
    </row>
    <row r="455" spans="1:2" x14ac:dyDescent="0.3">
      <c r="A455" s="13">
        <v>42321</v>
      </c>
      <c r="B455">
        <v>1.7381783628335989</v>
      </c>
    </row>
    <row r="456" spans="1:2" x14ac:dyDescent="0.3">
      <c r="A456" s="13">
        <v>42324</v>
      </c>
      <c r="B456">
        <v>1.7706844224949401</v>
      </c>
    </row>
    <row r="457" spans="1:2" x14ac:dyDescent="0.3">
      <c r="A457" s="13">
        <v>42325</v>
      </c>
      <c r="B457">
        <v>1.755011363404946</v>
      </c>
    </row>
    <row r="458" spans="1:2" x14ac:dyDescent="0.3">
      <c r="A458" s="13">
        <v>42326</v>
      </c>
      <c r="B458">
        <v>1.728086109392007</v>
      </c>
    </row>
    <row r="459" spans="1:2" x14ac:dyDescent="0.3">
      <c r="A459" s="13">
        <v>42327</v>
      </c>
      <c r="B459">
        <v>1.773517048960032</v>
      </c>
    </row>
    <row r="460" spans="1:2" x14ac:dyDescent="0.3">
      <c r="A460" s="13">
        <v>42328</v>
      </c>
      <c r="B460">
        <v>1.7953196707492221</v>
      </c>
    </row>
    <row r="461" spans="1:2" x14ac:dyDescent="0.3">
      <c r="A461" s="13">
        <v>42331</v>
      </c>
      <c r="B461">
        <v>1.778818787528992</v>
      </c>
    </row>
    <row r="462" spans="1:2" x14ac:dyDescent="0.3">
      <c r="A462" s="13">
        <v>42332</v>
      </c>
      <c r="B462">
        <v>1.7948906545338861</v>
      </c>
    </row>
    <row r="463" spans="1:2" x14ac:dyDescent="0.3">
      <c r="A463" s="13">
        <v>42333</v>
      </c>
      <c r="B463">
        <v>1.829554046007779</v>
      </c>
    </row>
    <row r="464" spans="1:2" x14ac:dyDescent="0.3">
      <c r="A464" s="13">
        <v>42334</v>
      </c>
      <c r="B464">
        <v>1.8185555873572361</v>
      </c>
    </row>
    <row r="465" spans="1:2" x14ac:dyDescent="0.3">
      <c r="A465" s="13">
        <v>42335</v>
      </c>
      <c r="B465">
        <v>1.7261841631495061</v>
      </c>
    </row>
    <row r="466" spans="1:2" x14ac:dyDescent="0.3">
      <c r="A466" s="13">
        <v>42338</v>
      </c>
      <c r="B466">
        <v>1.737916312355775</v>
      </c>
    </row>
    <row r="467" spans="1:2" x14ac:dyDescent="0.3">
      <c r="A467" s="13">
        <v>42339</v>
      </c>
      <c r="B467">
        <v>1.7272424214330999</v>
      </c>
    </row>
    <row r="468" spans="1:2" x14ac:dyDescent="0.3">
      <c r="A468" s="13">
        <v>42340</v>
      </c>
      <c r="B468">
        <v>1.7155759215027959</v>
      </c>
    </row>
    <row r="469" spans="1:2" x14ac:dyDescent="0.3">
      <c r="A469" s="13">
        <v>42341</v>
      </c>
      <c r="B469">
        <v>1.752995158474737</v>
      </c>
    </row>
    <row r="470" spans="1:2" x14ac:dyDescent="0.3">
      <c r="A470" s="13">
        <v>42342</v>
      </c>
      <c r="B470">
        <v>1.7441259932172559</v>
      </c>
    </row>
    <row r="471" spans="1:2" x14ac:dyDescent="0.3">
      <c r="A471" s="13">
        <v>42345</v>
      </c>
      <c r="B471">
        <v>1.7647788127309409</v>
      </c>
    </row>
    <row r="472" spans="1:2" x14ac:dyDescent="0.3">
      <c r="A472" s="13">
        <v>42346</v>
      </c>
      <c r="B472">
        <v>1.746058870275768</v>
      </c>
    </row>
    <row r="473" spans="1:2" x14ac:dyDescent="0.3">
      <c r="A473" s="13">
        <v>42347</v>
      </c>
      <c r="B473">
        <v>1.7452319525054569</v>
      </c>
    </row>
    <row r="474" spans="1:2" x14ac:dyDescent="0.3">
      <c r="A474" s="13">
        <v>42348</v>
      </c>
      <c r="B474">
        <v>1.7419534246153241</v>
      </c>
    </row>
    <row r="475" spans="1:2" x14ac:dyDescent="0.3">
      <c r="A475" s="13">
        <v>42349</v>
      </c>
      <c r="B475">
        <v>1.727319628028851</v>
      </c>
    </row>
    <row r="476" spans="1:2" x14ac:dyDescent="0.3">
      <c r="A476" s="13">
        <v>42352</v>
      </c>
      <c r="B476">
        <v>1.749015821960811</v>
      </c>
    </row>
    <row r="477" spans="1:2" x14ac:dyDescent="0.3">
      <c r="A477" s="13">
        <v>42353</v>
      </c>
      <c r="B477">
        <v>1.7709320645782289</v>
      </c>
    </row>
    <row r="478" spans="1:2" x14ac:dyDescent="0.3">
      <c r="A478" s="13">
        <v>42354</v>
      </c>
      <c r="B478">
        <v>1.7839341067365031</v>
      </c>
    </row>
    <row r="479" spans="1:2" x14ac:dyDescent="0.3">
      <c r="A479" s="13">
        <v>42355</v>
      </c>
      <c r="B479">
        <v>1.824784198379432</v>
      </c>
    </row>
    <row r="480" spans="1:2" x14ac:dyDescent="0.3">
      <c r="A480" s="13">
        <v>42356</v>
      </c>
      <c r="B480">
        <v>1.8198707869144159</v>
      </c>
    </row>
    <row r="481" spans="1:2" x14ac:dyDescent="0.3">
      <c r="A481" s="13">
        <v>42359</v>
      </c>
      <c r="B481">
        <v>1.832067439647918</v>
      </c>
    </row>
    <row r="482" spans="1:2" x14ac:dyDescent="0.3">
      <c r="A482" s="13">
        <v>42360</v>
      </c>
      <c r="B482">
        <v>1.8454310901061399</v>
      </c>
    </row>
    <row r="483" spans="1:2" x14ac:dyDescent="0.3">
      <c r="A483" s="13">
        <v>42361</v>
      </c>
      <c r="B483">
        <v>1.8211933379201659</v>
      </c>
    </row>
    <row r="484" spans="1:2" x14ac:dyDescent="0.3">
      <c r="A484" s="13">
        <v>42362</v>
      </c>
      <c r="B484">
        <v>1.820380825926337</v>
      </c>
    </row>
    <row r="485" spans="1:2" x14ac:dyDescent="0.3">
      <c r="A485" s="13">
        <v>42363</v>
      </c>
      <c r="B485">
        <v>1.8318553231882659</v>
      </c>
    </row>
    <row r="486" spans="1:2" x14ac:dyDescent="0.3">
      <c r="A486" s="13">
        <v>42366</v>
      </c>
      <c r="B486">
        <v>1.8012386648452621</v>
      </c>
    </row>
    <row r="487" spans="1:2" x14ac:dyDescent="0.3">
      <c r="A487" s="13">
        <v>42367</v>
      </c>
      <c r="B487">
        <v>1.814207384611165</v>
      </c>
    </row>
    <row r="488" spans="1:2" x14ac:dyDescent="0.3">
      <c r="A488" s="13">
        <v>42368</v>
      </c>
      <c r="B488">
        <v>1.833092147469608</v>
      </c>
    </row>
    <row r="489" spans="1:2" x14ac:dyDescent="0.3">
      <c r="A489" s="13">
        <v>42369</v>
      </c>
      <c r="B489">
        <v>1.808355847781455</v>
      </c>
    </row>
    <row r="490" spans="1:2" x14ac:dyDescent="0.3">
      <c r="A490" s="13">
        <v>42373</v>
      </c>
      <c r="B490">
        <v>1.6808765571443749</v>
      </c>
    </row>
    <row r="491" spans="1:2" x14ac:dyDescent="0.3">
      <c r="A491" s="13">
        <v>42374</v>
      </c>
      <c r="B491">
        <v>1.652935518678126</v>
      </c>
    </row>
    <row r="492" spans="1:2" x14ac:dyDescent="0.3">
      <c r="A492" s="13">
        <v>42375</v>
      </c>
      <c r="B492">
        <v>1.685699722508236</v>
      </c>
    </row>
    <row r="493" spans="1:2" x14ac:dyDescent="0.3">
      <c r="A493" s="13">
        <v>42376</v>
      </c>
      <c r="B493">
        <v>1.566100327469071</v>
      </c>
    </row>
    <row r="494" spans="1:2" x14ac:dyDescent="0.3">
      <c r="A494" s="13">
        <v>42377</v>
      </c>
      <c r="B494">
        <v>1.574167950124967</v>
      </c>
    </row>
    <row r="495" spans="1:2" x14ac:dyDescent="0.3">
      <c r="A495" s="13">
        <v>42380</v>
      </c>
      <c r="B495">
        <v>1.4846232507581421</v>
      </c>
    </row>
    <row r="496" spans="1:2" x14ac:dyDescent="0.3">
      <c r="A496" s="13">
        <v>42381</v>
      </c>
      <c r="B496">
        <v>1.487653957933212</v>
      </c>
    </row>
    <row r="497" spans="1:2" x14ac:dyDescent="0.3">
      <c r="A497" s="13">
        <v>42382</v>
      </c>
      <c r="B497">
        <v>1.442747438880907</v>
      </c>
    </row>
    <row r="498" spans="1:2" x14ac:dyDescent="0.3">
      <c r="A498" s="13">
        <v>42383</v>
      </c>
      <c r="B498">
        <v>1.490862399067219</v>
      </c>
    </row>
    <row r="499" spans="1:2" x14ac:dyDescent="0.3">
      <c r="A499" s="13">
        <v>42384</v>
      </c>
      <c r="B499">
        <v>1.4506334186130789</v>
      </c>
    </row>
    <row r="500" spans="1:2" x14ac:dyDescent="0.3">
      <c r="A500" s="13">
        <v>42387</v>
      </c>
      <c r="B500">
        <v>1.4758821398459989</v>
      </c>
    </row>
    <row r="501" spans="1:2" x14ac:dyDescent="0.3">
      <c r="A501" s="13">
        <v>42388</v>
      </c>
      <c r="B501">
        <v>1.523808012362128</v>
      </c>
    </row>
    <row r="502" spans="1:2" x14ac:dyDescent="0.3">
      <c r="A502" s="13">
        <v>42389</v>
      </c>
      <c r="B502">
        <v>1.5100844868751839</v>
      </c>
    </row>
    <row r="503" spans="1:2" x14ac:dyDescent="0.3">
      <c r="A503" s="13">
        <v>42390</v>
      </c>
      <c r="B503">
        <v>1.4557789648300949</v>
      </c>
    </row>
    <row r="504" spans="1:2" x14ac:dyDescent="0.3">
      <c r="A504" s="13">
        <v>42391</v>
      </c>
      <c r="B504">
        <v>1.4726238914891041</v>
      </c>
    </row>
    <row r="505" spans="1:2" x14ac:dyDescent="0.3">
      <c r="A505" s="13">
        <v>42394</v>
      </c>
      <c r="B505">
        <v>1.4880863362631971</v>
      </c>
    </row>
    <row r="506" spans="1:2" x14ac:dyDescent="0.3">
      <c r="A506" s="13">
        <v>42395</v>
      </c>
      <c r="B506">
        <v>1.3978959963430271</v>
      </c>
    </row>
    <row r="507" spans="1:2" x14ac:dyDescent="0.3">
      <c r="A507" s="13">
        <v>42396</v>
      </c>
      <c r="B507">
        <v>1.382863065226924</v>
      </c>
    </row>
    <row r="508" spans="1:2" x14ac:dyDescent="0.3">
      <c r="A508" s="13">
        <v>42397</v>
      </c>
      <c r="B508">
        <v>1.331588639763206</v>
      </c>
    </row>
    <row r="509" spans="1:2" x14ac:dyDescent="0.3">
      <c r="A509" s="13">
        <v>42398</v>
      </c>
      <c r="B509">
        <v>1.374042425141333</v>
      </c>
    </row>
    <row r="510" spans="1:2" x14ac:dyDescent="0.3">
      <c r="A510" s="13">
        <v>42401</v>
      </c>
      <c r="B510">
        <v>1.3641878113520649</v>
      </c>
    </row>
    <row r="511" spans="1:2" x14ac:dyDescent="0.3">
      <c r="A511" s="13">
        <v>42402</v>
      </c>
      <c r="B511">
        <v>1.408549427790335</v>
      </c>
    </row>
    <row r="512" spans="1:2" x14ac:dyDescent="0.3">
      <c r="A512" s="13">
        <v>42403</v>
      </c>
      <c r="B512">
        <v>1.415045637512957</v>
      </c>
    </row>
    <row r="513" spans="1:2" x14ac:dyDescent="0.3">
      <c r="A513" s="13">
        <v>42404</v>
      </c>
      <c r="B513">
        <v>1.441414316951382</v>
      </c>
    </row>
    <row r="514" spans="1:2" x14ac:dyDescent="0.3">
      <c r="A514" s="13">
        <v>42405</v>
      </c>
      <c r="B514">
        <v>1.427843389150723</v>
      </c>
    </row>
    <row r="515" spans="1:2" x14ac:dyDescent="0.3">
      <c r="A515" s="13">
        <v>42415</v>
      </c>
      <c r="B515">
        <v>1.43446374540997</v>
      </c>
    </row>
    <row r="516" spans="1:2" x14ac:dyDescent="0.3">
      <c r="A516" s="13">
        <v>42416</v>
      </c>
      <c r="B516">
        <v>1.485049647421115</v>
      </c>
    </row>
    <row r="517" spans="1:2" x14ac:dyDescent="0.3">
      <c r="A517" s="13">
        <v>42417</v>
      </c>
      <c r="B517">
        <v>1.499353047643214</v>
      </c>
    </row>
    <row r="518" spans="1:2" x14ac:dyDescent="0.3">
      <c r="A518" s="13">
        <v>42418</v>
      </c>
      <c r="B518">
        <v>1.492063106634002</v>
      </c>
    </row>
    <row r="519" spans="1:2" x14ac:dyDescent="0.3">
      <c r="A519" s="13">
        <v>42419</v>
      </c>
      <c r="B519">
        <v>1.496706674784267</v>
      </c>
    </row>
    <row r="520" spans="1:2" x14ac:dyDescent="0.3">
      <c r="A520" s="13">
        <v>42422</v>
      </c>
      <c r="B520">
        <v>1.5205519814629029</v>
      </c>
    </row>
    <row r="521" spans="1:2" x14ac:dyDescent="0.3">
      <c r="A521" s="13">
        <v>42423</v>
      </c>
      <c r="B521">
        <v>1.511678440857638</v>
      </c>
    </row>
    <row r="522" spans="1:2" x14ac:dyDescent="0.3">
      <c r="A522" s="13">
        <v>42424</v>
      </c>
      <c r="B522">
        <v>1.505289948547553</v>
      </c>
    </row>
    <row r="523" spans="1:2" x14ac:dyDescent="0.3">
      <c r="A523" s="13">
        <v>42425</v>
      </c>
      <c r="B523">
        <v>1.408766607200937</v>
      </c>
    </row>
    <row r="524" spans="1:2" x14ac:dyDescent="0.3">
      <c r="A524" s="13">
        <v>42426</v>
      </c>
      <c r="B524">
        <v>1.4093422436619509</v>
      </c>
    </row>
    <row r="525" spans="1:2" x14ac:dyDescent="0.3">
      <c r="A525" s="13">
        <v>42429</v>
      </c>
      <c r="B525">
        <v>1.3466865759424309</v>
      </c>
    </row>
    <row r="526" spans="1:2" x14ac:dyDescent="0.3">
      <c r="A526" s="13">
        <v>42430</v>
      </c>
      <c r="B526">
        <v>1.3696263858469051</v>
      </c>
    </row>
    <row r="527" spans="1:2" x14ac:dyDescent="0.3">
      <c r="A527" s="13">
        <v>42431</v>
      </c>
      <c r="B527">
        <v>1.4229666969528689</v>
      </c>
    </row>
    <row r="528" spans="1:2" x14ac:dyDescent="0.3">
      <c r="A528" s="13">
        <v>42432</v>
      </c>
      <c r="B528">
        <v>1.4210175677289949</v>
      </c>
    </row>
    <row r="529" spans="1:2" x14ac:dyDescent="0.3">
      <c r="A529" s="13">
        <v>42433</v>
      </c>
      <c r="B529">
        <v>1.386178730784001</v>
      </c>
    </row>
    <row r="530" spans="1:2" x14ac:dyDescent="0.3">
      <c r="A530" s="13">
        <v>42436</v>
      </c>
      <c r="B530">
        <v>1.4068437575706461</v>
      </c>
    </row>
    <row r="531" spans="1:2" x14ac:dyDescent="0.3">
      <c r="A531" s="13">
        <v>42437</v>
      </c>
      <c r="B531">
        <v>1.412742021217396</v>
      </c>
    </row>
    <row r="532" spans="1:2" x14ac:dyDescent="0.3">
      <c r="A532" s="13">
        <v>42438</v>
      </c>
      <c r="B532">
        <v>1.3885690089994309</v>
      </c>
    </row>
    <row r="533" spans="1:2" x14ac:dyDescent="0.3">
      <c r="A533" s="13">
        <v>42439</v>
      </c>
      <c r="B533">
        <v>1.369249033831778</v>
      </c>
    </row>
    <row r="534" spans="1:2" x14ac:dyDescent="0.3">
      <c r="A534" s="13">
        <v>42440</v>
      </c>
      <c r="B534">
        <v>1.367436939485791</v>
      </c>
    </row>
    <row r="535" spans="1:2" x14ac:dyDescent="0.3">
      <c r="A535" s="13">
        <v>42443</v>
      </c>
      <c r="B535">
        <v>1.4087307245660821</v>
      </c>
    </row>
    <row r="536" spans="1:2" x14ac:dyDescent="0.3">
      <c r="A536" s="13">
        <v>42444</v>
      </c>
      <c r="B536">
        <v>1.4009085820324609</v>
      </c>
    </row>
    <row r="537" spans="1:2" x14ac:dyDescent="0.3">
      <c r="A537" s="13">
        <v>42445</v>
      </c>
      <c r="B537">
        <v>1.390625268137196</v>
      </c>
    </row>
    <row r="538" spans="1:2" x14ac:dyDescent="0.3">
      <c r="A538" s="13">
        <v>42446</v>
      </c>
      <c r="B538">
        <v>1.434547660264011</v>
      </c>
    </row>
    <row r="539" spans="1:2" x14ac:dyDescent="0.3">
      <c r="A539" s="13">
        <v>42447</v>
      </c>
      <c r="B539">
        <v>1.4789715722308829</v>
      </c>
    </row>
    <row r="540" spans="1:2" x14ac:dyDescent="0.3">
      <c r="A540" s="13">
        <v>42450</v>
      </c>
      <c r="B540">
        <v>1.5085031427250499</v>
      </c>
    </row>
    <row r="541" spans="1:2" x14ac:dyDescent="0.3">
      <c r="A541" s="13">
        <v>42451</v>
      </c>
      <c r="B541">
        <v>1.5045400447110819</v>
      </c>
    </row>
    <row r="542" spans="1:2" x14ac:dyDescent="0.3">
      <c r="A542" s="13">
        <v>42452</v>
      </c>
      <c r="B542">
        <v>1.515138510596326</v>
      </c>
    </row>
    <row r="543" spans="1:2" x14ac:dyDescent="0.3">
      <c r="A543" s="13">
        <v>42453</v>
      </c>
      <c r="B543">
        <v>1.4967370502712609</v>
      </c>
    </row>
    <row r="544" spans="1:2" x14ac:dyDescent="0.3">
      <c r="A544" s="13">
        <v>42454</v>
      </c>
      <c r="B544">
        <v>1.502262064354261</v>
      </c>
    </row>
    <row r="545" spans="1:2" x14ac:dyDescent="0.3">
      <c r="A545" s="13">
        <v>42457</v>
      </c>
      <c r="B545">
        <v>1.4952527376922531</v>
      </c>
    </row>
    <row r="546" spans="1:2" x14ac:dyDescent="0.3">
      <c r="A546" s="13">
        <v>42458</v>
      </c>
      <c r="B546">
        <v>1.470367049101269</v>
      </c>
    </row>
    <row r="547" spans="1:2" x14ac:dyDescent="0.3">
      <c r="A547" s="13">
        <v>42459</v>
      </c>
      <c r="B547">
        <v>1.5156183685777</v>
      </c>
    </row>
    <row r="548" spans="1:2" x14ac:dyDescent="0.3">
      <c r="A548" s="13">
        <v>42460</v>
      </c>
      <c r="B548">
        <v>1.5209746652314919</v>
      </c>
    </row>
    <row r="549" spans="1:2" x14ac:dyDescent="0.3">
      <c r="A549" s="13">
        <v>42461</v>
      </c>
      <c r="B549">
        <v>1.513057846512146</v>
      </c>
    </row>
    <row r="550" spans="1:2" x14ac:dyDescent="0.3">
      <c r="A550" s="13">
        <v>42465</v>
      </c>
      <c r="B550">
        <v>1.5457350164893799</v>
      </c>
    </row>
    <row r="551" spans="1:2" x14ac:dyDescent="0.3">
      <c r="A551" s="13">
        <v>42466</v>
      </c>
      <c r="B551">
        <v>1.551355034941003</v>
      </c>
    </row>
    <row r="552" spans="1:2" x14ac:dyDescent="0.3">
      <c r="A552" s="13">
        <v>42467</v>
      </c>
      <c r="B552">
        <v>1.530279505720255</v>
      </c>
    </row>
    <row r="553" spans="1:2" x14ac:dyDescent="0.3">
      <c r="A553" s="13">
        <v>42468</v>
      </c>
      <c r="B553">
        <v>1.519511503331487</v>
      </c>
    </row>
    <row r="554" spans="1:2" x14ac:dyDescent="0.3">
      <c r="A554" s="13">
        <v>42471</v>
      </c>
      <c r="B554">
        <v>1.548483394986345</v>
      </c>
    </row>
    <row r="555" spans="1:2" x14ac:dyDescent="0.3">
      <c r="A555" s="13">
        <v>42472</v>
      </c>
      <c r="B555">
        <v>1.5378579869767841</v>
      </c>
    </row>
    <row r="556" spans="1:2" x14ac:dyDescent="0.3">
      <c r="A556" s="13">
        <v>42473</v>
      </c>
      <c r="B556">
        <v>1.556178242438246</v>
      </c>
    </row>
    <row r="557" spans="1:2" x14ac:dyDescent="0.3">
      <c r="A557" s="13">
        <v>42474</v>
      </c>
      <c r="B557">
        <v>1.568674832867466</v>
      </c>
    </row>
    <row r="558" spans="1:2" x14ac:dyDescent="0.3">
      <c r="A558" s="13">
        <v>42475</v>
      </c>
      <c r="B558">
        <v>1.567052383268114</v>
      </c>
    </row>
    <row r="559" spans="1:2" x14ac:dyDescent="0.3">
      <c r="A559" s="13">
        <v>42478</v>
      </c>
      <c r="B559">
        <v>1.548320622868804</v>
      </c>
    </row>
    <row r="560" spans="1:2" x14ac:dyDescent="0.3">
      <c r="A560" s="13">
        <v>42479</v>
      </c>
      <c r="B560">
        <v>1.552118601094489</v>
      </c>
    </row>
    <row r="561" spans="1:2" x14ac:dyDescent="0.3">
      <c r="A561" s="13">
        <v>42480</v>
      </c>
      <c r="B561">
        <v>1.497961897315943</v>
      </c>
    </row>
    <row r="562" spans="1:2" x14ac:dyDescent="0.3">
      <c r="A562" s="13">
        <v>42481</v>
      </c>
      <c r="B562">
        <v>1.485079010770753</v>
      </c>
    </row>
    <row r="563" spans="1:2" x14ac:dyDescent="0.3">
      <c r="A563" s="13">
        <v>42482</v>
      </c>
      <c r="B563">
        <v>1.4964190501330901</v>
      </c>
    </row>
    <row r="564" spans="1:2" x14ac:dyDescent="0.3">
      <c r="A564" s="13">
        <v>42485</v>
      </c>
      <c r="B564">
        <v>1.4911585371467331</v>
      </c>
    </row>
    <row r="565" spans="1:2" x14ac:dyDescent="0.3">
      <c r="A565" s="13">
        <v>42486</v>
      </c>
      <c r="B565">
        <v>1.504597726295928</v>
      </c>
    </row>
    <row r="566" spans="1:2" x14ac:dyDescent="0.3">
      <c r="A566" s="13">
        <v>42487</v>
      </c>
      <c r="B566">
        <v>1.5030299843823349</v>
      </c>
    </row>
    <row r="567" spans="1:2" x14ac:dyDescent="0.3">
      <c r="A567" s="13">
        <v>42488</v>
      </c>
      <c r="B567">
        <v>1.500865451790141</v>
      </c>
    </row>
    <row r="568" spans="1:2" x14ac:dyDescent="0.3">
      <c r="A568" s="13">
        <v>42489</v>
      </c>
      <c r="B568">
        <v>1.5037421542529239</v>
      </c>
    </row>
    <row r="569" spans="1:2" x14ac:dyDescent="0.3">
      <c r="A569" s="13">
        <v>42493</v>
      </c>
      <c r="B569">
        <v>1.542794873867056</v>
      </c>
    </row>
    <row r="570" spans="1:2" x14ac:dyDescent="0.3">
      <c r="A570" s="13">
        <v>42494</v>
      </c>
      <c r="B570">
        <v>1.542894687049535</v>
      </c>
    </row>
    <row r="571" spans="1:2" x14ac:dyDescent="0.3">
      <c r="A571" s="13">
        <v>42495</v>
      </c>
      <c r="B571">
        <v>1.5482923776163371</v>
      </c>
    </row>
    <row r="572" spans="1:2" x14ac:dyDescent="0.3">
      <c r="A572" s="13">
        <v>42496</v>
      </c>
      <c r="B572">
        <v>1.5008727979382539</v>
      </c>
    </row>
    <row r="573" spans="1:2" x14ac:dyDescent="0.3">
      <c r="A573" s="13">
        <v>42499</v>
      </c>
      <c r="B573">
        <v>1.458674562618836</v>
      </c>
    </row>
    <row r="574" spans="1:2" x14ac:dyDescent="0.3">
      <c r="A574" s="13">
        <v>42500</v>
      </c>
      <c r="B574">
        <v>1.4590188999422731</v>
      </c>
    </row>
    <row r="575" spans="1:2" x14ac:dyDescent="0.3">
      <c r="A575" s="13">
        <v>42501</v>
      </c>
      <c r="B575">
        <v>1.4548700970212449</v>
      </c>
    </row>
    <row r="576" spans="1:2" x14ac:dyDescent="0.3">
      <c r="A576" s="13">
        <v>42502</v>
      </c>
      <c r="B576">
        <v>1.4580696652618701</v>
      </c>
    </row>
    <row r="577" spans="1:2" x14ac:dyDescent="0.3">
      <c r="A577" s="13">
        <v>42503</v>
      </c>
      <c r="B577">
        <v>1.454862384231574</v>
      </c>
    </row>
    <row r="578" spans="1:2" x14ac:dyDescent="0.3">
      <c r="A578" s="13">
        <v>42506</v>
      </c>
      <c r="B578">
        <v>1.4775776133898999</v>
      </c>
    </row>
    <row r="579" spans="1:2" x14ac:dyDescent="0.3">
      <c r="A579" s="13">
        <v>42507</v>
      </c>
      <c r="B579">
        <v>1.472419509450779</v>
      </c>
    </row>
    <row r="580" spans="1:2" x14ac:dyDescent="0.3">
      <c r="A580" s="13">
        <v>42508</v>
      </c>
      <c r="B580">
        <v>1.4413827216273429</v>
      </c>
    </row>
    <row r="581" spans="1:2" x14ac:dyDescent="0.3">
      <c r="A581" s="13">
        <v>42509</v>
      </c>
      <c r="B581">
        <v>1.44712303668125</v>
      </c>
    </row>
    <row r="582" spans="1:2" x14ac:dyDescent="0.3">
      <c r="A582" s="13">
        <v>42510</v>
      </c>
      <c r="B582">
        <v>1.458382425650766</v>
      </c>
    </row>
    <row r="583" spans="1:2" x14ac:dyDescent="0.3">
      <c r="A583" s="13">
        <v>42513</v>
      </c>
      <c r="B583">
        <v>1.4785952484846621</v>
      </c>
    </row>
    <row r="584" spans="1:2" x14ac:dyDescent="0.3">
      <c r="A584" s="13">
        <v>42514</v>
      </c>
      <c r="B584">
        <v>1.4659661075190831</v>
      </c>
    </row>
    <row r="585" spans="1:2" x14ac:dyDescent="0.3">
      <c r="A585" s="13">
        <v>42515</v>
      </c>
      <c r="B585">
        <v>1.4591692552820581</v>
      </c>
    </row>
    <row r="586" spans="1:2" x14ac:dyDescent="0.3">
      <c r="A586" s="13">
        <v>42516</v>
      </c>
      <c r="B586">
        <v>1.466156393624662</v>
      </c>
    </row>
    <row r="587" spans="1:2" x14ac:dyDescent="0.3">
      <c r="A587" s="13">
        <v>42517</v>
      </c>
      <c r="B587">
        <v>1.463609090053609</v>
      </c>
    </row>
    <row r="588" spans="1:2" x14ac:dyDescent="0.3">
      <c r="A588" s="13">
        <v>42520</v>
      </c>
      <c r="B588">
        <v>1.4583357610728169</v>
      </c>
    </row>
    <row r="589" spans="1:2" x14ac:dyDescent="0.3">
      <c r="A589" s="13">
        <v>42521</v>
      </c>
      <c r="B589">
        <v>1.506837510939635</v>
      </c>
    </row>
    <row r="590" spans="1:2" x14ac:dyDescent="0.3">
      <c r="A590" s="13">
        <v>42522</v>
      </c>
      <c r="B590">
        <v>1.5162140459860549</v>
      </c>
    </row>
    <row r="591" spans="1:2" x14ac:dyDescent="0.3">
      <c r="A591" s="13">
        <v>42523</v>
      </c>
      <c r="B591">
        <v>1.5259451013414791</v>
      </c>
    </row>
    <row r="592" spans="1:2" x14ac:dyDescent="0.3">
      <c r="A592" s="13">
        <v>42524</v>
      </c>
      <c r="B592">
        <v>1.533430809657639</v>
      </c>
    </row>
    <row r="593" spans="1:2" x14ac:dyDescent="0.3">
      <c r="A593" s="13">
        <v>42527</v>
      </c>
      <c r="B593">
        <v>1.540514722070595</v>
      </c>
    </row>
    <row r="594" spans="1:2" x14ac:dyDescent="0.3">
      <c r="A594" s="13">
        <v>42528</v>
      </c>
      <c r="B594">
        <v>1.542697792273733</v>
      </c>
    </row>
    <row r="595" spans="1:2" x14ac:dyDescent="0.3">
      <c r="A595" s="13">
        <v>42529</v>
      </c>
      <c r="B595">
        <v>1.5370282821522181</v>
      </c>
    </row>
    <row r="596" spans="1:2" x14ac:dyDescent="0.3">
      <c r="A596" s="13">
        <v>42534</v>
      </c>
      <c r="B596">
        <v>1.481387857840426</v>
      </c>
    </row>
    <row r="597" spans="1:2" x14ac:dyDescent="0.3">
      <c r="A597" s="13">
        <v>42535</v>
      </c>
      <c r="B597">
        <v>1.4882399169454661</v>
      </c>
    </row>
    <row r="598" spans="1:2" x14ac:dyDescent="0.3">
      <c r="A598" s="13">
        <v>42536</v>
      </c>
      <c r="B598">
        <v>1.5306577181658521</v>
      </c>
    </row>
    <row r="599" spans="1:2" x14ac:dyDescent="0.3">
      <c r="A599" s="13">
        <v>42537</v>
      </c>
      <c r="B599">
        <v>1.5290847807656249</v>
      </c>
    </row>
    <row r="600" spans="1:2" x14ac:dyDescent="0.3">
      <c r="A600" s="13">
        <v>42538</v>
      </c>
      <c r="B600">
        <v>1.5370826981557271</v>
      </c>
    </row>
    <row r="601" spans="1:2" x14ac:dyDescent="0.3">
      <c r="A601" s="13">
        <v>42541</v>
      </c>
      <c r="B601">
        <v>1.544611372743407</v>
      </c>
    </row>
    <row r="602" spans="1:2" x14ac:dyDescent="0.3">
      <c r="A602" s="13">
        <v>42542</v>
      </c>
      <c r="B602">
        <v>1.531227268538212</v>
      </c>
    </row>
    <row r="603" spans="1:2" x14ac:dyDescent="0.3">
      <c r="A603" s="13">
        <v>42543</v>
      </c>
      <c r="B603">
        <v>1.5503237809445249</v>
      </c>
    </row>
    <row r="604" spans="1:2" x14ac:dyDescent="0.3">
      <c r="A604" s="13">
        <v>42544</v>
      </c>
      <c r="B604">
        <v>1.5432449096724381</v>
      </c>
    </row>
    <row r="605" spans="1:2" x14ac:dyDescent="0.3">
      <c r="A605" s="13">
        <v>42545</v>
      </c>
      <c r="B605">
        <v>1.53607652219129</v>
      </c>
    </row>
    <row r="606" spans="1:2" x14ac:dyDescent="0.3">
      <c r="A606" s="13">
        <v>42548</v>
      </c>
      <c r="B606">
        <v>1.568206896393662</v>
      </c>
    </row>
    <row r="607" spans="1:2" x14ac:dyDescent="0.3">
      <c r="A607" s="13">
        <v>42549</v>
      </c>
      <c r="B607">
        <v>1.5780691866798111</v>
      </c>
    </row>
    <row r="608" spans="1:2" x14ac:dyDescent="0.3">
      <c r="A608" s="13">
        <v>42550</v>
      </c>
      <c r="B608">
        <v>1.5784952030692541</v>
      </c>
    </row>
    <row r="609" spans="1:2" x14ac:dyDescent="0.3">
      <c r="A609" s="13">
        <v>42551</v>
      </c>
      <c r="B609">
        <v>1.5773599190348819</v>
      </c>
    </row>
    <row r="610" spans="1:2" x14ac:dyDescent="0.3">
      <c r="A610" s="13">
        <v>42552</v>
      </c>
      <c r="B610">
        <v>1.575063644624588</v>
      </c>
    </row>
    <row r="611" spans="1:2" x14ac:dyDescent="0.3">
      <c r="A611" s="13">
        <v>42555</v>
      </c>
      <c r="B611">
        <v>1.6003171397179179</v>
      </c>
    </row>
    <row r="612" spans="1:2" x14ac:dyDescent="0.3">
      <c r="A612" s="13">
        <v>42556</v>
      </c>
      <c r="B612">
        <v>1.6047117342382811</v>
      </c>
    </row>
    <row r="613" spans="1:2" x14ac:dyDescent="0.3">
      <c r="A613" s="13">
        <v>42557</v>
      </c>
      <c r="B613">
        <v>1.6143304298013139</v>
      </c>
    </row>
    <row r="614" spans="1:2" x14ac:dyDescent="0.3">
      <c r="A614" s="13">
        <v>42558</v>
      </c>
      <c r="B614">
        <v>1.6168873152931651</v>
      </c>
    </row>
    <row r="615" spans="1:2" x14ac:dyDescent="0.3">
      <c r="A615" s="13">
        <v>42559</v>
      </c>
      <c r="B615">
        <v>1.612193066021089</v>
      </c>
    </row>
    <row r="616" spans="1:2" x14ac:dyDescent="0.3">
      <c r="A616" s="13">
        <v>42562</v>
      </c>
      <c r="B616">
        <v>1.609066047572083</v>
      </c>
    </row>
    <row r="617" spans="1:2" x14ac:dyDescent="0.3">
      <c r="A617" s="13">
        <v>42563</v>
      </c>
      <c r="B617">
        <v>1.624278277786491</v>
      </c>
    </row>
    <row r="618" spans="1:2" x14ac:dyDescent="0.3">
      <c r="A618" s="13">
        <v>42564</v>
      </c>
      <c r="B618">
        <v>1.6319578773083669</v>
      </c>
    </row>
    <row r="619" spans="1:2" x14ac:dyDescent="0.3">
      <c r="A619" s="13">
        <v>42565</v>
      </c>
      <c r="B619">
        <v>1.630549232075013</v>
      </c>
    </row>
    <row r="620" spans="1:2" x14ac:dyDescent="0.3">
      <c r="A620" s="13">
        <v>42566</v>
      </c>
      <c r="B620">
        <v>1.6266805902349259</v>
      </c>
    </row>
    <row r="621" spans="1:2" x14ac:dyDescent="0.3">
      <c r="A621" s="13">
        <v>42569</v>
      </c>
      <c r="B621">
        <v>1.6204315138527581</v>
      </c>
    </row>
    <row r="622" spans="1:2" x14ac:dyDescent="0.3">
      <c r="A622" s="13">
        <v>42570</v>
      </c>
      <c r="B622">
        <v>1.6211968717513441</v>
      </c>
    </row>
    <row r="623" spans="1:2" x14ac:dyDescent="0.3">
      <c r="A623" s="13">
        <v>42571</v>
      </c>
      <c r="B623">
        <v>1.620816039074086</v>
      </c>
    </row>
    <row r="624" spans="1:2" x14ac:dyDescent="0.3">
      <c r="A624" s="13">
        <v>42572</v>
      </c>
      <c r="B624">
        <v>1.621911234538399</v>
      </c>
    </row>
    <row r="625" spans="1:2" x14ac:dyDescent="0.3">
      <c r="A625" s="13">
        <v>42573</v>
      </c>
      <c r="B625">
        <v>1.6076683518493891</v>
      </c>
    </row>
    <row r="626" spans="1:2" x14ac:dyDescent="0.3">
      <c r="A626" s="13">
        <v>42576</v>
      </c>
      <c r="B626">
        <v>1.60655215949399</v>
      </c>
    </row>
    <row r="627" spans="1:2" x14ac:dyDescent="0.3">
      <c r="A627" s="13">
        <v>42577</v>
      </c>
      <c r="B627">
        <v>1.6253046509213329</v>
      </c>
    </row>
    <row r="628" spans="1:2" x14ac:dyDescent="0.3">
      <c r="A628" s="13">
        <v>42578</v>
      </c>
      <c r="B628">
        <v>1.5752301349693349</v>
      </c>
    </row>
    <row r="629" spans="1:2" x14ac:dyDescent="0.3">
      <c r="A629" s="13">
        <v>42579</v>
      </c>
      <c r="B629">
        <v>1.576766954524834</v>
      </c>
    </row>
    <row r="630" spans="1:2" x14ac:dyDescent="0.3">
      <c r="A630" s="13">
        <v>42580</v>
      </c>
      <c r="B630">
        <v>1.5695669470988121</v>
      </c>
    </row>
    <row r="631" spans="1:2" x14ac:dyDescent="0.3">
      <c r="A631" s="13">
        <v>42583</v>
      </c>
      <c r="B631">
        <v>1.552931549828757</v>
      </c>
    </row>
    <row r="632" spans="1:2" x14ac:dyDescent="0.3">
      <c r="A632" s="13">
        <v>42584</v>
      </c>
      <c r="B632">
        <v>1.5622177171459071</v>
      </c>
    </row>
    <row r="633" spans="1:2" x14ac:dyDescent="0.3">
      <c r="A633" s="13">
        <v>42585</v>
      </c>
      <c r="B633">
        <v>1.5665116646995501</v>
      </c>
    </row>
    <row r="634" spans="1:2" x14ac:dyDescent="0.3">
      <c r="A634" s="13">
        <v>42586</v>
      </c>
      <c r="B634">
        <v>1.5729544215457369</v>
      </c>
    </row>
    <row r="635" spans="1:2" x14ac:dyDescent="0.3">
      <c r="A635" s="13">
        <v>42587</v>
      </c>
      <c r="B635">
        <v>1.566350652057106</v>
      </c>
    </row>
    <row r="636" spans="1:2" x14ac:dyDescent="0.3">
      <c r="A636" s="13">
        <v>42590</v>
      </c>
      <c r="B636">
        <v>1.578429176938756</v>
      </c>
    </row>
    <row r="637" spans="1:2" x14ac:dyDescent="0.3">
      <c r="A637" s="13">
        <v>42591</v>
      </c>
      <c r="B637">
        <v>1.589784962132353</v>
      </c>
    </row>
    <row r="638" spans="1:2" x14ac:dyDescent="0.3">
      <c r="A638" s="13">
        <v>42592</v>
      </c>
      <c r="B638">
        <v>1.586213241086506</v>
      </c>
    </row>
    <row r="639" spans="1:2" x14ac:dyDescent="0.3">
      <c r="A639" s="13">
        <v>42593</v>
      </c>
      <c r="B639">
        <v>1.5679566930767741</v>
      </c>
    </row>
    <row r="640" spans="1:2" x14ac:dyDescent="0.3">
      <c r="A640" s="13">
        <v>42594</v>
      </c>
      <c r="B640">
        <v>1.5795758678491369</v>
      </c>
    </row>
    <row r="641" spans="1:2" x14ac:dyDescent="0.3">
      <c r="A641" s="13">
        <v>42597</v>
      </c>
      <c r="B641">
        <v>1.608668357345399</v>
      </c>
    </row>
    <row r="642" spans="1:2" x14ac:dyDescent="0.3">
      <c r="A642" s="13">
        <v>42598</v>
      </c>
      <c r="B642">
        <v>1.6135206669775051</v>
      </c>
    </row>
    <row r="643" spans="1:2" x14ac:dyDescent="0.3">
      <c r="A643" s="13">
        <v>42599</v>
      </c>
      <c r="B643">
        <v>1.6164566291402269</v>
      </c>
    </row>
    <row r="644" spans="1:2" x14ac:dyDescent="0.3">
      <c r="A644" s="13">
        <v>42600</v>
      </c>
      <c r="B644">
        <v>1.6119625085961189</v>
      </c>
    </row>
    <row r="645" spans="1:2" x14ac:dyDescent="0.3">
      <c r="A645" s="13">
        <v>42601</v>
      </c>
      <c r="B645">
        <v>1.6129496770631231</v>
      </c>
    </row>
    <row r="646" spans="1:2" x14ac:dyDescent="0.3">
      <c r="A646" s="13">
        <v>42604</v>
      </c>
      <c r="B646">
        <v>1.5990967025263161</v>
      </c>
    </row>
    <row r="647" spans="1:2" x14ac:dyDescent="0.3">
      <c r="A647" s="13">
        <v>42605</v>
      </c>
      <c r="B647">
        <v>1.601549281928208</v>
      </c>
    </row>
    <row r="648" spans="1:2" x14ac:dyDescent="0.3">
      <c r="A648" s="13">
        <v>42606</v>
      </c>
      <c r="B648">
        <v>1.6043435516037829</v>
      </c>
    </row>
    <row r="649" spans="1:2" x14ac:dyDescent="0.3">
      <c r="A649" s="13">
        <v>42607</v>
      </c>
      <c r="B649">
        <v>1.5985819066831619</v>
      </c>
    </row>
    <row r="650" spans="1:2" x14ac:dyDescent="0.3">
      <c r="A650" s="13">
        <v>42608</v>
      </c>
      <c r="B650">
        <v>1.6042192565720499</v>
      </c>
    </row>
    <row r="651" spans="1:2" x14ac:dyDescent="0.3">
      <c r="A651" s="13">
        <v>42611</v>
      </c>
      <c r="B651">
        <v>1.605109254930335</v>
      </c>
    </row>
    <row r="652" spans="1:2" x14ac:dyDescent="0.3">
      <c r="A652" s="13">
        <v>42612</v>
      </c>
      <c r="B652">
        <v>1.605107390870286</v>
      </c>
    </row>
    <row r="653" spans="1:2" x14ac:dyDescent="0.3">
      <c r="A653" s="13">
        <v>42613</v>
      </c>
      <c r="B653">
        <v>1.605309180056788</v>
      </c>
    </row>
    <row r="654" spans="1:2" x14ac:dyDescent="0.3">
      <c r="A654" s="13">
        <v>42614</v>
      </c>
      <c r="B654">
        <v>1.596466617818171</v>
      </c>
    </row>
    <row r="655" spans="1:2" x14ac:dyDescent="0.3">
      <c r="A655" s="13">
        <v>42615</v>
      </c>
      <c r="B655">
        <v>1.5903837455087499</v>
      </c>
    </row>
    <row r="656" spans="1:2" x14ac:dyDescent="0.3">
      <c r="A656" s="13">
        <v>42618</v>
      </c>
      <c r="B656">
        <v>1.5980036920912899</v>
      </c>
    </row>
    <row r="657" spans="1:2" x14ac:dyDescent="0.3">
      <c r="A657" s="13">
        <v>42619</v>
      </c>
      <c r="B657">
        <v>1.6185262970878931</v>
      </c>
    </row>
    <row r="658" spans="1:2" x14ac:dyDescent="0.3">
      <c r="A658" s="13">
        <v>42620</v>
      </c>
      <c r="B658">
        <v>1.6174944662287141</v>
      </c>
    </row>
    <row r="659" spans="1:2" x14ac:dyDescent="0.3">
      <c r="A659" s="13">
        <v>42621</v>
      </c>
      <c r="B659">
        <v>1.6215663617623091</v>
      </c>
    </row>
    <row r="660" spans="1:2" x14ac:dyDescent="0.3">
      <c r="A660" s="13">
        <v>42622</v>
      </c>
      <c r="B660">
        <v>1.6120569609255091</v>
      </c>
    </row>
    <row r="661" spans="1:2" x14ac:dyDescent="0.3">
      <c r="A661" s="13">
        <v>42625</v>
      </c>
      <c r="B661">
        <v>1.578245739070218</v>
      </c>
    </row>
    <row r="662" spans="1:2" x14ac:dyDescent="0.3">
      <c r="A662" s="13">
        <v>42626</v>
      </c>
      <c r="B662">
        <v>1.583774013511521</v>
      </c>
    </row>
    <row r="663" spans="1:2" x14ac:dyDescent="0.3">
      <c r="A663" s="13">
        <v>42627</v>
      </c>
      <c r="B663">
        <v>1.5762359735670191</v>
      </c>
    </row>
    <row r="664" spans="1:2" x14ac:dyDescent="0.3">
      <c r="A664" s="13">
        <v>42632</v>
      </c>
      <c r="B664">
        <v>1.5899187947224009</v>
      </c>
    </row>
    <row r="665" spans="1:2" x14ac:dyDescent="0.3">
      <c r="A665" s="13">
        <v>42633</v>
      </c>
      <c r="B665">
        <v>1.591155482051388</v>
      </c>
    </row>
    <row r="666" spans="1:2" x14ac:dyDescent="0.3">
      <c r="A666" s="13">
        <v>42634</v>
      </c>
      <c r="B666">
        <v>1.5941755449196331</v>
      </c>
    </row>
    <row r="667" spans="1:2" x14ac:dyDescent="0.3">
      <c r="A667" s="13">
        <v>42635</v>
      </c>
      <c r="B667">
        <v>1.6025662663651901</v>
      </c>
    </row>
    <row r="668" spans="1:2" x14ac:dyDescent="0.3">
      <c r="A668" s="13">
        <v>42636</v>
      </c>
      <c r="B668">
        <v>1.5987914606905751</v>
      </c>
    </row>
    <row r="669" spans="1:2" x14ac:dyDescent="0.3">
      <c r="A669" s="13">
        <v>42639</v>
      </c>
      <c r="B669">
        <v>1.573228221106121</v>
      </c>
    </row>
    <row r="670" spans="1:2" x14ac:dyDescent="0.3">
      <c r="A670" s="13">
        <v>42640</v>
      </c>
      <c r="B670">
        <v>1.5794238674466949</v>
      </c>
    </row>
    <row r="671" spans="1:2" x14ac:dyDescent="0.3">
      <c r="A671" s="13">
        <v>42641</v>
      </c>
      <c r="B671">
        <v>1.5789326526277609</v>
      </c>
    </row>
    <row r="672" spans="1:2" x14ac:dyDescent="0.3">
      <c r="A672" s="13">
        <v>42642</v>
      </c>
      <c r="B672">
        <v>1.584749745870075</v>
      </c>
    </row>
    <row r="673" spans="1:2" x14ac:dyDescent="0.3">
      <c r="A673" s="13">
        <v>42643</v>
      </c>
      <c r="B673">
        <v>1.591119862925932</v>
      </c>
    </row>
    <row r="674" spans="1:2" x14ac:dyDescent="0.3">
      <c r="A674" s="13">
        <v>42653</v>
      </c>
      <c r="B674">
        <v>1.6150416482614329</v>
      </c>
    </row>
    <row r="675" spans="1:2" x14ac:dyDescent="0.3">
      <c r="A675" s="13">
        <v>42654</v>
      </c>
      <c r="B675">
        <v>1.623441916223421</v>
      </c>
    </row>
    <row r="676" spans="1:2" x14ac:dyDescent="0.3">
      <c r="A676" s="13">
        <v>42655</v>
      </c>
      <c r="B676">
        <v>1.6223104491445139</v>
      </c>
    </row>
    <row r="677" spans="1:2" x14ac:dyDescent="0.3">
      <c r="A677" s="13">
        <v>42656</v>
      </c>
      <c r="B677">
        <v>1.623213913294546</v>
      </c>
    </row>
    <row r="678" spans="1:2" x14ac:dyDescent="0.3">
      <c r="A678" s="13">
        <v>42657</v>
      </c>
      <c r="B678">
        <v>1.6198064149912099</v>
      </c>
    </row>
    <row r="679" spans="1:2" x14ac:dyDescent="0.3">
      <c r="A679" s="13">
        <v>42660</v>
      </c>
      <c r="B679">
        <v>1.608811300373489</v>
      </c>
    </row>
    <row r="680" spans="1:2" x14ac:dyDescent="0.3">
      <c r="A680" s="13">
        <v>42661</v>
      </c>
      <c r="B680">
        <v>1.627174107036343</v>
      </c>
    </row>
    <row r="681" spans="1:2" x14ac:dyDescent="0.3">
      <c r="A681" s="13">
        <v>42662</v>
      </c>
      <c r="B681">
        <v>1.623456524129631</v>
      </c>
    </row>
    <row r="682" spans="1:2" x14ac:dyDescent="0.3">
      <c r="A682" s="13">
        <v>42663</v>
      </c>
      <c r="B682">
        <v>1.625778119008829</v>
      </c>
    </row>
    <row r="683" spans="1:2" x14ac:dyDescent="0.3">
      <c r="A683" s="13">
        <v>42664</v>
      </c>
      <c r="B683">
        <v>1.620334030859627</v>
      </c>
    </row>
    <row r="684" spans="1:2" x14ac:dyDescent="0.3">
      <c r="A684" s="13">
        <v>42667</v>
      </c>
      <c r="B684">
        <v>1.629894552398605</v>
      </c>
    </row>
    <row r="685" spans="1:2" x14ac:dyDescent="0.3">
      <c r="A685" s="13">
        <v>42668</v>
      </c>
      <c r="B685">
        <v>1.633307460117523</v>
      </c>
    </row>
    <row r="686" spans="1:2" x14ac:dyDescent="0.3">
      <c r="A686" s="13">
        <v>42669</v>
      </c>
      <c r="B686">
        <v>1.626566958777985</v>
      </c>
    </row>
    <row r="687" spans="1:2" x14ac:dyDescent="0.3">
      <c r="A687" s="13">
        <v>42670</v>
      </c>
      <c r="B687">
        <v>1.6254155289206449</v>
      </c>
    </row>
    <row r="688" spans="1:2" x14ac:dyDescent="0.3">
      <c r="A688" s="13">
        <v>42671</v>
      </c>
      <c r="B688">
        <v>1.6169278832296961</v>
      </c>
    </row>
    <row r="689" spans="1:2" x14ac:dyDescent="0.3">
      <c r="A689" s="13">
        <v>42674</v>
      </c>
      <c r="B689">
        <v>1.615982037352512</v>
      </c>
    </row>
    <row r="690" spans="1:2" x14ac:dyDescent="0.3">
      <c r="A690" s="13">
        <v>42675</v>
      </c>
      <c r="B690">
        <v>1.628981514582345</v>
      </c>
    </row>
    <row r="691" spans="1:2" x14ac:dyDescent="0.3">
      <c r="A691" s="13">
        <v>42676</v>
      </c>
      <c r="B691">
        <v>1.6207962598530801</v>
      </c>
    </row>
    <row r="692" spans="1:2" x14ac:dyDescent="0.3">
      <c r="A692" s="13">
        <v>42677</v>
      </c>
      <c r="B692">
        <v>1.6262507567732101</v>
      </c>
    </row>
    <row r="693" spans="1:2" x14ac:dyDescent="0.3">
      <c r="A693" s="13">
        <v>42678</v>
      </c>
      <c r="B693">
        <v>1.620688802228617</v>
      </c>
    </row>
    <row r="694" spans="1:2" x14ac:dyDescent="0.3">
      <c r="A694" s="13">
        <v>42681</v>
      </c>
      <c r="B694">
        <v>1.619859070253403</v>
      </c>
    </row>
    <row r="695" spans="1:2" x14ac:dyDescent="0.3">
      <c r="A695" s="13">
        <v>42682</v>
      </c>
      <c r="B695">
        <v>1.6275292535328361</v>
      </c>
    </row>
    <row r="696" spans="1:2" x14ac:dyDescent="0.3">
      <c r="A696" s="13">
        <v>42683</v>
      </c>
      <c r="B696">
        <v>1.6192437297826821</v>
      </c>
    </row>
    <row r="697" spans="1:2" x14ac:dyDescent="0.3">
      <c r="A697" s="13">
        <v>42684</v>
      </c>
      <c r="B697">
        <v>1.634686076397375</v>
      </c>
    </row>
    <row r="698" spans="1:2" x14ac:dyDescent="0.3">
      <c r="A698" s="13">
        <v>42685</v>
      </c>
      <c r="B698">
        <v>1.6388257226217171</v>
      </c>
    </row>
    <row r="699" spans="1:2" x14ac:dyDescent="0.3">
      <c r="A699" s="13">
        <v>42688</v>
      </c>
      <c r="B699">
        <v>1.6411444446895811</v>
      </c>
    </row>
    <row r="700" spans="1:2" x14ac:dyDescent="0.3">
      <c r="A700" s="13">
        <v>42689</v>
      </c>
      <c r="B700">
        <v>1.6438209511230479</v>
      </c>
    </row>
    <row r="701" spans="1:2" x14ac:dyDescent="0.3">
      <c r="A701" s="13">
        <v>42690</v>
      </c>
      <c r="B701">
        <v>1.645433938197838</v>
      </c>
    </row>
    <row r="702" spans="1:2" x14ac:dyDescent="0.3">
      <c r="A702" s="13">
        <v>42691</v>
      </c>
      <c r="B702">
        <v>1.641877456027659</v>
      </c>
    </row>
    <row r="703" spans="1:2" x14ac:dyDescent="0.3">
      <c r="A703" s="13">
        <v>42692</v>
      </c>
      <c r="B703">
        <v>1.6367200345769131</v>
      </c>
    </row>
    <row r="704" spans="1:2" x14ac:dyDescent="0.3">
      <c r="A704" s="13">
        <v>42695</v>
      </c>
      <c r="B704">
        <v>1.6393104952064821</v>
      </c>
    </row>
    <row r="705" spans="1:2" x14ac:dyDescent="0.3">
      <c r="A705" s="13">
        <v>42696</v>
      </c>
      <c r="B705">
        <v>1.6498427742391679</v>
      </c>
    </row>
    <row r="706" spans="1:2" x14ac:dyDescent="0.3">
      <c r="A706" s="13">
        <v>42697</v>
      </c>
      <c r="B706">
        <v>1.6437064573770379</v>
      </c>
    </row>
    <row r="707" spans="1:2" x14ac:dyDescent="0.3">
      <c r="A707" s="13">
        <v>42698</v>
      </c>
      <c r="B707">
        <v>1.640713288208373</v>
      </c>
    </row>
    <row r="708" spans="1:2" x14ac:dyDescent="0.3">
      <c r="A708" s="13">
        <v>42699</v>
      </c>
      <c r="B708">
        <v>1.646334768021263</v>
      </c>
    </row>
    <row r="709" spans="1:2" x14ac:dyDescent="0.3">
      <c r="A709" s="13">
        <v>42702</v>
      </c>
      <c r="B709">
        <v>1.6486872967502499</v>
      </c>
    </row>
    <row r="710" spans="1:2" x14ac:dyDescent="0.3">
      <c r="A710" s="13">
        <v>42703</v>
      </c>
      <c r="B710">
        <v>1.6415737345897909</v>
      </c>
    </row>
    <row r="711" spans="1:2" x14ac:dyDescent="0.3">
      <c r="A711" s="13">
        <v>42704</v>
      </c>
      <c r="B711">
        <v>1.632509505719332</v>
      </c>
    </row>
    <row r="712" spans="1:2" x14ac:dyDescent="0.3">
      <c r="A712" s="13">
        <v>42705</v>
      </c>
      <c r="B712">
        <v>1.6409609314314091</v>
      </c>
    </row>
    <row r="713" spans="1:2" x14ac:dyDescent="0.3">
      <c r="A713" s="13">
        <v>42706</v>
      </c>
      <c r="B713">
        <v>1.6211181163737931</v>
      </c>
    </row>
    <row r="714" spans="1:2" x14ac:dyDescent="0.3">
      <c r="A714" s="13">
        <v>42709</v>
      </c>
      <c r="B714">
        <v>1.6122285028596679</v>
      </c>
    </row>
    <row r="715" spans="1:2" x14ac:dyDescent="0.3">
      <c r="A715" s="13">
        <v>42710</v>
      </c>
      <c r="B715">
        <v>1.6138589078408421</v>
      </c>
    </row>
    <row r="716" spans="1:2" x14ac:dyDescent="0.3">
      <c r="A716" s="13">
        <v>42711</v>
      </c>
      <c r="B716">
        <v>1.625610966185262</v>
      </c>
    </row>
    <row r="717" spans="1:2" x14ac:dyDescent="0.3">
      <c r="A717" s="13">
        <v>42712</v>
      </c>
      <c r="B717">
        <v>1.6202701057573901</v>
      </c>
    </row>
    <row r="718" spans="1:2" x14ac:dyDescent="0.3">
      <c r="A718" s="13">
        <v>42713</v>
      </c>
      <c r="B718">
        <v>1.617827145125466</v>
      </c>
    </row>
    <row r="719" spans="1:2" x14ac:dyDescent="0.3">
      <c r="A719" s="13">
        <v>42716</v>
      </c>
      <c r="B719">
        <v>1.5624755955006331</v>
      </c>
    </row>
    <row r="720" spans="1:2" x14ac:dyDescent="0.3">
      <c r="A720" s="13">
        <v>42717</v>
      </c>
      <c r="B720">
        <v>1.568206641091185</v>
      </c>
    </row>
    <row r="721" spans="1:2" x14ac:dyDescent="0.3">
      <c r="A721" s="13">
        <v>42718</v>
      </c>
      <c r="B721">
        <v>1.5578977026615071</v>
      </c>
    </row>
    <row r="722" spans="1:2" x14ac:dyDescent="0.3">
      <c r="A722" s="13">
        <v>42719</v>
      </c>
      <c r="B722">
        <v>1.5585587484810719</v>
      </c>
    </row>
    <row r="723" spans="1:2" x14ac:dyDescent="0.3">
      <c r="A723" s="13">
        <v>42720</v>
      </c>
      <c r="B723">
        <v>1.5672893837344311</v>
      </c>
    </row>
    <row r="724" spans="1:2" x14ac:dyDescent="0.3">
      <c r="A724" s="13">
        <v>42723</v>
      </c>
      <c r="B724">
        <v>1.565510135504623</v>
      </c>
    </row>
    <row r="725" spans="1:2" x14ac:dyDescent="0.3">
      <c r="A725" s="13">
        <v>42724</v>
      </c>
      <c r="B725">
        <v>1.5610424593907499</v>
      </c>
    </row>
    <row r="726" spans="1:2" x14ac:dyDescent="0.3">
      <c r="A726" s="13">
        <v>42725</v>
      </c>
      <c r="B726">
        <v>1.5722470967494939</v>
      </c>
    </row>
    <row r="727" spans="1:2" x14ac:dyDescent="0.3">
      <c r="A727" s="13">
        <v>42726</v>
      </c>
      <c r="B727">
        <v>1.571482274369689</v>
      </c>
    </row>
    <row r="728" spans="1:2" x14ac:dyDescent="0.3">
      <c r="A728" s="13">
        <v>42727</v>
      </c>
      <c r="B728">
        <v>1.558941038773701</v>
      </c>
    </row>
    <row r="729" spans="1:2" x14ac:dyDescent="0.3">
      <c r="A729" s="13">
        <v>42730</v>
      </c>
      <c r="B729">
        <v>1.5650862212338441</v>
      </c>
    </row>
    <row r="730" spans="1:2" x14ac:dyDescent="0.3">
      <c r="A730" s="13">
        <v>42731</v>
      </c>
      <c r="B730">
        <v>1.566681510355812</v>
      </c>
    </row>
    <row r="731" spans="1:2" x14ac:dyDescent="0.3">
      <c r="A731" s="13">
        <v>42732</v>
      </c>
      <c r="B731">
        <v>1.561966459874043</v>
      </c>
    </row>
    <row r="732" spans="1:2" x14ac:dyDescent="0.3">
      <c r="A732" s="13">
        <v>42733</v>
      </c>
      <c r="B732">
        <v>1.5594747007481899</v>
      </c>
    </row>
    <row r="733" spans="1:2" x14ac:dyDescent="0.3">
      <c r="A733" s="13">
        <v>42734</v>
      </c>
      <c r="B733">
        <v>1.563651568407</v>
      </c>
    </row>
    <row r="734" spans="1:2" x14ac:dyDescent="0.3">
      <c r="A734" s="13">
        <v>42738</v>
      </c>
      <c r="B734">
        <v>1.5730013659611439</v>
      </c>
    </row>
    <row r="735" spans="1:2" x14ac:dyDescent="0.3">
      <c r="A735" s="13">
        <v>42739</v>
      </c>
      <c r="B735">
        <v>1.5881414905362981</v>
      </c>
    </row>
    <row r="736" spans="1:2" x14ac:dyDescent="0.3">
      <c r="A736" s="13">
        <v>42740</v>
      </c>
      <c r="B736">
        <v>1.5879264228009029</v>
      </c>
    </row>
    <row r="737" spans="1:2" x14ac:dyDescent="0.3">
      <c r="A737" s="13">
        <v>42741</v>
      </c>
      <c r="B737">
        <v>1.577679929714922</v>
      </c>
    </row>
    <row r="738" spans="1:2" x14ac:dyDescent="0.3">
      <c r="A738" s="13">
        <v>42744</v>
      </c>
      <c r="B738">
        <v>1.583148561775825</v>
      </c>
    </row>
    <row r="739" spans="1:2" x14ac:dyDescent="0.3">
      <c r="A739" s="13">
        <v>42745</v>
      </c>
      <c r="B739">
        <v>1.5782129540212471</v>
      </c>
    </row>
    <row r="740" spans="1:2" x14ac:dyDescent="0.3">
      <c r="A740" s="13">
        <v>42746</v>
      </c>
      <c r="B740">
        <v>1.564259041829644</v>
      </c>
    </row>
    <row r="741" spans="1:2" x14ac:dyDescent="0.3">
      <c r="A741" s="13">
        <v>42747</v>
      </c>
      <c r="B741">
        <v>1.5524803047779909</v>
      </c>
    </row>
    <row r="742" spans="1:2" x14ac:dyDescent="0.3">
      <c r="A742" s="13">
        <v>42748</v>
      </c>
      <c r="B742">
        <v>1.537370559662554</v>
      </c>
    </row>
    <row r="743" spans="1:2" x14ac:dyDescent="0.3">
      <c r="A743" s="13">
        <v>42751</v>
      </c>
      <c r="B743">
        <v>1.5092742152812799</v>
      </c>
    </row>
    <row r="744" spans="1:2" x14ac:dyDescent="0.3">
      <c r="A744" s="13">
        <v>42752</v>
      </c>
      <c r="B744">
        <v>1.521032025561275</v>
      </c>
    </row>
    <row r="745" spans="1:2" x14ac:dyDescent="0.3">
      <c r="A745" s="13">
        <v>42753</v>
      </c>
      <c r="B745">
        <v>1.520729355372795</v>
      </c>
    </row>
    <row r="746" spans="1:2" x14ac:dyDescent="0.3">
      <c r="A746" s="13">
        <v>42754</v>
      </c>
      <c r="B746">
        <v>1.515034038617991</v>
      </c>
    </row>
    <row r="747" spans="1:2" x14ac:dyDescent="0.3">
      <c r="A747" s="13">
        <v>42755</v>
      </c>
      <c r="B747">
        <v>1.531807622295835</v>
      </c>
    </row>
    <row r="748" spans="1:2" x14ac:dyDescent="0.3">
      <c r="A748" s="13">
        <v>42758</v>
      </c>
      <c r="B748">
        <v>1.5415962604527189</v>
      </c>
    </row>
    <row r="749" spans="1:2" x14ac:dyDescent="0.3">
      <c r="A749" s="13">
        <v>42759</v>
      </c>
      <c r="B749">
        <v>1.5388739410715599</v>
      </c>
    </row>
    <row r="750" spans="1:2" x14ac:dyDescent="0.3">
      <c r="A750" s="13">
        <v>42760</v>
      </c>
      <c r="B750">
        <v>1.5429576945639389</v>
      </c>
    </row>
    <row r="751" spans="1:2" x14ac:dyDescent="0.3">
      <c r="A751" s="13">
        <v>42761</v>
      </c>
      <c r="B751">
        <v>1.5519027235509639</v>
      </c>
    </row>
    <row r="752" spans="1:2" x14ac:dyDescent="0.3">
      <c r="A752" s="13">
        <v>42769</v>
      </c>
      <c r="B752">
        <v>1.545820219586614</v>
      </c>
    </row>
    <row r="753" spans="1:2" x14ac:dyDescent="0.3">
      <c r="A753" s="13">
        <v>42772</v>
      </c>
      <c r="B753">
        <v>1.5565751010651461</v>
      </c>
    </row>
    <row r="754" spans="1:2" x14ac:dyDescent="0.3">
      <c r="A754" s="13">
        <v>42773</v>
      </c>
      <c r="B754">
        <v>1.555597104407294</v>
      </c>
    </row>
    <row r="755" spans="1:2" x14ac:dyDescent="0.3">
      <c r="A755" s="13">
        <v>42774</v>
      </c>
      <c r="B755">
        <v>1.5638391818087809</v>
      </c>
    </row>
    <row r="756" spans="1:2" x14ac:dyDescent="0.3">
      <c r="A756" s="13">
        <v>42775</v>
      </c>
      <c r="B756">
        <v>1.5711136023001619</v>
      </c>
    </row>
    <row r="757" spans="1:2" x14ac:dyDescent="0.3">
      <c r="A757" s="13">
        <v>42776</v>
      </c>
      <c r="B757">
        <v>1.5718958136065531</v>
      </c>
    </row>
    <row r="758" spans="1:2" x14ac:dyDescent="0.3">
      <c r="A758" s="13">
        <v>42779</v>
      </c>
      <c r="B758">
        <v>1.581544157973652</v>
      </c>
    </row>
    <row r="759" spans="1:2" x14ac:dyDescent="0.3">
      <c r="A759" s="13">
        <v>42780</v>
      </c>
      <c r="B759">
        <v>1.5827501999722531</v>
      </c>
    </row>
    <row r="760" spans="1:2" x14ac:dyDescent="0.3">
      <c r="A760" s="13">
        <v>42781</v>
      </c>
      <c r="B760">
        <v>1.5710759106058809</v>
      </c>
    </row>
    <row r="761" spans="1:2" x14ac:dyDescent="0.3">
      <c r="A761" s="13">
        <v>42782</v>
      </c>
      <c r="B761">
        <v>1.578467245263145</v>
      </c>
    </row>
    <row r="762" spans="1:2" x14ac:dyDescent="0.3">
      <c r="A762" s="13">
        <v>42783</v>
      </c>
      <c r="B762">
        <v>1.5677186791472999</v>
      </c>
    </row>
    <row r="763" spans="1:2" x14ac:dyDescent="0.3">
      <c r="A763" s="13">
        <v>42786</v>
      </c>
      <c r="B763">
        <v>1.5843320586381351</v>
      </c>
    </row>
    <row r="764" spans="1:2" x14ac:dyDescent="0.3">
      <c r="A764" s="13">
        <v>42787</v>
      </c>
      <c r="B764">
        <v>1.5928517163043729</v>
      </c>
    </row>
    <row r="765" spans="1:2" x14ac:dyDescent="0.3">
      <c r="A765" s="13">
        <v>42788</v>
      </c>
      <c r="B765">
        <v>1.599299241055288</v>
      </c>
    </row>
    <row r="766" spans="1:2" x14ac:dyDescent="0.3">
      <c r="A766" s="13">
        <v>42789</v>
      </c>
      <c r="B766">
        <v>1.597641738251061</v>
      </c>
    </row>
    <row r="767" spans="1:2" x14ac:dyDescent="0.3">
      <c r="A767" s="13">
        <v>42790</v>
      </c>
      <c r="B767">
        <v>1.5988936124784949</v>
      </c>
    </row>
    <row r="768" spans="1:2" x14ac:dyDescent="0.3">
      <c r="A768" s="13">
        <v>42793</v>
      </c>
      <c r="B768">
        <v>1.589818698382292</v>
      </c>
    </row>
    <row r="769" spans="1:2" x14ac:dyDescent="0.3">
      <c r="A769" s="13">
        <v>42794</v>
      </c>
      <c r="B769">
        <v>1.5948785841476041</v>
      </c>
    </row>
    <row r="770" spans="1:2" x14ac:dyDescent="0.3">
      <c r="A770" s="13">
        <v>42795</v>
      </c>
      <c r="B770">
        <v>1.597921478816984</v>
      </c>
    </row>
    <row r="771" spans="1:2" x14ac:dyDescent="0.3">
      <c r="A771" s="13">
        <v>42796</v>
      </c>
      <c r="B771">
        <v>1.59327468834019</v>
      </c>
    </row>
    <row r="772" spans="1:2" x14ac:dyDescent="0.3">
      <c r="A772" s="13">
        <v>42797</v>
      </c>
      <c r="B772">
        <v>1.5979308030573229</v>
      </c>
    </row>
    <row r="773" spans="1:2" x14ac:dyDescent="0.3">
      <c r="A773" s="13">
        <v>42800</v>
      </c>
      <c r="B773">
        <v>1.612030727358589</v>
      </c>
    </row>
    <row r="774" spans="1:2" x14ac:dyDescent="0.3">
      <c r="A774" s="13">
        <v>42801</v>
      </c>
      <c r="B774">
        <v>1.6159805801575851</v>
      </c>
    </row>
    <row r="775" spans="1:2" x14ac:dyDescent="0.3">
      <c r="A775" s="13">
        <v>42802</v>
      </c>
      <c r="B775">
        <v>1.611216239359321</v>
      </c>
    </row>
    <row r="776" spans="1:2" x14ac:dyDescent="0.3">
      <c r="A776" s="13">
        <v>42803</v>
      </c>
      <c r="B776">
        <v>1.601663794603613</v>
      </c>
    </row>
    <row r="777" spans="1:2" x14ac:dyDescent="0.3">
      <c r="A777" s="13">
        <v>42804</v>
      </c>
      <c r="B777">
        <v>1.6057374557396329</v>
      </c>
    </row>
    <row r="778" spans="1:2" x14ac:dyDescent="0.3">
      <c r="A778" s="13">
        <v>42807</v>
      </c>
      <c r="B778">
        <v>1.621125723218253</v>
      </c>
    </row>
    <row r="779" spans="1:2" x14ac:dyDescent="0.3">
      <c r="A779" s="13">
        <v>42808</v>
      </c>
      <c r="B779">
        <v>1.6189405649851161</v>
      </c>
    </row>
    <row r="780" spans="1:2" x14ac:dyDescent="0.3">
      <c r="A780" s="13">
        <v>42809</v>
      </c>
      <c r="B780">
        <v>1.62090762500593</v>
      </c>
    </row>
    <row r="781" spans="1:2" x14ac:dyDescent="0.3">
      <c r="A781" s="13">
        <v>42810</v>
      </c>
      <c r="B781">
        <v>1.6311127341584379</v>
      </c>
    </row>
    <row r="782" spans="1:2" x14ac:dyDescent="0.3">
      <c r="A782" s="13">
        <v>42811</v>
      </c>
      <c r="B782">
        <v>1.6176061354064371</v>
      </c>
    </row>
    <row r="783" spans="1:2" x14ac:dyDescent="0.3">
      <c r="A783" s="13">
        <v>42814</v>
      </c>
      <c r="B783">
        <v>1.622296908911018</v>
      </c>
    </row>
    <row r="784" spans="1:2" x14ac:dyDescent="0.3">
      <c r="A784" s="13">
        <v>42815</v>
      </c>
      <c r="B784">
        <v>1.633069535471684</v>
      </c>
    </row>
    <row r="785" spans="1:2" x14ac:dyDescent="0.3">
      <c r="A785" s="13">
        <v>42816</v>
      </c>
      <c r="B785">
        <v>1.6339625352217499</v>
      </c>
    </row>
    <row r="786" spans="1:2" x14ac:dyDescent="0.3">
      <c r="A786" s="13">
        <v>42817</v>
      </c>
      <c r="B786">
        <v>1.6369805052253159</v>
      </c>
    </row>
    <row r="787" spans="1:2" x14ac:dyDescent="0.3">
      <c r="A787" s="13">
        <v>42818</v>
      </c>
      <c r="B787">
        <v>1.6435399190259421</v>
      </c>
    </row>
    <row r="788" spans="1:2" x14ac:dyDescent="0.3">
      <c r="A788" s="13">
        <v>42821</v>
      </c>
      <c r="B788">
        <v>1.6334696305033829</v>
      </c>
    </row>
    <row r="789" spans="1:2" x14ac:dyDescent="0.3">
      <c r="A789" s="13">
        <v>42822</v>
      </c>
      <c r="B789">
        <v>1.6296044310152049</v>
      </c>
    </row>
    <row r="790" spans="1:2" x14ac:dyDescent="0.3">
      <c r="A790" s="13">
        <v>42823</v>
      </c>
      <c r="B790">
        <v>1.6246495170857449</v>
      </c>
    </row>
    <row r="791" spans="1:2" x14ac:dyDescent="0.3">
      <c r="A791" s="13">
        <v>42824</v>
      </c>
      <c r="B791">
        <v>1.6049808409829811</v>
      </c>
    </row>
    <row r="792" spans="1:2" x14ac:dyDescent="0.3">
      <c r="A792" s="13">
        <v>42825</v>
      </c>
      <c r="B792">
        <v>1.61469283981279</v>
      </c>
    </row>
    <row r="793" spans="1:2" x14ac:dyDescent="0.3">
      <c r="A793" s="13">
        <v>42830</v>
      </c>
      <c r="B793">
        <v>1.6408561302456151</v>
      </c>
    </row>
    <row r="794" spans="1:2" x14ac:dyDescent="0.3">
      <c r="A794" s="13">
        <v>42831</v>
      </c>
      <c r="B794">
        <v>1.644932367790545</v>
      </c>
    </row>
    <row r="795" spans="1:2" x14ac:dyDescent="0.3">
      <c r="A795" s="13">
        <v>42832</v>
      </c>
      <c r="B795">
        <v>1.6481292058338639</v>
      </c>
    </row>
    <row r="796" spans="1:2" x14ac:dyDescent="0.3">
      <c r="A796" s="13">
        <v>42835</v>
      </c>
      <c r="B796">
        <v>1.638623270267898</v>
      </c>
    </row>
    <row r="797" spans="1:2" x14ac:dyDescent="0.3">
      <c r="A797" s="13">
        <v>42836</v>
      </c>
      <c r="B797">
        <v>1.642355696193103</v>
      </c>
    </row>
    <row r="798" spans="1:2" x14ac:dyDescent="0.3">
      <c r="A798" s="13">
        <v>42837</v>
      </c>
      <c r="B798">
        <v>1.6333703726219451</v>
      </c>
    </row>
    <row r="799" spans="1:2" x14ac:dyDescent="0.3">
      <c r="A799" s="13">
        <v>42838</v>
      </c>
      <c r="B799">
        <v>1.641266580993362</v>
      </c>
    </row>
    <row r="800" spans="1:2" x14ac:dyDescent="0.3">
      <c r="A800" s="13">
        <v>42839</v>
      </c>
      <c r="B800">
        <v>1.624514824288122</v>
      </c>
    </row>
    <row r="801" spans="1:2" x14ac:dyDescent="0.3">
      <c r="A801" s="13">
        <v>42842</v>
      </c>
      <c r="B801">
        <v>1.616632272289934</v>
      </c>
    </row>
    <row r="802" spans="1:2" x14ac:dyDescent="0.3">
      <c r="A802" s="13">
        <v>42843</v>
      </c>
      <c r="B802">
        <v>1.6166758730585939</v>
      </c>
    </row>
    <row r="803" spans="1:2" x14ac:dyDescent="0.3">
      <c r="A803" s="13">
        <v>42844</v>
      </c>
      <c r="B803">
        <v>1.6113499990194149</v>
      </c>
    </row>
    <row r="804" spans="1:2" x14ac:dyDescent="0.3">
      <c r="A804" s="13">
        <v>42845</v>
      </c>
      <c r="B804">
        <v>1.6192148177599239</v>
      </c>
    </row>
    <row r="805" spans="1:2" x14ac:dyDescent="0.3">
      <c r="A805" s="13">
        <v>42846</v>
      </c>
      <c r="B805">
        <v>1.611710009316577</v>
      </c>
    </row>
    <row r="806" spans="1:2" x14ac:dyDescent="0.3">
      <c r="A806" s="13">
        <v>42849</v>
      </c>
      <c r="B806">
        <v>1.5855377343982671</v>
      </c>
    </row>
    <row r="807" spans="1:2" x14ac:dyDescent="0.3">
      <c r="A807" s="13">
        <v>42850</v>
      </c>
      <c r="B807">
        <v>1.5941712401489909</v>
      </c>
    </row>
    <row r="808" spans="1:2" x14ac:dyDescent="0.3">
      <c r="A808" s="13">
        <v>42851</v>
      </c>
      <c r="B808">
        <v>1.597010653595935</v>
      </c>
    </row>
    <row r="809" spans="1:2" x14ac:dyDescent="0.3">
      <c r="A809" s="13">
        <v>42852</v>
      </c>
      <c r="B809">
        <v>1.605416869049368</v>
      </c>
    </row>
    <row r="810" spans="1:2" x14ac:dyDescent="0.3">
      <c r="A810" s="13">
        <v>42853</v>
      </c>
      <c r="B810">
        <v>1.60448654490561</v>
      </c>
    </row>
    <row r="811" spans="1:2" x14ac:dyDescent="0.3">
      <c r="A811" s="13">
        <v>42857</v>
      </c>
      <c r="B811">
        <v>1.604570713636736</v>
      </c>
    </row>
    <row r="812" spans="1:2" x14ac:dyDescent="0.3">
      <c r="A812" s="13">
        <v>42858</v>
      </c>
      <c r="B812">
        <v>1.600072118360865</v>
      </c>
    </row>
    <row r="813" spans="1:2" x14ac:dyDescent="0.3">
      <c r="A813" s="13">
        <v>42859</v>
      </c>
      <c r="B813">
        <v>1.5952292914470341</v>
      </c>
    </row>
    <row r="814" spans="1:2" x14ac:dyDescent="0.3">
      <c r="A814" s="13">
        <v>42860</v>
      </c>
      <c r="B814">
        <v>1.580493672264037</v>
      </c>
    </row>
    <row r="815" spans="1:2" x14ac:dyDescent="0.3">
      <c r="A815" s="13">
        <v>42863</v>
      </c>
      <c r="B815">
        <v>1.5581659073314</v>
      </c>
    </row>
    <row r="816" spans="1:2" x14ac:dyDescent="0.3">
      <c r="A816" s="13">
        <v>42864</v>
      </c>
      <c r="B816">
        <v>1.5654274566678941</v>
      </c>
    </row>
    <row r="817" spans="1:2" x14ac:dyDescent="0.3">
      <c r="A817" s="13">
        <v>42865</v>
      </c>
      <c r="B817">
        <v>1.552700047106405</v>
      </c>
    </row>
    <row r="818" spans="1:2" x14ac:dyDescent="0.3">
      <c r="A818" s="13">
        <v>42866</v>
      </c>
      <c r="B818">
        <v>1.559557362764902</v>
      </c>
    </row>
    <row r="819" spans="1:2" x14ac:dyDescent="0.3">
      <c r="A819" s="13">
        <v>42867</v>
      </c>
      <c r="B819">
        <v>1.5609709065101851</v>
      </c>
    </row>
    <row r="820" spans="1:2" x14ac:dyDescent="0.3">
      <c r="A820" s="13">
        <v>42870</v>
      </c>
      <c r="B820">
        <v>1.5692602120087029</v>
      </c>
    </row>
    <row r="821" spans="1:2" x14ac:dyDescent="0.3">
      <c r="A821" s="13">
        <v>42871</v>
      </c>
      <c r="B821">
        <v>1.5956850011612991</v>
      </c>
    </row>
    <row r="822" spans="1:2" x14ac:dyDescent="0.3">
      <c r="A822" s="13">
        <v>42872</v>
      </c>
      <c r="B822">
        <v>1.5913431683620991</v>
      </c>
    </row>
    <row r="823" spans="1:2" x14ac:dyDescent="0.3">
      <c r="A823" s="13">
        <v>42873</v>
      </c>
      <c r="B823">
        <v>1.5831248429158311</v>
      </c>
    </row>
    <row r="824" spans="1:2" x14ac:dyDescent="0.3">
      <c r="A824" s="13">
        <v>42874</v>
      </c>
      <c r="B824">
        <v>1.5797495427983119</v>
      </c>
    </row>
    <row r="825" spans="1:2" x14ac:dyDescent="0.3">
      <c r="A825" s="13">
        <v>42877</v>
      </c>
      <c r="B825">
        <v>1.570626945132485</v>
      </c>
    </row>
    <row r="826" spans="1:2" x14ac:dyDescent="0.3">
      <c r="A826" s="13">
        <v>42878</v>
      </c>
      <c r="B826">
        <v>1.5565729435033691</v>
      </c>
    </row>
    <row r="827" spans="1:2" x14ac:dyDescent="0.3">
      <c r="A827" s="13">
        <v>42879</v>
      </c>
      <c r="B827">
        <v>1.5588072647323461</v>
      </c>
    </row>
    <row r="828" spans="1:2" x14ac:dyDescent="0.3">
      <c r="A828" s="13">
        <v>42880</v>
      </c>
      <c r="B828">
        <v>1.56549652591996</v>
      </c>
    </row>
    <row r="829" spans="1:2" x14ac:dyDescent="0.3">
      <c r="A829" s="13">
        <v>42881</v>
      </c>
      <c r="B829">
        <v>1.5619413234935431</v>
      </c>
    </row>
    <row r="830" spans="1:2" x14ac:dyDescent="0.3">
      <c r="A830" s="13">
        <v>42886</v>
      </c>
      <c r="B830">
        <v>1.560644118526715</v>
      </c>
    </row>
    <row r="831" spans="1:2" x14ac:dyDescent="0.3">
      <c r="A831" s="13">
        <v>42887</v>
      </c>
      <c r="B831">
        <v>1.547802456336214</v>
      </c>
    </row>
    <row r="832" spans="1:2" x14ac:dyDescent="0.3">
      <c r="A832" s="13">
        <v>42888</v>
      </c>
      <c r="B832">
        <v>1.5508730147940619</v>
      </c>
    </row>
    <row r="833" spans="1:2" x14ac:dyDescent="0.3">
      <c r="A833" s="13">
        <v>42891</v>
      </c>
      <c r="B833">
        <v>1.5574314079995051</v>
      </c>
    </row>
    <row r="834" spans="1:2" x14ac:dyDescent="0.3">
      <c r="A834" s="13">
        <v>42892</v>
      </c>
      <c r="B834">
        <v>1.567378711260093</v>
      </c>
    </row>
    <row r="835" spans="1:2" x14ac:dyDescent="0.3">
      <c r="A835" s="13">
        <v>42893</v>
      </c>
      <c r="B835">
        <v>1.594306735002462</v>
      </c>
    </row>
    <row r="836" spans="1:2" x14ac:dyDescent="0.3">
      <c r="A836" s="13">
        <v>42894</v>
      </c>
      <c r="B836">
        <v>1.6022181486688449</v>
      </c>
    </row>
    <row r="837" spans="1:2" x14ac:dyDescent="0.3">
      <c r="A837" s="13">
        <v>42895</v>
      </c>
      <c r="B837">
        <v>1.6076773481357971</v>
      </c>
    </row>
    <row r="838" spans="1:2" x14ac:dyDescent="0.3">
      <c r="A838" s="13">
        <v>42898</v>
      </c>
      <c r="B838">
        <v>1.6002072700936121</v>
      </c>
    </row>
    <row r="839" spans="1:2" x14ac:dyDescent="0.3">
      <c r="A839" s="13">
        <v>42899</v>
      </c>
      <c r="B839">
        <v>1.611311547517174</v>
      </c>
    </row>
    <row r="840" spans="1:2" x14ac:dyDescent="0.3">
      <c r="A840" s="13">
        <v>42900</v>
      </c>
      <c r="B840">
        <v>1.5992474423674401</v>
      </c>
    </row>
    <row r="841" spans="1:2" x14ac:dyDescent="0.3">
      <c r="A841" s="13">
        <v>42901</v>
      </c>
      <c r="B841">
        <v>1.6055694570808901</v>
      </c>
    </row>
    <row r="842" spans="1:2" x14ac:dyDescent="0.3">
      <c r="A842" s="13">
        <v>42902</v>
      </c>
      <c r="B842">
        <v>1.6038274432316619</v>
      </c>
    </row>
    <row r="843" spans="1:2" x14ac:dyDescent="0.3">
      <c r="A843" s="13">
        <v>42905</v>
      </c>
      <c r="B843">
        <v>1.61520290671829</v>
      </c>
    </row>
    <row r="844" spans="1:2" x14ac:dyDescent="0.3">
      <c r="A844" s="13">
        <v>42906</v>
      </c>
      <c r="B844">
        <v>1.6161333499198689</v>
      </c>
    </row>
    <row r="845" spans="1:2" x14ac:dyDescent="0.3">
      <c r="A845" s="13">
        <v>42907</v>
      </c>
      <c r="B845">
        <v>1.629410901131578</v>
      </c>
    </row>
    <row r="846" spans="1:2" x14ac:dyDescent="0.3">
      <c r="A846" s="13">
        <v>42908</v>
      </c>
      <c r="B846">
        <v>1.6156650082905031</v>
      </c>
    </row>
    <row r="847" spans="1:2" x14ac:dyDescent="0.3">
      <c r="A847" s="13">
        <v>42909</v>
      </c>
      <c r="B847">
        <v>1.626954977402743</v>
      </c>
    </row>
    <row r="848" spans="1:2" x14ac:dyDescent="0.3">
      <c r="A848" s="13">
        <v>42912</v>
      </c>
      <c r="B848">
        <v>1.64806509083928</v>
      </c>
    </row>
    <row r="849" spans="1:2" x14ac:dyDescent="0.3">
      <c r="A849" s="13">
        <v>42913</v>
      </c>
      <c r="B849">
        <v>1.649994876024264</v>
      </c>
    </row>
    <row r="850" spans="1:2" x14ac:dyDescent="0.3">
      <c r="A850" s="13">
        <v>42914</v>
      </c>
      <c r="B850">
        <v>1.6359698076380309</v>
      </c>
    </row>
    <row r="851" spans="1:2" x14ac:dyDescent="0.3">
      <c r="A851" s="13">
        <v>42915</v>
      </c>
      <c r="B851">
        <v>1.64418541855247</v>
      </c>
    </row>
    <row r="852" spans="1:2" x14ac:dyDescent="0.3">
      <c r="A852" s="13">
        <v>42916</v>
      </c>
      <c r="B852">
        <v>1.649791537498571</v>
      </c>
    </row>
    <row r="853" spans="1:2" x14ac:dyDescent="0.3">
      <c r="A853" s="13">
        <v>42919</v>
      </c>
      <c r="B853">
        <v>1.6481766404034019</v>
      </c>
    </row>
    <row r="854" spans="1:2" x14ac:dyDescent="0.3">
      <c r="A854" s="13">
        <v>42920</v>
      </c>
      <c r="B854">
        <v>1.639231597592391</v>
      </c>
    </row>
    <row r="855" spans="1:2" x14ac:dyDescent="0.3">
      <c r="A855" s="13">
        <v>42921</v>
      </c>
      <c r="B855">
        <v>1.6566461915348261</v>
      </c>
    </row>
    <row r="856" spans="1:2" x14ac:dyDescent="0.3">
      <c r="A856" s="13">
        <v>42922</v>
      </c>
      <c r="B856">
        <v>1.658813681195991</v>
      </c>
    </row>
    <row r="857" spans="1:2" x14ac:dyDescent="0.3">
      <c r="A857" s="13">
        <v>42923</v>
      </c>
      <c r="B857">
        <v>1.6588259115353581</v>
      </c>
    </row>
    <row r="858" spans="1:2" x14ac:dyDescent="0.3">
      <c r="A858" s="13">
        <v>42926</v>
      </c>
      <c r="B858">
        <v>1.650117760368023</v>
      </c>
    </row>
    <row r="859" spans="1:2" x14ac:dyDescent="0.3">
      <c r="A859" s="13">
        <v>42927</v>
      </c>
      <c r="B859">
        <v>1.644929581564331</v>
      </c>
    </row>
    <row r="860" spans="1:2" x14ac:dyDescent="0.3">
      <c r="A860" s="13">
        <v>42928</v>
      </c>
      <c r="B860">
        <v>1.6443918624007869</v>
      </c>
    </row>
    <row r="861" spans="1:2" x14ac:dyDescent="0.3">
      <c r="A861" s="13">
        <v>42929</v>
      </c>
      <c r="B861">
        <v>1.6442848038919859</v>
      </c>
    </row>
    <row r="862" spans="1:2" x14ac:dyDescent="0.3">
      <c r="A862" s="13">
        <v>42930</v>
      </c>
      <c r="B862">
        <v>1.645756097865805</v>
      </c>
    </row>
    <row r="863" spans="1:2" x14ac:dyDescent="0.3">
      <c r="A863" s="13">
        <v>42933</v>
      </c>
      <c r="B863">
        <v>1.60872749177236</v>
      </c>
    </row>
    <row r="864" spans="1:2" x14ac:dyDescent="0.3">
      <c r="A864" s="13">
        <v>42934</v>
      </c>
      <c r="B864">
        <v>1.613198317689494</v>
      </c>
    </row>
    <row r="865" spans="1:2" x14ac:dyDescent="0.3">
      <c r="A865" s="13">
        <v>42935</v>
      </c>
      <c r="B865">
        <v>1.638644982492111</v>
      </c>
    </row>
    <row r="866" spans="1:2" x14ac:dyDescent="0.3">
      <c r="A866" s="13">
        <v>42936</v>
      </c>
      <c r="B866">
        <v>1.6489063614606441</v>
      </c>
    </row>
    <row r="867" spans="1:2" x14ac:dyDescent="0.3">
      <c r="A867" s="13">
        <v>42937</v>
      </c>
      <c r="B867">
        <v>1.6493371363450879</v>
      </c>
    </row>
    <row r="868" spans="1:2" x14ac:dyDescent="0.3">
      <c r="A868" s="13">
        <v>42940</v>
      </c>
      <c r="B868">
        <v>1.652914049990545</v>
      </c>
    </row>
    <row r="869" spans="1:2" x14ac:dyDescent="0.3">
      <c r="A869" s="13">
        <v>42941</v>
      </c>
      <c r="B869">
        <v>1.646325727536244</v>
      </c>
    </row>
    <row r="870" spans="1:2" x14ac:dyDescent="0.3">
      <c r="A870" s="13">
        <v>42942</v>
      </c>
      <c r="B870">
        <v>1.6384411347684369</v>
      </c>
    </row>
    <row r="871" spans="1:2" x14ac:dyDescent="0.3">
      <c r="A871" s="13">
        <v>42943</v>
      </c>
      <c r="B871">
        <v>1.644566561841607</v>
      </c>
    </row>
    <row r="872" spans="1:2" x14ac:dyDescent="0.3">
      <c r="A872" s="13">
        <v>42944</v>
      </c>
      <c r="B872">
        <v>1.6554754504078999</v>
      </c>
    </row>
    <row r="873" spans="1:2" x14ac:dyDescent="0.3">
      <c r="A873" s="13">
        <v>42947</v>
      </c>
      <c r="B873">
        <v>1.6669327281623569</v>
      </c>
    </row>
    <row r="874" spans="1:2" x14ac:dyDescent="0.3">
      <c r="A874" s="13">
        <v>42948</v>
      </c>
      <c r="B874">
        <v>1.6700575834048459</v>
      </c>
    </row>
    <row r="875" spans="1:2" x14ac:dyDescent="0.3">
      <c r="A875" s="13">
        <v>42949</v>
      </c>
      <c r="B875">
        <v>1.662462657958895</v>
      </c>
    </row>
    <row r="876" spans="1:2" x14ac:dyDescent="0.3">
      <c r="A876" s="13">
        <v>42950</v>
      </c>
      <c r="B876">
        <v>1.65383948003366</v>
      </c>
    </row>
    <row r="877" spans="1:2" x14ac:dyDescent="0.3">
      <c r="A877" s="13">
        <v>42951</v>
      </c>
      <c r="B877">
        <v>1.6415331564002731</v>
      </c>
    </row>
    <row r="878" spans="1:2" x14ac:dyDescent="0.3">
      <c r="A878" s="13">
        <v>42954</v>
      </c>
      <c r="B878">
        <v>1.65788060307275</v>
      </c>
    </row>
    <row r="879" spans="1:2" x14ac:dyDescent="0.3">
      <c r="A879" s="13">
        <v>42955</v>
      </c>
      <c r="B879">
        <v>1.6594501019182759</v>
      </c>
    </row>
    <row r="880" spans="1:2" x14ac:dyDescent="0.3">
      <c r="A880" s="13">
        <v>42956</v>
      </c>
      <c r="B880">
        <v>1.6699181388129101</v>
      </c>
    </row>
    <row r="881" spans="1:2" x14ac:dyDescent="0.3">
      <c r="A881" s="13">
        <v>42957</v>
      </c>
      <c r="B881">
        <v>1.6631683986684149</v>
      </c>
    </row>
    <row r="882" spans="1:2" x14ac:dyDescent="0.3">
      <c r="A882" s="13">
        <v>42958</v>
      </c>
      <c r="B882">
        <v>1.636227089415152</v>
      </c>
    </row>
    <row r="883" spans="1:2" x14ac:dyDescent="0.3">
      <c r="A883" s="13">
        <v>42961</v>
      </c>
      <c r="B883">
        <v>1.666010800130743</v>
      </c>
    </row>
    <row r="884" spans="1:2" x14ac:dyDescent="0.3">
      <c r="A884" s="13">
        <v>42962</v>
      </c>
      <c r="B884">
        <v>1.672062268118774</v>
      </c>
    </row>
    <row r="885" spans="1:2" x14ac:dyDescent="0.3">
      <c r="A885" s="13">
        <v>42963</v>
      </c>
      <c r="B885">
        <v>1.671859247267294</v>
      </c>
    </row>
    <row r="886" spans="1:2" x14ac:dyDescent="0.3">
      <c r="A886" s="13">
        <v>42964</v>
      </c>
      <c r="B886">
        <v>1.675752752671819</v>
      </c>
    </row>
    <row r="887" spans="1:2" x14ac:dyDescent="0.3">
      <c r="A887" s="13">
        <v>42965</v>
      </c>
      <c r="B887">
        <v>1.670050477734939</v>
      </c>
    </row>
    <row r="888" spans="1:2" x14ac:dyDescent="0.3">
      <c r="A888" s="13">
        <v>42968</v>
      </c>
      <c r="B888">
        <v>1.6798033113097151</v>
      </c>
    </row>
    <row r="889" spans="1:2" x14ac:dyDescent="0.3">
      <c r="A889" s="13">
        <v>42969</v>
      </c>
      <c r="B889">
        <v>1.6780286116292391</v>
      </c>
    </row>
    <row r="890" spans="1:2" x14ac:dyDescent="0.3">
      <c r="A890" s="13">
        <v>42970</v>
      </c>
      <c r="B890">
        <v>1.6724354356114111</v>
      </c>
    </row>
    <row r="891" spans="1:2" x14ac:dyDescent="0.3">
      <c r="A891" s="13">
        <v>42971</v>
      </c>
      <c r="B891">
        <v>1.663290319449545</v>
      </c>
    </row>
    <row r="892" spans="1:2" x14ac:dyDescent="0.3">
      <c r="A892" s="13">
        <v>42972</v>
      </c>
      <c r="B892">
        <v>1.68046569836636</v>
      </c>
    </row>
    <row r="893" spans="1:2" x14ac:dyDescent="0.3">
      <c r="A893" s="13">
        <v>42975</v>
      </c>
      <c r="B893">
        <v>1.69911113060049</v>
      </c>
    </row>
    <row r="894" spans="1:2" x14ac:dyDescent="0.3">
      <c r="A894" s="13">
        <v>42976</v>
      </c>
      <c r="B894">
        <v>1.697688313351585</v>
      </c>
    </row>
    <row r="895" spans="1:2" x14ac:dyDescent="0.3">
      <c r="A895" s="13">
        <v>42977</v>
      </c>
      <c r="B895">
        <v>1.707074715787769</v>
      </c>
    </row>
    <row r="896" spans="1:2" x14ac:dyDescent="0.3">
      <c r="A896" s="13">
        <v>42978</v>
      </c>
      <c r="B896">
        <v>1.7092975798390631</v>
      </c>
    </row>
    <row r="897" spans="1:2" x14ac:dyDescent="0.3">
      <c r="A897" s="13">
        <v>42979</v>
      </c>
      <c r="B897">
        <v>1.7200173254357789</v>
      </c>
    </row>
    <row r="898" spans="1:2" x14ac:dyDescent="0.3">
      <c r="A898" s="13">
        <v>42982</v>
      </c>
      <c r="B898">
        <v>1.727699953541324</v>
      </c>
    </row>
    <row r="899" spans="1:2" x14ac:dyDescent="0.3">
      <c r="A899" s="13">
        <v>42983</v>
      </c>
      <c r="B899">
        <v>1.7320889683345739</v>
      </c>
    </row>
    <row r="900" spans="1:2" x14ac:dyDescent="0.3">
      <c r="A900" s="13">
        <v>42984</v>
      </c>
      <c r="B900">
        <v>1.735068488485098</v>
      </c>
    </row>
    <row r="901" spans="1:2" x14ac:dyDescent="0.3">
      <c r="A901" s="13">
        <v>42985</v>
      </c>
      <c r="B901">
        <v>1.725177956027619</v>
      </c>
    </row>
    <row r="902" spans="1:2" x14ac:dyDescent="0.3">
      <c r="A902" s="13">
        <v>42986</v>
      </c>
      <c r="B902">
        <v>1.725030715064803</v>
      </c>
    </row>
    <row r="903" spans="1:2" x14ac:dyDescent="0.3">
      <c r="A903" s="13">
        <v>42989</v>
      </c>
      <c r="B903">
        <v>1.7397220554858679</v>
      </c>
    </row>
    <row r="904" spans="1:2" x14ac:dyDescent="0.3">
      <c r="A904" s="13">
        <v>42990</v>
      </c>
      <c r="B904">
        <v>1.7380143011246669</v>
      </c>
    </row>
    <row r="905" spans="1:2" x14ac:dyDescent="0.3">
      <c r="A905" s="13">
        <v>42991</v>
      </c>
      <c r="B905">
        <v>1.7460646642121149</v>
      </c>
    </row>
    <row r="906" spans="1:2" x14ac:dyDescent="0.3">
      <c r="A906" s="13">
        <v>42992</v>
      </c>
      <c r="B906">
        <v>1.7402069198912149</v>
      </c>
    </row>
    <row r="907" spans="1:2" x14ac:dyDescent="0.3">
      <c r="A907" s="13">
        <v>42993</v>
      </c>
      <c r="B907">
        <v>1.733911268809144</v>
      </c>
    </row>
    <row r="908" spans="1:2" x14ac:dyDescent="0.3">
      <c r="A908" s="13">
        <v>42996</v>
      </c>
      <c r="B908">
        <v>1.746237619879011</v>
      </c>
    </row>
    <row r="909" spans="1:2" x14ac:dyDescent="0.3">
      <c r="A909" s="13">
        <v>42997</v>
      </c>
      <c r="B909">
        <v>1.7374276564354569</v>
      </c>
    </row>
    <row r="910" spans="1:2" x14ac:dyDescent="0.3">
      <c r="A910" s="13">
        <v>42998</v>
      </c>
      <c r="B910">
        <v>1.747312474172461</v>
      </c>
    </row>
    <row r="911" spans="1:2" x14ac:dyDescent="0.3">
      <c r="A911" s="13">
        <v>42999</v>
      </c>
      <c r="B911">
        <v>1.7357185878271491</v>
      </c>
    </row>
    <row r="912" spans="1:2" x14ac:dyDescent="0.3">
      <c r="A912" s="13">
        <v>43000</v>
      </c>
      <c r="B912">
        <v>1.73371088427466</v>
      </c>
    </row>
    <row r="913" spans="1:2" x14ac:dyDescent="0.3">
      <c r="A913" s="13">
        <v>43003</v>
      </c>
      <c r="B913">
        <v>1.7227594661601551</v>
      </c>
    </row>
    <row r="914" spans="1:2" x14ac:dyDescent="0.3">
      <c r="A914" s="13">
        <v>43004</v>
      </c>
      <c r="B914">
        <v>1.724387350044597</v>
      </c>
    </row>
    <row r="915" spans="1:2" x14ac:dyDescent="0.3">
      <c r="A915" s="13">
        <v>43005</v>
      </c>
      <c r="B915">
        <v>1.736659691615585</v>
      </c>
    </row>
    <row r="916" spans="1:2" x14ac:dyDescent="0.3">
      <c r="A916" s="13">
        <v>43006</v>
      </c>
      <c r="B916">
        <v>1.7413577254175181</v>
      </c>
    </row>
    <row r="917" spans="1:2" x14ac:dyDescent="0.3">
      <c r="A917" s="13">
        <v>43007</v>
      </c>
      <c r="B917">
        <v>1.7502757059102609</v>
      </c>
    </row>
    <row r="918" spans="1:2" x14ac:dyDescent="0.3">
      <c r="A918" s="13">
        <v>43017</v>
      </c>
      <c r="B918">
        <v>1.767410955065577</v>
      </c>
    </row>
    <row r="919" spans="1:2" x14ac:dyDescent="0.3">
      <c r="A919" s="13">
        <v>43018</v>
      </c>
      <c r="B919">
        <v>1.770156383989185</v>
      </c>
    </row>
    <row r="920" spans="1:2" x14ac:dyDescent="0.3">
      <c r="A920" s="13">
        <v>43019</v>
      </c>
      <c r="B920">
        <v>1.7722390732983599</v>
      </c>
    </row>
    <row r="921" spans="1:2" x14ac:dyDescent="0.3">
      <c r="A921" s="13">
        <v>43020</v>
      </c>
      <c r="B921">
        <v>1.773766895346772</v>
      </c>
    </row>
    <row r="922" spans="1:2" x14ac:dyDescent="0.3">
      <c r="A922" s="13">
        <v>43021</v>
      </c>
      <c r="B922">
        <v>1.7846490886962849</v>
      </c>
    </row>
    <row r="923" spans="1:2" x14ac:dyDescent="0.3">
      <c r="A923" s="13">
        <v>43024</v>
      </c>
      <c r="B923">
        <v>1.7732271429876241</v>
      </c>
    </row>
    <row r="924" spans="1:2" x14ac:dyDescent="0.3">
      <c r="A924" s="13">
        <v>43025</v>
      </c>
      <c r="B924">
        <v>1.7748728323264229</v>
      </c>
    </row>
    <row r="925" spans="1:2" x14ac:dyDescent="0.3">
      <c r="A925" s="13">
        <v>43026</v>
      </c>
      <c r="B925">
        <v>1.781030691185356</v>
      </c>
    </row>
    <row r="926" spans="1:2" x14ac:dyDescent="0.3">
      <c r="A926" s="13">
        <v>43027</v>
      </c>
      <c r="B926">
        <v>1.775481078926036</v>
      </c>
    </row>
    <row r="927" spans="1:2" x14ac:dyDescent="0.3">
      <c r="A927" s="13">
        <v>43028</v>
      </c>
      <c r="B927">
        <v>1.779493856763102</v>
      </c>
    </row>
    <row r="928" spans="1:2" x14ac:dyDescent="0.3">
      <c r="A928" s="13">
        <v>43031</v>
      </c>
      <c r="B928">
        <v>1.791428075529971</v>
      </c>
    </row>
    <row r="929" spans="1:2" x14ac:dyDescent="0.3">
      <c r="A929" s="13">
        <v>43032</v>
      </c>
      <c r="B929">
        <v>1.7960319463233749</v>
      </c>
    </row>
    <row r="930" spans="1:2" x14ac:dyDescent="0.3">
      <c r="A930" s="13">
        <v>43033</v>
      </c>
      <c r="B930">
        <v>1.808331815939652</v>
      </c>
    </row>
    <row r="931" spans="1:2" x14ac:dyDescent="0.3">
      <c r="A931" s="13">
        <v>43034</v>
      </c>
      <c r="B931">
        <v>1.814080214602575</v>
      </c>
    </row>
    <row r="932" spans="1:2" x14ac:dyDescent="0.3">
      <c r="A932" s="13">
        <v>43035</v>
      </c>
      <c r="B932">
        <v>1.818649221810924</v>
      </c>
    </row>
    <row r="933" spans="1:2" x14ac:dyDescent="0.3">
      <c r="A933" s="13">
        <v>43038</v>
      </c>
      <c r="B933">
        <v>1.8085757488283329</v>
      </c>
    </row>
    <row r="934" spans="1:2" x14ac:dyDescent="0.3">
      <c r="A934" s="13">
        <v>43039</v>
      </c>
      <c r="B934">
        <v>1.8155556579055281</v>
      </c>
    </row>
    <row r="935" spans="1:2" x14ac:dyDescent="0.3">
      <c r="A935" s="13">
        <v>43040</v>
      </c>
      <c r="B935">
        <v>1.8117514902067871</v>
      </c>
    </row>
    <row r="936" spans="1:2" x14ac:dyDescent="0.3">
      <c r="A936" s="13">
        <v>43041</v>
      </c>
      <c r="B936">
        <v>1.803120476251191</v>
      </c>
    </row>
    <row r="937" spans="1:2" x14ac:dyDescent="0.3">
      <c r="A937" s="13">
        <v>43042</v>
      </c>
      <c r="B937">
        <v>1.796432277098138</v>
      </c>
    </row>
    <row r="938" spans="1:2" x14ac:dyDescent="0.3">
      <c r="A938" s="13">
        <v>43045</v>
      </c>
      <c r="B938">
        <v>1.823006912594922</v>
      </c>
    </row>
    <row r="939" spans="1:2" x14ac:dyDescent="0.3">
      <c r="A939" s="13">
        <v>43046</v>
      </c>
      <c r="B939">
        <v>1.8310000390322489</v>
      </c>
    </row>
    <row r="940" spans="1:2" x14ac:dyDescent="0.3">
      <c r="A940" s="13">
        <v>43047</v>
      </c>
      <c r="B940">
        <v>1.826862310289469</v>
      </c>
    </row>
    <row r="941" spans="1:2" x14ac:dyDescent="0.3">
      <c r="A941" s="13">
        <v>43048</v>
      </c>
      <c r="B941">
        <v>1.8426295873389169</v>
      </c>
    </row>
    <row r="942" spans="1:2" x14ac:dyDescent="0.3">
      <c r="A942" s="13">
        <v>43049</v>
      </c>
      <c r="B942">
        <v>1.8653672725097341</v>
      </c>
    </row>
    <row r="943" spans="1:2" x14ac:dyDescent="0.3">
      <c r="A943" s="13">
        <v>43052</v>
      </c>
      <c r="B943">
        <v>1.8751740901776881</v>
      </c>
    </row>
    <row r="944" spans="1:2" x14ac:dyDescent="0.3">
      <c r="A944" s="13">
        <v>43053</v>
      </c>
      <c r="B944">
        <v>1.8545122114636761</v>
      </c>
    </row>
    <row r="945" spans="1:2" x14ac:dyDescent="0.3">
      <c r="A945" s="13">
        <v>43054</v>
      </c>
      <c r="B945">
        <v>1.8366424244404469</v>
      </c>
    </row>
    <row r="946" spans="1:2" x14ac:dyDescent="0.3">
      <c r="A946" s="13">
        <v>43055</v>
      </c>
      <c r="B946">
        <v>1.854945532191109</v>
      </c>
    </row>
    <row r="947" spans="1:2" x14ac:dyDescent="0.3">
      <c r="A947" s="13">
        <v>43056</v>
      </c>
      <c r="B947">
        <v>1.825542314462685</v>
      </c>
    </row>
    <row r="948" spans="1:2" x14ac:dyDescent="0.3">
      <c r="A948" s="13">
        <v>43059</v>
      </c>
      <c r="B948">
        <v>1.847706657804975</v>
      </c>
    </row>
    <row r="949" spans="1:2" x14ac:dyDescent="0.3">
      <c r="A949" s="13">
        <v>43060</v>
      </c>
      <c r="B949">
        <v>1.865773837053768</v>
      </c>
    </row>
    <row r="950" spans="1:2" x14ac:dyDescent="0.3">
      <c r="A950" s="13">
        <v>43061</v>
      </c>
      <c r="B950">
        <v>1.8548854265311541</v>
      </c>
    </row>
    <row r="951" spans="1:2" x14ac:dyDescent="0.3">
      <c r="A951" s="13">
        <v>43062</v>
      </c>
      <c r="B951">
        <v>1.796021896196712</v>
      </c>
    </row>
    <row r="952" spans="1:2" x14ac:dyDescent="0.3">
      <c r="A952" s="13">
        <v>43063</v>
      </c>
      <c r="B952">
        <v>1.791464792463922</v>
      </c>
    </row>
    <row r="953" spans="1:2" x14ac:dyDescent="0.3">
      <c r="A953" s="13">
        <v>43066</v>
      </c>
      <c r="B953">
        <v>1.7626327489051561</v>
      </c>
    </row>
    <row r="954" spans="1:2" x14ac:dyDescent="0.3">
      <c r="A954" s="13">
        <v>43067</v>
      </c>
      <c r="B954">
        <v>1.782798009358431</v>
      </c>
    </row>
    <row r="955" spans="1:2" x14ac:dyDescent="0.3">
      <c r="A955" s="13">
        <v>43068</v>
      </c>
      <c r="B955">
        <v>1.7824197258801311</v>
      </c>
    </row>
    <row r="956" spans="1:2" x14ac:dyDescent="0.3">
      <c r="A956" s="13">
        <v>43069</v>
      </c>
      <c r="B956">
        <v>1.7633349299595771</v>
      </c>
    </row>
    <row r="957" spans="1:2" x14ac:dyDescent="0.3">
      <c r="A957" s="13">
        <v>43070</v>
      </c>
      <c r="B957">
        <v>1.772188570388153</v>
      </c>
    </row>
    <row r="958" spans="1:2" x14ac:dyDescent="0.3">
      <c r="A958" s="13">
        <v>43073</v>
      </c>
      <c r="B958">
        <v>1.778942214471819</v>
      </c>
    </row>
    <row r="959" spans="1:2" x14ac:dyDescent="0.3">
      <c r="A959" s="13">
        <v>43074</v>
      </c>
      <c r="B959">
        <v>1.762539077315707</v>
      </c>
    </row>
    <row r="960" spans="1:2" x14ac:dyDescent="0.3">
      <c r="A960" s="13">
        <v>43075</v>
      </c>
      <c r="B960">
        <v>1.763175313963681</v>
      </c>
    </row>
    <row r="961" spans="1:2" x14ac:dyDescent="0.3">
      <c r="A961" s="13">
        <v>43076</v>
      </c>
      <c r="B961">
        <v>1.745998662422158</v>
      </c>
    </row>
    <row r="962" spans="1:2" x14ac:dyDescent="0.3">
      <c r="A962" s="13">
        <v>43077</v>
      </c>
      <c r="B962">
        <v>1.767207894625243</v>
      </c>
    </row>
    <row r="963" spans="1:2" x14ac:dyDescent="0.3">
      <c r="A963" s="13">
        <v>43080</v>
      </c>
      <c r="B963">
        <v>1.7996804924257781</v>
      </c>
    </row>
    <row r="964" spans="1:2" x14ac:dyDescent="0.3">
      <c r="A964" s="13">
        <v>43081</v>
      </c>
      <c r="B964">
        <v>1.784181241357893</v>
      </c>
    </row>
    <row r="965" spans="1:2" x14ac:dyDescent="0.3">
      <c r="A965" s="13">
        <v>43082</v>
      </c>
      <c r="B965">
        <v>1.8002481215813659</v>
      </c>
    </row>
    <row r="966" spans="1:2" x14ac:dyDescent="0.3">
      <c r="A966" s="13">
        <v>43083</v>
      </c>
      <c r="B966">
        <v>1.796731844319269</v>
      </c>
    </row>
    <row r="967" spans="1:2" x14ac:dyDescent="0.3">
      <c r="A967" s="13">
        <v>43084</v>
      </c>
      <c r="B967">
        <v>1.7783900315690919</v>
      </c>
    </row>
    <row r="968" spans="1:2" x14ac:dyDescent="0.3">
      <c r="A968" s="13">
        <v>43087</v>
      </c>
      <c r="B968">
        <v>1.7750200754472221</v>
      </c>
    </row>
    <row r="969" spans="1:2" x14ac:dyDescent="0.3">
      <c r="A969" s="13">
        <v>43088</v>
      </c>
      <c r="B969">
        <v>1.7939171306585471</v>
      </c>
    </row>
    <row r="970" spans="1:2" x14ac:dyDescent="0.3">
      <c r="A970" s="13">
        <v>43089</v>
      </c>
      <c r="B970">
        <v>1.791831818993767</v>
      </c>
    </row>
    <row r="971" spans="1:2" x14ac:dyDescent="0.3">
      <c r="A971" s="13">
        <v>43090</v>
      </c>
      <c r="B971">
        <v>1.811796065649554</v>
      </c>
    </row>
    <row r="972" spans="1:2" x14ac:dyDescent="0.3">
      <c r="A972" s="13">
        <v>43091</v>
      </c>
      <c r="B972">
        <v>1.8068748101941201</v>
      </c>
    </row>
    <row r="973" spans="1:2" x14ac:dyDescent="0.3">
      <c r="A973" s="13">
        <v>43094</v>
      </c>
      <c r="B973">
        <v>1.79468838341009</v>
      </c>
    </row>
    <row r="974" spans="1:2" x14ac:dyDescent="0.3">
      <c r="A974" s="13">
        <v>43095</v>
      </c>
      <c r="B974">
        <v>1.798254475963305</v>
      </c>
    </row>
    <row r="975" spans="1:2" x14ac:dyDescent="0.3">
      <c r="A975" s="13">
        <v>43096</v>
      </c>
      <c r="B975">
        <v>1.7737057902045461</v>
      </c>
    </row>
    <row r="976" spans="1:2" x14ac:dyDescent="0.3">
      <c r="A976" s="13">
        <v>43097</v>
      </c>
      <c r="B976">
        <v>1.786121269492301</v>
      </c>
    </row>
    <row r="977" spans="1:2" x14ac:dyDescent="0.3">
      <c r="A977" s="13">
        <v>43098</v>
      </c>
      <c r="B977">
        <v>1.7961641379281219</v>
      </c>
    </row>
    <row r="978" spans="1:2" x14ac:dyDescent="0.3">
      <c r="A978" s="13">
        <v>43102</v>
      </c>
      <c r="B978">
        <v>1.8164964213271479</v>
      </c>
    </row>
    <row r="979" spans="1:2" x14ac:dyDescent="0.3">
      <c r="A979" s="13">
        <v>43103</v>
      </c>
      <c r="B979">
        <v>1.8303306011508551</v>
      </c>
    </row>
    <row r="980" spans="1:2" x14ac:dyDescent="0.3">
      <c r="A980" s="13">
        <v>43104</v>
      </c>
      <c r="B980">
        <v>1.8400541793589751</v>
      </c>
    </row>
    <row r="981" spans="1:2" x14ac:dyDescent="0.3">
      <c r="A981" s="13">
        <v>43105</v>
      </c>
      <c r="B981">
        <v>1.8372794748151851</v>
      </c>
    </row>
    <row r="982" spans="1:2" x14ac:dyDescent="0.3">
      <c r="A982" s="13">
        <v>43108</v>
      </c>
      <c r="B982">
        <v>1.8418496474361059</v>
      </c>
    </row>
    <row r="983" spans="1:2" x14ac:dyDescent="0.3">
      <c r="A983" s="13">
        <v>43109</v>
      </c>
      <c r="B983">
        <v>1.852858147154564</v>
      </c>
    </row>
    <row r="984" spans="1:2" x14ac:dyDescent="0.3">
      <c r="A984" s="13">
        <v>43110</v>
      </c>
      <c r="B984">
        <v>1.8491429421129559</v>
      </c>
    </row>
    <row r="985" spans="1:2" x14ac:dyDescent="0.3">
      <c r="A985" s="13">
        <v>43111</v>
      </c>
      <c r="B985">
        <v>1.845219441665529</v>
      </c>
    </row>
    <row r="986" spans="1:2" x14ac:dyDescent="0.3">
      <c r="A986" s="13">
        <v>43112</v>
      </c>
      <c r="B986">
        <v>1.8472745573603491</v>
      </c>
    </row>
    <row r="987" spans="1:2" x14ac:dyDescent="0.3">
      <c r="A987" s="13">
        <v>43115</v>
      </c>
      <c r="B987">
        <v>1.8323857062166251</v>
      </c>
    </row>
    <row r="988" spans="1:2" x14ac:dyDescent="0.3">
      <c r="A988" s="13">
        <v>43116</v>
      </c>
      <c r="B988">
        <v>1.8448921644415279</v>
      </c>
    </row>
    <row r="989" spans="1:2" x14ac:dyDescent="0.3">
      <c r="A989" s="13">
        <v>43117</v>
      </c>
      <c r="B989">
        <v>1.828410872498927</v>
      </c>
    </row>
    <row r="990" spans="1:2" x14ac:dyDescent="0.3">
      <c r="A990" s="13">
        <v>43118</v>
      </c>
      <c r="B990">
        <v>1.8363438258294471</v>
      </c>
    </row>
    <row r="991" spans="1:2" x14ac:dyDescent="0.3">
      <c r="A991" s="13">
        <v>43119</v>
      </c>
      <c r="B991">
        <v>1.831152238647594</v>
      </c>
    </row>
    <row r="992" spans="1:2" x14ac:dyDescent="0.3">
      <c r="A992" s="13">
        <v>43122</v>
      </c>
      <c r="B992">
        <v>1.8605991999349041</v>
      </c>
    </row>
    <row r="993" spans="1:2" x14ac:dyDescent="0.3">
      <c r="A993" s="13">
        <v>43123</v>
      </c>
      <c r="B993">
        <v>1.873051027230064</v>
      </c>
    </row>
    <row r="994" spans="1:2" x14ac:dyDescent="0.3">
      <c r="A994" s="13">
        <v>43124</v>
      </c>
      <c r="B994">
        <v>1.8741275997765801</v>
      </c>
    </row>
    <row r="995" spans="1:2" x14ac:dyDescent="0.3">
      <c r="A995" s="13">
        <v>43125</v>
      </c>
      <c r="B995">
        <v>1.8660788941867521</v>
      </c>
    </row>
    <row r="996" spans="1:2" x14ac:dyDescent="0.3">
      <c r="A996" s="13">
        <v>43126</v>
      </c>
      <c r="B996">
        <v>1.870880594850129</v>
      </c>
    </row>
    <row r="997" spans="1:2" x14ac:dyDescent="0.3">
      <c r="A997" s="13">
        <v>43129</v>
      </c>
      <c r="B997">
        <v>1.840493912858004</v>
      </c>
    </row>
    <row r="998" spans="1:2" x14ac:dyDescent="0.3">
      <c r="A998" s="13">
        <v>43130</v>
      </c>
      <c r="B998">
        <v>1.8277351028592059</v>
      </c>
    </row>
    <row r="999" spans="1:2" x14ac:dyDescent="0.3">
      <c r="A999" s="13">
        <v>43131</v>
      </c>
      <c r="B999">
        <v>1.831923573002624</v>
      </c>
    </row>
    <row r="1000" spans="1:2" x14ac:dyDescent="0.3">
      <c r="A1000" s="13">
        <v>43132</v>
      </c>
      <c r="B1000">
        <v>1.8084910436810719</v>
      </c>
    </row>
    <row r="1001" spans="1:2" x14ac:dyDescent="0.3">
      <c r="A1001" s="13">
        <v>43133</v>
      </c>
      <c r="B1001">
        <v>1.8242019731668171</v>
      </c>
    </row>
    <row r="1002" spans="1:2" x14ac:dyDescent="0.3">
      <c r="A1002" s="13">
        <v>43136</v>
      </c>
      <c r="B1002">
        <v>1.815038446160268</v>
      </c>
    </row>
    <row r="1003" spans="1:2" x14ac:dyDescent="0.3">
      <c r="A1003" s="13">
        <v>43137</v>
      </c>
      <c r="B1003">
        <v>1.75487622704754</v>
      </c>
    </row>
    <row r="1004" spans="1:2" x14ac:dyDescent="0.3">
      <c r="A1004" s="13">
        <v>43138</v>
      </c>
      <c r="B1004">
        <v>1.7165845669760911</v>
      </c>
    </row>
    <row r="1005" spans="1:2" x14ac:dyDescent="0.3">
      <c r="A1005" s="13">
        <v>43139</v>
      </c>
      <c r="B1005">
        <v>1.718790720137646</v>
      </c>
    </row>
    <row r="1006" spans="1:2" x14ac:dyDescent="0.3">
      <c r="A1006" s="13">
        <v>43140</v>
      </c>
      <c r="B1006">
        <v>1.661756710017934</v>
      </c>
    </row>
    <row r="1007" spans="1:2" x14ac:dyDescent="0.3">
      <c r="A1007" s="13">
        <v>43143</v>
      </c>
      <c r="B1007">
        <v>1.7020567101109341</v>
      </c>
    </row>
    <row r="1008" spans="1:2" x14ac:dyDescent="0.3">
      <c r="A1008" s="13">
        <v>43144</v>
      </c>
      <c r="B1008">
        <v>1.718286708184056</v>
      </c>
    </row>
    <row r="1009" spans="1:2" x14ac:dyDescent="0.3">
      <c r="A1009" s="13">
        <v>43145</v>
      </c>
      <c r="B1009">
        <v>1.730706625110231</v>
      </c>
    </row>
    <row r="1010" spans="1:2" x14ac:dyDescent="0.3">
      <c r="A1010" s="13">
        <v>43153</v>
      </c>
      <c r="B1010">
        <v>1.770677448130364</v>
      </c>
    </row>
    <row r="1011" spans="1:2" x14ac:dyDescent="0.3">
      <c r="A1011" s="13">
        <v>43154</v>
      </c>
      <c r="B1011">
        <v>1.7731439602619949</v>
      </c>
    </row>
    <row r="1012" spans="1:2" x14ac:dyDescent="0.3">
      <c r="A1012" s="13">
        <v>43157</v>
      </c>
      <c r="B1012">
        <v>1.7989150237994</v>
      </c>
    </row>
    <row r="1013" spans="1:2" x14ac:dyDescent="0.3">
      <c r="A1013" s="13">
        <v>43158</v>
      </c>
      <c r="B1013">
        <v>1.7797906231837251</v>
      </c>
    </row>
    <row r="1014" spans="1:2" x14ac:dyDescent="0.3">
      <c r="A1014" s="13">
        <v>43159</v>
      </c>
      <c r="B1014">
        <v>1.773277723138317</v>
      </c>
    </row>
    <row r="1015" spans="1:2" x14ac:dyDescent="0.3">
      <c r="A1015" s="13">
        <v>43160</v>
      </c>
      <c r="B1015">
        <v>1.787688330020017</v>
      </c>
    </row>
    <row r="1016" spans="1:2" x14ac:dyDescent="0.3">
      <c r="A1016" s="13">
        <v>43161</v>
      </c>
      <c r="B1016">
        <v>1.77267013825455</v>
      </c>
    </row>
    <row r="1017" spans="1:2" x14ac:dyDescent="0.3">
      <c r="A1017" s="13">
        <v>43164</v>
      </c>
      <c r="B1017">
        <v>1.774350888511377</v>
      </c>
    </row>
    <row r="1018" spans="1:2" x14ac:dyDescent="0.3">
      <c r="A1018" s="13">
        <v>43165</v>
      </c>
      <c r="B1018">
        <v>1.7949886144928811</v>
      </c>
    </row>
    <row r="1019" spans="1:2" x14ac:dyDescent="0.3">
      <c r="A1019" s="13">
        <v>43166</v>
      </c>
      <c r="B1019">
        <v>1.7818957814661629</v>
      </c>
    </row>
    <row r="1020" spans="1:2" x14ac:dyDescent="0.3">
      <c r="A1020" s="13">
        <v>43167</v>
      </c>
      <c r="B1020">
        <v>1.796264237959402</v>
      </c>
    </row>
    <row r="1021" spans="1:2" x14ac:dyDescent="0.3">
      <c r="A1021" s="13">
        <v>43168</v>
      </c>
      <c r="B1021">
        <v>1.81484215399017</v>
      </c>
    </row>
    <row r="1022" spans="1:2" x14ac:dyDescent="0.3">
      <c r="A1022" s="13">
        <v>43171</v>
      </c>
      <c r="B1022">
        <v>1.83042965981372</v>
      </c>
    </row>
    <row r="1023" spans="1:2" x14ac:dyDescent="0.3">
      <c r="A1023" s="13">
        <v>43172</v>
      </c>
      <c r="B1023">
        <v>1.814771840566564</v>
      </c>
    </row>
    <row r="1024" spans="1:2" x14ac:dyDescent="0.3">
      <c r="A1024" s="13">
        <v>43173</v>
      </c>
      <c r="B1024">
        <v>1.804284979433016</v>
      </c>
    </row>
    <row r="1025" spans="1:2" x14ac:dyDescent="0.3">
      <c r="A1025" s="13">
        <v>43174</v>
      </c>
      <c r="B1025">
        <v>1.8127188036679669</v>
      </c>
    </row>
    <row r="1026" spans="1:2" x14ac:dyDescent="0.3">
      <c r="A1026" s="13">
        <v>43175</v>
      </c>
      <c r="B1026">
        <v>1.7946275690801321</v>
      </c>
    </row>
    <row r="1027" spans="1:2" x14ac:dyDescent="0.3">
      <c r="A1027" s="13">
        <v>43178</v>
      </c>
      <c r="B1027">
        <v>1.801235640957948</v>
      </c>
    </row>
    <row r="1028" spans="1:2" x14ac:dyDescent="0.3">
      <c r="A1028" s="13">
        <v>43179</v>
      </c>
      <c r="B1028">
        <v>1.806458909124145</v>
      </c>
    </row>
    <row r="1029" spans="1:2" x14ac:dyDescent="0.3">
      <c r="A1029" s="13">
        <v>43180</v>
      </c>
      <c r="B1029">
        <v>1.7916300157688381</v>
      </c>
    </row>
    <row r="1030" spans="1:2" x14ac:dyDescent="0.3">
      <c r="A1030" s="13">
        <v>43181</v>
      </c>
      <c r="B1030">
        <v>1.773515186894014</v>
      </c>
    </row>
    <row r="1031" spans="1:2" x14ac:dyDescent="0.3">
      <c r="A1031" s="13">
        <v>43182</v>
      </c>
      <c r="B1031">
        <v>1.7157822036782211</v>
      </c>
    </row>
    <row r="1032" spans="1:2" x14ac:dyDescent="0.3">
      <c r="A1032" s="13">
        <v>43185</v>
      </c>
      <c r="B1032">
        <v>1.730803767423549</v>
      </c>
    </row>
    <row r="1033" spans="1:2" x14ac:dyDescent="0.3">
      <c r="A1033" s="13">
        <v>43186</v>
      </c>
      <c r="B1033">
        <v>1.756388122104332</v>
      </c>
    </row>
    <row r="1034" spans="1:2" x14ac:dyDescent="0.3">
      <c r="A1034" s="13">
        <v>43187</v>
      </c>
      <c r="B1034">
        <v>1.7305823816564589</v>
      </c>
    </row>
    <row r="1035" spans="1:2" x14ac:dyDescent="0.3">
      <c r="A1035" s="13">
        <v>43188</v>
      </c>
      <c r="B1035">
        <v>1.742994085011135</v>
      </c>
    </row>
    <row r="1036" spans="1:2" x14ac:dyDescent="0.3">
      <c r="A1036" s="13">
        <v>43189</v>
      </c>
      <c r="B1036">
        <v>1.7638092705595121</v>
      </c>
    </row>
    <row r="1037" spans="1:2" x14ac:dyDescent="0.3">
      <c r="A1037" s="13">
        <v>43192</v>
      </c>
      <c r="B1037">
        <v>1.762411948278612</v>
      </c>
    </row>
    <row r="1038" spans="1:2" x14ac:dyDescent="0.3">
      <c r="A1038" s="13">
        <v>43193</v>
      </c>
      <c r="B1038">
        <v>1.7513998773731101</v>
      </c>
    </row>
    <row r="1039" spans="1:2" x14ac:dyDescent="0.3">
      <c r="A1039" s="13">
        <v>43194</v>
      </c>
      <c r="B1039">
        <v>1.7414952280484031</v>
      </c>
    </row>
    <row r="1040" spans="1:2" x14ac:dyDescent="0.3">
      <c r="A1040" s="13">
        <v>43199</v>
      </c>
      <c r="B1040">
        <v>1.7404714653323601</v>
      </c>
    </row>
    <row r="1041" spans="1:2" x14ac:dyDescent="0.3">
      <c r="A1041" s="13">
        <v>43200</v>
      </c>
      <c r="B1041">
        <v>1.7580429918784319</v>
      </c>
    </row>
    <row r="1042" spans="1:2" x14ac:dyDescent="0.3">
      <c r="A1042" s="13">
        <v>43201</v>
      </c>
      <c r="B1042">
        <v>1.7664114439153591</v>
      </c>
    </row>
    <row r="1043" spans="1:2" x14ac:dyDescent="0.3">
      <c r="A1043" s="13">
        <v>43202</v>
      </c>
      <c r="B1043">
        <v>1.7549635812030999</v>
      </c>
    </row>
    <row r="1044" spans="1:2" x14ac:dyDescent="0.3">
      <c r="A1044" s="13">
        <v>43203</v>
      </c>
      <c r="B1044">
        <v>1.7466275110027301</v>
      </c>
    </row>
    <row r="1045" spans="1:2" x14ac:dyDescent="0.3">
      <c r="A1045" s="13">
        <v>43206</v>
      </c>
      <c r="B1045">
        <v>1.7404117578634251</v>
      </c>
    </row>
    <row r="1046" spans="1:2" x14ac:dyDescent="0.3">
      <c r="A1046" s="13">
        <v>43207</v>
      </c>
      <c r="B1046">
        <v>1.703964250211141</v>
      </c>
    </row>
    <row r="1047" spans="1:2" x14ac:dyDescent="0.3">
      <c r="A1047" s="13">
        <v>43208</v>
      </c>
      <c r="B1047">
        <v>1.7208357366377469</v>
      </c>
    </row>
    <row r="1048" spans="1:2" x14ac:dyDescent="0.3">
      <c r="A1048" s="13">
        <v>43209</v>
      </c>
      <c r="B1048">
        <v>1.73169273776026</v>
      </c>
    </row>
    <row r="1049" spans="1:2" x14ac:dyDescent="0.3">
      <c r="A1049" s="13">
        <v>43210</v>
      </c>
      <c r="B1049">
        <v>1.70598647820451</v>
      </c>
    </row>
    <row r="1050" spans="1:2" x14ac:dyDescent="0.3">
      <c r="A1050" s="13">
        <v>43213</v>
      </c>
      <c r="B1050">
        <v>1.6869095324908669</v>
      </c>
    </row>
    <row r="1051" spans="1:2" x14ac:dyDescent="0.3">
      <c r="A1051" s="13">
        <v>43214</v>
      </c>
      <c r="B1051">
        <v>1.7275864935956651</v>
      </c>
    </row>
    <row r="1052" spans="1:2" x14ac:dyDescent="0.3">
      <c r="A1052" s="13">
        <v>43215</v>
      </c>
      <c r="B1052">
        <v>1.73228067426316</v>
      </c>
    </row>
    <row r="1053" spans="1:2" x14ac:dyDescent="0.3">
      <c r="A1053" s="13">
        <v>43216</v>
      </c>
      <c r="B1053">
        <v>1.703939631609263</v>
      </c>
    </row>
    <row r="1054" spans="1:2" x14ac:dyDescent="0.3">
      <c r="A1054" s="13">
        <v>43217</v>
      </c>
      <c r="B1054">
        <v>1.708157652846747</v>
      </c>
    </row>
    <row r="1055" spans="1:2" x14ac:dyDescent="0.3">
      <c r="A1055" s="13">
        <v>43222</v>
      </c>
      <c r="B1055">
        <v>1.714369453951434</v>
      </c>
    </row>
    <row r="1056" spans="1:2" x14ac:dyDescent="0.3">
      <c r="A1056" s="13">
        <v>43223</v>
      </c>
      <c r="B1056">
        <v>1.727593966750405</v>
      </c>
    </row>
    <row r="1057" spans="1:2" x14ac:dyDescent="0.3">
      <c r="A1057" s="13">
        <v>43224</v>
      </c>
      <c r="B1057">
        <v>1.728545460913772</v>
      </c>
    </row>
    <row r="1058" spans="1:2" x14ac:dyDescent="0.3">
      <c r="A1058" s="13">
        <v>43227</v>
      </c>
      <c r="B1058">
        <v>1.7611506620690951</v>
      </c>
    </row>
    <row r="1059" spans="1:2" x14ac:dyDescent="0.3">
      <c r="A1059" s="13">
        <v>43228</v>
      </c>
      <c r="B1059">
        <v>1.769621364206359</v>
      </c>
    </row>
    <row r="1060" spans="1:2" x14ac:dyDescent="0.3">
      <c r="A1060" s="13">
        <v>43229</v>
      </c>
      <c r="B1060">
        <v>1.766869706919765</v>
      </c>
    </row>
    <row r="1061" spans="1:2" x14ac:dyDescent="0.3">
      <c r="A1061" s="13">
        <v>43230</v>
      </c>
      <c r="B1061">
        <v>1.773794432306937</v>
      </c>
    </row>
    <row r="1062" spans="1:2" x14ac:dyDescent="0.3">
      <c r="A1062" s="13">
        <v>43231</v>
      </c>
      <c r="B1062">
        <v>1.758616973167092</v>
      </c>
    </row>
    <row r="1063" spans="1:2" x14ac:dyDescent="0.3">
      <c r="A1063" s="13">
        <v>43234</v>
      </c>
      <c r="B1063">
        <v>1.7654774985206469</v>
      </c>
    </row>
    <row r="1064" spans="1:2" x14ac:dyDescent="0.3">
      <c r="A1064" s="13">
        <v>43235</v>
      </c>
      <c r="B1064">
        <v>1.7823448698426281</v>
      </c>
    </row>
    <row r="1065" spans="1:2" x14ac:dyDescent="0.3">
      <c r="A1065" s="13">
        <v>43236</v>
      </c>
      <c r="B1065">
        <v>1.777126187459152</v>
      </c>
    </row>
    <row r="1066" spans="1:2" x14ac:dyDescent="0.3">
      <c r="A1066" s="13">
        <v>43237</v>
      </c>
      <c r="B1066">
        <v>1.76077244763773</v>
      </c>
    </row>
    <row r="1067" spans="1:2" x14ac:dyDescent="0.3">
      <c r="A1067" s="13">
        <v>43238</v>
      </c>
      <c r="B1067">
        <v>1.768858704270921</v>
      </c>
    </row>
    <row r="1068" spans="1:2" x14ac:dyDescent="0.3">
      <c r="A1068" s="13">
        <v>43241</v>
      </c>
      <c r="B1068">
        <v>1.7838875380485419</v>
      </c>
    </row>
    <row r="1069" spans="1:2" x14ac:dyDescent="0.3">
      <c r="A1069" s="13">
        <v>43242</v>
      </c>
      <c r="B1069">
        <v>1.7884668654915561</v>
      </c>
    </row>
    <row r="1070" spans="1:2" x14ac:dyDescent="0.3">
      <c r="A1070" s="13">
        <v>43243</v>
      </c>
      <c r="B1070">
        <v>1.76984724043121</v>
      </c>
    </row>
    <row r="1071" spans="1:2" x14ac:dyDescent="0.3">
      <c r="A1071" s="13">
        <v>43244</v>
      </c>
      <c r="B1071">
        <v>1.760038917219398</v>
      </c>
    </row>
    <row r="1072" spans="1:2" x14ac:dyDescent="0.3">
      <c r="A1072" s="13">
        <v>43245</v>
      </c>
      <c r="B1072">
        <v>1.7500325148852149</v>
      </c>
    </row>
    <row r="1073" spans="1:2" x14ac:dyDescent="0.3">
      <c r="A1073" s="13">
        <v>43248</v>
      </c>
      <c r="B1073">
        <v>1.7572405703899641</v>
      </c>
    </row>
    <row r="1074" spans="1:2" x14ac:dyDescent="0.3">
      <c r="A1074" s="13">
        <v>43249</v>
      </c>
      <c r="B1074">
        <v>1.7386845810728151</v>
      </c>
    </row>
    <row r="1075" spans="1:2" x14ac:dyDescent="0.3">
      <c r="A1075" s="13">
        <v>43250</v>
      </c>
      <c r="B1075">
        <v>1.7123445989175099</v>
      </c>
    </row>
    <row r="1076" spans="1:2" x14ac:dyDescent="0.3">
      <c r="A1076" s="13">
        <v>43251</v>
      </c>
      <c r="B1076">
        <v>1.74302738424378</v>
      </c>
    </row>
    <row r="1077" spans="1:2" x14ac:dyDescent="0.3">
      <c r="A1077" s="13">
        <v>43252</v>
      </c>
      <c r="B1077">
        <v>1.7172132982125929</v>
      </c>
    </row>
    <row r="1078" spans="1:2" x14ac:dyDescent="0.3">
      <c r="A1078" s="13">
        <v>43255</v>
      </c>
      <c r="B1078">
        <v>1.7223665729009949</v>
      </c>
    </row>
    <row r="1079" spans="1:2" x14ac:dyDescent="0.3">
      <c r="A1079" s="13">
        <v>43256</v>
      </c>
      <c r="B1079">
        <v>1.7518775266466551</v>
      </c>
    </row>
    <row r="1080" spans="1:2" x14ac:dyDescent="0.3">
      <c r="A1080" s="13">
        <v>43257</v>
      </c>
      <c r="B1080">
        <v>1.756732976568592</v>
      </c>
    </row>
    <row r="1081" spans="1:2" x14ac:dyDescent="0.3">
      <c r="A1081" s="13">
        <v>43258</v>
      </c>
      <c r="B1081">
        <v>1.7480688944811049</v>
      </c>
    </row>
    <row r="1082" spans="1:2" x14ac:dyDescent="0.3">
      <c r="A1082" s="13">
        <v>43259</v>
      </c>
      <c r="B1082">
        <v>1.7370607208674851</v>
      </c>
    </row>
    <row r="1083" spans="1:2" x14ac:dyDescent="0.3">
      <c r="A1083" s="13">
        <v>43262</v>
      </c>
      <c r="B1083">
        <v>1.726091397415326</v>
      </c>
    </row>
    <row r="1084" spans="1:2" x14ac:dyDescent="0.3">
      <c r="A1084" s="13">
        <v>43263</v>
      </c>
      <c r="B1084">
        <v>1.7490138296548761</v>
      </c>
    </row>
    <row r="1085" spans="1:2" x14ac:dyDescent="0.3">
      <c r="A1085" s="13">
        <v>43264</v>
      </c>
      <c r="B1085">
        <v>1.731675576662131</v>
      </c>
    </row>
    <row r="1086" spans="1:2" x14ac:dyDescent="0.3">
      <c r="A1086" s="13">
        <v>43265</v>
      </c>
      <c r="B1086">
        <v>1.7213129759876451</v>
      </c>
    </row>
    <row r="1087" spans="1:2" x14ac:dyDescent="0.3">
      <c r="A1087" s="13">
        <v>43266</v>
      </c>
      <c r="B1087">
        <v>1.7031379566298139</v>
      </c>
    </row>
    <row r="1088" spans="1:2" x14ac:dyDescent="0.3">
      <c r="A1088" s="13">
        <v>43270</v>
      </c>
      <c r="B1088">
        <v>1.639918808392566</v>
      </c>
    </row>
    <row r="1089" spans="1:2" x14ac:dyDescent="0.3">
      <c r="A1089" s="13">
        <v>43271</v>
      </c>
      <c r="B1089">
        <v>1.660296160880155</v>
      </c>
    </row>
    <row r="1090" spans="1:2" x14ac:dyDescent="0.3">
      <c r="A1090" s="13">
        <v>43272</v>
      </c>
      <c r="B1090">
        <v>1.6389676109873801</v>
      </c>
    </row>
    <row r="1091" spans="1:2" x14ac:dyDescent="0.3">
      <c r="A1091" s="13">
        <v>43273</v>
      </c>
      <c r="B1091">
        <v>1.6551759230600289</v>
      </c>
    </row>
    <row r="1092" spans="1:2" x14ac:dyDescent="0.3">
      <c r="A1092" s="13">
        <v>43276</v>
      </c>
      <c r="B1092">
        <v>1.6425288275893011</v>
      </c>
    </row>
    <row r="1093" spans="1:2" x14ac:dyDescent="0.3">
      <c r="A1093" s="13">
        <v>43277</v>
      </c>
      <c r="B1093">
        <v>1.6414314729585859</v>
      </c>
    </row>
    <row r="1094" spans="1:2" x14ac:dyDescent="0.3">
      <c r="A1094" s="13">
        <v>43278</v>
      </c>
      <c r="B1094">
        <v>1.6120284904003639</v>
      </c>
    </row>
    <row r="1095" spans="1:2" x14ac:dyDescent="0.3">
      <c r="A1095" s="13">
        <v>43279</v>
      </c>
      <c r="B1095">
        <v>1.5946187324580521</v>
      </c>
    </row>
    <row r="1096" spans="1:2" x14ac:dyDescent="0.3">
      <c r="A1096" s="13">
        <v>43280</v>
      </c>
      <c r="B1096">
        <v>1.644951049326703</v>
      </c>
    </row>
    <row r="1097" spans="1:2" x14ac:dyDescent="0.3">
      <c r="A1097" s="13">
        <v>43283</v>
      </c>
      <c r="B1097">
        <v>1.619675660630761</v>
      </c>
    </row>
    <row r="1098" spans="1:2" x14ac:dyDescent="0.3">
      <c r="A1098" s="13">
        <v>43284</v>
      </c>
      <c r="B1098">
        <v>1.6194531694852661</v>
      </c>
    </row>
    <row r="1099" spans="1:2" x14ac:dyDescent="0.3">
      <c r="A1099" s="13">
        <v>43285</v>
      </c>
      <c r="B1099">
        <v>1.595511805187708</v>
      </c>
    </row>
    <row r="1100" spans="1:2" x14ac:dyDescent="0.3">
      <c r="A1100" s="13">
        <v>43286</v>
      </c>
      <c r="B1100">
        <v>1.5720424372660811</v>
      </c>
    </row>
    <row r="1101" spans="1:2" x14ac:dyDescent="0.3">
      <c r="A1101" s="13">
        <v>43287</v>
      </c>
      <c r="B1101">
        <v>1.5779797823784589</v>
      </c>
    </row>
    <row r="1102" spans="1:2" x14ac:dyDescent="0.3">
      <c r="A1102" s="13">
        <v>43290</v>
      </c>
      <c r="B1102">
        <v>1.620112098825234</v>
      </c>
    </row>
    <row r="1103" spans="1:2" x14ac:dyDescent="0.3">
      <c r="A1103" s="13">
        <v>43291</v>
      </c>
      <c r="B1103">
        <v>1.629543786912137</v>
      </c>
    </row>
    <row r="1104" spans="1:2" x14ac:dyDescent="0.3">
      <c r="A1104" s="13">
        <v>43292</v>
      </c>
      <c r="B1104">
        <v>1.6113440653430691</v>
      </c>
    </row>
    <row r="1105" spans="1:2" x14ac:dyDescent="0.3">
      <c r="A1105" s="13">
        <v>43293</v>
      </c>
      <c r="B1105">
        <v>1.6480318164024339</v>
      </c>
    </row>
    <row r="1106" spans="1:2" x14ac:dyDescent="0.3">
      <c r="A1106" s="13">
        <v>43294</v>
      </c>
      <c r="B1106">
        <v>1.6634309034260759</v>
      </c>
    </row>
    <row r="1107" spans="1:2" x14ac:dyDescent="0.3">
      <c r="A1107" s="13">
        <v>43297</v>
      </c>
      <c r="B1107">
        <v>1.6622627197025679</v>
      </c>
    </row>
    <row r="1108" spans="1:2" x14ac:dyDescent="0.3">
      <c r="A1108" s="13">
        <v>43298</v>
      </c>
      <c r="B1108">
        <v>1.6574249162217889</v>
      </c>
    </row>
    <row r="1109" spans="1:2" x14ac:dyDescent="0.3">
      <c r="A1109" s="13">
        <v>43299</v>
      </c>
      <c r="B1109">
        <v>1.6454017028060319</v>
      </c>
    </row>
    <row r="1110" spans="1:2" x14ac:dyDescent="0.3">
      <c r="A1110" s="13">
        <v>43300</v>
      </c>
      <c r="B1110">
        <v>1.6376580344232561</v>
      </c>
    </row>
    <row r="1111" spans="1:2" x14ac:dyDescent="0.3">
      <c r="A1111" s="13">
        <v>43301</v>
      </c>
      <c r="B1111">
        <v>1.654616366266376</v>
      </c>
    </row>
    <row r="1112" spans="1:2" x14ac:dyDescent="0.3">
      <c r="A1112" s="13">
        <v>43304</v>
      </c>
      <c r="B1112">
        <v>1.6568160204283151</v>
      </c>
    </row>
    <row r="1113" spans="1:2" x14ac:dyDescent="0.3">
      <c r="A1113" s="13">
        <v>43305</v>
      </c>
      <c r="B1113">
        <v>1.6568160204283151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data</vt:lpstr>
      <vt:lpstr>Sheet1</vt:lpstr>
      <vt:lpstr>figure</vt:lpstr>
      <vt:lpstr>Sheet2</vt:lpstr>
      <vt:lpstr>说明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2018-08-04T15:52:07Z</dcterms:modified>
</cp:coreProperties>
</file>