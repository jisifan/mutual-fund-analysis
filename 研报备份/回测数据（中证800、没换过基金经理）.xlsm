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ngheng\Dropbox\summerIntern\代码\mutual-fund-analysis\研报备份\"/>
    </mc:Choice>
  </mc:AlternateContent>
  <bookViews>
    <workbookView xWindow="0" yWindow="0" windowWidth="17835" windowHeight="6510" activeTab="5"/>
  </bookViews>
  <sheets>
    <sheet name="Sheet1" sheetId="1" r:id="rId1"/>
    <sheet name="Sheet2" sheetId="5" r:id="rId2"/>
    <sheet name="Sheet3" sheetId="3" r:id="rId3"/>
    <sheet name="category" sheetId="2" r:id="rId4"/>
    <sheet name="category2" sheetId="4" r:id="rId5"/>
    <sheet name="回撤结果" sheetId="6" r:id="rId6"/>
  </sheets>
  <externalReferences>
    <externalReference r:id="rId7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6" l="1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03" i="6"/>
  <c r="P204" i="6"/>
  <c r="P205" i="6"/>
  <c r="P206" i="6"/>
  <c r="P207" i="6"/>
  <c r="P208" i="6"/>
  <c r="P209" i="6"/>
  <c r="P210" i="6"/>
  <c r="P211" i="6"/>
  <c r="P212" i="6"/>
  <c r="P213" i="6"/>
  <c r="P214" i="6"/>
  <c r="P215" i="6"/>
  <c r="P216" i="6"/>
  <c r="P217" i="6"/>
  <c r="P218" i="6"/>
  <c r="P219" i="6"/>
  <c r="P220" i="6"/>
  <c r="P221" i="6"/>
  <c r="P222" i="6"/>
  <c r="P223" i="6"/>
  <c r="P224" i="6"/>
  <c r="P225" i="6"/>
  <c r="P226" i="6"/>
  <c r="P227" i="6"/>
  <c r="P228" i="6"/>
  <c r="P229" i="6"/>
  <c r="P230" i="6"/>
  <c r="P231" i="6"/>
  <c r="P232" i="6"/>
  <c r="P233" i="6"/>
  <c r="P234" i="6"/>
  <c r="P235" i="6"/>
  <c r="P236" i="6"/>
  <c r="P237" i="6"/>
  <c r="P238" i="6"/>
  <c r="P239" i="6"/>
  <c r="P240" i="6"/>
  <c r="P241" i="6"/>
  <c r="P242" i="6"/>
  <c r="P243" i="6"/>
  <c r="P244" i="6"/>
  <c r="P245" i="6"/>
  <c r="P246" i="6"/>
  <c r="P247" i="6"/>
  <c r="P248" i="6"/>
  <c r="P249" i="6"/>
  <c r="P250" i="6"/>
  <c r="P251" i="6"/>
  <c r="P252" i="6"/>
  <c r="P253" i="6"/>
  <c r="P254" i="6"/>
  <c r="P255" i="6"/>
  <c r="P256" i="6"/>
  <c r="P257" i="6"/>
  <c r="P258" i="6"/>
  <c r="P259" i="6"/>
  <c r="P260" i="6"/>
  <c r="P261" i="6"/>
  <c r="P262" i="6"/>
  <c r="P263" i="6"/>
  <c r="P264" i="6"/>
  <c r="P265" i="6"/>
  <c r="P266" i="6"/>
  <c r="P267" i="6"/>
  <c r="P268" i="6"/>
  <c r="P269" i="6"/>
  <c r="P270" i="6"/>
  <c r="P271" i="6"/>
  <c r="P272" i="6"/>
  <c r="P273" i="6"/>
  <c r="P274" i="6"/>
  <c r="P275" i="6"/>
  <c r="P276" i="6"/>
  <c r="P277" i="6"/>
  <c r="P278" i="6"/>
  <c r="P279" i="6"/>
  <c r="P280" i="6"/>
  <c r="P281" i="6"/>
  <c r="P282" i="6"/>
  <c r="P283" i="6"/>
  <c r="P284" i="6"/>
  <c r="P285" i="6"/>
  <c r="P286" i="6"/>
  <c r="P287" i="6"/>
  <c r="P288" i="6"/>
  <c r="P289" i="6"/>
  <c r="P290" i="6"/>
  <c r="P291" i="6"/>
  <c r="P292" i="6"/>
  <c r="P293" i="6"/>
  <c r="P294" i="6"/>
  <c r="P295" i="6"/>
  <c r="P296" i="6"/>
  <c r="P297" i="6"/>
  <c r="P298" i="6"/>
  <c r="P299" i="6"/>
  <c r="P300" i="6"/>
  <c r="P301" i="6"/>
  <c r="P302" i="6"/>
  <c r="P303" i="6"/>
  <c r="P304" i="6"/>
  <c r="P305" i="6"/>
  <c r="P306" i="6"/>
  <c r="P307" i="6"/>
  <c r="P308" i="6"/>
  <c r="P309" i="6"/>
  <c r="P310" i="6"/>
  <c r="P311" i="6"/>
  <c r="P312" i="6"/>
  <c r="P313" i="6"/>
  <c r="P314" i="6"/>
  <c r="P315" i="6"/>
  <c r="P316" i="6"/>
  <c r="P317" i="6"/>
  <c r="P318" i="6"/>
  <c r="P319" i="6"/>
  <c r="P320" i="6"/>
  <c r="P321" i="6"/>
  <c r="P322" i="6"/>
  <c r="P323" i="6"/>
  <c r="P324" i="6"/>
  <c r="P325" i="6"/>
  <c r="P326" i="6"/>
  <c r="P327" i="6"/>
  <c r="P328" i="6"/>
  <c r="P329" i="6"/>
  <c r="P330" i="6"/>
  <c r="P331" i="6"/>
  <c r="P332" i="6"/>
  <c r="P333" i="6"/>
  <c r="P334" i="6"/>
  <c r="P335" i="6"/>
  <c r="P336" i="6"/>
  <c r="P337" i="6"/>
  <c r="P338" i="6"/>
  <c r="P339" i="6"/>
  <c r="P340" i="6"/>
  <c r="P341" i="6"/>
  <c r="P342" i="6"/>
  <c r="P343" i="6"/>
  <c r="P344" i="6"/>
  <c r="P345" i="6"/>
  <c r="P346" i="6"/>
  <c r="P347" i="6"/>
  <c r="P348" i="6"/>
  <c r="P349" i="6"/>
  <c r="P350" i="6"/>
  <c r="P351" i="6"/>
  <c r="P352" i="6"/>
  <c r="P353" i="6"/>
  <c r="P354" i="6"/>
  <c r="P355" i="6"/>
  <c r="P356" i="6"/>
  <c r="P357" i="6"/>
  <c r="P358" i="6"/>
  <c r="P359" i="6"/>
  <c r="P360" i="6"/>
  <c r="P361" i="6"/>
  <c r="P362" i="6"/>
  <c r="P363" i="6"/>
  <c r="P364" i="6"/>
  <c r="P365" i="6"/>
  <c r="P366" i="6"/>
  <c r="P367" i="6"/>
  <c r="P368" i="6"/>
  <c r="P369" i="6"/>
  <c r="P370" i="6"/>
  <c r="P371" i="6"/>
  <c r="P372" i="6"/>
  <c r="P373" i="6"/>
  <c r="P374" i="6"/>
  <c r="P375" i="6"/>
  <c r="P376" i="6"/>
  <c r="P377" i="6"/>
  <c r="P378" i="6"/>
  <c r="P379" i="6"/>
  <c r="P380" i="6"/>
  <c r="P381" i="6"/>
  <c r="P382" i="6"/>
  <c r="P383" i="6"/>
  <c r="P384" i="6"/>
  <c r="P385" i="6"/>
  <c r="P386" i="6"/>
  <c r="P387" i="6"/>
  <c r="P388" i="6"/>
  <c r="P389" i="6"/>
  <c r="P390" i="6"/>
  <c r="P391" i="6"/>
  <c r="P392" i="6"/>
  <c r="P393" i="6"/>
  <c r="P394" i="6"/>
  <c r="P395" i="6"/>
  <c r="P396" i="6"/>
  <c r="P397" i="6"/>
  <c r="P398" i="6"/>
  <c r="P399" i="6"/>
  <c r="P400" i="6"/>
  <c r="P401" i="6"/>
  <c r="P402" i="6"/>
  <c r="P403" i="6"/>
  <c r="P404" i="6"/>
  <c r="P405" i="6"/>
  <c r="P406" i="6"/>
  <c r="P407" i="6"/>
  <c r="P408" i="6"/>
  <c r="P409" i="6"/>
  <c r="P410" i="6"/>
  <c r="P411" i="6"/>
  <c r="P412" i="6"/>
  <c r="P413" i="6"/>
  <c r="P414" i="6"/>
  <c r="P415" i="6"/>
  <c r="P416" i="6"/>
  <c r="P417" i="6"/>
  <c r="P418" i="6"/>
  <c r="P419" i="6"/>
  <c r="P420" i="6"/>
  <c r="P421" i="6"/>
  <c r="P422" i="6"/>
  <c r="P423" i="6"/>
  <c r="P424" i="6"/>
  <c r="P425" i="6"/>
  <c r="P426" i="6"/>
  <c r="P427" i="6"/>
  <c r="P428" i="6"/>
  <c r="P429" i="6"/>
  <c r="P430" i="6"/>
  <c r="P431" i="6"/>
  <c r="P432" i="6"/>
  <c r="P433" i="6"/>
  <c r="P434" i="6"/>
  <c r="P435" i="6"/>
  <c r="P436" i="6"/>
  <c r="P437" i="6"/>
  <c r="P438" i="6"/>
  <c r="P439" i="6"/>
  <c r="P440" i="6"/>
  <c r="P441" i="6"/>
  <c r="P442" i="6"/>
  <c r="P443" i="6"/>
  <c r="P444" i="6"/>
  <c r="P445" i="6"/>
  <c r="P446" i="6"/>
  <c r="P447" i="6"/>
  <c r="P448" i="6"/>
  <c r="P449" i="6"/>
  <c r="P450" i="6"/>
  <c r="P451" i="6"/>
  <c r="P452" i="6"/>
  <c r="P453" i="6"/>
  <c r="P454" i="6"/>
  <c r="P455" i="6"/>
  <c r="P456" i="6"/>
  <c r="P457" i="6"/>
  <c r="P458" i="6"/>
  <c r="P459" i="6"/>
  <c r="P460" i="6"/>
  <c r="P461" i="6"/>
  <c r="P462" i="6"/>
  <c r="P463" i="6"/>
  <c r="P464" i="6"/>
  <c r="P465" i="6"/>
  <c r="P466" i="6"/>
  <c r="P467" i="6"/>
  <c r="P468" i="6"/>
  <c r="P469" i="6"/>
  <c r="P470" i="6"/>
  <c r="P471" i="6"/>
  <c r="P472" i="6"/>
  <c r="P473" i="6"/>
  <c r="P474" i="6"/>
  <c r="P475" i="6"/>
  <c r="P476" i="6"/>
  <c r="P477" i="6"/>
  <c r="P478" i="6"/>
  <c r="P479" i="6"/>
  <c r="P480" i="6"/>
  <c r="P481" i="6"/>
  <c r="P482" i="6"/>
  <c r="P483" i="6"/>
  <c r="P484" i="6"/>
  <c r="P485" i="6"/>
  <c r="P486" i="6"/>
  <c r="P487" i="6"/>
  <c r="P488" i="6"/>
  <c r="P489" i="6"/>
  <c r="P490" i="6"/>
  <c r="P491" i="6"/>
  <c r="P492" i="6"/>
  <c r="P493" i="6"/>
  <c r="P494" i="6"/>
  <c r="P495" i="6"/>
  <c r="P496" i="6"/>
  <c r="P497" i="6"/>
  <c r="P498" i="6"/>
  <c r="P499" i="6"/>
  <c r="P500" i="6"/>
  <c r="P501" i="6"/>
  <c r="P502" i="6"/>
  <c r="P503" i="6"/>
  <c r="P504" i="6"/>
  <c r="P505" i="6"/>
  <c r="P506" i="6"/>
  <c r="P507" i="6"/>
  <c r="P508" i="6"/>
  <c r="P509" i="6"/>
  <c r="P510" i="6"/>
  <c r="P511" i="6"/>
  <c r="P512" i="6"/>
  <c r="P513" i="6"/>
  <c r="P514" i="6"/>
  <c r="P515" i="6"/>
  <c r="P516" i="6"/>
  <c r="P517" i="6"/>
  <c r="P518" i="6"/>
  <c r="P519" i="6"/>
  <c r="P520" i="6"/>
  <c r="P521" i="6"/>
  <c r="P522" i="6"/>
  <c r="P523" i="6"/>
  <c r="P524" i="6"/>
  <c r="P525" i="6"/>
  <c r="P526" i="6"/>
  <c r="P527" i="6"/>
  <c r="P528" i="6"/>
  <c r="P529" i="6"/>
  <c r="P530" i="6"/>
  <c r="P531" i="6"/>
  <c r="P532" i="6"/>
  <c r="P533" i="6"/>
  <c r="P534" i="6"/>
  <c r="P535" i="6"/>
  <c r="P536" i="6"/>
  <c r="P537" i="6"/>
  <c r="P538" i="6"/>
  <c r="P539" i="6"/>
  <c r="P540" i="6"/>
  <c r="P541" i="6"/>
  <c r="P542" i="6"/>
  <c r="P543" i="6"/>
  <c r="P544" i="6"/>
  <c r="P545" i="6"/>
  <c r="P546" i="6"/>
  <c r="P547" i="6"/>
  <c r="P548" i="6"/>
  <c r="P549" i="6"/>
  <c r="P550" i="6"/>
  <c r="P551" i="6"/>
  <c r="P552" i="6"/>
  <c r="P553" i="6"/>
  <c r="P554" i="6"/>
  <c r="P555" i="6"/>
  <c r="P556" i="6"/>
  <c r="P557" i="6"/>
  <c r="P558" i="6"/>
  <c r="P559" i="6"/>
  <c r="P560" i="6"/>
  <c r="P561" i="6"/>
  <c r="P562" i="6"/>
  <c r="P563" i="6"/>
  <c r="P564" i="6"/>
  <c r="P565" i="6"/>
  <c r="P566" i="6"/>
  <c r="P567" i="6"/>
  <c r="P568" i="6"/>
  <c r="P569" i="6"/>
  <c r="P570" i="6"/>
  <c r="P571" i="6"/>
  <c r="P572" i="6"/>
  <c r="P573" i="6"/>
  <c r="P574" i="6"/>
  <c r="P575" i="6"/>
  <c r="P576" i="6"/>
  <c r="P577" i="6"/>
  <c r="P578" i="6"/>
  <c r="P579" i="6"/>
  <c r="P580" i="6"/>
  <c r="P581" i="6"/>
  <c r="P582" i="6"/>
  <c r="P583" i="6"/>
  <c r="P584" i="6"/>
  <c r="P585" i="6"/>
  <c r="P586" i="6"/>
  <c r="P587" i="6"/>
  <c r="P588" i="6"/>
  <c r="P589" i="6"/>
  <c r="P590" i="6"/>
  <c r="P591" i="6"/>
  <c r="P592" i="6"/>
  <c r="P593" i="6"/>
  <c r="P594" i="6"/>
  <c r="P595" i="6"/>
  <c r="P596" i="6"/>
  <c r="P597" i="6"/>
  <c r="P598" i="6"/>
  <c r="P599" i="6"/>
  <c r="P600" i="6"/>
  <c r="P601" i="6"/>
  <c r="P602" i="6"/>
  <c r="P603" i="6"/>
  <c r="P604" i="6"/>
  <c r="P605" i="6"/>
  <c r="P606" i="6"/>
  <c r="P607" i="6"/>
  <c r="P608" i="6"/>
  <c r="P3" i="6"/>
  <c r="X4" i="6"/>
  <c r="T4" i="6"/>
  <c r="W4" i="6"/>
  <c r="S4" i="6"/>
  <c r="Z4" i="6"/>
  <c r="V4" i="6"/>
  <c r="R4" i="6"/>
  <c r="Y4" i="6"/>
  <c r="U4" i="6"/>
  <c r="Q4" i="6"/>
  <c r="X8" i="6"/>
  <c r="T8" i="6"/>
  <c r="W8" i="6"/>
  <c r="S8" i="6"/>
  <c r="Z8" i="6"/>
  <c r="V8" i="6"/>
  <c r="R8" i="6"/>
  <c r="Y8" i="6"/>
  <c r="U8" i="6"/>
  <c r="Q8" i="6"/>
  <c r="X12" i="6"/>
  <c r="T12" i="6"/>
  <c r="W12" i="6"/>
  <c r="S12" i="6"/>
  <c r="Z12" i="6"/>
  <c r="V12" i="6"/>
  <c r="R12" i="6"/>
  <c r="Y12" i="6"/>
  <c r="U12" i="6"/>
  <c r="Q12" i="6"/>
  <c r="X16" i="6"/>
  <c r="T16" i="6"/>
  <c r="W16" i="6"/>
  <c r="S16" i="6"/>
  <c r="Z16" i="6"/>
  <c r="V16" i="6"/>
  <c r="R16" i="6"/>
  <c r="Y16" i="6"/>
  <c r="U16" i="6"/>
  <c r="Q16" i="6"/>
  <c r="X20" i="6"/>
  <c r="T20" i="6"/>
  <c r="W20" i="6"/>
  <c r="S20" i="6"/>
  <c r="Z20" i="6"/>
  <c r="V20" i="6"/>
  <c r="R20" i="6"/>
  <c r="Y20" i="6"/>
  <c r="U20" i="6"/>
  <c r="Q20" i="6"/>
  <c r="X24" i="6"/>
  <c r="T24" i="6"/>
  <c r="W24" i="6"/>
  <c r="S24" i="6"/>
  <c r="Z24" i="6"/>
  <c r="V24" i="6"/>
  <c r="R24" i="6"/>
  <c r="Y24" i="6"/>
  <c r="U24" i="6"/>
  <c r="Q24" i="6"/>
  <c r="X28" i="6"/>
  <c r="T28" i="6"/>
  <c r="W28" i="6"/>
  <c r="S28" i="6"/>
  <c r="Z28" i="6"/>
  <c r="V28" i="6"/>
  <c r="R28" i="6"/>
  <c r="Y28" i="6"/>
  <c r="U28" i="6"/>
  <c r="Q28" i="6"/>
  <c r="X32" i="6"/>
  <c r="T32" i="6"/>
  <c r="W32" i="6"/>
  <c r="S32" i="6"/>
  <c r="Z32" i="6"/>
  <c r="V32" i="6"/>
  <c r="R32" i="6"/>
  <c r="Y32" i="6"/>
  <c r="U32" i="6"/>
  <c r="Q32" i="6"/>
  <c r="X36" i="6"/>
  <c r="T36" i="6"/>
  <c r="W36" i="6"/>
  <c r="S36" i="6"/>
  <c r="Z36" i="6"/>
  <c r="V36" i="6"/>
  <c r="R36" i="6"/>
  <c r="Y36" i="6"/>
  <c r="U36" i="6"/>
  <c r="Q36" i="6"/>
  <c r="R40" i="6"/>
  <c r="X40" i="6"/>
  <c r="V40" i="6"/>
  <c r="Q40" i="6"/>
  <c r="Z40" i="6"/>
  <c r="U40" i="6"/>
  <c r="Y40" i="6"/>
  <c r="T40" i="6"/>
  <c r="W40" i="6"/>
  <c r="S40" i="6"/>
  <c r="U44" i="6"/>
  <c r="Z44" i="6"/>
  <c r="Y44" i="6"/>
  <c r="T44" i="6"/>
  <c r="X44" i="6"/>
  <c r="R44" i="6"/>
  <c r="V44" i="6"/>
  <c r="Q44" i="6"/>
  <c r="W44" i="6"/>
  <c r="S44" i="6"/>
  <c r="X48" i="6"/>
  <c r="R48" i="6"/>
  <c r="V48" i="6"/>
  <c r="Q48" i="6"/>
  <c r="Z48" i="6"/>
  <c r="U48" i="6"/>
  <c r="Y48" i="6"/>
  <c r="T48" i="6"/>
  <c r="W48" i="6"/>
  <c r="S48" i="6"/>
  <c r="Z52" i="6"/>
  <c r="U52" i="6"/>
  <c r="Y52" i="6"/>
  <c r="T52" i="6"/>
  <c r="X52" i="6"/>
  <c r="R52" i="6"/>
  <c r="V52" i="6"/>
  <c r="Q52" i="6"/>
  <c r="W52" i="6"/>
  <c r="S52" i="6"/>
  <c r="W56" i="6"/>
  <c r="S56" i="6"/>
  <c r="Z56" i="6"/>
  <c r="V56" i="6"/>
  <c r="R56" i="6"/>
  <c r="Y56" i="6"/>
  <c r="U56" i="6"/>
  <c r="Q56" i="6"/>
  <c r="X56" i="6"/>
  <c r="T56" i="6"/>
  <c r="W60" i="6"/>
  <c r="S60" i="6"/>
  <c r="Z60" i="6"/>
  <c r="V60" i="6"/>
  <c r="R60" i="6"/>
  <c r="Y60" i="6"/>
  <c r="U60" i="6"/>
  <c r="Q60" i="6"/>
  <c r="X60" i="6"/>
  <c r="T60" i="6"/>
  <c r="W64" i="6"/>
  <c r="S64" i="6"/>
  <c r="Z64" i="6"/>
  <c r="V64" i="6"/>
  <c r="R64" i="6"/>
  <c r="Y64" i="6"/>
  <c r="U64" i="6"/>
  <c r="Q64" i="6"/>
  <c r="X64" i="6"/>
  <c r="T64" i="6"/>
  <c r="W68" i="6"/>
  <c r="S68" i="6"/>
  <c r="V68" i="6"/>
  <c r="Z68" i="6"/>
  <c r="R68" i="6"/>
  <c r="Y68" i="6"/>
  <c r="U68" i="6"/>
  <c r="Q68" i="6"/>
  <c r="X68" i="6"/>
  <c r="T68" i="6"/>
  <c r="W72" i="6"/>
  <c r="S72" i="6"/>
  <c r="V72" i="6"/>
  <c r="Z72" i="6"/>
  <c r="R72" i="6"/>
  <c r="Y72" i="6"/>
  <c r="U72" i="6"/>
  <c r="Q72" i="6"/>
  <c r="X72" i="6"/>
  <c r="T72" i="6"/>
  <c r="W76" i="6"/>
  <c r="S76" i="6"/>
  <c r="V76" i="6"/>
  <c r="Z76" i="6"/>
  <c r="R76" i="6"/>
  <c r="Y76" i="6"/>
  <c r="U76" i="6"/>
  <c r="Q76" i="6"/>
  <c r="X76" i="6"/>
  <c r="T76" i="6"/>
  <c r="W80" i="6"/>
  <c r="T80" i="6"/>
  <c r="R80" i="6"/>
  <c r="Z80" i="6"/>
  <c r="V80" i="6"/>
  <c r="X80" i="6"/>
  <c r="S80" i="6"/>
  <c r="Y80" i="6"/>
  <c r="U80" i="6"/>
  <c r="Q80" i="6"/>
  <c r="X84" i="6"/>
  <c r="V84" i="6"/>
  <c r="T84" i="6"/>
  <c r="Z84" i="6"/>
  <c r="R84" i="6"/>
  <c r="W84" i="6"/>
  <c r="S84" i="6"/>
  <c r="Y84" i="6"/>
  <c r="U84" i="6"/>
  <c r="Q84" i="6"/>
  <c r="X88" i="6"/>
  <c r="V88" i="6"/>
  <c r="T88" i="6"/>
  <c r="Z88" i="6"/>
  <c r="R88" i="6"/>
  <c r="W88" i="6"/>
  <c r="S88" i="6"/>
  <c r="Y88" i="6"/>
  <c r="U88" i="6"/>
  <c r="Q88" i="6"/>
  <c r="X92" i="6"/>
  <c r="V92" i="6"/>
  <c r="T92" i="6"/>
  <c r="Z92" i="6"/>
  <c r="R92" i="6"/>
  <c r="W92" i="6"/>
  <c r="S92" i="6"/>
  <c r="Y92" i="6"/>
  <c r="U92" i="6"/>
  <c r="Q92" i="6"/>
  <c r="X96" i="6"/>
  <c r="V96" i="6"/>
  <c r="T96" i="6"/>
  <c r="Z96" i="6"/>
  <c r="R96" i="6"/>
  <c r="W96" i="6"/>
  <c r="S96" i="6"/>
  <c r="Y96" i="6"/>
  <c r="U96" i="6"/>
  <c r="Q96" i="6"/>
  <c r="X100" i="6"/>
  <c r="V100" i="6"/>
  <c r="T100" i="6"/>
  <c r="Z100" i="6"/>
  <c r="R100" i="6"/>
  <c r="W100" i="6"/>
  <c r="S100" i="6"/>
  <c r="Y100" i="6"/>
  <c r="U100" i="6"/>
  <c r="Q100" i="6"/>
  <c r="X104" i="6"/>
  <c r="V104" i="6"/>
  <c r="T104" i="6"/>
  <c r="Z104" i="6"/>
  <c r="R104" i="6"/>
  <c r="W104" i="6"/>
  <c r="S104" i="6"/>
  <c r="Y104" i="6"/>
  <c r="U104" i="6"/>
  <c r="Q104" i="6"/>
  <c r="X108" i="6"/>
  <c r="V108" i="6"/>
  <c r="T108" i="6"/>
  <c r="Z108" i="6"/>
  <c r="R108" i="6"/>
  <c r="W108" i="6"/>
  <c r="S108" i="6"/>
  <c r="Y108" i="6"/>
  <c r="U108" i="6"/>
  <c r="Q108" i="6"/>
  <c r="X112" i="6"/>
  <c r="V112" i="6"/>
  <c r="T112" i="6"/>
  <c r="Z112" i="6"/>
  <c r="R112" i="6"/>
  <c r="W112" i="6"/>
  <c r="S112" i="6"/>
  <c r="Y112" i="6"/>
  <c r="U112" i="6"/>
  <c r="Q112" i="6"/>
  <c r="V116" i="6"/>
  <c r="Z116" i="6"/>
  <c r="U116" i="6"/>
  <c r="Y116" i="6"/>
  <c r="T116" i="6"/>
  <c r="X116" i="6"/>
  <c r="R116" i="6"/>
  <c r="W116" i="6"/>
  <c r="S116" i="6"/>
  <c r="Q116" i="6"/>
  <c r="Y120" i="6"/>
  <c r="T120" i="6"/>
  <c r="X120" i="6"/>
  <c r="R120" i="6"/>
  <c r="V120" i="6"/>
  <c r="Q120" i="6"/>
  <c r="Z120" i="6"/>
  <c r="U120" i="6"/>
  <c r="W120" i="6"/>
  <c r="S120" i="6"/>
  <c r="V124" i="6"/>
  <c r="Q124" i="6"/>
  <c r="Z124" i="6"/>
  <c r="U124" i="6"/>
  <c r="Y124" i="6"/>
  <c r="T124" i="6"/>
  <c r="X124" i="6"/>
  <c r="R124" i="6"/>
  <c r="W124" i="6"/>
  <c r="S124" i="6"/>
  <c r="V128" i="6"/>
  <c r="R128" i="6"/>
  <c r="Z128" i="6"/>
  <c r="Y128" i="6"/>
  <c r="U128" i="6"/>
  <c r="Q128" i="6"/>
  <c r="X128" i="6"/>
  <c r="T128" i="6"/>
  <c r="W128" i="6"/>
  <c r="S128" i="6"/>
  <c r="Z132" i="6"/>
  <c r="V132" i="6"/>
  <c r="R132" i="6"/>
  <c r="Y132" i="6"/>
  <c r="U132" i="6"/>
  <c r="Q132" i="6"/>
  <c r="X132" i="6"/>
  <c r="T132" i="6"/>
  <c r="W132" i="6"/>
  <c r="S132" i="6"/>
  <c r="V136" i="6"/>
  <c r="R136" i="6"/>
  <c r="Z136" i="6"/>
  <c r="Y136" i="6"/>
  <c r="U136" i="6"/>
  <c r="Q136" i="6"/>
  <c r="X136" i="6"/>
  <c r="T136" i="6"/>
  <c r="W136" i="6"/>
  <c r="S136" i="6"/>
  <c r="Z140" i="6"/>
  <c r="V140" i="6"/>
  <c r="R140" i="6"/>
  <c r="Y140" i="6"/>
  <c r="U140" i="6"/>
  <c r="Q140" i="6"/>
  <c r="X140" i="6"/>
  <c r="T140" i="6"/>
  <c r="W140" i="6"/>
  <c r="S140" i="6"/>
  <c r="V144" i="6"/>
  <c r="R144" i="6"/>
  <c r="Z144" i="6"/>
  <c r="Y144" i="6"/>
  <c r="U144" i="6"/>
  <c r="Q144" i="6"/>
  <c r="X144" i="6"/>
  <c r="T144" i="6"/>
  <c r="W144" i="6"/>
  <c r="S144" i="6"/>
  <c r="Z148" i="6"/>
  <c r="V148" i="6"/>
  <c r="R148" i="6"/>
  <c r="Y148" i="6"/>
  <c r="U148" i="6"/>
  <c r="Q148" i="6"/>
  <c r="X148" i="6"/>
  <c r="T148" i="6"/>
  <c r="W148" i="6"/>
  <c r="S148" i="6"/>
  <c r="V152" i="6"/>
  <c r="R152" i="6"/>
  <c r="Z152" i="6"/>
  <c r="Y152" i="6"/>
  <c r="U152" i="6"/>
  <c r="Q152" i="6"/>
  <c r="X152" i="6"/>
  <c r="T152" i="6"/>
  <c r="W152" i="6"/>
  <c r="S152" i="6"/>
  <c r="Z156" i="6"/>
  <c r="V156" i="6"/>
  <c r="R156" i="6"/>
  <c r="Y156" i="6"/>
  <c r="U156" i="6"/>
  <c r="Q156" i="6"/>
  <c r="X156" i="6"/>
  <c r="T156" i="6"/>
  <c r="W156" i="6"/>
  <c r="S156" i="6"/>
  <c r="V160" i="6"/>
  <c r="R160" i="6"/>
  <c r="Z160" i="6"/>
  <c r="Y160" i="6"/>
  <c r="U160" i="6"/>
  <c r="Q160" i="6"/>
  <c r="X160" i="6"/>
  <c r="T160" i="6"/>
  <c r="W160" i="6"/>
  <c r="S160" i="6"/>
  <c r="Z164" i="6"/>
  <c r="V164" i="6"/>
  <c r="R164" i="6"/>
  <c r="Y164" i="6"/>
  <c r="U164" i="6"/>
  <c r="Q164" i="6"/>
  <c r="X164" i="6"/>
  <c r="T164" i="6"/>
  <c r="W164" i="6"/>
  <c r="S164" i="6"/>
  <c r="V168" i="6"/>
  <c r="R168" i="6"/>
  <c r="Z168" i="6"/>
  <c r="Y168" i="6"/>
  <c r="U168" i="6"/>
  <c r="Q168" i="6"/>
  <c r="X168" i="6"/>
  <c r="T168" i="6"/>
  <c r="W168" i="6"/>
  <c r="S168" i="6"/>
  <c r="Z172" i="6"/>
  <c r="V172" i="6"/>
  <c r="R172" i="6"/>
  <c r="Y172" i="6"/>
  <c r="U172" i="6"/>
  <c r="Q172" i="6"/>
  <c r="X172" i="6"/>
  <c r="T172" i="6"/>
  <c r="W172" i="6"/>
  <c r="S172" i="6"/>
  <c r="V176" i="6"/>
  <c r="R176" i="6"/>
  <c r="Z176" i="6"/>
  <c r="Y176" i="6"/>
  <c r="U176" i="6"/>
  <c r="Q176" i="6"/>
  <c r="X176" i="6"/>
  <c r="T176" i="6"/>
  <c r="W176" i="6"/>
  <c r="S176" i="6"/>
  <c r="Z180" i="6"/>
  <c r="V180" i="6"/>
  <c r="R180" i="6"/>
  <c r="Y180" i="6"/>
  <c r="U180" i="6"/>
  <c r="Q180" i="6"/>
  <c r="X180" i="6"/>
  <c r="T180" i="6"/>
  <c r="W180" i="6"/>
  <c r="S180" i="6"/>
  <c r="V184" i="6"/>
  <c r="R184" i="6"/>
  <c r="Z184" i="6"/>
  <c r="Y184" i="6"/>
  <c r="U184" i="6"/>
  <c r="Q184" i="6"/>
  <c r="X184" i="6"/>
  <c r="T184" i="6"/>
  <c r="W184" i="6"/>
  <c r="S184" i="6"/>
  <c r="Z188" i="6"/>
  <c r="V188" i="6"/>
  <c r="R188" i="6"/>
  <c r="Y188" i="6"/>
  <c r="U188" i="6"/>
  <c r="Q188" i="6"/>
  <c r="X188" i="6"/>
  <c r="T188" i="6"/>
  <c r="W188" i="6"/>
  <c r="S188" i="6"/>
  <c r="V192" i="6"/>
  <c r="R192" i="6"/>
  <c r="Z192" i="6"/>
  <c r="Y192" i="6"/>
  <c r="U192" i="6"/>
  <c r="Q192" i="6"/>
  <c r="X192" i="6"/>
  <c r="T192" i="6"/>
  <c r="W192" i="6"/>
  <c r="S192" i="6"/>
  <c r="Z196" i="6"/>
  <c r="V196" i="6"/>
  <c r="R196" i="6"/>
  <c r="Y196" i="6"/>
  <c r="U196" i="6"/>
  <c r="Q196" i="6"/>
  <c r="X196" i="6"/>
  <c r="T196" i="6"/>
  <c r="W196" i="6"/>
  <c r="S196" i="6"/>
  <c r="R200" i="6"/>
  <c r="Z200" i="6"/>
  <c r="V200" i="6"/>
  <c r="Y200" i="6"/>
  <c r="U200" i="6"/>
  <c r="Q200" i="6"/>
  <c r="X200" i="6"/>
  <c r="T200" i="6"/>
  <c r="W200" i="6"/>
  <c r="S200" i="6"/>
  <c r="Z204" i="6"/>
  <c r="V204" i="6"/>
  <c r="R204" i="6"/>
  <c r="Y204" i="6"/>
  <c r="U204" i="6"/>
  <c r="Q204" i="6"/>
  <c r="X204" i="6"/>
  <c r="T204" i="6"/>
  <c r="W204" i="6"/>
  <c r="S204" i="6"/>
  <c r="R208" i="6"/>
  <c r="Z208" i="6"/>
  <c r="V208" i="6"/>
  <c r="Y208" i="6"/>
  <c r="U208" i="6"/>
  <c r="Q208" i="6"/>
  <c r="X208" i="6"/>
  <c r="T208" i="6"/>
  <c r="W208" i="6"/>
  <c r="S208" i="6"/>
  <c r="Z212" i="6"/>
  <c r="V212" i="6"/>
  <c r="R212" i="6"/>
  <c r="Y212" i="6"/>
  <c r="U212" i="6"/>
  <c r="Q212" i="6"/>
  <c r="X212" i="6"/>
  <c r="T212" i="6"/>
  <c r="W212" i="6"/>
  <c r="S212" i="6"/>
  <c r="R216" i="6"/>
  <c r="Z216" i="6"/>
  <c r="V216" i="6"/>
  <c r="Y216" i="6"/>
  <c r="U216" i="6"/>
  <c r="Q216" i="6"/>
  <c r="X216" i="6"/>
  <c r="T216" i="6"/>
  <c r="W216" i="6"/>
  <c r="S216" i="6"/>
  <c r="Z220" i="6"/>
  <c r="V220" i="6"/>
  <c r="R220" i="6"/>
  <c r="Y220" i="6"/>
  <c r="U220" i="6"/>
  <c r="Q220" i="6"/>
  <c r="X220" i="6"/>
  <c r="T220" i="6"/>
  <c r="W220" i="6"/>
  <c r="S220" i="6"/>
  <c r="R224" i="6"/>
  <c r="Z224" i="6"/>
  <c r="V224" i="6"/>
  <c r="Y224" i="6"/>
  <c r="U224" i="6"/>
  <c r="Q224" i="6"/>
  <c r="X224" i="6"/>
  <c r="T224" i="6"/>
  <c r="W224" i="6"/>
  <c r="S224" i="6"/>
  <c r="Z228" i="6"/>
  <c r="V228" i="6"/>
  <c r="R228" i="6"/>
  <c r="Y228" i="6"/>
  <c r="U228" i="6"/>
  <c r="Q228" i="6"/>
  <c r="X228" i="6"/>
  <c r="T228" i="6"/>
  <c r="W228" i="6"/>
  <c r="S228" i="6"/>
  <c r="R232" i="6"/>
  <c r="Z232" i="6"/>
  <c r="V232" i="6"/>
  <c r="Y232" i="6"/>
  <c r="U232" i="6"/>
  <c r="Q232" i="6"/>
  <c r="X232" i="6"/>
  <c r="T232" i="6"/>
  <c r="W232" i="6"/>
  <c r="S232" i="6"/>
  <c r="Z236" i="6"/>
  <c r="V236" i="6"/>
  <c r="R236" i="6"/>
  <c r="Y236" i="6"/>
  <c r="U236" i="6"/>
  <c r="Q236" i="6"/>
  <c r="X236" i="6"/>
  <c r="T236" i="6"/>
  <c r="W236" i="6"/>
  <c r="S236" i="6"/>
  <c r="R240" i="6"/>
  <c r="Z240" i="6"/>
  <c r="V240" i="6"/>
  <c r="Y240" i="6"/>
  <c r="U240" i="6"/>
  <c r="Q240" i="6"/>
  <c r="X240" i="6"/>
  <c r="T240" i="6"/>
  <c r="W240" i="6"/>
  <c r="S240" i="6"/>
  <c r="Z244" i="6"/>
  <c r="V244" i="6"/>
  <c r="R244" i="6"/>
  <c r="Y244" i="6"/>
  <c r="U244" i="6"/>
  <c r="Q244" i="6"/>
  <c r="X244" i="6"/>
  <c r="T244" i="6"/>
  <c r="W244" i="6"/>
  <c r="S244" i="6"/>
  <c r="R248" i="6"/>
  <c r="Z248" i="6"/>
  <c r="V248" i="6"/>
  <c r="Y248" i="6"/>
  <c r="U248" i="6"/>
  <c r="Q248" i="6"/>
  <c r="X248" i="6"/>
  <c r="T248" i="6"/>
  <c r="W248" i="6"/>
  <c r="S248" i="6"/>
  <c r="Z252" i="6"/>
  <c r="V252" i="6"/>
  <c r="R252" i="6"/>
  <c r="Y252" i="6"/>
  <c r="U252" i="6"/>
  <c r="Q252" i="6"/>
  <c r="X252" i="6"/>
  <c r="T252" i="6"/>
  <c r="W252" i="6"/>
  <c r="S252" i="6"/>
  <c r="R256" i="6"/>
  <c r="Z256" i="6"/>
  <c r="V256" i="6"/>
  <c r="Y256" i="6"/>
  <c r="U256" i="6"/>
  <c r="Q256" i="6"/>
  <c r="X256" i="6"/>
  <c r="T256" i="6"/>
  <c r="W256" i="6"/>
  <c r="S256" i="6"/>
  <c r="Z260" i="6"/>
  <c r="V260" i="6"/>
  <c r="R260" i="6"/>
  <c r="Y260" i="6"/>
  <c r="U260" i="6"/>
  <c r="Q260" i="6"/>
  <c r="X260" i="6"/>
  <c r="T260" i="6"/>
  <c r="W260" i="6"/>
  <c r="S260" i="6"/>
  <c r="R264" i="6"/>
  <c r="Z264" i="6"/>
  <c r="V264" i="6"/>
  <c r="Y264" i="6"/>
  <c r="U264" i="6"/>
  <c r="Q264" i="6"/>
  <c r="X264" i="6"/>
  <c r="T264" i="6"/>
  <c r="W264" i="6"/>
  <c r="S264" i="6"/>
  <c r="Z268" i="6"/>
  <c r="V268" i="6"/>
  <c r="R268" i="6"/>
  <c r="Y268" i="6"/>
  <c r="U268" i="6"/>
  <c r="Q268" i="6"/>
  <c r="X268" i="6"/>
  <c r="T268" i="6"/>
  <c r="W268" i="6"/>
  <c r="S268" i="6"/>
  <c r="X272" i="6"/>
  <c r="T272" i="6"/>
  <c r="W272" i="6"/>
  <c r="S272" i="6"/>
  <c r="Z272" i="6"/>
  <c r="V272" i="6"/>
  <c r="R272" i="6"/>
  <c r="Y272" i="6"/>
  <c r="U272" i="6"/>
  <c r="Q272" i="6"/>
  <c r="X276" i="6"/>
  <c r="T276" i="6"/>
  <c r="W276" i="6"/>
  <c r="S276" i="6"/>
  <c r="Z276" i="6"/>
  <c r="V276" i="6"/>
  <c r="R276" i="6"/>
  <c r="Y276" i="6"/>
  <c r="U276" i="6"/>
  <c r="Q276" i="6"/>
  <c r="X280" i="6"/>
  <c r="T280" i="6"/>
  <c r="W280" i="6"/>
  <c r="S280" i="6"/>
  <c r="Z280" i="6"/>
  <c r="V280" i="6"/>
  <c r="R280" i="6"/>
  <c r="Y280" i="6"/>
  <c r="U280" i="6"/>
  <c r="Q280" i="6"/>
  <c r="X284" i="6"/>
  <c r="T284" i="6"/>
  <c r="W284" i="6"/>
  <c r="S284" i="6"/>
  <c r="Z284" i="6"/>
  <c r="V284" i="6"/>
  <c r="R284" i="6"/>
  <c r="Y284" i="6"/>
  <c r="U284" i="6"/>
  <c r="Q284" i="6"/>
  <c r="X288" i="6"/>
  <c r="T288" i="6"/>
  <c r="W288" i="6"/>
  <c r="S288" i="6"/>
  <c r="Z288" i="6"/>
  <c r="V288" i="6"/>
  <c r="R288" i="6"/>
  <c r="Y288" i="6"/>
  <c r="U288" i="6"/>
  <c r="Q288" i="6"/>
  <c r="X292" i="6"/>
  <c r="T292" i="6"/>
  <c r="W292" i="6"/>
  <c r="S292" i="6"/>
  <c r="Z292" i="6"/>
  <c r="V292" i="6"/>
  <c r="R292" i="6"/>
  <c r="Y292" i="6"/>
  <c r="U292" i="6"/>
  <c r="Q292" i="6"/>
  <c r="X296" i="6"/>
  <c r="T296" i="6"/>
  <c r="W296" i="6"/>
  <c r="S296" i="6"/>
  <c r="Z296" i="6"/>
  <c r="V296" i="6"/>
  <c r="R296" i="6"/>
  <c r="Y296" i="6"/>
  <c r="U296" i="6"/>
  <c r="Q296" i="6"/>
  <c r="X300" i="6"/>
  <c r="T300" i="6"/>
  <c r="W300" i="6"/>
  <c r="S300" i="6"/>
  <c r="Z300" i="6"/>
  <c r="V300" i="6"/>
  <c r="R300" i="6"/>
  <c r="Y300" i="6"/>
  <c r="U300" i="6"/>
  <c r="Q300" i="6"/>
  <c r="X304" i="6"/>
  <c r="T304" i="6"/>
  <c r="W304" i="6"/>
  <c r="S304" i="6"/>
  <c r="Z304" i="6"/>
  <c r="V304" i="6"/>
  <c r="R304" i="6"/>
  <c r="Y304" i="6"/>
  <c r="U304" i="6"/>
  <c r="Q304" i="6"/>
  <c r="X308" i="6"/>
  <c r="T308" i="6"/>
  <c r="W308" i="6"/>
  <c r="S308" i="6"/>
  <c r="Z308" i="6"/>
  <c r="V308" i="6"/>
  <c r="R308" i="6"/>
  <c r="Y308" i="6"/>
  <c r="U308" i="6"/>
  <c r="Q308" i="6"/>
  <c r="X312" i="6"/>
  <c r="T312" i="6"/>
  <c r="W312" i="6"/>
  <c r="S312" i="6"/>
  <c r="Z312" i="6"/>
  <c r="V312" i="6"/>
  <c r="R312" i="6"/>
  <c r="Y312" i="6"/>
  <c r="U312" i="6"/>
  <c r="Q312" i="6"/>
  <c r="X316" i="6"/>
  <c r="T316" i="6"/>
  <c r="W316" i="6"/>
  <c r="S316" i="6"/>
  <c r="Z316" i="6"/>
  <c r="V316" i="6"/>
  <c r="R316" i="6"/>
  <c r="Y316" i="6"/>
  <c r="U316" i="6"/>
  <c r="Q316" i="6"/>
  <c r="X320" i="6"/>
  <c r="T320" i="6"/>
  <c r="W320" i="6"/>
  <c r="S320" i="6"/>
  <c r="Z320" i="6"/>
  <c r="V320" i="6"/>
  <c r="R320" i="6"/>
  <c r="Y320" i="6"/>
  <c r="U320" i="6"/>
  <c r="Q320" i="6"/>
  <c r="X324" i="6"/>
  <c r="T324" i="6"/>
  <c r="W324" i="6"/>
  <c r="S324" i="6"/>
  <c r="Z324" i="6"/>
  <c r="V324" i="6"/>
  <c r="R324" i="6"/>
  <c r="Y324" i="6"/>
  <c r="U324" i="6"/>
  <c r="Q324" i="6"/>
  <c r="X328" i="6"/>
  <c r="T328" i="6"/>
  <c r="W328" i="6"/>
  <c r="S328" i="6"/>
  <c r="Z328" i="6"/>
  <c r="V328" i="6"/>
  <c r="R328" i="6"/>
  <c r="Y328" i="6"/>
  <c r="U328" i="6"/>
  <c r="Q328" i="6"/>
  <c r="X332" i="6"/>
  <c r="T332" i="6"/>
  <c r="W332" i="6"/>
  <c r="S332" i="6"/>
  <c r="Z332" i="6"/>
  <c r="V332" i="6"/>
  <c r="R332" i="6"/>
  <c r="Y332" i="6"/>
  <c r="U332" i="6"/>
  <c r="Q332" i="6"/>
  <c r="X336" i="6"/>
  <c r="T336" i="6"/>
  <c r="W336" i="6"/>
  <c r="S336" i="6"/>
  <c r="Z336" i="6"/>
  <c r="V336" i="6"/>
  <c r="R336" i="6"/>
  <c r="Y336" i="6"/>
  <c r="U336" i="6"/>
  <c r="Q336" i="6"/>
  <c r="X340" i="6"/>
  <c r="T340" i="6"/>
  <c r="W340" i="6"/>
  <c r="S340" i="6"/>
  <c r="Z340" i="6"/>
  <c r="V340" i="6"/>
  <c r="R340" i="6"/>
  <c r="Y340" i="6"/>
  <c r="U340" i="6"/>
  <c r="Q340" i="6"/>
  <c r="T344" i="6"/>
  <c r="Z344" i="6"/>
  <c r="R344" i="6"/>
  <c r="X344" i="6"/>
  <c r="V344" i="6"/>
  <c r="W344" i="6"/>
  <c r="S344" i="6"/>
  <c r="Y344" i="6"/>
  <c r="U344" i="6"/>
  <c r="Q344" i="6"/>
  <c r="S348" i="6"/>
  <c r="W348" i="6"/>
  <c r="Z348" i="6"/>
  <c r="V348" i="6"/>
  <c r="R348" i="6"/>
  <c r="Y348" i="6"/>
  <c r="U348" i="6"/>
  <c r="Q348" i="6"/>
  <c r="X348" i="6"/>
  <c r="T348" i="6"/>
  <c r="W352" i="6"/>
  <c r="S352" i="6"/>
  <c r="Z352" i="6"/>
  <c r="V352" i="6"/>
  <c r="R352" i="6"/>
  <c r="Y352" i="6"/>
  <c r="U352" i="6"/>
  <c r="Q352" i="6"/>
  <c r="X352" i="6"/>
  <c r="T352" i="6"/>
  <c r="S356" i="6"/>
  <c r="W356" i="6"/>
  <c r="Z356" i="6"/>
  <c r="V356" i="6"/>
  <c r="R356" i="6"/>
  <c r="Y356" i="6"/>
  <c r="U356" i="6"/>
  <c r="Q356" i="6"/>
  <c r="X356" i="6"/>
  <c r="T356" i="6"/>
  <c r="W360" i="6"/>
  <c r="S360" i="6"/>
  <c r="Z360" i="6"/>
  <c r="V360" i="6"/>
  <c r="R360" i="6"/>
  <c r="Y360" i="6"/>
  <c r="U360" i="6"/>
  <c r="Q360" i="6"/>
  <c r="X360" i="6"/>
  <c r="T360" i="6"/>
  <c r="S364" i="6"/>
  <c r="W364" i="6"/>
  <c r="Z364" i="6"/>
  <c r="V364" i="6"/>
  <c r="R364" i="6"/>
  <c r="Y364" i="6"/>
  <c r="U364" i="6"/>
  <c r="Q364" i="6"/>
  <c r="X364" i="6"/>
  <c r="T364" i="6"/>
  <c r="W368" i="6"/>
  <c r="S368" i="6"/>
  <c r="Z368" i="6"/>
  <c r="V368" i="6"/>
  <c r="R368" i="6"/>
  <c r="Y368" i="6"/>
  <c r="U368" i="6"/>
  <c r="Q368" i="6"/>
  <c r="X368" i="6"/>
  <c r="T368" i="6"/>
  <c r="S372" i="6"/>
  <c r="W372" i="6"/>
  <c r="Z372" i="6"/>
  <c r="V372" i="6"/>
  <c r="R372" i="6"/>
  <c r="Y372" i="6"/>
  <c r="U372" i="6"/>
  <c r="Q372" i="6"/>
  <c r="X372" i="6"/>
  <c r="T372" i="6"/>
  <c r="W376" i="6"/>
  <c r="S376" i="6"/>
  <c r="Z376" i="6"/>
  <c r="V376" i="6"/>
  <c r="R376" i="6"/>
  <c r="Y376" i="6"/>
  <c r="U376" i="6"/>
  <c r="Q376" i="6"/>
  <c r="X376" i="6"/>
  <c r="T376" i="6"/>
  <c r="S380" i="6"/>
  <c r="W380" i="6"/>
  <c r="Z380" i="6"/>
  <c r="V380" i="6"/>
  <c r="R380" i="6"/>
  <c r="Y380" i="6"/>
  <c r="U380" i="6"/>
  <c r="Q380" i="6"/>
  <c r="X380" i="6"/>
  <c r="T380" i="6"/>
  <c r="W384" i="6"/>
  <c r="S384" i="6"/>
  <c r="Z384" i="6"/>
  <c r="V384" i="6"/>
  <c r="R384" i="6"/>
  <c r="Y384" i="6"/>
  <c r="U384" i="6"/>
  <c r="Q384" i="6"/>
  <c r="X384" i="6"/>
  <c r="T384" i="6"/>
  <c r="S388" i="6"/>
  <c r="W388" i="6"/>
  <c r="Z388" i="6"/>
  <c r="V388" i="6"/>
  <c r="R388" i="6"/>
  <c r="Y388" i="6"/>
  <c r="U388" i="6"/>
  <c r="Q388" i="6"/>
  <c r="X388" i="6"/>
  <c r="T388" i="6"/>
  <c r="W392" i="6"/>
  <c r="S392" i="6"/>
  <c r="Z392" i="6"/>
  <c r="V392" i="6"/>
  <c r="R392" i="6"/>
  <c r="Y392" i="6"/>
  <c r="U392" i="6"/>
  <c r="Q392" i="6"/>
  <c r="X392" i="6"/>
  <c r="T392" i="6"/>
  <c r="S396" i="6"/>
  <c r="W396" i="6"/>
  <c r="Z396" i="6"/>
  <c r="V396" i="6"/>
  <c r="R396" i="6"/>
  <c r="Y396" i="6"/>
  <c r="U396" i="6"/>
  <c r="Q396" i="6"/>
  <c r="X396" i="6"/>
  <c r="T396" i="6"/>
  <c r="W400" i="6"/>
  <c r="S400" i="6"/>
  <c r="Z400" i="6"/>
  <c r="V400" i="6"/>
  <c r="R400" i="6"/>
  <c r="Y400" i="6"/>
  <c r="U400" i="6"/>
  <c r="Q400" i="6"/>
  <c r="X400" i="6"/>
  <c r="T400" i="6"/>
  <c r="S404" i="6"/>
  <c r="W404" i="6"/>
  <c r="Z404" i="6"/>
  <c r="V404" i="6"/>
  <c r="R404" i="6"/>
  <c r="Y404" i="6"/>
  <c r="U404" i="6"/>
  <c r="Q404" i="6"/>
  <c r="X404" i="6"/>
  <c r="T404" i="6"/>
  <c r="W408" i="6"/>
  <c r="S408" i="6"/>
  <c r="Z408" i="6"/>
  <c r="V408" i="6"/>
  <c r="R408" i="6"/>
  <c r="Y408" i="6"/>
  <c r="U408" i="6"/>
  <c r="Q408" i="6"/>
  <c r="X408" i="6"/>
  <c r="T408" i="6"/>
  <c r="S412" i="6"/>
  <c r="W412" i="6"/>
  <c r="Z412" i="6"/>
  <c r="V412" i="6"/>
  <c r="R412" i="6"/>
  <c r="Y412" i="6"/>
  <c r="U412" i="6"/>
  <c r="Q412" i="6"/>
  <c r="X412" i="6"/>
  <c r="T412" i="6"/>
  <c r="W416" i="6"/>
  <c r="S416" i="6"/>
  <c r="Z416" i="6"/>
  <c r="V416" i="6"/>
  <c r="R416" i="6"/>
  <c r="Y416" i="6"/>
  <c r="U416" i="6"/>
  <c r="Q416" i="6"/>
  <c r="X416" i="6"/>
  <c r="T416" i="6"/>
  <c r="S420" i="6"/>
  <c r="W420" i="6"/>
  <c r="Z420" i="6"/>
  <c r="V420" i="6"/>
  <c r="R420" i="6"/>
  <c r="Y420" i="6"/>
  <c r="U420" i="6"/>
  <c r="Q420" i="6"/>
  <c r="X420" i="6"/>
  <c r="T420" i="6"/>
  <c r="W424" i="6"/>
  <c r="S424" i="6"/>
  <c r="Z424" i="6"/>
  <c r="V424" i="6"/>
  <c r="R424" i="6"/>
  <c r="Y424" i="6"/>
  <c r="U424" i="6"/>
  <c r="Q424" i="6"/>
  <c r="X424" i="6"/>
  <c r="T424" i="6"/>
  <c r="S428" i="6"/>
  <c r="W428" i="6"/>
  <c r="Z428" i="6"/>
  <c r="V428" i="6"/>
  <c r="R428" i="6"/>
  <c r="Y428" i="6"/>
  <c r="U428" i="6"/>
  <c r="Q428" i="6"/>
  <c r="X428" i="6"/>
  <c r="T428" i="6"/>
  <c r="W432" i="6"/>
  <c r="S432" i="6"/>
  <c r="Z432" i="6"/>
  <c r="V432" i="6"/>
  <c r="R432" i="6"/>
  <c r="Y432" i="6"/>
  <c r="U432" i="6"/>
  <c r="Q432" i="6"/>
  <c r="X432" i="6"/>
  <c r="T432" i="6"/>
  <c r="S436" i="6"/>
  <c r="W436" i="6"/>
  <c r="Z436" i="6"/>
  <c r="V436" i="6"/>
  <c r="R436" i="6"/>
  <c r="Y436" i="6"/>
  <c r="U436" i="6"/>
  <c r="Q436" i="6"/>
  <c r="X436" i="6"/>
  <c r="T436" i="6"/>
  <c r="W440" i="6"/>
  <c r="S440" i="6"/>
  <c r="Z440" i="6"/>
  <c r="V440" i="6"/>
  <c r="R440" i="6"/>
  <c r="Y440" i="6"/>
  <c r="U440" i="6"/>
  <c r="Q440" i="6"/>
  <c r="X440" i="6"/>
  <c r="T440" i="6"/>
  <c r="S444" i="6"/>
  <c r="W444" i="6"/>
  <c r="Z444" i="6"/>
  <c r="V444" i="6"/>
  <c r="R444" i="6"/>
  <c r="Y444" i="6"/>
  <c r="U444" i="6"/>
  <c r="Q444" i="6"/>
  <c r="X444" i="6"/>
  <c r="T444" i="6"/>
  <c r="W448" i="6"/>
  <c r="S448" i="6"/>
  <c r="Z448" i="6"/>
  <c r="V448" i="6"/>
  <c r="R448" i="6"/>
  <c r="Y448" i="6"/>
  <c r="U448" i="6"/>
  <c r="Q448" i="6"/>
  <c r="X448" i="6"/>
  <c r="T448" i="6"/>
  <c r="S452" i="6"/>
  <c r="W452" i="6"/>
  <c r="Z452" i="6"/>
  <c r="V452" i="6"/>
  <c r="R452" i="6"/>
  <c r="Y452" i="6"/>
  <c r="U452" i="6"/>
  <c r="Q452" i="6"/>
  <c r="X452" i="6"/>
  <c r="T452" i="6"/>
  <c r="W456" i="6"/>
  <c r="S456" i="6"/>
  <c r="Z456" i="6"/>
  <c r="V456" i="6"/>
  <c r="R456" i="6"/>
  <c r="Y456" i="6"/>
  <c r="U456" i="6"/>
  <c r="Q456" i="6"/>
  <c r="X456" i="6"/>
  <c r="T456" i="6"/>
  <c r="S460" i="6"/>
  <c r="W460" i="6"/>
  <c r="Z460" i="6"/>
  <c r="V460" i="6"/>
  <c r="R460" i="6"/>
  <c r="Y460" i="6"/>
  <c r="U460" i="6"/>
  <c r="Q460" i="6"/>
  <c r="X460" i="6"/>
  <c r="T460" i="6"/>
  <c r="W464" i="6"/>
  <c r="S464" i="6"/>
  <c r="Z464" i="6"/>
  <c r="V464" i="6"/>
  <c r="R464" i="6"/>
  <c r="Y464" i="6"/>
  <c r="U464" i="6"/>
  <c r="Q464" i="6"/>
  <c r="X464" i="6"/>
  <c r="T464" i="6"/>
  <c r="S468" i="6"/>
  <c r="W468" i="6"/>
  <c r="Z468" i="6"/>
  <c r="V468" i="6"/>
  <c r="R468" i="6"/>
  <c r="Y468" i="6"/>
  <c r="U468" i="6"/>
  <c r="Q468" i="6"/>
  <c r="X468" i="6"/>
  <c r="T468" i="6"/>
  <c r="W472" i="6"/>
  <c r="S472" i="6"/>
  <c r="Z472" i="6"/>
  <c r="V472" i="6"/>
  <c r="R472" i="6"/>
  <c r="Y472" i="6"/>
  <c r="U472" i="6"/>
  <c r="Q472" i="6"/>
  <c r="X472" i="6"/>
  <c r="T472" i="6"/>
  <c r="S476" i="6"/>
  <c r="W476" i="6"/>
  <c r="Z476" i="6"/>
  <c r="V476" i="6"/>
  <c r="R476" i="6"/>
  <c r="Y476" i="6"/>
  <c r="U476" i="6"/>
  <c r="Q476" i="6"/>
  <c r="X476" i="6"/>
  <c r="T476" i="6"/>
  <c r="W480" i="6"/>
  <c r="S480" i="6"/>
  <c r="Z480" i="6"/>
  <c r="V480" i="6"/>
  <c r="R480" i="6"/>
  <c r="Y480" i="6"/>
  <c r="U480" i="6"/>
  <c r="Q480" i="6"/>
  <c r="X480" i="6"/>
  <c r="T480" i="6"/>
  <c r="S484" i="6"/>
  <c r="W484" i="6"/>
  <c r="Z484" i="6"/>
  <c r="V484" i="6"/>
  <c r="R484" i="6"/>
  <c r="Y484" i="6"/>
  <c r="U484" i="6"/>
  <c r="Q484" i="6"/>
  <c r="X484" i="6"/>
  <c r="T484" i="6"/>
  <c r="W488" i="6"/>
  <c r="S488" i="6"/>
  <c r="Z488" i="6"/>
  <c r="V488" i="6"/>
  <c r="R488" i="6"/>
  <c r="Y488" i="6"/>
  <c r="U488" i="6"/>
  <c r="Q488" i="6"/>
  <c r="X488" i="6"/>
  <c r="T488" i="6"/>
  <c r="S492" i="6"/>
  <c r="W492" i="6"/>
  <c r="Z492" i="6"/>
  <c r="V492" i="6"/>
  <c r="R492" i="6"/>
  <c r="Y492" i="6"/>
  <c r="U492" i="6"/>
  <c r="Q492" i="6"/>
  <c r="X492" i="6"/>
  <c r="T492" i="6"/>
  <c r="W496" i="6"/>
  <c r="S496" i="6"/>
  <c r="Z496" i="6"/>
  <c r="V496" i="6"/>
  <c r="R496" i="6"/>
  <c r="Y496" i="6"/>
  <c r="U496" i="6"/>
  <c r="Q496" i="6"/>
  <c r="X496" i="6"/>
  <c r="T496" i="6"/>
  <c r="S500" i="6"/>
  <c r="W500" i="6"/>
  <c r="Z500" i="6"/>
  <c r="V500" i="6"/>
  <c r="R500" i="6"/>
  <c r="Y500" i="6"/>
  <c r="U500" i="6"/>
  <c r="Q500" i="6"/>
  <c r="X500" i="6"/>
  <c r="T500" i="6"/>
  <c r="W504" i="6"/>
  <c r="S504" i="6"/>
  <c r="Z504" i="6"/>
  <c r="V504" i="6"/>
  <c r="R504" i="6"/>
  <c r="Y504" i="6"/>
  <c r="U504" i="6"/>
  <c r="Q504" i="6"/>
  <c r="X504" i="6"/>
  <c r="T504" i="6"/>
  <c r="S508" i="6"/>
  <c r="W508" i="6"/>
  <c r="Z508" i="6"/>
  <c r="V508" i="6"/>
  <c r="R508" i="6"/>
  <c r="Y508" i="6"/>
  <c r="U508" i="6"/>
  <c r="Q508" i="6"/>
  <c r="X508" i="6"/>
  <c r="T508" i="6"/>
  <c r="W512" i="6"/>
  <c r="S512" i="6"/>
  <c r="Z512" i="6"/>
  <c r="V512" i="6"/>
  <c r="R512" i="6"/>
  <c r="Y512" i="6"/>
  <c r="U512" i="6"/>
  <c r="Q512" i="6"/>
  <c r="X512" i="6"/>
  <c r="T512" i="6"/>
  <c r="S516" i="6"/>
  <c r="W516" i="6"/>
  <c r="Z516" i="6"/>
  <c r="V516" i="6"/>
  <c r="R516" i="6"/>
  <c r="Y516" i="6"/>
  <c r="U516" i="6"/>
  <c r="Q516" i="6"/>
  <c r="X516" i="6"/>
  <c r="T516" i="6"/>
  <c r="W520" i="6"/>
  <c r="S520" i="6"/>
  <c r="Z520" i="6"/>
  <c r="V520" i="6"/>
  <c r="R520" i="6"/>
  <c r="Y520" i="6"/>
  <c r="U520" i="6"/>
  <c r="Q520" i="6"/>
  <c r="X520" i="6"/>
  <c r="T520" i="6"/>
  <c r="Y524" i="6"/>
  <c r="S524" i="6"/>
  <c r="W524" i="6"/>
  <c r="U524" i="6"/>
  <c r="Z524" i="6"/>
  <c r="V524" i="6"/>
  <c r="R524" i="6"/>
  <c r="Q524" i="6"/>
  <c r="X524" i="6"/>
  <c r="T524" i="6"/>
  <c r="Q528" i="6"/>
  <c r="X528" i="6"/>
  <c r="T528" i="6"/>
  <c r="U528" i="6"/>
  <c r="W528" i="6"/>
  <c r="S528" i="6"/>
  <c r="Y528" i="6"/>
  <c r="Z528" i="6"/>
  <c r="V528" i="6"/>
  <c r="R528" i="6"/>
  <c r="Y532" i="6"/>
  <c r="X532" i="6"/>
  <c r="T532" i="6"/>
  <c r="Q532" i="6"/>
  <c r="W532" i="6"/>
  <c r="S532" i="6"/>
  <c r="U532" i="6"/>
  <c r="Z532" i="6"/>
  <c r="V532" i="6"/>
  <c r="R532" i="6"/>
  <c r="Y536" i="6"/>
  <c r="X536" i="6"/>
  <c r="T536" i="6"/>
  <c r="U536" i="6"/>
  <c r="W536" i="6"/>
  <c r="S536" i="6"/>
  <c r="Q536" i="6"/>
  <c r="Z536" i="6"/>
  <c r="V536" i="6"/>
  <c r="R536" i="6"/>
  <c r="U540" i="6"/>
  <c r="X540" i="6"/>
  <c r="T540" i="6"/>
  <c r="Q540" i="6"/>
  <c r="W540" i="6"/>
  <c r="S540" i="6"/>
  <c r="Y540" i="6"/>
  <c r="Z540" i="6"/>
  <c r="V540" i="6"/>
  <c r="R540" i="6"/>
  <c r="U544" i="6"/>
  <c r="X544" i="6"/>
  <c r="T544" i="6"/>
  <c r="Y544" i="6"/>
  <c r="W544" i="6"/>
  <c r="S544" i="6"/>
  <c r="Q544" i="6"/>
  <c r="Z544" i="6"/>
  <c r="V544" i="6"/>
  <c r="R544" i="6"/>
  <c r="U548" i="6"/>
  <c r="X548" i="6"/>
  <c r="T548" i="6"/>
  <c r="Y548" i="6"/>
  <c r="W548" i="6"/>
  <c r="S548" i="6"/>
  <c r="Q548" i="6"/>
  <c r="Z548" i="6"/>
  <c r="V548" i="6"/>
  <c r="R548" i="6"/>
  <c r="Q552" i="6"/>
  <c r="X552" i="6"/>
  <c r="T552" i="6"/>
  <c r="Y552" i="6"/>
  <c r="W552" i="6"/>
  <c r="S552" i="6"/>
  <c r="U552" i="6"/>
  <c r="Z552" i="6"/>
  <c r="V552" i="6"/>
  <c r="R552" i="6"/>
  <c r="Q556" i="6"/>
  <c r="X556" i="6"/>
  <c r="T556" i="6"/>
  <c r="U556" i="6"/>
  <c r="W556" i="6"/>
  <c r="S556" i="6"/>
  <c r="Y556" i="6"/>
  <c r="Z556" i="6"/>
  <c r="V556" i="6"/>
  <c r="R556" i="6"/>
  <c r="Y560" i="6"/>
  <c r="X560" i="6"/>
  <c r="T560" i="6"/>
  <c r="Q560" i="6"/>
  <c r="W560" i="6"/>
  <c r="S560" i="6"/>
  <c r="U560" i="6"/>
  <c r="Z560" i="6"/>
  <c r="V560" i="6"/>
  <c r="R560" i="6"/>
  <c r="Y564" i="6"/>
  <c r="Q564" i="6"/>
  <c r="X564" i="6"/>
  <c r="T564" i="6"/>
  <c r="U564" i="6"/>
  <c r="W564" i="6"/>
  <c r="S564" i="6"/>
  <c r="Z564" i="6"/>
  <c r="V564" i="6"/>
  <c r="R564" i="6"/>
  <c r="U568" i="6"/>
  <c r="X568" i="6"/>
  <c r="T568" i="6"/>
  <c r="Q568" i="6"/>
  <c r="W568" i="6"/>
  <c r="S568" i="6"/>
  <c r="Y568" i="6"/>
  <c r="Z568" i="6"/>
  <c r="V568" i="6"/>
  <c r="R568" i="6"/>
  <c r="Q572" i="6"/>
  <c r="X572" i="6"/>
  <c r="T572" i="6"/>
  <c r="Y572" i="6"/>
  <c r="W572" i="6"/>
  <c r="S572" i="6"/>
  <c r="U572" i="6"/>
  <c r="Z572" i="6"/>
  <c r="V572" i="6"/>
  <c r="R572" i="6"/>
  <c r="Y576" i="6"/>
  <c r="X576" i="6"/>
  <c r="T576" i="6"/>
  <c r="Q576" i="6"/>
  <c r="W576" i="6"/>
  <c r="S576" i="6"/>
  <c r="U576" i="6"/>
  <c r="Z576" i="6"/>
  <c r="V576" i="6"/>
  <c r="R576" i="6"/>
  <c r="Q580" i="6"/>
  <c r="X580" i="6"/>
  <c r="T580" i="6"/>
  <c r="Y580" i="6"/>
  <c r="W580" i="6"/>
  <c r="S580" i="6"/>
  <c r="U580" i="6"/>
  <c r="Z580" i="6"/>
  <c r="V580" i="6"/>
  <c r="R580" i="6"/>
  <c r="Y584" i="6"/>
  <c r="Q584" i="6"/>
  <c r="X584" i="6"/>
  <c r="T584" i="6"/>
  <c r="U584" i="6"/>
  <c r="W584" i="6"/>
  <c r="S584" i="6"/>
  <c r="Z584" i="6"/>
  <c r="V584" i="6"/>
  <c r="R584" i="6"/>
  <c r="Y588" i="6"/>
  <c r="X588" i="6"/>
  <c r="T588" i="6"/>
  <c r="Q588" i="6"/>
  <c r="W588" i="6"/>
  <c r="S588" i="6"/>
  <c r="U588" i="6"/>
  <c r="Z588" i="6"/>
  <c r="V588" i="6"/>
  <c r="R588" i="6"/>
  <c r="Q592" i="6"/>
  <c r="X592" i="6"/>
  <c r="T592" i="6"/>
  <c r="U592" i="6"/>
  <c r="W592" i="6"/>
  <c r="S592" i="6"/>
  <c r="Y592" i="6"/>
  <c r="Z592" i="6"/>
  <c r="V592" i="6"/>
  <c r="R592" i="6"/>
  <c r="U604" i="6"/>
  <c r="X604" i="6"/>
  <c r="T604" i="6"/>
  <c r="Y604" i="6"/>
  <c r="W604" i="6"/>
  <c r="Q604" i="6"/>
  <c r="S604" i="6"/>
  <c r="Z604" i="6"/>
  <c r="V604" i="6"/>
  <c r="R604" i="6"/>
  <c r="V5" i="6"/>
  <c r="R5" i="6"/>
  <c r="Z5" i="6"/>
  <c r="Y5" i="6"/>
  <c r="U5" i="6"/>
  <c r="Q5" i="6"/>
  <c r="X5" i="6"/>
  <c r="T5" i="6"/>
  <c r="W5" i="6"/>
  <c r="S5" i="6"/>
  <c r="Z9" i="6"/>
  <c r="V9" i="6"/>
  <c r="R9" i="6"/>
  <c r="Y9" i="6"/>
  <c r="U9" i="6"/>
  <c r="Q9" i="6"/>
  <c r="X9" i="6"/>
  <c r="T9" i="6"/>
  <c r="W9" i="6"/>
  <c r="S9" i="6"/>
  <c r="V13" i="6"/>
  <c r="R13" i="6"/>
  <c r="Z13" i="6"/>
  <c r="Y13" i="6"/>
  <c r="U13" i="6"/>
  <c r="Q13" i="6"/>
  <c r="X13" i="6"/>
  <c r="T13" i="6"/>
  <c r="W13" i="6"/>
  <c r="S13" i="6"/>
  <c r="Z17" i="6"/>
  <c r="V17" i="6"/>
  <c r="R17" i="6"/>
  <c r="Y17" i="6"/>
  <c r="U17" i="6"/>
  <c r="Q17" i="6"/>
  <c r="X17" i="6"/>
  <c r="T17" i="6"/>
  <c r="W17" i="6"/>
  <c r="S17" i="6"/>
  <c r="V21" i="6"/>
  <c r="R21" i="6"/>
  <c r="Z21" i="6"/>
  <c r="Y21" i="6"/>
  <c r="U21" i="6"/>
  <c r="Q21" i="6"/>
  <c r="X21" i="6"/>
  <c r="T21" i="6"/>
  <c r="W21" i="6"/>
  <c r="S21" i="6"/>
  <c r="Z25" i="6"/>
  <c r="V25" i="6"/>
  <c r="R25" i="6"/>
  <c r="Y25" i="6"/>
  <c r="U25" i="6"/>
  <c r="Q25" i="6"/>
  <c r="X25" i="6"/>
  <c r="T25" i="6"/>
  <c r="W25" i="6"/>
  <c r="S25" i="6"/>
  <c r="V29" i="6"/>
  <c r="R29" i="6"/>
  <c r="Z29" i="6"/>
  <c r="Y29" i="6"/>
  <c r="U29" i="6"/>
  <c r="Q29" i="6"/>
  <c r="X29" i="6"/>
  <c r="T29" i="6"/>
  <c r="W29" i="6"/>
  <c r="S29" i="6"/>
  <c r="Z33" i="6"/>
  <c r="V33" i="6"/>
  <c r="R33" i="6"/>
  <c r="Y33" i="6"/>
  <c r="U33" i="6"/>
  <c r="Q33" i="6"/>
  <c r="X33" i="6"/>
  <c r="T33" i="6"/>
  <c r="W33" i="6"/>
  <c r="S33" i="6"/>
  <c r="S37" i="6"/>
  <c r="Z37" i="6"/>
  <c r="R37" i="6"/>
  <c r="W37" i="6"/>
  <c r="V37" i="6"/>
  <c r="Y37" i="6"/>
  <c r="U37" i="6"/>
  <c r="Q37" i="6"/>
  <c r="X37" i="6"/>
  <c r="T37" i="6"/>
  <c r="S41" i="6"/>
  <c r="X41" i="6"/>
  <c r="W41" i="6"/>
  <c r="R41" i="6"/>
  <c r="V41" i="6"/>
  <c r="Z41" i="6"/>
  <c r="T41" i="6"/>
  <c r="Y41" i="6"/>
  <c r="U41" i="6"/>
  <c r="Q41" i="6"/>
  <c r="V45" i="6"/>
  <c r="Z45" i="6"/>
  <c r="T45" i="6"/>
  <c r="X45" i="6"/>
  <c r="S45" i="6"/>
  <c r="W45" i="6"/>
  <c r="R45" i="6"/>
  <c r="Y45" i="6"/>
  <c r="U45" i="6"/>
  <c r="Q45" i="6"/>
  <c r="X49" i="6"/>
  <c r="S49" i="6"/>
  <c r="W49" i="6"/>
  <c r="R49" i="6"/>
  <c r="V49" i="6"/>
  <c r="Z49" i="6"/>
  <c r="T49" i="6"/>
  <c r="Y49" i="6"/>
  <c r="U49" i="6"/>
  <c r="Q49" i="6"/>
  <c r="V53" i="6"/>
  <c r="Z53" i="6"/>
  <c r="T53" i="6"/>
  <c r="X53" i="6"/>
  <c r="S53" i="6"/>
  <c r="W53" i="6"/>
  <c r="R53" i="6"/>
  <c r="Y53" i="6"/>
  <c r="U53" i="6"/>
  <c r="Q53" i="6"/>
  <c r="U57" i="6"/>
  <c r="Q57" i="6"/>
  <c r="Y57" i="6"/>
  <c r="X57" i="6"/>
  <c r="T57" i="6"/>
  <c r="W57" i="6"/>
  <c r="S57" i="6"/>
  <c r="Z57" i="6"/>
  <c r="V57" i="6"/>
  <c r="R57" i="6"/>
  <c r="U61" i="6"/>
  <c r="Y61" i="6"/>
  <c r="Q61" i="6"/>
  <c r="X61" i="6"/>
  <c r="T61" i="6"/>
  <c r="W61" i="6"/>
  <c r="S61" i="6"/>
  <c r="Z61" i="6"/>
  <c r="V61" i="6"/>
  <c r="R61" i="6"/>
  <c r="U65" i="6"/>
  <c r="Y65" i="6"/>
  <c r="Q65" i="6"/>
  <c r="X65" i="6"/>
  <c r="T65" i="6"/>
  <c r="W65" i="6"/>
  <c r="S65" i="6"/>
  <c r="Z65" i="6"/>
  <c r="V65" i="6"/>
  <c r="R65" i="6"/>
  <c r="Y69" i="6"/>
  <c r="U69" i="6"/>
  <c r="Q69" i="6"/>
  <c r="T69" i="6"/>
  <c r="X69" i="6"/>
  <c r="W69" i="6"/>
  <c r="S69" i="6"/>
  <c r="Z69" i="6"/>
  <c r="V69" i="6"/>
  <c r="R69" i="6"/>
  <c r="U73" i="6"/>
  <c r="Q73" i="6"/>
  <c r="Y73" i="6"/>
  <c r="T73" i="6"/>
  <c r="X73" i="6"/>
  <c r="W73" i="6"/>
  <c r="S73" i="6"/>
  <c r="Z73" i="6"/>
  <c r="V73" i="6"/>
  <c r="R73" i="6"/>
  <c r="Y77" i="6"/>
  <c r="U77" i="6"/>
  <c r="Q77" i="6"/>
  <c r="T77" i="6"/>
  <c r="X77" i="6"/>
  <c r="W77" i="6"/>
  <c r="S77" i="6"/>
  <c r="Z77" i="6"/>
  <c r="V77" i="6"/>
  <c r="R77" i="6"/>
  <c r="X81" i="6"/>
  <c r="U81" i="6"/>
  <c r="R81" i="6"/>
  <c r="Z81" i="6"/>
  <c r="V81" i="6"/>
  <c r="Q81" i="6"/>
  <c r="Y81" i="6"/>
  <c r="T81" i="6"/>
  <c r="W81" i="6"/>
  <c r="S81" i="6"/>
  <c r="V85" i="6"/>
  <c r="T85" i="6"/>
  <c r="Z85" i="6"/>
  <c r="R85" i="6"/>
  <c r="X85" i="6"/>
  <c r="Y85" i="6"/>
  <c r="U85" i="6"/>
  <c r="Q85" i="6"/>
  <c r="W85" i="6"/>
  <c r="S85" i="6"/>
  <c r="V89" i="6"/>
  <c r="T89" i="6"/>
  <c r="Z89" i="6"/>
  <c r="R89" i="6"/>
  <c r="X89" i="6"/>
  <c r="Y89" i="6"/>
  <c r="U89" i="6"/>
  <c r="Q89" i="6"/>
  <c r="W89" i="6"/>
  <c r="S89" i="6"/>
  <c r="V93" i="6"/>
  <c r="T93" i="6"/>
  <c r="Z93" i="6"/>
  <c r="R93" i="6"/>
  <c r="X93" i="6"/>
  <c r="Y93" i="6"/>
  <c r="U93" i="6"/>
  <c r="Q93" i="6"/>
  <c r="W93" i="6"/>
  <c r="S93" i="6"/>
  <c r="V97" i="6"/>
  <c r="T97" i="6"/>
  <c r="Z97" i="6"/>
  <c r="R97" i="6"/>
  <c r="X97" i="6"/>
  <c r="Y97" i="6"/>
  <c r="U97" i="6"/>
  <c r="Q97" i="6"/>
  <c r="W97" i="6"/>
  <c r="S97" i="6"/>
  <c r="V101" i="6"/>
  <c r="T101" i="6"/>
  <c r="Z101" i="6"/>
  <c r="R101" i="6"/>
  <c r="X101" i="6"/>
  <c r="Y101" i="6"/>
  <c r="U101" i="6"/>
  <c r="Q101" i="6"/>
  <c r="W101" i="6"/>
  <c r="S101" i="6"/>
  <c r="V105" i="6"/>
  <c r="T105" i="6"/>
  <c r="Z105" i="6"/>
  <c r="R105" i="6"/>
  <c r="X105" i="6"/>
  <c r="Y105" i="6"/>
  <c r="U105" i="6"/>
  <c r="Q105" i="6"/>
  <c r="W105" i="6"/>
  <c r="S105" i="6"/>
  <c r="V109" i="6"/>
  <c r="T109" i="6"/>
  <c r="Z109" i="6"/>
  <c r="R109" i="6"/>
  <c r="X109" i="6"/>
  <c r="Y109" i="6"/>
  <c r="U109" i="6"/>
  <c r="Q109" i="6"/>
  <c r="W109" i="6"/>
  <c r="S109" i="6"/>
  <c r="V113" i="6"/>
  <c r="T113" i="6"/>
  <c r="Z113" i="6"/>
  <c r="R113" i="6"/>
  <c r="X113" i="6"/>
  <c r="Y113" i="6"/>
  <c r="U113" i="6"/>
  <c r="Q113" i="6"/>
  <c r="W113" i="6"/>
  <c r="S113" i="6"/>
  <c r="W117" i="6"/>
  <c r="R117" i="6"/>
  <c r="V117" i="6"/>
  <c r="Z117" i="6"/>
  <c r="T117" i="6"/>
  <c r="X117" i="6"/>
  <c r="S117" i="6"/>
  <c r="Y117" i="6"/>
  <c r="U117" i="6"/>
  <c r="Q117" i="6"/>
  <c r="Z121" i="6"/>
  <c r="T121" i="6"/>
  <c r="X121" i="6"/>
  <c r="S121" i="6"/>
  <c r="W121" i="6"/>
  <c r="R121" i="6"/>
  <c r="V121" i="6"/>
  <c r="Y121" i="6"/>
  <c r="U121" i="6"/>
  <c r="Q121" i="6"/>
  <c r="R125" i="6"/>
  <c r="W125" i="6"/>
  <c r="V125" i="6"/>
  <c r="Z125" i="6"/>
  <c r="T125" i="6"/>
  <c r="X125" i="6"/>
  <c r="S125" i="6"/>
  <c r="Y125" i="6"/>
  <c r="U125" i="6"/>
  <c r="Q125" i="6"/>
  <c r="X129" i="6"/>
  <c r="T129" i="6"/>
  <c r="W129" i="6"/>
  <c r="S129" i="6"/>
  <c r="Z129" i="6"/>
  <c r="V129" i="6"/>
  <c r="R129" i="6"/>
  <c r="Y129" i="6"/>
  <c r="U129" i="6"/>
  <c r="Q129" i="6"/>
  <c r="T133" i="6"/>
  <c r="X133" i="6"/>
  <c r="W133" i="6"/>
  <c r="S133" i="6"/>
  <c r="Z133" i="6"/>
  <c r="V133" i="6"/>
  <c r="R133" i="6"/>
  <c r="Y133" i="6"/>
  <c r="U133" i="6"/>
  <c r="Q133" i="6"/>
  <c r="X137" i="6"/>
  <c r="T137" i="6"/>
  <c r="W137" i="6"/>
  <c r="S137" i="6"/>
  <c r="Z137" i="6"/>
  <c r="V137" i="6"/>
  <c r="R137" i="6"/>
  <c r="Y137" i="6"/>
  <c r="U137" i="6"/>
  <c r="Q137" i="6"/>
  <c r="T141" i="6"/>
  <c r="X141" i="6"/>
  <c r="W141" i="6"/>
  <c r="S141" i="6"/>
  <c r="Z141" i="6"/>
  <c r="V141" i="6"/>
  <c r="R141" i="6"/>
  <c r="Y141" i="6"/>
  <c r="U141" i="6"/>
  <c r="Q141" i="6"/>
  <c r="X145" i="6"/>
  <c r="T145" i="6"/>
  <c r="W145" i="6"/>
  <c r="S145" i="6"/>
  <c r="Z145" i="6"/>
  <c r="V145" i="6"/>
  <c r="R145" i="6"/>
  <c r="Y145" i="6"/>
  <c r="U145" i="6"/>
  <c r="Q145" i="6"/>
  <c r="T149" i="6"/>
  <c r="X149" i="6"/>
  <c r="W149" i="6"/>
  <c r="S149" i="6"/>
  <c r="Z149" i="6"/>
  <c r="V149" i="6"/>
  <c r="R149" i="6"/>
  <c r="Y149" i="6"/>
  <c r="U149" i="6"/>
  <c r="Q149" i="6"/>
  <c r="X153" i="6"/>
  <c r="T153" i="6"/>
  <c r="W153" i="6"/>
  <c r="S153" i="6"/>
  <c r="Z153" i="6"/>
  <c r="V153" i="6"/>
  <c r="R153" i="6"/>
  <c r="Y153" i="6"/>
  <c r="U153" i="6"/>
  <c r="Q153" i="6"/>
  <c r="T157" i="6"/>
  <c r="X157" i="6"/>
  <c r="W157" i="6"/>
  <c r="S157" i="6"/>
  <c r="Z157" i="6"/>
  <c r="V157" i="6"/>
  <c r="R157" i="6"/>
  <c r="Y157" i="6"/>
  <c r="U157" i="6"/>
  <c r="Q157" i="6"/>
  <c r="X161" i="6"/>
  <c r="T161" i="6"/>
  <c r="W161" i="6"/>
  <c r="S161" i="6"/>
  <c r="Z161" i="6"/>
  <c r="V161" i="6"/>
  <c r="R161" i="6"/>
  <c r="Y161" i="6"/>
  <c r="U161" i="6"/>
  <c r="Q161" i="6"/>
  <c r="T165" i="6"/>
  <c r="X165" i="6"/>
  <c r="W165" i="6"/>
  <c r="S165" i="6"/>
  <c r="Z165" i="6"/>
  <c r="V165" i="6"/>
  <c r="R165" i="6"/>
  <c r="Y165" i="6"/>
  <c r="U165" i="6"/>
  <c r="Q165" i="6"/>
  <c r="X169" i="6"/>
  <c r="T169" i="6"/>
  <c r="W169" i="6"/>
  <c r="S169" i="6"/>
  <c r="Z169" i="6"/>
  <c r="V169" i="6"/>
  <c r="R169" i="6"/>
  <c r="Y169" i="6"/>
  <c r="U169" i="6"/>
  <c r="Q169" i="6"/>
  <c r="T173" i="6"/>
  <c r="X173" i="6"/>
  <c r="W173" i="6"/>
  <c r="S173" i="6"/>
  <c r="Z173" i="6"/>
  <c r="V173" i="6"/>
  <c r="R173" i="6"/>
  <c r="Y173" i="6"/>
  <c r="U173" i="6"/>
  <c r="Q173" i="6"/>
  <c r="X177" i="6"/>
  <c r="T177" i="6"/>
  <c r="W177" i="6"/>
  <c r="S177" i="6"/>
  <c r="Z177" i="6"/>
  <c r="V177" i="6"/>
  <c r="R177" i="6"/>
  <c r="Y177" i="6"/>
  <c r="U177" i="6"/>
  <c r="Q177" i="6"/>
  <c r="T181" i="6"/>
  <c r="X181" i="6"/>
  <c r="W181" i="6"/>
  <c r="S181" i="6"/>
  <c r="Z181" i="6"/>
  <c r="V181" i="6"/>
  <c r="R181" i="6"/>
  <c r="Y181" i="6"/>
  <c r="U181" i="6"/>
  <c r="Q181" i="6"/>
  <c r="X185" i="6"/>
  <c r="T185" i="6"/>
  <c r="W185" i="6"/>
  <c r="S185" i="6"/>
  <c r="Z185" i="6"/>
  <c r="V185" i="6"/>
  <c r="R185" i="6"/>
  <c r="Y185" i="6"/>
  <c r="U185" i="6"/>
  <c r="Q185" i="6"/>
  <c r="T189" i="6"/>
  <c r="X189" i="6"/>
  <c r="W189" i="6"/>
  <c r="S189" i="6"/>
  <c r="Z189" i="6"/>
  <c r="V189" i="6"/>
  <c r="R189" i="6"/>
  <c r="Y189" i="6"/>
  <c r="U189" i="6"/>
  <c r="Q189" i="6"/>
  <c r="X193" i="6"/>
  <c r="T193" i="6"/>
  <c r="W193" i="6"/>
  <c r="S193" i="6"/>
  <c r="Z193" i="6"/>
  <c r="V193" i="6"/>
  <c r="R193" i="6"/>
  <c r="Y193" i="6"/>
  <c r="U193" i="6"/>
  <c r="Q193" i="6"/>
  <c r="X197" i="6"/>
  <c r="T197" i="6"/>
  <c r="W197" i="6"/>
  <c r="S197" i="6"/>
  <c r="Z197" i="6"/>
  <c r="V197" i="6"/>
  <c r="R197" i="6"/>
  <c r="Y197" i="6"/>
  <c r="U197" i="6"/>
  <c r="Q197" i="6"/>
  <c r="X201" i="6"/>
  <c r="T201" i="6"/>
  <c r="W201" i="6"/>
  <c r="S201" i="6"/>
  <c r="Z201" i="6"/>
  <c r="V201" i="6"/>
  <c r="R201" i="6"/>
  <c r="Y201" i="6"/>
  <c r="U201" i="6"/>
  <c r="Q201" i="6"/>
  <c r="X205" i="6"/>
  <c r="T205" i="6"/>
  <c r="W205" i="6"/>
  <c r="S205" i="6"/>
  <c r="Z205" i="6"/>
  <c r="V205" i="6"/>
  <c r="R205" i="6"/>
  <c r="Y205" i="6"/>
  <c r="U205" i="6"/>
  <c r="Q205" i="6"/>
  <c r="X209" i="6"/>
  <c r="T209" i="6"/>
  <c r="W209" i="6"/>
  <c r="S209" i="6"/>
  <c r="Z209" i="6"/>
  <c r="V209" i="6"/>
  <c r="R209" i="6"/>
  <c r="Y209" i="6"/>
  <c r="U209" i="6"/>
  <c r="Q209" i="6"/>
  <c r="X213" i="6"/>
  <c r="T213" i="6"/>
  <c r="W213" i="6"/>
  <c r="S213" i="6"/>
  <c r="Z213" i="6"/>
  <c r="V213" i="6"/>
  <c r="R213" i="6"/>
  <c r="Y213" i="6"/>
  <c r="U213" i="6"/>
  <c r="Q213" i="6"/>
  <c r="X217" i="6"/>
  <c r="T217" i="6"/>
  <c r="W217" i="6"/>
  <c r="S217" i="6"/>
  <c r="Z217" i="6"/>
  <c r="V217" i="6"/>
  <c r="R217" i="6"/>
  <c r="Y217" i="6"/>
  <c r="U217" i="6"/>
  <c r="Q217" i="6"/>
  <c r="X221" i="6"/>
  <c r="T221" i="6"/>
  <c r="W221" i="6"/>
  <c r="S221" i="6"/>
  <c r="Z221" i="6"/>
  <c r="V221" i="6"/>
  <c r="R221" i="6"/>
  <c r="Y221" i="6"/>
  <c r="U221" i="6"/>
  <c r="Q221" i="6"/>
  <c r="X225" i="6"/>
  <c r="T225" i="6"/>
  <c r="W225" i="6"/>
  <c r="S225" i="6"/>
  <c r="Z225" i="6"/>
  <c r="V225" i="6"/>
  <c r="R225" i="6"/>
  <c r="Y225" i="6"/>
  <c r="U225" i="6"/>
  <c r="Q225" i="6"/>
  <c r="X229" i="6"/>
  <c r="T229" i="6"/>
  <c r="W229" i="6"/>
  <c r="S229" i="6"/>
  <c r="Z229" i="6"/>
  <c r="V229" i="6"/>
  <c r="R229" i="6"/>
  <c r="Y229" i="6"/>
  <c r="U229" i="6"/>
  <c r="Q229" i="6"/>
  <c r="X233" i="6"/>
  <c r="T233" i="6"/>
  <c r="W233" i="6"/>
  <c r="S233" i="6"/>
  <c r="Z233" i="6"/>
  <c r="V233" i="6"/>
  <c r="R233" i="6"/>
  <c r="Y233" i="6"/>
  <c r="U233" i="6"/>
  <c r="Q233" i="6"/>
  <c r="X237" i="6"/>
  <c r="T237" i="6"/>
  <c r="W237" i="6"/>
  <c r="S237" i="6"/>
  <c r="Z237" i="6"/>
  <c r="V237" i="6"/>
  <c r="R237" i="6"/>
  <c r="Y237" i="6"/>
  <c r="U237" i="6"/>
  <c r="Q237" i="6"/>
  <c r="X241" i="6"/>
  <c r="T241" i="6"/>
  <c r="W241" i="6"/>
  <c r="S241" i="6"/>
  <c r="Z241" i="6"/>
  <c r="V241" i="6"/>
  <c r="R241" i="6"/>
  <c r="Y241" i="6"/>
  <c r="U241" i="6"/>
  <c r="Q241" i="6"/>
  <c r="X245" i="6"/>
  <c r="T245" i="6"/>
  <c r="W245" i="6"/>
  <c r="S245" i="6"/>
  <c r="Z245" i="6"/>
  <c r="V245" i="6"/>
  <c r="R245" i="6"/>
  <c r="Y245" i="6"/>
  <c r="U245" i="6"/>
  <c r="Q245" i="6"/>
  <c r="X249" i="6"/>
  <c r="T249" i="6"/>
  <c r="W249" i="6"/>
  <c r="S249" i="6"/>
  <c r="Z249" i="6"/>
  <c r="V249" i="6"/>
  <c r="R249" i="6"/>
  <c r="Y249" i="6"/>
  <c r="U249" i="6"/>
  <c r="Q249" i="6"/>
  <c r="X253" i="6"/>
  <c r="T253" i="6"/>
  <c r="W253" i="6"/>
  <c r="S253" i="6"/>
  <c r="Z253" i="6"/>
  <c r="V253" i="6"/>
  <c r="R253" i="6"/>
  <c r="Y253" i="6"/>
  <c r="U253" i="6"/>
  <c r="Q253" i="6"/>
  <c r="X257" i="6"/>
  <c r="T257" i="6"/>
  <c r="W257" i="6"/>
  <c r="S257" i="6"/>
  <c r="Z257" i="6"/>
  <c r="V257" i="6"/>
  <c r="R257" i="6"/>
  <c r="Y257" i="6"/>
  <c r="U257" i="6"/>
  <c r="Q257" i="6"/>
  <c r="X261" i="6"/>
  <c r="T261" i="6"/>
  <c r="W261" i="6"/>
  <c r="S261" i="6"/>
  <c r="Z261" i="6"/>
  <c r="V261" i="6"/>
  <c r="R261" i="6"/>
  <c r="Y261" i="6"/>
  <c r="U261" i="6"/>
  <c r="Q261" i="6"/>
  <c r="X265" i="6"/>
  <c r="T265" i="6"/>
  <c r="W265" i="6"/>
  <c r="S265" i="6"/>
  <c r="Z265" i="6"/>
  <c r="V265" i="6"/>
  <c r="R265" i="6"/>
  <c r="Y265" i="6"/>
  <c r="U265" i="6"/>
  <c r="Q265" i="6"/>
  <c r="X269" i="6"/>
  <c r="U269" i="6"/>
  <c r="T269" i="6"/>
  <c r="Y269" i="6"/>
  <c r="Q269" i="6"/>
  <c r="W269" i="6"/>
  <c r="S269" i="6"/>
  <c r="Z269" i="6"/>
  <c r="V269" i="6"/>
  <c r="R269" i="6"/>
  <c r="Z273" i="6"/>
  <c r="V273" i="6"/>
  <c r="R273" i="6"/>
  <c r="Y273" i="6"/>
  <c r="U273" i="6"/>
  <c r="Q273" i="6"/>
  <c r="X273" i="6"/>
  <c r="T273" i="6"/>
  <c r="W273" i="6"/>
  <c r="S273" i="6"/>
  <c r="V277" i="6"/>
  <c r="R277" i="6"/>
  <c r="Z277" i="6"/>
  <c r="Y277" i="6"/>
  <c r="U277" i="6"/>
  <c r="Q277" i="6"/>
  <c r="X277" i="6"/>
  <c r="T277" i="6"/>
  <c r="W277" i="6"/>
  <c r="S277" i="6"/>
  <c r="Z281" i="6"/>
  <c r="V281" i="6"/>
  <c r="R281" i="6"/>
  <c r="Y281" i="6"/>
  <c r="U281" i="6"/>
  <c r="Q281" i="6"/>
  <c r="X281" i="6"/>
  <c r="T281" i="6"/>
  <c r="W281" i="6"/>
  <c r="S281" i="6"/>
  <c r="V285" i="6"/>
  <c r="R285" i="6"/>
  <c r="Z285" i="6"/>
  <c r="Y285" i="6"/>
  <c r="U285" i="6"/>
  <c r="Q285" i="6"/>
  <c r="X285" i="6"/>
  <c r="T285" i="6"/>
  <c r="W285" i="6"/>
  <c r="S285" i="6"/>
  <c r="Z289" i="6"/>
  <c r="V289" i="6"/>
  <c r="R289" i="6"/>
  <c r="Y289" i="6"/>
  <c r="U289" i="6"/>
  <c r="Q289" i="6"/>
  <c r="X289" i="6"/>
  <c r="T289" i="6"/>
  <c r="W289" i="6"/>
  <c r="S289" i="6"/>
  <c r="V293" i="6"/>
  <c r="R293" i="6"/>
  <c r="Z293" i="6"/>
  <c r="Y293" i="6"/>
  <c r="U293" i="6"/>
  <c r="Q293" i="6"/>
  <c r="X293" i="6"/>
  <c r="T293" i="6"/>
  <c r="W293" i="6"/>
  <c r="S293" i="6"/>
  <c r="Z297" i="6"/>
  <c r="V297" i="6"/>
  <c r="R297" i="6"/>
  <c r="Y297" i="6"/>
  <c r="U297" i="6"/>
  <c r="Q297" i="6"/>
  <c r="X297" i="6"/>
  <c r="T297" i="6"/>
  <c r="W297" i="6"/>
  <c r="S297" i="6"/>
  <c r="V301" i="6"/>
  <c r="R301" i="6"/>
  <c r="Z301" i="6"/>
  <c r="Y301" i="6"/>
  <c r="U301" i="6"/>
  <c r="Q301" i="6"/>
  <c r="X301" i="6"/>
  <c r="T301" i="6"/>
  <c r="W301" i="6"/>
  <c r="S301" i="6"/>
  <c r="Z305" i="6"/>
  <c r="V305" i="6"/>
  <c r="R305" i="6"/>
  <c r="Y305" i="6"/>
  <c r="U305" i="6"/>
  <c r="Q305" i="6"/>
  <c r="X305" i="6"/>
  <c r="T305" i="6"/>
  <c r="W305" i="6"/>
  <c r="S305" i="6"/>
  <c r="V309" i="6"/>
  <c r="R309" i="6"/>
  <c r="Z309" i="6"/>
  <c r="Y309" i="6"/>
  <c r="U309" i="6"/>
  <c r="Q309" i="6"/>
  <c r="X309" i="6"/>
  <c r="T309" i="6"/>
  <c r="W309" i="6"/>
  <c r="S309" i="6"/>
  <c r="Z313" i="6"/>
  <c r="V313" i="6"/>
  <c r="R313" i="6"/>
  <c r="Y313" i="6"/>
  <c r="U313" i="6"/>
  <c r="Q313" i="6"/>
  <c r="X313" i="6"/>
  <c r="T313" i="6"/>
  <c r="W313" i="6"/>
  <c r="S313" i="6"/>
  <c r="V317" i="6"/>
  <c r="R317" i="6"/>
  <c r="Z317" i="6"/>
  <c r="Y317" i="6"/>
  <c r="U317" i="6"/>
  <c r="Q317" i="6"/>
  <c r="X317" i="6"/>
  <c r="T317" i="6"/>
  <c r="W317" i="6"/>
  <c r="S317" i="6"/>
  <c r="Z321" i="6"/>
  <c r="V321" i="6"/>
  <c r="R321" i="6"/>
  <c r="Y321" i="6"/>
  <c r="U321" i="6"/>
  <c r="Q321" i="6"/>
  <c r="X321" i="6"/>
  <c r="T321" i="6"/>
  <c r="W321" i="6"/>
  <c r="S321" i="6"/>
  <c r="V325" i="6"/>
  <c r="R325" i="6"/>
  <c r="Z325" i="6"/>
  <c r="Y325" i="6"/>
  <c r="U325" i="6"/>
  <c r="Q325" i="6"/>
  <c r="X325" i="6"/>
  <c r="T325" i="6"/>
  <c r="W325" i="6"/>
  <c r="S325" i="6"/>
  <c r="Z329" i="6"/>
  <c r="V329" i="6"/>
  <c r="R329" i="6"/>
  <c r="Y329" i="6"/>
  <c r="U329" i="6"/>
  <c r="Q329" i="6"/>
  <c r="X329" i="6"/>
  <c r="T329" i="6"/>
  <c r="W329" i="6"/>
  <c r="S329" i="6"/>
  <c r="V333" i="6"/>
  <c r="R333" i="6"/>
  <c r="Z333" i="6"/>
  <c r="Y333" i="6"/>
  <c r="U333" i="6"/>
  <c r="Q333" i="6"/>
  <c r="X333" i="6"/>
  <c r="T333" i="6"/>
  <c r="W333" i="6"/>
  <c r="S333" i="6"/>
  <c r="Z337" i="6"/>
  <c r="V337" i="6"/>
  <c r="R337" i="6"/>
  <c r="Y337" i="6"/>
  <c r="U337" i="6"/>
  <c r="Q337" i="6"/>
  <c r="X337" i="6"/>
  <c r="T337" i="6"/>
  <c r="W337" i="6"/>
  <c r="S337" i="6"/>
  <c r="V341" i="6"/>
  <c r="R341" i="6"/>
  <c r="Z341" i="6"/>
  <c r="Y341" i="6"/>
  <c r="U341" i="6"/>
  <c r="Q341" i="6"/>
  <c r="X341" i="6"/>
  <c r="T341" i="6"/>
  <c r="W341" i="6"/>
  <c r="S341" i="6"/>
  <c r="Z345" i="6"/>
  <c r="R345" i="6"/>
  <c r="X345" i="6"/>
  <c r="V345" i="6"/>
  <c r="T345" i="6"/>
  <c r="Y345" i="6"/>
  <c r="U345" i="6"/>
  <c r="Q345" i="6"/>
  <c r="W345" i="6"/>
  <c r="S345" i="6"/>
  <c r="U349" i="6"/>
  <c r="Q349" i="6"/>
  <c r="Y349" i="6"/>
  <c r="X349" i="6"/>
  <c r="T349" i="6"/>
  <c r="W349" i="6"/>
  <c r="S349" i="6"/>
  <c r="Z349" i="6"/>
  <c r="V349" i="6"/>
  <c r="R349" i="6"/>
  <c r="Q353" i="6"/>
  <c r="Y353" i="6"/>
  <c r="U353" i="6"/>
  <c r="X353" i="6"/>
  <c r="T353" i="6"/>
  <c r="W353" i="6"/>
  <c r="S353" i="6"/>
  <c r="Z353" i="6"/>
  <c r="V353" i="6"/>
  <c r="R353" i="6"/>
  <c r="U357" i="6"/>
  <c r="Y357" i="6"/>
  <c r="Q357" i="6"/>
  <c r="X357" i="6"/>
  <c r="T357" i="6"/>
  <c r="W357" i="6"/>
  <c r="S357" i="6"/>
  <c r="Z357" i="6"/>
  <c r="V357" i="6"/>
  <c r="R357" i="6"/>
  <c r="Q361" i="6"/>
  <c r="Y361" i="6"/>
  <c r="U361" i="6"/>
  <c r="X361" i="6"/>
  <c r="T361" i="6"/>
  <c r="W361" i="6"/>
  <c r="S361" i="6"/>
  <c r="Z361" i="6"/>
  <c r="V361" i="6"/>
  <c r="R361" i="6"/>
  <c r="Y365" i="6"/>
  <c r="U365" i="6"/>
  <c r="Q365" i="6"/>
  <c r="X365" i="6"/>
  <c r="T365" i="6"/>
  <c r="W365" i="6"/>
  <c r="S365" i="6"/>
  <c r="Z365" i="6"/>
  <c r="V365" i="6"/>
  <c r="R365" i="6"/>
  <c r="Q369" i="6"/>
  <c r="Y369" i="6"/>
  <c r="U369" i="6"/>
  <c r="X369" i="6"/>
  <c r="T369" i="6"/>
  <c r="W369" i="6"/>
  <c r="S369" i="6"/>
  <c r="Z369" i="6"/>
  <c r="V369" i="6"/>
  <c r="R369" i="6"/>
  <c r="U373" i="6"/>
  <c r="Y373" i="6"/>
  <c r="Q373" i="6"/>
  <c r="X373" i="6"/>
  <c r="T373" i="6"/>
  <c r="W373" i="6"/>
  <c r="S373" i="6"/>
  <c r="Z373" i="6"/>
  <c r="V373" i="6"/>
  <c r="R373" i="6"/>
  <c r="Y377" i="6"/>
  <c r="Q377" i="6"/>
  <c r="U377" i="6"/>
  <c r="X377" i="6"/>
  <c r="T377" i="6"/>
  <c r="W377" i="6"/>
  <c r="S377" i="6"/>
  <c r="Z377" i="6"/>
  <c r="V377" i="6"/>
  <c r="R377" i="6"/>
  <c r="U381" i="6"/>
  <c r="Q381" i="6"/>
  <c r="Y381" i="6"/>
  <c r="X381" i="6"/>
  <c r="T381" i="6"/>
  <c r="W381" i="6"/>
  <c r="S381" i="6"/>
  <c r="Z381" i="6"/>
  <c r="V381" i="6"/>
  <c r="R381" i="6"/>
  <c r="Q385" i="6"/>
  <c r="Y385" i="6"/>
  <c r="U385" i="6"/>
  <c r="X385" i="6"/>
  <c r="T385" i="6"/>
  <c r="W385" i="6"/>
  <c r="S385" i="6"/>
  <c r="Z385" i="6"/>
  <c r="V385" i="6"/>
  <c r="R385" i="6"/>
  <c r="U389" i="6"/>
  <c r="Y389" i="6"/>
  <c r="Q389" i="6"/>
  <c r="X389" i="6"/>
  <c r="T389" i="6"/>
  <c r="W389" i="6"/>
  <c r="S389" i="6"/>
  <c r="Z389" i="6"/>
  <c r="V389" i="6"/>
  <c r="R389" i="6"/>
  <c r="Y393" i="6"/>
  <c r="Q393" i="6"/>
  <c r="U393" i="6"/>
  <c r="X393" i="6"/>
  <c r="T393" i="6"/>
  <c r="W393" i="6"/>
  <c r="S393" i="6"/>
  <c r="Z393" i="6"/>
  <c r="V393" i="6"/>
  <c r="R393" i="6"/>
  <c r="U397" i="6"/>
  <c r="Q397" i="6"/>
  <c r="Y397" i="6"/>
  <c r="X397" i="6"/>
  <c r="T397" i="6"/>
  <c r="W397" i="6"/>
  <c r="S397" i="6"/>
  <c r="Z397" i="6"/>
  <c r="V397" i="6"/>
  <c r="R397" i="6"/>
  <c r="Q401" i="6"/>
  <c r="Y401" i="6"/>
  <c r="U401" i="6"/>
  <c r="X401" i="6"/>
  <c r="T401" i="6"/>
  <c r="W401" i="6"/>
  <c r="S401" i="6"/>
  <c r="Z401" i="6"/>
  <c r="V401" i="6"/>
  <c r="R401" i="6"/>
  <c r="Y405" i="6"/>
  <c r="U405" i="6"/>
  <c r="Q405" i="6"/>
  <c r="X405" i="6"/>
  <c r="T405" i="6"/>
  <c r="W405" i="6"/>
  <c r="S405" i="6"/>
  <c r="Z405" i="6"/>
  <c r="V405" i="6"/>
  <c r="R405" i="6"/>
  <c r="Q409" i="6"/>
  <c r="Y409" i="6"/>
  <c r="U409" i="6"/>
  <c r="X409" i="6"/>
  <c r="T409" i="6"/>
  <c r="W409" i="6"/>
  <c r="S409" i="6"/>
  <c r="Z409" i="6"/>
  <c r="V409" i="6"/>
  <c r="R409" i="6"/>
  <c r="U413" i="6"/>
  <c r="Q413" i="6"/>
  <c r="Y413" i="6"/>
  <c r="X413" i="6"/>
  <c r="T413" i="6"/>
  <c r="W413" i="6"/>
  <c r="S413" i="6"/>
  <c r="Z413" i="6"/>
  <c r="V413" i="6"/>
  <c r="R413" i="6"/>
  <c r="Q417" i="6"/>
  <c r="Y417" i="6"/>
  <c r="U417" i="6"/>
  <c r="X417" i="6"/>
  <c r="T417" i="6"/>
  <c r="W417" i="6"/>
  <c r="S417" i="6"/>
  <c r="Z417" i="6"/>
  <c r="V417" i="6"/>
  <c r="R417" i="6"/>
  <c r="U421" i="6"/>
  <c r="Y421" i="6"/>
  <c r="Q421" i="6"/>
  <c r="X421" i="6"/>
  <c r="T421" i="6"/>
  <c r="W421" i="6"/>
  <c r="S421" i="6"/>
  <c r="Z421" i="6"/>
  <c r="V421" i="6"/>
  <c r="R421" i="6"/>
  <c r="Y425" i="6"/>
  <c r="Q425" i="6"/>
  <c r="U425" i="6"/>
  <c r="X425" i="6"/>
  <c r="T425" i="6"/>
  <c r="W425" i="6"/>
  <c r="S425" i="6"/>
  <c r="Z425" i="6"/>
  <c r="V425" i="6"/>
  <c r="R425" i="6"/>
  <c r="U429" i="6"/>
  <c r="Q429" i="6"/>
  <c r="Y429" i="6"/>
  <c r="X429" i="6"/>
  <c r="T429" i="6"/>
  <c r="W429" i="6"/>
  <c r="S429" i="6"/>
  <c r="Z429" i="6"/>
  <c r="V429" i="6"/>
  <c r="R429" i="6"/>
  <c r="Y433" i="6"/>
  <c r="Q433" i="6"/>
  <c r="U433" i="6"/>
  <c r="X433" i="6"/>
  <c r="T433" i="6"/>
  <c r="W433" i="6"/>
  <c r="S433" i="6"/>
  <c r="Z433" i="6"/>
  <c r="V433" i="6"/>
  <c r="R433" i="6"/>
  <c r="Y437" i="6"/>
  <c r="U437" i="6"/>
  <c r="Q437" i="6"/>
  <c r="X437" i="6"/>
  <c r="T437" i="6"/>
  <c r="W437" i="6"/>
  <c r="S437" i="6"/>
  <c r="Z437" i="6"/>
  <c r="V437" i="6"/>
  <c r="R437" i="6"/>
  <c r="Q441" i="6"/>
  <c r="Y441" i="6"/>
  <c r="U441" i="6"/>
  <c r="X441" i="6"/>
  <c r="T441" i="6"/>
  <c r="W441" i="6"/>
  <c r="S441" i="6"/>
  <c r="Z441" i="6"/>
  <c r="V441" i="6"/>
  <c r="R441" i="6"/>
  <c r="U445" i="6"/>
  <c r="Y445" i="6"/>
  <c r="Q445" i="6"/>
  <c r="X445" i="6"/>
  <c r="T445" i="6"/>
  <c r="W445" i="6"/>
  <c r="S445" i="6"/>
  <c r="Z445" i="6"/>
  <c r="V445" i="6"/>
  <c r="R445" i="6"/>
  <c r="Y449" i="6"/>
  <c r="Q449" i="6"/>
  <c r="U449" i="6"/>
  <c r="X449" i="6"/>
  <c r="T449" i="6"/>
  <c r="W449" i="6"/>
  <c r="S449" i="6"/>
  <c r="Z449" i="6"/>
  <c r="V449" i="6"/>
  <c r="R449" i="6"/>
  <c r="Y453" i="6"/>
  <c r="U453" i="6"/>
  <c r="Q453" i="6"/>
  <c r="X453" i="6"/>
  <c r="T453" i="6"/>
  <c r="W453" i="6"/>
  <c r="S453" i="6"/>
  <c r="Z453" i="6"/>
  <c r="V453" i="6"/>
  <c r="R453" i="6"/>
  <c r="Y457" i="6"/>
  <c r="Q457" i="6"/>
  <c r="U457" i="6"/>
  <c r="X457" i="6"/>
  <c r="T457" i="6"/>
  <c r="W457" i="6"/>
  <c r="S457" i="6"/>
  <c r="Z457" i="6"/>
  <c r="V457" i="6"/>
  <c r="R457" i="6"/>
  <c r="Y461" i="6"/>
  <c r="U461" i="6"/>
  <c r="Q461" i="6"/>
  <c r="X461" i="6"/>
  <c r="T461" i="6"/>
  <c r="W461" i="6"/>
  <c r="S461" i="6"/>
  <c r="Z461" i="6"/>
  <c r="V461" i="6"/>
  <c r="R461" i="6"/>
  <c r="Y465" i="6"/>
  <c r="Q465" i="6"/>
  <c r="U465" i="6"/>
  <c r="X465" i="6"/>
  <c r="T465" i="6"/>
  <c r="W465" i="6"/>
  <c r="S465" i="6"/>
  <c r="Z465" i="6"/>
  <c r="V465" i="6"/>
  <c r="R465" i="6"/>
  <c r="Y469" i="6"/>
  <c r="U469" i="6"/>
  <c r="Q469" i="6"/>
  <c r="X469" i="6"/>
  <c r="T469" i="6"/>
  <c r="W469" i="6"/>
  <c r="S469" i="6"/>
  <c r="Z469" i="6"/>
  <c r="V469" i="6"/>
  <c r="R469" i="6"/>
  <c r="Q473" i="6"/>
  <c r="Y473" i="6"/>
  <c r="U473" i="6"/>
  <c r="X473" i="6"/>
  <c r="T473" i="6"/>
  <c r="W473" i="6"/>
  <c r="S473" i="6"/>
  <c r="Z473" i="6"/>
  <c r="V473" i="6"/>
  <c r="R473" i="6"/>
  <c r="U477" i="6"/>
  <c r="Y477" i="6"/>
  <c r="Q477" i="6"/>
  <c r="X477" i="6"/>
  <c r="T477" i="6"/>
  <c r="W477" i="6"/>
  <c r="S477" i="6"/>
  <c r="Z477" i="6"/>
  <c r="V477" i="6"/>
  <c r="R477" i="6"/>
  <c r="Q481" i="6"/>
  <c r="Y481" i="6"/>
  <c r="U481" i="6"/>
  <c r="X481" i="6"/>
  <c r="T481" i="6"/>
  <c r="W481" i="6"/>
  <c r="S481" i="6"/>
  <c r="Z481" i="6"/>
  <c r="V481" i="6"/>
  <c r="R481" i="6"/>
  <c r="Y485" i="6"/>
  <c r="U485" i="6"/>
  <c r="Q485" i="6"/>
  <c r="X485" i="6"/>
  <c r="T485" i="6"/>
  <c r="W485" i="6"/>
  <c r="S485" i="6"/>
  <c r="Z485" i="6"/>
  <c r="V485" i="6"/>
  <c r="R485" i="6"/>
  <c r="Q489" i="6"/>
  <c r="Y489" i="6"/>
  <c r="U489" i="6"/>
  <c r="X489" i="6"/>
  <c r="T489" i="6"/>
  <c r="W489" i="6"/>
  <c r="S489" i="6"/>
  <c r="Z489" i="6"/>
  <c r="V489" i="6"/>
  <c r="R489" i="6"/>
  <c r="U493" i="6"/>
  <c r="Y493" i="6"/>
  <c r="Q493" i="6"/>
  <c r="X493" i="6"/>
  <c r="T493" i="6"/>
  <c r="W493" i="6"/>
  <c r="S493" i="6"/>
  <c r="Z493" i="6"/>
  <c r="V493" i="6"/>
  <c r="R493" i="6"/>
  <c r="Y497" i="6"/>
  <c r="Q497" i="6"/>
  <c r="U497" i="6"/>
  <c r="X497" i="6"/>
  <c r="T497" i="6"/>
  <c r="W497" i="6"/>
  <c r="S497" i="6"/>
  <c r="Z497" i="6"/>
  <c r="V497" i="6"/>
  <c r="R497" i="6"/>
  <c r="U501" i="6"/>
  <c r="Q501" i="6"/>
  <c r="Y501" i="6"/>
  <c r="X501" i="6"/>
  <c r="T501" i="6"/>
  <c r="W501" i="6"/>
  <c r="S501" i="6"/>
  <c r="Z501" i="6"/>
  <c r="V501" i="6"/>
  <c r="R501" i="6"/>
  <c r="Q505" i="6"/>
  <c r="Y505" i="6"/>
  <c r="U505" i="6"/>
  <c r="X505" i="6"/>
  <c r="T505" i="6"/>
  <c r="W505" i="6"/>
  <c r="S505" i="6"/>
  <c r="Z505" i="6"/>
  <c r="V505" i="6"/>
  <c r="R505" i="6"/>
  <c r="U509" i="6"/>
  <c r="Y509" i="6"/>
  <c r="Q509" i="6"/>
  <c r="X509" i="6"/>
  <c r="T509" i="6"/>
  <c r="W509" i="6"/>
  <c r="S509" i="6"/>
  <c r="Z509" i="6"/>
  <c r="V509" i="6"/>
  <c r="R509" i="6"/>
  <c r="Y513" i="6"/>
  <c r="Q513" i="6"/>
  <c r="U513" i="6"/>
  <c r="X513" i="6"/>
  <c r="T513" i="6"/>
  <c r="W513" i="6"/>
  <c r="S513" i="6"/>
  <c r="Z513" i="6"/>
  <c r="V513" i="6"/>
  <c r="R513" i="6"/>
  <c r="U517" i="6"/>
  <c r="Q517" i="6"/>
  <c r="Y517" i="6"/>
  <c r="X517" i="6"/>
  <c r="T517" i="6"/>
  <c r="W517" i="6"/>
  <c r="S517" i="6"/>
  <c r="Z517" i="6"/>
  <c r="V517" i="6"/>
  <c r="R517" i="6"/>
  <c r="Q521" i="6"/>
  <c r="Y521" i="6"/>
  <c r="U521" i="6"/>
  <c r="X521" i="6"/>
  <c r="T521" i="6"/>
  <c r="W521" i="6"/>
  <c r="S521" i="6"/>
  <c r="Z521" i="6"/>
  <c r="V521" i="6"/>
  <c r="R521" i="6"/>
  <c r="W525" i="6"/>
  <c r="Z525" i="6"/>
  <c r="V525" i="6"/>
  <c r="Y525" i="6"/>
  <c r="U525" i="6"/>
  <c r="Q525" i="6"/>
  <c r="X525" i="6"/>
  <c r="S525" i="6"/>
  <c r="T525" i="6"/>
  <c r="R525" i="6"/>
  <c r="S529" i="6"/>
  <c r="Z529" i="6"/>
  <c r="V529" i="6"/>
  <c r="R529" i="6"/>
  <c r="W529" i="6"/>
  <c r="Y529" i="6"/>
  <c r="U529" i="6"/>
  <c r="Q529" i="6"/>
  <c r="X529" i="6"/>
  <c r="T529" i="6"/>
  <c r="W533" i="6"/>
  <c r="Z533" i="6"/>
  <c r="V533" i="6"/>
  <c r="R533" i="6"/>
  <c r="Y533" i="6"/>
  <c r="U533" i="6"/>
  <c r="Q533" i="6"/>
  <c r="S533" i="6"/>
  <c r="X533" i="6"/>
  <c r="T533" i="6"/>
  <c r="Z537" i="6"/>
  <c r="V537" i="6"/>
  <c r="R537" i="6"/>
  <c r="W537" i="6"/>
  <c r="Y537" i="6"/>
  <c r="U537" i="6"/>
  <c r="Q537" i="6"/>
  <c r="S537" i="6"/>
  <c r="X537" i="6"/>
  <c r="T537" i="6"/>
  <c r="W541" i="6"/>
  <c r="Z541" i="6"/>
  <c r="V541" i="6"/>
  <c r="R541" i="6"/>
  <c r="S541" i="6"/>
  <c r="Y541" i="6"/>
  <c r="U541" i="6"/>
  <c r="Q541" i="6"/>
  <c r="X541" i="6"/>
  <c r="T541" i="6"/>
  <c r="S545" i="6"/>
  <c r="Z545" i="6"/>
  <c r="V545" i="6"/>
  <c r="R545" i="6"/>
  <c r="Y545" i="6"/>
  <c r="U545" i="6"/>
  <c r="Q545" i="6"/>
  <c r="W545" i="6"/>
  <c r="X545" i="6"/>
  <c r="T545" i="6"/>
  <c r="W549" i="6"/>
  <c r="Z549" i="6"/>
  <c r="V549" i="6"/>
  <c r="R549" i="6"/>
  <c r="Y549" i="6"/>
  <c r="U549" i="6"/>
  <c r="Q549" i="6"/>
  <c r="S549" i="6"/>
  <c r="X549" i="6"/>
  <c r="T549" i="6"/>
  <c r="W553" i="6"/>
  <c r="Z553" i="6"/>
  <c r="V553" i="6"/>
  <c r="R553" i="6"/>
  <c r="Y553" i="6"/>
  <c r="U553" i="6"/>
  <c r="Q553" i="6"/>
  <c r="S553" i="6"/>
  <c r="X553" i="6"/>
  <c r="T553" i="6"/>
  <c r="S557" i="6"/>
  <c r="Z557" i="6"/>
  <c r="V557" i="6"/>
  <c r="R557" i="6"/>
  <c r="W557" i="6"/>
  <c r="Y557" i="6"/>
  <c r="U557" i="6"/>
  <c r="Q557" i="6"/>
  <c r="X557" i="6"/>
  <c r="T557" i="6"/>
  <c r="W561" i="6"/>
  <c r="Z561" i="6"/>
  <c r="V561" i="6"/>
  <c r="R561" i="6"/>
  <c r="Y561" i="6"/>
  <c r="U561" i="6"/>
  <c r="Q561" i="6"/>
  <c r="S561" i="6"/>
  <c r="X561" i="6"/>
  <c r="T561" i="6"/>
  <c r="Z565" i="6"/>
  <c r="V565" i="6"/>
  <c r="R565" i="6"/>
  <c r="W565" i="6"/>
  <c r="Y565" i="6"/>
  <c r="U565" i="6"/>
  <c r="Q565" i="6"/>
  <c r="S565" i="6"/>
  <c r="X565" i="6"/>
  <c r="T565" i="6"/>
  <c r="W569" i="6"/>
  <c r="Z569" i="6"/>
  <c r="V569" i="6"/>
  <c r="R569" i="6"/>
  <c r="S569" i="6"/>
  <c r="Y569" i="6"/>
  <c r="U569" i="6"/>
  <c r="Q569" i="6"/>
  <c r="X569" i="6"/>
  <c r="T569" i="6"/>
  <c r="W573" i="6"/>
  <c r="Z573" i="6"/>
  <c r="V573" i="6"/>
  <c r="R573" i="6"/>
  <c r="Y573" i="6"/>
  <c r="U573" i="6"/>
  <c r="Q573" i="6"/>
  <c r="S573" i="6"/>
  <c r="X573" i="6"/>
  <c r="T573" i="6"/>
  <c r="Z577" i="6"/>
  <c r="V577" i="6"/>
  <c r="R577" i="6"/>
  <c r="S577" i="6"/>
  <c r="Y577" i="6"/>
  <c r="U577" i="6"/>
  <c r="Q577" i="6"/>
  <c r="W577" i="6"/>
  <c r="X577" i="6"/>
  <c r="T577" i="6"/>
  <c r="S581" i="6"/>
  <c r="Z581" i="6"/>
  <c r="V581" i="6"/>
  <c r="R581" i="6"/>
  <c r="Y581" i="6"/>
  <c r="U581" i="6"/>
  <c r="Q581" i="6"/>
  <c r="W581" i="6"/>
  <c r="X581" i="6"/>
  <c r="T581" i="6"/>
  <c r="Z585" i="6"/>
  <c r="V585" i="6"/>
  <c r="R585" i="6"/>
  <c r="W585" i="6"/>
  <c r="Y585" i="6"/>
  <c r="U585" i="6"/>
  <c r="Q585" i="6"/>
  <c r="S585" i="6"/>
  <c r="X585" i="6"/>
  <c r="T585" i="6"/>
  <c r="Z589" i="6"/>
  <c r="V589" i="6"/>
  <c r="R589" i="6"/>
  <c r="S589" i="6"/>
  <c r="Y589" i="6"/>
  <c r="U589" i="6"/>
  <c r="Q589" i="6"/>
  <c r="W589" i="6"/>
  <c r="X589" i="6"/>
  <c r="T589" i="6"/>
  <c r="S593" i="6"/>
  <c r="Z593" i="6"/>
  <c r="V593" i="6"/>
  <c r="R593" i="6"/>
  <c r="W593" i="6"/>
  <c r="Y593" i="6"/>
  <c r="U593" i="6"/>
  <c r="Q593" i="6"/>
  <c r="X593" i="6"/>
  <c r="T593" i="6"/>
  <c r="W597" i="6"/>
  <c r="S597" i="6"/>
  <c r="Z597" i="6"/>
  <c r="V597" i="6"/>
  <c r="R597" i="6"/>
  <c r="Y597" i="6"/>
  <c r="U597" i="6"/>
  <c r="Q597" i="6"/>
  <c r="X597" i="6"/>
  <c r="T597" i="6"/>
  <c r="S601" i="6"/>
  <c r="Z601" i="6"/>
  <c r="V601" i="6"/>
  <c r="R601" i="6"/>
  <c r="Y601" i="6"/>
  <c r="U601" i="6"/>
  <c r="Q601" i="6"/>
  <c r="W601" i="6"/>
  <c r="X601" i="6"/>
  <c r="T601" i="6"/>
  <c r="X6" i="6"/>
  <c r="T6" i="6"/>
  <c r="W6" i="6"/>
  <c r="S6" i="6"/>
  <c r="Z6" i="6"/>
  <c r="V6" i="6"/>
  <c r="R6" i="6"/>
  <c r="Y6" i="6"/>
  <c r="U6" i="6"/>
  <c r="Q6" i="6"/>
  <c r="T10" i="6"/>
  <c r="X10" i="6"/>
  <c r="W10" i="6"/>
  <c r="S10" i="6"/>
  <c r="Z10" i="6"/>
  <c r="V10" i="6"/>
  <c r="R10" i="6"/>
  <c r="Y10" i="6"/>
  <c r="U10" i="6"/>
  <c r="Q10" i="6"/>
  <c r="X14" i="6"/>
  <c r="T14" i="6"/>
  <c r="W14" i="6"/>
  <c r="S14" i="6"/>
  <c r="Z14" i="6"/>
  <c r="V14" i="6"/>
  <c r="R14" i="6"/>
  <c r="Y14" i="6"/>
  <c r="U14" i="6"/>
  <c r="Q14" i="6"/>
  <c r="T18" i="6"/>
  <c r="X18" i="6"/>
  <c r="W18" i="6"/>
  <c r="S18" i="6"/>
  <c r="Z18" i="6"/>
  <c r="V18" i="6"/>
  <c r="R18" i="6"/>
  <c r="Y18" i="6"/>
  <c r="U18" i="6"/>
  <c r="Q18" i="6"/>
  <c r="X22" i="6"/>
  <c r="T22" i="6"/>
  <c r="W22" i="6"/>
  <c r="S22" i="6"/>
  <c r="Z22" i="6"/>
  <c r="V22" i="6"/>
  <c r="R22" i="6"/>
  <c r="Y22" i="6"/>
  <c r="U22" i="6"/>
  <c r="Q22" i="6"/>
  <c r="T26" i="6"/>
  <c r="X26" i="6"/>
  <c r="W26" i="6"/>
  <c r="S26" i="6"/>
  <c r="Z26" i="6"/>
  <c r="V26" i="6"/>
  <c r="R26" i="6"/>
  <c r="Y26" i="6"/>
  <c r="U26" i="6"/>
  <c r="Q26" i="6"/>
  <c r="X30" i="6"/>
  <c r="T30" i="6"/>
  <c r="W30" i="6"/>
  <c r="S30" i="6"/>
  <c r="Z30" i="6"/>
  <c r="V30" i="6"/>
  <c r="R30" i="6"/>
  <c r="Y30" i="6"/>
  <c r="U30" i="6"/>
  <c r="Q30" i="6"/>
  <c r="T34" i="6"/>
  <c r="X34" i="6"/>
  <c r="W34" i="6"/>
  <c r="S34" i="6"/>
  <c r="Z34" i="6"/>
  <c r="V34" i="6"/>
  <c r="R34" i="6"/>
  <c r="Y34" i="6"/>
  <c r="U34" i="6"/>
  <c r="Q34" i="6"/>
  <c r="Q38" i="6"/>
  <c r="V38" i="6"/>
  <c r="Z38" i="6"/>
  <c r="U38" i="6"/>
  <c r="Y38" i="6"/>
  <c r="T38" i="6"/>
  <c r="X38" i="6"/>
  <c r="R38" i="6"/>
  <c r="W38" i="6"/>
  <c r="S38" i="6"/>
  <c r="T42" i="6"/>
  <c r="Y42" i="6"/>
  <c r="X42" i="6"/>
  <c r="R42" i="6"/>
  <c r="V42" i="6"/>
  <c r="Q42" i="6"/>
  <c r="Z42" i="6"/>
  <c r="U42" i="6"/>
  <c r="W42" i="6"/>
  <c r="S42" i="6"/>
  <c r="V46" i="6"/>
  <c r="Q46" i="6"/>
  <c r="Z46" i="6"/>
  <c r="U46" i="6"/>
  <c r="Y46" i="6"/>
  <c r="T46" i="6"/>
  <c r="X46" i="6"/>
  <c r="R46" i="6"/>
  <c r="W46" i="6"/>
  <c r="S46" i="6"/>
  <c r="Y50" i="6"/>
  <c r="T50" i="6"/>
  <c r="X50" i="6"/>
  <c r="R50" i="6"/>
  <c r="V50" i="6"/>
  <c r="Q50" i="6"/>
  <c r="Z50" i="6"/>
  <c r="U50" i="6"/>
  <c r="W50" i="6"/>
  <c r="S50" i="6"/>
  <c r="Q54" i="6"/>
  <c r="V54" i="6"/>
  <c r="Z54" i="6"/>
  <c r="U54" i="6"/>
  <c r="Y54" i="6"/>
  <c r="T54" i="6"/>
  <c r="X54" i="6"/>
  <c r="R54" i="6"/>
  <c r="W54" i="6"/>
  <c r="S54" i="6"/>
  <c r="S58" i="6"/>
  <c r="W58" i="6"/>
  <c r="Z58" i="6"/>
  <c r="V58" i="6"/>
  <c r="R58" i="6"/>
  <c r="Y58" i="6"/>
  <c r="U58" i="6"/>
  <c r="Q58" i="6"/>
  <c r="X58" i="6"/>
  <c r="T58" i="6"/>
  <c r="S62" i="6"/>
  <c r="W62" i="6"/>
  <c r="Z62" i="6"/>
  <c r="V62" i="6"/>
  <c r="R62" i="6"/>
  <c r="Y62" i="6"/>
  <c r="U62" i="6"/>
  <c r="Q62" i="6"/>
  <c r="X62" i="6"/>
  <c r="T62" i="6"/>
  <c r="W66" i="6"/>
  <c r="S66" i="6"/>
  <c r="Z66" i="6"/>
  <c r="R66" i="6"/>
  <c r="V66" i="6"/>
  <c r="Y66" i="6"/>
  <c r="U66" i="6"/>
  <c r="Q66" i="6"/>
  <c r="X66" i="6"/>
  <c r="T66" i="6"/>
  <c r="S70" i="6"/>
  <c r="W70" i="6"/>
  <c r="Z70" i="6"/>
  <c r="R70" i="6"/>
  <c r="V70" i="6"/>
  <c r="Y70" i="6"/>
  <c r="U70" i="6"/>
  <c r="Q70" i="6"/>
  <c r="X70" i="6"/>
  <c r="T70" i="6"/>
  <c r="W74" i="6"/>
  <c r="S74" i="6"/>
  <c r="Z74" i="6"/>
  <c r="R74" i="6"/>
  <c r="V74" i="6"/>
  <c r="Y74" i="6"/>
  <c r="U74" i="6"/>
  <c r="Q74" i="6"/>
  <c r="X74" i="6"/>
  <c r="T74" i="6"/>
  <c r="S78" i="6"/>
  <c r="W78" i="6"/>
  <c r="Z78" i="6"/>
  <c r="R78" i="6"/>
  <c r="V78" i="6"/>
  <c r="Y78" i="6"/>
  <c r="U78" i="6"/>
  <c r="Q78" i="6"/>
  <c r="X78" i="6"/>
  <c r="T78" i="6"/>
  <c r="X82" i="6"/>
  <c r="V82" i="6"/>
  <c r="S82" i="6"/>
  <c r="W82" i="6"/>
  <c r="R82" i="6"/>
  <c r="Z82" i="6"/>
  <c r="T82" i="6"/>
  <c r="Y82" i="6"/>
  <c r="U82" i="6"/>
  <c r="Q82" i="6"/>
  <c r="T86" i="6"/>
  <c r="Z86" i="6"/>
  <c r="R86" i="6"/>
  <c r="X86" i="6"/>
  <c r="V86" i="6"/>
  <c r="W86" i="6"/>
  <c r="S86" i="6"/>
  <c r="Y86" i="6"/>
  <c r="U86" i="6"/>
  <c r="Q86" i="6"/>
  <c r="T90" i="6"/>
  <c r="Z90" i="6"/>
  <c r="R90" i="6"/>
  <c r="X90" i="6"/>
  <c r="V90" i="6"/>
  <c r="W90" i="6"/>
  <c r="S90" i="6"/>
  <c r="Y90" i="6"/>
  <c r="U90" i="6"/>
  <c r="Q90" i="6"/>
  <c r="T94" i="6"/>
  <c r="Z94" i="6"/>
  <c r="R94" i="6"/>
  <c r="X94" i="6"/>
  <c r="V94" i="6"/>
  <c r="W94" i="6"/>
  <c r="S94" i="6"/>
  <c r="Y94" i="6"/>
  <c r="U94" i="6"/>
  <c r="Q94" i="6"/>
  <c r="T98" i="6"/>
  <c r="Z98" i="6"/>
  <c r="R98" i="6"/>
  <c r="X98" i="6"/>
  <c r="V98" i="6"/>
  <c r="W98" i="6"/>
  <c r="S98" i="6"/>
  <c r="Y98" i="6"/>
  <c r="U98" i="6"/>
  <c r="Q98" i="6"/>
  <c r="T102" i="6"/>
  <c r="Z102" i="6"/>
  <c r="R102" i="6"/>
  <c r="X102" i="6"/>
  <c r="V102" i="6"/>
  <c r="W102" i="6"/>
  <c r="S102" i="6"/>
  <c r="Y102" i="6"/>
  <c r="U102" i="6"/>
  <c r="Q102" i="6"/>
  <c r="T106" i="6"/>
  <c r="Z106" i="6"/>
  <c r="R106" i="6"/>
  <c r="X106" i="6"/>
  <c r="V106" i="6"/>
  <c r="W106" i="6"/>
  <c r="S106" i="6"/>
  <c r="Y106" i="6"/>
  <c r="U106" i="6"/>
  <c r="Q106" i="6"/>
  <c r="T110" i="6"/>
  <c r="Z110" i="6"/>
  <c r="R110" i="6"/>
  <c r="X110" i="6"/>
  <c r="V110" i="6"/>
  <c r="W110" i="6"/>
  <c r="S110" i="6"/>
  <c r="Y110" i="6"/>
  <c r="U110" i="6"/>
  <c r="Q110" i="6"/>
  <c r="T114" i="6"/>
  <c r="Z114" i="6"/>
  <c r="R114" i="6"/>
  <c r="X114" i="6"/>
  <c r="V114" i="6"/>
  <c r="W114" i="6"/>
  <c r="S114" i="6"/>
  <c r="Y114" i="6"/>
  <c r="U114" i="6"/>
  <c r="Q114" i="6"/>
  <c r="X118" i="6"/>
  <c r="R118" i="6"/>
  <c r="V118" i="6"/>
  <c r="Q118" i="6"/>
  <c r="Z118" i="6"/>
  <c r="U118" i="6"/>
  <c r="Y118" i="6"/>
  <c r="T118" i="6"/>
  <c r="W118" i="6"/>
  <c r="S118" i="6"/>
  <c r="Z122" i="6"/>
  <c r="U122" i="6"/>
  <c r="Y122" i="6"/>
  <c r="T122" i="6"/>
  <c r="X122" i="6"/>
  <c r="R122" i="6"/>
  <c r="V122" i="6"/>
  <c r="Q122" i="6"/>
  <c r="W122" i="6"/>
  <c r="S122" i="6"/>
  <c r="Z126" i="6"/>
  <c r="V126" i="6"/>
  <c r="R126" i="6"/>
  <c r="Y126" i="6"/>
  <c r="U126" i="6"/>
  <c r="Q126" i="6"/>
  <c r="X126" i="6"/>
  <c r="T126" i="6"/>
  <c r="W126" i="6"/>
  <c r="S126" i="6"/>
  <c r="R130" i="6"/>
  <c r="Z130" i="6"/>
  <c r="V130" i="6"/>
  <c r="Y130" i="6"/>
  <c r="U130" i="6"/>
  <c r="Q130" i="6"/>
  <c r="X130" i="6"/>
  <c r="T130" i="6"/>
  <c r="W130" i="6"/>
  <c r="S130" i="6"/>
  <c r="Z134" i="6"/>
  <c r="V134" i="6"/>
  <c r="R134" i="6"/>
  <c r="Y134" i="6"/>
  <c r="U134" i="6"/>
  <c r="Q134" i="6"/>
  <c r="X134" i="6"/>
  <c r="T134" i="6"/>
  <c r="W134" i="6"/>
  <c r="S134" i="6"/>
  <c r="R138" i="6"/>
  <c r="Z138" i="6"/>
  <c r="V138" i="6"/>
  <c r="Y138" i="6"/>
  <c r="U138" i="6"/>
  <c r="Q138" i="6"/>
  <c r="X138" i="6"/>
  <c r="T138" i="6"/>
  <c r="W138" i="6"/>
  <c r="S138" i="6"/>
  <c r="Z142" i="6"/>
  <c r="V142" i="6"/>
  <c r="R142" i="6"/>
  <c r="Y142" i="6"/>
  <c r="U142" i="6"/>
  <c r="Q142" i="6"/>
  <c r="X142" i="6"/>
  <c r="T142" i="6"/>
  <c r="W142" i="6"/>
  <c r="S142" i="6"/>
  <c r="R146" i="6"/>
  <c r="Z146" i="6"/>
  <c r="V146" i="6"/>
  <c r="Y146" i="6"/>
  <c r="U146" i="6"/>
  <c r="Q146" i="6"/>
  <c r="X146" i="6"/>
  <c r="T146" i="6"/>
  <c r="W146" i="6"/>
  <c r="S146" i="6"/>
  <c r="Z150" i="6"/>
  <c r="V150" i="6"/>
  <c r="R150" i="6"/>
  <c r="Y150" i="6"/>
  <c r="U150" i="6"/>
  <c r="Q150" i="6"/>
  <c r="X150" i="6"/>
  <c r="T150" i="6"/>
  <c r="W150" i="6"/>
  <c r="S150" i="6"/>
  <c r="R154" i="6"/>
  <c r="Z154" i="6"/>
  <c r="V154" i="6"/>
  <c r="Y154" i="6"/>
  <c r="U154" i="6"/>
  <c r="Q154" i="6"/>
  <c r="X154" i="6"/>
  <c r="T154" i="6"/>
  <c r="W154" i="6"/>
  <c r="S154" i="6"/>
  <c r="Z158" i="6"/>
  <c r="V158" i="6"/>
  <c r="R158" i="6"/>
  <c r="Y158" i="6"/>
  <c r="U158" i="6"/>
  <c r="Q158" i="6"/>
  <c r="X158" i="6"/>
  <c r="T158" i="6"/>
  <c r="W158" i="6"/>
  <c r="S158" i="6"/>
  <c r="R162" i="6"/>
  <c r="Z162" i="6"/>
  <c r="V162" i="6"/>
  <c r="Y162" i="6"/>
  <c r="U162" i="6"/>
  <c r="Q162" i="6"/>
  <c r="X162" i="6"/>
  <c r="T162" i="6"/>
  <c r="W162" i="6"/>
  <c r="S162" i="6"/>
  <c r="Z166" i="6"/>
  <c r="V166" i="6"/>
  <c r="R166" i="6"/>
  <c r="Y166" i="6"/>
  <c r="U166" i="6"/>
  <c r="Q166" i="6"/>
  <c r="X166" i="6"/>
  <c r="T166" i="6"/>
  <c r="W166" i="6"/>
  <c r="S166" i="6"/>
  <c r="R170" i="6"/>
  <c r="Z170" i="6"/>
  <c r="V170" i="6"/>
  <c r="Y170" i="6"/>
  <c r="U170" i="6"/>
  <c r="Q170" i="6"/>
  <c r="X170" i="6"/>
  <c r="T170" i="6"/>
  <c r="W170" i="6"/>
  <c r="S170" i="6"/>
  <c r="Z174" i="6"/>
  <c r="V174" i="6"/>
  <c r="R174" i="6"/>
  <c r="Y174" i="6"/>
  <c r="U174" i="6"/>
  <c r="Q174" i="6"/>
  <c r="X174" i="6"/>
  <c r="T174" i="6"/>
  <c r="W174" i="6"/>
  <c r="S174" i="6"/>
  <c r="R178" i="6"/>
  <c r="Z178" i="6"/>
  <c r="V178" i="6"/>
  <c r="Y178" i="6"/>
  <c r="U178" i="6"/>
  <c r="Q178" i="6"/>
  <c r="X178" i="6"/>
  <c r="T178" i="6"/>
  <c r="W178" i="6"/>
  <c r="S178" i="6"/>
  <c r="Z182" i="6"/>
  <c r="V182" i="6"/>
  <c r="R182" i="6"/>
  <c r="Y182" i="6"/>
  <c r="U182" i="6"/>
  <c r="Q182" i="6"/>
  <c r="X182" i="6"/>
  <c r="T182" i="6"/>
  <c r="W182" i="6"/>
  <c r="S182" i="6"/>
  <c r="R186" i="6"/>
  <c r="Z186" i="6"/>
  <c r="V186" i="6"/>
  <c r="Y186" i="6"/>
  <c r="U186" i="6"/>
  <c r="Q186" i="6"/>
  <c r="X186" i="6"/>
  <c r="T186" i="6"/>
  <c r="W186" i="6"/>
  <c r="S186" i="6"/>
  <c r="Z190" i="6"/>
  <c r="V190" i="6"/>
  <c r="R190" i="6"/>
  <c r="Y190" i="6"/>
  <c r="U190" i="6"/>
  <c r="Q190" i="6"/>
  <c r="X190" i="6"/>
  <c r="T190" i="6"/>
  <c r="W190" i="6"/>
  <c r="S190" i="6"/>
  <c r="R194" i="6"/>
  <c r="Z194" i="6"/>
  <c r="V194" i="6"/>
  <c r="Y194" i="6"/>
  <c r="U194" i="6"/>
  <c r="Q194" i="6"/>
  <c r="X194" i="6"/>
  <c r="T194" i="6"/>
  <c r="W194" i="6"/>
  <c r="S194" i="6"/>
  <c r="V198" i="6"/>
  <c r="R198" i="6"/>
  <c r="Z198" i="6"/>
  <c r="Y198" i="6"/>
  <c r="U198" i="6"/>
  <c r="Q198" i="6"/>
  <c r="X198" i="6"/>
  <c r="T198" i="6"/>
  <c r="W198" i="6"/>
  <c r="S198" i="6"/>
  <c r="Z202" i="6"/>
  <c r="V202" i="6"/>
  <c r="R202" i="6"/>
  <c r="Y202" i="6"/>
  <c r="U202" i="6"/>
  <c r="Q202" i="6"/>
  <c r="X202" i="6"/>
  <c r="T202" i="6"/>
  <c r="W202" i="6"/>
  <c r="S202" i="6"/>
  <c r="V206" i="6"/>
  <c r="R206" i="6"/>
  <c r="Z206" i="6"/>
  <c r="Y206" i="6"/>
  <c r="U206" i="6"/>
  <c r="Q206" i="6"/>
  <c r="X206" i="6"/>
  <c r="T206" i="6"/>
  <c r="W206" i="6"/>
  <c r="S206" i="6"/>
  <c r="Z210" i="6"/>
  <c r="V210" i="6"/>
  <c r="R210" i="6"/>
  <c r="Y210" i="6"/>
  <c r="U210" i="6"/>
  <c r="Q210" i="6"/>
  <c r="X210" i="6"/>
  <c r="T210" i="6"/>
  <c r="W210" i="6"/>
  <c r="S210" i="6"/>
  <c r="V214" i="6"/>
  <c r="R214" i="6"/>
  <c r="Z214" i="6"/>
  <c r="Y214" i="6"/>
  <c r="U214" i="6"/>
  <c r="Q214" i="6"/>
  <c r="X214" i="6"/>
  <c r="T214" i="6"/>
  <c r="W214" i="6"/>
  <c r="S214" i="6"/>
  <c r="Z218" i="6"/>
  <c r="V218" i="6"/>
  <c r="R218" i="6"/>
  <c r="Y218" i="6"/>
  <c r="U218" i="6"/>
  <c r="Q218" i="6"/>
  <c r="X218" i="6"/>
  <c r="T218" i="6"/>
  <c r="W218" i="6"/>
  <c r="S218" i="6"/>
  <c r="V222" i="6"/>
  <c r="R222" i="6"/>
  <c r="Z222" i="6"/>
  <c r="Y222" i="6"/>
  <c r="U222" i="6"/>
  <c r="Q222" i="6"/>
  <c r="X222" i="6"/>
  <c r="T222" i="6"/>
  <c r="W222" i="6"/>
  <c r="S222" i="6"/>
  <c r="Z226" i="6"/>
  <c r="V226" i="6"/>
  <c r="R226" i="6"/>
  <c r="Y226" i="6"/>
  <c r="U226" i="6"/>
  <c r="Q226" i="6"/>
  <c r="X226" i="6"/>
  <c r="T226" i="6"/>
  <c r="W226" i="6"/>
  <c r="S226" i="6"/>
  <c r="V230" i="6"/>
  <c r="R230" i="6"/>
  <c r="Z230" i="6"/>
  <c r="Y230" i="6"/>
  <c r="U230" i="6"/>
  <c r="Q230" i="6"/>
  <c r="X230" i="6"/>
  <c r="T230" i="6"/>
  <c r="W230" i="6"/>
  <c r="S230" i="6"/>
  <c r="Z234" i="6"/>
  <c r="V234" i="6"/>
  <c r="R234" i="6"/>
  <c r="Y234" i="6"/>
  <c r="U234" i="6"/>
  <c r="Q234" i="6"/>
  <c r="X234" i="6"/>
  <c r="T234" i="6"/>
  <c r="W234" i="6"/>
  <c r="S234" i="6"/>
  <c r="V238" i="6"/>
  <c r="R238" i="6"/>
  <c r="Z238" i="6"/>
  <c r="Y238" i="6"/>
  <c r="U238" i="6"/>
  <c r="Q238" i="6"/>
  <c r="X238" i="6"/>
  <c r="T238" i="6"/>
  <c r="W238" i="6"/>
  <c r="S238" i="6"/>
  <c r="Z242" i="6"/>
  <c r="V242" i="6"/>
  <c r="R242" i="6"/>
  <c r="Y242" i="6"/>
  <c r="U242" i="6"/>
  <c r="Q242" i="6"/>
  <c r="X242" i="6"/>
  <c r="T242" i="6"/>
  <c r="W242" i="6"/>
  <c r="S242" i="6"/>
  <c r="V246" i="6"/>
  <c r="R246" i="6"/>
  <c r="Z246" i="6"/>
  <c r="Y246" i="6"/>
  <c r="U246" i="6"/>
  <c r="Q246" i="6"/>
  <c r="X246" i="6"/>
  <c r="T246" i="6"/>
  <c r="W246" i="6"/>
  <c r="S246" i="6"/>
  <c r="Z250" i="6"/>
  <c r="V250" i="6"/>
  <c r="R250" i="6"/>
  <c r="Y250" i="6"/>
  <c r="U250" i="6"/>
  <c r="Q250" i="6"/>
  <c r="X250" i="6"/>
  <c r="T250" i="6"/>
  <c r="W250" i="6"/>
  <c r="S250" i="6"/>
  <c r="V254" i="6"/>
  <c r="R254" i="6"/>
  <c r="Z254" i="6"/>
  <c r="Y254" i="6"/>
  <c r="U254" i="6"/>
  <c r="Q254" i="6"/>
  <c r="X254" i="6"/>
  <c r="T254" i="6"/>
  <c r="W254" i="6"/>
  <c r="S254" i="6"/>
  <c r="Z258" i="6"/>
  <c r="V258" i="6"/>
  <c r="R258" i="6"/>
  <c r="Y258" i="6"/>
  <c r="U258" i="6"/>
  <c r="Q258" i="6"/>
  <c r="X258" i="6"/>
  <c r="T258" i="6"/>
  <c r="W258" i="6"/>
  <c r="S258" i="6"/>
  <c r="V262" i="6"/>
  <c r="R262" i="6"/>
  <c r="Z262" i="6"/>
  <c r="Y262" i="6"/>
  <c r="U262" i="6"/>
  <c r="Q262" i="6"/>
  <c r="X262" i="6"/>
  <c r="T262" i="6"/>
  <c r="W262" i="6"/>
  <c r="S262" i="6"/>
  <c r="Z266" i="6"/>
  <c r="V266" i="6"/>
  <c r="R266" i="6"/>
  <c r="Y266" i="6"/>
  <c r="U266" i="6"/>
  <c r="Q266" i="6"/>
  <c r="X266" i="6"/>
  <c r="T266" i="6"/>
  <c r="W266" i="6"/>
  <c r="S266" i="6"/>
  <c r="V270" i="6"/>
  <c r="S270" i="6"/>
  <c r="Z270" i="6"/>
  <c r="R270" i="6"/>
  <c r="W270" i="6"/>
  <c r="Y270" i="6"/>
  <c r="U270" i="6"/>
  <c r="Q270" i="6"/>
  <c r="X270" i="6"/>
  <c r="T270" i="6"/>
  <c r="T274" i="6"/>
  <c r="X274" i="6"/>
  <c r="W274" i="6"/>
  <c r="S274" i="6"/>
  <c r="Z274" i="6"/>
  <c r="V274" i="6"/>
  <c r="R274" i="6"/>
  <c r="Y274" i="6"/>
  <c r="U274" i="6"/>
  <c r="Q274" i="6"/>
  <c r="X278" i="6"/>
  <c r="T278" i="6"/>
  <c r="W278" i="6"/>
  <c r="S278" i="6"/>
  <c r="Z278" i="6"/>
  <c r="V278" i="6"/>
  <c r="R278" i="6"/>
  <c r="Y278" i="6"/>
  <c r="U278" i="6"/>
  <c r="Q278" i="6"/>
  <c r="T282" i="6"/>
  <c r="X282" i="6"/>
  <c r="W282" i="6"/>
  <c r="S282" i="6"/>
  <c r="Z282" i="6"/>
  <c r="V282" i="6"/>
  <c r="R282" i="6"/>
  <c r="Y282" i="6"/>
  <c r="U282" i="6"/>
  <c r="Q282" i="6"/>
  <c r="X286" i="6"/>
  <c r="T286" i="6"/>
  <c r="W286" i="6"/>
  <c r="S286" i="6"/>
  <c r="Z286" i="6"/>
  <c r="V286" i="6"/>
  <c r="R286" i="6"/>
  <c r="Y286" i="6"/>
  <c r="U286" i="6"/>
  <c r="Q286" i="6"/>
  <c r="T290" i="6"/>
  <c r="X290" i="6"/>
  <c r="W290" i="6"/>
  <c r="S290" i="6"/>
  <c r="Z290" i="6"/>
  <c r="V290" i="6"/>
  <c r="R290" i="6"/>
  <c r="Y290" i="6"/>
  <c r="U290" i="6"/>
  <c r="Q290" i="6"/>
  <c r="X294" i="6"/>
  <c r="T294" i="6"/>
  <c r="W294" i="6"/>
  <c r="S294" i="6"/>
  <c r="Z294" i="6"/>
  <c r="V294" i="6"/>
  <c r="R294" i="6"/>
  <c r="Y294" i="6"/>
  <c r="U294" i="6"/>
  <c r="Q294" i="6"/>
  <c r="T298" i="6"/>
  <c r="X298" i="6"/>
  <c r="W298" i="6"/>
  <c r="S298" i="6"/>
  <c r="Z298" i="6"/>
  <c r="V298" i="6"/>
  <c r="R298" i="6"/>
  <c r="Y298" i="6"/>
  <c r="U298" i="6"/>
  <c r="Q298" i="6"/>
  <c r="X302" i="6"/>
  <c r="T302" i="6"/>
  <c r="W302" i="6"/>
  <c r="S302" i="6"/>
  <c r="Z302" i="6"/>
  <c r="V302" i="6"/>
  <c r="R302" i="6"/>
  <c r="Y302" i="6"/>
  <c r="U302" i="6"/>
  <c r="Q302" i="6"/>
  <c r="T306" i="6"/>
  <c r="X306" i="6"/>
  <c r="W306" i="6"/>
  <c r="S306" i="6"/>
  <c r="Z306" i="6"/>
  <c r="V306" i="6"/>
  <c r="R306" i="6"/>
  <c r="Y306" i="6"/>
  <c r="U306" i="6"/>
  <c r="Q306" i="6"/>
  <c r="X310" i="6"/>
  <c r="T310" i="6"/>
  <c r="W310" i="6"/>
  <c r="S310" i="6"/>
  <c r="Z310" i="6"/>
  <c r="V310" i="6"/>
  <c r="R310" i="6"/>
  <c r="Y310" i="6"/>
  <c r="U310" i="6"/>
  <c r="Q310" i="6"/>
  <c r="T314" i="6"/>
  <c r="X314" i="6"/>
  <c r="W314" i="6"/>
  <c r="S314" i="6"/>
  <c r="Z314" i="6"/>
  <c r="V314" i="6"/>
  <c r="R314" i="6"/>
  <c r="Y314" i="6"/>
  <c r="U314" i="6"/>
  <c r="Q314" i="6"/>
  <c r="X318" i="6"/>
  <c r="T318" i="6"/>
  <c r="W318" i="6"/>
  <c r="S318" i="6"/>
  <c r="Z318" i="6"/>
  <c r="V318" i="6"/>
  <c r="R318" i="6"/>
  <c r="Y318" i="6"/>
  <c r="U318" i="6"/>
  <c r="Q318" i="6"/>
  <c r="T322" i="6"/>
  <c r="X322" i="6"/>
  <c r="W322" i="6"/>
  <c r="S322" i="6"/>
  <c r="Z322" i="6"/>
  <c r="V322" i="6"/>
  <c r="R322" i="6"/>
  <c r="Y322" i="6"/>
  <c r="U322" i="6"/>
  <c r="Q322" i="6"/>
  <c r="X326" i="6"/>
  <c r="T326" i="6"/>
  <c r="W326" i="6"/>
  <c r="S326" i="6"/>
  <c r="Z326" i="6"/>
  <c r="V326" i="6"/>
  <c r="R326" i="6"/>
  <c r="Y326" i="6"/>
  <c r="U326" i="6"/>
  <c r="Q326" i="6"/>
  <c r="T330" i="6"/>
  <c r="X330" i="6"/>
  <c r="W330" i="6"/>
  <c r="S330" i="6"/>
  <c r="Z330" i="6"/>
  <c r="V330" i="6"/>
  <c r="R330" i="6"/>
  <c r="Y330" i="6"/>
  <c r="U330" i="6"/>
  <c r="Q330" i="6"/>
  <c r="X334" i="6"/>
  <c r="T334" i="6"/>
  <c r="W334" i="6"/>
  <c r="S334" i="6"/>
  <c r="Z334" i="6"/>
  <c r="V334" i="6"/>
  <c r="R334" i="6"/>
  <c r="Y334" i="6"/>
  <c r="U334" i="6"/>
  <c r="Q334" i="6"/>
  <c r="T338" i="6"/>
  <c r="X338" i="6"/>
  <c r="W338" i="6"/>
  <c r="S338" i="6"/>
  <c r="Z338" i="6"/>
  <c r="V338" i="6"/>
  <c r="R338" i="6"/>
  <c r="Y338" i="6"/>
  <c r="U338" i="6"/>
  <c r="Q338" i="6"/>
  <c r="X342" i="6"/>
  <c r="T342" i="6"/>
  <c r="W342" i="6"/>
  <c r="S342" i="6"/>
  <c r="Z342" i="6"/>
  <c r="V342" i="6"/>
  <c r="R342" i="6"/>
  <c r="Y342" i="6"/>
  <c r="U342" i="6"/>
  <c r="Q342" i="6"/>
  <c r="X346" i="6"/>
  <c r="V346" i="6"/>
  <c r="T346" i="6"/>
  <c r="Z346" i="6"/>
  <c r="R346" i="6"/>
  <c r="W346" i="6"/>
  <c r="S346" i="6"/>
  <c r="Y346" i="6"/>
  <c r="U346" i="6"/>
  <c r="Q346" i="6"/>
  <c r="W350" i="6"/>
  <c r="S350" i="6"/>
  <c r="Z350" i="6"/>
  <c r="V350" i="6"/>
  <c r="R350" i="6"/>
  <c r="Y350" i="6"/>
  <c r="U350" i="6"/>
  <c r="Q350" i="6"/>
  <c r="X350" i="6"/>
  <c r="T350" i="6"/>
  <c r="S354" i="6"/>
  <c r="W354" i="6"/>
  <c r="Z354" i="6"/>
  <c r="V354" i="6"/>
  <c r="R354" i="6"/>
  <c r="Y354" i="6"/>
  <c r="U354" i="6"/>
  <c r="Q354" i="6"/>
  <c r="X354" i="6"/>
  <c r="T354" i="6"/>
  <c r="W358" i="6"/>
  <c r="S358" i="6"/>
  <c r="Z358" i="6"/>
  <c r="V358" i="6"/>
  <c r="R358" i="6"/>
  <c r="Y358" i="6"/>
  <c r="U358" i="6"/>
  <c r="Q358" i="6"/>
  <c r="X358" i="6"/>
  <c r="T358" i="6"/>
  <c r="S362" i="6"/>
  <c r="W362" i="6"/>
  <c r="Z362" i="6"/>
  <c r="V362" i="6"/>
  <c r="R362" i="6"/>
  <c r="Y362" i="6"/>
  <c r="U362" i="6"/>
  <c r="Q362" i="6"/>
  <c r="X362" i="6"/>
  <c r="T362" i="6"/>
  <c r="W366" i="6"/>
  <c r="S366" i="6"/>
  <c r="Z366" i="6"/>
  <c r="V366" i="6"/>
  <c r="R366" i="6"/>
  <c r="Y366" i="6"/>
  <c r="U366" i="6"/>
  <c r="Q366" i="6"/>
  <c r="X366" i="6"/>
  <c r="T366" i="6"/>
  <c r="W370" i="6"/>
  <c r="S370" i="6"/>
  <c r="Z370" i="6"/>
  <c r="V370" i="6"/>
  <c r="R370" i="6"/>
  <c r="Y370" i="6"/>
  <c r="U370" i="6"/>
  <c r="Q370" i="6"/>
  <c r="X370" i="6"/>
  <c r="T370" i="6"/>
  <c r="W374" i="6"/>
  <c r="S374" i="6"/>
  <c r="Z374" i="6"/>
  <c r="V374" i="6"/>
  <c r="R374" i="6"/>
  <c r="Y374" i="6"/>
  <c r="U374" i="6"/>
  <c r="Q374" i="6"/>
  <c r="X374" i="6"/>
  <c r="T374" i="6"/>
  <c r="W378" i="6"/>
  <c r="S378" i="6"/>
  <c r="Z378" i="6"/>
  <c r="V378" i="6"/>
  <c r="R378" i="6"/>
  <c r="Y378" i="6"/>
  <c r="U378" i="6"/>
  <c r="Q378" i="6"/>
  <c r="X378" i="6"/>
  <c r="T378" i="6"/>
  <c r="W382" i="6"/>
  <c r="S382" i="6"/>
  <c r="Z382" i="6"/>
  <c r="V382" i="6"/>
  <c r="R382" i="6"/>
  <c r="Y382" i="6"/>
  <c r="U382" i="6"/>
  <c r="Q382" i="6"/>
  <c r="X382" i="6"/>
  <c r="T382" i="6"/>
  <c r="S386" i="6"/>
  <c r="W386" i="6"/>
  <c r="Z386" i="6"/>
  <c r="V386" i="6"/>
  <c r="R386" i="6"/>
  <c r="Y386" i="6"/>
  <c r="U386" i="6"/>
  <c r="Q386" i="6"/>
  <c r="X386" i="6"/>
  <c r="T386" i="6"/>
  <c r="W390" i="6"/>
  <c r="S390" i="6"/>
  <c r="Z390" i="6"/>
  <c r="V390" i="6"/>
  <c r="R390" i="6"/>
  <c r="Y390" i="6"/>
  <c r="U390" i="6"/>
  <c r="Q390" i="6"/>
  <c r="X390" i="6"/>
  <c r="T390" i="6"/>
  <c r="S394" i="6"/>
  <c r="W394" i="6"/>
  <c r="Z394" i="6"/>
  <c r="V394" i="6"/>
  <c r="R394" i="6"/>
  <c r="Y394" i="6"/>
  <c r="U394" i="6"/>
  <c r="Q394" i="6"/>
  <c r="X394" i="6"/>
  <c r="T394" i="6"/>
  <c r="W398" i="6"/>
  <c r="S398" i="6"/>
  <c r="Z398" i="6"/>
  <c r="V398" i="6"/>
  <c r="R398" i="6"/>
  <c r="Y398" i="6"/>
  <c r="U398" i="6"/>
  <c r="Q398" i="6"/>
  <c r="X398" i="6"/>
  <c r="T398" i="6"/>
  <c r="S402" i="6"/>
  <c r="W402" i="6"/>
  <c r="Z402" i="6"/>
  <c r="V402" i="6"/>
  <c r="R402" i="6"/>
  <c r="Y402" i="6"/>
  <c r="U402" i="6"/>
  <c r="Q402" i="6"/>
  <c r="X402" i="6"/>
  <c r="T402" i="6"/>
  <c r="W406" i="6"/>
  <c r="S406" i="6"/>
  <c r="Z406" i="6"/>
  <c r="V406" i="6"/>
  <c r="R406" i="6"/>
  <c r="Y406" i="6"/>
  <c r="U406" i="6"/>
  <c r="Q406" i="6"/>
  <c r="X406" i="6"/>
  <c r="T406" i="6"/>
  <c r="S410" i="6"/>
  <c r="W410" i="6"/>
  <c r="Z410" i="6"/>
  <c r="V410" i="6"/>
  <c r="R410" i="6"/>
  <c r="Y410" i="6"/>
  <c r="U410" i="6"/>
  <c r="Q410" i="6"/>
  <c r="X410" i="6"/>
  <c r="T410" i="6"/>
  <c r="W414" i="6"/>
  <c r="S414" i="6"/>
  <c r="Z414" i="6"/>
  <c r="V414" i="6"/>
  <c r="R414" i="6"/>
  <c r="Y414" i="6"/>
  <c r="U414" i="6"/>
  <c r="Q414" i="6"/>
  <c r="X414" i="6"/>
  <c r="T414" i="6"/>
  <c r="S418" i="6"/>
  <c r="W418" i="6"/>
  <c r="Z418" i="6"/>
  <c r="V418" i="6"/>
  <c r="R418" i="6"/>
  <c r="Y418" i="6"/>
  <c r="U418" i="6"/>
  <c r="Q418" i="6"/>
  <c r="X418" i="6"/>
  <c r="T418" i="6"/>
  <c r="W422" i="6"/>
  <c r="S422" i="6"/>
  <c r="Z422" i="6"/>
  <c r="V422" i="6"/>
  <c r="R422" i="6"/>
  <c r="Y422" i="6"/>
  <c r="U422" i="6"/>
  <c r="Q422" i="6"/>
  <c r="X422" i="6"/>
  <c r="T422" i="6"/>
  <c r="S426" i="6"/>
  <c r="W426" i="6"/>
  <c r="Z426" i="6"/>
  <c r="V426" i="6"/>
  <c r="R426" i="6"/>
  <c r="Y426" i="6"/>
  <c r="U426" i="6"/>
  <c r="Q426" i="6"/>
  <c r="X426" i="6"/>
  <c r="T426" i="6"/>
  <c r="W430" i="6"/>
  <c r="S430" i="6"/>
  <c r="Z430" i="6"/>
  <c r="V430" i="6"/>
  <c r="R430" i="6"/>
  <c r="Y430" i="6"/>
  <c r="U430" i="6"/>
  <c r="Q430" i="6"/>
  <c r="X430" i="6"/>
  <c r="T430" i="6"/>
  <c r="W434" i="6"/>
  <c r="S434" i="6"/>
  <c r="Z434" i="6"/>
  <c r="V434" i="6"/>
  <c r="R434" i="6"/>
  <c r="Y434" i="6"/>
  <c r="U434" i="6"/>
  <c r="Q434" i="6"/>
  <c r="X434" i="6"/>
  <c r="T434" i="6"/>
  <c r="W438" i="6"/>
  <c r="S438" i="6"/>
  <c r="Z438" i="6"/>
  <c r="V438" i="6"/>
  <c r="R438" i="6"/>
  <c r="Y438" i="6"/>
  <c r="U438" i="6"/>
  <c r="Q438" i="6"/>
  <c r="X438" i="6"/>
  <c r="T438" i="6"/>
  <c r="W442" i="6"/>
  <c r="S442" i="6"/>
  <c r="Z442" i="6"/>
  <c r="V442" i="6"/>
  <c r="R442" i="6"/>
  <c r="Y442" i="6"/>
  <c r="U442" i="6"/>
  <c r="Q442" i="6"/>
  <c r="X442" i="6"/>
  <c r="T442" i="6"/>
  <c r="W446" i="6"/>
  <c r="S446" i="6"/>
  <c r="Z446" i="6"/>
  <c r="V446" i="6"/>
  <c r="R446" i="6"/>
  <c r="Y446" i="6"/>
  <c r="U446" i="6"/>
  <c r="Q446" i="6"/>
  <c r="X446" i="6"/>
  <c r="T446" i="6"/>
  <c r="S450" i="6"/>
  <c r="W450" i="6"/>
  <c r="Z450" i="6"/>
  <c r="V450" i="6"/>
  <c r="R450" i="6"/>
  <c r="Y450" i="6"/>
  <c r="U450" i="6"/>
  <c r="Q450" i="6"/>
  <c r="X450" i="6"/>
  <c r="T450" i="6"/>
  <c r="W454" i="6"/>
  <c r="S454" i="6"/>
  <c r="Z454" i="6"/>
  <c r="V454" i="6"/>
  <c r="R454" i="6"/>
  <c r="Y454" i="6"/>
  <c r="U454" i="6"/>
  <c r="Q454" i="6"/>
  <c r="X454" i="6"/>
  <c r="T454" i="6"/>
  <c r="W458" i="6"/>
  <c r="S458" i="6"/>
  <c r="Z458" i="6"/>
  <c r="V458" i="6"/>
  <c r="R458" i="6"/>
  <c r="Y458" i="6"/>
  <c r="U458" i="6"/>
  <c r="Q458" i="6"/>
  <c r="X458" i="6"/>
  <c r="T458" i="6"/>
  <c r="W462" i="6"/>
  <c r="S462" i="6"/>
  <c r="Z462" i="6"/>
  <c r="V462" i="6"/>
  <c r="R462" i="6"/>
  <c r="Y462" i="6"/>
  <c r="U462" i="6"/>
  <c r="Q462" i="6"/>
  <c r="X462" i="6"/>
  <c r="T462" i="6"/>
  <c r="W466" i="6"/>
  <c r="S466" i="6"/>
  <c r="Z466" i="6"/>
  <c r="V466" i="6"/>
  <c r="R466" i="6"/>
  <c r="Y466" i="6"/>
  <c r="U466" i="6"/>
  <c r="Q466" i="6"/>
  <c r="X466" i="6"/>
  <c r="T466" i="6"/>
  <c r="W470" i="6"/>
  <c r="S470" i="6"/>
  <c r="Z470" i="6"/>
  <c r="V470" i="6"/>
  <c r="R470" i="6"/>
  <c r="Y470" i="6"/>
  <c r="U470" i="6"/>
  <c r="Q470" i="6"/>
  <c r="X470" i="6"/>
  <c r="T470" i="6"/>
  <c r="S474" i="6"/>
  <c r="W474" i="6"/>
  <c r="Z474" i="6"/>
  <c r="V474" i="6"/>
  <c r="R474" i="6"/>
  <c r="Y474" i="6"/>
  <c r="U474" i="6"/>
  <c r="Q474" i="6"/>
  <c r="X474" i="6"/>
  <c r="T474" i="6"/>
  <c r="W478" i="6"/>
  <c r="S478" i="6"/>
  <c r="Z478" i="6"/>
  <c r="V478" i="6"/>
  <c r="R478" i="6"/>
  <c r="Y478" i="6"/>
  <c r="U478" i="6"/>
  <c r="Q478" i="6"/>
  <c r="X478" i="6"/>
  <c r="T478" i="6"/>
  <c r="S482" i="6"/>
  <c r="W482" i="6"/>
  <c r="Z482" i="6"/>
  <c r="V482" i="6"/>
  <c r="R482" i="6"/>
  <c r="Y482" i="6"/>
  <c r="U482" i="6"/>
  <c r="Q482" i="6"/>
  <c r="X482" i="6"/>
  <c r="T482" i="6"/>
  <c r="W486" i="6"/>
  <c r="S486" i="6"/>
  <c r="Z486" i="6"/>
  <c r="V486" i="6"/>
  <c r="R486" i="6"/>
  <c r="Y486" i="6"/>
  <c r="U486" i="6"/>
  <c r="Q486" i="6"/>
  <c r="X486" i="6"/>
  <c r="T486" i="6"/>
  <c r="W490" i="6"/>
  <c r="S490" i="6"/>
  <c r="Z490" i="6"/>
  <c r="V490" i="6"/>
  <c r="R490" i="6"/>
  <c r="Y490" i="6"/>
  <c r="U490" i="6"/>
  <c r="Q490" i="6"/>
  <c r="X490" i="6"/>
  <c r="T490" i="6"/>
  <c r="W494" i="6"/>
  <c r="S494" i="6"/>
  <c r="Z494" i="6"/>
  <c r="V494" i="6"/>
  <c r="R494" i="6"/>
  <c r="Y494" i="6"/>
  <c r="U494" i="6"/>
  <c r="Q494" i="6"/>
  <c r="X494" i="6"/>
  <c r="T494" i="6"/>
  <c r="S498" i="6"/>
  <c r="W498" i="6"/>
  <c r="Z498" i="6"/>
  <c r="V498" i="6"/>
  <c r="R498" i="6"/>
  <c r="Y498" i="6"/>
  <c r="U498" i="6"/>
  <c r="Q498" i="6"/>
  <c r="X498" i="6"/>
  <c r="T498" i="6"/>
  <c r="W502" i="6"/>
  <c r="S502" i="6"/>
  <c r="Z502" i="6"/>
  <c r="V502" i="6"/>
  <c r="R502" i="6"/>
  <c r="Y502" i="6"/>
  <c r="U502" i="6"/>
  <c r="Q502" i="6"/>
  <c r="X502" i="6"/>
  <c r="T502" i="6"/>
  <c r="S506" i="6"/>
  <c r="W506" i="6"/>
  <c r="Z506" i="6"/>
  <c r="V506" i="6"/>
  <c r="R506" i="6"/>
  <c r="Y506" i="6"/>
  <c r="U506" i="6"/>
  <c r="Q506" i="6"/>
  <c r="X506" i="6"/>
  <c r="T506" i="6"/>
  <c r="W510" i="6"/>
  <c r="S510" i="6"/>
  <c r="Z510" i="6"/>
  <c r="V510" i="6"/>
  <c r="R510" i="6"/>
  <c r="Y510" i="6"/>
  <c r="U510" i="6"/>
  <c r="Q510" i="6"/>
  <c r="X510" i="6"/>
  <c r="T510" i="6"/>
  <c r="S514" i="6"/>
  <c r="W514" i="6"/>
  <c r="Z514" i="6"/>
  <c r="V514" i="6"/>
  <c r="R514" i="6"/>
  <c r="Y514" i="6"/>
  <c r="U514" i="6"/>
  <c r="Q514" i="6"/>
  <c r="X514" i="6"/>
  <c r="T514" i="6"/>
  <c r="W518" i="6"/>
  <c r="S518" i="6"/>
  <c r="Z518" i="6"/>
  <c r="V518" i="6"/>
  <c r="R518" i="6"/>
  <c r="Y518" i="6"/>
  <c r="U518" i="6"/>
  <c r="Q518" i="6"/>
  <c r="X518" i="6"/>
  <c r="T518" i="6"/>
  <c r="S522" i="6"/>
  <c r="W522" i="6"/>
  <c r="Z522" i="6"/>
  <c r="V522" i="6"/>
  <c r="R522" i="6"/>
  <c r="Y522" i="6"/>
  <c r="U522" i="6"/>
  <c r="Q522" i="6"/>
  <c r="X522" i="6"/>
  <c r="T522" i="6"/>
  <c r="Y526" i="6"/>
  <c r="X526" i="6"/>
  <c r="T526" i="6"/>
  <c r="Q526" i="6"/>
  <c r="W526" i="6"/>
  <c r="S526" i="6"/>
  <c r="U526" i="6"/>
  <c r="Z526" i="6"/>
  <c r="V526" i="6"/>
  <c r="R526" i="6"/>
  <c r="Q530" i="6"/>
  <c r="X530" i="6"/>
  <c r="T530" i="6"/>
  <c r="Y530" i="6"/>
  <c r="W530" i="6"/>
  <c r="S530" i="6"/>
  <c r="U530" i="6"/>
  <c r="Z530" i="6"/>
  <c r="V530" i="6"/>
  <c r="R530" i="6"/>
  <c r="Y534" i="6"/>
  <c r="X534" i="6"/>
  <c r="T534" i="6"/>
  <c r="Q534" i="6"/>
  <c r="W534" i="6"/>
  <c r="S534" i="6"/>
  <c r="U534" i="6"/>
  <c r="Z534" i="6"/>
  <c r="V534" i="6"/>
  <c r="R534" i="6"/>
  <c r="Q538" i="6"/>
  <c r="X538" i="6"/>
  <c r="T538" i="6"/>
  <c r="Y538" i="6"/>
  <c r="W538" i="6"/>
  <c r="S538" i="6"/>
  <c r="U538" i="6"/>
  <c r="Z538" i="6"/>
  <c r="V538" i="6"/>
  <c r="R538" i="6"/>
  <c r="X542" i="6"/>
  <c r="T542" i="6"/>
  <c r="U542" i="6"/>
  <c r="W542" i="6"/>
  <c r="S542" i="6"/>
  <c r="Y542" i="6"/>
  <c r="Q542" i="6"/>
  <c r="Z542" i="6"/>
  <c r="V542" i="6"/>
  <c r="R542" i="6"/>
  <c r="Y546" i="6"/>
  <c r="X546" i="6"/>
  <c r="T546" i="6"/>
  <c r="Q546" i="6"/>
  <c r="W546" i="6"/>
  <c r="S546" i="6"/>
  <c r="U546" i="6"/>
  <c r="Z546" i="6"/>
  <c r="V546" i="6"/>
  <c r="R546" i="6"/>
  <c r="Y550" i="6"/>
  <c r="X550" i="6"/>
  <c r="T550" i="6"/>
  <c r="U550" i="6"/>
  <c r="W550" i="6"/>
  <c r="S550" i="6"/>
  <c r="Q550" i="6"/>
  <c r="Z550" i="6"/>
  <c r="V550" i="6"/>
  <c r="R550" i="6"/>
  <c r="Y554" i="6"/>
  <c r="X554" i="6"/>
  <c r="T554" i="6"/>
  <c r="Q554" i="6"/>
  <c r="W554" i="6"/>
  <c r="S554" i="6"/>
  <c r="U554" i="6"/>
  <c r="Z554" i="6"/>
  <c r="V554" i="6"/>
  <c r="R554" i="6"/>
  <c r="U558" i="6"/>
  <c r="X558" i="6"/>
  <c r="T558" i="6"/>
  <c r="Y558" i="6"/>
  <c r="W558" i="6"/>
  <c r="S558" i="6"/>
  <c r="Q558" i="6"/>
  <c r="Z558" i="6"/>
  <c r="V558" i="6"/>
  <c r="R558" i="6"/>
  <c r="Y562" i="6"/>
  <c r="X562" i="6"/>
  <c r="T562" i="6"/>
  <c r="Q562" i="6"/>
  <c r="W562" i="6"/>
  <c r="S562" i="6"/>
  <c r="U562" i="6"/>
  <c r="Z562" i="6"/>
  <c r="V562" i="6"/>
  <c r="R562" i="6"/>
  <c r="Q566" i="6"/>
  <c r="X566" i="6"/>
  <c r="T566" i="6"/>
  <c r="Y566" i="6"/>
  <c r="W566" i="6"/>
  <c r="S566" i="6"/>
  <c r="U566" i="6"/>
  <c r="Z566" i="6"/>
  <c r="V566" i="6"/>
  <c r="R566" i="6"/>
  <c r="Y570" i="6"/>
  <c r="X570" i="6"/>
  <c r="T570" i="6"/>
  <c r="U570" i="6"/>
  <c r="W570" i="6"/>
  <c r="S570" i="6"/>
  <c r="Q570" i="6"/>
  <c r="Z570" i="6"/>
  <c r="V570" i="6"/>
  <c r="R570" i="6"/>
  <c r="Y574" i="6"/>
  <c r="X574" i="6"/>
  <c r="T574" i="6"/>
  <c r="U574" i="6"/>
  <c r="W574" i="6"/>
  <c r="S574" i="6"/>
  <c r="Q574" i="6"/>
  <c r="Z574" i="6"/>
  <c r="V574" i="6"/>
  <c r="R574" i="6"/>
  <c r="Y578" i="6"/>
  <c r="Q578" i="6"/>
  <c r="X578" i="6"/>
  <c r="T578" i="6"/>
  <c r="U578" i="6"/>
  <c r="W578" i="6"/>
  <c r="S578" i="6"/>
  <c r="Z578" i="6"/>
  <c r="V578" i="6"/>
  <c r="R578" i="6"/>
  <c r="U582" i="6"/>
  <c r="X582" i="6"/>
  <c r="T582" i="6"/>
  <c r="Q582" i="6"/>
  <c r="W582" i="6"/>
  <c r="S582" i="6"/>
  <c r="Y582" i="6"/>
  <c r="Z582" i="6"/>
  <c r="V582" i="6"/>
  <c r="R582" i="6"/>
  <c r="Q586" i="6"/>
  <c r="X586" i="6"/>
  <c r="T586" i="6"/>
  <c r="Y586" i="6"/>
  <c r="W586" i="6"/>
  <c r="S586" i="6"/>
  <c r="U586" i="6"/>
  <c r="Z586" i="6"/>
  <c r="V586" i="6"/>
  <c r="R586" i="6"/>
  <c r="Y590" i="6"/>
  <c r="Q590" i="6"/>
  <c r="X590" i="6"/>
  <c r="T590" i="6"/>
  <c r="W590" i="6"/>
  <c r="S590" i="6"/>
  <c r="U590" i="6"/>
  <c r="Z590" i="6"/>
  <c r="V590" i="6"/>
  <c r="R590" i="6"/>
  <c r="U594" i="6"/>
  <c r="X594" i="6"/>
  <c r="T594" i="6"/>
  <c r="Y594" i="6"/>
  <c r="W594" i="6"/>
  <c r="S594" i="6"/>
  <c r="Q594" i="6"/>
  <c r="Z594" i="6"/>
  <c r="V594" i="6"/>
  <c r="R594" i="6"/>
  <c r="Y598" i="6"/>
  <c r="X598" i="6"/>
  <c r="T598" i="6"/>
  <c r="U598" i="6"/>
  <c r="W598" i="6"/>
  <c r="S598" i="6"/>
  <c r="Q598" i="6"/>
  <c r="Z598" i="6"/>
  <c r="V598" i="6"/>
  <c r="R598" i="6"/>
  <c r="U602" i="6"/>
  <c r="X602" i="6"/>
  <c r="T602" i="6"/>
  <c r="Q602" i="6"/>
  <c r="W602" i="6"/>
  <c r="S602" i="6"/>
  <c r="Y602" i="6"/>
  <c r="Z602" i="6"/>
  <c r="V602" i="6"/>
  <c r="R602" i="6"/>
  <c r="Y606" i="6"/>
  <c r="X606" i="6"/>
  <c r="T606" i="6"/>
  <c r="U606" i="6"/>
  <c r="S606" i="6"/>
  <c r="Q606" i="6"/>
  <c r="W606" i="6"/>
  <c r="Z606" i="6"/>
  <c r="V606" i="6"/>
  <c r="R606" i="6"/>
  <c r="Q596" i="6"/>
  <c r="X596" i="6"/>
  <c r="T596" i="6"/>
  <c r="U596" i="6"/>
  <c r="W596" i="6"/>
  <c r="S596" i="6"/>
  <c r="Y596" i="6"/>
  <c r="Z596" i="6"/>
  <c r="V596" i="6"/>
  <c r="R596" i="6"/>
  <c r="W605" i="6"/>
  <c r="Z605" i="6"/>
  <c r="V605" i="6"/>
  <c r="R605" i="6"/>
  <c r="U605" i="6"/>
  <c r="S605" i="6"/>
  <c r="Y605" i="6"/>
  <c r="Q605" i="6"/>
  <c r="X605" i="6"/>
  <c r="T605" i="6"/>
  <c r="R7" i="6"/>
  <c r="Z7" i="6"/>
  <c r="V7" i="6"/>
  <c r="Y7" i="6"/>
  <c r="U7" i="6"/>
  <c r="Q7" i="6"/>
  <c r="X7" i="6"/>
  <c r="T7" i="6"/>
  <c r="W7" i="6"/>
  <c r="S7" i="6"/>
  <c r="Z11" i="6"/>
  <c r="V11" i="6"/>
  <c r="R11" i="6"/>
  <c r="Y11" i="6"/>
  <c r="U11" i="6"/>
  <c r="Q11" i="6"/>
  <c r="X11" i="6"/>
  <c r="T11" i="6"/>
  <c r="W11" i="6"/>
  <c r="S11" i="6"/>
  <c r="R15" i="6"/>
  <c r="Z15" i="6"/>
  <c r="V15" i="6"/>
  <c r="Y15" i="6"/>
  <c r="U15" i="6"/>
  <c r="Q15" i="6"/>
  <c r="X15" i="6"/>
  <c r="T15" i="6"/>
  <c r="W15" i="6"/>
  <c r="S15" i="6"/>
  <c r="Z19" i="6"/>
  <c r="V19" i="6"/>
  <c r="R19" i="6"/>
  <c r="Y19" i="6"/>
  <c r="U19" i="6"/>
  <c r="Q19" i="6"/>
  <c r="X19" i="6"/>
  <c r="T19" i="6"/>
  <c r="W19" i="6"/>
  <c r="S19" i="6"/>
  <c r="R23" i="6"/>
  <c r="Z23" i="6"/>
  <c r="V23" i="6"/>
  <c r="Y23" i="6"/>
  <c r="U23" i="6"/>
  <c r="Q23" i="6"/>
  <c r="X23" i="6"/>
  <c r="T23" i="6"/>
  <c r="W23" i="6"/>
  <c r="S23" i="6"/>
  <c r="Z27" i="6"/>
  <c r="V27" i="6"/>
  <c r="R27" i="6"/>
  <c r="Y27" i="6"/>
  <c r="U27" i="6"/>
  <c r="Q27" i="6"/>
  <c r="X27" i="6"/>
  <c r="T27" i="6"/>
  <c r="W27" i="6"/>
  <c r="S27" i="6"/>
  <c r="R31" i="6"/>
  <c r="Z31" i="6"/>
  <c r="V31" i="6"/>
  <c r="Y31" i="6"/>
  <c r="U31" i="6"/>
  <c r="Q31" i="6"/>
  <c r="X31" i="6"/>
  <c r="T31" i="6"/>
  <c r="W31" i="6"/>
  <c r="S31" i="6"/>
  <c r="Z35" i="6"/>
  <c r="V35" i="6"/>
  <c r="R35" i="6"/>
  <c r="Y35" i="6"/>
  <c r="U35" i="6"/>
  <c r="Q35" i="6"/>
  <c r="X35" i="6"/>
  <c r="T35" i="6"/>
  <c r="W35" i="6"/>
  <c r="S35" i="6"/>
  <c r="R39" i="6"/>
  <c r="W39" i="6"/>
  <c r="V39" i="6"/>
  <c r="Z39" i="6"/>
  <c r="T39" i="6"/>
  <c r="X39" i="6"/>
  <c r="S39" i="6"/>
  <c r="Y39" i="6"/>
  <c r="U39" i="6"/>
  <c r="Q39" i="6"/>
  <c r="T43" i="6"/>
  <c r="Z43" i="6"/>
  <c r="X43" i="6"/>
  <c r="S43" i="6"/>
  <c r="W43" i="6"/>
  <c r="R43" i="6"/>
  <c r="V43" i="6"/>
  <c r="Y43" i="6"/>
  <c r="U43" i="6"/>
  <c r="Q43" i="6"/>
  <c r="W47" i="6"/>
  <c r="R47" i="6"/>
  <c r="V47" i="6"/>
  <c r="Z47" i="6"/>
  <c r="T47" i="6"/>
  <c r="X47" i="6"/>
  <c r="S47" i="6"/>
  <c r="Y47" i="6"/>
  <c r="U47" i="6"/>
  <c r="Q47" i="6"/>
  <c r="Z51" i="6"/>
  <c r="T51" i="6"/>
  <c r="X51" i="6"/>
  <c r="S51" i="6"/>
  <c r="W51" i="6"/>
  <c r="R51" i="6"/>
  <c r="V51" i="6"/>
  <c r="Y51" i="6"/>
  <c r="U51" i="6"/>
  <c r="Q51" i="6"/>
  <c r="Y55" i="6"/>
  <c r="Q55" i="6"/>
  <c r="U55" i="6"/>
  <c r="X55" i="6"/>
  <c r="T55" i="6"/>
  <c r="W55" i="6"/>
  <c r="S55" i="6"/>
  <c r="Z55" i="6"/>
  <c r="V55" i="6"/>
  <c r="R55" i="6"/>
  <c r="Q59" i="6"/>
  <c r="Y59" i="6"/>
  <c r="U59" i="6"/>
  <c r="X59" i="6"/>
  <c r="T59" i="6"/>
  <c r="W59" i="6"/>
  <c r="S59" i="6"/>
  <c r="Z59" i="6"/>
  <c r="V59" i="6"/>
  <c r="R59" i="6"/>
  <c r="Y63" i="6"/>
  <c r="Q63" i="6"/>
  <c r="U63" i="6"/>
  <c r="X63" i="6"/>
  <c r="T63" i="6"/>
  <c r="W63" i="6"/>
  <c r="S63" i="6"/>
  <c r="Z63" i="6"/>
  <c r="V63" i="6"/>
  <c r="R63" i="6"/>
  <c r="Q67" i="6"/>
  <c r="Y67" i="6"/>
  <c r="U67" i="6"/>
  <c r="X67" i="6"/>
  <c r="T67" i="6"/>
  <c r="W67" i="6"/>
  <c r="S67" i="6"/>
  <c r="Z67" i="6"/>
  <c r="V67" i="6"/>
  <c r="R67" i="6"/>
  <c r="Y71" i="6"/>
  <c r="U71" i="6"/>
  <c r="Q71" i="6"/>
  <c r="X71" i="6"/>
  <c r="T71" i="6"/>
  <c r="W71" i="6"/>
  <c r="S71" i="6"/>
  <c r="Z71" i="6"/>
  <c r="V71" i="6"/>
  <c r="R71" i="6"/>
  <c r="Q75" i="6"/>
  <c r="Y75" i="6"/>
  <c r="U75" i="6"/>
  <c r="X75" i="6"/>
  <c r="T75" i="6"/>
  <c r="W75" i="6"/>
  <c r="S75" i="6"/>
  <c r="Z75" i="6"/>
  <c r="V75" i="6"/>
  <c r="R75" i="6"/>
  <c r="V79" i="6"/>
  <c r="T79" i="6"/>
  <c r="Q79" i="6"/>
  <c r="Y79" i="6"/>
  <c r="Z79" i="6"/>
  <c r="U79" i="6"/>
  <c r="X79" i="6"/>
  <c r="R79" i="6"/>
  <c r="W79" i="6"/>
  <c r="S79" i="6"/>
  <c r="Y83" i="6"/>
  <c r="V83" i="6"/>
  <c r="T83" i="6"/>
  <c r="Q83" i="6"/>
  <c r="X83" i="6"/>
  <c r="R83" i="6"/>
  <c r="Z83" i="6"/>
  <c r="U83" i="6"/>
  <c r="W83" i="6"/>
  <c r="S83" i="6"/>
  <c r="Z87" i="6"/>
  <c r="R87" i="6"/>
  <c r="X87" i="6"/>
  <c r="V87" i="6"/>
  <c r="T87" i="6"/>
  <c r="Y87" i="6"/>
  <c r="U87" i="6"/>
  <c r="Q87" i="6"/>
  <c r="W87" i="6"/>
  <c r="S87" i="6"/>
  <c r="R91" i="6"/>
  <c r="Z91" i="6"/>
  <c r="X91" i="6"/>
  <c r="V91" i="6"/>
  <c r="T91" i="6"/>
  <c r="Y91" i="6"/>
  <c r="U91" i="6"/>
  <c r="Q91" i="6"/>
  <c r="W91" i="6"/>
  <c r="S91" i="6"/>
  <c r="Z95" i="6"/>
  <c r="R95" i="6"/>
  <c r="X95" i="6"/>
  <c r="V95" i="6"/>
  <c r="T95" i="6"/>
  <c r="Y95" i="6"/>
  <c r="U95" i="6"/>
  <c r="Q95" i="6"/>
  <c r="W95" i="6"/>
  <c r="S95" i="6"/>
  <c r="Z99" i="6"/>
  <c r="R99" i="6"/>
  <c r="X99" i="6"/>
  <c r="V99" i="6"/>
  <c r="T99" i="6"/>
  <c r="Y99" i="6"/>
  <c r="U99" i="6"/>
  <c r="Q99" i="6"/>
  <c r="W99" i="6"/>
  <c r="S99" i="6"/>
  <c r="Z103" i="6"/>
  <c r="R103" i="6"/>
  <c r="X103" i="6"/>
  <c r="V103" i="6"/>
  <c r="T103" i="6"/>
  <c r="Y103" i="6"/>
  <c r="U103" i="6"/>
  <c r="Q103" i="6"/>
  <c r="W103" i="6"/>
  <c r="S103" i="6"/>
  <c r="R107" i="6"/>
  <c r="Z107" i="6"/>
  <c r="X107" i="6"/>
  <c r="V107" i="6"/>
  <c r="T107" i="6"/>
  <c r="Y107" i="6"/>
  <c r="U107" i="6"/>
  <c r="Q107" i="6"/>
  <c r="W107" i="6"/>
  <c r="S107" i="6"/>
  <c r="Z111" i="6"/>
  <c r="R111" i="6"/>
  <c r="X111" i="6"/>
  <c r="V111" i="6"/>
  <c r="T111" i="6"/>
  <c r="Y111" i="6"/>
  <c r="U111" i="6"/>
  <c r="Q111" i="6"/>
  <c r="W111" i="6"/>
  <c r="S111" i="6"/>
  <c r="Z115" i="6"/>
  <c r="R115" i="6"/>
  <c r="X115" i="6"/>
  <c r="V115" i="6"/>
  <c r="T115" i="6"/>
  <c r="Y115" i="6"/>
  <c r="U115" i="6"/>
  <c r="Q115" i="6"/>
  <c r="W115" i="6"/>
  <c r="S115" i="6"/>
  <c r="X119" i="6"/>
  <c r="S119" i="6"/>
  <c r="W119" i="6"/>
  <c r="R119" i="6"/>
  <c r="V119" i="6"/>
  <c r="Z119" i="6"/>
  <c r="T119" i="6"/>
  <c r="Y119" i="6"/>
  <c r="U119" i="6"/>
  <c r="Q119" i="6"/>
  <c r="V123" i="6"/>
  <c r="Z123" i="6"/>
  <c r="T123" i="6"/>
  <c r="X123" i="6"/>
  <c r="S123" i="6"/>
  <c r="W123" i="6"/>
  <c r="R123" i="6"/>
  <c r="Y123" i="6"/>
  <c r="U123" i="6"/>
  <c r="Q123" i="6"/>
  <c r="X127" i="6"/>
  <c r="T127" i="6"/>
  <c r="W127" i="6"/>
  <c r="S127" i="6"/>
  <c r="Z127" i="6"/>
  <c r="V127" i="6"/>
  <c r="R127" i="6"/>
  <c r="Y127" i="6"/>
  <c r="U127" i="6"/>
  <c r="Q127" i="6"/>
  <c r="X131" i="6"/>
  <c r="T131" i="6"/>
  <c r="W131" i="6"/>
  <c r="S131" i="6"/>
  <c r="Z131" i="6"/>
  <c r="V131" i="6"/>
  <c r="R131" i="6"/>
  <c r="Y131" i="6"/>
  <c r="U131" i="6"/>
  <c r="Q131" i="6"/>
  <c r="X135" i="6"/>
  <c r="T135" i="6"/>
  <c r="W135" i="6"/>
  <c r="S135" i="6"/>
  <c r="Z135" i="6"/>
  <c r="V135" i="6"/>
  <c r="R135" i="6"/>
  <c r="Y135" i="6"/>
  <c r="U135" i="6"/>
  <c r="Q135" i="6"/>
  <c r="X139" i="6"/>
  <c r="T139" i="6"/>
  <c r="W139" i="6"/>
  <c r="S139" i="6"/>
  <c r="Z139" i="6"/>
  <c r="V139" i="6"/>
  <c r="R139" i="6"/>
  <c r="Y139" i="6"/>
  <c r="U139" i="6"/>
  <c r="Q139" i="6"/>
  <c r="X143" i="6"/>
  <c r="T143" i="6"/>
  <c r="W143" i="6"/>
  <c r="S143" i="6"/>
  <c r="Z143" i="6"/>
  <c r="V143" i="6"/>
  <c r="R143" i="6"/>
  <c r="Y143" i="6"/>
  <c r="U143" i="6"/>
  <c r="Q143" i="6"/>
  <c r="X147" i="6"/>
  <c r="T147" i="6"/>
  <c r="W147" i="6"/>
  <c r="S147" i="6"/>
  <c r="Z147" i="6"/>
  <c r="V147" i="6"/>
  <c r="R147" i="6"/>
  <c r="Y147" i="6"/>
  <c r="U147" i="6"/>
  <c r="Q147" i="6"/>
  <c r="X151" i="6"/>
  <c r="T151" i="6"/>
  <c r="W151" i="6"/>
  <c r="S151" i="6"/>
  <c r="Z151" i="6"/>
  <c r="V151" i="6"/>
  <c r="R151" i="6"/>
  <c r="Y151" i="6"/>
  <c r="U151" i="6"/>
  <c r="Q151" i="6"/>
  <c r="X155" i="6"/>
  <c r="T155" i="6"/>
  <c r="W155" i="6"/>
  <c r="S155" i="6"/>
  <c r="Z155" i="6"/>
  <c r="V155" i="6"/>
  <c r="R155" i="6"/>
  <c r="Y155" i="6"/>
  <c r="U155" i="6"/>
  <c r="Q155" i="6"/>
  <c r="X159" i="6"/>
  <c r="T159" i="6"/>
  <c r="W159" i="6"/>
  <c r="S159" i="6"/>
  <c r="Z159" i="6"/>
  <c r="V159" i="6"/>
  <c r="R159" i="6"/>
  <c r="Y159" i="6"/>
  <c r="U159" i="6"/>
  <c r="Q159" i="6"/>
  <c r="X163" i="6"/>
  <c r="T163" i="6"/>
  <c r="W163" i="6"/>
  <c r="S163" i="6"/>
  <c r="Z163" i="6"/>
  <c r="V163" i="6"/>
  <c r="R163" i="6"/>
  <c r="Y163" i="6"/>
  <c r="U163" i="6"/>
  <c r="Q163" i="6"/>
  <c r="X167" i="6"/>
  <c r="T167" i="6"/>
  <c r="W167" i="6"/>
  <c r="S167" i="6"/>
  <c r="Z167" i="6"/>
  <c r="V167" i="6"/>
  <c r="R167" i="6"/>
  <c r="Y167" i="6"/>
  <c r="U167" i="6"/>
  <c r="Q167" i="6"/>
  <c r="X171" i="6"/>
  <c r="T171" i="6"/>
  <c r="W171" i="6"/>
  <c r="S171" i="6"/>
  <c r="Z171" i="6"/>
  <c r="V171" i="6"/>
  <c r="R171" i="6"/>
  <c r="Y171" i="6"/>
  <c r="U171" i="6"/>
  <c r="Q171" i="6"/>
  <c r="X175" i="6"/>
  <c r="T175" i="6"/>
  <c r="W175" i="6"/>
  <c r="S175" i="6"/>
  <c r="Z175" i="6"/>
  <c r="V175" i="6"/>
  <c r="R175" i="6"/>
  <c r="Y175" i="6"/>
  <c r="U175" i="6"/>
  <c r="Q175" i="6"/>
  <c r="X179" i="6"/>
  <c r="T179" i="6"/>
  <c r="W179" i="6"/>
  <c r="S179" i="6"/>
  <c r="Z179" i="6"/>
  <c r="V179" i="6"/>
  <c r="R179" i="6"/>
  <c r="Y179" i="6"/>
  <c r="U179" i="6"/>
  <c r="Q179" i="6"/>
  <c r="X183" i="6"/>
  <c r="T183" i="6"/>
  <c r="W183" i="6"/>
  <c r="S183" i="6"/>
  <c r="Z183" i="6"/>
  <c r="V183" i="6"/>
  <c r="R183" i="6"/>
  <c r="Y183" i="6"/>
  <c r="U183" i="6"/>
  <c r="Q183" i="6"/>
  <c r="X187" i="6"/>
  <c r="T187" i="6"/>
  <c r="W187" i="6"/>
  <c r="S187" i="6"/>
  <c r="Z187" i="6"/>
  <c r="V187" i="6"/>
  <c r="R187" i="6"/>
  <c r="Y187" i="6"/>
  <c r="U187" i="6"/>
  <c r="Q187" i="6"/>
  <c r="X191" i="6"/>
  <c r="T191" i="6"/>
  <c r="W191" i="6"/>
  <c r="S191" i="6"/>
  <c r="Z191" i="6"/>
  <c r="V191" i="6"/>
  <c r="R191" i="6"/>
  <c r="Y191" i="6"/>
  <c r="U191" i="6"/>
  <c r="Q191" i="6"/>
  <c r="T195" i="6"/>
  <c r="X195" i="6"/>
  <c r="W195" i="6"/>
  <c r="Q195" i="6"/>
  <c r="Z195" i="6"/>
  <c r="V195" i="6"/>
  <c r="Y195" i="6"/>
  <c r="U195" i="6"/>
  <c r="S195" i="6"/>
  <c r="R195" i="6"/>
  <c r="X199" i="6"/>
  <c r="T199" i="6"/>
  <c r="W199" i="6"/>
  <c r="S199" i="6"/>
  <c r="Z199" i="6"/>
  <c r="V199" i="6"/>
  <c r="R199" i="6"/>
  <c r="Y199" i="6"/>
  <c r="U199" i="6"/>
  <c r="Q199" i="6"/>
  <c r="T203" i="6"/>
  <c r="X203" i="6"/>
  <c r="W203" i="6"/>
  <c r="S203" i="6"/>
  <c r="Z203" i="6"/>
  <c r="V203" i="6"/>
  <c r="R203" i="6"/>
  <c r="Y203" i="6"/>
  <c r="U203" i="6"/>
  <c r="Q203" i="6"/>
  <c r="X207" i="6"/>
  <c r="T207" i="6"/>
  <c r="W207" i="6"/>
  <c r="S207" i="6"/>
  <c r="Z207" i="6"/>
  <c r="V207" i="6"/>
  <c r="R207" i="6"/>
  <c r="Y207" i="6"/>
  <c r="U207" i="6"/>
  <c r="Q207" i="6"/>
  <c r="T211" i="6"/>
  <c r="X211" i="6"/>
  <c r="W211" i="6"/>
  <c r="S211" i="6"/>
  <c r="Z211" i="6"/>
  <c r="V211" i="6"/>
  <c r="R211" i="6"/>
  <c r="Y211" i="6"/>
  <c r="U211" i="6"/>
  <c r="Q211" i="6"/>
  <c r="X215" i="6"/>
  <c r="T215" i="6"/>
  <c r="W215" i="6"/>
  <c r="S215" i="6"/>
  <c r="Z215" i="6"/>
  <c r="V215" i="6"/>
  <c r="R215" i="6"/>
  <c r="Y215" i="6"/>
  <c r="U215" i="6"/>
  <c r="Q215" i="6"/>
  <c r="T219" i="6"/>
  <c r="X219" i="6"/>
  <c r="W219" i="6"/>
  <c r="S219" i="6"/>
  <c r="Z219" i="6"/>
  <c r="V219" i="6"/>
  <c r="R219" i="6"/>
  <c r="Y219" i="6"/>
  <c r="U219" i="6"/>
  <c r="Q219" i="6"/>
  <c r="X223" i="6"/>
  <c r="T223" i="6"/>
  <c r="W223" i="6"/>
  <c r="S223" i="6"/>
  <c r="Z223" i="6"/>
  <c r="V223" i="6"/>
  <c r="R223" i="6"/>
  <c r="Y223" i="6"/>
  <c r="U223" i="6"/>
  <c r="Q223" i="6"/>
  <c r="T227" i="6"/>
  <c r="X227" i="6"/>
  <c r="W227" i="6"/>
  <c r="S227" i="6"/>
  <c r="Z227" i="6"/>
  <c r="V227" i="6"/>
  <c r="R227" i="6"/>
  <c r="Y227" i="6"/>
  <c r="U227" i="6"/>
  <c r="Q227" i="6"/>
  <c r="X231" i="6"/>
  <c r="T231" i="6"/>
  <c r="W231" i="6"/>
  <c r="S231" i="6"/>
  <c r="Z231" i="6"/>
  <c r="V231" i="6"/>
  <c r="R231" i="6"/>
  <c r="Y231" i="6"/>
  <c r="U231" i="6"/>
  <c r="Q231" i="6"/>
  <c r="T235" i="6"/>
  <c r="X235" i="6"/>
  <c r="W235" i="6"/>
  <c r="S235" i="6"/>
  <c r="Z235" i="6"/>
  <c r="V235" i="6"/>
  <c r="R235" i="6"/>
  <c r="Y235" i="6"/>
  <c r="U235" i="6"/>
  <c r="Q235" i="6"/>
  <c r="X239" i="6"/>
  <c r="T239" i="6"/>
  <c r="W239" i="6"/>
  <c r="S239" i="6"/>
  <c r="Z239" i="6"/>
  <c r="V239" i="6"/>
  <c r="R239" i="6"/>
  <c r="Y239" i="6"/>
  <c r="U239" i="6"/>
  <c r="Q239" i="6"/>
  <c r="T243" i="6"/>
  <c r="X243" i="6"/>
  <c r="W243" i="6"/>
  <c r="S243" i="6"/>
  <c r="Z243" i="6"/>
  <c r="V243" i="6"/>
  <c r="R243" i="6"/>
  <c r="Y243" i="6"/>
  <c r="U243" i="6"/>
  <c r="Q243" i="6"/>
  <c r="X247" i="6"/>
  <c r="T247" i="6"/>
  <c r="W247" i="6"/>
  <c r="S247" i="6"/>
  <c r="Z247" i="6"/>
  <c r="V247" i="6"/>
  <c r="R247" i="6"/>
  <c r="Y247" i="6"/>
  <c r="U247" i="6"/>
  <c r="Q247" i="6"/>
  <c r="T251" i="6"/>
  <c r="X251" i="6"/>
  <c r="W251" i="6"/>
  <c r="S251" i="6"/>
  <c r="Z251" i="6"/>
  <c r="V251" i="6"/>
  <c r="R251" i="6"/>
  <c r="Y251" i="6"/>
  <c r="U251" i="6"/>
  <c r="Q251" i="6"/>
  <c r="X255" i="6"/>
  <c r="T255" i="6"/>
  <c r="W255" i="6"/>
  <c r="S255" i="6"/>
  <c r="Z255" i="6"/>
  <c r="V255" i="6"/>
  <c r="R255" i="6"/>
  <c r="Y255" i="6"/>
  <c r="U255" i="6"/>
  <c r="Q255" i="6"/>
  <c r="T259" i="6"/>
  <c r="X259" i="6"/>
  <c r="W259" i="6"/>
  <c r="S259" i="6"/>
  <c r="Z259" i="6"/>
  <c r="V259" i="6"/>
  <c r="R259" i="6"/>
  <c r="Y259" i="6"/>
  <c r="U259" i="6"/>
  <c r="Q259" i="6"/>
  <c r="X263" i="6"/>
  <c r="T263" i="6"/>
  <c r="W263" i="6"/>
  <c r="S263" i="6"/>
  <c r="Z263" i="6"/>
  <c r="V263" i="6"/>
  <c r="R263" i="6"/>
  <c r="Y263" i="6"/>
  <c r="U263" i="6"/>
  <c r="Q263" i="6"/>
  <c r="T267" i="6"/>
  <c r="X267" i="6"/>
  <c r="W267" i="6"/>
  <c r="S267" i="6"/>
  <c r="Z267" i="6"/>
  <c r="V267" i="6"/>
  <c r="R267" i="6"/>
  <c r="Y267" i="6"/>
  <c r="U267" i="6"/>
  <c r="Q267" i="6"/>
  <c r="Z271" i="6"/>
  <c r="T271" i="6"/>
  <c r="Y271" i="6"/>
  <c r="Q271" i="6"/>
  <c r="X271" i="6"/>
  <c r="U271" i="6"/>
  <c r="W271" i="6"/>
  <c r="S271" i="6"/>
  <c r="V271" i="6"/>
  <c r="R271" i="6"/>
  <c r="Z275" i="6"/>
  <c r="V275" i="6"/>
  <c r="R275" i="6"/>
  <c r="Y275" i="6"/>
  <c r="U275" i="6"/>
  <c r="Q275" i="6"/>
  <c r="X275" i="6"/>
  <c r="T275" i="6"/>
  <c r="W275" i="6"/>
  <c r="S275" i="6"/>
  <c r="R279" i="6"/>
  <c r="Z279" i="6"/>
  <c r="V279" i="6"/>
  <c r="Y279" i="6"/>
  <c r="U279" i="6"/>
  <c r="Q279" i="6"/>
  <c r="X279" i="6"/>
  <c r="T279" i="6"/>
  <c r="W279" i="6"/>
  <c r="S279" i="6"/>
  <c r="Z283" i="6"/>
  <c r="V283" i="6"/>
  <c r="R283" i="6"/>
  <c r="Y283" i="6"/>
  <c r="U283" i="6"/>
  <c r="Q283" i="6"/>
  <c r="X283" i="6"/>
  <c r="T283" i="6"/>
  <c r="W283" i="6"/>
  <c r="S283" i="6"/>
  <c r="R287" i="6"/>
  <c r="Z287" i="6"/>
  <c r="V287" i="6"/>
  <c r="Y287" i="6"/>
  <c r="U287" i="6"/>
  <c r="Q287" i="6"/>
  <c r="X287" i="6"/>
  <c r="T287" i="6"/>
  <c r="W287" i="6"/>
  <c r="S287" i="6"/>
  <c r="Z291" i="6"/>
  <c r="V291" i="6"/>
  <c r="R291" i="6"/>
  <c r="Y291" i="6"/>
  <c r="U291" i="6"/>
  <c r="Q291" i="6"/>
  <c r="X291" i="6"/>
  <c r="T291" i="6"/>
  <c r="W291" i="6"/>
  <c r="S291" i="6"/>
  <c r="R295" i="6"/>
  <c r="Z295" i="6"/>
  <c r="V295" i="6"/>
  <c r="Y295" i="6"/>
  <c r="U295" i="6"/>
  <c r="Q295" i="6"/>
  <c r="X295" i="6"/>
  <c r="T295" i="6"/>
  <c r="W295" i="6"/>
  <c r="S295" i="6"/>
  <c r="Z299" i="6"/>
  <c r="V299" i="6"/>
  <c r="R299" i="6"/>
  <c r="Y299" i="6"/>
  <c r="U299" i="6"/>
  <c r="Q299" i="6"/>
  <c r="X299" i="6"/>
  <c r="T299" i="6"/>
  <c r="W299" i="6"/>
  <c r="S299" i="6"/>
  <c r="R303" i="6"/>
  <c r="Z303" i="6"/>
  <c r="V303" i="6"/>
  <c r="Y303" i="6"/>
  <c r="U303" i="6"/>
  <c r="Q303" i="6"/>
  <c r="X303" i="6"/>
  <c r="T303" i="6"/>
  <c r="W303" i="6"/>
  <c r="S303" i="6"/>
  <c r="Z307" i="6"/>
  <c r="V307" i="6"/>
  <c r="R307" i="6"/>
  <c r="Y307" i="6"/>
  <c r="U307" i="6"/>
  <c r="Q307" i="6"/>
  <c r="X307" i="6"/>
  <c r="T307" i="6"/>
  <c r="W307" i="6"/>
  <c r="S307" i="6"/>
  <c r="R311" i="6"/>
  <c r="Z311" i="6"/>
  <c r="V311" i="6"/>
  <c r="Y311" i="6"/>
  <c r="U311" i="6"/>
  <c r="Q311" i="6"/>
  <c r="X311" i="6"/>
  <c r="T311" i="6"/>
  <c r="W311" i="6"/>
  <c r="S311" i="6"/>
  <c r="Z315" i="6"/>
  <c r="V315" i="6"/>
  <c r="R315" i="6"/>
  <c r="Y315" i="6"/>
  <c r="U315" i="6"/>
  <c r="Q315" i="6"/>
  <c r="X315" i="6"/>
  <c r="T315" i="6"/>
  <c r="W315" i="6"/>
  <c r="S315" i="6"/>
  <c r="R319" i="6"/>
  <c r="Z319" i="6"/>
  <c r="V319" i="6"/>
  <c r="Y319" i="6"/>
  <c r="U319" i="6"/>
  <c r="Q319" i="6"/>
  <c r="X319" i="6"/>
  <c r="T319" i="6"/>
  <c r="W319" i="6"/>
  <c r="S319" i="6"/>
  <c r="Z323" i="6"/>
  <c r="V323" i="6"/>
  <c r="R323" i="6"/>
  <c r="Y323" i="6"/>
  <c r="U323" i="6"/>
  <c r="Q323" i="6"/>
  <c r="X323" i="6"/>
  <c r="T323" i="6"/>
  <c r="W323" i="6"/>
  <c r="S323" i="6"/>
  <c r="R327" i="6"/>
  <c r="Z327" i="6"/>
  <c r="V327" i="6"/>
  <c r="Y327" i="6"/>
  <c r="U327" i="6"/>
  <c r="Q327" i="6"/>
  <c r="X327" i="6"/>
  <c r="T327" i="6"/>
  <c r="W327" i="6"/>
  <c r="S327" i="6"/>
  <c r="Z331" i="6"/>
  <c r="V331" i="6"/>
  <c r="R331" i="6"/>
  <c r="Y331" i="6"/>
  <c r="U331" i="6"/>
  <c r="Q331" i="6"/>
  <c r="X331" i="6"/>
  <c r="T331" i="6"/>
  <c r="W331" i="6"/>
  <c r="S331" i="6"/>
  <c r="R335" i="6"/>
  <c r="Z335" i="6"/>
  <c r="V335" i="6"/>
  <c r="Y335" i="6"/>
  <c r="U335" i="6"/>
  <c r="Q335" i="6"/>
  <c r="X335" i="6"/>
  <c r="T335" i="6"/>
  <c r="W335" i="6"/>
  <c r="S335" i="6"/>
  <c r="Z339" i="6"/>
  <c r="V339" i="6"/>
  <c r="R339" i="6"/>
  <c r="Y339" i="6"/>
  <c r="U339" i="6"/>
  <c r="Q339" i="6"/>
  <c r="X339" i="6"/>
  <c r="T339" i="6"/>
  <c r="W339" i="6"/>
  <c r="S339" i="6"/>
  <c r="R343" i="6"/>
  <c r="Z343" i="6"/>
  <c r="V343" i="6"/>
  <c r="Y343" i="6"/>
  <c r="U343" i="6"/>
  <c r="Q343" i="6"/>
  <c r="X343" i="6"/>
  <c r="T343" i="6"/>
  <c r="W343" i="6"/>
  <c r="S343" i="6"/>
  <c r="Y347" i="6"/>
  <c r="U347" i="6"/>
  <c r="X347" i="6"/>
  <c r="T347" i="6"/>
  <c r="W347" i="6"/>
  <c r="R347" i="6"/>
  <c r="Z347" i="6"/>
  <c r="V347" i="6"/>
  <c r="Q347" i="6"/>
  <c r="S347" i="6"/>
  <c r="U351" i="6"/>
  <c r="Q351" i="6"/>
  <c r="Y351" i="6"/>
  <c r="X351" i="6"/>
  <c r="T351" i="6"/>
  <c r="W351" i="6"/>
  <c r="S351" i="6"/>
  <c r="Z351" i="6"/>
  <c r="V351" i="6"/>
  <c r="R351" i="6"/>
  <c r="Y355" i="6"/>
  <c r="U355" i="6"/>
  <c r="Q355" i="6"/>
  <c r="X355" i="6"/>
  <c r="T355" i="6"/>
  <c r="W355" i="6"/>
  <c r="S355" i="6"/>
  <c r="Z355" i="6"/>
  <c r="V355" i="6"/>
  <c r="R355" i="6"/>
  <c r="Q359" i="6"/>
  <c r="U359" i="6"/>
  <c r="Y359" i="6"/>
  <c r="X359" i="6"/>
  <c r="T359" i="6"/>
  <c r="W359" i="6"/>
  <c r="S359" i="6"/>
  <c r="Z359" i="6"/>
  <c r="V359" i="6"/>
  <c r="R359" i="6"/>
  <c r="Y363" i="6"/>
  <c r="U363" i="6"/>
  <c r="Q363" i="6"/>
  <c r="X363" i="6"/>
  <c r="T363" i="6"/>
  <c r="W363" i="6"/>
  <c r="S363" i="6"/>
  <c r="Z363" i="6"/>
  <c r="V363" i="6"/>
  <c r="R363" i="6"/>
  <c r="Q367" i="6"/>
  <c r="U367" i="6"/>
  <c r="Y367" i="6"/>
  <c r="X367" i="6"/>
  <c r="T367" i="6"/>
  <c r="W367" i="6"/>
  <c r="S367" i="6"/>
  <c r="Z367" i="6"/>
  <c r="V367" i="6"/>
  <c r="R367" i="6"/>
  <c r="Y371" i="6"/>
  <c r="U371" i="6"/>
  <c r="Q371" i="6"/>
  <c r="X371" i="6"/>
  <c r="T371" i="6"/>
  <c r="W371" i="6"/>
  <c r="S371" i="6"/>
  <c r="Z371" i="6"/>
  <c r="V371" i="6"/>
  <c r="R371" i="6"/>
  <c r="U375" i="6"/>
  <c r="Q375" i="6"/>
  <c r="Y375" i="6"/>
  <c r="X375" i="6"/>
  <c r="T375" i="6"/>
  <c r="W375" i="6"/>
  <c r="S375" i="6"/>
  <c r="Z375" i="6"/>
  <c r="V375" i="6"/>
  <c r="R375" i="6"/>
  <c r="Y379" i="6"/>
  <c r="U379" i="6"/>
  <c r="Q379" i="6"/>
  <c r="X379" i="6"/>
  <c r="T379" i="6"/>
  <c r="W379" i="6"/>
  <c r="S379" i="6"/>
  <c r="Z379" i="6"/>
  <c r="V379" i="6"/>
  <c r="R379" i="6"/>
  <c r="U383" i="6"/>
  <c r="Q383" i="6"/>
  <c r="Y383" i="6"/>
  <c r="X383" i="6"/>
  <c r="T383" i="6"/>
  <c r="W383" i="6"/>
  <c r="S383" i="6"/>
  <c r="Z383" i="6"/>
  <c r="V383" i="6"/>
  <c r="R383" i="6"/>
  <c r="Y387" i="6"/>
  <c r="U387" i="6"/>
  <c r="Q387" i="6"/>
  <c r="X387" i="6"/>
  <c r="T387" i="6"/>
  <c r="W387" i="6"/>
  <c r="S387" i="6"/>
  <c r="Z387" i="6"/>
  <c r="V387" i="6"/>
  <c r="R387" i="6"/>
  <c r="U391" i="6"/>
  <c r="Q391" i="6"/>
  <c r="Y391" i="6"/>
  <c r="X391" i="6"/>
  <c r="T391" i="6"/>
  <c r="W391" i="6"/>
  <c r="S391" i="6"/>
  <c r="Z391" i="6"/>
  <c r="V391" i="6"/>
  <c r="R391" i="6"/>
  <c r="Y395" i="6"/>
  <c r="U395" i="6"/>
  <c r="Q395" i="6"/>
  <c r="X395" i="6"/>
  <c r="T395" i="6"/>
  <c r="W395" i="6"/>
  <c r="S395" i="6"/>
  <c r="Z395" i="6"/>
  <c r="V395" i="6"/>
  <c r="R395" i="6"/>
  <c r="Q399" i="6"/>
  <c r="U399" i="6"/>
  <c r="Y399" i="6"/>
  <c r="X399" i="6"/>
  <c r="T399" i="6"/>
  <c r="W399" i="6"/>
  <c r="S399" i="6"/>
  <c r="Z399" i="6"/>
  <c r="V399" i="6"/>
  <c r="R399" i="6"/>
  <c r="Y403" i="6"/>
  <c r="U403" i="6"/>
  <c r="Q403" i="6"/>
  <c r="X403" i="6"/>
  <c r="T403" i="6"/>
  <c r="W403" i="6"/>
  <c r="S403" i="6"/>
  <c r="Z403" i="6"/>
  <c r="V403" i="6"/>
  <c r="R403" i="6"/>
  <c r="Q407" i="6"/>
  <c r="U407" i="6"/>
  <c r="Y407" i="6"/>
  <c r="X407" i="6"/>
  <c r="T407" i="6"/>
  <c r="W407" i="6"/>
  <c r="S407" i="6"/>
  <c r="Z407" i="6"/>
  <c r="V407" i="6"/>
  <c r="R407" i="6"/>
  <c r="Y411" i="6"/>
  <c r="U411" i="6"/>
  <c r="Q411" i="6"/>
  <c r="X411" i="6"/>
  <c r="T411" i="6"/>
  <c r="W411" i="6"/>
  <c r="S411" i="6"/>
  <c r="Z411" i="6"/>
  <c r="V411" i="6"/>
  <c r="R411" i="6"/>
  <c r="U415" i="6"/>
  <c r="Q415" i="6"/>
  <c r="Y415" i="6"/>
  <c r="X415" i="6"/>
  <c r="T415" i="6"/>
  <c r="W415" i="6"/>
  <c r="S415" i="6"/>
  <c r="Z415" i="6"/>
  <c r="V415" i="6"/>
  <c r="R415" i="6"/>
  <c r="Y419" i="6"/>
  <c r="U419" i="6"/>
  <c r="Q419" i="6"/>
  <c r="X419" i="6"/>
  <c r="T419" i="6"/>
  <c r="W419" i="6"/>
  <c r="S419" i="6"/>
  <c r="Z419" i="6"/>
  <c r="V419" i="6"/>
  <c r="R419" i="6"/>
  <c r="U423" i="6"/>
  <c r="Q423" i="6"/>
  <c r="Y423" i="6"/>
  <c r="X423" i="6"/>
  <c r="T423" i="6"/>
  <c r="W423" i="6"/>
  <c r="S423" i="6"/>
  <c r="Z423" i="6"/>
  <c r="V423" i="6"/>
  <c r="R423" i="6"/>
  <c r="Y427" i="6"/>
  <c r="U427" i="6"/>
  <c r="Q427" i="6"/>
  <c r="X427" i="6"/>
  <c r="T427" i="6"/>
  <c r="W427" i="6"/>
  <c r="S427" i="6"/>
  <c r="Z427" i="6"/>
  <c r="V427" i="6"/>
  <c r="R427" i="6"/>
  <c r="Q431" i="6"/>
  <c r="U431" i="6"/>
  <c r="Y431" i="6"/>
  <c r="X431" i="6"/>
  <c r="T431" i="6"/>
  <c r="W431" i="6"/>
  <c r="S431" i="6"/>
  <c r="Z431" i="6"/>
  <c r="V431" i="6"/>
  <c r="R431" i="6"/>
  <c r="Y435" i="6"/>
  <c r="U435" i="6"/>
  <c r="Q435" i="6"/>
  <c r="X435" i="6"/>
  <c r="T435" i="6"/>
  <c r="W435" i="6"/>
  <c r="S435" i="6"/>
  <c r="Z435" i="6"/>
  <c r="V435" i="6"/>
  <c r="R435" i="6"/>
  <c r="Q439" i="6"/>
  <c r="U439" i="6"/>
  <c r="Y439" i="6"/>
  <c r="X439" i="6"/>
  <c r="T439" i="6"/>
  <c r="W439" i="6"/>
  <c r="S439" i="6"/>
  <c r="Z439" i="6"/>
  <c r="V439" i="6"/>
  <c r="R439" i="6"/>
  <c r="Y443" i="6"/>
  <c r="U443" i="6"/>
  <c r="Q443" i="6"/>
  <c r="X443" i="6"/>
  <c r="T443" i="6"/>
  <c r="W443" i="6"/>
  <c r="S443" i="6"/>
  <c r="Z443" i="6"/>
  <c r="V443" i="6"/>
  <c r="R443" i="6"/>
  <c r="U447" i="6"/>
  <c r="Q447" i="6"/>
  <c r="Y447" i="6"/>
  <c r="X447" i="6"/>
  <c r="T447" i="6"/>
  <c r="W447" i="6"/>
  <c r="S447" i="6"/>
  <c r="Z447" i="6"/>
  <c r="V447" i="6"/>
  <c r="R447" i="6"/>
  <c r="Y451" i="6"/>
  <c r="U451" i="6"/>
  <c r="Q451" i="6"/>
  <c r="X451" i="6"/>
  <c r="T451" i="6"/>
  <c r="W451" i="6"/>
  <c r="S451" i="6"/>
  <c r="Z451" i="6"/>
  <c r="V451" i="6"/>
  <c r="R451" i="6"/>
  <c r="Q455" i="6"/>
  <c r="U455" i="6"/>
  <c r="Y455" i="6"/>
  <c r="X455" i="6"/>
  <c r="T455" i="6"/>
  <c r="W455" i="6"/>
  <c r="S455" i="6"/>
  <c r="Z455" i="6"/>
  <c r="V455" i="6"/>
  <c r="R455" i="6"/>
  <c r="Y459" i="6"/>
  <c r="U459" i="6"/>
  <c r="Q459" i="6"/>
  <c r="X459" i="6"/>
  <c r="T459" i="6"/>
  <c r="W459" i="6"/>
  <c r="S459" i="6"/>
  <c r="Z459" i="6"/>
  <c r="V459" i="6"/>
  <c r="R459" i="6"/>
  <c r="Q463" i="6"/>
  <c r="U463" i="6"/>
  <c r="Y463" i="6"/>
  <c r="X463" i="6"/>
  <c r="T463" i="6"/>
  <c r="W463" i="6"/>
  <c r="S463" i="6"/>
  <c r="Z463" i="6"/>
  <c r="V463" i="6"/>
  <c r="R463" i="6"/>
  <c r="Y467" i="6"/>
  <c r="U467" i="6"/>
  <c r="Q467" i="6"/>
  <c r="X467" i="6"/>
  <c r="T467" i="6"/>
  <c r="W467" i="6"/>
  <c r="S467" i="6"/>
  <c r="Z467" i="6"/>
  <c r="V467" i="6"/>
  <c r="R467" i="6"/>
  <c r="Q471" i="6"/>
  <c r="U471" i="6"/>
  <c r="Y471" i="6"/>
  <c r="X471" i="6"/>
  <c r="T471" i="6"/>
  <c r="W471" i="6"/>
  <c r="S471" i="6"/>
  <c r="Z471" i="6"/>
  <c r="V471" i="6"/>
  <c r="R471" i="6"/>
  <c r="Y475" i="6"/>
  <c r="U475" i="6"/>
  <c r="Q475" i="6"/>
  <c r="X475" i="6"/>
  <c r="T475" i="6"/>
  <c r="W475" i="6"/>
  <c r="S475" i="6"/>
  <c r="Z475" i="6"/>
  <c r="V475" i="6"/>
  <c r="R475" i="6"/>
  <c r="Q479" i="6"/>
  <c r="U479" i="6"/>
  <c r="Y479" i="6"/>
  <c r="X479" i="6"/>
  <c r="T479" i="6"/>
  <c r="W479" i="6"/>
  <c r="S479" i="6"/>
  <c r="Z479" i="6"/>
  <c r="V479" i="6"/>
  <c r="R479" i="6"/>
  <c r="Y483" i="6"/>
  <c r="U483" i="6"/>
  <c r="Q483" i="6"/>
  <c r="X483" i="6"/>
  <c r="T483" i="6"/>
  <c r="W483" i="6"/>
  <c r="S483" i="6"/>
  <c r="Z483" i="6"/>
  <c r="V483" i="6"/>
  <c r="R483" i="6"/>
  <c r="Q487" i="6"/>
  <c r="U487" i="6"/>
  <c r="Y487" i="6"/>
  <c r="X487" i="6"/>
  <c r="T487" i="6"/>
  <c r="W487" i="6"/>
  <c r="S487" i="6"/>
  <c r="Z487" i="6"/>
  <c r="V487" i="6"/>
  <c r="R487" i="6"/>
  <c r="Y491" i="6"/>
  <c r="U491" i="6"/>
  <c r="Q491" i="6"/>
  <c r="X491" i="6"/>
  <c r="T491" i="6"/>
  <c r="W491" i="6"/>
  <c r="S491" i="6"/>
  <c r="Z491" i="6"/>
  <c r="V491" i="6"/>
  <c r="R491" i="6"/>
  <c r="U495" i="6"/>
  <c r="Q495" i="6"/>
  <c r="Y495" i="6"/>
  <c r="X495" i="6"/>
  <c r="T495" i="6"/>
  <c r="W495" i="6"/>
  <c r="S495" i="6"/>
  <c r="Z495" i="6"/>
  <c r="V495" i="6"/>
  <c r="R495" i="6"/>
  <c r="Y499" i="6"/>
  <c r="U499" i="6"/>
  <c r="Q499" i="6"/>
  <c r="X499" i="6"/>
  <c r="T499" i="6"/>
  <c r="W499" i="6"/>
  <c r="S499" i="6"/>
  <c r="Z499" i="6"/>
  <c r="V499" i="6"/>
  <c r="R499" i="6"/>
  <c r="U503" i="6"/>
  <c r="Q503" i="6"/>
  <c r="Y503" i="6"/>
  <c r="X503" i="6"/>
  <c r="T503" i="6"/>
  <c r="W503" i="6"/>
  <c r="S503" i="6"/>
  <c r="Z503" i="6"/>
  <c r="V503" i="6"/>
  <c r="R503" i="6"/>
  <c r="Y507" i="6"/>
  <c r="U507" i="6"/>
  <c r="Q507" i="6"/>
  <c r="X507" i="6"/>
  <c r="T507" i="6"/>
  <c r="W507" i="6"/>
  <c r="S507" i="6"/>
  <c r="Z507" i="6"/>
  <c r="V507" i="6"/>
  <c r="R507" i="6"/>
  <c r="U511" i="6"/>
  <c r="Q511" i="6"/>
  <c r="Y511" i="6"/>
  <c r="X511" i="6"/>
  <c r="T511" i="6"/>
  <c r="W511" i="6"/>
  <c r="S511" i="6"/>
  <c r="Z511" i="6"/>
  <c r="V511" i="6"/>
  <c r="R511" i="6"/>
  <c r="Y515" i="6"/>
  <c r="U515" i="6"/>
  <c r="Q515" i="6"/>
  <c r="X515" i="6"/>
  <c r="T515" i="6"/>
  <c r="W515" i="6"/>
  <c r="S515" i="6"/>
  <c r="Z515" i="6"/>
  <c r="V515" i="6"/>
  <c r="R515" i="6"/>
  <c r="Q519" i="6"/>
  <c r="U519" i="6"/>
  <c r="Y519" i="6"/>
  <c r="X519" i="6"/>
  <c r="T519" i="6"/>
  <c r="W519" i="6"/>
  <c r="S519" i="6"/>
  <c r="Z519" i="6"/>
  <c r="V519" i="6"/>
  <c r="R519" i="6"/>
  <c r="Y523" i="6"/>
  <c r="U523" i="6"/>
  <c r="Q523" i="6"/>
  <c r="X523" i="6"/>
  <c r="T523" i="6"/>
  <c r="W523" i="6"/>
  <c r="S523" i="6"/>
  <c r="Z523" i="6"/>
  <c r="V523" i="6"/>
  <c r="R523" i="6"/>
  <c r="Z527" i="6"/>
  <c r="V527" i="6"/>
  <c r="R527" i="6"/>
  <c r="S527" i="6"/>
  <c r="Y527" i="6"/>
  <c r="U527" i="6"/>
  <c r="Q527" i="6"/>
  <c r="W527" i="6"/>
  <c r="X527" i="6"/>
  <c r="T527" i="6"/>
  <c r="W531" i="6"/>
  <c r="Z531" i="6"/>
  <c r="V531" i="6"/>
  <c r="R531" i="6"/>
  <c r="Y531" i="6"/>
  <c r="U531" i="6"/>
  <c r="Q531" i="6"/>
  <c r="S531" i="6"/>
  <c r="X531" i="6"/>
  <c r="T531" i="6"/>
  <c r="W535" i="6"/>
  <c r="Z535" i="6"/>
  <c r="V535" i="6"/>
  <c r="R535" i="6"/>
  <c r="S535" i="6"/>
  <c r="Y535" i="6"/>
  <c r="U535" i="6"/>
  <c r="Q535" i="6"/>
  <c r="X535" i="6"/>
  <c r="T535" i="6"/>
  <c r="S539" i="6"/>
  <c r="Z539" i="6"/>
  <c r="V539" i="6"/>
  <c r="R539" i="6"/>
  <c r="Y539" i="6"/>
  <c r="U539" i="6"/>
  <c r="Q539" i="6"/>
  <c r="W539" i="6"/>
  <c r="X539" i="6"/>
  <c r="T539" i="6"/>
  <c r="S543" i="6"/>
  <c r="Z543" i="6"/>
  <c r="V543" i="6"/>
  <c r="R543" i="6"/>
  <c r="W543" i="6"/>
  <c r="Y543" i="6"/>
  <c r="U543" i="6"/>
  <c r="Q543" i="6"/>
  <c r="X543" i="6"/>
  <c r="T543" i="6"/>
  <c r="W547" i="6"/>
  <c r="Z547" i="6"/>
  <c r="V547" i="6"/>
  <c r="R547" i="6"/>
  <c r="S547" i="6"/>
  <c r="Y547" i="6"/>
  <c r="U547" i="6"/>
  <c r="Q547" i="6"/>
  <c r="X547" i="6"/>
  <c r="T547" i="6"/>
  <c r="Z551" i="6"/>
  <c r="V551" i="6"/>
  <c r="R551" i="6"/>
  <c r="W551" i="6"/>
  <c r="Y551" i="6"/>
  <c r="U551" i="6"/>
  <c r="Q551" i="6"/>
  <c r="S551" i="6"/>
  <c r="X551" i="6"/>
  <c r="T551" i="6"/>
  <c r="Z555" i="6"/>
  <c r="V555" i="6"/>
  <c r="R555" i="6"/>
  <c r="S555" i="6"/>
  <c r="Y555" i="6"/>
  <c r="U555" i="6"/>
  <c r="Q555" i="6"/>
  <c r="W555" i="6"/>
  <c r="X555" i="6"/>
  <c r="T555" i="6"/>
  <c r="S559" i="6"/>
  <c r="Z559" i="6"/>
  <c r="V559" i="6"/>
  <c r="R559" i="6"/>
  <c r="Y559" i="6"/>
  <c r="U559" i="6"/>
  <c r="Q559" i="6"/>
  <c r="W559" i="6"/>
  <c r="X559" i="6"/>
  <c r="T559" i="6"/>
  <c r="Z563" i="6"/>
  <c r="V563" i="6"/>
  <c r="R563" i="6"/>
  <c r="S563" i="6"/>
  <c r="Y563" i="6"/>
  <c r="U563" i="6"/>
  <c r="Q563" i="6"/>
  <c r="W563" i="6"/>
  <c r="X563" i="6"/>
  <c r="T563" i="6"/>
  <c r="S567" i="6"/>
  <c r="Z567" i="6"/>
  <c r="V567" i="6"/>
  <c r="R567" i="6"/>
  <c r="Y567" i="6"/>
  <c r="U567" i="6"/>
  <c r="Q567" i="6"/>
  <c r="W567" i="6"/>
  <c r="X567" i="6"/>
  <c r="T567" i="6"/>
  <c r="Z571" i="6"/>
  <c r="V571" i="6"/>
  <c r="R571" i="6"/>
  <c r="W571" i="6"/>
  <c r="Y571" i="6"/>
  <c r="U571" i="6"/>
  <c r="Q571" i="6"/>
  <c r="S571" i="6"/>
  <c r="X571" i="6"/>
  <c r="T571" i="6"/>
  <c r="W575" i="6"/>
  <c r="Z575" i="6"/>
  <c r="V575" i="6"/>
  <c r="R575" i="6"/>
  <c r="Y575" i="6"/>
  <c r="U575" i="6"/>
  <c r="Q575" i="6"/>
  <c r="S575" i="6"/>
  <c r="X575" i="6"/>
  <c r="T575" i="6"/>
  <c r="Z579" i="6"/>
  <c r="V579" i="6"/>
  <c r="R579" i="6"/>
  <c r="W579" i="6"/>
  <c r="Y579" i="6"/>
  <c r="U579" i="6"/>
  <c r="Q579" i="6"/>
  <c r="S579" i="6"/>
  <c r="X579" i="6"/>
  <c r="T579" i="6"/>
  <c r="Z583" i="6"/>
  <c r="V583" i="6"/>
  <c r="R583" i="6"/>
  <c r="S583" i="6"/>
  <c r="Y583" i="6"/>
  <c r="U583" i="6"/>
  <c r="Q583" i="6"/>
  <c r="W583" i="6"/>
  <c r="X583" i="6"/>
  <c r="T583" i="6"/>
  <c r="S587" i="6"/>
  <c r="Z587" i="6"/>
  <c r="V587" i="6"/>
  <c r="R587" i="6"/>
  <c r="Y587" i="6"/>
  <c r="U587" i="6"/>
  <c r="Q587" i="6"/>
  <c r="W587" i="6"/>
  <c r="X587" i="6"/>
  <c r="T587" i="6"/>
  <c r="Z591" i="6"/>
  <c r="V591" i="6"/>
  <c r="R591" i="6"/>
  <c r="S591" i="6"/>
  <c r="Y591" i="6"/>
  <c r="U591" i="6"/>
  <c r="Q591" i="6"/>
  <c r="W591" i="6"/>
  <c r="X591" i="6"/>
  <c r="T591" i="6"/>
  <c r="Z595" i="6"/>
  <c r="V595" i="6"/>
  <c r="R595" i="6"/>
  <c r="W595" i="6"/>
  <c r="Y595" i="6"/>
  <c r="U595" i="6"/>
  <c r="Q595" i="6"/>
  <c r="S595" i="6"/>
  <c r="X595" i="6"/>
  <c r="T595" i="6"/>
  <c r="Z599" i="6"/>
  <c r="V599" i="6"/>
  <c r="R599" i="6"/>
  <c r="W599" i="6"/>
  <c r="Y599" i="6"/>
  <c r="U599" i="6"/>
  <c r="Q599" i="6"/>
  <c r="S599" i="6"/>
  <c r="X599" i="6"/>
  <c r="T599" i="6"/>
  <c r="W603" i="6"/>
  <c r="Z603" i="6"/>
  <c r="V603" i="6"/>
  <c r="R603" i="6"/>
  <c r="S603" i="6"/>
  <c r="Y603" i="6"/>
  <c r="U603" i="6"/>
  <c r="Q603" i="6"/>
  <c r="X603" i="6"/>
  <c r="T603" i="6"/>
  <c r="Z607" i="6"/>
  <c r="V607" i="6"/>
  <c r="R607" i="6"/>
  <c r="W607" i="6"/>
  <c r="Q607" i="6"/>
  <c r="S607" i="6"/>
  <c r="Y607" i="6"/>
  <c r="U607" i="6"/>
  <c r="X607" i="6"/>
  <c r="T607" i="6"/>
  <c r="Q600" i="6"/>
  <c r="X600" i="6"/>
  <c r="T600" i="6"/>
  <c r="Y600" i="6"/>
  <c r="W600" i="6"/>
  <c r="S600" i="6"/>
  <c r="U600" i="6"/>
  <c r="Z600" i="6"/>
  <c r="V600" i="6"/>
  <c r="R600" i="6"/>
  <c r="Q608" i="6"/>
  <c r="X608" i="6"/>
  <c r="T608" i="6"/>
  <c r="Y608" i="6"/>
  <c r="S608" i="6"/>
  <c r="U608" i="6"/>
  <c r="W608" i="6"/>
  <c r="Z608" i="6"/>
  <c r="V608" i="6"/>
  <c r="R608" i="6"/>
  <c r="Q3" i="6"/>
  <c r="U3" i="6"/>
  <c r="X3" i="6"/>
  <c r="T3" i="6"/>
  <c r="W3" i="6"/>
  <c r="S3" i="6"/>
  <c r="Y3" i="6"/>
  <c r="Z3" i="6"/>
  <c r="V3" i="6"/>
  <c r="R3" i="6"/>
  <c r="N3" i="1" l="1"/>
  <c r="O3" i="1"/>
  <c r="P3" i="1"/>
  <c r="N4" i="1"/>
  <c r="O4" i="1"/>
  <c r="P4" i="1"/>
  <c r="N5" i="1"/>
  <c r="O5" i="1"/>
  <c r="P5" i="1"/>
  <c r="N6" i="1"/>
  <c r="O6" i="1"/>
  <c r="P6" i="1"/>
  <c r="N7" i="1"/>
  <c r="O7" i="1"/>
  <c r="P7" i="1"/>
  <c r="N8" i="1"/>
  <c r="O8" i="1"/>
  <c r="P8" i="1"/>
  <c r="N9" i="1"/>
  <c r="O9" i="1"/>
  <c r="P9" i="1"/>
  <c r="N10" i="1"/>
  <c r="O10" i="1"/>
  <c r="P10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N16" i="1"/>
  <c r="O16" i="1"/>
  <c r="P16" i="1"/>
  <c r="N17" i="1"/>
  <c r="O17" i="1"/>
  <c r="P17" i="1"/>
  <c r="N18" i="1"/>
  <c r="O18" i="1"/>
  <c r="P18" i="1"/>
  <c r="N19" i="1"/>
  <c r="O19" i="1"/>
  <c r="P19" i="1"/>
  <c r="N20" i="1"/>
  <c r="O20" i="1"/>
  <c r="P20" i="1"/>
  <c r="N21" i="1"/>
  <c r="O21" i="1"/>
  <c r="P21" i="1"/>
  <c r="N22" i="1"/>
  <c r="O22" i="1"/>
  <c r="P22" i="1"/>
  <c r="N23" i="1"/>
  <c r="O23" i="1"/>
  <c r="P23" i="1"/>
  <c r="N24" i="1"/>
  <c r="O24" i="1"/>
  <c r="P24" i="1"/>
  <c r="N25" i="1"/>
  <c r="O25" i="1"/>
  <c r="P25" i="1"/>
  <c r="N26" i="1"/>
  <c r="O26" i="1"/>
  <c r="P26" i="1"/>
  <c r="N27" i="1"/>
  <c r="O27" i="1"/>
  <c r="P27" i="1"/>
  <c r="N28" i="1"/>
  <c r="O28" i="1"/>
  <c r="P28" i="1"/>
  <c r="N29" i="1"/>
  <c r="O29" i="1"/>
  <c r="P29" i="1"/>
  <c r="N30" i="1"/>
  <c r="O30" i="1"/>
  <c r="P30" i="1"/>
  <c r="N31" i="1"/>
  <c r="O31" i="1"/>
  <c r="P31" i="1"/>
  <c r="N32" i="1"/>
  <c r="O32" i="1"/>
  <c r="P32" i="1"/>
  <c r="N33" i="1"/>
  <c r="O33" i="1"/>
  <c r="P33" i="1"/>
  <c r="N34" i="1"/>
  <c r="O34" i="1"/>
  <c r="P34" i="1"/>
  <c r="N35" i="1"/>
  <c r="O35" i="1"/>
  <c r="P35" i="1"/>
  <c r="N36" i="1"/>
  <c r="O36" i="1"/>
  <c r="P36" i="1"/>
  <c r="N37" i="1"/>
  <c r="O37" i="1"/>
  <c r="P37" i="1"/>
  <c r="N38" i="1"/>
  <c r="O38" i="1"/>
  <c r="P38" i="1"/>
  <c r="N39" i="1"/>
  <c r="O39" i="1"/>
  <c r="P39" i="1"/>
  <c r="N40" i="1"/>
  <c r="O40" i="1"/>
  <c r="P40" i="1"/>
  <c r="N41" i="1"/>
  <c r="O41" i="1"/>
  <c r="P41" i="1"/>
  <c r="N42" i="1"/>
  <c r="O42" i="1"/>
  <c r="P42" i="1"/>
  <c r="N43" i="1"/>
  <c r="O43" i="1"/>
  <c r="P43" i="1"/>
  <c r="N44" i="1"/>
  <c r="O44" i="1"/>
  <c r="P44" i="1"/>
  <c r="N45" i="1"/>
  <c r="O45" i="1"/>
  <c r="P45" i="1"/>
  <c r="N46" i="1"/>
  <c r="O46" i="1"/>
  <c r="P46" i="1"/>
  <c r="N47" i="1"/>
  <c r="O47" i="1"/>
  <c r="P47" i="1"/>
  <c r="N48" i="1"/>
  <c r="O48" i="1"/>
  <c r="P48" i="1"/>
  <c r="N49" i="1"/>
  <c r="O49" i="1"/>
  <c r="P49" i="1"/>
  <c r="N50" i="1"/>
  <c r="O50" i="1"/>
  <c r="P50" i="1"/>
  <c r="N51" i="1"/>
  <c r="O51" i="1"/>
  <c r="P51" i="1"/>
  <c r="N52" i="1"/>
  <c r="O52" i="1"/>
  <c r="P52" i="1"/>
  <c r="N53" i="1"/>
  <c r="O53" i="1"/>
  <c r="P53" i="1"/>
  <c r="N54" i="1"/>
  <c r="O54" i="1"/>
  <c r="P54" i="1"/>
  <c r="N55" i="1"/>
  <c r="O55" i="1"/>
  <c r="P55" i="1"/>
  <c r="N56" i="1"/>
  <c r="O56" i="1"/>
  <c r="P56" i="1"/>
  <c r="N57" i="1"/>
  <c r="O57" i="1"/>
  <c r="P57" i="1"/>
  <c r="N58" i="1"/>
  <c r="O58" i="1"/>
  <c r="P58" i="1"/>
  <c r="N59" i="1"/>
  <c r="O59" i="1"/>
  <c r="P59" i="1"/>
  <c r="N60" i="1"/>
  <c r="O60" i="1"/>
  <c r="P60" i="1"/>
  <c r="N61" i="1"/>
  <c r="O61" i="1"/>
  <c r="P61" i="1"/>
  <c r="N62" i="1"/>
  <c r="O62" i="1"/>
  <c r="P62" i="1"/>
  <c r="N63" i="1"/>
  <c r="O63" i="1"/>
  <c r="P63" i="1"/>
  <c r="N64" i="1"/>
  <c r="O64" i="1"/>
  <c r="P64" i="1"/>
  <c r="N65" i="1"/>
  <c r="O65" i="1"/>
  <c r="P65" i="1"/>
  <c r="N66" i="1"/>
  <c r="O66" i="1"/>
  <c r="P66" i="1"/>
  <c r="N67" i="1"/>
  <c r="O67" i="1"/>
  <c r="P67" i="1"/>
  <c r="N68" i="1"/>
  <c r="O68" i="1"/>
  <c r="P68" i="1"/>
  <c r="N69" i="1"/>
  <c r="O69" i="1"/>
  <c r="P69" i="1"/>
  <c r="N70" i="1"/>
  <c r="O70" i="1"/>
  <c r="P70" i="1"/>
  <c r="N71" i="1"/>
  <c r="O71" i="1"/>
  <c r="P71" i="1"/>
  <c r="N72" i="1"/>
  <c r="O72" i="1"/>
  <c r="P72" i="1"/>
  <c r="N73" i="1"/>
  <c r="O73" i="1"/>
  <c r="P73" i="1"/>
  <c r="N74" i="1"/>
  <c r="O74" i="1"/>
  <c r="P74" i="1"/>
  <c r="N75" i="1"/>
  <c r="O75" i="1"/>
  <c r="P75" i="1"/>
  <c r="N76" i="1"/>
  <c r="O76" i="1"/>
  <c r="P76" i="1"/>
  <c r="N77" i="1"/>
  <c r="O77" i="1"/>
  <c r="P77" i="1"/>
  <c r="N78" i="1"/>
  <c r="O78" i="1"/>
  <c r="P78" i="1"/>
  <c r="N79" i="1"/>
  <c r="O79" i="1"/>
  <c r="P79" i="1"/>
  <c r="N80" i="1"/>
  <c r="O80" i="1"/>
  <c r="P80" i="1"/>
  <c r="N81" i="1"/>
  <c r="O81" i="1"/>
  <c r="P81" i="1"/>
  <c r="N82" i="1"/>
  <c r="O82" i="1"/>
  <c r="P82" i="1"/>
  <c r="N83" i="1"/>
  <c r="O83" i="1"/>
  <c r="P83" i="1"/>
  <c r="N84" i="1"/>
  <c r="O84" i="1"/>
  <c r="P84" i="1"/>
  <c r="N85" i="1"/>
  <c r="O85" i="1"/>
  <c r="P85" i="1"/>
  <c r="N86" i="1"/>
  <c r="O86" i="1"/>
  <c r="P86" i="1"/>
  <c r="N87" i="1"/>
  <c r="O87" i="1"/>
  <c r="P87" i="1"/>
  <c r="N88" i="1"/>
  <c r="O88" i="1"/>
  <c r="P88" i="1"/>
  <c r="N89" i="1"/>
  <c r="O89" i="1"/>
  <c r="P89" i="1"/>
  <c r="N90" i="1"/>
  <c r="O90" i="1"/>
  <c r="P90" i="1"/>
  <c r="N91" i="1"/>
  <c r="O91" i="1"/>
  <c r="P91" i="1"/>
  <c r="N92" i="1"/>
  <c r="O92" i="1"/>
  <c r="P92" i="1"/>
  <c r="N93" i="1"/>
  <c r="O93" i="1"/>
  <c r="P93" i="1"/>
  <c r="N94" i="1"/>
  <c r="O94" i="1"/>
  <c r="P94" i="1"/>
  <c r="N95" i="1"/>
  <c r="O95" i="1"/>
  <c r="P95" i="1"/>
  <c r="N96" i="1"/>
  <c r="O96" i="1"/>
  <c r="P96" i="1"/>
  <c r="N97" i="1"/>
  <c r="O97" i="1"/>
  <c r="P97" i="1"/>
  <c r="N98" i="1"/>
  <c r="O98" i="1"/>
  <c r="P98" i="1"/>
  <c r="N99" i="1"/>
  <c r="O99" i="1"/>
  <c r="P99" i="1"/>
  <c r="N100" i="1"/>
  <c r="O100" i="1"/>
  <c r="P100" i="1"/>
  <c r="N101" i="1"/>
  <c r="O101" i="1"/>
  <c r="P101" i="1"/>
  <c r="N102" i="1"/>
  <c r="O102" i="1"/>
  <c r="P102" i="1"/>
  <c r="N103" i="1"/>
  <c r="O103" i="1"/>
  <c r="P103" i="1"/>
  <c r="N104" i="1"/>
  <c r="O104" i="1"/>
  <c r="P104" i="1"/>
  <c r="N105" i="1"/>
  <c r="O105" i="1"/>
  <c r="P105" i="1"/>
  <c r="N106" i="1"/>
  <c r="O106" i="1"/>
  <c r="P106" i="1"/>
  <c r="N107" i="1"/>
  <c r="O107" i="1"/>
  <c r="P107" i="1"/>
  <c r="N108" i="1"/>
  <c r="O108" i="1"/>
  <c r="P108" i="1"/>
  <c r="N109" i="1"/>
  <c r="O109" i="1"/>
  <c r="P109" i="1"/>
  <c r="N110" i="1"/>
  <c r="O110" i="1"/>
  <c r="P110" i="1"/>
  <c r="N111" i="1"/>
  <c r="O111" i="1"/>
  <c r="P111" i="1"/>
  <c r="N112" i="1"/>
  <c r="O112" i="1"/>
  <c r="P112" i="1"/>
  <c r="N113" i="1"/>
  <c r="O113" i="1"/>
  <c r="P113" i="1"/>
  <c r="N114" i="1"/>
  <c r="O114" i="1"/>
  <c r="P114" i="1"/>
  <c r="N115" i="1"/>
  <c r="O115" i="1"/>
  <c r="P115" i="1"/>
  <c r="N116" i="1"/>
  <c r="O116" i="1"/>
  <c r="P116" i="1"/>
  <c r="N117" i="1"/>
  <c r="O117" i="1"/>
  <c r="P117" i="1"/>
  <c r="N2" i="1"/>
  <c r="O2" i="1"/>
  <c r="P2" i="1"/>
  <c r="A3" i="3" l="1"/>
  <c r="A4" i="3"/>
  <c r="A5" i="3"/>
  <c r="A6" i="3"/>
  <c r="A7" i="3"/>
  <c r="A8" i="3"/>
  <c r="A9" i="3"/>
  <c r="A10" i="3"/>
  <c r="D2" i="3"/>
  <c r="D3" i="3"/>
  <c r="D4" i="3"/>
  <c r="D5" i="3"/>
  <c r="D6" i="3"/>
  <c r="D7" i="3"/>
  <c r="D8" i="3"/>
  <c r="D9" i="3"/>
  <c r="D10" i="3"/>
  <c r="G2" i="3"/>
  <c r="G3" i="3"/>
  <c r="G4" i="3"/>
  <c r="G5" i="3"/>
  <c r="G6" i="3"/>
  <c r="G7" i="3"/>
  <c r="G8" i="3"/>
  <c r="G9" i="3"/>
  <c r="G10" i="3"/>
  <c r="A2" i="3"/>
  <c r="T5" i="1" l="1"/>
  <c r="B4" i="3" l="1"/>
  <c r="T16" i="1"/>
  <c r="T4" i="1"/>
  <c r="T29" i="1"/>
  <c r="T13" i="1"/>
  <c r="T12" i="1"/>
  <c r="T9" i="1"/>
  <c r="T24" i="1"/>
  <c r="T25" i="1"/>
  <c r="T8" i="1"/>
  <c r="T21" i="1"/>
  <c r="T28" i="1"/>
  <c r="T27" i="1"/>
  <c r="T17" i="1"/>
  <c r="V35" i="1"/>
  <c r="T37" i="1"/>
  <c r="U37" i="1"/>
  <c r="V37" i="1"/>
  <c r="T35" i="1"/>
  <c r="V36" i="1"/>
  <c r="U35" i="1"/>
  <c r="T36" i="1"/>
  <c r="U36" i="1"/>
  <c r="T20" i="1"/>
  <c r="T6" i="1"/>
  <c r="T22" i="1"/>
  <c r="T10" i="1"/>
  <c r="T14" i="1"/>
  <c r="T18" i="1"/>
  <c r="T26" i="1"/>
  <c r="T3" i="1"/>
  <c r="T7" i="1"/>
  <c r="T11" i="1"/>
  <c r="T15" i="1"/>
  <c r="T19" i="1"/>
  <c r="T23" i="1"/>
  <c r="B8" i="3" l="1"/>
  <c r="B9" i="3"/>
  <c r="H2" i="3"/>
  <c r="E5" i="3"/>
  <c r="H7" i="3"/>
  <c r="H3" i="3"/>
  <c r="E7" i="3"/>
  <c r="B7" i="3"/>
  <c r="E2" i="3"/>
  <c r="E6" i="3"/>
  <c r="E9" i="3"/>
  <c r="B3" i="3"/>
  <c r="B10" i="3"/>
  <c r="E8" i="3"/>
  <c r="B5" i="3"/>
  <c r="H8" i="3"/>
  <c r="H6" i="3"/>
  <c r="E3" i="3"/>
  <c r="B2" i="3"/>
  <c r="H4" i="3"/>
  <c r="B6" i="3"/>
  <c r="E4" i="3"/>
  <c r="E10" i="3"/>
  <c r="H9" i="3"/>
  <c r="H5" i="3"/>
  <c r="H10" i="3"/>
  <c r="T30" i="1"/>
  <c r="U9" i="1" s="1"/>
  <c r="C8" i="3" s="1"/>
  <c r="B13" i="3" l="1"/>
  <c r="B14" i="3"/>
  <c r="U11" i="1"/>
  <c r="C10" i="3" s="1"/>
  <c r="U29" i="1"/>
  <c r="I10" i="3" s="1"/>
  <c r="U28" i="1"/>
  <c r="I9" i="3" s="1"/>
  <c r="U13" i="1"/>
  <c r="F3" i="3" s="1"/>
  <c r="U18" i="1"/>
  <c r="F8" i="3" s="1"/>
  <c r="U4" i="1"/>
  <c r="C3" i="3" s="1"/>
  <c r="U16" i="1"/>
  <c r="F6" i="3" s="1"/>
  <c r="U8" i="1"/>
  <c r="C7" i="3" s="1"/>
  <c r="U22" i="1"/>
  <c r="I3" i="3" s="1"/>
  <c r="U10" i="1"/>
  <c r="C9" i="3" s="1"/>
  <c r="U14" i="1"/>
  <c r="F4" i="3" s="1"/>
  <c r="U23" i="1"/>
  <c r="I4" i="3" s="1"/>
  <c r="U27" i="1"/>
  <c r="I8" i="3" s="1"/>
  <c r="U15" i="1"/>
  <c r="F5" i="3" s="1"/>
  <c r="U24" i="1"/>
  <c r="I5" i="3" s="1"/>
  <c r="U20" i="1"/>
  <c r="F10" i="3" s="1"/>
  <c r="U3" i="1"/>
  <c r="C2" i="3" s="1"/>
  <c r="U25" i="1"/>
  <c r="I6" i="3" s="1"/>
  <c r="U6" i="1"/>
  <c r="C5" i="3" s="1"/>
  <c r="U12" i="1"/>
  <c r="F2" i="3" s="1"/>
  <c r="U17" i="1"/>
  <c r="F7" i="3" s="1"/>
  <c r="U26" i="1"/>
  <c r="I7" i="3" s="1"/>
  <c r="U21" i="1"/>
  <c r="I2" i="3" s="1"/>
  <c r="V43" i="1"/>
  <c r="U5" i="1"/>
  <c r="C4" i="3" s="1"/>
  <c r="U7" i="1"/>
  <c r="C6" i="3" s="1"/>
  <c r="U19" i="1"/>
  <c r="F9" i="3" s="1"/>
  <c r="T42" i="1"/>
  <c r="U42" i="1"/>
  <c r="U43" i="1"/>
  <c r="T41" i="1"/>
  <c r="T43" i="1"/>
  <c r="U41" i="1"/>
  <c r="V41" i="1"/>
  <c r="V42" i="1"/>
  <c r="C13" i="3" l="1"/>
  <c r="C14" i="3"/>
</calcChain>
</file>

<file path=xl/sharedStrings.xml><?xml version="1.0" encoding="utf-8"?>
<sst xmlns="http://schemas.openxmlformats.org/spreadsheetml/2006/main" count="729" uniqueCount="332">
  <si>
    <t>震荡市经历平均排名</t>
    <phoneticPr fontId="1" type="noConversion"/>
  </si>
  <si>
    <t>牛市平均排名</t>
    <phoneticPr fontId="1" type="noConversion"/>
  </si>
  <si>
    <t>熊高震荡高牛高</t>
    <phoneticPr fontId="1" type="noConversion"/>
  </si>
  <si>
    <t>熊高震荡高牛中</t>
    <phoneticPr fontId="1" type="noConversion"/>
  </si>
  <si>
    <t>熊高震荡高牛低</t>
    <phoneticPr fontId="1" type="noConversion"/>
  </si>
  <si>
    <t>熊高震荡中牛高</t>
    <phoneticPr fontId="1" type="noConversion"/>
  </si>
  <si>
    <t>熊高震荡中牛中</t>
    <phoneticPr fontId="1" type="noConversion"/>
  </si>
  <si>
    <t>熊高震荡中牛低</t>
    <phoneticPr fontId="1" type="noConversion"/>
  </si>
  <si>
    <t>熊高震荡低牛高</t>
    <phoneticPr fontId="1" type="noConversion"/>
  </si>
  <si>
    <t>熊高震荡低牛中</t>
    <phoneticPr fontId="1" type="noConversion"/>
  </si>
  <si>
    <t>熊高震荡低牛低</t>
    <phoneticPr fontId="1" type="noConversion"/>
  </si>
  <si>
    <t>熊中震荡高牛高</t>
  </si>
  <si>
    <t>熊中震荡高牛中</t>
  </si>
  <si>
    <t>熊中震荡高牛低</t>
  </si>
  <si>
    <t>熊中震荡中牛高</t>
  </si>
  <si>
    <t>熊中震荡中牛中</t>
  </si>
  <si>
    <t>熊中震荡中牛低</t>
  </si>
  <si>
    <t>熊中震荡低牛高</t>
  </si>
  <si>
    <t>熊中震荡低牛中</t>
  </si>
  <si>
    <t>熊中震荡低牛低</t>
  </si>
  <si>
    <t>熊低震荡高牛高</t>
  </si>
  <si>
    <t>熊低震荡高牛中</t>
  </si>
  <si>
    <t>熊低震荡高牛低</t>
  </si>
  <si>
    <t>熊低震荡中牛高</t>
  </si>
  <si>
    <t>熊低震荡中牛中</t>
  </si>
  <si>
    <t>熊低震荡中牛低</t>
  </si>
  <si>
    <t>熊低震荡低牛高</t>
  </si>
  <si>
    <t>熊低震荡低牛中</t>
  </si>
  <si>
    <t>熊低震荡低牛低</t>
  </si>
  <si>
    <t>表现</t>
    <phoneticPr fontId="1" type="noConversion"/>
  </si>
  <si>
    <t>高</t>
    <phoneticPr fontId="1" type="noConversion"/>
  </si>
  <si>
    <t>中</t>
    <phoneticPr fontId="1" type="noConversion"/>
  </si>
  <si>
    <t>低</t>
    <phoneticPr fontId="1" type="noConversion"/>
  </si>
  <si>
    <t>熊</t>
    <phoneticPr fontId="1" type="noConversion"/>
  </si>
  <si>
    <t>震荡</t>
    <phoneticPr fontId="1" type="noConversion"/>
  </si>
  <si>
    <t>牛</t>
    <phoneticPr fontId="1" type="noConversion"/>
  </si>
  <si>
    <t>熊市经历平均排名(1:x&lt;30,     2: 30=&lt;x&lt;50,    3:50=&lt;x)</t>
    <phoneticPr fontId="1" type="noConversion"/>
  </si>
  <si>
    <t>偏股混合型基金</t>
  </si>
  <si>
    <t>450009.OF</t>
  </si>
  <si>
    <t>国富中小盘</t>
  </si>
  <si>
    <t>普通股票型基金</t>
  </si>
  <si>
    <t>257020.OF</t>
  </si>
  <si>
    <t>国联安精选</t>
  </si>
  <si>
    <t>690007.OF</t>
  </si>
  <si>
    <t>民生加银景气行业</t>
  </si>
  <si>
    <t>灵活配置型基金</t>
  </si>
  <si>
    <t>110011.OF</t>
  </si>
  <si>
    <t>易方达中小盘</t>
  </si>
  <si>
    <t>161005.OF</t>
  </si>
  <si>
    <t>富国天惠精选成长A</t>
  </si>
  <si>
    <t>090007.OF</t>
  </si>
  <si>
    <t>大成策略回报</t>
  </si>
  <si>
    <t>160613.OF</t>
  </si>
  <si>
    <t>鹏华盛世创新</t>
  </si>
  <si>
    <t>基金代码</t>
  </si>
  <si>
    <t>基金名称</t>
  </si>
  <si>
    <t>基金投资类型</t>
  </si>
  <si>
    <t>成立日期</t>
  </si>
  <si>
    <t>熊市经历平均排名</t>
  </si>
  <si>
    <t>震荡市经历平均排名</t>
  </si>
  <si>
    <t>牛市平均排名</t>
  </si>
  <si>
    <t>000056.OF</t>
  </si>
  <si>
    <t>建信消费升级</t>
  </si>
  <si>
    <t>090015.OF</t>
  </si>
  <si>
    <t>大成内需增长A</t>
  </si>
  <si>
    <t>519008.OF</t>
  </si>
  <si>
    <t>汇添富优势精选</t>
  </si>
  <si>
    <t>110025.OF</t>
  </si>
  <si>
    <t>易方达资源行业</t>
  </si>
  <si>
    <t>基金涨跌风格</t>
    <phoneticPr fontId="1" type="noConversion"/>
  </si>
  <si>
    <t>基金个数</t>
    <phoneticPr fontId="1" type="noConversion"/>
  </si>
  <si>
    <t>基金个数</t>
    <phoneticPr fontId="1" type="noConversion"/>
  </si>
  <si>
    <t>占样本量比例</t>
    <phoneticPr fontId="1" type="noConversion"/>
  </si>
  <si>
    <t>占样本量比例</t>
    <phoneticPr fontId="1" type="noConversion"/>
  </si>
  <si>
    <t>基金涨跌风格</t>
    <phoneticPr fontId="1" type="noConversion"/>
  </si>
  <si>
    <t>至少两个好一个中</t>
    <phoneticPr fontId="1" type="noConversion"/>
  </si>
  <si>
    <t>基金代码</t>
    <phoneticPr fontId="1" type="noConversion"/>
  </si>
  <si>
    <t>基金名称</t>
    <phoneticPr fontId="1" type="noConversion"/>
  </si>
  <si>
    <t>基金投资类型</t>
    <phoneticPr fontId="1" type="noConversion"/>
  </si>
  <si>
    <t>成立日期</t>
    <phoneticPr fontId="1" type="noConversion"/>
  </si>
  <si>
    <t>熊市经历平均排名</t>
    <phoneticPr fontId="1" type="noConversion"/>
  </si>
  <si>
    <t>震荡市经历平均排名</t>
    <phoneticPr fontId="1" type="noConversion"/>
  </si>
  <si>
    <t>牛市平均排名</t>
    <phoneticPr fontId="1" type="noConversion"/>
  </si>
  <si>
    <t>熊市经历平均排名(1:x&lt;30,     2: 30=&lt;x&lt;50,    3:50=&lt;x)</t>
  </si>
  <si>
    <t>166011.OF</t>
  </si>
  <si>
    <t>中欧盛世成长A</t>
  </si>
  <si>
    <t>000251.OF</t>
  </si>
  <si>
    <t>工银瑞信金融地产</t>
  </si>
  <si>
    <t>519158.OF</t>
  </si>
  <si>
    <t>新华趋势领航</t>
  </si>
  <si>
    <t>530003.OF</t>
  </si>
  <si>
    <t>建信优选成长A</t>
  </si>
  <si>
    <t>000172.OF</t>
  </si>
  <si>
    <t>华泰柏瑞量化A</t>
  </si>
  <si>
    <t>平衡混合型基金</t>
  </si>
  <si>
    <t>460002.OF</t>
  </si>
  <si>
    <t>华泰柏瑞积极成长A</t>
  </si>
  <si>
    <t>519150.OF</t>
  </si>
  <si>
    <t>新华优选消费</t>
  </si>
  <si>
    <t>762001.OF</t>
  </si>
  <si>
    <t>国金国鑫灵活配置</t>
  </si>
  <si>
    <t>070001.OF</t>
  </si>
  <si>
    <t>嘉实成长收益A</t>
  </si>
  <si>
    <t>240001.OF</t>
  </si>
  <si>
    <t>华宝宝康消费品</t>
  </si>
  <si>
    <t>161606.OF</t>
  </si>
  <si>
    <t>融通行业景气</t>
  </si>
  <si>
    <t>050004.OF</t>
  </si>
  <si>
    <t>博时精选A</t>
  </si>
  <si>
    <t>550001.OF</t>
  </si>
  <si>
    <t>信诚四季红</t>
  </si>
  <si>
    <t>180012.OF</t>
  </si>
  <si>
    <t>银华富裕主题</t>
  </si>
  <si>
    <t>320005.OF</t>
  </si>
  <si>
    <t>诺安价值增长</t>
  </si>
  <si>
    <t>160311.OF</t>
  </si>
  <si>
    <t>华夏蓝筹核心</t>
  </si>
  <si>
    <t>270007.OF</t>
  </si>
  <si>
    <t>广发大盘成长</t>
  </si>
  <si>
    <t>040008.OF</t>
  </si>
  <si>
    <t>华安策略优选</t>
  </si>
  <si>
    <t>200008.OF</t>
  </si>
  <si>
    <t>长城品牌优选</t>
  </si>
  <si>
    <t>360012.OF</t>
  </si>
  <si>
    <t>光大中小盘</t>
  </si>
  <si>
    <t>110022.OF</t>
  </si>
  <si>
    <t>易方达消费行业</t>
  </si>
  <si>
    <t>206009.OF</t>
  </si>
  <si>
    <t>鹏华新兴产业</t>
  </si>
  <si>
    <t>240022.OF</t>
  </si>
  <si>
    <t>华宝资源优选</t>
  </si>
  <si>
    <t>165313.OF</t>
  </si>
  <si>
    <t>建信优势动力</t>
  </si>
  <si>
    <t>240004.OF</t>
  </si>
  <si>
    <t>华宝动力组合</t>
  </si>
  <si>
    <t>320003.OF</t>
  </si>
  <si>
    <t>诺安先锋</t>
  </si>
  <si>
    <t>360006.OF</t>
  </si>
  <si>
    <t>光大新增长</t>
  </si>
  <si>
    <t>290005.OF</t>
  </si>
  <si>
    <t>泰信优势增长</t>
  </si>
  <si>
    <t>166002.OF</t>
  </si>
  <si>
    <t>中欧新蓝筹A</t>
  </si>
  <si>
    <t>660012.OF</t>
  </si>
  <si>
    <t>农银汇理消费主题A</t>
  </si>
  <si>
    <t>530019.OF</t>
  </si>
  <si>
    <t>建信社会责任</t>
  </si>
  <si>
    <t>000433.OF</t>
  </si>
  <si>
    <t>安信鑫发优选</t>
  </si>
  <si>
    <t>255010.OF</t>
  </si>
  <si>
    <t>国联安稳健</t>
  </si>
  <si>
    <t>410001.OF</t>
  </si>
  <si>
    <t>华富竞争力优选</t>
  </si>
  <si>
    <t>519001.OF</t>
  </si>
  <si>
    <t>银华核心价值优选</t>
  </si>
  <si>
    <t>163803.OF</t>
  </si>
  <si>
    <t>中银持续增长A</t>
  </si>
  <si>
    <t>373010.OF</t>
  </si>
  <si>
    <t>上投摩根双息平衡A</t>
  </si>
  <si>
    <t>110009.OF</t>
  </si>
  <si>
    <t>易方达价值精选</t>
  </si>
  <si>
    <t>202002.OF</t>
  </si>
  <si>
    <t>南方稳健成长2号</t>
  </si>
  <si>
    <t>110029.OF</t>
  </si>
  <si>
    <t>易方达科讯</t>
  </si>
  <si>
    <t>202009.OF</t>
  </si>
  <si>
    <t>南方盛元红利</t>
  </si>
  <si>
    <t>460007.OF</t>
  </si>
  <si>
    <t>华泰柏瑞行业领先</t>
  </si>
  <si>
    <t>210005.OF</t>
  </si>
  <si>
    <t>金鹰主题优势</t>
  </si>
  <si>
    <t>206007.OF</t>
  </si>
  <si>
    <t>鹏华消费优选</t>
  </si>
  <si>
    <t>470028.OF</t>
  </si>
  <si>
    <t>汇添富社会责任</t>
  </si>
  <si>
    <t>070022.OF</t>
  </si>
  <si>
    <t>嘉实领先成长</t>
  </si>
  <si>
    <t>260116.OF</t>
  </si>
  <si>
    <t>景顺长城核心竞争力A</t>
  </si>
  <si>
    <t>481017.OF</t>
  </si>
  <si>
    <t>工银瑞信量化策略</t>
  </si>
  <si>
    <t>450011.OF</t>
  </si>
  <si>
    <t>国富研究精选</t>
  </si>
  <si>
    <t>229002.OF</t>
  </si>
  <si>
    <t>泰达宏利逆向策略</t>
  </si>
  <si>
    <t>370024.OF</t>
  </si>
  <si>
    <t>上投摩根核心优选</t>
  </si>
  <si>
    <t>000209.OF</t>
  </si>
  <si>
    <t>信诚新兴产业</t>
  </si>
  <si>
    <t>000404.OF</t>
  </si>
  <si>
    <t>易方达新兴成长</t>
  </si>
  <si>
    <t>519035.OF</t>
  </si>
  <si>
    <t>富国天博创新主题</t>
  </si>
  <si>
    <t>660005.OF</t>
  </si>
  <si>
    <t>农银汇理中小盘</t>
  </si>
  <si>
    <t>202001.OF</t>
  </si>
  <si>
    <t>南方稳健成长</t>
  </si>
  <si>
    <t>240002.OF</t>
  </si>
  <si>
    <t>华宝宝康灵活</t>
  </si>
  <si>
    <t>151001.OF</t>
  </si>
  <si>
    <t>银河稳健</t>
  </si>
  <si>
    <t>257010.OF</t>
  </si>
  <si>
    <t>国联安小盘精选</t>
  </si>
  <si>
    <t>163801.OF</t>
  </si>
  <si>
    <t>中银中国精选</t>
  </si>
  <si>
    <t>002011.OF</t>
  </si>
  <si>
    <t>华夏红利</t>
  </si>
  <si>
    <t>160106.OF</t>
  </si>
  <si>
    <t>南方高增长</t>
  </si>
  <si>
    <t>420001.OF</t>
  </si>
  <si>
    <t>天弘精选</t>
  </si>
  <si>
    <t>163402.OF</t>
  </si>
  <si>
    <t>兴全趋势投资</t>
  </si>
  <si>
    <t>288002.OF</t>
  </si>
  <si>
    <t>华夏收入</t>
  </si>
  <si>
    <t>483003.OF</t>
  </si>
  <si>
    <t>工银瑞信精选平衡</t>
  </si>
  <si>
    <t>163804.OF</t>
  </si>
  <si>
    <t>中银收益A</t>
  </si>
  <si>
    <t>202003.OF</t>
  </si>
  <si>
    <t>南方绩优成长A</t>
  </si>
  <si>
    <t>000021.OF</t>
  </si>
  <si>
    <t>华夏优势增长</t>
  </si>
  <si>
    <t>166001.OF</t>
  </si>
  <si>
    <t>中欧新趋势A</t>
  </si>
  <si>
    <t>410003.OF</t>
  </si>
  <si>
    <t>华富成长趋势</t>
  </si>
  <si>
    <t>050009.OF</t>
  </si>
  <si>
    <t>博时新兴成长</t>
  </si>
  <si>
    <t>160314.OF</t>
  </si>
  <si>
    <t>华夏行业精选</t>
  </si>
  <si>
    <t>519110.OF</t>
  </si>
  <si>
    <t>浦银安盛价值成长A</t>
  </si>
  <si>
    <t>481008.OF</t>
  </si>
  <si>
    <t>工银瑞信大盘蓝筹</t>
  </si>
  <si>
    <t>040011.OF</t>
  </si>
  <si>
    <t>华安核心优选</t>
  </si>
  <si>
    <t>110015.OF</t>
  </si>
  <si>
    <t>易方达行业领先</t>
  </si>
  <si>
    <t>519670.OF</t>
  </si>
  <si>
    <t>银河行业优选</t>
  </si>
  <si>
    <t>519113.OF</t>
  </si>
  <si>
    <t>浦银安盛精致生活</t>
  </si>
  <si>
    <t>519987.OF</t>
  </si>
  <si>
    <t>长信恒利优势</t>
  </si>
  <si>
    <t>540007.OF</t>
  </si>
  <si>
    <t>汇丰晋信中小盘</t>
  </si>
  <si>
    <t>470008.OF</t>
  </si>
  <si>
    <t>汇添富策略回报</t>
  </si>
  <si>
    <t>163406.OF</t>
  </si>
  <si>
    <t>兴全合润分级</t>
  </si>
  <si>
    <t>050014.OF</t>
  </si>
  <si>
    <t>博时创业成长A</t>
  </si>
  <si>
    <t>470006.OF</t>
  </si>
  <si>
    <t>汇添富医药保健A</t>
  </si>
  <si>
    <t>376510.OF</t>
  </si>
  <si>
    <t>上投摩根大盘蓝筹</t>
  </si>
  <si>
    <t>590006.OF</t>
  </si>
  <si>
    <t>中邮中小盘灵活配置</t>
  </si>
  <si>
    <t>377240.OF</t>
  </si>
  <si>
    <t>上投摩根新兴动力A</t>
  </si>
  <si>
    <t>519678.OF</t>
  </si>
  <si>
    <t>银河消费驱动</t>
  </si>
  <si>
    <t>450010.OF</t>
  </si>
  <si>
    <t>国富策略回报</t>
  </si>
  <si>
    <t>270028.OF</t>
  </si>
  <si>
    <t>广发制造业精选</t>
  </si>
  <si>
    <t>161818.OF</t>
  </si>
  <si>
    <t>银华消费主题分级</t>
  </si>
  <si>
    <t>580008.OF</t>
  </si>
  <si>
    <t>东吴新产业精选</t>
  </si>
  <si>
    <t>481015.OF</t>
  </si>
  <si>
    <t>工银瑞信主题策略</t>
  </si>
  <si>
    <t>730001.OF</t>
  </si>
  <si>
    <t>方正富邦创新动力</t>
  </si>
  <si>
    <t>470098.OF</t>
  </si>
  <si>
    <t>汇添富逆向投资</t>
  </si>
  <si>
    <t>165516.OF</t>
  </si>
  <si>
    <t>信诚周期轮动</t>
  </si>
  <si>
    <t>519120.OF</t>
  </si>
  <si>
    <t>浦银安盛战略新兴产业</t>
  </si>
  <si>
    <t>000029.OF</t>
  </si>
  <si>
    <t>富国宏观策略</t>
  </si>
  <si>
    <t>519908.OF</t>
  </si>
  <si>
    <t>华夏兴华A</t>
  </si>
  <si>
    <t>000063.OF</t>
  </si>
  <si>
    <t>长盛电子信息主题</t>
  </si>
  <si>
    <t>519727.OF</t>
  </si>
  <si>
    <t>交银成长30</t>
  </si>
  <si>
    <t>000173.OF</t>
  </si>
  <si>
    <t>汇添富美丽30</t>
  </si>
  <si>
    <t>000259.OF</t>
  </si>
  <si>
    <t>农银汇理区间收益</t>
  </si>
  <si>
    <t>000362.OF</t>
  </si>
  <si>
    <t>国泰聚信价值优势A</t>
  </si>
  <si>
    <t>所有都中且至少一个好</t>
    <phoneticPr fontId="1" type="noConversion"/>
  </si>
  <si>
    <t>强势基金</t>
  </si>
  <si>
    <t>熊强组合</t>
  </si>
  <si>
    <t>震荡强组合</t>
  </si>
  <si>
    <t>牛强组合</t>
  </si>
  <si>
    <t>时间</t>
  </si>
  <si>
    <t>熊强震荡强牛强</t>
  </si>
  <si>
    <t>熊强震荡强牛中</t>
  </si>
  <si>
    <t>熊强震荡中牛强</t>
  </si>
  <si>
    <t>熊中震荡强牛强</t>
  </si>
  <si>
    <t>熊中震荡中牛强</t>
  </si>
  <si>
    <t>熊中震荡强牛中</t>
  </si>
  <si>
    <t>熊强震荡中牛中</t>
  </si>
  <si>
    <t>熊市领先组合</t>
    <phoneticPr fontId="1" type="noConversion"/>
  </si>
  <si>
    <t>牛市领先组合</t>
    <phoneticPr fontId="1" type="noConversion"/>
  </si>
  <si>
    <t>震荡市领先组合</t>
    <phoneticPr fontId="1" type="noConversion"/>
  </si>
  <si>
    <t>市场强势组合</t>
    <phoneticPr fontId="1" type="noConversion"/>
  </si>
  <si>
    <t>000986.SH</t>
  </si>
  <si>
    <t>000987.SH</t>
  </si>
  <si>
    <t>000988.CSI</t>
  </si>
  <si>
    <t>000989.SH</t>
  </si>
  <si>
    <t>000990.SH</t>
  </si>
  <si>
    <t>000991.SH</t>
  </si>
  <si>
    <t>000992.SH</t>
  </si>
  <si>
    <t>000993.SH</t>
  </si>
  <si>
    <t>000994.CSI</t>
  </si>
  <si>
    <t>000995.CSI</t>
  </si>
  <si>
    <t>全指能源</t>
  </si>
  <si>
    <t>全指材料</t>
  </si>
  <si>
    <t>全指工业</t>
  </si>
  <si>
    <t>全指可选</t>
  </si>
  <si>
    <t>全指消费</t>
  </si>
  <si>
    <t>全指医药</t>
  </si>
  <si>
    <t>全指金融</t>
  </si>
  <si>
    <t>全指信息</t>
  </si>
  <si>
    <t>全指电信</t>
  </si>
  <si>
    <t>全指公用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</si>
</sst>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##,###,##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0" fontId="0" fillId="0" borderId="0" xfId="0" applyNumberFormat="1">
      <alignment vertical="center"/>
    </xf>
    <xf numFmtId="10" fontId="2" fillId="0" borderId="0" xfId="0" applyNumberFormat="1" applyFont="1">
      <alignment vertical="center"/>
    </xf>
    <xf numFmtId="0" fontId="0" fillId="0" borderId="0" xfId="0" applyFont="1">
      <alignment vertical="center"/>
    </xf>
    <xf numFmtId="10" fontId="0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14" fontId="0" fillId="0" borderId="0" xfId="0" applyNumberFormat="1" applyAlignment="1"/>
    <xf numFmtId="0" fontId="0" fillId="0" borderId="0" xfId="0" applyAlignment="1"/>
    <xf numFmtId="49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D828D8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513028384328269E-2"/>
          <c:y val="0.10247445992327883"/>
          <c:w val="0.87373349786500565"/>
          <c:h val="0.60554866811861285"/>
        </c:manualLayout>
      </c:layout>
      <c:lineChart>
        <c:grouping val="standard"/>
        <c:varyColors val="0"/>
        <c:ser>
          <c:idx val="4"/>
          <c:order val="0"/>
          <c:tx>
            <c:strRef>
              <c:f>回撤结果!$B$1</c:f>
              <c:strCache>
                <c:ptCount val="1"/>
                <c:pt idx="0">
                  <c:v>市场强势组合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回撤结果!$A$2:$A$607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回撤结果!$B$2:$B$607</c:f>
              <c:numCache>
                <c:formatCode>General</c:formatCode>
                <c:ptCount val="606"/>
                <c:pt idx="0">
                  <c:v>1</c:v>
                </c:pt>
                <c:pt idx="1">
                  <c:v>1.031396030553585</c:v>
                </c:pt>
                <c:pt idx="2">
                  <c:v>1.024010468564837</c:v>
                </c:pt>
                <c:pt idx="3">
                  <c:v>1.0535436023695961</c:v>
                </c:pt>
                <c:pt idx="4">
                  <c:v>1.057994125243523</c:v>
                </c:pt>
                <c:pt idx="5">
                  <c:v>1.0772993576746881</c:v>
                </c:pt>
                <c:pt idx="6">
                  <c:v>1.0687035275785779</c:v>
                </c:pt>
                <c:pt idx="7">
                  <c:v>1.071184678911034</c:v>
                </c:pt>
                <c:pt idx="8">
                  <c:v>1.1061556952584679</c:v>
                </c:pt>
                <c:pt idx="9">
                  <c:v>1.1162953858579869</c:v>
                </c:pt>
                <c:pt idx="10">
                  <c:v>1.1108588283362071</c:v>
                </c:pt>
                <c:pt idx="11">
                  <c:v>1.1141750980135381</c:v>
                </c:pt>
                <c:pt idx="12">
                  <c:v>1.133264193352888</c:v>
                </c:pt>
                <c:pt idx="13">
                  <c:v>1.1269257217256929</c:v>
                </c:pt>
                <c:pt idx="14">
                  <c:v>1.126552233100899</c:v>
                </c:pt>
                <c:pt idx="15">
                  <c:v>1.054614271618852</c:v>
                </c:pt>
                <c:pt idx="16">
                  <c:v>1.055889864706657</c:v>
                </c:pt>
                <c:pt idx="17">
                  <c:v>1.0113916360571691</c:v>
                </c:pt>
                <c:pt idx="18">
                  <c:v>1.0302934361934319</c:v>
                </c:pt>
                <c:pt idx="19">
                  <c:v>1.070668219455136</c:v>
                </c:pt>
                <c:pt idx="20">
                  <c:v>1.07037493326954</c:v>
                </c:pt>
                <c:pt idx="21">
                  <c:v>1.0483398464723219</c:v>
                </c:pt>
                <c:pt idx="22">
                  <c:v>1.063901349464307</c:v>
                </c:pt>
                <c:pt idx="23">
                  <c:v>1.070613420818139</c:v>
                </c:pt>
                <c:pt idx="24">
                  <c:v>1.0522487946456529</c:v>
                </c:pt>
                <c:pt idx="25">
                  <c:v>1.0380229911475249</c:v>
                </c:pt>
                <c:pt idx="26">
                  <c:v>1.038971210671545</c:v>
                </c:pt>
                <c:pt idx="27">
                  <c:v>1.068645089054937</c:v>
                </c:pt>
                <c:pt idx="28">
                  <c:v>1.064507764338867</c:v>
                </c:pt>
                <c:pt idx="29">
                  <c:v>1.0582946115996339</c:v>
                </c:pt>
                <c:pt idx="30">
                  <c:v>1.0887093696305929</c:v>
                </c:pt>
                <c:pt idx="31">
                  <c:v>1.120168181651551</c:v>
                </c:pt>
                <c:pt idx="32">
                  <c:v>1.1432594022039779</c:v>
                </c:pt>
                <c:pt idx="33">
                  <c:v>1.1413245301627171</c:v>
                </c:pt>
                <c:pt idx="34">
                  <c:v>1.149065589213166</c:v>
                </c:pt>
                <c:pt idx="35">
                  <c:v>1.1357034452361079</c:v>
                </c:pt>
                <c:pt idx="36">
                  <c:v>1.1401112483050611</c:v>
                </c:pt>
                <c:pt idx="37">
                  <c:v>1.134428797711001</c:v>
                </c:pt>
                <c:pt idx="38">
                  <c:v>1.1161679659144359</c:v>
                </c:pt>
                <c:pt idx="39">
                  <c:v>1.150961060384623</c:v>
                </c:pt>
                <c:pt idx="40">
                  <c:v>1.1556875902098931</c:v>
                </c:pt>
                <c:pt idx="41">
                  <c:v>1.151169017059742</c:v>
                </c:pt>
                <c:pt idx="42">
                  <c:v>1.1766625175114691</c:v>
                </c:pt>
                <c:pt idx="43">
                  <c:v>1.182483703604942</c:v>
                </c:pt>
                <c:pt idx="44">
                  <c:v>1.1654171729869069</c:v>
                </c:pt>
                <c:pt idx="45">
                  <c:v>1.158719405769534</c:v>
                </c:pt>
                <c:pt idx="46">
                  <c:v>1.180656170927606</c:v>
                </c:pt>
                <c:pt idx="47">
                  <c:v>1.1724696004587869</c:v>
                </c:pt>
                <c:pt idx="48">
                  <c:v>1.186429351345071</c:v>
                </c:pt>
                <c:pt idx="49">
                  <c:v>1.196080332045075</c:v>
                </c:pt>
                <c:pt idx="50">
                  <c:v>1.1958908515585089</c:v>
                </c:pt>
                <c:pt idx="51">
                  <c:v>1.182855658860698</c:v>
                </c:pt>
                <c:pt idx="52">
                  <c:v>1.1857481328229</c:v>
                </c:pt>
                <c:pt idx="53">
                  <c:v>1.145973098174605</c:v>
                </c:pt>
                <c:pt idx="54">
                  <c:v>1.137720213036904</c:v>
                </c:pt>
                <c:pt idx="55">
                  <c:v>1.146045288110654</c:v>
                </c:pt>
                <c:pt idx="56">
                  <c:v>1.142394777839995</c:v>
                </c:pt>
                <c:pt idx="57">
                  <c:v>1.152281025984504</c:v>
                </c:pt>
                <c:pt idx="58">
                  <c:v>1.1510173753753881</c:v>
                </c:pt>
                <c:pt idx="59">
                  <c:v>1.14946287894702</c:v>
                </c:pt>
                <c:pt idx="60">
                  <c:v>1.150163309973814</c:v>
                </c:pt>
                <c:pt idx="61">
                  <c:v>1.1783521945147211</c:v>
                </c:pt>
                <c:pt idx="62">
                  <c:v>1.1782584611399309</c:v>
                </c:pt>
                <c:pt idx="63">
                  <c:v>1.182282277910838</c:v>
                </c:pt>
                <c:pt idx="64">
                  <c:v>1.145786155653064</c:v>
                </c:pt>
                <c:pt idx="65">
                  <c:v>1.1141906230745291</c:v>
                </c:pt>
                <c:pt idx="66">
                  <c:v>1.114974674404994</c:v>
                </c:pt>
                <c:pt idx="67">
                  <c:v>1.112962089441206</c:v>
                </c:pt>
                <c:pt idx="68">
                  <c:v>1.114349164033184</c:v>
                </c:pt>
                <c:pt idx="69">
                  <c:v>1.112093972539286</c:v>
                </c:pt>
                <c:pt idx="70">
                  <c:v>1.12761858226748</c:v>
                </c:pt>
                <c:pt idx="71">
                  <c:v>1.1255326202150251</c:v>
                </c:pt>
                <c:pt idx="72">
                  <c:v>1.102676961467751</c:v>
                </c:pt>
                <c:pt idx="73">
                  <c:v>1.1061580054945639</c:v>
                </c:pt>
                <c:pt idx="74">
                  <c:v>1.1164210293449821</c:v>
                </c:pt>
                <c:pt idx="75">
                  <c:v>1.1317905472039269</c:v>
                </c:pt>
                <c:pt idx="76">
                  <c:v>1.1225336236173249</c:v>
                </c:pt>
                <c:pt idx="77">
                  <c:v>1.1192653448892469</c:v>
                </c:pt>
                <c:pt idx="78">
                  <c:v>1.124504812872938</c:v>
                </c:pt>
                <c:pt idx="79">
                  <c:v>1.1235231189141679</c:v>
                </c:pt>
                <c:pt idx="80">
                  <c:v>1.12018305804262</c:v>
                </c:pt>
                <c:pt idx="81">
                  <c:v>1.1573022451544319</c:v>
                </c:pt>
                <c:pt idx="82">
                  <c:v>1.161862356974082</c:v>
                </c:pt>
                <c:pt idx="83">
                  <c:v>1.169449471857809</c:v>
                </c:pt>
                <c:pt idx="84">
                  <c:v>1.175500634844368</c:v>
                </c:pt>
                <c:pt idx="85">
                  <c:v>1.1785457922960849</c:v>
                </c:pt>
                <c:pt idx="86">
                  <c:v>1.180349374414883</c:v>
                </c:pt>
                <c:pt idx="87">
                  <c:v>1.1768701115176221</c:v>
                </c:pt>
                <c:pt idx="88">
                  <c:v>1.1348144062772689</c:v>
                </c:pt>
                <c:pt idx="89">
                  <c:v>1.1386223358817451</c:v>
                </c:pt>
                <c:pt idx="90">
                  <c:v>1.1686924703768899</c:v>
                </c:pt>
                <c:pt idx="91">
                  <c:v>1.166875868045969</c:v>
                </c:pt>
                <c:pt idx="92">
                  <c:v>1.1734289714120629</c:v>
                </c:pt>
                <c:pt idx="93">
                  <c:v>1.177802306172689</c:v>
                </c:pt>
                <c:pt idx="94">
                  <c:v>1.1690525893972299</c:v>
                </c:pt>
                <c:pt idx="95">
                  <c:v>1.18374715754807</c:v>
                </c:pt>
                <c:pt idx="96">
                  <c:v>1.1788028769476651</c:v>
                </c:pt>
                <c:pt idx="97">
                  <c:v>1.1720554374293419</c:v>
                </c:pt>
                <c:pt idx="98">
                  <c:v>1.1954658339751441</c:v>
                </c:pt>
                <c:pt idx="99">
                  <c:v>1.2053385784112809</c:v>
                </c:pt>
                <c:pt idx="100">
                  <c:v>1.2054381388906961</c:v>
                </c:pt>
                <c:pt idx="101">
                  <c:v>1.2064797861220979</c:v>
                </c:pt>
                <c:pt idx="102">
                  <c:v>1.20524419493875</c:v>
                </c:pt>
                <c:pt idx="103">
                  <c:v>1.2247194013013021</c:v>
                </c:pt>
                <c:pt idx="104">
                  <c:v>1.227307191171497</c:v>
                </c:pt>
                <c:pt idx="105">
                  <c:v>1.23382529923371</c:v>
                </c:pt>
                <c:pt idx="106">
                  <c:v>1.2362242236147409</c:v>
                </c:pt>
                <c:pt idx="107">
                  <c:v>1.234264271470779</c:v>
                </c:pt>
                <c:pt idx="108">
                  <c:v>1.2316626629117919</c:v>
                </c:pt>
                <c:pt idx="109">
                  <c:v>1.2447383472828799</c:v>
                </c:pt>
                <c:pt idx="110">
                  <c:v>1.252012128390362</c:v>
                </c:pt>
                <c:pt idx="111">
                  <c:v>1.2503371655321041</c:v>
                </c:pt>
                <c:pt idx="112">
                  <c:v>1.2488186502273271</c:v>
                </c:pt>
                <c:pt idx="113">
                  <c:v>1.245429975768273</c:v>
                </c:pt>
                <c:pt idx="114">
                  <c:v>1.246032853167262</c:v>
                </c:pt>
                <c:pt idx="115">
                  <c:v>1.2463136052046231</c:v>
                </c:pt>
                <c:pt idx="116">
                  <c:v>1.247531454148685</c:v>
                </c:pt>
                <c:pt idx="117">
                  <c:v>1.236005995888491</c:v>
                </c:pt>
                <c:pt idx="118">
                  <c:v>1.236317631446654</c:v>
                </c:pt>
                <c:pt idx="119">
                  <c:v>1.251424920403353</c:v>
                </c:pt>
                <c:pt idx="120">
                  <c:v>1.213610560525336</c:v>
                </c:pt>
                <c:pt idx="121">
                  <c:v>1.2156372589068269</c:v>
                </c:pt>
                <c:pt idx="122">
                  <c:v>1.210789816347366</c:v>
                </c:pt>
                <c:pt idx="123">
                  <c:v>1.197798043199197</c:v>
                </c:pt>
                <c:pt idx="124">
                  <c:v>1.2052356342162249</c:v>
                </c:pt>
                <c:pt idx="125">
                  <c:v>1.2098677212482729</c:v>
                </c:pt>
                <c:pt idx="126">
                  <c:v>1.2149199702031359</c:v>
                </c:pt>
                <c:pt idx="127">
                  <c:v>1.210174737511468</c:v>
                </c:pt>
                <c:pt idx="128">
                  <c:v>1.2195016221882331</c:v>
                </c:pt>
                <c:pt idx="129">
                  <c:v>1.2284528967450179</c:v>
                </c:pt>
                <c:pt idx="130">
                  <c:v>1.225041858467518</c:v>
                </c:pt>
                <c:pt idx="131">
                  <c:v>1.2117030836921241</c:v>
                </c:pt>
                <c:pt idx="132">
                  <c:v>1.222234483854586</c:v>
                </c:pt>
                <c:pt idx="133">
                  <c:v>1.2459745381225109</c:v>
                </c:pt>
                <c:pt idx="134">
                  <c:v>1.249397577192032</c:v>
                </c:pt>
                <c:pt idx="135">
                  <c:v>1.2510027338501</c:v>
                </c:pt>
                <c:pt idx="136">
                  <c:v>1.248273925168683</c:v>
                </c:pt>
                <c:pt idx="137">
                  <c:v>1.249360104374877</c:v>
                </c:pt>
                <c:pt idx="138">
                  <c:v>1.238156979485072</c:v>
                </c:pt>
                <c:pt idx="139">
                  <c:v>1.2415359876309779</c:v>
                </c:pt>
                <c:pt idx="140">
                  <c:v>1.243331533196411</c:v>
                </c:pt>
                <c:pt idx="141">
                  <c:v>1.238538021534775</c:v>
                </c:pt>
                <c:pt idx="142">
                  <c:v>1.2436669226159309</c:v>
                </c:pt>
                <c:pt idx="143">
                  <c:v>1.2454960491687961</c:v>
                </c:pt>
                <c:pt idx="144">
                  <c:v>1.2453882299856509</c:v>
                </c:pt>
                <c:pt idx="145">
                  <c:v>1.2458137923476971</c:v>
                </c:pt>
                <c:pt idx="146">
                  <c:v>1.238129039406662</c:v>
                </c:pt>
                <c:pt idx="147">
                  <c:v>1.2353623139644729</c:v>
                </c:pt>
                <c:pt idx="148">
                  <c:v>1.2412994586406401</c:v>
                </c:pt>
                <c:pt idx="149">
                  <c:v>1.2566235395477861</c:v>
                </c:pt>
                <c:pt idx="150">
                  <c:v>1.257336846468659</c:v>
                </c:pt>
                <c:pt idx="151">
                  <c:v>1.2605342333898359</c:v>
                </c:pt>
                <c:pt idx="152">
                  <c:v>1.2534963310472851</c:v>
                </c:pt>
                <c:pt idx="153">
                  <c:v>1.2264344209532609</c:v>
                </c:pt>
                <c:pt idx="154">
                  <c:v>1.231396071338779</c:v>
                </c:pt>
                <c:pt idx="155">
                  <c:v>1.2270269802486811</c:v>
                </c:pt>
                <c:pt idx="156">
                  <c:v>1.2381977112709111</c:v>
                </c:pt>
                <c:pt idx="157">
                  <c:v>1.2396056952831469</c:v>
                </c:pt>
                <c:pt idx="158">
                  <c:v>1.242743440838471</c:v>
                </c:pt>
                <c:pt idx="159">
                  <c:v>1.2497215717994361</c:v>
                </c:pt>
                <c:pt idx="160">
                  <c:v>1.2475973691276869</c:v>
                </c:pt>
                <c:pt idx="161">
                  <c:v>1.2276887735273461</c:v>
                </c:pt>
                <c:pt idx="162">
                  <c:v>1.232955812991114</c:v>
                </c:pt>
                <c:pt idx="163">
                  <c:v>1.233273143792716</c:v>
                </c:pt>
                <c:pt idx="164">
                  <c:v>1.2380256939668079</c:v>
                </c:pt>
                <c:pt idx="165">
                  <c:v>1.2439010576328311</c:v>
                </c:pt>
                <c:pt idx="166">
                  <c:v>1.264355581374605</c:v>
                </c:pt>
                <c:pt idx="167">
                  <c:v>1.272283944643416</c:v>
                </c:pt>
                <c:pt idx="168">
                  <c:v>1.2707824823452849</c:v>
                </c:pt>
                <c:pt idx="169">
                  <c:v>1.2716110131063241</c:v>
                </c:pt>
                <c:pt idx="170">
                  <c:v>1.2706852955204251</c:v>
                </c:pt>
                <c:pt idx="171">
                  <c:v>1.262369496039069</c:v>
                </c:pt>
                <c:pt idx="172">
                  <c:v>1.2765801347742229</c:v>
                </c:pt>
                <c:pt idx="173">
                  <c:v>1.27456114401887</c:v>
                </c:pt>
                <c:pt idx="174">
                  <c:v>1.276769791082716</c:v>
                </c:pt>
                <c:pt idx="175">
                  <c:v>1.2735758219660991</c:v>
                </c:pt>
                <c:pt idx="176">
                  <c:v>1.282866590131261</c:v>
                </c:pt>
                <c:pt idx="177">
                  <c:v>1.285754364286289</c:v>
                </c:pt>
                <c:pt idx="178">
                  <c:v>1.280737987506962</c:v>
                </c:pt>
                <c:pt idx="179">
                  <c:v>1.2810611505953331</c:v>
                </c:pt>
                <c:pt idx="180">
                  <c:v>1.273255155107522</c:v>
                </c:pt>
                <c:pt idx="181">
                  <c:v>1.2723174037047389</c:v>
                </c:pt>
                <c:pt idx="182">
                  <c:v>1.283703574833569</c:v>
                </c:pt>
                <c:pt idx="183">
                  <c:v>1.277211016881576</c:v>
                </c:pt>
                <c:pt idx="184">
                  <c:v>1.283153059882062</c:v>
                </c:pt>
                <c:pt idx="185">
                  <c:v>1.27992482927871</c:v>
                </c:pt>
                <c:pt idx="186">
                  <c:v>1.279258308219233</c:v>
                </c:pt>
                <c:pt idx="187">
                  <c:v>1.2858109895870189</c:v>
                </c:pt>
                <c:pt idx="188">
                  <c:v>1.2780033702767619</c:v>
                </c:pt>
                <c:pt idx="189">
                  <c:v>1.291243323231241</c:v>
                </c:pt>
                <c:pt idx="190">
                  <c:v>1.2958098676474681</c:v>
                </c:pt>
                <c:pt idx="191">
                  <c:v>1.2977580709142209</c:v>
                </c:pt>
                <c:pt idx="192">
                  <c:v>1.2999002770318631</c:v>
                </c:pt>
                <c:pt idx="193">
                  <c:v>1.301486873489881</c:v>
                </c:pt>
                <c:pt idx="194">
                  <c:v>1.298833492784456</c:v>
                </c:pt>
                <c:pt idx="195">
                  <c:v>1.293934116472536</c:v>
                </c:pt>
                <c:pt idx="196">
                  <c:v>1.2975102009542221</c:v>
                </c:pt>
                <c:pt idx="197">
                  <c:v>1.3059261963833251</c:v>
                </c:pt>
                <c:pt idx="198">
                  <c:v>1.301539520252156</c:v>
                </c:pt>
                <c:pt idx="199">
                  <c:v>1.2988531785818871</c:v>
                </c:pt>
                <c:pt idx="200">
                  <c:v>1.3040344718390131</c:v>
                </c:pt>
                <c:pt idx="201">
                  <c:v>1.3053161931428481</c:v>
                </c:pt>
                <c:pt idx="202">
                  <c:v>1.3001091415085519</c:v>
                </c:pt>
                <c:pt idx="203">
                  <c:v>1.2932179500914129</c:v>
                </c:pt>
                <c:pt idx="204">
                  <c:v>1.300120245400717</c:v>
                </c:pt>
                <c:pt idx="205">
                  <c:v>1.282953453707766</c:v>
                </c:pt>
                <c:pt idx="206">
                  <c:v>1.2763304768490631</c:v>
                </c:pt>
                <c:pt idx="207">
                  <c:v>1.276937746662101</c:v>
                </c:pt>
                <c:pt idx="208">
                  <c:v>1.2876826973641959</c:v>
                </c:pt>
                <c:pt idx="209">
                  <c:v>1.282306739863855</c:v>
                </c:pt>
                <c:pt idx="210">
                  <c:v>1.281390079297319</c:v>
                </c:pt>
                <c:pt idx="211">
                  <c:v>1.2360512963755219</c:v>
                </c:pt>
                <c:pt idx="212">
                  <c:v>1.2394416596278861</c:v>
                </c:pt>
                <c:pt idx="213">
                  <c:v>1.231098909294871</c:v>
                </c:pt>
                <c:pt idx="214">
                  <c:v>1.2319187240040319</c:v>
                </c:pt>
                <c:pt idx="215">
                  <c:v>1.240254296699979</c:v>
                </c:pt>
                <c:pt idx="216">
                  <c:v>1.2382010809757911</c:v>
                </c:pt>
                <c:pt idx="217">
                  <c:v>1.235494676410464</c:v>
                </c:pt>
                <c:pt idx="218">
                  <c:v>1.2448440545652359</c:v>
                </c:pt>
                <c:pt idx="219">
                  <c:v>1.244229423808545</c:v>
                </c:pt>
                <c:pt idx="220">
                  <c:v>1.234030685338469</c:v>
                </c:pt>
                <c:pt idx="221">
                  <c:v>1.238943994626178</c:v>
                </c:pt>
                <c:pt idx="222">
                  <c:v>1.2400914117551749</c:v>
                </c:pt>
                <c:pt idx="223">
                  <c:v>1.236945747486923</c:v>
                </c:pt>
                <c:pt idx="224">
                  <c:v>1.235136709892646</c:v>
                </c:pt>
                <c:pt idx="225">
                  <c:v>1.2388797056749721</c:v>
                </c:pt>
                <c:pt idx="226">
                  <c:v>1.2481192076793139</c:v>
                </c:pt>
                <c:pt idx="227">
                  <c:v>1.2587574272632509</c:v>
                </c:pt>
                <c:pt idx="228">
                  <c:v>1.2594918939956621</c:v>
                </c:pt>
                <c:pt idx="229">
                  <c:v>1.251541732723741</c:v>
                </c:pt>
                <c:pt idx="230">
                  <c:v>1.2559203041924689</c:v>
                </c:pt>
                <c:pt idx="231">
                  <c:v>1.251888108286549</c:v>
                </c:pt>
                <c:pt idx="232">
                  <c:v>1.2405858085382491</c:v>
                </c:pt>
                <c:pt idx="233">
                  <c:v>1.2310636340148711</c:v>
                </c:pt>
                <c:pt idx="234">
                  <c:v>1.2172803820824309</c:v>
                </c:pt>
                <c:pt idx="235">
                  <c:v>1.1925588901500019</c:v>
                </c:pt>
                <c:pt idx="236">
                  <c:v>1.2021743211017979</c:v>
                </c:pt>
                <c:pt idx="237">
                  <c:v>1.201678376438216</c:v>
                </c:pt>
                <c:pt idx="238">
                  <c:v>1.1975467968811639</c:v>
                </c:pt>
                <c:pt idx="239">
                  <c:v>1.2116981192024769</c:v>
                </c:pt>
                <c:pt idx="240">
                  <c:v>1.219248092914003</c:v>
                </c:pt>
                <c:pt idx="241">
                  <c:v>1.2169501536849729</c:v>
                </c:pt>
                <c:pt idx="242">
                  <c:v>1.2201875884663009</c:v>
                </c:pt>
                <c:pt idx="243">
                  <c:v>1.226433663101109</c:v>
                </c:pt>
                <c:pt idx="244">
                  <c:v>1.221554698716846</c:v>
                </c:pt>
                <c:pt idx="245">
                  <c:v>1.230028039807856</c:v>
                </c:pt>
                <c:pt idx="246">
                  <c:v>1.228976100424096</c:v>
                </c:pt>
                <c:pt idx="247">
                  <c:v>1.235384539734286</c:v>
                </c:pt>
                <c:pt idx="248">
                  <c:v>1.241520033476029</c:v>
                </c:pt>
                <c:pt idx="249">
                  <c:v>1.24201270286481</c:v>
                </c:pt>
                <c:pt idx="250">
                  <c:v>1.2490192397582369</c:v>
                </c:pt>
                <c:pt idx="251">
                  <c:v>1.2490094232009701</c:v>
                </c:pt>
                <c:pt idx="252">
                  <c:v>1.2409890390757301</c:v>
                </c:pt>
                <c:pt idx="253">
                  <c:v>1.2468954776301511</c:v>
                </c:pt>
                <c:pt idx="254">
                  <c:v>1.2379350202192969</c:v>
                </c:pt>
                <c:pt idx="255">
                  <c:v>1.250066206278738</c:v>
                </c:pt>
                <c:pt idx="256">
                  <c:v>1.258372465741795</c:v>
                </c:pt>
                <c:pt idx="257">
                  <c:v>1.262705282601885</c:v>
                </c:pt>
                <c:pt idx="258">
                  <c:v>1.2619442259646221</c:v>
                </c:pt>
                <c:pt idx="259">
                  <c:v>1.264349729750083</c:v>
                </c:pt>
                <c:pt idx="260">
                  <c:v>1.2577330664682109</c:v>
                </c:pt>
                <c:pt idx="261">
                  <c:v>1.2619662121576849</c:v>
                </c:pt>
                <c:pt idx="262">
                  <c:v>1.264075580223486</c:v>
                </c:pt>
                <c:pt idx="263">
                  <c:v>1.258561785429388</c:v>
                </c:pt>
                <c:pt idx="264">
                  <c:v>1.2616505409758769</c:v>
                </c:pt>
                <c:pt idx="265">
                  <c:v>1.273014530130717</c:v>
                </c:pt>
                <c:pt idx="266">
                  <c:v>1.2771505301762811</c:v>
                </c:pt>
                <c:pt idx="267">
                  <c:v>1.272549212599094</c:v>
                </c:pt>
                <c:pt idx="268">
                  <c:v>1.2656448583393101</c:v>
                </c:pt>
                <c:pt idx="269">
                  <c:v>1.2680899171526721</c:v>
                </c:pt>
                <c:pt idx="270">
                  <c:v>1.2789197955863141</c:v>
                </c:pt>
                <c:pt idx="271">
                  <c:v>1.27709352854369</c:v>
                </c:pt>
                <c:pt idx="272">
                  <c:v>1.277018985204126</c:v>
                </c:pt>
                <c:pt idx="273">
                  <c:v>1.287362252299211</c:v>
                </c:pt>
                <c:pt idx="274">
                  <c:v>1.2761235692428561</c:v>
                </c:pt>
                <c:pt idx="275">
                  <c:v>1.2794636160521711</c:v>
                </c:pt>
                <c:pt idx="276">
                  <c:v>1.285898078760032</c:v>
                </c:pt>
                <c:pt idx="277">
                  <c:v>1.28345715198833</c:v>
                </c:pt>
                <c:pt idx="278">
                  <c:v>1.2847472638957329</c:v>
                </c:pt>
                <c:pt idx="279">
                  <c:v>1.290790906312681</c:v>
                </c:pt>
                <c:pt idx="280">
                  <c:v>1.2853426985360079</c:v>
                </c:pt>
                <c:pt idx="281">
                  <c:v>1.2821706865914679</c:v>
                </c:pt>
                <c:pt idx="282">
                  <c:v>1.277116843291606</c:v>
                </c:pt>
                <c:pt idx="283">
                  <c:v>1.2587862417443021</c:v>
                </c:pt>
                <c:pt idx="284">
                  <c:v>1.263878279682314</c:v>
                </c:pt>
                <c:pt idx="285">
                  <c:v>1.284682489844063</c:v>
                </c:pt>
                <c:pt idx="286">
                  <c:v>1.2875601303025539</c:v>
                </c:pt>
                <c:pt idx="287">
                  <c:v>1.290962355420137</c:v>
                </c:pt>
                <c:pt idx="288">
                  <c:v>1.283459037862851</c:v>
                </c:pt>
                <c:pt idx="289">
                  <c:v>1.2876819786494991</c:v>
                </c:pt>
                <c:pt idx="290">
                  <c:v>1.279537825411857</c:v>
                </c:pt>
                <c:pt idx="291">
                  <c:v>1.2848650424677781</c:v>
                </c:pt>
                <c:pt idx="292">
                  <c:v>1.2715178406001071</c:v>
                </c:pt>
                <c:pt idx="293">
                  <c:v>1.2634773822134</c:v>
                </c:pt>
                <c:pt idx="294">
                  <c:v>1.2604537761291881</c:v>
                </c:pt>
                <c:pt idx="295">
                  <c:v>1.2537379319914259</c:v>
                </c:pt>
                <c:pt idx="296">
                  <c:v>1.2564858226285851</c:v>
                </c:pt>
                <c:pt idx="297">
                  <c:v>1.2531212857384999</c:v>
                </c:pt>
                <c:pt idx="298">
                  <c:v>1.232636113534926</c:v>
                </c:pt>
                <c:pt idx="299">
                  <c:v>1.2370891104613291</c:v>
                </c:pt>
                <c:pt idx="300">
                  <c:v>1.2384778606937239</c:v>
                </c:pt>
                <c:pt idx="301">
                  <c:v>1.2439933688395439</c:v>
                </c:pt>
                <c:pt idx="302">
                  <c:v>1.2445396890100779</c:v>
                </c:pt>
                <c:pt idx="303">
                  <c:v>1.24343889592061</c:v>
                </c:pt>
                <c:pt idx="304">
                  <c:v>1.2403083132839059</c:v>
                </c:pt>
                <c:pt idx="305">
                  <c:v>1.2371908522985251</c:v>
                </c:pt>
                <c:pt idx="306">
                  <c:v>1.2256780918929719</c:v>
                </c:pt>
                <c:pt idx="307">
                  <c:v>1.210155849265373</c:v>
                </c:pt>
                <c:pt idx="308">
                  <c:v>1.2143562913336861</c:v>
                </c:pt>
                <c:pt idx="309">
                  <c:v>1.205946642310596</c:v>
                </c:pt>
                <c:pt idx="310">
                  <c:v>1.209408788794144</c:v>
                </c:pt>
                <c:pt idx="311">
                  <c:v>1.2112713178000929</c:v>
                </c:pt>
                <c:pt idx="312">
                  <c:v>1.218020550628802</c:v>
                </c:pt>
                <c:pt idx="313">
                  <c:v>1.2367364486492569</c:v>
                </c:pt>
                <c:pt idx="314">
                  <c:v>1.234278357087131</c:v>
                </c:pt>
                <c:pt idx="315">
                  <c:v>1.2287515898040029</c:v>
                </c:pt>
                <c:pt idx="316">
                  <c:v>1.2259588463417941</c:v>
                </c:pt>
                <c:pt idx="317">
                  <c:v>1.217068899770718</c:v>
                </c:pt>
                <c:pt idx="318">
                  <c:v>1.2042823641392111</c:v>
                </c:pt>
                <c:pt idx="319">
                  <c:v>1.206450939395747</c:v>
                </c:pt>
                <c:pt idx="320">
                  <c:v>1.215314549626173</c:v>
                </c:pt>
                <c:pt idx="321">
                  <c:v>1.2123548769747821</c:v>
                </c:pt>
                <c:pt idx="322">
                  <c:v>1.211018815534088</c:v>
                </c:pt>
                <c:pt idx="323">
                  <c:v>1.1985193224157811</c:v>
                </c:pt>
                <c:pt idx="324">
                  <c:v>1.202243807640939</c:v>
                </c:pt>
                <c:pt idx="325">
                  <c:v>1.2069333591506399</c:v>
                </c:pt>
                <c:pt idx="326">
                  <c:v>1.2142098762688549</c:v>
                </c:pt>
                <c:pt idx="327">
                  <c:v>1.235165830351592</c:v>
                </c:pt>
                <c:pt idx="328">
                  <c:v>1.240719739191591</c:v>
                </c:pt>
                <c:pt idx="329">
                  <c:v>1.244892277929714</c:v>
                </c:pt>
                <c:pt idx="330">
                  <c:v>1.236490560752511</c:v>
                </c:pt>
                <c:pt idx="331">
                  <c:v>1.2441359949015649</c:v>
                </c:pt>
                <c:pt idx="332">
                  <c:v>1.235122321015192</c:v>
                </c:pt>
                <c:pt idx="333">
                  <c:v>1.2415804203495491</c:v>
                </c:pt>
                <c:pt idx="334">
                  <c:v>1.239859926136448</c:v>
                </c:pt>
                <c:pt idx="335">
                  <c:v>1.249606735862447</c:v>
                </c:pt>
                <c:pt idx="336">
                  <c:v>1.248987836016217</c:v>
                </c:pt>
                <c:pt idx="337">
                  <c:v>1.2584529201063199</c:v>
                </c:pt>
                <c:pt idx="338">
                  <c:v>1.247796262172246</c:v>
                </c:pt>
                <c:pt idx="339">
                  <c:v>1.2542770688664719</c:v>
                </c:pt>
                <c:pt idx="340">
                  <c:v>1.269055600551908</c:v>
                </c:pt>
                <c:pt idx="341">
                  <c:v>1.2705682870913</c:v>
                </c:pt>
                <c:pt idx="342">
                  <c:v>1.261218807219799</c:v>
                </c:pt>
                <c:pt idx="343">
                  <c:v>1.268115698396844</c:v>
                </c:pt>
                <c:pt idx="344">
                  <c:v>1.271091537101952</c:v>
                </c:pt>
                <c:pt idx="345">
                  <c:v>1.271155910566713</c:v>
                </c:pt>
                <c:pt idx="346">
                  <c:v>1.264718151122147</c:v>
                </c:pt>
                <c:pt idx="347">
                  <c:v>1.2759562013322929</c:v>
                </c:pt>
                <c:pt idx="348">
                  <c:v>1.2777581695990601</c:v>
                </c:pt>
                <c:pt idx="349">
                  <c:v>1.2759268228319931</c:v>
                </c:pt>
                <c:pt idx="350">
                  <c:v>1.269296315100761</c:v>
                </c:pt>
                <c:pt idx="351">
                  <c:v>1.265691024855548</c:v>
                </c:pt>
                <c:pt idx="352">
                  <c:v>1.2636745440257571</c:v>
                </c:pt>
                <c:pt idx="353">
                  <c:v>1.2667901082022559</c:v>
                </c:pt>
                <c:pt idx="354">
                  <c:v>1.266971105337741</c:v>
                </c:pt>
                <c:pt idx="355">
                  <c:v>1.235783315242192</c:v>
                </c:pt>
                <c:pt idx="356">
                  <c:v>1.239267413821429</c:v>
                </c:pt>
                <c:pt idx="357">
                  <c:v>1.2569128604352979</c:v>
                </c:pt>
                <c:pt idx="358">
                  <c:v>1.2631787434643531</c:v>
                </c:pt>
                <c:pt idx="359">
                  <c:v>1.262870940824605</c:v>
                </c:pt>
                <c:pt idx="360">
                  <c:v>1.2680509292600071</c:v>
                </c:pt>
                <c:pt idx="361">
                  <c:v>1.2637515785034119</c:v>
                </c:pt>
                <c:pt idx="362">
                  <c:v>1.2593486277029311</c:v>
                </c:pt>
                <c:pt idx="363">
                  <c:v>1.267197097821084</c:v>
                </c:pt>
                <c:pt idx="364">
                  <c:v>1.2735064542942089</c:v>
                </c:pt>
                <c:pt idx="365">
                  <c:v>1.282584248343007</c:v>
                </c:pt>
                <c:pt idx="366">
                  <c:v>1.2849241196893959</c:v>
                </c:pt>
                <c:pt idx="367">
                  <c:v>1.278125999283261</c:v>
                </c:pt>
                <c:pt idx="368">
                  <c:v>1.2742382353726029</c:v>
                </c:pt>
                <c:pt idx="369">
                  <c:v>1.2659897847068611</c:v>
                </c:pt>
                <c:pt idx="370">
                  <c:v>1.27975836206354</c:v>
                </c:pt>
                <c:pt idx="371">
                  <c:v>1.2807816397992029</c:v>
                </c:pt>
                <c:pt idx="372">
                  <c:v>1.2870311725023831</c:v>
                </c:pt>
                <c:pt idx="373">
                  <c:v>1.2803767697783659</c:v>
                </c:pt>
                <c:pt idx="374">
                  <c:v>1.258272022435224</c:v>
                </c:pt>
                <c:pt idx="375">
                  <c:v>1.2795949675804199</c:v>
                </c:pt>
                <c:pt idx="376">
                  <c:v>1.284913629267509</c:v>
                </c:pt>
                <c:pt idx="377">
                  <c:v>1.2869705692435141</c:v>
                </c:pt>
                <c:pt idx="378">
                  <c:v>1.291649568470018</c:v>
                </c:pt>
                <c:pt idx="379">
                  <c:v>1.288415920015227</c:v>
                </c:pt>
                <c:pt idx="380">
                  <c:v>1.297258930131977</c:v>
                </c:pt>
                <c:pt idx="381">
                  <c:v>1.294256810648756</c:v>
                </c:pt>
                <c:pt idx="382">
                  <c:v>1.2899061587854259</c:v>
                </c:pt>
                <c:pt idx="383">
                  <c:v>1.282924703725161</c:v>
                </c:pt>
                <c:pt idx="384">
                  <c:v>1.2965769673512599</c:v>
                </c:pt>
                <c:pt idx="385">
                  <c:v>1.3099314536761679</c:v>
                </c:pt>
                <c:pt idx="386">
                  <c:v>1.308596954412917</c:v>
                </c:pt>
                <c:pt idx="387">
                  <c:v>1.313463505717654</c:v>
                </c:pt>
                <c:pt idx="388">
                  <c:v>1.3159015439854389</c:v>
                </c:pt>
                <c:pt idx="389">
                  <c:v>1.3221228485597141</c:v>
                </c:pt>
                <c:pt idx="390">
                  <c:v>1.329188459181633</c:v>
                </c:pt>
                <c:pt idx="391">
                  <c:v>1.332967761915768</c:v>
                </c:pt>
                <c:pt idx="392">
                  <c:v>1.3349806898230521</c:v>
                </c:pt>
                <c:pt idx="393">
                  <c:v>1.3278875288626399</c:v>
                </c:pt>
                <c:pt idx="394">
                  <c:v>1.3277747217361029</c:v>
                </c:pt>
                <c:pt idx="395">
                  <c:v>1.336129869486389</c:v>
                </c:pt>
                <c:pt idx="396">
                  <c:v>1.3366841595221379</c:v>
                </c:pt>
                <c:pt idx="397">
                  <c:v>1.3440014535671021</c:v>
                </c:pt>
                <c:pt idx="398">
                  <c:v>1.3421397954621881</c:v>
                </c:pt>
                <c:pt idx="399">
                  <c:v>1.3376320231602179</c:v>
                </c:pt>
                <c:pt idx="400">
                  <c:v>1.347120872522855</c:v>
                </c:pt>
                <c:pt idx="401">
                  <c:v>1.3429923757391691</c:v>
                </c:pt>
                <c:pt idx="402">
                  <c:v>1.350246634784394</c:v>
                </c:pt>
                <c:pt idx="403">
                  <c:v>1.3421413842060499</c:v>
                </c:pt>
                <c:pt idx="404">
                  <c:v>1.340558504997454</c:v>
                </c:pt>
                <c:pt idx="405">
                  <c:v>1.3321542496315331</c:v>
                </c:pt>
                <c:pt idx="406">
                  <c:v>1.331034565159442</c:v>
                </c:pt>
                <c:pt idx="407">
                  <c:v>1.3382712902994529</c:v>
                </c:pt>
                <c:pt idx="408">
                  <c:v>1.3400275718412309</c:v>
                </c:pt>
                <c:pt idx="409">
                  <c:v>1.349468990037453</c:v>
                </c:pt>
                <c:pt idx="410">
                  <c:v>1.3643594134161829</c:v>
                </c:pt>
                <c:pt idx="411">
                  <c:v>1.369148959377527</c:v>
                </c:pt>
                <c:pt idx="412">
                  <c:v>1.369400277653865</c:v>
                </c:pt>
                <c:pt idx="413">
                  <c:v>1.3711839714156371</c:v>
                </c:pt>
                <c:pt idx="414">
                  <c:v>1.378435691565987</c:v>
                </c:pt>
                <c:pt idx="415">
                  <c:v>1.367256901819913</c:v>
                </c:pt>
                <c:pt idx="416">
                  <c:v>1.368795491107075</c:v>
                </c:pt>
                <c:pt idx="417">
                  <c:v>1.370892587412962</c:v>
                </c:pt>
                <c:pt idx="418">
                  <c:v>1.364791312381493</c:v>
                </c:pt>
                <c:pt idx="419">
                  <c:v>1.368493571453117</c:v>
                </c:pt>
                <c:pt idx="420">
                  <c:v>1.3766583139321731</c:v>
                </c:pt>
                <c:pt idx="421">
                  <c:v>1.37873618616287</c:v>
                </c:pt>
                <c:pt idx="422">
                  <c:v>1.3887402451571711</c:v>
                </c:pt>
                <c:pt idx="423">
                  <c:v>1.3931599331579989</c:v>
                </c:pt>
                <c:pt idx="424">
                  <c:v>1.3944069018368579</c:v>
                </c:pt>
                <c:pt idx="425">
                  <c:v>1.3850809497466581</c:v>
                </c:pt>
                <c:pt idx="426">
                  <c:v>1.3911636833664669</c:v>
                </c:pt>
                <c:pt idx="427">
                  <c:v>1.3886948939928141</c:v>
                </c:pt>
                <c:pt idx="428">
                  <c:v>1.381650833547224</c:v>
                </c:pt>
                <c:pt idx="429">
                  <c:v>1.375998391145842</c:v>
                </c:pt>
                <c:pt idx="430">
                  <c:v>1.395115071305951</c:v>
                </c:pt>
                <c:pt idx="431">
                  <c:v>1.401645083358988</c:v>
                </c:pt>
                <c:pt idx="432">
                  <c:v>1.400173845404447</c:v>
                </c:pt>
                <c:pt idx="433">
                  <c:v>1.411864059255632</c:v>
                </c:pt>
                <c:pt idx="434">
                  <c:v>1.425969466660401</c:v>
                </c:pt>
                <c:pt idx="435">
                  <c:v>1.4338871099110191</c:v>
                </c:pt>
                <c:pt idx="436">
                  <c:v>1.4194370283615081</c:v>
                </c:pt>
                <c:pt idx="437">
                  <c:v>1.406525799486015</c:v>
                </c:pt>
                <c:pt idx="438">
                  <c:v>1.418094469671771</c:v>
                </c:pt>
                <c:pt idx="439">
                  <c:v>1.3957009157658391</c:v>
                </c:pt>
                <c:pt idx="440">
                  <c:v>1.4120642142525011</c:v>
                </c:pt>
                <c:pt idx="441">
                  <c:v>1.4253245506138039</c:v>
                </c:pt>
                <c:pt idx="442">
                  <c:v>1.417713875007804</c:v>
                </c:pt>
                <c:pt idx="443">
                  <c:v>1.3733151952714009</c:v>
                </c:pt>
                <c:pt idx="444">
                  <c:v>1.370363276621178</c:v>
                </c:pt>
                <c:pt idx="445">
                  <c:v>1.349572780431431</c:v>
                </c:pt>
                <c:pt idx="446">
                  <c:v>1.3624813635259381</c:v>
                </c:pt>
                <c:pt idx="447">
                  <c:v>1.363292056143008</c:v>
                </c:pt>
                <c:pt idx="448">
                  <c:v>1.348785721650607</c:v>
                </c:pt>
                <c:pt idx="449">
                  <c:v>1.3562803049834931</c:v>
                </c:pt>
                <c:pt idx="450">
                  <c:v>1.360420242443602</c:v>
                </c:pt>
                <c:pt idx="451">
                  <c:v>1.3484006204368131</c:v>
                </c:pt>
                <c:pt idx="452">
                  <c:v>1.3501561690899651</c:v>
                </c:pt>
                <c:pt idx="453">
                  <c:v>1.3380040616896269</c:v>
                </c:pt>
                <c:pt idx="454">
                  <c:v>1.354276642975218</c:v>
                </c:pt>
                <c:pt idx="455">
                  <c:v>1.3777267363717669</c:v>
                </c:pt>
                <c:pt idx="456">
                  <c:v>1.3646792037347331</c:v>
                </c:pt>
                <c:pt idx="457">
                  <c:v>1.3766471234806921</c:v>
                </c:pt>
                <c:pt idx="458">
                  <c:v>1.3741513640416789</c:v>
                </c:pt>
                <c:pt idx="459">
                  <c:v>1.36155222665574</c:v>
                </c:pt>
                <c:pt idx="460">
                  <c:v>1.358582365613753</c:v>
                </c:pt>
                <c:pt idx="461">
                  <c:v>1.373289081763954</c:v>
                </c:pt>
                <c:pt idx="462">
                  <c:v>1.3703183555683121</c:v>
                </c:pt>
                <c:pt idx="463">
                  <c:v>1.384052052899841</c:v>
                </c:pt>
                <c:pt idx="464">
                  <c:v>1.379842833939859</c:v>
                </c:pt>
                <c:pt idx="465">
                  <c:v>1.370258010035621</c:v>
                </c:pt>
                <c:pt idx="466">
                  <c:v>1.374009678508646</c:v>
                </c:pt>
                <c:pt idx="467">
                  <c:v>1.3555457342449839</c:v>
                </c:pt>
                <c:pt idx="468">
                  <c:v>1.3638050551411509</c:v>
                </c:pt>
                <c:pt idx="469">
                  <c:v>1.372108521364841</c:v>
                </c:pt>
                <c:pt idx="470">
                  <c:v>1.3883882124641771</c:v>
                </c:pt>
                <c:pt idx="471">
                  <c:v>1.395712648310073</c:v>
                </c:pt>
                <c:pt idx="472">
                  <c:v>1.401539863088098</c:v>
                </c:pt>
                <c:pt idx="473">
                  <c:v>1.401177514727892</c:v>
                </c:pt>
                <c:pt idx="474">
                  <c:v>1.401756618894286</c:v>
                </c:pt>
                <c:pt idx="475">
                  <c:v>1.409760114967781</c:v>
                </c:pt>
                <c:pt idx="476">
                  <c:v>1.408371702544001</c:v>
                </c:pt>
                <c:pt idx="477">
                  <c:v>1.407784112581971</c:v>
                </c:pt>
                <c:pt idx="478">
                  <c:v>1.4089954976245529</c:v>
                </c:pt>
                <c:pt idx="479">
                  <c:v>1.398770345722411</c:v>
                </c:pt>
                <c:pt idx="480">
                  <c:v>1.4076244239494211</c:v>
                </c:pt>
                <c:pt idx="481">
                  <c:v>1.3983813764008051</c:v>
                </c:pt>
                <c:pt idx="482">
                  <c:v>1.403364921539715</c:v>
                </c:pt>
                <c:pt idx="483">
                  <c:v>1.3996221432922979</c:v>
                </c:pt>
                <c:pt idx="484">
                  <c:v>1.421460017204162</c:v>
                </c:pt>
                <c:pt idx="485">
                  <c:v>1.4311760920120731</c:v>
                </c:pt>
                <c:pt idx="486">
                  <c:v>1.43460890136599</c:v>
                </c:pt>
                <c:pt idx="487">
                  <c:v>1.4295176832809251</c:v>
                </c:pt>
                <c:pt idx="488">
                  <c:v>1.4318052460526389</c:v>
                </c:pt>
                <c:pt idx="489">
                  <c:v>1.408037701445682</c:v>
                </c:pt>
                <c:pt idx="490">
                  <c:v>1.4005452158141301</c:v>
                </c:pt>
                <c:pt idx="491">
                  <c:v>1.4002505586190379</c:v>
                </c:pt>
                <c:pt idx="492">
                  <c:v>1.38036472383013</c:v>
                </c:pt>
                <c:pt idx="493">
                  <c:v>1.390518260157807</c:v>
                </c:pt>
                <c:pt idx="494">
                  <c:v>1.3860980474870359</c:v>
                </c:pt>
                <c:pt idx="495">
                  <c:v>1.339899168145241</c:v>
                </c:pt>
                <c:pt idx="496">
                  <c:v>1.3149346440144309</c:v>
                </c:pt>
                <c:pt idx="497">
                  <c:v>1.317669527899318</c:v>
                </c:pt>
                <c:pt idx="498">
                  <c:v>1.2730242539322201</c:v>
                </c:pt>
                <c:pt idx="499">
                  <c:v>1.3033448087577759</c:v>
                </c:pt>
                <c:pt idx="500">
                  <c:v>1.315598697039583</c:v>
                </c:pt>
                <c:pt idx="501">
                  <c:v>1.324139988352161</c:v>
                </c:pt>
                <c:pt idx="502">
                  <c:v>1.3534987786215069</c:v>
                </c:pt>
                <c:pt idx="503">
                  <c:v>1.3534624948103859</c:v>
                </c:pt>
                <c:pt idx="504">
                  <c:v>1.3762677536270369</c:v>
                </c:pt>
                <c:pt idx="505">
                  <c:v>1.3658328796204571</c:v>
                </c:pt>
                <c:pt idx="506">
                  <c:v>1.360720055497276</c:v>
                </c:pt>
                <c:pt idx="507">
                  <c:v>1.3735807753895111</c:v>
                </c:pt>
                <c:pt idx="508">
                  <c:v>1.36054189859907</c:v>
                </c:pt>
                <c:pt idx="509">
                  <c:v>1.363040229809154</c:v>
                </c:pt>
                <c:pt idx="510">
                  <c:v>1.3786625386349849</c:v>
                </c:pt>
                <c:pt idx="511">
                  <c:v>1.368560584304499</c:v>
                </c:pt>
                <c:pt idx="512">
                  <c:v>1.379585087195738</c:v>
                </c:pt>
                <c:pt idx="513">
                  <c:v>1.395011187346539</c:v>
                </c:pt>
                <c:pt idx="514">
                  <c:v>1.407569115498283</c:v>
                </c:pt>
                <c:pt idx="515">
                  <c:v>1.3959041746600389</c:v>
                </c:pt>
                <c:pt idx="516">
                  <c:v>1.386666375024042</c:v>
                </c:pt>
                <c:pt idx="517">
                  <c:v>1.3901547333514901</c:v>
                </c:pt>
                <c:pt idx="518">
                  <c:v>1.376831098653988</c:v>
                </c:pt>
                <c:pt idx="519">
                  <c:v>1.3831921947942289</c:v>
                </c:pt>
                <c:pt idx="520">
                  <c:v>1.3872415440340531</c:v>
                </c:pt>
                <c:pt idx="521">
                  <c:v>1.3766235682798931</c:v>
                </c:pt>
                <c:pt idx="522">
                  <c:v>1.363334133668767</c:v>
                </c:pt>
                <c:pt idx="523">
                  <c:v>1.3188660052790619</c:v>
                </c:pt>
                <c:pt idx="524">
                  <c:v>1.330921136717675</c:v>
                </c:pt>
                <c:pt idx="525">
                  <c:v>1.350864205710598</c:v>
                </c:pt>
                <c:pt idx="526">
                  <c:v>1.333115144128687</c:v>
                </c:pt>
                <c:pt idx="527">
                  <c:v>1.3433315435184789</c:v>
                </c:pt>
                <c:pt idx="528">
                  <c:v>1.3591800858337471</c:v>
                </c:pt>
                <c:pt idx="529">
                  <c:v>1.360281638785718</c:v>
                </c:pt>
                <c:pt idx="530">
                  <c:v>1.3512193648377759</c:v>
                </c:pt>
                <c:pt idx="531">
                  <c:v>1.3430954628455369</c:v>
                </c:pt>
                <c:pt idx="532">
                  <c:v>1.3429143442495439</c:v>
                </c:pt>
                <c:pt idx="533">
                  <c:v>1.3562806554461879</c:v>
                </c:pt>
                <c:pt idx="534">
                  <c:v>1.362530500412191</c:v>
                </c:pt>
                <c:pt idx="535">
                  <c:v>1.354285774621655</c:v>
                </c:pt>
                <c:pt idx="536">
                  <c:v>1.3484905937011811</c:v>
                </c:pt>
                <c:pt idx="537">
                  <c:v>1.3424072706234049</c:v>
                </c:pt>
                <c:pt idx="538">
                  <c:v>1.3159905216653189</c:v>
                </c:pt>
                <c:pt idx="539">
                  <c:v>1.3290696458210689</c:v>
                </c:pt>
                <c:pt idx="540">
                  <c:v>1.336677522813762</c:v>
                </c:pt>
                <c:pt idx="541">
                  <c:v>1.315599529285411</c:v>
                </c:pt>
                <c:pt idx="542">
                  <c:v>1.3021105205065859</c:v>
                </c:pt>
                <c:pt idx="543">
                  <c:v>1.3330328584636979</c:v>
                </c:pt>
                <c:pt idx="544">
                  <c:v>1.3367414523319909</c:v>
                </c:pt>
                <c:pt idx="545">
                  <c:v>1.315912004539187</c:v>
                </c:pt>
                <c:pt idx="546">
                  <c:v>1.320159686696377</c:v>
                </c:pt>
                <c:pt idx="547">
                  <c:v>1.324009425392487</c:v>
                </c:pt>
                <c:pt idx="548">
                  <c:v>1.3349813518405069</c:v>
                </c:pt>
                <c:pt idx="549">
                  <c:v>1.336062373056262</c:v>
                </c:pt>
                <c:pt idx="550">
                  <c:v>1.3604631732487</c:v>
                </c:pt>
                <c:pt idx="551">
                  <c:v>1.3666131305882721</c:v>
                </c:pt>
                <c:pt idx="552">
                  <c:v>1.364847084658342</c:v>
                </c:pt>
                <c:pt idx="553">
                  <c:v>1.3703068067667441</c:v>
                </c:pt>
                <c:pt idx="554">
                  <c:v>1.3590831094864431</c:v>
                </c:pt>
                <c:pt idx="555">
                  <c:v>1.364239881410791</c:v>
                </c:pt>
                <c:pt idx="556">
                  <c:v>1.3772267582842439</c:v>
                </c:pt>
                <c:pt idx="557">
                  <c:v>1.373563058078451</c:v>
                </c:pt>
                <c:pt idx="558">
                  <c:v>1.360946088650713</c:v>
                </c:pt>
                <c:pt idx="559">
                  <c:v>1.3669895775830989</c:v>
                </c:pt>
                <c:pt idx="560">
                  <c:v>1.379528476254781</c:v>
                </c:pt>
                <c:pt idx="561">
                  <c:v>1.38187966445304</c:v>
                </c:pt>
                <c:pt idx="562">
                  <c:v>1.3678928034822599</c:v>
                </c:pt>
                <c:pt idx="563">
                  <c:v>1.3609246309079059</c:v>
                </c:pt>
                <c:pt idx="564">
                  <c:v>1.3537883815661109</c:v>
                </c:pt>
                <c:pt idx="565">
                  <c:v>1.359209182246208</c:v>
                </c:pt>
                <c:pt idx="566">
                  <c:v>1.345893043150842</c:v>
                </c:pt>
                <c:pt idx="567">
                  <c:v>1.323483693255181</c:v>
                </c:pt>
                <c:pt idx="568">
                  <c:v>1.3463491275241839</c:v>
                </c:pt>
                <c:pt idx="569">
                  <c:v>1.3262757481608829</c:v>
                </c:pt>
                <c:pt idx="570">
                  <c:v>1.330958860525808</c:v>
                </c:pt>
                <c:pt idx="571">
                  <c:v>1.35393329470361</c:v>
                </c:pt>
                <c:pt idx="572">
                  <c:v>1.3581301135832791</c:v>
                </c:pt>
                <c:pt idx="573">
                  <c:v>1.3517770335281849</c:v>
                </c:pt>
                <c:pt idx="574">
                  <c:v>1.341325227525715</c:v>
                </c:pt>
                <c:pt idx="575">
                  <c:v>1.3336368650059169</c:v>
                </c:pt>
                <c:pt idx="576">
                  <c:v>1.351202481838476</c:v>
                </c:pt>
                <c:pt idx="577">
                  <c:v>1.338345118580041</c:v>
                </c:pt>
                <c:pt idx="578">
                  <c:v>1.3306973870486829</c:v>
                </c:pt>
                <c:pt idx="579">
                  <c:v>1.315813706441971</c:v>
                </c:pt>
                <c:pt idx="580">
                  <c:v>1.265307464079938</c:v>
                </c:pt>
                <c:pt idx="581">
                  <c:v>1.2796924284048941</c:v>
                </c:pt>
                <c:pt idx="582">
                  <c:v>1.262583222272244</c:v>
                </c:pt>
                <c:pt idx="583">
                  <c:v>1.275434220953664</c:v>
                </c:pt>
                <c:pt idx="584">
                  <c:v>1.262308288359439</c:v>
                </c:pt>
                <c:pt idx="585">
                  <c:v>1.261914472490167</c:v>
                </c:pt>
                <c:pt idx="586">
                  <c:v>1.23971691848062</c:v>
                </c:pt>
                <c:pt idx="587">
                  <c:v>1.2267094954312181</c:v>
                </c:pt>
                <c:pt idx="588">
                  <c:v>1.265002310949739</c:v>
                </c:pt>
                <c:pt idx="589">
                  <c:v>1.245602855789762</c:v>
                </c:pt>
                <c:pt idx="590">
                  <c:v>1.2478456033860981</c:v>
                </c:pt>
                <c:pt idx="591">
                  <c:v>1.2299634967496289</c:v>
                </c:pt>
                <c:pt idx="592">
                  <c:v>1.2117210944884029</c:v>
                </c:pt>
                <c:pt idx="593">
                  <c:v>1.214530123362292</c:v>
                </c:pt>
                <c:pt idx="594">
                  <c:v>1.247547740567613</c:v>
                </c:pt>
                <c:pt idx="595">
                  <c:v>1.2555273082681131</c:v>
                </c:pt>
                <c:pt idx="596">
                  <c:v>1.2398669103591911</c:v>
                </c:pt>
                <c:pt idx="597">
                  <c:v>1.2680703492131431</c:v>
                </c:pt>
                <c:pt idx="598">
                  <c:v>1.277685732292696</c:v>
                </c:pt>
                <c:pt idx="599">
                  <c:v>1.276914388622568</c:v>
                </c:pt>
                <c:pt idx="600">
                  <c:v>1.272556864087395</c:v>
                </c:pt>
                <c:pt idx="601">
                  <c:v>1.263575661179964</c:v>
                </c:pt>
                <c:pt idx="602">
                  <c:v>1.259079246317802</c:v>
                </c:pt>
                <c:pt idx="603">
                  <c:v>1.272218671076863</c:v>
                </c:pt>
                <c:pt idx="604">
                  <c:v>1.27486071691736</c:v>
                </c:pt>
                <c:pt idx="605">
                  <c:v>1.27486071691736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5E-4D95-BFBD-0A7E2AB4861D}"/>
            </c:ext>
          </c:extLst>
        </c:ser>
        <c:ser>
          <c:idx val="5"/>
          <c:order val="1"/>
          <c:tx>
            <c:strRef>
              <c:f>回撤结果!$C$1</c:f>
              <c:strCache>
                <c:ptCount val="1"/>
                <c:pt idx="0">
                  <c:v>熊市领先组合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回撤结果!$A$2:$A$607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回撤结果!$C$2:$C$607</c:f>
              <c:numCache>
                <c:formatCode>General</c:formatCode>
                <c:ptCount val="606"/>
                <c:pt idx="0">
                  <c:v>1</c:v>
                </c:pt>
                <c:pt idx="1">
                  <c:v>1.0310847632254221</c:v>
                </c:pt>
                <c:pt idx="2">
                  <c:v>1.0237264903940031</c:v>
                </c:pt>
                <c:pt idx="3">
                  <c:v>1.052657520507799</c:v>
                </c:pt>
                <c:pt idx="4">
                  <c:v>1.0554693602765319</c:v>
                </c:pt>
                <c:pt idx="5">
                  <c:v>1.0730058919867971</c:v>
                </c:pt>
                <c:pt idx="6">
                  <c:v>1.065035031049026</c:v>
                </c:pt>
                <c:pt idx="7">
                  <c:v>1.0685566522182881</c:v>
                </c:pt>
                <c:pt idx="8">
                  <c:v>1.1025652158559509</c:v>
                </c:pt>
                <c:pt idx="9">
                  <c:v>1.1115483076487001</c:v>
                </c:pt>
                <c:pt idx="10">
                  <c:v>1.1064760705251711</c:v>
                </c:pt>
                <c:pt idx="11">
                  <c:v>1.108526966021234</c:v>
                </c:pt>
                <c:pt idx="12">
                  <c:v>1.1279554042224591</c:v>
                </c:pt>
                <c:pt idx="13">
                  <c:v>1.123206761127379</c:v>
                </c:pt>
                <c:pt idx="14">
                  <c:v>1.122667905431999</c:v>
                </c:pt>
                <c:pt idx="15">
                  <c:v>1.0536752932764359</c:v>
                </c:pt>
                <c:pt idx="16">
                  <c:v>1.0596133007869031</c:v>
                </c:pt>
                <c:pt idx="17">
                  <c:v>1.020899899205792</c:v>
                </c:pt>
                <c:pt idx="18">
                  <c:v>1.038875623964082</c:v>
                </c:pt>
                <c:pt idx="19">
                  <c:v>1.08052153493847</c:v>
                </c:pt>
                <c:pt idx="20">
                  <c:v>1.0800818456015591</c:v>
                </c:pt>
                <c:pt idx="21">
                  <c:v>1.0627052460347111</c:v>
                </c:pt>
                <c:pt idx="22">
                  <c:v>1.0767904328398969</c:v>
                </c:pt>
                <c:pt idx="23">
                  <c:v>1.079296468546745</c:v>
                </c:pt>
                <c:pt idx="24">
                  <c:v>1.0601691179645061</c:v>
                </c:pt>
                <c:pt idx="25">
                  <c:v>1.0455324829909269</c:v>
                </c:pt>
                <c:pt idx="26">
                  <c:v>1.0448107753465949</c:v>
                </c:pt>
                <c:pt idx="27">
                  <c:v>1.072777297345729</c:v>
                </c:pt>
                <c:pt idx="28">
                  <c:v>1.0683586119453321</c:v>
                </c:pt>
                <c:pt idx="29">
                  <c:v>1.0615066985397339</c:v>
                </c:pt>
                <c:pt idx="30">
                  <c:v>1.0902274456168579</c:v>
                </c:pt>
                <c:pt idx="31">
                  <c:v>1.118944329134856</c:v>
                </c:pt>
                <c:pt idx="32">
                  <c:v>1.1388385567787009</c:v>
                </c:pt>
                <c:pt idx="33">
                  <c:v>1.134748582735996</c:v>
                </c:pt>
                <c:pt idx="34">
                  <c:v>1.140218625088127</c:v>
                </c:pt>
                <c:pt idx="35">
                  <c:v>1.127548728159631</c:v>
                </c:pt>
                <c:pt idx="36">
                  <c:v>1.131547866500153</c:v>
                </c:pt>
                <c:pt idx="37">
                  <c:v>1.1271679709072051</c:v>
                </c:pt>
                <c:pt idx="38">
                  <c:v>1.111198177258768</c:v>
                </c:pt>
                <c:pt idx="39">
                  <c:v>1.1420820141066359</c:v>
                </c:pt>
                <c:pt idx="40">
                  <c:v>1.1448191518388089</c:v>
                </c:pt>
                <c:pt idx="41">
                  <c:v>1.1420380421926939</c:v>
                </c:pt>
                <c:pt idx="42">
                  <c:v>1.1639878108552399</c:v>
                </c:pt>
                <c:pt idx="43">
                  <c:v>1.1673763145927061</c:v>
                </c:pt>
                <c:pt idx="44">
                  <c:v>1.1532193972438129</c:v>
                </c:pt>
                <c:pt idx="45">
                  <c:v>1.145650111235504</c:v>
                </c:pt>
                <c:pt idx="46">
                  <c:v>1.167055072883709</c:v>
                </c:pt>
                <c:pt idx="47">
                  <c:v>1.1609282112946679</c:v>
                </c:pt>
                <c:pt idx="48">
                  <c:v>1.1752087789101671</c:v>
                </c:pt>
                <c:pt idx="49">
                  <c:v>1.1822635158392589</c:v>
                </c:pt>
                <c:pt idx="50">
                  <c:v>1.1798907607476059</c:v>
                </c:pt>
                <c:pt idx="51">
                  <c:v>1.166235254747209</c:v>
                </c:pt>
                <c:pt idx="52">
                  <c:v>1.168748829311125</c:v>
                </c:pt>
                <c:pt idx="53">
                  <c:v>1.133692987214052</c:v>
                </c:pt>
                <c:pt idx="54">
                  <c:v>1.126842404354963</c:v>
                </c:pt>
                <c:pt idx="55">
                  <c:v>1.1336580433479919</c:v>
                </c:pt>
                <c:pt idx="56">
                  <c:v>1.1312332075626459</c:v>
                </c:pt>
                <c:pt idx="57">
                  <c:v>1.1396776838137279</c:v>
                </c:pt>
                <c:pt idx="58">
                  <c:v>1.137834300170036</c:v>
                </c:pt>
                <c:pt idx="59">
                  <c:v>1.135301993306471</c:v>
                </c:pt>
                <c:pt idx="60">
                  <c:v>1.138191558168365</c:v>
                </c:pt>
                <c:pt idx="61">
                  <c:v>1.165535882160875</c:v>
                </c:pt>
                <c:pt idx="62">
                  <c:v>1.1650852118461601</c:v>
                </c:pt>
                <c:pt idx="63">
                  <c:v>1.1679411732478211</c:v>
                </c:pt>
                <c:pt idx="64">
                  <c:v>1.134554776053877</c:v>
                </c:pt>
                <c:pt idx="65">
                  <c:v>1.104936408244573</c:v>
                </c:pt>
                <c:pt idx="66">
                  <c:v>1.1063547320363529</c:v>
                </c:pt>
                <c:pt idx="67">
                  <c:v>1.108589928200814</c:v>
                </c:pt>
                <c:pt idx="68">
                  <c:v>1.111796033273045</c:v>
                </c:pt>
                <c:pt idx="69">
                  <c:v>1.1091934111531609</c:v>
                </c:pt>
                <c:pt idx="70">
                  <c:v>1.1246666533453831</c:v>
                </c:pt>
                <c:pt idx="71">
                  <c:v>1.119749192013181</c:v>
                </c:pt>
                <c:pt idx="72">
                  <c:v>1.09920874920722</c:v>
                </c:pt>
                <c:pt idx="73">
                  <c:v>1.101697281438635</c:v>
                </c:pt>
                <c:pt idx="74">
                  <c:v>1.109218240362553</c:v>
                </c:pt>
                <c:pt idx="75">
                  <c:v>1.1222386938969231</c:v>
                </c:pt>
                <c:pt idx="76">
                  <c:v>1.112786524144082</c:v>
                </c:pt>
                <c:pt idx="77">
                  <c:v>1.107566063216366</c:v>
                </c:pt>
                <c:pt idx="78">
                  <c:v>1.112574400717975</c:v>
                </c:pt>
                <c:pt idx="79">
                  <c:v>1.1104877560878299</c:v>
                </c:pt>
                <c:pt idx="80">
                  <c:v>1.1074805793356439</c:v>
                </c:pt>
                <c:pt idx="81">
                  <c:v>1.1431189987915891</c:v>
                </c:pt>
                <c:pt idx="82">
                  <c:v>1.1489360388742491</c:v>
                </c:pt>
                <c:pt idx="83">
                  <c:v>1.1551052934493951</c:v>
                </c:pt>
                <c:pt idx="84">
                  <c:v>1.161592642123694</c:v>
                </c:pt>
                <c:pt idx="85">
                  <c:v>1.1664522737624921</c:v>
                </c:pt>
                <c:pt idx="86">
                  <c:v>1.1677806188673201</c:v>
                </c:pt>
                <c:pt idx="87">
                  <c:v>1.16278229400657</c:v>
                </c:pt>
                <c:pt idx="88">
                  <c:v>1.1251589200766889</c:v>
                </c:pt>
                <c:pt idx="89">
                  <c:v>1.130740767313239</c:v>
                </c:pt>
                <c:pt idx="90">
                  <c:v>1.1605608453755529</c:v>
                </c:pt>
                <c:pt idx="91">
                  <c:v>1.158547180573593</c:v>
                </c:pt>
                <c:pt idx="92">
                  <c:v>1.16588451244959</c:v>
                </c:pt>
                <c:pt idx="93">
                  <c:v>1.1693535565882349</c:v>
                </c:pt>
                <c:pt idx="94">
                  <c:v>1.1608082480253299</c:v>
                </c:pt>
                <c:pt idx="95">
                  <c:v>1.174404097433138</c:v>
                </c:pt>
                <c:pt idx="96">
                  <c:v>1.169400319245284</c:v>
                </c:pt>
                <c:pt idx="97">
                  <c:v>1.1627862779618761</c:v>
                </c:pt>
                <c:pt idx="98">
                  <c:v>1.185448589097698</c:v>
                </c:pt>
                <c:pt idx="99">
                  <c:v>1.191892609648316</c:v>
                </c:pt>
                <c:pt idx="100">
                  <c:v>1.19251900297521</c:v>
                </c:pt>
                <c:pt idx="101">
                  <c:v>1.1923393664322841</c:v>
                </c:pt>
                <c:pt idx="102">
                  <c:v>1.1919791827770509</c:v>
                </c:pt>
                <c:pt idx="103">
                  <c:v>1.2126000625907409</c:v>
                </c:pt>
                <c:pt idx="104">
                  <c:v>1.216067392636458</c:v>
                </c:pt>
                <c:pt idx="105">
                  <c:v>1.225832072871369</c:v>
                </c:pt>
                <c:pt idx="106">
                  <c:v>1.2287252643879509</c:v>
                </c:pt>
                <c:pt idx="107">
                  <c:v>1.22426780526862</c:v>
                </c:pt>
                <c:pt idx="108">
                  <c:v>1.226141720002575</c:v>
                </c:pt>
                <c:pt idx="109">
                  <c:v>1.2432222480028401</c:v>
                </c:pt>
                <c:pt idx="110">
                  <c:v>1.248012893170918</c:v>
                </c:pt>
                <c:pt idx="111">
                  <c:v>1.245376681613378</c:v>
                </c:pt>
                <c:pt idx="112">
                  <c:v>1.2448272729772869</c:v>
                </c:pt>
                <c:pt idx="113">
                  <c:v>1.240931304029125</c:v>
                </c:pt>
                <c:pt idx="114">
                  <c:v>1.238583531018717</c:v>
                </c:pt>
                <c:pt idx="115">
                  <c:v>1.2366265276106869</c:v>
                </c:pt>
                <c:pt idx="116">
                  <c:v>1.2392823389756991</c:v>
                </c:pt>
                <c:pt idx="117">
                  <c:v>1.226894863549651</c:v>
                </c:pt>
                <c:pt idx="118">
                  <c:v>1.2270387698263541</c:v>
                </c:pt>
                <c:pt idx="119">
                  <c:v>1.243237718726083</c:v>
                </c:pt>
                <c:pt idx="120">
                  <c:v>1.211457975487108</c:v>
                </c:pt>
                <c:pt idx="121">
                  <c:v>1.217400698315845</c:v>
                </c:pt>
                <c:pt idx="122">
                  <c:v>1.212980188661259</c:v>
                </c:pt>
                <c:pt idx="123">
                  <c:v>1.2008325648454079</c:v>
                </c:pt>
                <c:pt idx="124">
                  <c:v>1.2075282655295081</c:v>
                </c:pt>
                <c:pt idx="125">
                  <c:v>1.2109490793780819</c:v>
                </c:pt>
                <c:pt idx="126">
                  <c:v>1.214368958314616</c:v>
                </c:pt>
                <c:pt idx="127">
                  <c:v>1.21017691844086</c:v>
                </c:pt>
                <c:pt idx="128">
                  <c:v>1.2206650589087411</c:v>
                </c:pt>
                <c:pt idx="129">
                  <c:v>1.2294706041035659</c:v>
                </c:pt>
                <c:pt idx="130">
                  <c:v>1.22640104814145</c:v>
                </c:pt>
                <c:pt idx="131">
                  <c:v>1.213355056456157</c:v>
                </c:pt>
                <c:pt idx="132">
                  <c:v>1.2232829428788701</c:v>
                </c:pt>
                <c:pt idx="133">
                  <c:v>1.245525711534246</c:v>
                </c:pt>
                <c:pt idx="134">
                  <c:v>1.248294953284415</c:v>
                </c:pt>
                <c:pt idx="135">
                  <c:v>1.2503090724053341</c:v>
                </c:pt>
                <c:pt idx="136">
                  <c:v>1.246127248011484</c:v>
                </c:pt>
                <c:pt idx="137">
                  <c:v>1.246742010089096</c:v>
                </c:pt>
                <c:pt idx="138">
                  <c:v>1.236224124718317</c:v>
                </c:pt>
                <c:pt idx="139">
                  <c:v>1.2377394346463471</c:v>
                </c:pt>
                <c:pt idx="140">
                  <c:v>1.2387211776529881</c:v>
                </c:pt>
                <c:pt idx="141">
                  <c:v>1.233330622053757</c:v>
                </c:pt>
                <c:pt idx="142">
                  <c:v>1.237929236060803</c:v>
                </c:pt>
                <c:pt idx="143">
                  <c:v>1.2393574812895309</c:v>
                </c:pt>
                <c:pt idx="144">
                  <c:v>1.238986196372776</c:v>
                </c:pt>
                <c:pt idx="145">
                  <c:v>1.2398843183466079</c:v>
                </c:pt>
                <c:pt idx="146">
                  <c:v>1.232934082934428</c:v>
                </c:pt>
                <c:pt idx="147">
                  <c:v>1.229280750203966</c:v>
                </c:pt>
                <c:pt idx="148">
                  <c:v>1.23609301409271</c:v>
                </c:pt>
                <c:pt idx="149">
                  <c:v>1.2512448682997841</c:v>
                </c:pt>
                <c:pt idx="150">
                  <c:v>1.2507461511044671</c:v>
                </c:pt>
                <c:pt idx="151">
                  <c:v>1.254329380571223</c:v>
                </c:pt>
                <c:pt idx="152">
                  <c:v>1.2460137987961</c:v>
                </c:pt>
                <c:pt idx="153">
                  <c:v>1.2212367966678721</c:v>
                </c:pt>
                <c:pt idx="154">
                  <c:v>1.2234922008893709</c:v>
                </c:pt>
                <c:pt idx="155">
                  <c:v>1.2173829102157969</c:v>
                </c:pt>
                <c:pt idx="156">
                  <c:v>1.227513249654931</c:v>
                </c:pt>
                <c:pt idx="157">
                  <c:v>1.2289281720262379</c:v>
                </c:pt>
                <c:pt idx="158">
                  <c:v>1.231303771433478</c:v>
                </c:pt>
                <c:pt idx="159">
                  <c:v>1.2380369254178309</c:v>
                </c:pt>
                <c:pt idx="160">
                  <c:v>1.235424508764422</c:v>
                </c:pt>
                <c:pt idx="161">
                  <c:v>1.2161763139025059</c:v>
                </c:pt>
                <c:pt idx="162">
                  <c:v>1.220104311412233</c:v>
                </c:pt>
                <c:pt idx="163">
                  <c:v>1.2182897807372559</c:v>
                </c:pt>
                <c:pt idx="164">
                  <c:v>1.223295345228953</c:v>
                </c:pt>
                <c:pt idx="165">
                  <c:v>1.228381554519119</c:v>
                </c:pt>
                <c:pt idx="166">
                  <c:v>1.245286327596409</c:v>
                </c:pt>
                <c:pt idx="167">
                  <c:v>1.2515449100685201</c:v>
                </c:pt>
                <c:pt idx="168">
                  <c:v>1.2502015753763389</c:v>
                </c:pt>
                <c:pt idx="169">
                  <c:v>1.251355177823023</c:v>
                </c:pt>
                <c:pt idx="170">
                  <c:v>1.249493575050669</c:v>
                </c:pt>
                <c:pt idx="171">
                  <c:v>1.2416740504349519</c:v>
                </c:pt>
                <c:pt idx="172">
                  <c:v>1.256959352483594</c:v>
                </c:pt>
                <c:pt idx="173">
                  <c:v>1.254566635421035</c:v>
                </c:pt>
                <c:pt idx="174">
                  <c:v>1.2545982355355181</c:v>
                </c:pt>
                <c:pt idx="175">
                  <c:v>1.252036758083326</c:v>
                </c:pt>
                <c:pt idx="176">
                  <c:v>1.2605461012748631</c:v>
                </c:pt>
                <c:pt idx="177">
                  <c:v>1.26442147685635</c:v>
                </c:pt>
                <c:pt idx="178">
                  <c:v>1.259458719744714</c:v>
                </c:pt>
                <c:pt idx="179">
                  <c:v>1.2573425356641339</c:v>
                </c:pt>
                <c:pt idx="180">
                  <c:v>1.2515168705408981</c:v>
                </c:pt>
                <c:pt idx="181">
                  <c:v>1.251166974954069</c:v>
                </c:pt>
                <c:pt idx="182">
                  <c:v>1.260823060364419</c:v>
                </c:pt>
                <c:pt idx="183">
                  <c:v>1.2536448973519889</c:v>
                </c:pt>
                <c:pt idx="184">
                  <c:v>1.258793091659963</c:v>
                </c:pt>
                <c:pt idx="185">
                  <c:v>1.253759139570833</c:v>
                </c:pt>
                <c:pt idx="186">
                  <c:v>1.2550762042775501</c:v>
                </c:pt>
                <c:pt idx="187">
                  <c:v>1.259703900090976</c:v>
                </c:pt>
                <c:pt idx="188">
                  <c:v>1.254858284919151</c:v>
                </c:pt>
                <c:pt idx="189">
                  <c:v>1.266329863089668</c:v>
                </c:pt>
                <c:pt idx="190">
                  <c:v>1.2726216183525361</c:v>
                </c:pt>
                <c:pt idx="191">
                  <c:v>1.2746243175473819</c:v>
                </c:pt>
                <c:pt idx="192">
                  <c:v>1.2754621534162081</c:v>
                </c:pt>
                <c:pt idx="193">
                  <c:v>1.2756539588320279</c:v>
                </c:pt>
                <c:pt idx="194">
                  <c:v>1.2745823805850449</c:v>
                </c:pt>
                <c:pt idx="195">
                  <c:v>1.2693732751656639</c:v>
                </c:pt>
                <c:pt idx="196">
                  <c:v>1.271699852326472</c:v>
                </c:pt>
                <c:pt idx="197">
                  <c:v>1.2794944612653969</c:v>
                </c:pt>
                <c:pt idx="198">
                  <c:v>1.276772889897642</c:v>
                </c:pt>
                <c:pt idx="199">
                  <c:v>1.2773071438733989</c:v>
                </c:pt>
                <c:pt idx="200">
                  <c:v>1.282874794776516</c:v>
                </c:pt>
                <c:pt idx="201">
                  <c:v>1.287246764747277</c:v>
                </c:pt>
                <c:pt idx="202">
                  <c:v>1.283499750176184</c:v>
                </c:pt>
                <c:pt idx="203">
                  <c:v>1.273902570793626</c:v>
                </c:pt>
                <c:pt idx="204">
                  <c:v>1.2821144796663799</c:v>
                </c:pt>
                <c:pt idx="205">
                  <c:v>1.267906978425358</c:v>
                </c:pt>
                <c:pt idx="206">
                  <c:v>1.2585738207635759</c:v>
                </c:pt>
                <c:pt idx="207">
                  <c:v>1.2596212434249441</c:v>
                </c:pt>
                <c:pt idx="208">
                  <c:v>1.2685880861176639</c:v>
                </c:pt>
                <c:pt idx="209">
                  <c:v>1.265395063251717</c:v>
                </c:pt>
                <c:pt idx="210">
                  <c:v>1.265445077447708</c:v>
                </c:pt>
                <c:pt idx="211">
                  <c:v>1.228018003160203</c:v>
                </c:pt>
                <c:pt idx="212">
                  <c:v>1.2329872685025911</c:v>
                </c:pt>
                <c:pt idx="213">
                  <c:v>1.2255786796364909</c:v>
                </c:pt>
                <c:pt idx="214">
                  <c:v>1.22298348960787</c:v>
                </c:pt>
                <c:pt idx="215">
                  <c:v>1.2280080454655771</c:v>
                </c:pt>
                <c:pt idx="216">
                  <c:v>1.22738878896794</c:v>
                </c:pt>
                <c:pt idx="217">
                  <c:v>1.222553572557203</c:v>
                </c:pt>
                <c:pt idx="218">
                  <c:v>1.231748979796307</c:v>
                </c:pt>
                <c:pt idx="219">
                  <c:v>1.231055876784283</c:v>
                </c:pt>
                <c:pt idx="220">
                  <c:v>1.220357659024655</c:v>
                </c:pt>
                <c:pt idx="221">
                  <c:v>1.224088852354384</c:v>
                </c:pt>
                <c:pt idx="222">
                  <c:v>1.2248802669492369</c:v>
                </c:pt>
                <c:pt idx="223">
                  <c:v>1.2211621512846289</c:v>
                </c:pt>
                <c:pt idx="224">
                  <c:v>1.218945454923867</c:v>
                </c:pt>
                <c:pt idx="225">
                  <c:v>1.2232782241439171</c:v>
                </c:pt>
                <c:pt idx="226">
                  <c:v>1.231154235367101</c:v>
                </c:pt>
                <c:pt idx="227">
                  <c:v>1.243260826504359</c:v>
                </c:pt>
                <c:pt idx="228">
                  <c:v>1.2428228981364511</c:v>
                </c:pt>
                <c:pt idx="229">
                  <c:v>1.2365748815476341</c:v>
                </c:pt>
                <c:pt idx="230">
                  <c:v>1.240855850683251</c:v>
                </c:pt>
                <c:pt idx="231">
                  <c:v>1.2378515530102181</c:v>
                </c:pt>
                <c:pt idx="232">
                  <c:v>1.226962695494294</c:v>
                </c:pt>
                <c:pt idx="233">
                  <c:v>1.2171636569205739</c:v>
                </c:pt>
                <c:pt idx="234">
                  <c:v>1.207373696773397</c:v>
                </c:pt>
                <c:pt idx="235">
                  <c:v>1.192281354360337</c:v>
                </c:pt>
                <c:pt idx="236">
                  <c:v>1.2002242916270509</c:v>
                </c:pt>
                <c:pt idx="237">
                  <c:v>1.2016588245078439</c:v>
                </c:pt>
                <c:pt idx="238">
                  <c:v>1.197478371314328</c:v>
                </c:pt>
                <c:pt idx="239">
                  <c:v>1.209178787463409</c:v>
                </c:pt>
                <c:pt idx="240">
                  <c:v>1.216423657285352</c:v>
                </c:pt>
                <c:pt idx="241">
                  <c:v>1.2151140419938751</c:v>
                </c:pt>
                <c:pt idx="242">
                  <c:v>1.21815679449563</c:v>
                </c:pt>
                <c:pt idx="243">
                  <c:v>1.224633153892692</c:v>
                </c:pt>
                <c:pt idx="244">
                  <c:v>1.2194021756180189</c:v>
                </c:pt>
                <c:pt idx="245">
                  <c:v>1.22753670840406</c:v>
                </c:pt>
                <c:pt idx="246">
                  <c:v>1.2266813076097249</c:v>
                </c:pt>
                <c:pt idx="247">
                  <c:v>1.232656136211606</c:v>
                </c:pt>
                <c:pt idx="248">
                  <c:v>1.2384061232462531</c:v>
                </c:pt>
                <c:pt idx="249">
                  <c:v>1.2409450733480349</c:v>
                </c:pt>
                <c:pt idx="250">
                  <c:v>1.249364773076469</c:v>
                </c:pt>
                <c:pt idx="251">
                  <c:v>1.2508203445106481</c:v>
                </c:pt>
                <c:pt idx="252">
                  <c:v>1.241068833894873</c:v>
                </c:pt>
                <c:pt idx="253">
                  <c:v>1.24757709890233</c:v>
                </c:pt>
                <c:pt idx="254">
                  <c:v>1.239155040627012</c:v>
                </c:pt>
                <c:pt idx="255">
                  <c:v>1.2557589284361841</c:v>
                </c:pt>
                <c:pt idx="256">
                  <c:v>1.2616944897898059</c:v>
                </c:pt>
                <c:pt idx="257">
                  <c:v>1.267501332542142</c:v>
                </c:pt>
                <c:pt idx="258">
                  <c:v>1.2653460695640419</c:v>
                </c:pt>
                <c:pt idx="259">
                  <c:v>1.264938501816711</c:v>
                </c:pt>
                <c:pt idx="260">
                  <c:v>1.2562714828271779</c:v>
                </c:pt>
                <c:pt idx="261">
                  <c:v>1.26085016621496</c:v>
                </c:pt>
                <c:pt idx="262">
                  <c:v>1.2634478150161841</c:v>
                </c:pt>
                <c:pt idx="263">
                  <c:v>1.259617786764065</c:v>
                </c:pt>
                <c:pt idx="264">
                  <c:v>1.2615073748356569</c:v>
                </c:pt>
                <c:pt idx="265">
                  <c:v>1.271047806864491</c:v>
                </c:pt>
                <c:pt idx="266">
                  <c:v>1.2738064881297211</c:v>
                </c:pt>
                <c:pt idx="267">
                  <c:v>1.270116813112474</c:v>
                </c:pt>
                <c:pt idx="268">
                  <c:v>1.2615742472538389</c:v>
                </c:pt>
                <c:pt idx="269">
                  <c:v>1.264788227433268</c:v>
                </c:pt>
                <c:pt idx="270">
                  <c:v>1.277442980056845</c:v>
                </c:pt>
                <c:pt idx="271">
                  <c:v>1.2760386749772219</c:v>
                </c:pt>
                <c:pt idx="272">
                  <c:v>1.278830163636355</c:v>
                </c:pt>
                <c:pt idx="273">
                  <c:v>1.285936678181584</c:v>
                </c:pt>
                <c:pt idx="274">
                  <c:v>1.2756322910461959</c:v>
                </c:pt>
                <c:pt idx="275">
                  <c:v>1.2799778770505721</c:v>
                </c:pt>
                <c:pt idx="276">
                  <c:v>1.289669386514815</c:v>
                </c:pt>
                <c:pt idx="277">
                  <c:v>1.2909101173009929</c:v>
                </c:pt>
                <c:pt idx="278">
                  <c:v>1.292750347715417</c:v>
                </c:pt>
                <c:pt idx="279">
                  <c:v>1.298137844317981</c:v>
                </c:pt>
                <c:pt idx="280">
                  <c:v>1.2905060396031951</c:v>
                </c:pt>
                <c:pt idx="281">
                  <c:v>1.2875288236627951</c:v>
                </c:pt>
                <c:pt idx="282">
                  <c:v>1.2851032145079051</c:v>
                </c:pt>
                <c:pt idx="283">
                  <c:v>1.2714790874080379</c:v>
                </c:pt>
                <c:pt idx="284">
                  <c:v>1.2798032645244961</c:v>
                </c:pt>
                <c:pt idx="285">
                  <c:v>1.2998243576677171</c:v>
                </c:pt>
                <c:pt idx="286">
                  <c:v>1.304544883348973</c:v>
                </c:pt>
                <c:pt idx="287">
                  <c:v>1.3075340477413839</c:v>
                </c:pt>
                <c:pt idx="288">
                  <c:v>1.3018074762720839</c:v>
                </c:pt>
                <c:pt idx="289">
                  <c:v>1.3046269382594089</c:v>
                </c:pt>
                <c:pt idx="290">
                  <c:v>1.298182545995761</c:v>
                </c:pt>
                <c:pt idx="291">
                  <c:v>1.3045417329075331</c:v>
                </c:pt>
                <c:pt idx="292">
                  <c:v>1.292897988505721</c:v>
                </c:pt>
                <c:pt idx="293">
                  <c:v>1.288568785564989</c:v>
                </c:pt>
                <c:pt idx="294">
                  <c:v>1.2900312210843989</c:v>
                </c:pt>
                <c:pt idx="295">
                  <c:v>1.285927633135485</c:v>
                </c:pt>
                <c:pt idx="296">
                  <c:v>1.29350434554543</c:v>
                </c:pt>
                <c:pt idx="297">
                  <c:v>1.287837057624688</c:v>
                </c:pt>
                <c:pt idx="298">
                  <c:v>1.2677133391671731</c:v>
                </c:pt>
                <c:pt idx="299">
                  <c:v>1.273980023325525</c:v>
                </c:pt>
                <c:pt idx="300">
                  <c:v>1.276413680213516</c:v>
                </c:pt>
                <c:pt idx="301">
                  <c:v>1.2825335029406919</c:v>
                </c:pt>
                <c:pt idx="302">
                  <c:v>1.280753489587064</c:v>
                </c:pt>
                <c:pt idx="303">
                  <c:v>1.2801346749516569</c:v>
                </c:pt>
                <c:pt idx="304">
                  <c:v>1.2761675254940781</c:v>
                </c:pt>
                <c:pt idx="305">
                  <c:v>1.2719798093496859</c:v>
                </c:pt>
                <c:pt idx="306">
                  <c:v>1.2605546778735339</c:v>
                </c:pt>
                <c:pt idx="307">
                  <c:v>1.24345324156467</c:v>
                </c:pt>
                <c:pt idx="308">
                  <c:v>1.247240970856101</c:v>
                </c:pt>
                <c:pt idx="309">
                  <c:v>1.2369432458264571</c:v>
                </c:pt>
                <c:pt idx="310">
                  <c:v>1.2432901867495549</c:v>
                </c:pt>
                <c:pt idx="311">
                  <c:v>1.2456895431264781</c:v>
                </c:pt>
                <c:pt idx="312">
                  <c:v>1.252253669189946</c:v>
                </c:pt>
                <c:pt idx="313">
                  <c:v>1.2716710128081741</c:v>
                </c:pt>
                <c:pt idx="314">
                  <c:v>1.268505816876579</c:v>
                </c:pt>
                <c:pt idx="315">
                  <c:v>1.262883615121549</c:v>
                </c:pt>
                <c:pt idx="316">
                  <c:v>1.2612328878689809</c:v>
                </c:pt>
                <c:pt idx="317">
                  <c:v>1.254955175691882</c:v>
                </c:pt>
                <c:pt idx="318">
                  <c:v>1.2448347245940921</c:v>
                </c:pt>
                <c:pt idx="319">
                  <c:v>1.2459796548841731</c:v>
                </c:pt>
                <c:pt idx="320">
                  <c:v>1.2527966839827811</c:v>
                </c:pt>
                <c:pt idx="321">
                  <c:v>1.250982862950208</c:v>
                </c:pt>
                <c:pt idx="322">
                  <c:v>1.250254176984936</c:v>
                </c:pt>
                <c:pt idx="323">
                  <c:v>1.2409803653337881</c:v>
                </c:pt>
                <c:pt idx="324">
                  <c:v>1.243168199210988</c:v>
                </c:pt>
                <c:pt idx="325">
                  <c:v>1.2478268187295269</c:v>
                </c:pt>
                <c:pt idx="326">
                  <c:v>1.256073424049909</c:v>
                </c:pt>
                <c:pt idx="327">
                  <c:v>1.276407877246319</c:v>
                </c:pt>
                <c:pt idx="328">
                  <c:v>1.2828808122995059</c:v>
                </c:pt>
                <c:pt idx="329">
                  <c:v>1.287416357645172</c:v>
                </c:pt>
                <c:pt idx="330">
                  <c:v>1.2838091473877691</c:v>
                </c:pt>
                <c:pt idx="331">
                  <c:v>1.2925319575665299</c:v>
                </c:pt>
                <c:pt idx="332">
                  <c:v>1.2825620864011891</c:v>
                </c:pt>
                <c:pt idx="333">
                  <c:v>1.286252474630134</c:v>
                </c:pt>
                <c:pt idx="334">
                  <c:v>1.284121929355273</c:v>
                </c:pt>
                <c:pt idx="335">
                  <c:v>1.293992175339352</c:v>
                </c:pt>
                <c:pt idx="336">
                  <c:v>1.2950405674402621</c:v>
                </c:pt>
                <c:pt idx="337">
                  <c:v>1.305618141417668</c:v>
                </c:pt>
                <c:pt idx="338">
                  <c:v>1.2954039097215011</c:v>
                </c:pt>
                <c:pt idx="339">
                  <c:v>1.3047833702956919</c:v>
                </c:pt>
                <c:pt idx="340">
                  <c:v>1.3228307506440291</c:v>
                </c:pt>
                <c:pt idx="341">
                  <c:v>1.3251470957170519</c:v>
                </c:pt>
                <c:pt idx="342">
                  <c:v>1.31520863713978</c:v>
                </c:pt>
                <c:pt idx="343">
                  <c:v>1.321970244446995</c:v>
                </c:pt>
                <c:pt idx="344">
                  <c:v>1.325174474786968</c:v>
                </c:pt>
                <c:pt idx="345">
                  <c:v>1.325606321131926</c:v>
                </c:pt>
                <c:pt idx="346">
                  <c:v>1.317121412520829</c:v>
                </c:pt>
                <c:pt idx="347">
                  <c:v>1.3309741805631989</c:v>
                </c:pt>
                <c:pt idx="348">
                  <c:v>1.3328377681212029</c:v>
                </c:pt>
                <c:pt idx="349">
                  <c:v>1.3338492816579961</c:v>
                </c:pt>
                <c:pt idx="350">
                  <c:v>1.328434938733807</c:v>
                </c:pt>
                <c:pt idx="351">
                  <c:v>1.3238644717252559</c:v>
                </c:pt>
                <c:pt idx="352">
                  <c:v>1.323375237030137</c:v>
                </c:pt>
                <c:pt idx="353">
                  <c:v>1.3254414613716881</c:v>
                </c:pt>
                <c:pt idx="354">
                  <c:v>1.3268952473388671</c:v>
                </c:pt>
                <c:pt idx="355">
                  <c:v>1.298870962682906</c:v>
                </c:pt>
                <c:pt idx="356">
                  <c:v>1.304310555850644</c:v>
                </c:pt>
                <c:pt idx="357">
                  <c:v>1.3249424805611349</c:v>
                </c:pt>
                <c:pt idx="358">
                  <c:v>1.332275114551154</c:v>
                </c:pt>
                <c:pt idx="359">
                  <c:v>1.333082033505093</c:v>
                </c:pt>
                <c:pt idx="360">
                  <c:v>1.3356130585094419</c:v>
                </c:pt>
                <c:pt idx="361">
                  <c:v>1.3296129004468351</c:v>
                </c:pt>
                <c:pt idx="362">
                  <c:v>1.323723368321809</c:v>
                </c:pt>
                <c:pt idx="363">
                  <c:v>1.328760187279096</c:v>
                </c:pt>
                <c:pt idx="364">
                  <c:v>1.337059991561836</c:v>
                </c:pt>
                <c:pt idx="365">
                  <c:v>1.34717845726145</c:v>
                </c:pt>
                <c:pt idx="366">
                  <c:v>1.3496760910079151</c:v>
                </c:pt>
                <c:pt idx="367">
                  <c:v>1.3425154645658359</c:v>
                </c:pt>
                <c:pt idx="368">
                  <c:v>1.337480234036972</c:v>
                </c:pt>
                <c:pt idx="369">
                  <c:v>1.3284627023063429</c:v>
                </c:pt>
                <c:pt idx="370">
                  <c:v>1.3408593651904499</c:v>
                </c:pt>
                <c:pt idx="371">
                  <c:v>1.3423382535723789</c:v>
                </c:pt>
                <c:pt idx="372">
                  <c:v>1.351153358511485</c:v>
                </c:pt>
                <c:pt idx="373">
                  <c:v>1.345335483368431</c:v>
                </c:pt>
                <c:pt idx="374">
                  <c:v>1.324088440097817</c:v>
                </c:pt>
                <c:pt idx="375">
                  <c:v>1.3461675537174529</c:v>
                </c:pt>
                <c:pt idx="376">
                  <c:v>1.349340319925008</c:v>
                </c:pt>
                <c:pt idx="377">
                  <c:v>1.34877346409698</c:v>
                </c:pt>
                <c:pt idx="378">
                  <c:v>1.3528655657462669</c:v>
                </c:pt>
                <c:pt idx="379">
                  <c:v>1.3492046783217551</c:v>
                </c:pt>
                <c:pt idx="380">
                  <c:v>1.3573395106167849</c:v>
                </c:pt>
                <c:pt idx="381">
                  <c:v>1.355797756035412</c:v>
                </c:pt>
                <c:pt idx="382">
                  <c:v>1.351227478064146</c:v>
                </c:pt>
                <c:pt idx="383">
                  <c:v>1.3432595943557979</c:v>
                </c:pt>
                <c:pt idx="384">
                  <c:v>1.3576687420600011</c:v>
                </c:pt>
                <c:pt idx="385">
                  <c:v>1.3712994098071081</c:v>
                </c:pt>
                <c:pt idx="386">
                  <c:v>1.3690485024550021</c:v>
                </c:pt>
                <c:pt idx="387">
                  <c:v>1.3753331181846571</c:v>
                </c:pt>
                <c:pt idx="388">
                  <c:v>1.376519360530654</c:v>
                </c:pt>
                <c:pt idx="389">
                  <c:v>1.3850706136567821</c:v>
                </c:pt>
                <c:pt idx="390">
                  <c:v>1.391132323443764</c:v>
                </c:pt>
                <c:pt idx="391">
                  <c:v>1.3923065928108771</c:v>
                </c:pt>
                <c:pt idx="392">
                  <c:v>1.3941886657312239</c:v>
                </c:pt>
                <c:pt idx="393">
                  <c:v>1.3858047054572451</c:v>
                </c:pt>
                <c:pt idx="394">
                  <c:v>1.3858752463961119</c:v>
                </c:pt>
                <c:pt idx="395">
                  <c:v>1.3952411468964621</c:v>
                </c:pt>
                <c:pt idx="396">
                  <c:v>1.3943035233881509</c:v>
                </c:pt>
                <c:pt idx="397">
                  <c:v>1.4004865488364691</c:v>
                </c:pt>
                <c:pt idx="398">
                  <c:v>1.3971773527767859</c:v>
                </c:pt>
                <c:pt idx="399">
                  <c:v>1.39400509574344</c:v>
                </c:pt>
                <c:pt idx="400">
                  <c:v>1.4034404540107079</c:v>
                </c:pt>
                <c:pt idx="401">
                  <c:v>1.396872592587344</c:v>
                </c:pt>
                <c:pt idx="402">
                  <c:v>1.4036210863401981</c:v>
                </c:pt>
                <c:pt idx="403">
                  <c:v>1.3953695320525661</c:v>
                </c:pt>
                <c:pt idx="404">
                  <c:v>1.3945120469118479</c:v>
                </c:pt>
                <c:pt idx="405">
                  <c:v>1.387112769326309</c:v>
                </c:pt>
                <c:pt idx="406">
                  <c:v>1.3876842103652249</c:v>
                </c:pt>
                <c:pt idx="407">
                  <c:v>1.395058693669081</c:v>
                </c:pt>
                <c:pt idx="408">
                  <c:v>1.397595263794005</c:v>
                </c:pt>
                <c:pt idx="409">
                  <c:v>1.405781727924009</c:v>
                </c:pt>
                <c:pt idx="410">
                  <c:v>1.4195924505651121</c:v>
                </c:pt>
                <c:pt idx="411">
                  <c:v>1.4226087446792599</c:v>
                </c:pt>
                <c:pt idx="412">
                  <c:v>1.425504984045223</c:v>
                </c:pt>
                <c:pt idx="413">
                  <c:v>1.4263014157967411</c:v>
                </c:pt>
                <c:pt idx="414">
                  <c:v>1.432819675130788</c:v>
                </c:pt>
                <c:pt idx="415">
                  <c:v>1.4239981877769501</c:v>
                </c:pt>
                <c:pt idx="416">
                  <c:v>1.4245867325189689</c:v>
                </c:pt>
                <c:pt idx="417">
                  <c:v>1.430470705032278</c:v>
                </c:pt>
                <c:pt idx="418">
                  <c:v>1.4265818288377281</c:v>
                </c:pt>
                <c:pt idx="419">
                  <c:v>1.4298251914600399</c:v>
                </c:pt>
                <c:pt idx="420">
                  <c:v>1.4392879298448711</c:v>
                </c:pt>
                <c:pt idx="421">
                  <c:v>1.443790738683514</c:v>
                </c:pt>
                <c:pt idx="422">
                  <c:v>1.453012459763668</c:v>
                </c:pt>
                <c:pt idx="423">
                  <c:v>1.4564385991405731</c:v>
                </c:pt>
                <c:pt idx="424">
                  <c:v>1.4590904920770911</c:v>
                </c:pt>
                <c:pt idx="425">
                  <c:v>1.45077113796819</c:v>
                </c:pt>
                <c:pt idx="426">
                  <c:v>1.454815881784679</c:v>
                </c:pt>
                <c:pt idx="427">
                  <c:v>1.451538807472001</c:v>
                </c:pt>
                <c:pt idx="428">
                  <c:v>1.4445151126892919</c:v>
                </c:pt>
                <c:pt idx="429">
                  <c:v>1.437336815494811</c:v>
                </c:pt>
                <c:pt idx="430">
                  <c:v>1.4563299166615919</c:v>
                </c:pt>
                <c:pt idx="431">
                  <c:v>1.4621462489806309</c:v>
                </c:pt>
                <c:pt idx="432">
                  <c:v>1.4596901258735</c:v>
                </c:pt>
                <c:pt idx="433">
                  <c:v>1.470022602468851</c:v>
                </c:pt>
                <c:pt idx="434">
                  <c:v>1.485180069488953</c:v>
                </c:pt>
                <c:pt idx="435">
                  <c:v>1.4916161451947569</c:v>
                </c:pt>
                <c:pt idx="436">
                  <c:v>1.4772590019085681</c:v>
                </c:pt>
                <c:pt idx="437">
                  <c:v>1.466249048145827</c:v>
                </c:pt>
                <c:pt idx="438">
                  <c:v>1.478253037770171</c:v>
                </c:pt>
                <c:pt idx="439">
                  <c:v>1.4590392423781231</c:v>
                </c:pt>
                <c:pt idx="440">
                  <c:v>1.471936096942855</c:v>
                </c:pt>
                <c:pt idx="441">
                  <c:v>1.4850551436561941</c:v>
                </c:pt>
                <c:pt idx="442">
                  <c:v>1.4778584901978751</c:v>
                </c:pt>
                <c:pt idx="443">
                  <c:v>1.4351766268298609</c:v>
                </c:pt>
                <c:pt idx="444">
                  <c:v>1.434336903185276</c:v>
                </c:pt>
                <c:pt idx="445">
                  <c:v>1.414985722666287</c:v>
                </c:pt>
                <c:pt idx="446">
                  <c:v>1.4279727387368271</c:v>
                </c:pt>
                <c:pt idx="447">
                  <c:v>1.429459090848493</c:v>
                </c:pt>
                <c:pt idx="448">
                  <c:v>1.4158533056244009</c:v>
                </c:pt>
                <c:pt idx="449">
                  <c:v>1.421178967900965</c:v>
                </c:pt>
                <c:pt idx="450">
                  <c:v>1.424747487117813</c:v>
                </c:pt>
                <c:pt idx="451">
                  <c:v>1.41421186016912</c:v>
                </c:pt>
                <c:pt idx="452">
                  <c:v>1.4136248246493379</c:v>
                </c:pt>
                <c:pt idx="453">
                  <c:v>1.4008058123642151</c:v>
                </c:pt>
                <c:pt idx="454">
                  <c:v>1.414720063789406</c:v>
                </c:pt>
                <c:pt idx="455">
                  <c:v>1.438787717770059</c:v>
                </c:pt>
                <c:pt idx="456">
                  <c:v>1.426403276907305</c:v>
                </c:pt>
                <c:pt idx="457">
                  <c:v>1.438756980295814</c:v>
                </c:pt>
                <c:pt idx="458">
                  <c:v>1.4364421540298991</c:v>
                </c:pt>
                <c:pt idx="459">
                  <c:v>1.4234832122068051</c:v>
                </c:pt>
                <c:pt idx="460">
                  <c:v>1.4230370855132211</c:v>
                </c:pt>
                <c:pt idx="461">
                  <c:v>1.4372824216926969</c:v>
                </c:pt>
                <c:pt idx="462">
                  <c:v>1.4356737337103029</c:v>
                </c:pt>
                <c:pt idx="463">
                  <c:v>1.449649974083252</c:v>
                </c:pt>
                <c:pt idx="464">
                  <c:v>1.4464656360929711</c:v>
                </c:pt>
                <c:pt idx="465">
                  <c:v>1.4384913751406569</c:v>
                </c:pt>
                <c:pt idx="466">
                  <c:v>1.4422273705752009</c:v>
                </c:pt>
                <c:pt idx="467">
                  <c:v>1.4257665416263099</c:v>
                </c:pt>
                <c:pt idx="468">
                  <c:v>1.43724979548204</c:v>
                </c:pt>
                <c:pt idx="469">
                  <c:v>1.443955022481366</c:v>
                </c:pt>
                <c:pt idx="470">
                  <c:v>1.4606464218523949</c:v>
                </c:pt>
                <c:pt idx="471">
                  <c:v>1.47056421162377</c:v>
                </c:pt>
                <c:pt idx="472">
                  <c:v>1.4792718435083689</c:v>
                </c:pt>
                <c:pt idx="473">
                  <c:v>1.478865089167106</c:v>
                </c:pt>
                <c:pt idx="474">
                  <c:v>1.486761211171143</c:v>
                </c:pt>
                <c:pt idx="475">
                  <c:v>1.4939624429208509</c:v>
                </c:pt>
                <c:pt idx="476">
                  <c:v>1.49266016232334</c:v>
                </c:pt>
                <c:pt idx="477">
                  <c:v>1.4890521277102959</c:v>
                </c:pt>
                <c:pt idx="478">
                  <c:v>1.490749663759074</c:v>
                </c:pt>
                <c:pt idx="479">
                  <c:v>1.4796132064642411</c:v>
                </c:pt>
                <c:pt idx="480">
                  <c:v>1.491553439366555</c:v>
                </c:pt>
                <c:pt idx="481">
                  <c:v>1.478954274259088</c:v>
                </c:pt>
                <c:pt idx="482">
                  <c:v>1.484409243858867</c:v>
                </c:pt>
                <c:pt idx="483">
                  <c:v>1.4811714286953681</c:v>
                </c:pt>
                <c:pt idx="484">
                  <c:v>1.502930979915533</c:v>
                </c:pt>
                <c:pt idx="485">
                  <c:v>1.514237452816305</c:v>
                </c:pt>
                <c:pt idx="486">
                  <c:v>1.5146250664279259</c:v>
                </c:pt>
                <c:pt idx="487">
                  <c:v>1.5100517889010681</c:v>
                </c:pt>
                <c:pt idx="488">
                  <c:v>1.514185291922957</c:v>
                </c:pt>
                <c:pt idx="489">
                  <c:v>1.492003257817174</c:v>
                </c:pt>
                <c:pt idx="490">
                  <c:v>1.481532849162029</c:v>
                </c:pt>
                <c:pt idx="491">
                  <c:v>1.4855900845021399</c:v>
                </c:pt>
                <c:pt idx="492">
                  <c:v>1.4660939824523691</c:v>
                </c:pt>
                <c:pt idx="493">
                  <c:v>1.478965675878944</c:v>
                </c:pt>
                <c:pt idx="494">
                  <c:v>1.4730027068618481</c:v>
                </c:pt>
                <c:pt idx="495">
                  <c:v>1.4259840795782219</c:v>
                </c:pt>
                <c:pt idx="496">
                  <c:v>1.396437352805717</c:v>
                </c:pt>
                <c:pt idx="497">
                  <c:v>1.394790435431382</c:v>
                </c:pt>
                <c:pt idx="498">
                  <c:v>1.3463980871872729</c:v>
                </c:pt>
                <c:pt idx="499">
                  <c:v>1.3760230117458581</c:v>
                </c:pt>
                <c:pt idx="500">
                  <c:v>1.3886526994963491</c:v>
                </c:pt>
                <c:pt idx="501">
                  <c:v>1.398010464056354</c:v>
                </c:pt>
                <c:pt idx="502">
                  <c:v>1.429667060341173</c:v>
                </c:pt>
                <c:pt idx="503">
                  <c:v>1.432990750211788</c:v>
                </c:pt>
                <c:pt idx="504">
                  <c:v>1.451785722502436</c:v>
                </c:pt>
                <c:pt idx="505">
                  <c:v>1.435926223507936</c:v>
                </c:pt>
                <c:pt idx="506">
                  <c:v>1.4310110988103371</c:v>
                </c:pt>
                <c:pt idx="507">
                  <c:v>1.441139098245986</c:v>
                </c:pt>
                <c:pt idx="508">
                  <c:v>1.430266553621913</c:v>
                </c:pt>
                <c:pt idx="509">
                  <c:v>1.430970976463291</c:v>
                </c:pt>
                <c:pt idx="510">
                  <c:v>1.4492363453874371</c:v>
                </c:pt>
                <c:pt idx="511">
                  <c:v>1.439062997433028</c:v>
                </c:pt>
                <c:pt idx="512">
                  <c:v>1.451872935581378</c:v>
                </c:pt>
                <c:pt idx="513">
                  <c:v>1.464401085214986</c:v>
                </c:pt>
                <c:pt idx="514">
                  <c:v>1.4735100494369959</c:v>
                </c:pt>
                <c:pt idx="515">
                  <c:v>1.4612236709022211</c:v>
                </c:pt>
                <c:pt idx="516">
                  <c:v>1.4548290201224019</c:v>
                </c:pt>
                <c:pt idx="517">
                  <c:v>1.460876872634741</c:v>
                </c:pt>
                <c:pt idx="518">
                  <c:v>1.4473388749830689</c:v>
                </c:pt>
                <c:pt idx="519">
                  <c:v>1.4511637868744489</c:v>
                </c:pt>
                <c:pt idx="520">
                  <c:v>1.453670313430476</c:v>
                </c:pt>
                <c:pt idx="521">
                  <c:v>1.4428559530507361</c:v>
                </c:pt>
                <c:pt idx="522">
                  <c:v>1.428984622265332</c:v>
                </c:pt>
                <c:pt idx="523">
                  <c:v>1.3854029033700801</c:v>
                </c:pt>
                <c:pt idx="524">
                  <c:v>1.393525176995019</c:v>
                </c:pt>
                <c:pt idx="525">
                  <c:v>1.412770572354469</c:v>
                </c:pt>
                <c:pt idx="526">
                  <c:v>1.3914833519249179</c:v>
                </c:pt>
                <c:pt idx="527">
                  <c:v>1.405480432110187</c:v>
                </c:pt>
                <c:pt idx="528">
                  <c:v>1.4187336390906311</c:v>
                </c:pt>
                <c:pt idx="529">
                  <c:v>1.4183614371550559</c:v>
                </c:pt>
                <c:pt idx="530">
                  <c:v>1.4090198721667999</c:v>
                </c:pt>
                <c:pt idx="531">
                  <c:v>1.4041679452712379</c:v>
                </c:pt>
                <c:pt idx="532">
                  <c:v>1.4025109396878159</c:v>
                </c:pt>
                <c:pt idx="533">
                  <c:v>1.4183706539997301</c:v>
                </c:pt>
                <c:pt idx="534">
                  <c:v>1.425215060243183</c:v>
                </c:pt>
                <c:pt idx="535">
                  <c:v>1.416132256803317</c:v>
                </c:pt>
                <c:pt idx="536">
                  <c:v>1.4085606566118101</c:v>
                </c:pt>
                <c:pt idx="537">
                  <c:v>1.39935312945899</c:v>
                </c:pt>
                <c:pt idx="538">
                  <c:v>1.373417410438871</c:v>
                </c:pt>
                <c:pt idx="539">
                  <c:v>1.3846631453212139</c:v>
                </c:pt>
                <c:pt idx="540">
                  <c:v>1.3949185810841229</c:v>
                </c:pt>
                <c:pt idx="541">
                  <c:v>1.3741961258623221</c:v>
                </c:pt>
                <c:pt idx="542">
                  <c:v>1.364250719694396</c:v>
                </c:pt>
                <c:pt idx="543">
                  <c:v>1.395011853027041</c:v>
                </c:pt>
                <c:pt idx="544">
                  <c:v>1.3964850296440261</c:v>
                </c:pt>
                <c:pt idx="545">
                  <c:v>1.374647000902838</c:v>
                </c:pt>
                <c:pt idx="546">
                  <c:v>1.377308173976556</c:v>
                </c:pt>
                <c:pt idx="547">
                  <c:v>1.3814410933598571</c:v>
                </c:pt>
                <c:pt idx="548">
                  <c:v>1.3917434823750059</c:v>
                </c:pt>
                <c:pt idx="549">
                  <c:v>1.3924278727133359</c:v>
                </c:pt>
                <c:pt idx="550">
                  <c:v>1.4184393034461611</c:v>
                </c:pt>
                <c:pt idx="551">
                  <c:v>1.4265579504409669</c:v>
                </c:pt>
                <c:pt idx="552">
                  <c:v>1.424197310380573</c:v>
                </c:pt>
                <c:pt idx="553">
                  <c:v>1.431587619907666</c:v>
                </c:pt>
                <c:pt idx="554">
                  <c:v>1.420208825010242</c:v>
                </c:pt>
                <c:pt idx="555">
                  <c:v>1.426585069671001</c:v>
                </c:pt>
                <c:pt idx="556">
                  <c:v>1.4377425181304211</c:v>
                </c:pt>
                <c:pt idx="557">
                  <c:v>1.432596730514998</c:v>
                </c:pt>
                <c:pt idx="558">
                  <c:v>1.421217224680551</c:v>
                </c:pt>
                <c:pt idx="559">
                  <c:v>1.430140340827684</c:v>
                </c:pt>
                <c:pt idx="560">
                  <c:v>1.437939227266622</c:v>
                </c:pt>
                <c:pt idx="561">
                  <c:v>1.439949010002211</c:v>
                </c:pt>
                <c:pt idx="562">
                  <c:v>1.421642337854544</c:v>
                </c:pt>
                <c:pt idx="563">
                  <c:v>1.414550019122655</c:v>
                </c:pt>
                <c:pt idx="564">
                  <c:v>1.40866905016961</c:v>
                </c:pt>
                <c:pt idx="565">
                  <c:v>1.4141785036992189</c:v>
                </c:pt>
                <c:pt idx="566">
                  <c:v>1.401408732365069</c:v>
                </c:pt>
                <c:pt idx="567">
                  <c:v>1.380471371789453</c:v>
                </c:pt>
                <c:pt idx="568">
                  <c:v>1.406600878032418</c:v>
                </c:pt>
                <c:pt idx="569">
                  <c:v>1.38886981563482</c:v>
                </c:pt>
                <c:pt idx="570">
                  <c:v>1.3955171443612231</c:v>
                </c:pt>
                <c:pt idx="571">
                  <c:v>1.4153448479339359</c:v>
                </c:pt>
                <c:pt idx="572">
                  <c:v>1.4183770388811661</c:v>
                </c:pt>
                <c:pt idx="573">
                  <c:v>1.412911347728427</c:v>
                </c:pt>
                <c:pt idx="574">
                  <c:v>1.4010931559728339</c:v>
                </c:pt>
                <c:pt idx="575">
                  <c:v>1.394516767154808</c:v>
                </c:pt>
                <c:pt idx="576">
                  <c:v>1.4132303891039519</c:v>
                </c:pt>
                <c:pt idx="577">
                  <c:v>1.4009216189812119</c:v>
                </c:pt>
                <c:pt idx="578">
                  <c:v>1.3939172945073961</c:v>
                </c:pt>
                <c:pt idx="579">
                  <c:v>1.3822787037143101</c:v>
                </c:pt>
                <c:pt idx="580">
                  <c:v>1.3335399859755841</c:v>
                </c:pt>
                <c:pt idx="581">
                  <c:v>1.348680796512322</c:v>
                </c:pt>
                <c:pt idx="582">
                  <c:v>1.3345693312804989</c:v>
                </c:pt>
                <c:pt idx="583">
                  <c:v>1.3463908643836751</c:v>
                </c:pt>
                <c:pt idx="584">
                  <c:v>1.3338217405054029</c:v>
                </c:pt>
                <c:pt idx="585">
                  <c:v>1.329152637407621</c:v>
                </c:pt>
                <c:pt idx="586">
                  <c:v>1.3061146419521039</c:v>
                </c:pt>
                <c:pt idx="587">
                  <c:v>1.2919777684840159</c:v>
                </c:pt>
                <c:pt idx="588">
                  <c:v>1.32959766687338</c:v>
                </c:pt>
                <c:pt idx="589">
                  <c:v>1.304733780550924</c:v>
                </c:pt>
                <c:pt idx="590">
                  <c:v>1.304028707549804</c:v>
                </c:pt>
                <c:pt idx="591">
                  <c:v>1.2864751139592381</c:v>
                </c:pt>
                <c:pt idx="592">
                  <c:v>1.2692631324408901</c:v>
                </c:pt>
                <c:pt idx="593">
                  <c:v>1.273685864631573</c:v>
                </c:pt>
                <c:pt idx="594">
                  <c:v>1.3079789998002791</c:v>
                </c:pt>
                <c:pt idx="595">
                  <c:v>1.31506482551127</c:v>
                </c:pt>
                <c:pt idx="596">
                  <c:v>1.2989232754277731</c:v>
                </c:pt>
                <c:pt idx="597">
                  <c:v>1.326161363604097</c:v>
                </c:pt>
                <c:pt idx="598">
                  <c:v>1.3366142115378921</c:v>
                </c:pt>
                <c:pt idx="599">
                  <c:v>1.3341440931531749</c:v>
                </c:pt>
                <c:pt idx="600">
                  <c:v>1.3300650001601451</c:v>
                </c:pt>
                <c:pt idx="601">
                  <c:v>1.32098098558455</c:v>
                </c:pt>
                <c:pt idx="602">
                  <c:v>1.316135128486015</c:v>
                </c:pt>
                <c:pt idx="603">
                  <c:v>1.330285977059315</c:v>
                </c:pt>
                <c:pt idx="604">
                  <c:v>1.335895496622389</c:v>
                </c:pt>
                <c:pt idx="605">
                  <c:v>1.335895496622389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5E-4D95-BFBD-0A7E2AB4861D}"/>
            </c:ext>
          </c:extLst>
        </c:ser>
        <c:ser>
          <c:idx val="6"/>
          <c:order val="2"/>
          <c:tx>
            <c:strRef>
              <c:f>回撤结果!$D$1</c:f>
              <c:strCache>
                <c:ptCount val="1"/>
                <c:pt idx="0">
                  <c:v>震荡市领先组合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回撤结果!$A$2:$A$607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回撤结果!$D$2:$D$607</c:f>
              <c:numCache>
                <c:formatCode>General</c:formatCode>
                <c:ptCount val="606"/>
                <c:pt idx="0">
                  <c:v>1</c:v>
                </c:pt>
                <c:pt idx="1">
                  <c:v>1.0299544478121381</c:v>
                </c:pt>
                <c:pt idx="2">
                  <c:v>1.0237248211160439</c:v>
                </c:pt>
                <c:pt idx="3">
                  <c:v>1.0553865432070451</c:v>
                </c:pt>
                <c:pt idx="4">
                  <c:v>1.0592102617426691</c:v>
                </c:pt>
                <c:pt idx="5">
                  <c:v>1.078590170999034</c:v>
                </c:pt>
                <c:pt idx="6">
                  <c:v>1.069061159330247</c:v>
                </c:pt>
                <c:pt idx="7">
                  <c:v>1.074955135269535</c:v>
                </c:pt>
                <c:pt idx="8">
                  <c:v>1.111347315738203</c:v>
                </c:pt>
                <c:pt idx="9">
                  <c:v>1.1223591690272481</c:v>
                </c:pt>
                <c:pt idx="10">
                  <c:v>1.116900031999426</c:v>
                </c:pt>
                <c:pt idx="11">
                  <c:v>1.120757915900795</c:v>
                </c:pt>
                <c:pt idx="12">
                  <c:v>1.138709948724951</c:v>
                </c:pt>
                <c:pt idx="13">
                  <c:v>1.132415439666006</c:v>
                </c:pt>
                <c:pt idx="14">
                  <c:v>1.127878311834013</c:v>
                </c:pt>
                <c:pt idx="15">
                  <c:v>1.0581451225059011</c:v>
                </c:pt>
                <c:pt idx="16">
                  <c:v>1.0587670879326121</c:v>
                </c:pt>
                <c:pt idx="17">
                  <c:v>1.013126655783227</c:v>
                </c:pt>
                <c:pt idx="18">
                  <c:v>1.0287017373493179</c:v>
                </c:pt>
                <c:pt idx="19">
                  <c:v>1.067265235477949</c:v>
                </c:pt>
                <c:pt idx="20">
                  <c:v>1.0659700941992161</c:v>
                </c:pt>
                <c:pt idx="21">
                  <c:v>1.040009997473734</c:v>
                </c:pt>
                <c:pt idx="22">
                  <c:v>1.0550413345673511</c:v>
                </c:pt>
                <c:pt idx="23">
                  <c:v>1.058004053471467</c:v>
                </c:pt>
                <c:pt idx="24">
                  <c:v>1.0391058528549559</c:v>
                </c:pt>
                <c:pt idx="25">
                  <c:v>1.0252355304643881</c:v>
                </c:pt>
                <c:pt idx="26">
                  <c:v>1.0236661307824499</c:v>
                </c:pt>
                <c:pt idx="27">
                  <c:v>1.051817088848491</c:v>
                </c:pt>
                <c:pt idx="28">
                  <c:v>1.0462629872601561</c:v>
                </c:pt>
                <c:pt idx="29">
                  <c:v>1.0385833762142369</c:v>
                </c:pt>
                <c:pt idx="30">
                  <c:v>1.0684032330461399</c:v>
                </c:pt>
                <c:pt idx="31">
                  <c:v>1.0991385143722849</c:v>
                </c:pt>
                <c:pt idx="32">
                  <c:v>1.1196351405908529</c:v>
                </c:pt>
                <c:pt idx="33">
                  <c:v>1.117340515049603</c:v>
                </c:pt>
                <c:pt idx="34">
                  <c:v>1.124421154630828</c:v>
                </c:pt>
                <c:pt idx="35">
                  <c:v>1.1113463816092961</c:v>
                </c:pt>
                <c:pt idx="36">
                  <c:v>1.1160611246882861</c:v>
                </c:pt>
                <c:pt idx="37">
                  <c:v>1.1113800894537289</c:v>
                </c:pt>
                <c:pt idx="38">
                  <c:v>1.0948276283667939</c:v>
                </c:pt>
                <c:pt idx="39">
                  <c:v>1.1259133728573949</c:v>
                </c:pt>
                <c:pt idx="40">
                  <c:v>1.1293696480508479</c:v>
                </c:pt>
                <c:pt idx="41">
                  <c:v>1.1235826336423871</c:v>
                </c:pt>
                <c:pt idx="42">
                  <c:v>1.146246655566477</c:v>
                </c:pt>
                <c:pt idx="43">
                  <c:v>1.150217462841296</c:v>
                </c:pt>
                <c:pt idx="44">
                  <c:v>1.1343511357102309</c:v>
                </c:pt>
                <c:pt idx="45">
                  <c:v>1.1262727882151551</c:v>
                </c:pt>
                <c:pt idx="46">
                  <c:v>1.145878638632257</c:v>
                </c:pt>
                <c:pt idx="47">
                  <c:v>1.137834023778409</c:v>
                </c:pt>
                <c:pt idx="48">
                  <c:v>1.151293890842445</c:v>
                </c:pt>
                <c:pt idx="49">
                  <c:v>1.1592591862269279</c:v>
                </c:pt>
                <c:pt idx="50">
                  <c:v>1.159110292289071</c:v>
                </c:pt>
                <c:pt idx="51">
                  <c:v>1.1455872094905239</c:v>
                </c:pt>
                <c:pt idx="52">
                  <c:v>1.148367581542777</c:v>
                </c:pt>
                <c:pt idx="53">
                  <c:v>1.1103644108949831</c:v>
                </c:pt>
                <c:pt idx="54">
                  <c:v>1.1013091720126409</c:v>
                </c:pt>
                <c:pt idx="55">
                  <c:v>1.1087626916011271</c:v>
                </c:pt>
                <c:pt idx="56">
                  <c:v>1.105304373040529</c:v>
                </c:pt>
                <c:pt idx="57">
                  <c:v>1.114806740683925</c:v>
                </c:pt>
                <c:pt idx="58">
                  <c:v>1.1137236785688409</c:v>
                </c:pt>
                <c:pt idx="59">
                  <c:v>1.1116243260882921</c:v>
                </c:pt>
                <c:pt idx="60">
                  <c:v>1.113565141440253</c:v>
                </c:pt>
                <c:pt idx="61">
                  <c:v>1.1397054905762201</c:v>
                </c:pt>
                <c:pt idx="62">
                  <c:v>1.1395558817860429</c:v>
                </c:pt>
                <c:pt idx="63">
                  <c:v>1.143069143261793</c:v>
                </c:pt>
                <c:pt idx="64">
                  <c:v>1.109421688667702</c:v>
                </c:pt>
                <c:pt idx="65">
                  <c:v>1.078606573827094</c:v>
                </c:pt>
                <c:pt idx="66">
                  <c:v>1.0784408404216519</c:v>
                </c:pt>
                <c:pt idx="67">
                  <c:v>1.0752133466441729</c:v>
                </c:pt>
                <c:pt idx="68">
                  <c:v>1.077476271080684</c:v>
                </c:pt>
                <c:pt idx="69">
                  <c:v>1.074875151615108</c:v>
                </c:pt>
                <c:pt idx="70">
                  <c:v>1.090512065754915</c:v>
                </c:pt>
                <c:pt idx="71">
                  <c:v>1.087409513905367</c:v>
                </c:pt>
                <c:pt idx="72">
                  <c:v>1.065425383407536</c:v>
                </c:pt>
                <c:pt idx="73">
                  <c:v>1.0688591915324579</c:v>
                </c:pt>
                <c:pt idx="74">
                  <c:v>1.0761706761888301</c:v>
                </c:pt>
                <c:pt idx="75">
                  <c:v>1.0898574248771129</c:v>
                </c:pt>
                <c:pt idx="76">
                  <c:v>1.08101563383462</c:v>
                </c:pt>
                <c:pt idx="77">
                  <c:v>1.075733403634241</c:v>
                </c:pt>
                <c:pt idx="78">
                  <c:v>1.080172389462265</c:v>
                </c:pt>
                <c:pt idx="79">
                  <c:v>1.078649006526522</c:v>
                </c:pt>
                <c:pt idx="80">
                  <c:v>1.0748445945860561</c:v>
                </c:pt>
                <c:pt idx="81">
                  <c:v>1.1079267598292111</c:v>
                </c:pt>
                <c:pt idx="82">
                  <c:v>1.114547809245684</c:v>
                </c:pt>
                <c:pt idx="83">
                  <c:v>1.12148123558625</c:v>
                </c:pt>
                <c:pt idx="84">
                  <c:v>1.1262134084479769</c:v>
                </c:pt>
                <c:pt idx="85">
                  <c:v>1.1308140077465629</c:v>
                </c:pt>
                <c:pt idx="86">
                  <c:v>1.1321746917560951</c:v>
                </c:pt>
                <c:pt idx="87">
                  <c:v>1.128471536362381</c:v>
                </c:pt>
                <c:pt idx="88">
                  <c:v>1.088699287428442</c:v>
                </c:pt>
                <c:pt idx="89">
                  <c:v>1.0947753046367801</c:v>
                </c:pt>
                <c:pt idx="90">
                  <c:v>1.1237465510444069</c:v>
                </c:pt>
                <c:pt idx="91">
                  <c:v>1.1217785701776639</c:v>
                </c:pt>
                <c:pt idx="92">
                  <c:v>1.127032809512861</c:v>
                </c:pt>
                <c:pt idx="93">
                  <c:v>1.132715283735334</c:v>
                </c:pt>
                <c:pt idx="94">
                  <c:v>1.1231880216512651</c:v>
                </c:pt>
                <c:pt idx="95">
                  <c:v>1.1363750686805529</c:v>
                </c:pt>
                <c:pt idx="96">
                  <c:v>1.1311162690222589</c:v>
                </c:pt>
                <c:pt idx="97">
                  <c:v>1.1248944075863829</c:v>
                </c:pt>
                <c:pt idx="98">
                  <c:v>1.1466918246554201</c:v>
                </c:pt>
                <c:pt idx="99">
                  <c:v>1.153777679072616</c:v>
                </c:pt>
                <c:pt idx="100">
                  <c:v>1.1538942358278299</c:v>
                </c:pt>
                <c:pt idx="101">
                  <c:v>1.1539077896294381</c:v>
                </c:pt>
                <c:pt idx="102">
                  <c:v>1.152340600494647</c:v>
                </c:pt>
                <c:pt idx="103">
                  <c:v>1.170815128055555</c:v>
                </c:pt>
                <c:pt idx="104">
                  <c:v>1.172768858761134</c:v>
                </c:pt>
                <c:pt idx="105">
                  <c:v>1.180244546451412</c:v>
                </c:pt>
                <c:pt idx="106">
                  <c:v>1.1826207366763559</c:v>
                </c:pt>
                <c:pt idx="107">
                  <c:v>1.179192139578914</c:v>
                </c:pt>
                <c:pt idx="108">
                  <c:v>1.176376562561013</c:v>
                </c:pt>
                <c:pt idx="109">
                  <c:v>1.1849621267917729</c:v>
                </c:pt>
                <c:pt idx="110">
                  <c:v>1.1901069008379941</c:v>
                </c:pt>
                <c:pt idx="111">
                  <c:v>1.1896040118971949</c:v>
                </c:pt>
                <c:pt idx="112">
                  <c:v>1.18684057856477</c:v>
                </c:pt>
                <c:pt idx="113">
                  <c:v>1.1833030873650741</c:v>
                </c:pt>
                <c:pt idx="114">
                  <c:v>1.183975974015429</c:v>
                </c:pt>
                <c:pt idx="115">
                  <c:v>1.1841830713469781</c:v>
                </c:pt>
                <c:pt idx="116">
                  <c:v>1.185329060039862</c:v>
                </c:pt>
                <c:pt idx="117">
                  <c:v>1.1760547780410131</c:v>
                </c:pt>
                <c:pt idx="118">
                  <c:v>1.1760504892876891</c:v>
                </c:pt>
                <c:pt idx="119">
                  <c:v>1.1879569616379391</c:v>
                </c:pt>
                <c:pt idx="120">
                  <c:v>1.152647850056566</c:v>
                </c:pt>
                <c:pt idx="121">
                  <c:v>1.152948606488621</c:v>
                </c:pt>
                <c:pt idx="122">
                  <c:v>1.147592848619815</c:v>
                </c:pt>
                <c:pt idx="123">
                  <c:v>1.135920792087362</c:v>
                </c:pt>
                <c:pt idx="124">
                  <c:v>1.142814015377162</c:v>
                </c:pt>
                <c:pt idx="125">
                  <c:v>1.1453307914431179</c:v>
                </c:pt>
                <c:pt idx="126">
                  <c:v>1.1492542791212981</c:v>
                </c:pt>
                <c:pt idx="127">
                  <c:v>1.145127807494134</c:v>
                </c:pt>
                <c:pt idx="128">
                  <c:v>1.153768050189458</c:v>
                </c:pt>
                <c:pt idx="129">
                  <c:v>1.162162465981905</c:v>
                </c:pt>
                <c:pt idx="130">
                  <c:v>1.159858384868693</c:v>
                </c:pt>
                <c:pt idx="131">
                  <c:v>1.147722647865111</c:v>
                </c:pt>
                <c:pt idx="132">
                  <c:v>1.1555343014774619</c:v>
                </c:pt>
                <c:pt idx="133">
                  <c:v>1.175385138288018</c:v>
                </c:pt>
                <c:pt idx="134">
                  <c:v>1.1779555924436891</c:v>
                </c:pt>
                <c:pt idx="135">
                  <c:v>1.179838750201361</c:v>
                </c:pt>
                <c:pt idx="136">
                  <c:v>1.1768631348362699</c:v>
                </c:pt>
                <c:pt idx="137">
                  <c:v>1.1778176874539581</c:v>
                </c:pt>
                <c:pt idx="138">
                  <c:v>1.1685430488355391</c:v>
                </c:pt>
                <c:pt idx="139">
                  <c:v>1.1700279065353181</c:v>
                </c:pt>
                <c:pt idx="140">
                  <c:v>1.1709397753968429</c:v>
                </c:pt>
                <c:pt idx="141">
                  <c:v>1.167153280516392</c:v>
                </c:pt>
                <c:pt idx="142">
                  <c:v>1.171054313073731</c:v>
                </c:pt>
                <c:pt idx="143">
                  <c:v>1.172015835782322</c:v>
                </c:pt>
                <c:pt idx="144">
                  <c:v>1.1721611765363631</c:v>
                </c:pt>
                <c:pt idx="145">
                  <c:v>1.172070138614846</c:v>
                </c:pt>
                <c:pt idx="146">
                  <c:v>1.1654048349151309</c:v>
                </c:pt>
                <c:pt idx="147">
                  <c:v>1.160943053838829</c:v>
                </c:pt>
                <c:pt idx="148">
                  <c:v>1.167020641837474</c:v>
                </c:pt>
                <c:pt idx="149">
                  <c:v>1.181584647932975</c:v>
                </c:pt>
                <c:pt idx="150">
                  <c:v>1.1801639174925971</c:v>
                </c:pt>
                <c:pt idx="151">
                  <c:v>1.1829929230145331</c:v>
                </c:pt>
                <c:pt idx="152">
                  <c:v>1.1766581005699459</c:v>
                </c:pt>
                <c:pt idx="153">
                  <c:v>1.152998622714414</c:v>
                </c:pt>
                <c:pt idx="154">
                  <c:v>1.15683814949049</c:v>
                </c:pt>
                <c:pt idx="155">
                  <c:v>1.151315691463543</c:v>
                </c:pt>
                <c:pt idx="156">
                  <c:v>1.1616668337114491</c:v>
                </c:pt>
                <c:pt idx="157">
                  <c:v>1.1631152888266709</c:v>
                </c:pt>
                <c:pt idx="158">
                  <c:v>1.1653158092943461</c:v>
                </c:pt>
                <c:pt idx="159">
                  <c:v>1.170287948381282</c:v>
                </c:pt>
                <c:pt idx="160">
                  <c:v>1.167094492665528</c:v>
                </c:pt>
                <c:pt idx="161">
                  <c:v>1.148589007079702</c:v>
                </c:pt>
                <c:pt idx="162">
                  <c:v>1.152824262141388</c:v>
                </c:pt>
                <c:pt idx="163">
                  <c:v>1.1522906262100401</c:v>
                </c:pt>
                <c:pt idx="164">
                  <c:v>1.156334960795419</c:v>
                </c:pt>
                <c:pt idx="165">
                  <c:v>1.1604134004181039</c:v>
                </c:pt>
                <c:pt idx="166">
                  <c:v>1.176195865969794</c:v>
                </c:pt>
                <c:pt idx="167">
                  <c:v>1.1814846422194321</c:v>
                </c:pt>
                <c:pt idx="168">
                  <c:v>1.181589394438237</c:v>
                </c:pt>
                <c:pt idx="169">
                  <c:v>1.1823039123247541</c:v>
                </c:pt>
                <c:pt idx="170">
                  <c:v>1.179570266666824</c:v>
                </c:pt>
                <c:pt idx="171">
                  <c:v>1.1711018447705219</c:v>
                </c:pt>
                <c:pt idx="172">
                  <c:v>1.183406644061753</c:v>
                </c:pt>
                <c:pt idx="173">
                  <c:v>1.180964348600263</c:v>
                </c:pt>
                <c:pt idx="174">
                  <c:v>1.182845574510075</c:v>
                </c:pt>
                <c:pt idx="175">
                  <c:v>1.179258097318242</c:v>
                </c:pt>
                <c:pt idx="176">
                  <c:v>1.1856561635908689</c:v>
                </c:pt>
                <c:pt idx="177">
                  <c:v>1.188100537668028</c:v>
                </c:pt>
                <c:pt idx="178">
                  <c:v>1.1837311264354631</c:v>
                </c:pt>
                <c:pt idx="179">
                  <c:v>1.182389180259152</c:v>
                </c:pt>
                <c:pt idx="180">
                  <c:v>1.176869836834292</c:v>
                </c:pt>
                <c:pt idx="181">
                  <c:v>1.176758251171476</c:v>
                </c:pt>
                <c:pt idx="182">
                  <c:v>1.1855936809385621</c:v>
                </c:pt>
                <c:pt idx="183">
                  <c:v>1.17949579874406</c:v>
                </c:pt>
                <c:pt idx="184">
                  <c:v>1.183013802793254</c:v>
                </c:pt>
                <c:pt idx="185">
                  <c:v>1.17905260194392</c:v>
                </c:pt>
                <c:pt idx="186">
                  <c:v>1.1788916297842269</c:v>
                </c:pt>
                <c:pt idx="187">
                  <c:v>1.184581169349193</c:v>
                </c:pt>
                <c:pt idx="188">
                  <c:v>1.1782519005834811</c:v>
                </c:pt>
                <c:pt idx="189">
                  <c:v>1.1889212069838191</c:v>
                </c:pt>
                <c:pt idx="190">
                  <c:v>1.192461284668467</c:v>
                </c:pt>
                <c:pt idx="191">
                  <c:v>1.1944217792166021</c:v>
                </c:pt>
                <c:pt idx="192">
                  <c:v>1.195876860313118</c:v>
                </c:pt>
                <c:pt idx="193">
                  <c:v>1.197580358409583</c:v>
                </c:pt>
                <c:pt idx="194">
                  <c:v>1.195967781603096</c:v>
                </c:pt>
                <c:pt idx="195">
                  <c:v>1.191734925614311</c:v>
                </c:pt>
                <c:pt idx="196">
                  <c:v>1.193715484409356</c:v>
                </c:pt>
                <c:pt idx="197">
                  <c:v>1.200823382583625</c:v>
                </c:pt>
                <c:pt idx="198">
                  <c:v>1.195765139918848</c:v>
                </c:pt>
                <c:pt idx="199">
                  <c:v>1.1938909634850099</c:v>
                </c:pt>
                <c:pt idx="200">
                  <c:v>1.1979566863477631</c:v>
                </c:pt>
                <c:pt idx="201">
                  <c:v>1.2009381203889109</c:v>
                </c:pt>
                <c:pt idx="202">
                  <c:v>1.1941302893997461</c:v>
                </c:pt>
                <c:pt idx="203">
                  <c:v>1.186776618586211</c:v>
                </c:pt>
                <c:pt idx="204">
                  <c:v>1.1930139942624149</c:v>
                </c:pt>
                <c:pt idx="205">
                  <c:v>1.1795957171228411</c:v>
                </c:pt>
                <c:pt idx="206">
                  <c:v>1.172876015735236</c:v>
                </c:pt>
                <c:pt idx="207">
                  <c:v>1.174024217960993</c:v>
                </c:pt>
                <c:pt idx="208">
                  <c:v>1.182515195119479</c:v>
                </c:pt>
                <c:pt idx="209">
                  <c:v>1.178420669461038</c:v>
                </c:pt>
                <c:pt idx="210">
                  <c:v>1.1765211255012671</c:v>
                </c:pt>
                <c:pt idx="211">
                  <c:v>1.138842158767484</c:v>
                </c:pt>
                <c:pt idx="212">
                  <c:v>1.1439611017819249</c:v>
                </c:pt>
                <c:pt idx="213">
                  <c:v>1.136973784569838</c:v>
                </c:pt>
                <c:pt idx="214">
                  <c:v>1.138127305836754</c:v>
                </c:pt>
                <c:pt idx="215">
                  <c:v>1.144210686215331</c:v>
                </c:pt>
                <c:pt idx="216">
                  <c:v>1.1437030858816</c:v>
                </c:pt>
                <c:pt idx="217">
                  <c:v>1.140886468307871</c:v>
                </c:pt>
                <c:pt idx="218">
                  <c:v>1.1487378230598571</c:v>
                </c:pt>
                <c:pt idx="219">
                  <c:v>1.1481685164899471</c:v>
                </c:pt>
                <c:pt idx="220">
                  <c:v>1.1398016953348029</c:v>
                </c:pt>
                <c:pt idx="221">
                  <c:v>1.1439616393183341</c:v>
                </c:pt>
                <c:pt idx="222">
                  <c:v>1.145028057570098</c:v>
                </c:pt>
                <c:pt idx="223">
                  <c:v>1.1416243784011419</c:v>
                </c:pt>
                <c:pt idx="224">
                  <c:v>1.1403453570611299</c:v>
                </c:pt>
                <c:pt idx="225">
                  <c:v>1.1430050751846761</c:v>
                </c:pt>
                <c:pt idx="226">
                  <c:v>1.1494292684356811</c:v>
                </c:pt>
                <c:pt idx="227">
                  <c:v>1.1591554768772441</c:v>
                </c:pt>
                <c:pt idx="228">
                  <c:v>1.1592413786426039</c:v>
                </c:pt>
                <c:pt idx="229">
                  <c:v>1.152255224235109</c:v>
                </c:pt>
                <c:pt idx="230">
                  <c:v>1.1564024307115131</c:v>
                </c:pt>
                <c:pt idx="231">
                  <c:v>1.1523766700063069</c:v>
                </c:pt>
                <c:pt idx="232">
                  <c:v>1.142548907345541</c:v>
                </c:pt>
                <c:pt idx="233">
                  <c:v>1.1346255149079889</c:v>
                </c:pt>
                <c:pt idx="234">
                  <c:v>1.1242658541350949</c:v>
                </c:pt>
                <c:pt idx="235">
                  <c:v>1.1044899762182261</c:v>
                </c:pt>
                <c:pt idx="236">
                  <c:v>1.1120535971915451</c:v>
                </c:pt>
                <c:pt idx="237">
                  <c:v>1.1125460150233619</c:v>
                </c:pt>
                <c:pt idx="238">
                  <c:v>1.1085556944729591</c:v>
                </c:pt>
                <c:pt idx="239">
                  <c:v>1.1195448429052699</c:v>
                </c:pt>
                <c:pt idx="240">
                  <c:v>1.1263015966817591</c:v>
                </c:pt>
                <c:pt idx="241">
                  <c:v>1.124700215172568</c:v>
                </c:pt>
                <c:pt idx="242">
                  <c:v>1.1274097581428359</c:v>
                </c:pt>
                <c:pt idx="243">
                  <c:v>1.134433378850261</c:v>
                </c:pt>
                <c:pt idx="244">
                  <c:v>1.1300097655432511</c:v>
                </c:pt>
                <c:pt idx="245">
                  <c:v>1.1371565302625899</c:v>
                </c:pt>
                <c:pt idx="246">
                  <c:v>1.136553923864412</c:v>
                </c:pt>
                <c:pt idx="247">
                  <c:v>1.142089617421542</c:v>
                </c:pt>
                <c:pt idx="248">
                  <c:v>1.1465394979969981</c:v>
                </c:pt>
                <c:pt idx="249">
                  <c:v>1.1481159908661589</c:v>
                </c:pt>
                <c:pt idx="250">
                  <c:v>1.1550998864227859</c:v>
                </c:pt>
                <c:pt idx="251">
                  <c:v>1.1566829336449009</c:v>
                </c:pt>
                <c:pt idx="252">
                  <c:v>1.1481306240427549</c:v>
                </c:pt>
                <c:pt idx="253">
                  <c:v>1.1537048331200239</c:v>
                </c:pt>
                <c:pt idx="254">
                  <c:v>1.145152674499176</c:v>
                </c:pt>
                <c:pt idx="255">
                  <c:v>1.156876933074769</c:v>
                </c:pt>
                <c:pt idx="256">
                  <c:v>1.162424606261822</c:v>
                </c:pt>
                <c:pt idx="257">
                  <c:v>1.1667994391899861</c:v>
                </c:pt>
                <c:pt idx="258">
                  <c:v>1.1653876783362751</c:v>
                </c:pt>
                <c:pt idx="259">
                  <c:v>1.165715648229102</c:v>
                </c:pt>
                <c:pt idx="260">
                  <c:v>1.1590352457864439</c:v>
                </c:pt>
                <c:pt idx="261">
                  <c:v>1.1619367546771779</c:v>
                </c:pt>
                <c:pt idx="262">
                  <c:v>1.164568027414137</c:v>
                </c:pt>
                <c:pt idx="263">
                  <c:v>1.16095784734636</c:v>
                </c:pt>
                <c:pt idx="264">
                  <c:v>1.1637455379753221</c:v>
                </c:pt>
                <c:pt idx="265">
                  <c:v>1.1728236633588529</c:v>
                </c:pt>
                <c:pt idx="266">
                  <c:v>1.174992623667477</c:v>
                </c:pt>
                <c:pt idx="267">
                  <c:v>1.171811024739531</c:v>
                </c:pt>
                <c:pt idx="268">
                  <c:v>1.1650159946965759</c:v>
                </c:pt>
                <c:pt idx="269">
                  <c:v>1.167318383187983</c:v>
                </c:pt>
                <c:pt idx="270">
                  <c:v>1.1771941235774761</c:v>
                </c:pt>
                <c:pt idx="271">
                  <c:v>1.1750343528122771</c:v>
                </c:pt>
                <c:pt idx="272">
                  <c:v>1.176351657887162</c:v>
                </c:pt>
                <c:pt idx="273">
                  <c:v>1.1840463660202849</c:v>
                </c:pt>
                <c:pt idx="274">
                  <c:v>1.1746931295130481</c:v>
                </c:pt>
                <c:pt idx="275">
                  <c:v>1.1778783250817699</c:v>
                </c:pt>
                <c:pt idx="276">
                  <c:v>1.1850415956616001</c:v>
                </c:pt>
                <c:pt idx="277">
                  <c:v>1.1859518988487019</c:v>
                </c:pt>
                <c:pt idx="278">
                  <c:v>1.188211924100719</c:v>
                </c:pt>
                <c:pt idx="279">
                  <c:v>1.192174300099734</c:v>
                </c:pt>
                <c:pt idx="280">
                  <c:v>1.1852692164813889</c:v>
                </c:pt>
                <c:pt idx="281">
                  <c:v>1.182912213585952</c:v>
                </c:pt>
                <c:pt idx="282">
                  <c:v>1.1797367147864051</c:v>
                </c:pt>
                <c:pt idx="283">
                  <c:v>1.1655138157052229</c:v>
                </c:pt>
                <c:pt idx="284">
                  <c:v>1.1722013338848041</c:v>
                </c:pt>
                <c:pt idx="285">
                  <c:v>1.191668779419971</c:v>
                </c:pt>
                <c:pt idx="286">
                  <c:v>1.194729015081367</c:v>
                </c:pt>
                <c:pt idx="287">
                  <c:v>1.196745873879723</c:v>
                </c:pt>
                <c:pt idx="288">
                  <c:v>1.191417709713531</c:v>
                </c:pt>
                <c:pt idx="289">
                  <c:v>1.196150184197619</c:v>
                </c:pt>
                <c:pt idx="290">
                  <c:v>1.1895602297289321</c:v>
                </c:pt>
                <c:pt idx="291">
                  <c:v>1.1943642924803499</c:v>
                </c:pt>
                <c:pt idx="292">
                  <c:v>1.1829665620963239</c:v>
                </c:pt>
                <c:pt idx="293">
                  <c:v>1.176884488836351</c:v>
                </c:pt>
                <c:pt idx="294">
                  <c:v>1.176658160406288</c:v>
                </c:pt>
                <c:pt idx="295">
                  <c:v>1.1713834963436449</c:v>
                </c:pt>
                <c:pt idx="296">
                  <c:v>1.176852730189949</c:v>
                </c:pt>
                <c:pt idx="297">
                  <c:v>1.1718208152041309</c:v>
                </c:pt>
                <c:pt idx="298">
                  <c:v>1.1514297685482131</c:v>
                </c:pt>
                <c:pt idx="299">
                  <c:v>1.156981224883266</c:v>
                </c:pt>
                <c:pt idx="300">
                  <c:v>1.159005029430848</c:v>
                </c:pt>
                <c:pt idx="301">
                  <c:v>1.164889557600655</c:v>
                </c:pt>
                <c:pt idx="302">
                  <c:v>1.1645585277667629</c:v>
                </c:pt>
                <c:pt idx="303">
                  <c:v>1.1643797322513361</c:v>
                </c:pt>
                <c:pt idx="304">
                  <c:v>1.161373377648804</c:v>
                </c:pt>
                <c:pt idx="305">
                  <c:v>1.1586111305226969</c:v>
                </c:pt>
                <c:pt idx="306">
                  <c:v>1.1473644817271751</c:v>
                </c:pt>
                <c:pt idx="307">
                  <c:v>1.1309120003228961</c:v>
                </c:pt>
                <c:pt idx="308">
                  <c:v>1.136408415429808</c:v>
                </c:pt>
                <c:pt idx="309">
                  <c:v>1.125996092545323</c:v>
                </c:pt>
                <c:pt idx="310">
                  <c:v>1.1296210759390519</c:v>
                </c:pt>
                <c:pt idx="311">
                  <c:v>1.129658443506089</c:v>
                </c:pt>
                <c:pt idx="312">
                  <c:v>1.1355939590209869</c:v>
                </c:pt>
                <c:pt idx="313">
                  <c:v>1.1540651132343951</c:v>
                </c:pt>
                <c:pt idx="314">
                  <c:v>1.150896980806325</c:v>
                </c:pt>
                <c:pt idx="315">
                  <c:v>1.144793553505064</c:v>
                </c:pt>
                <c:pt idx="316">
                  <c:v>1.14270116220227</c:v>
                </c:pt>
                <c:pt idx="317">
                  <c:v>1.135242231707712</c:v>
                </c:pt>
                <c:pt idx="318">
                  <c:v>1.124180116952499</c:v>
                </c:pt>
                <c:pt idx="319">
                  <c:v>1.1257066063880989</c:v>
                </c:pt>
                <c:pt idx="320">
                  <c:v>1.1305107381754269</c:v>
                </c:pt>
                <c:pt idx="321">
                  <c:v>1.1274721539534329</c:v>
                </c:pt>
                <c:pt idx="322">
                  <c:v>1.1262677633505489</c:v>
                </c:pt>
                <c:pt idx="323">
                  <c:v>1.117168772249177</c:v>
                </c:pt>
                <c:pt idx="324">
                  <c:v>1.1195630064115469</c:v>
                </c:pt>
                <c:pt idx="325">
                  <c:v>1.123822508722613</c:v>
                </c:pt>
                <c:pt idx="326">
                  <c:v>1.1303340088175911</c:v>
                </c:pt>
                <c:pt idx="327">
                  <c:v>1.149454590515353</c:v>
                </c:pt>
                <c:pt idx="328">
                  <c:v>1.1546851831798159</c:v>
                </c:pt>
                <c:pt idx="329">
                  <c:v>1.1585619462439261</c:v>
                </c:pt>
                <c:pt idx="330">
                  <c:v>1.1533798119563221</c:v>
                </c:pt>
                <c:pt idx="331">
                  <c:v>1.1619463870336419</c:v>
                </c:pt>
                <c:pt idx="332">
                  <c:v>1.154155463265957</c:v>
                </c:pt>
                <c:pt idx="333">
                  <c:v>1.1587130016913509</c:v>
                </c:pt>
                <c:pt idx="334">
                  <c:v>1.157588165211388</c:v>
                </c:pt>
                <c:pt idx="335">
                  <c:v>1.165867201656513</c:v>
                </c:pt>
                <c:pt idx="336">
                  <c:v>1.166429475266864</c:v>
                </c:pt>
                <c:pt idx="337">
                  <c:v>1.1746176945319839</c:v>
                </c:pt>
                <c:pt idx="338">
                  <c:v>1.1646584937069391</c:v>
                </c:pt>
                <c:pt idx="339">
                  <c:v>1.172184710919647</c:v>
                </c:pt>
                <c:pt idx="340">
                  <c:v>1.1877667389995601</c:v>
                </c:pt>
                <c:pt idx="341">
                  <c:v>1.18879711231403</c:v>
                </c:pt>
                <c:pt idx="342">
                  <c:v>1.179214235360551</c:v>
                </c:pt>
                <c:pt idx="343">
                  <c:v>1.1851465282779909</c:v>
                </c:pt>
                <c:pt idx="344">
                  <c:v>1.1894403233482189</c:v>
                </c:pt>
                <c:pt idx="345">
                  <c:v>1.1887951573331239</c:v>
                </c:pt>
                <c:pt idx="346">
                  <c:v>1.182838747128121</c:v>
                </c:pt>
                <c:pt idx="347">
                  <c:v>1.19456094824107</c:v>
                </c:pt>
                <c:pt idx="348">
                  <c:v>1.196006761819749</c:v>
                </c:pt>
                <c:pt idx="349">
                  <c:v>1.1963861255508581</c:v>
                </c:pt>
                <c:pt idx="350">
                  <c:v>1.190723710318623</c:v>
                </c:pt>
                <c:pt idx="351">
                  <c:v>1.185427221307185</c:v>
                </c:pt>
                <c:pt idx="352">
                  <c:v>1.1850260931753209</c:v>
                </c:pt>
                <c:pt idx="353">
                  <c:v>1.1843427128853581</c:v>
                </c:pt>
                <c:pt idx="354">
                  <c:v>1.186128193529437</c:v>
                </c:pt>
                <c:pt idx="355">
                  <c:v>1.159670766411856</c:v>
                </c:pt>
                <c:pt idx="356">
                  <c:v>1.162712937325985</c:v>
                </c:pt>
                <c:pt idx="357">
                  <c:v>1.181202383177725</c:v>
                </c:pt>
                <c:pt idx="358">
                  <c:v>1.188532128001683</c:v>
                </c:pt>
                <c:pt idx="359">
                  <c:v>1.1883321576696571</c:v>
                </c:pt>
                <c:pt idx="360">
                  <c:v>1.1905123062473539</c:v>
                </c:pt>
                <c:pt idx="361">
                  <c:v>1.1854955462047649</c:v>
                </c:pt>
                <c:pt idx="362">
                  <c:v>1.1797959908749329</c:v>
                </c:pt>
                <c:pt idx="363">
                  <c:v>1.183420818401778</c:v>
                </c:pt>
                <c:pt idx="364">
                  <c:v>1.190887057812323</c:v>
                </c:pt>
                <c:pt idx="365">
                  <c:v>1.199510196444235</c:v>
                </c:pt>
                <c:pt idx="366">
                  <c:v>1.201442389164239</c:v>
                </c:pt>
                <c:pt idx="367">
                  <c:v>1.196088435599046</c:v>
                </c:pt>
                <c:pt idx="368">
                  <c:v>1.190774588248068</c:v>
                </c:pt>
                <c:pt idx="369">
                  <c:v>1.181917835152051</c:v>
                </c:pt>
                <c:pt idx="370">
                  <c:v>1.193409275005985</c:v>
                </c:pt>
                <c:pt idx="371">
                  <c:v>1.1947403649226751</c:v>
                </c:pt>
                <c:pt idx="372">
                  <c:v>1.202056241524871</c:v>
                </c:pt>
                <c:pt idx="373">
                  <c:v>1.1969409036726439</c:v>
                </c:pt>
                <c:pt idx="374">
                  <c:v>1.1771058286594041</c:v>
                </c:pt>
                <c:pt idx="375">
                  <c:v>1.197115794736249</c:v>
                </c:pt>
                <c:pt idx="376">
                  <c:v>1.200739409649521</c:v>
                </c:pt>
                <c:pt idx="377">
                  <c:v>1.200579409870085</c:v>
                </c:pt>
                <c:pt idx="378">
                  <c:v>1.203754172400314</c:v>
                </c:pt>
                <c:pt idx="379">
                  <c:v>1.199109514412086</c:v>
                </c:pt>
                <c:pt idx="380">
                  <c:v>1.205889490436366</c:v>
                </c:pt>
                <c:pt idx="381">
                  <c:v>1.203942712206536</c:v>
                </c:pt>
                <c:pt idx="382">
                  <c:v>1.199819841616562</c:v>
                </c:pt>
                <c:pt idx="383">
                  <c:v>1.19299445491359</c:v>
                </c:pt>
                <c:pt idx="384">
                  <c:v>1.2055291661197569</c:v>
                </c:pt>
                <c:pt idx="385">
                  <c:v>1.217996495941384</c:v>
                </c:pt>
                <c:pt idx="386">
                  <c:v>1.2169650400890819</c:v>
                </c:pt>
                <c:pt idx="387">
                  <c:v>1.223641520732536</c:v>
                </c:pt>
                <c:pt idx="388">
                  <c:v>1.225281338893085</c:v>
                </c:pt>
                <c:pt idx="389">
                  <c:v>1.233254415730102</c:v>
                </c:pt>
                <c:pt idx="390">
                  <c:v>1.2387832392057101</c:v>
                </c:pt>
                <c:pt idx="391">
                  <c:v>1.241505662261658</c:v>
                </c:pt>
                <c:pt idx="392">
                  <c:v>1.243528965568391</c:v>
                </c:pt>
                <c:pt idx="393">
                  <c:v>1.2369576491159771</c:v>
                </c:pt>
                <c:pt idx="394">
                  <c:v>1.2370381004496589</c:v>
                </c:pt>
                <c:pt idx="395">
                  <c:v>1.2474187167467561</c:v>
                </c:pt>
                <c:pt idx="396">
                  <c:v>1.2466436949905479</c:v>
                </c:pt>
                <c:pt idx="397">
                  <c:v>1.2512930873996551</c:v>
                </c:pt>
                <c:pt idx="398">
                  <c:v>1.2467439857157361</c:v>
                </c:pt>
                <c:pt idx="399">
                  <c:v>1.2422151638352681</c:v>
                </c:pt>
                <c:pt idx="400">
                  <c:v>1.2505825669272259</c:v>
                </c:pt>
                <c:pt idx="401">
                  <c:v>1.2445474133463159</c:v>
                </c:pt>
                <c:pt idx="402">
                  <c:v>1.250895446089374</c:v>
                </c:pt>
                <c:pt idx="403">
                  <c:v>1.2434846648642219</c:v>
                </c:pt>
                <c:pt idx="404">
                  <c:v>1.242549679185688</c:v>
                </c:pt>
                <c:pt idx="405">
                  <c:v>1.234538645119696</c:v>
                </c:pt>
                <c:pt idx="406">
                  <c:v>1.2368298184036319</c:v>
                </c:pt>
                <c:pt idx="407">
                  <c:v>1.24447778671202</c:v>
                </c:pt>
                <c:pt idx="408">
                  <c:v>1.2486258849914209</c:v>
                </c:pt>
                <c:pt idx="409">
                  <c:v>1.2539317125392919</c:v>
                </c:pt>
                <c:pt idx="410">
                  <c:v>1.264754140378181</c:v>
                </c:pt>
                <c:pt idx="411">
                  <c:v>1.265797598139849</c:v>
                </c:pt>
                <c:pt idx="412">
                  <c:v>1.267199252822562</c:v>
                </c:pt>
                <c:pt idx="413">
                  <c:v>1.2681192138857871</c:v>
                </c:pt>
                <c:pt idx="414">
                  <c:v>1.274795002590889</c:v>
                </c:pt>
                <c:pt idx="415">
                  <c:v>1.267317705677937</c:v>
                </c:pt>
                <c:pt idx="416">
                  <c:v>1.267428535911626</c:v>
                </c:pt>
                <c:pt idx="417">
                  <c:v>1.2723526020329179</c:v>
                </c:pt>
                <c:pt idx="418">
                  <c:v>1.2675861786326419</c:v>
                </c:pt>
                <c:pt idx="419">
                  <c:v>1.270059418742211</c:v>
                </c:pt>
                <c:pt idx="420">
                  <c:v>1.278528938290344</c:v>
                </c:pt>
                <c:pt idx="421">
                  <c:v>1.281604856148141</c:v>
                </c:pt>
                <c:pt idx="422">
                  <c:v>1.2898971873917979</c:v>
                </c:pt>
                <c:pt idx="423">
                  <c:v>1.2945533389616779</c:v>
                </c:pt>
                <c:pt idx="424">
                  <c:v>1.2978655838265869</c:v>
                </c:pt>
                <c:pt idx="425">
                  <c:v>1.290891912398396</c:v>
                </c:pt>
                <c:pt idx="426">
                  <c:v>1.295930461565024</c:v>
                </c:pt>
                <c:pt idx="427">
                  <c:v>1.293242143107759</c:v>
                </c:pt>
                <c:pt idx="428">
                  <c:v>1.287390509349013</c:v>
                </c:pt>
                <c:pt idx="429">
                  <c:v>1.2842846242384021</c:v>
                </c:pt>
                <c:pt idx="430">
                  <c:v>1.3029869067471209</c:v>
                </c:pt>
                <c:pt idx="431">
                  <c:v>1.308425940466944</c:v>
                </c:pt>
                <c:pt idx="432">
                  <c:v>1.3050103943776259</c:v>
                </c:pt>
                <c:pt idx="433">
                  <c:v>1.3167061655190619</c:v>
                </c:pt>
                <c:pt idx="434">
                  <c:v>1.3335210357293921</c:v>
                </c:pt>
                <c:pt idx="435">
                  <c:v>1.340096358222528</c:v>
                </c:pt>
                <c:pt idx="436">
                  <c:v>1.324984862898219</c:v>
                </c:pt>
                <c:pt idx="437">
                  <c:v>1.3129615856448571</c:v>
                </c:pt>
                <c:pt idx="438">
                  <c:v>1.327492463660036</c:v>
                </c:pt>
                <c:pt idx="439">
                  <c:v>1.307499199560223</c:v>
                </c:pt>
                <c:pt idx="440">
                  <c:v>1.322786486281037</c:v>
                </c:pt>
                <c:pt idx="441">
                  <c:v>1.3350633307004931</c:v>
                </c:pt>
                <c:pt idx="442">
                  <c:v>1.3276874517303869</c:v>
                </c:pt>
                <c:pt idx="443">
                  <c:v>1.286365258453914</c:v>
                </c:pt>
                <c:pt idx="444">
                  <c:v>1.283038225614902</c:v>
                </c:pt>
                <c:pt idx="445">
                  <c:v>1.262512389384818</c:v>
                </c:pt>
                <c:pt idx="446">
                  <c:v>1.2768502064124549</c:v>
                </c:pt>
                <c:pt idx="447">
                  <c:v>1.2771091441129669</c:v>
                </c:pt>
                <c:pt idx="448">
                  <c:v>1.264267891417969</c:v>
                </c:pt>
                <c:pt idx="449">
                  <c:v>1.268866306916252</c:v>
                </c:pt>
                <c:pt idx="450">
                  <c:v>1.274437176525536</c:v>
                </c:pt>
                <c:pt idx="451">
                  <c:v>1.2638295927384371</c:v>
                </c:pt>
                <c:pt idx="452">
                  <c:v>1.263909018519906</c:v>
                </c:pt>
                <c:pt idx="453">
                  <c:v>1.2518180962018071</c:v>
                </c:pt>
                <c:pt idx="454">
                  <c:v>1.265479333457469</c:v>
                </c:pt>
                <c:pt idx="455">
                  <c:v>1.2873799499691569</c:v>
                </c:pt>
                <c:pt idx="456">
                  <c:v>1.2761901390965691</c:v>
                </c:pt>
                <c:pt idx="457">
                  <c:v>1.2883561289043339</c:v>
                </c:pt>
                <c:pt idx="458">
                  <c:v>1.285643125107411</c:v>
                </c:pt>
                <c:pt idx="459">
                  <c:v>1.2727042210053301</c:v>
                </c:pt>
                <c:pt idx="460">
                  <c:v>1.2688434256754999</c:v>
                </c:pt>
                <c:pt idx="461">
                  <c:v>1.283255303595523</c:v>
                </c:pt>
                <c:pt idx="462">
                  <c:v>1.2815388829371981</c:v>
                </c:pt>
                <c:pt idx="463">
                  <c:v>1.2959225469957969</c:v>
                </c:pt>
                <c:pt idx="464">
                  <c:v>1.293244454899805</c:v>
                </c:pt>
                <c:pt idx="465">
                  <c:v>1.2842636745776019</c:v>
                </c:pt>
                <c:pt idx="466">
                  <c:v>1.2872727863517219</c:v>
                </c:pt>
                <c:pt idx="467">
                  <c:v>1.2699756962126989</c:v>
                </c:pt>
                <c:pt idx="468">
                  <c:v>1.2790966102752499</c:v>
                </c:pt>
                <c:pt idx="469">
                  <c:v>1.286123009762167</c:v>
                </c:pt>
                <c:pt idx="470">
                  <c:v>1.2998742165555699</c:v>
                </c:pt>
                <c:pt idx="471">
                  <c:v>1.310119476141409</c:v>
                </c:pt>
                <c:pt idx="472">
                  <c:v>1.317641092529102</c:v>
                </c:pt>
                <c:pt idx="473">
                  <c:v>1.3154723025943951</c:v>
                </c:pt>
                <c:pt idx="474">
                  <c:v>1.3198353729963539</c:v>
                </c:pt>
                <c:pt idx="475">
                  <c:v>1.3272839617656951</c:v>
                </c:pt>
                <c:pt idx="476">
                  <c:v>1.3247388584307851</c:v>
                </c:pt>
                <c:pt idx="477">
                  <c:v>1.3209747068255031</c:v>
                </c:pt>
                <c:pt idx="478">
                  <c:v>1.322320751046363</c:v>
                </c:pt>
                <c:pt idx="479">
                  <c:v>1.310840890374555</c:v>
                </c:pt>
                <c:pt idx="480">
                  <c:v>1.320338970803701</c:v>
                </c:pt>
                <c:pt idx="481">
                  <c:v>1.3089384038408061</c:v>
                </c:pt>
                <c:pt idx="482">
                  <c:v>1.3154797166219481</c:v>
                </c:pt>
                <c:pt idx="483">
                  <c:v>1.312690782038235</c:v>
                </c:pt>
                <c:pt idx="484">
                  <c:v>1.332789027203034</c:v>
                </c:pt>
                <c:pt idx="485">
                  <c:v>1.341231083450892</c:v>
                </c:pt>
                <c:pt idx="486">
                  <c:v>1.3425881921485141</c:v>
                </c:pt>
                <c:pt idx="487">
                  <c:v>1.3368710920306719</c:v>
                </c:pt>
                <c:pt idx="488">
                  <c:v>1.3402307879256989</c:v>
                </c:pt>
                <c:pt idx="489">
                  <c:v>1.319198357470742</c:v>
                </c:pt>
                <c:pt idx="490">
                  <c:v>1.3095630641054179</c:v>
                </c:pt>
                <c:pt idx="491">
                  <c:v>1.3116094455276099</c:v>
                </c:pt>
                <c:pt idx="492">
                  <c:v>1.295091333704915</c:v>
                </c:pt>
                <c:pt idx="493">
                  <c:v>1.3065260193301409</c:v>
                </c:pt>
                <c:pt idx="494">
                  <c:v>1.302077088789483</c:v>
                </c:pt>
                <c:pt idx="495">
                  <c:v>1.259125413974457</c:v>
                </c:pt>
                <c:pt idx="496">
                  <c:v>1.231319076976358</c:v>
                </c:pt>
                <c:pt idx="497">
                  <c:v>1.230982861858344</c:v>
                </c:pt>
                <c:pt idx="498">
                  <c:v>1.1895941737329201</c:v>
                </c:pt>
                <c:pt idx="499">
                  <c:v>1.2168572489013469</c:v>
                </c:pt>
                <c:pt idx="500">
                  <c:v>1.2287689431181921</c:v>
                </c:pt>
                <c:pt idx="501">
                  <c:v>1.2377820839059039</c:v>
                </c:pt>
                <c:pt idx="502">
                  <c:v>1.266394604567858</c:v>
                </c:pt>
                <c:pt idx="503">
                  <c:v>1.2691541974831</c:v>
                </c:pt>
                <c:pt idx="504">
                  <c:v>1.28637972942353</c:v>
                </c:pt>
                <c:pt idx="505">
                  <c:v>1.2716343312909539</c:v>
                </c:pt>
                <c:pt idx="506">
                  <c:v>1.2662189949364659</c:v>
                </c:pt>
                <c:pt idx="507">
                  <c:v>1.275726003020289</c:v>
                </c:pt>
                <c:pt idx="508">
                  <c:v>1.2652161108437121</c:v>
                </c:pt>
                <c:pt idx="509">
                  <c:v>1.264821214815653</c:v>
                </c:pt>
                <c:pt idx="510">
                  <c:v>1.2799719433444889</c:v>
                </c:pt>
                <c:pt idx="511">
                  <c:v>1.2699725589420769</c:v>
                </c:pt>
                <c:pt idx="512">
                  <c:v>1.2791177677603209</c:v>
                </c:pt>
                <c:pt idx="513">
                  <c:v>1.29048193421111</c:v>
                </c:pt>
                <c:pt idx="514">
                  <c:v>1.3025065906762769</c:v>
                </c:pt>
                <c:pt idx="515">
                  <c:v>1.292009291809989</c:v>
                </c:pt>
                <c:pt idx="516">
                  <c:v>1.285605629229174</c:v>
                </c:pt>
                <c:pt idx="517">
                  <c:v>1.2917470179806181</c:v>
                </c:pt>
                <c:pt idx="518">
                  <c:v>1.2794440265005591</c:v>
                </c:pt>
                <c:pt idx="519">
                  <c:v>1.282780750809922</c:v>
                </c:pt>
                <c:pt idx="520">
                  <c:v>1.2874185418710029</c:v>
                </c:pt>
                <c:pt idx="521">
                  <c:v>1.277056627759722</c:v>
                </c:pt>
                <c:pt idx="522">
                  <c:v>1.264096773473629</c:v>
                </c:pt>
                <c:pt idx="523">
                  <c:v>1.223477507140182</c:v>
                </c:pt>
                <c:pt idx="524">
                  <c:v>1.2339388151383439</c:v>
                </c:pt>
                <c:pt idx="525">
                  <c:v>1.251873314275936</c:v>
                </c:pt>
                <c:pt idx="526">
                  <c:v>1.233348921102658</c:v>
                </c:pt>
                <c:pt idx="527">
                  <c:v>1.2414669970067751</c:v>
                </c:pt>
                <c:pt idx="528">
                  <c:v>1.2566858202425031</c:v>
                </c:pt>
                <c:pt idx="529">
                  <c:v>1.256441725642776</c:v>
                </c:pt>
                <c:pt idx="530">
                  <c:v>1.248680743530322</c:v>
                </c:pt>
                <c:pt idx="531">
                  <c:v>1.2405032293090981</c:v>
                </c:pt>
                <c:pt idx="532">
                  <c:v>1.239860071959253</c:v>
                </c:pt>
                <c:pt idx="533">
                  <c:v>1.251171105146597</c:v>
                </c:pt>
                <c:pt idx="534">
                  <c:v>1.2568607456697869</c:v>
                </c:pt>
                <c:pt idx="535">
                  <c:v>1.2482038367227011</c:v>
                </c:pt>
                <c:pt idx="536">
                  <c:v>1.242657475866882</c:v>
                </c:pt>
                <c:pt idx="537">
                  <c:v>1.239452881039631</c:v>
                </c:pt>
                <c:pt idx="538">
                  <c:v>1.214159150135125</c:v>
                </c:pt>
                <c:pt idx="539">
                  <c:v>1.225957755621724</c:v>
                </c:pt>
                <c:pt idx="540">
                  <c:v>1.233491144326758</c:v>
                </c:pt>
                <c:pt idx="541">
                  <c:v>1.2155755230701899</c:v>
                </c:pt>
                <c:pt idx="542">
                  <c:v>1.200661485939597</c:v>
                </c:pt>
                <c:pt idx="543">
                  <c:v>1.2285992746232079</c:v>
                </c:pt>
                <c:pt idx="544">
                  <c:v>1.2323569021120131</c:v>
                </c:pt>
                <c:pt idx="545">
                  <c:v>1.2142949318371239</c:v>
                </c:pt>
                <c:pt idx="546">
                  <c:v>1.2157646702381519</c:v>
                </c:pt>
                <c:pt idx="547">
                  <c:v>1.2200748168719939</c:v>
                </c:pt>
                <c:pt idx="548">
                  <c:v>1.2284138913470739</c:v>
                </c:pt>
                <c:pt idx="549">
                  <c:v>1.2289508098828821</c:v>
                </c:pt>
                <c:pt idx="550">
                  <c:v>1.251124986237492</c:v>
                </c:pt>
                <c:pt idx="551">
                  <c:v>1.255654807263076</c:v>
                </c:pt>
                <c:pt idx="552">
                  <c:v>1.2528499269155311</c:v>
                </c:pt>
                <c:pt idx="553">
                  <c:v>1.255943551842873</c:v>
                </c:pt>
                <c:pt idx="554">
                  <c:v>1.2451503805179689</c:v>
                </c:pt>
                <c:pt idx="555">
                  <c:v>1.248920858632689</c:v>
                </c:pt>
                <c:pt idx="556">
                  <c:v>1.2611811504673831</c:v>
                </c:pt>
                <c:pt idx="557">
                  <c:v>1.256630917218382</c:v>
                </c:pt>
                <c:pt idx="558">
                  <c:v>1.245561354238975</c:v>
                </c:pt>
                <c:pt idx="559">
                  <c:v>1.2512095826854721</c:v>
                </c:pt>
                <c:pt idx="560">
                  <c:v>1.2624439010752431</c:v>
                </c:pt>
                <c:pt idx="561">
                  <c:v>1.266365979208774</c:v>
                </c:pt>
                <c:pt idx="562">
                  <c:v>1.2538474837884599</c:v>
                </c:pt>
                <c:pt idx="563">
                  <c:v>1.24672806316381</c:v>
                </c:pt>
                <c:pt idx="564">
                  <c:v>1.2386864319812869</c:v>
                </c:pt>
                <c:pt idx="565">
                  <c:v>1.2415954697501821</c:v>
                </c:pt>
                <c:pt idx="566">
                  <c:v>1.2280434199852199</c:v>
                </c:pt>
                <c:pt idx="567">
                  <c:v>1.210048892757881</c:v>
                </c:pt>
                <c:pt idx="568">
                  <c:v>1.230022155156832</c:v>
                </c:pt>
                <c:pt idx="569">
                  <c:v>1.2124855528235221</c:v>
                </c:pt>
                <c:pt idx="570">
                  <c:v>1.2153791827052991</c:v>
                </c:pt>
                <c:pt idx="571">
                  <c:v>1.2352873874207899</c:v>
                </c:pt>
                <c:pt idx="572">
                  <c:v>1.239253351039737</c:v>
                </c:pt>
                <c:pt idx="573">
                  <c:v>1.2329354003144239</c:v>
                </c:pt>
                <c:pt idx="574">
                  <c:v>1.2259973168519569</c:v>
                </c:pt>
                <c:pt idx="575">
                  <c:v>1.217941025882338</c:v>
                </c:pt>
                <c:pt idx="576">
                  <c:v>1.233177752882104</c:v>
                </c:pt>
                <c:pt idx="577">
                  <c:v>1.221818787994176</c:v>
                </c:pt>
                <c:pt idx="578">
                  <c:v>1.2159027521253809</c:v>
                </c:pt>
                <c:pt idx="579">
                  <c:v>1.2029474295619891</c:v>
                </c:pt>
                <c:pt idx="580">
                  <c:v>1.1609292652508401</c:v>
                </c:pt>
                <c:pt idx="581">
                  <c:v>1.1745739530754611</c:v>
                </c:pt>
                <c:pt idx="582">
                  <c:v>1.1596832411687139</c:v>
                </c:pt>
                <c:pt idx="583">
                  <c:v>1.1700778750294141</c:v>
                </c:pt>
                <c:pt idx="584">
                  <c:v>1.159794844040305</c:v>
                </c:pt>
                <c:pt idx="585">
                  <c:v>1.1601796231582711</c:v>
                </c:pt>
                <c:pt idx="586">
                  <c:v>1.140953687214094</c:v>
                </c:pt>
                <c:pt idx="587">
                  <c:v>1.129325155695075</c:v>
                </c:pt>
                <c:pt idx="588">
                  <c:v>1.165687242665844</c:v>
                </c:pt>
                <c:pt idx="589">
                  <c:v>1.1492034062825289</c:v>
                </c:pt>
                <c:pt idx="590">
                  <c:v>1.15107934816982</c:v>
                </c:pt>
                <c:pt idx="591">
                  <c:v>1.1346120377255891</c:v>
                </c:pt>
                <c:pt idx="592">
                  <c:v>1.118085829327595</c:v>
                </c:pt>
                <c:pt idx="593">
                  <c:v>1.1222827013192811</c:v>
                </c:pt>
                <c:pt idx="594">
                  <c:v>1.15106265995645</c:v>
                </c:pt>
                <c:pt idx="595">
                  <c:v>1.158046969441678</c:v>
                </c:pt>
                <c:pt idx="596">
                  <c:v>1.145498079924079</c:v>
                </c:pt>
                <c:pt idx="597">
                  <c:v>1.1715469177319919</c:v>
                </c:pt>
                <c:pt idx="598">
                  <c:v>1.181570733109498</c:v>
                </c:pt>
                <c:pt idx="599">
                  <c:v>1.179572220926804</c:v>
                </c:pt>
                <c:pt idx="600">
                  <c:v>1.1768725422416231</c:v>
                </c:pt>
                <c:pt idx="601">
                  <c:v>1.167870233033542</c:v>
                </c:pt>
                <c:pt idx="602">
                  <c:v>1.162285395715958</c:v>
                </c:pt>
                <c:pt idx="603">
                  <c:v>1.1750190600542481</c:v>
                </c:pt>
                <c:pt idx="604">
                  <c:v>1.1776703642879629</c:v>
                </c:pt>
                <c:pt idx="605">
                  <c:v>1.1776703642879629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C5E-4D95-BFBD-0A7E2AB4861D}"/>
            </c:ext>
          </c:extLst>
        </c:ser>
        <c:ser>
          <c:idx val="7"/>
          <c:order val="3"/>
          <c:tx>
            <c:strRef>
              <c:f>回撤结果!$E$1</c:f>
              <c:strCache>
                <c:ptCount val="1"/>
                <c:pt idx="0">
                  <c:v>牛市领先组合</c:v>
                </c:pt>
              </c:strCache>
            </c:strRef>
          </c:tx>
          <c:spPr>
            <a:ln w="19050" cap="rnd">
              <a:solidFill>
                <a:srgbClr val="FF5050"/>
              </a:solidFill>
              <a:round/>
            </a:ln>
            <a:effectLst/>
          </c:spPr>
          <c:marker>
            <c:symbol val="none"/>
          </c:marker>
          <c:cat>
            <c:numRef>
              <c:f>回撤结果!$A$2:$A$607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回撤结果!$E$2:$E$607</c:f>
              <c:numCache>
                <c:formatCode>General</c:formatCode>
                <c:ptCount val="606"/>
                <c:pt idx="0">
                  <c:v>1</c:v>
                </c:pt>
                <c:pt idx="1">
                  <c:v>1.033868225181841</c:v>
                </c:pt>
                <c:pt idx="2">
                  <c:v>1.026760495348024</c:v>
                </c:pt>
                <c:pt idx="3">
                  <c:v>1.0637857404320981</c:v>
                </c:pt>
                <c:pt idx="4">
                  <c:v>1.0699163847177811</c:v>
                </c:pt>
                <c:pt idx="5">
                  <c:v>1.091593217037341</c:v>
                </c:pt>
                <c:pt idx="6">
                  <c:v>1.079845682188485</c:v>
                </c:pt>
                <c:pt idx="7">
                  <c:v>1.085920366543367</c:v>
                </c:pt>
                <c:pt idx="8">
                  <c:v>1.127710726854972</c:v>
                </c:pt>
                <c:pt idx="9">
                  <c:v>1.1389421589818209</c:v>
                </c:pt>
                <c:pt idx="10">
                  <c:v>1.132780316501989</c:v>
                </c:pt>
                <c:pt idx="11">
                  <c:v>1.136523697330766</c:v>
                </c:pt>
                <c:pt idx="12">
                  <c:v>1.153811130991744</c:v>
                </c:pt>
                <c:pt idx="13">
                  <c:v>1.1458708067358601</c:v>
                </c:pt>
                <c:pt idx="14">
                  <c:v>1.137954834816598</c:v>
                </c:pt>
                <c:pt idx="15">
                  <c:v>1.0616047028179401</c:v>
                </c:pt>
                <c:pt idx="16">
                  <c:v>1.0598274065633679</c:v>
                </c:pt>
                <c:pt idx="17">
                  <c:v>1.0073762865385449</c:v>
                </c:pt>
                <c:pt idx="18">
                  <c:v>1.024084574692034</c:v>
                </c:pt>
                <c:pt idx="19">
                  <c:v>1.0646535529448491</c:v>
                </c:pt>
                <c:pt idx="20">
                  <c:v>1.0624336291967389</c:v>
                </c:pt>
                <c:pt idx="21">
                  <c:v>1.0306130182500051</c:v>
                </c:pt>
                <c:pt idx="22">
                  <c:v>1.04685224553861</c:v>
                </c:pt>
                <c:pt idx="23">
                  <c:v>1.052352425836758</c:v>
                </c:pt>
                <c:pt idx="24">
                  <c:v>1.0340652739611511</c:v>
                </c:pt>
                <c:pt idx="25">
                  <c:v>1.018673895606639</c:v>
                </c:pt>
                <c:pt idx="26">
                  <c:v>1.0164996951211189</c:v>
                </c:pt>
                <c:pt idx="27">
                  <c:v>1.051482121604135</c:v>
                </c:pt>
                <c:pt idx="28">
                  <c:v>1.0443643308370141</c:v>
                </c:pt>
                <c:pt idx="29">
                  <c:v>1.03587962071456</c:v>
                </c:pt>
                <c:pt idx="30">
                  <c:v>1.073573309346141</c:v>
                </c:pt>
                <c:pt idx="31">
                  <c:v>1.110791271998504</c:v>
                </c:pt>
                <c:pt idx="32">
                  <c:v>1.1347625684862519</c:v>
                </c:pt>
                <c:pt idx="33">
                  <c:v>1.1316019811526219</c:v>
                </c:pt>
                <c:pt idx="34">
                  <c:v>1.1417387802636769</c:v>
                </c:pt>
                <c:pt idx="35">
                  <c:v>1.126839114748545</c:v>
                </c:pt>
                <c:pt idx="36">
                  <c:v>1.130719610494737</c:v>
                </c:pt>
                <c:pt idx="37">
                  <c:v>1.125220464677791</c:v>
                </c:pt>
                <c:pt idx="38">
                  <c:v>1.103972503302143</c:v>
                </c:pt>
                <c:pt idx="39">
                  <c:v>1.140182201054492</c:v>
                </c:pt>
                <c:pt idx="40">
                  <c:v>1.1448389771675189</c:v>
                </c:pt>
                <c:pt idx="41">
                  <c:v>1.1374965940330219</c:v>
                </c:pt>
                <c:pt idx="42">
                  <c:v>1.1638791382679541</c:v>
                </c:pt>
                <c:pt idx="43">
                  <c:v>1.1680602383535319</c:v>
                </c:pt>
                <c:pt idx="44">
                  <c:v>1.151362641204934</c:v>
                </c:pt>
                <c:pt idx="45">
                  <c:v>1.1428513276144989</c:v>
                </c:pt>
                <c:pt idx="46">
                  <c:v>1.165839324030435</c:v>
                </c:pt>
                <c:pt idx="47">
                  <c:v>1.1561837418929719</c:v>
                </c:pt>
                <c:pt idx="48">
                  <c:v>1.170692330002286</c:v>
                </c:pt>
                <c:pt idx="49">
                  <c:v>1.1817465960973661</c:v>
                </c:pt>
                <c:pt idx="50">
                  <c:v>1.179770865536429</c:v>
                </c:pt>
                <c:pt idx="51">
                  <c:v>1.1643943011721649</c:v>
                </c:pt>
                <c:pt idx="52">
                  <c:v>1.1674956167830051</c:v>
                </c:pt>
                <c:pt idx="53">
                  <c:v>1.1222751782964231</c:v>
                </c:pt>
                <c:pt idx="54">
                  <c:v>1.110854865254745</c:v>
                </c:pt>
                <c:pt idx="55">
                  <c:v>1.1201410078089391</c:v>
                </c:pt>
                <c:pt idx="56">
                  <c:v>1.1154763940947769</c:v>
                </c:pt>
                <c:pt idx="57">
                  <c:v>1.1267210408492629</c:v>
                </c:pt>
                <c:pt idx="58">
                  <c:v>1.126143836570433</c:v>
                </c:pt>
                <c:pt idx="59">
                  <c:v>1.1251027561210121</c:v>
                </c:pt>
                <c:pt idx="60">
                  <c:v>1.1275417249185671</c:v>
                </c:pt>
                <c:pt idx="61">
                  <c:v>1.1597984180245799</c:v>
                </c:pt>
                <c:pt idx="62">
                  <c:v>1.1611779306335439</c:v>
                </c:pt>
                <c:pt idx="63">
                  <c:v>1.1663507947104621</c:v>
                </c:pt>
                <c:pt idx="64">
                  <c:v>1.129086534372715</c:v>
                </c:pt>
                <c:pt idx="65">
                  <c:v>1.0947218972638659</c:v>
                </c:pt>
                <c:pt idx="66">
                  <c:v>1.094078743961215</c:v>
                </c:pt>
                <c:pt idx="67">
                  <c:v>1.087346433094621</c:v>
                </c:pt>
                <c:pt idx="68">
                  <c:v>1.090834075382771</c:v>
                </c:pt>
                <c:pt idx="69">
                  <c:v>1.089064076942093</c:v>
                </c:pt>
                <c:pt idx="70">
                  <c:v>1.1085776903995439</c:v>
                </c:pt>
                <c:pt idx="71">
                  <c:v>1.104209465727336</c:v>
                </c:pt>
                <c:pt idx="72">
                  <c:v>1.0793738614571771</c:v>
                </c:pt>
                <c:pt idx="73">
                  <c:v>1.0857772569801349</c:v>
                </c:pt>
                <c:pt idx="74">
                  <c:v>1.094010950143907</c:v>
                </c:pt>
                <c:pt idx="75">
                  <c:v>1.11100483248078</c:v>
                </c:pt>
                <c:pt idx="76">
                  <c:v>1.1014371548891091</c:v>
                </c:pt>
                <c:pt idx="77">
                  <c:v>1.0952967806776801</c:v>
                </c:pt>
                <c:pt idx="78">
                  <c:v>1.1010948925575059</c:v>
                </c:pt>
                <c:pt idx="79">
                  <c:v>1.0983544016155491</c:v>
                </c:pt>
                <c:pt idx="80">
                  <c:v>1.0934700358681271</c:v>
                </c:pt>
                <c:pt idx="81">
                  <c:v>1.132211357032324</c:v>
                </c:pt>
                <c:pt idx="82">
                  <c:v>1.141278951547537</c:v>
                </c:pt>
                <c:pt idx="83">
                  <c:v>1.1494356689508141</c:v>
                </c:pt>
                <c:pt idx="84">
                  <c:v>1.155306531591767</c:v>
                </c:pt>
                <c:pt idx="85">
                  <c:v>1.162473711984904</c:v>
                </c:pt>
                <c:pt idx="86">
                  <c:v>1.1649845938391781</c:v>
                </c:pt>
                <c:pt idx="87">
                  <c:v>1.1603745089755151</c:v>
                </c:pt>
                <c:pt idx="88">
                  <c:v>1.115743577961408</c:v>
                </c:pt>
                <c:pt idx="89">
                  <c:v>1.120768560435933</c:v>
                </c:pt>
                <c:pt idx="90">
                  <c:v>1.1566000715520659</c:v>
                </c:pt>
                <c:pt idx="91">
                  <c:v>1.1574704228041921</c:v>
                </c:pt>
                <c:pt idx="92">
                  <c:v>1.1623984177697031</c:v>
                </c:pt>
                <c:pt idx="93">
                  <c:v>1.170407224519139</c:v>
                </c:pt>
                <c:pt idx="94">
                  <c:v>1.1579990505347879</c:v>
                </c:pt>
                <c:pt idx="95">
                  <c:v>1.173452405945967</c:v>
                </c:pt>
                <c:pt idx="96">
                  <c:v>1.1670836880147279</c:v>
                </c:pt>
                <c:pt idx="97">
                  <c:v>1.1639327107503219</c:v>
                </c:pt>
                <c:pt idx="98">
                  <c:v>1.1913846159893109</c:v>
                </c:pt>
                <c:pt idx="99">
                  <c:v>1.1982870951495199</c:v>
                </c:pt>
                <c:pt idx="100">
                  <c:v>1.1988219968463001</c:v>
                </c:pt>
                <c:pt idx="101">
                  <c:v>1.1956488974635</c:v>
                </c:pt>
                <c:pt idx="102">
                  <c:v>1.1930445746345619</c:v>
                </c:pt>
                <c:pt idx="103">
                  <c:v>1.212169366024233</c:v>
                </c:pt>
                <c:pt idx="104">
                  <c:v>1.2163472399738191</c:v>
                </c:pt>
                <c:pt idx="105">
                  <c:v>1.223167648088203</c:v>
                </c:pt>
                <c:pt idx="106">
                  <c:v>1.225124149191023</c:v>
                </c:pt>
                <c:pt idx="107">
                  <c:v>1.2207475592765631</c:v>
                </c:pt>
                <c:pt idx="108">
                  <c:v>1.2162208752490029</c:v>
                </c:pt>
                <c:pt idx="109">
                  <c:v>1.224893497796824</c:v>
                </c:pt>
                <c:pt idx="110">
                  <c:v>1.230415280147432</c:v>
                </c:pt>
                <c:pt idx="111">
                  <c:v>1.229254895951307</c:v>
                </c:pt>
                <c:pt idx="112">
                  <c:v>1.224863491542129</c:v>
                </c:pt>
                <c:pt idx="113">
                  <c:v>1.219310396924064</c:v>
                </c:pt>
                <c:pt idx="114">
                  <c:v>1.221681858582941</c:v>
                </c:pt>
                <c:pt idx="115">
                  <c:v>1.221505686542838</c:v>
                </c:pt>
                <c:pt idx="116">
                  <c:v>1.220347399503904</c:v>
                </c:pt>
                <c:pt idx="117">
                  <c:v>1.2091486440643791</c:v>
                </c:pt>
                <c:pt idx="118">
                  <c:v>1.2065161097788879</c:v>
                </c:pt>
                <c:pt idx="119">
                  <c:v>1.2204271546368719</c:v>
                </c:pt>
                <c:pt idx="120">
                  <c:v>1.1779520479088841</c:v>
                </c:pt>
                <c:pt idx="121">
                  <c:v>1.177002129067044</c:v>
                </c:pt>
                <c:pt idx="122">
                  <c:v>1.1699816329568651</c:v>
                </c:pt>
                <c:pt idx="123">
                  <c:v>1.157605330373324</c:v>
                </c:pt>
                <c:pt idx="124">
                  <c:v>1.1651354243701231</c:v>
                </c:pt>
                <c:pt idx="125">
                  <c:v>1.16828545197346</c:v>
                </c:pt>
                <c:pt idx="126">
                  <c:v>1.1744204701755441</c:v>
                </c:pt>
                <c:pt idx="127">
                  <c:v>1.1681246810160091</c:v>
                </c:pt>
                <c:pt idx="128">
                  <c:v>1.1761777118440671</c:v>
                </c:pt>
                <c:pt idx="129">
                  <c:v>1.1849680073086839</c:v>
                </c:pt>
                <c:pt idx="130">
                  <c:v>1.182748930226561</c:v>
                </c:pt>
                <c:pt idx="131">
                  <c:v>1.1665423693428529</c:v>
                </c:pt>
                <c:pt idx="132">
                  <c:v>1.1744500533516249</c:v>
                </c:pt>
                <c:pt idx="133">
                  <c:v>1.197048970530423</c:v>
                </c:pt>
                <c:pt idx="134">
                  <c:v>1.202234284025002</c:v>
                </c:pt>
                <c:pt idx="135">
                  <c:v>1.204604588984004</c:v>
                </c:pt>
                <c:pt idx="136">
                  <c:v>1.200692968480038</c:v>
                </c:pt>
                <c:pt idx="137">
                  <c:v>1.201168463894198</c:v>
                </c:pt>
                <c:pt idx="138">
                  <c:v>1.18932630570767</c:v>
                </c:pt>
                <c:pt idx="139">
                  <c:v>1.1907874639019671</c:v>
                </c:pt>
                <c:pt idx="140">
                  <c:v>1.193613341720525</c:v>
                </c:pt>
                <c:pt idx="141">
                  <c:v>1.189283668746604</c:v>
                </c:pt>
                <c:pt idx="142">
                  <c:v>1.193548934997918</c:v>
                </c:pt>
                <c:pt idx="143">
                  <c:v>1.1929549673598461</c:v>
                </c:pt>
                <c:pt idx="144">
                  <c:v>1.193102220817831</c:v>
                </c:pt>
                <c:pt idx="145">
                  <c:v>1.1925427496801571</c:v>
                </c:pt>
                <c:pt idx="146">
                  <c:v>1.1862132443608151</c:v>
                </c:pt>
                <c:pt idx="147">
                  <c:v>1.1801559918781981</c:v>
                </c:pt>
                <c:pt idx="148">
                  <c:v>1.1851416648715689</c:v>
                </c:pt>
                <c:pt idx="149">
                  <c:v>1.202357318516547</c:v>
                </c:pt>
                <c:pt idx="150">
                  <c:v>1.200775116518751</c:v>
                </c:pt>
                <c:pt idx="151">
                  <c:v>1.2041584643616059</c:v>
                </c:pt>
                <c:pt idx="152">
                  <c:v>1.196866726669773</c:v>
                </c:pt>
                <c:pt idx="153">
                  <c:v>1.1700554671279499</c:v>
                </c:pt>
                <c:pt idx="154">
                  <c:v>1.174928046356313</c:v>
                </c:pt>
                <c:pt idx="155">
                  <c:v>1.1685590527559251</c:v>
                </c:pt>
                <c:pt idx="156">
                  <c:v>1.1789551771359099</c:v>
                </c:pt>
                <c:pt idx="157">
                  <c:v>1.179405665223908</c:v>
                </c:pt>
                <c:pt idx="158">
                  <c:v>1.1815352468027269</c:v>
                </c:pt>
                <c:pt idx="159">
                  <c:v>1.1881270804666999</c:v>
                </c:pt>
                <c:pt idx="160">
                  <c:v>1.1844017066414241</c:v>
                </c:pt>
                <c:pt idx="161">
                  <c:v>1.164249186486477</c:v>
                </c:pt>
                <c:pt idx="162">
                  <c:v>1.168913370795603</c:v>
                </c:pt>
                <c:pt idx="163">
                  <c:v>1.1691290876641021</c:v>
                </c:pt>
                <c:pt idx="164">
                  <c:v>1.1731391122363379</c:v>
                </c:pt>
                <c:pt idx="165">
                  <c:v>1.178402739032077</c:v>
                </c:pt>
                <c:pt idx="166">
                  <c:v>1.197786529184858</c:v>
                </c:pt>
                <c:pt idx="167">
                  <c:v>1.204080966476091</c:v>
                </c:pt>
                <c:pt idx="168">
                  <c:v>1.2034635987363089</c:v>
                </c:pt>
                <c:pt idx="169">
                  <c:v>1.20380630955256</c:v>
                </c:pt>
                <c:pt idx="170">
                  <c:v>1.200087502911984</c:v>
                </c:pt>
                <c:pt idx="171">
                  <c:v>1.191635965387821</c:v>
                </c:pt>
                <c:pt idx="172">
                  <c:v>1.206488189116466</c:v>
                </c:pt>
                <c:pt idx="173">
                  <c:v>1.2030178446309019</c:v>
                </c:pt>
                <c:pt idx="174">
                  <c:v>1.204815917263645</c:v>
                </c:pt>
                <c:pt idx="175">
                  <c:v>1.19973510285976</c:v>
                </c:pt>
                <c:pt idx="176">
                  <c:v>1.2065480605987839</c:v>
                </c:pt>
                <c:pt idx="177">
                  <c:v>1.20878311282137</c:v>
                </c:pt>
                <c:pt idx="178">
                  <c:v>1.2027992473119049</c:v>
                </c:pt>
                <c:pt idx="179">
                  <c:v>1.2022938024193139</c:v>
                </c:pt>
                <c:pt idx="180">
                  <c:v>1.195027003211544</c:v>
                </c:pt>
                <c:pt idx="181">
                  <c:v>1.1941582630696039</c:v>
                </c:pt>
                <c:pt idx="182">
                  <c:v>1.204068227194091</c:v>
                </c:pt>
                <c:pt idx="183">
                  <c:v>1.1980052193170641</c:v>
                </c:pt>
                <c:pt idx="184">
                  <c:v>1.201660170223168</c:v>
                </c:pt>
                <c:pt idx="185">
                  <c:v>1.1973342494856929</c:v>
                </c:pt>
                <c:pt idx="186">
                  <c:v>1.1955425403918389</c:v>
                </c:pt>
                <c:pt idx="187">
                  <c:v>1.2014703010147769</c:v>
                </c:pt>
                <c:pt idx="188">
                  <c:v>1.194839383582305</c:v>
                </c:pt>
                <c:pt idx="189">
                  <c:v>1.207039453238212</c:v>
                </c:pt>
                <c:pt idx="190">
                  <c:v>1.2090807450887009</c:v>
                </c:pt>
                <c:pt idx="191">
                  <c:v>1.2109796093836731</c:v>
                </c:pt>
                <c:pt idx="192">
                  <c:v>1.213055666280783</c:v>
                </c:pt>
                <c:pt idx="193">
                  <c:v>1.214386407030569</c:v>
                </c:pt>
                <c:pt idx="194">
                  <c:v>1.2100782615666981</c:v>
                </c:pt>
                <c:pt idx="195">
                  <c:v>1.207592211247791</c:v>
                </c:pt>
                <c:pt idx="196">
                  <c:v>1.2098012521595609</c:v>
                </c:pt>
                <c:pt idx="197">
                  <c:v>1.218538992717201</c:v>
                </c:pt>
                <c:pt idx="198">
                  <c:v>1.2124244390193091</c:v>
                </c:pt>
                <c:pt idx="199">
                  <c:v>1.2087546328144601</c:v>
                </c:pt>
                <c:pt idx="200">
                  <c:v>1.21246775833033</c:v>
                </c:pt>
                <c:pt idx="201">
                  <c:v>1.212683623012474</c:v>
                </c:pt>
                <c:pt idx="202">
                  <c:v>1.2060176159671061</c:v>
                </c:pt>
                <c:pt idx="203">
                  <c:v>1.199999832250034</c:v>
                </c:pt>
                <c:pt idx="204">
                  <c:v>1.205701805467396</c:v>
                </c:pt>
                <c:pt idx="205">
                  <c:v>1.189752938785033</c:v>
                </c:pt>
                <c:pt idx="206">
                  <c:v>1.1842739921613079</c:v>
                </c:pt>
                <c:pt idx="207">
                  <c:v>1.185892273110511</c:v>
                </c:pt>
                <c:pt idx="208">
                  <c:v>1.1942081551760999</c:v>
                </c:pt>
                <c:pt idx="209">
                  <c:v>1.1904814284764611</c:v>
                </c:pt>
                <c:pt idx="210">
                  <c:v>1.1876086251097699</c:v>
                </c:pt>
                <c:pt idx="211">
                  <c:v>1.142547964550088</c:v>
                </c:pt>
                <c:pt idx="212">
                  <c:v>1.1471268088144411</c:v>
                </c:pt>
                <c:pt idx="213">
                  <c:v>1.1387727486791299</c:v>
                </c:pt>
                <c:pt idx="214">
                  <c:v>1.139948055406294</c:v>
                </c:pt>
                <c:pt idx="215">
                  <c:v>1.146337481474893</c:v>
                </c:pt>
                <c:pt idx="216">
                  <c:v>1.1445106549787769</c:v>
                </c:pt>
                <c:pt idx="217">
                  <c:v>1.1409327367332811</c:v>
                </c:pt>
                <c:pt idx="218">
                  <c:v>1.1489756981797401</c:v>
                </c:pt>
                <c:pt idx="219">
                  <c:v>1.148548077541526</c:v>
                </c:pt>
                <c:pt idx="220">
                  <c:v>1.1394645536136749</c:v>
                </c:pt>
                <c:pt idx="221">
                  <c:v>1.144284021223106</c:v>
                </c:pt>
                <c:pt idx="222">
                  <c:v>1.1455288399709</c:v>
                </c:pt>
                <c:pt idx="223">
                  <c:v>1.1419308999805811</c:v>
                </c:pt>
                <c:pt idx="224">
                  <c:v>1.1397671330856289</c:v>
                </c:pt>
                <c:pt idx="225">
                  <c:v>1.1422241425056949</c:v>
                </c:pt>
                <c:pt idx="226">
                  <c:v>1.148417695507284</c:v>
                </c:pt>
                <c:pt idx="227">
                  <c:v>1.1609946595793881</c:v>
                </c:pt>
                <c:pt idx="228">
                  <c:v>1.1607597345499809</c:v>
                </c:pt>
                <c:pt idx="229">
                  <c:v>1.1522788595590949</c:v>
                </c:pt>
                <c:pt idx="230">
                  <c:v>1.156016835350318</c:v>
                </c:pt>
                <c:pt idx="231">
                  <c:v>1.1522439857362019</c:v>
                </c:pt>
                <c:pt idx="232">
                  <c:v>1.141199745465368</c:v>
                </c:pt>
                <c:pt idx="233">
                  <c:v>1.1323379876150099</c:v>
                </c:pt>
                <c:pt idx="234">
                  <c:v>1.1195314387718811</c:v>
                </c:pt>
                <c:pt idx="235">
                  <c:v>1.096193631061271</c:v>
                </c:pt>
                <c:pt idx="236">
                  <c:v>1.1059171723330321</c:v>
                </c:pt>
                <c:pt idx="237">
                  <c:v>1.1045689770807769</c:v>
                </c:pt>
                <c:pt idx="238">
                  <c:v>1.099841621372069</c:v>
                </c:pt>
                <c:pt idx="239">
                  <c:v>1.1132711670125011</c:v>
                </c:pt>
                <c:pt idx="240">
                  <c:v>1.121173760516363</c:v>
                </c:pt>
                <c:pt idx="241">
                  <c:v>1.119058097870119</c:v>
                </c:pt>
                <c:pt idx="242">
                  <c:v>1.1218470529445861</c:v>
                </c:pt>
                <c:pt idx="243">
                  <c:v>1.1292202059506771</c:v>
                </c:pt>
                <c:pt idx="244">
                  <c:v>1.1246158258651591</c:v>
                </c:pt>
                <c:pt idx="245">
                  <c:v>1.1330056895338241</c:v>
                </c:pt>
                <c:pt idx="246">
                  <c:v>1.132474462281464</c:v>
                </c:pt>
                <c:pt idx="247">
                  <c:v>1.139347462893884</c:v>
                </c:pt>
                <c:pt idx="248">
                  <c:v>1.144706225456267</c:v>
                </c:pt>
                <c:pt idx="249">
                  <c:v>1.1442066770776509</c:v>
                </c:pt>
                <c:pt idx="250">
                  <c:v>1.152137124947519</c:v>
                </c:pt>
                <c:pt idx="251">
                  <c:v>1.153411078736104</c:v>
                </c:pt>
                <c:pt idx="252">
                  <c:v>1.144249242695764</c:v>
                </c:pt>
                <c:pt idx="253">
                  <c:v>1.149350968195042</c:v>
                </c:pt>
                <c:pt idx="254">
                  <c:v>1.141735285236491</c:v>
                </c:pt>
                <c:pt idx="255">
                  <c:v>1.153372801906144</c:v>
                </c:pt>
                <c:pt idx="256">
                  <c:v>1.1595583067399171</c:v>
                </c:pt>
                <c:pt idx="257">
                  <c:v>1.1641407033316371</c:v>
                </c:pt>
                <c:pt idx="258">
                  <c:v>1.163319021139428</c:v>
                </c:pt>
                <c:pt idx="259">
                  <c:v>1.1640451968968659</c:v>
                </c:pt>
                <c:pt idx="260">
                  <c:v>1.1572002381352711</c:v>
                </c:pt>
                <c:pt idx="261">
                  <c:v>1.1608906369504499</c:v>
                </c:pt>
                <c:pt idx="262">
                  <c:v>1.1628819268049799</c:v>
                </c:pt>
                <c:pt idx="263">
                  <c:v>1.159998891020515</c:v>
                </c:pt>
                <c:pt idx="264">
                  <c:v>1.1648326921116761</c:v>
                </c:pt>
                <c:pt idx="265">
                  <c:v>1.1764377413635461</c:v>
                </c:pt>
                <c:pt idx="266">
                  <c:v>1.179404617000533</c:v>
                </c:pt>
                <c:pt idx="267">
                  <c:v>1.176026270088725</c:v>
                </c:pt>
                <c:pt idx="268">
                  <c:v>1.1692860285376689</c:v>
                </c:pt>
                <c:pt idx="269">
                  <c:v>1.1734836127082791</c:v>
                </c:pt>
                <c:pt idx="270">
                  <c:v>1.1857467143870819</c:v>
                </c:pt>
                <c:pt idx="271">
                  <c:v>1.1838688944989839</c:v>
                </c:pt>
                <c:pt idx="272">
                  <c:v>1.185563262188571</c:v>
                </c:pt>
                <c:pt idx="273">
                  <c:v>1.1930701764849521</c:v>
                </c:pt>
                <c:pt idx="274">
                  <c:v>1.182549861974652</c:v>
                </c:pt>
                <c:pt idx="275">
                  <c:v>1.1860209903122649</c:v>
                </c:pt>
                <c:pt idx="276">
                  <c:v>1.1949757161675121</c:v>
                </c:pt>
                <c:pt idx="277">
                  <c:v>1.196434637562797</c:v>
                </c:pt>
                <c:pt idx="278">
                  <c:v>1.1988873419529369</c:v>
                </c:pt>
                <c:pt idx="279">
                  <c:v>1.203904312994498</c:v>
                </c:pt>
                <c:pt idx="280">
                  <c:v>1.195195348447176</c:v>
                </c:pt>
                <c:pt idx="281">
                  <c:v>1.1923829964954631</c:v>
                </c:pt>
                <c:pt idx="282">
                  <c:v>1.188104313096134</c:v>
                </c:pt>
                <c:pt idx="283">
                  <c:v>1.1734898687198601</c:v>
                </c:pt>
                <c:pt idx="284">
                  <c:v>1.182136325499036</c:v>
                </c:pt>
                <c:pt idx="285">
                  <c:v>1.2019644913364449</c:v>
                </c:pt>
                <c:pt idx="286">
                  <c:v>1.204513285169343</c:v>
                </c:pt>
                <c:pt idx="287">
                  <c:v>1.2060324305987651</c:v>
                </c:pt>
                <c:pt idx="288">
                  <c:v>1.1971611243117199</c:v>
                </c:pt>
                <c:pt idx="289">
                  <c:v>1.1985007341337459</c:v>
                </c:pt>
                <c:pt idx="290">
                  <c:v>1.192694019499694</c:v>
                </c:pt>
                <c:pt idx="291">
                  <c:v>1.199531934604811</c:v>
                </c:pt>
                <c:pt idx="292">
                  <c:v>1.186195039062818</c:v>
                </c:pt>
                <c:pt idx="293">
                  <c:v>1.180704660092168</c:v>
                </c:pt>
                <c:pt idx="294">
                  <c:v>1.1816548298550149</c:v>
                </c:pt>
                <c:pt idx="295">
                  <c:v>1.1790170018220569</c:v>
                </c:pt>
                <c:pt idx="296">
                  <c:v>1.185775297465069</c:v>
                </c:pt>
                <c:pt idx="297">
                  <c:v>1.17903193388405</c:v>
                </c:pt>
                <c:pt idx="298">
                  <c:v>1.1596237476827731</c:v>
                </c:pt>
                <c:pt idx="299">
                  <c:v>1.1682678699019611</c:v>
                </c:pt>
                <c:pt idx="300">
                  <c:v>1.1713743817386251</c:v>
                </c:pt>
                <c:pt idx="301">
                  <c:v>1.1783294514660361</c:v>
                </c:pt>
                <c:pt idx="302">
                  <c:v>1.177389957303274</c:v>
                </c:pt>
                <c:pt idx="303">
                  <c:v>1.1781134881356869</c:v>
                </c:pt>
                <c:pt idx="304">
                  <c:v>1.175161385313426</c:v>
                </c:pt>
                <c:pt idx="305">
                  <c:v>1.171421940387219</c:v>
                </c:pt>
                <c:pt idx="306">
                  <c:v>1.161128709814738</c:v>
                </c:pt>
                <c:pt idx="307">
                  <c:v>1.1442674919383431</c:v>
                </c:pt>
                <c:pt idx="308">
                  <c:v>1.1510547756951801</c:v>
                </c:pt>
                <c:pt idx="309">
                  <c:v>1.141902676948892</c:v>
                </c:pt>
                <c:pt idx="310">
                  <c:v>1.148024365086894</c:v>
                </c:pt>
                <c:pt idx="311">
                  <c:v>1.1483963184606181</c:v>
                </c:pt>
                <c:pt idx="312">
                  <c:v>1.155262470252584</c:v>
                </c:pt>
                <c:pt idx="313">
                  <c:v>1.176760211017303</c:v>
                </c:pt>
                <c:pt idx="314">
                  <c:v>1.172505587110567</c:v>
                </c:pt>
                <c:pt idx="315">
                  <c:v>1.165330475500062</c:v>
                </c:pt>
                <c:pt idx="316">
                  <c:v>1.162003285591233</c:v>
                </c:pt>
                <c:pt idx="317">
                  <c:v>1.155056988129469</c:v>
                </c:pt>
                <c:pt idx="318">
                  <c:v>1.146201890218993</c:v>
                </c:pt>
                <c:pt idx="319">
                  <c:v>1.148157572841735</c:v>
                </c:pt>
                <c:pt idx="320">
                  <c:v>1.1517579785675061</c:v>
                </c:pt>
                <c:pt idx="321">
                  <c:v>1.148619173910485</c:v>
                </c:pt>
                <c:pt idx="322">
                  <c:v>1.147618778028954</c:v>
                </c:pt>
                <c:pt idx="323">
                  <c:v>1.1381815868100931</c:v>
                </c:pt>
                <c:pt idx="324">
                  <c:v>1.1404844197629369</c:v>
                </c:pt>
                <c:pt idx="325">
                  <c:v>1.1461291886666241</c:v>
                </c:pt>
                <c:pt idx="326">
                  <c:v>1.1533660306210081</c:v>
                </c:pt>
                <c:pt idx="327">
                  <c:v>1.1743753878933529</c:v>
                </c:pt>
                <c:pt idx="328">
                  <c:v>1.180472520797327</c:v>
                </c:pt>
                <c:pt idx="329">
                  <c:v>1.1848127496741809</c:v>
                </c:pt>
                <c:pt idx="330">
                  <c:v>1.178403366250224</c:v>
                </c:pt>
                <c:pt idx="331">
                  <c:v>1.187352929557133</c:v>
                </c:pt>
                <c:pt idx="332">
                  <c:v>1.1776999966638351</c:v>
                </c:pt>
                <c:pt idx="333">
                  <c:v>1.182985773507184</c:v>
                </c:pt>
                <c:pt idx="334">
                  <c:v>1.1814520100798329</c:v>
                </c:pt>
                <c:pt idx="335">
                  <c:v>1.1891966537710941</c:v>
                </c:pt>
                <c:pt idx="336">
                  <c:v>1.190772744443475</c:v>
                </c:pt>
                <c:pt idx="337">
                  <c:v>1.201893265590386</c:v>
                </c:pt>
                <c:pt idx="338">
                  <c:v>1.191335429751297</c:v>
                </c:pt>
                <c:pt idx="339">
                  <c:v>1.2005336791462859</c:v>
                </c:pt>
                <c:pt idx="340">
                  <c:v>1.216404038763605</c:v>
                </c:pt>
                <c:pt idx="341">
                  <c:v>1.2172617055322781</c:v>
                </c:pt>
                <c:pt idx="342">
                  <c:v>1.2054080723913481</c:v>
                </c:pt>
                <c:pt idx="343">
                  <c:v>1.21143745582092</c:v>
                </c:pt>
                <c:pt idx="344">
                  <c:v>1.216804749851115</c:v>
                </c:pt>
                <c:pt idx="345">
                  <c:v>1.213897820823254</c:v>
                </c:pt>
                <c:pt idx="346">
                  <c:v>1.207448189615403</c:v>
                </c:pt>
                <c:pt idx="347">
                  <c:v>1.2222030846353189</c:v>
                </c:pt>
                <c:pt idx="348">
                  <c:v>1.2236029158654249</c:v>
                </c:pt>
                <c:pt idx="349">
                  <c:v>1.2235811695131531</c:v>
                </c:pt>
                <c:pt idx="350">
                  <c:v>1.2160531156819709</c:v>
                </c:pt>
                <c:pt idx="351">
                  <c:v>1.213102474902678</c:v>
                </c:pt>
                <c:pt idx="352">
                  <c:v>1.2136402266723381</c:v>
                </c:pt>
                <c:pt idx="353">
                  <c:v>1.211618526682088</c:v>
                </c:pt>
                <c:pt idx="354">
                  <c:v>1.213829947851117</c:v>
                </c:pt>
                <c:pt idx="355">
                  <c:v>1.187830999931027</c:v>
                </c:pt>
                <c:pt idx="356">
                  <c:v>1.189607006291874</c:v>
                </c:pt>
                <c:pt idx="357">
                  <c:v>1.209790556795014</c:v>
                </c:pt>
                <c:pt idx="358">
                  <c:v>1.218752360843929</c:v>
                </c:pt>
                <c:pt idx="359">
                  <c:v>1.219993225963012</c:v>
                </c:pt>
                <c:pt idx="360">
                  <c:v>1.2222823091202359</c:v>
                </c:pt>
                <c:pt idx="361">
                  <c:v>1.2175544601024619</c:v>
                </c:pt>
                <c:pt idx="362">
                  <c:v>1.210728759865056</c:v>
                </c:pt>
                <c:pt idx="363">
                  <c:v>1.2144951416145839</c:v>
                </c:pt>
                <c:pt idx="364">
                  <c:v>1.2248186111910879</c:v>
                </c:pt>
                <c:pt idx="365">
                  <c:v>1.2322275175453099</c:v>
                </c:pt>
                <c:pt idx="366">
                  <c:v>1.234160676426787</c:v>
                </c:pt>
                <c:pt idx="367">
                  <c:v>1.229587983932525</c:v>
                </c:pt>
                <c:pt idx="368">
                  <c:v>1.2210906254648239</c:v>
                </c:pt>
                <c:pt idx="369">
                  <c:v>1.2099487231508541</c:v>
                </c:pt>
                <c:pt idx="370">
                  <c:v>1.2230856058255259</c:v>
                </c:pt>
                <c:pt idx="371">
                  <c:v>1.223190380240085</c:v>
                </c:pt>
                <c:pt idx="372">
                  <c:v>1.232125394724898</c:v>
                </c:pt>
                <c:pt idx="373">
                  <c:v>1.228187210011086</c:v>
                </c:pt>
                <c:pt idx="374">
                  <c:v>1.208042409457343</c:v>
                </c:pt>
                <c:pt idx="375">
                  <c:v>1.2327667104394979</c:v>
                </c:pt>
                <c:pt idx="376">
                  <c:v>1.2382576075507019</c:v>
                </c:pt>
                <c:pt idx="377">
                  <c:v>1.2371236317788099</c:v>
                </c:pt>
                <c:pt idx="378">
                  <c:v>1.2386109832256511</c:v>
                </c:pt>
                <c:pt idx="379">
                  <c:v>1.233762322240145</c:v>
                </c:pt>
                <c:pt idx="380">
                  <c:v>1.2406780945651501</c:v>
                </c:pt>
                <c:pt idx="381">
                  <c:v>1.2399136277815099</c:v>
                </c:pt>
                <c:pt idx="382">
                  <c:v>1.23641425832803</c:v>
                </c:pt>
                <c:pt idx="383">
                  <c:v>1.2298213405807059</c:v>
                </c:pt>
                <c:pt idx="384">
                  <c:v>1.2417040955253571</c:v>
                </c:pt>
                <c:pt idx="385">
                  <c:v>1.2571717618462941</c:v>
                </c:pt>
                <c:pt idx="386">
                  <c:v>1.2573888371443871</c:v>
                </c:pt>
                <c:pt idx="387">
                  <c:v>1.2655228956069211</c:v>
                </c:pt>
                <c:pt idx="388">
                  <c:v>1.267754731055095</c:v>
                </c:pt>
                <c:pt idx="389">
                  <c:v>1.276455105064553</c:v>
                </c:pt>
                <c:pt idx="390">
                  <c:v>1.282508896540502</c:v>
                </c:pt>
                <c:pt idx="391">
                  <c:v>1.287279557705888</c:v>
                </c:pt>
                <c:pt idx="392">
                  <c:v>1.290038850293499</c:v>
                </c:pt>
                <c:pt idx="393">
                  <c:v>1.2825535191072319</c:v>
                </c:pt>
                <c:pt idx="394">
                  <c:v>1.2821881842471781</c:v>
                </c:pt>
                <c:pt idx="395">
                  <c:v>1.2964450712715281</c:v>
                </c:pt>
                <c:pt idx="396">
                  <c:v>1.2920259994305849</c:v>
                </c:pt>
                <c:pt idx="397">
                  <c:v>1.299271434117182</c:v>
                </c:pt>
                <c:pt idx="398">
                  <c:v>1.2935125227924671</c:v>
                </c:pt>
                <c:pt idx="399">
                  <c:v>1.2886851709131251</c:v>
                </c:pt>
                <c:pt idx="400">
                  <c:v>1.2983531459535971</c:v>
                </c:pt>
                <c:pt idx="401">
                  <c:v>1.290653325250787</c:v>
                </c:pt>
                <c:pt idx="402">
                  <c:v>1.298379867694994</c:v>
                </c:pt>
                <c:pt idx="403">
                  <c:v>1.2882752486648259</c:v>
                </c:pt>
                <c:pt idx="404">
                  <c:v>1.286537974716206</c:v>
                </c:pt>
                <c:pt idx="405">
                  <c:v>1.277841385025366</c:v>
                </c:pt>
                <c:pt idx="406">
                  <c:v>1.2794015051420911</c:v>
                </c:pt>
                <c:pt idx="407">
                  <c:v>1.2913040003713889</c:v>
                </c:pt>
                <c:pt idx="408">
                  <c:v>1.295607528564805</c:v>
                </c:pt>
                <c:pt idx="409">
                  <c:v>1.3008024025590099</c:v>
                </c:pt>
                <c:pt idx="410">
                  <c:v>1.3129832360572331</c:v>
                </c:pt>
                <c:pt idx="411">
                  <c:v>1.3138015821839539</c:v>
                </c:pt>
                <c:pt idx="412">
                  <c:v>1.314477735963719</c:v>
                </c:pt>
                <c:pt idx="413">
                  <c:v>1.3155316018358829</c:v>
                </c:pt>
                <c:pt idx="414">
                  <c:v>1.32564174733579</c:v>
                </c:pt>
                <c:pt idx="415">
                  <c:v>1.3174902195092211</c:v>
                </c:pt>
                <c:pt idx="416">
                  <c:v>1.319530758473898</c:v>
                </c:pt>
                <c:pt idx="417">
                  <c:v>1.32443493179517</c:v>
                </c:pt>
                <c:pt idx="418">
                  <c:v>1.320364209223428</c:v>
                </c:pt>
                <c:pt idx="419">
                  <c:v>1.323792540960439</c:v>
                </c:pt>
                <c:pt idx="420">
                  <c:v>1.332648618003005</c:v>
                </c:pt>
                <c:pt idx="421">
                  <c:v>1.336921149435472</c:v>
                </c:pt>
                <c:pt idx="422">
                  <c:v>1.345805740048498</c:v>
                </c:pt>
                <c:pt idx="423">
                  <c:v>1.34990092701275</c:v>
                </c:pt>
                <c:pt idx="424">
                  <c:v>1.35400336304428</c:v>
                </c:pt>
                <c:pt idx="425">
                  <c:v>1.3477938578459541</c:v>
                </c:pt>
                <c:pt idx="426">
                  <c:v>1.3540373773636589</c:v>
                </c:pt>
                <c:pt idx="427">
                  <c:v>1.351297909238323</c:v>
                </c:pt>
                <c:pt idx="428">
                  <c:v>1.3445522178303171</c:v>
                </c:pt>
                <c:pt idx="429">
                  <c:v>1.339843658187313</c:v>
                </c:pt>
                <c:pt idx="430">
                  <c:v>1.359459146750758</c:v>
                </c:pt>
                <c:pt idx="431">
                  <c:v>1.365248770706929</c:v>
                </c:pt>
                <c:pt idx="432">
                  <c:v>1.362618658387295</c:v>
                </c:pt>
                <c:pt idx="433">
                  <c:v>1.375176025875497</c:v>
                </c:pt>
                <c:pt idx="434">
                  <c:v>1.3951865308433571</c:v>
                </c:pt>
                <c:pt idx="435">
                  <c:v>1.40220308374217</c:v>
                </c:pt>
                <c:pt idx="436">
                  <c:v>1.3837689407697129</c:v>
                </c:pt>
                <c:pt idx="437">
                  <c:v>1.367766187617355</c:v>
                </c:pt>
                <c:pt idx="438">
                  <c:v>1.382384007143916</c:v>
                </c:pt>
                <c:pt idx="439">
                  <c:v>1.35865720500292</c:v>
                </c:pt>
                <c:pt idx="440">
                  <c:v>1.3785855749937039</c:v>
                </c:pt>
                <c:pt idx="441">
                  <c:v>1.3933760260561929</c:v>
                </c:pt>
                <c:pt idx="442">
                  <c:v>1.384203730047324</c:v>
                </c:pt>
                <c:pt idx="443">
                  <c:v>1.337276900715819</c:v>
                </c:pt>
                <c:pt idx="444">
                  <c:v>1.332261535011269</c:v>
                </c:pt>
                <c:pt idx="445">
                  <c:v>1.3082170431743301</c:v>
                </c:pt>
                <c:pt idx="446">
                  <c:v>1.324762582440288</c:v>
                </c:pt>
                <c:pt idx="447">
                  <c:v>1.322387273850701</c:v>
                </c:pt>
                <c:pt idx="448">
                  <c:v>1.30651711616476</c:v>
                </c:pt>
                <c:pt idx="449">
                  <c:v>1.314460175242778</c:v>
                </c:pt>
                <c:pt idx="450">
                  <c:v>1.3217884365570729</c:v>
                </c:pt>
                <c:pt idx="451">
                  <c:v>1.308100656773715</c:v>
                </c:pt>
                <c:pt idx="452">
                  <c:v>1.30850379809956</c:v>
                </c:pt>
                <c:pt idx="453">
                  <c:v>1.294651454296845</c:v>
                </c:pt>
                <c:pt idx="454">
                  <c:v>1.3115816247370971</c:v>
                </c:pt>
                <c:pt idx="455">
                  <c:v>1.337607067535556</c:v>
                </c:pt>
                <c:pt idx="456">
                  <c:v>1.3269528254897189</c:v>
                </c:pt>
                <c:pt idx="457">
                  <c:v>1.3381642600335359</c:v>
                </c:pt>
                <c:pt idx="458">
                  <c:v>1.334331195897442</c:v>
                </c:pt>
                <c:pt idx="459">
                  <c:v>1.319652575660883</c:v>
                </c:pt>
                <c:pt idx="460">
                  <c:v>1.31672105499654</c:v>
                </c:pt>
                <c:pt idx="461">
                  <c:v>1.330027259539756</c:v>
                </c:pt>
                <c:pt idx="462">
                  <c:v>1.3286869969861459</c:v>
                </c:pt>
                <c:pt idx="463">
                  <c:v>1.34428036271827</c:v>
                </c:pt>
                <c:pt idx="464">
                  <c:v>1.3397131813437</c:v>
                </c:pt>
                <c:pt idx="465">
                  <c:v>1.3300156750438461</c:v>
                </c:pt>
                <c:pt idx="466">
                  <c:v>1.331276377421645</c:v>
                </c:pt>
                <c:pt idx="467">
                  <c:v>1.3112686058683261</c:v>
                </c:pt>
                <c:pt idx="468">
                  <c:v>1.31939985926229</c:v>
                </c:pt>
                <c:pt idx="469">
                  <c:v>1.327245086970458</c:v>
                </c:pt>
                <c:pt idx="470">
                  <c:v>1.341220745844163</c:v>
                </c:pt>
                <c:pt idx="471">
                  <c:v>1.354156672788589</c:v>
                </c:pt>
                <c:pt idx="472">
                  <c:v>1.361985448592008</c:v>
                </c:pt>
                <c:pt idx="473">
                  <c:v>1.359163964401624</c:v>
                </c:pt>
                <c:pt idx="474">
                  <c:v>1.3608889519814129</c:v>
                </c:pt>
                <c:pt idx="475">
                  <c:v>1.370381554791406</c:v>
                </c:pt>
                <c:pt idx="476">
                  <c:v>1.3668454897022819</c:v>
                </c:pt>
                <c:pt idx="477">
                  <c:v>1.3641941018940671</c:v>
                </c:pt>
                <c:pt idx="478">
                  <c:v>1.3661472358616751</c:v>
                </c:pt>
                <c:pt idx="479">
                  <c:v>1.3552376356170499</c:v>
                </c:pt>
                <c:pt idx="480">
                  <c:v>1.3633323746844459</c:v>
                </c:pt>
                <c:pt idx="481">
                  <c:v>1.350033774051433</c:v>
                </c:pt>
                <c:pt idx="482">
                  <c:v>1.355818391866715</c:v>
                </c:pt>
                <c:pt idx="483">
                  <c:v>1.3514242950463911</c:v>
                </c:pt>
                <c:pt idx="484">
                  <c:v>1.3750742782453109</c:v>
                </c:pt>
                <c:pt idx="485">
                  <c:v>1.384619131896891</c:v>
                </c:pt>
                <c:pt idx="486">
                  <c:v>1.384250507516001</c:v>
                </c:pt>
                <c:pt idx="487">
                  <c:v>1.3764742355923789</c:v>
                </c:pt>
                <c:pt idx="488">
                  <c:v>1.380451141793779</c:v>
                </c:pt>
                <c:pt idx="489">
                  <c:v>1.35601150679089</c:v>
                </c:pt>
                <c:pt idx="490">
                  <c:v>1.3471742955278141</c:v>
                </c:pt>
                <c:pt idx="491">
                  <c:v>1.3535392664515</c:v>
                </c:pt>
                <c:pt idx="492">
                  <c:v>1.3377715803111341</c:v>
                </c:pt>
                <c:pt idx="493">
                  <c:v>1.3484148214318881</c:v>
                </c:pt>
                <c:pt idx="494">
                  <c:v>1.3378487714829399</c:v>
                </c:pt>
                <c:pt idx="495">
                  <c:v>1.293658172469409</c:v>
                </c:pt>
                <c:pt idx="496">
                  <c:v>1.2633010843016119</c:v>
                </c:pt>
                <c:pt idx="497">
                  <c:v>1.2682047787141619</c:v>
                </c:pt>
                <c:pt idx="498">
                  <c:v>1.229623756503152</c:v>
                </c:pt>
                <c:pt idx="499">
                  <c:v>1.2633491189902</c:v>
                </c:pt>
                <c:pt idx="500">
                  <c:v>1.274909225909215</c:v>
                </c:pt>
                <c:pt idx="501">
                  <c:v>1.284940109031057</c:v>
                </c:pt>
                <c:pt idx="502">
                  <c:v>1.315482642276719</c:v>
                </c:pt>
                <c:pt idx="503">
                  <c:v>1.3170198463459459</c:v>
                </c:pt>
                <c:pt idx="504">
                  <c:v>1.336536028838812</c:v>
                </c:pt>
                <c:pt idx="505">
                  <c:v>1.320704555670529</c:v>
                </c:pt>
                <c:pt idx="506">
                  <c:v>1.3157326330977781</c:v>
                </c:pt>
                <c:pt idx="507">
                  <c:v>1.327533906572874</c:v>
                </c:pt>
                <c:pt idx="508">
                  <c:v>1.315633097286776</c:v>
                </c:pt>
                <c:pt idx="509">
                  <c:v>1.317356850989595</c:v>
                </c:pt>
                <c:pt idx="510">
                  <c:v>1.3316630649343011</c:v>
                </c:pt>
                <c:pt idx="511">
                  <c:v>1.322753028120913</c:v>
                </c:pt>
                <c:pt idx="512">
                  <c:v>1.3322766316824839</c:v>
                </c:pt>
                <c:pt idx="513">
                  <c:v>1.3479663188854041</c:v>
                </c:pt>
                <c:pt idx="514">
                  <c:v>1.3604374826116361</c:v>
                </c:pt>
                <c:pt idx="515">
                  <c:v>1.3489375881523269</c:v>
                </c:pt>
                <c:pt idx="516">
                  <c:v>1.3406335301075429</c:v>
                </c:pt>
                <c:pt idx="517">
                  <c:v>1.3489659995786449</c:v>
                </c:pt>
                <c:pt idx="518">
                  <c:v>1.3336764082439869</c:v>
                </c:pt>
                <c:pt idx="519">
                  <c:v>1.3389933609807301</c:v>
                </c:pt>
                <c:pt idx="520">
                  <c:v>1.3420886631209441</c:v>
                </c:pt>
                <c:pt idx="521">
                  <c:v>1.3298397872728489</c:v>
                </c:pt>
                <c:pt idx="522">
                  <c:v>1.315647439423673</c:v>
                </c:pt>
                <c:pt idx="523">
                  <c:v>1.270530730032557</c:v>
                </c:pt>
                <c:pt idx="524">
                  <c:v>1.2843933587563769</c:v>
                </c:pt>
                <c:pt idx="525">
                  <c:v>1.304983652918527</c:v>
                </c:pt>
                <c:pt idx="526">
                  <c:v>1.2842057290791691</c:v>
                </c:pt>
                <c:pt idx="527">
                  <c:v>1.2913917529102079</c:v>
                </c:pt>
                <c:pt idx="528">
                  <c:v>1.308029197969909</c:v>
                </c:pt>
                <c:pt idx="529">
                  <c:v>1.3041520418319461</c:v>
                </c:pt>
                <c:pt idx="530">
                  <c:v>1.296122148514361</c:v>
                </c:pt>
                <c:pt idx="531">
                  <c:v>1.287113418756161</c:v>
                </c:pt>
                <c:pt idx="532">
                  <c:v>1.2860881197358041</c:v>
                </c:pt>
                <c:pt idx="533">
                  <c:v>1.299955311555006</c:v>
                </c:pt>
                <c:pt idx="534">
                  <c:v>1.3052158470535209</c:v>
                </c:pt>
                <c:pt idx="535">
                  <c:v>1.295625949588449</c:v>
                </c:pt>
                <c:pt idx="536">
                  <c:v>1.2900998865839599</c:v>
                </c:pt>
                <c:pt idx="537">
                  <c:v>1.286690571720454</c:v>
                </c:pt>
                <c:pt idx="538">
                  <c:v>1.256504232676261</c:v>
                </c:pt>
                <c:pt idx="539">
                  <c:v>1.270248619623497</c:v>
                </c:pt>
                <c:pt idx="540">
                  <c:v>1.277878290169379</c:v>
                </c:pt>
                <c:pt idx="541">
                  <c:v>1.2595612007338579</c:v>
                </c:pt>
                <c:pt idx="542">
                  <c:v>1.2430099267331181</c:v>
                </c:pt>
                <c:pt idx="543">
                  <c:v>1.2745324639530451</c:v>
                </c:pt>
                <c:pt idx="544">
                  <c:v>1.277991931245587</c:v>
                </c:pt>
                <c:pt idx="545">
                  <c:v>1.2545772020412169</c:v>
                </c:pt>
                <c:pt idx="546">
                  <c:v>1.2580257021513359</c:v>
                </c:pt>
                <c:pt idx="547">
                  <c:v>1.2624341728606889</c:v>
                </c:pt>
                <c:pt idx="548">
                  <c:v>1.272027666345064</c:v>
                </c:pt>
                <c:pt idx="549">
                  <c:v>1.2723547125526831</c:v>
                </c:pt>
                <c:pt idx="550">
                  <c:v>1.297627521179765</c:v>
                </c:pt>
                <c:pt idx="551">
                  <c:v>1.304104911166396</c:v>
                </c:pt>
                <c:pt idx="552">
                  <c:v>1.302282854440838</c:v>
                </c:pt>
                <c:pt idx="553">
                  <c:v>1.306534868339376</c:v>
                </c:pt>
                <c:pt idx="554">
                  <c:v>1.2955287943935241</c:v>
                </c:pt>
                <c:pt idx="555">
                  <c:v>1.3009730393755961</c:v>
                </c:pt>
                <c:pt idx="556">
                  <c:v>1.313946699909663</c:v>
                </c:pt>
                <c:pt idx="557">
                  <c:v>1.31057689067514</c:v>
                </c:pt>
                <c:pt idx="558">
                  <c:v>1.297101353434206</c:v>
                </c:pt>
                <c:pt idx="559">
                  <c:v>1.3015959138841819</c:v>
                </c:pt>
                <c:pt idx="560">
                  <c:v>1.314338293536333</c:v>
                </c:pt>
                <c:pt idx="561">
                  <c:v>1.3189406670507231</c:v>
                </c:pt>
                <c:pt idx="562">
                  <c:v>1.3058594304615909</c:v>
                </c:pt>
                <c:pt idx="563">
                  <c:v>1.2976439581980139</c:v>
                </c:pt>
                <c:pt idx="564">
                  <c:v>1.288687883769243</c:v>
                </c:pt>
                <c:pt idx="565">
                  <c:v>1.2947624166176721</c:v>
                </c:pt>
                <c:pt idx="566">
                  <c:v>1.279735961681006</c:v>
                </c:pt>
                <c:pt idx="567">
                  <c:v>1.2599283630915761</c:v>
                </c:pt>
                <c:pt idx="568">
                  <c:v>1.2824808683002289</c:v>
                </c:pt>
                <c:pt idx="569">
                  <c:v>1.261360148721026</c:v>
                </c:pt>
                <c:pt idx="570">
                  <c:v>1.264165669426446</c:v>
                </c:pt>
                <c:pt idx="571">
                  <c:v>1.28795480944351</c:v>
                </c:pt>
                <c:pt idx="572">
                  <c:v>1.290687123235041</c:v>
                </c:pt>
                <c:pt idx="573">
                  <c:v>1.283353739780394</c:v>
                </c:pt>
                <c:pt idx="574">
                  <c:v>1.2767211132577829</c:v>
                </c:pt>
                <c:pt idx="575">
                  <c:v>1.268097388892903</c:v>
                </c:pt>
                <c:pt idx="576">
                  <c:v>1.285198569146625</c:v>
                </c:pt>
                <c:pt idx="577">
                  <c:v>1.27092063388148</c:v>
                </c:pt>
                <c:pt idx="578">
                  <c:v>1.262303550648489</c:v>
                </c:pt>
                <c:pt idx="579">
                  <c:v>1.246857223642303</c:v>
                </c:pt>
                <c:pt idx="580">
                  <c:v>1.197720142005563</c:v>
                </c:pt>
                <c:pt idx="581">
                  <c:v>1.2144064035095901</c:v>
                </c:pt>
                <c:pt idx="582">
                  <c:v>1.196893337661959</c:v>
                </c:pt>
                <c:pt idx="583">
                  <c:v>1.209846923640191</c:v>
                </c:pt>
                <c:pt idx="584">
                  <c:v>1.203001407346951</c:v>
                </c:pt>
                <c:pt idx="585">
                  <c:v>1.204113273064332</c:v>
                </c:pt>
                <c:pt idx="586">
                  <c:v>1.1814735980347919</c:v>
                </c:pt>
                <c:pt idx="587">
                  <c:v>1.1686095495851569</c:v>
                </c:pt>
                <c:pt idx="588">
                  <c:v>1.208331421937697</c:v>
                </c:pt>
                <c:pt idx="589">
                  <c:v>1.190384568443476</c:v>
                </c:pt>
                <c:pt idx="590">
                  <c:v>1.1894032847180001</c:v>
                </c:pt>
                <c:pt idx="591">
                  <c:v>1.1695663000376171</c:v>
                </c:pt>
                <c:pt idx="592">
                  <c:v>1.1526265076478319</c:v>
                </c:pt>
                <c:pt idx="593">
                  <c:v>1.158188161721156</c:v>
                </c:pt>
                <c:pt idx="594">
                  <c:v>1.189758668114238</c:v>
                </c:pt>
                <c:pt idx="595">
                  <c:v>1.1964067827094009</c:v>
                </c:pt>
                <c:pt idx="596">
                  <c:v>1.1838139195726749</c:v>
                </c:pt>
                <c:pt idx="597">
                  <c:v>1.2122130664617901</c:v>
                </c:pt>
                <c:pt idx="598">
                  <c:v>1.2249913694769641</c:v>
                </c:pt>
                <c:pt idx="599">
                  <c:v>1.225774518910596</c:v>
                </c:pt>
                <c:pt idx="600">
                  <c:v>1.222156827038966</c:v>
                </c:pt>
                <c:pt idx="601">
                  <c:v>1.212398456458502</c:v>
                </c:pt>
                <c:pt idx="602">
                  <c:v>1.204986697189856</c:v>
                </c:pt>
                <c:pt idx="603">
                  <c:v>1.2176410531668429</c:v>
                </c:pt>
                <c:pt idx="604">
                  <c:v>1.2180295025874719</c:v>
                </c:pt>
                <c:pt idx="605">
                  <c:v>1.2180295025874719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5E-4D95-BFBD-0A7E2AB48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019312"/>
        <c:axId val="497027632"/>
      </c:lineChart>
      <c:dateAx>
        <c:axId val="497019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7027632"/>
        <c:crosses val="autoZero"/>
        <c:auto val="1"/>
        <c:lblOffset val="100"/>
        <c:baseTimeUnit val="days"/>
      </c:dateAx>
      <c:valAx>
        <c:axId val="497027632"/>
        <c:scaling>
          <c:orientation val="minMax"/>
          <c:min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701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回撤结果!$AC$2</c:f>
              <c:strCache>
                <c:ptCount val="1"/>
                <c:pt idx="0">
                  <c:v>全指能源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回撤结果!$AB$3:$AB$608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回撤结果!$AC$3:$AC$608</c:f>
              <c:numCache>
                <c:formatCode>General</c:formatCode>
                <c:ptCount val="606"/>
                <c:pt idx="0">
                  <c:v>1</c:v>
                </c:pt>
                <c:pt idx="1">
                  <c:v>1.0237601998856714</c:v>
                </c:pt>
                <c:pt idx="2">
                  <c:v>0.98904207438554304</c:v>
                </c:pt>
                <c:pt idx="3">
                  <c:v>1.0068818598718901</c:v>
                </c:pt>
                <c:pt idx="4">
                  <c:v>0.993519044189625</c:v>
                </c:pt>
                <c:pt idx="5">
                  <c:v>1.0087507270207854</c:v>
                </c:pt>
                <c:pt idx="6">
                  <c:v>1.0112909734132276</c:v>
                </c:pt>
                <c:pt idx="7">
                  <c:v>1.0085803442788117</c:v>
                </c:pt>
                <c:pt idx="8">
                  <c:v>1.0432526979691623</c:v>
                </c:pt>
                <c:pt idx="9">
                  <c:v>1.0530102267046273</c:v>
                </c:pt>
                <c:pt idx="10">
                  <c:v>1.0561782177359647</c:v>
                </c:pt>
                <c:pt idx="11">
                  <c:v>1.0546523720097607</c:v>
                </c:pt>
                <c:pt idx="12">
                  <c:v>1.0897434398043413</c:v>
                </c:pt>
                <c:pt idx="13">
                  <c:v>1.0970107090005841</c:v>
                </c:pt>
                <c:pt idx="14">
                  <c:v>1.103441677957739</c:v>
                </c:pt>
                <c:pt idx="15">
                  <c:v>1.0263816007060851</c:v>
                </c:pt>
                <c:pt idx="16">
                  <c:v>1.0604735251043536</c:v>
                </c:pt>
                <c:pt idx="17">
                  <c:v>1.0438331866280537</c:v>
                </c:pt>
                <c:pt idx="18">
                  <c:v>1.0616826489042757</c:v>
                </c:pt>
                <c:pt idx="19">
                  <c:v>1.114793799184288</c:v>
                </c:pt>
                <c:pt idx="20">
                  <c:v>1.1144418727402394</c:v>
                </c:pt>
                <c:pt idx="21">
                  <c:v>1.1164678838326905</c:v>
                </c:pt>
                <c:pt idx="22">
                  <c:v>1.1337021872335358</c:v>
                </c:pt>
                <c:pt idx="23">
                  <c:v>1.1349852227107253</c:v>
                </c:pt>
                <c:pt idx="24">
                  <c:v>1.0904721673854305</c:v>
                </c:pt>
                <c:pt idx="25">
                  <c:v>1.0663201465600289</c:v>
                </c:pt>
                <c:pt idx="26">
                  <c:v>1.0703071620890205</c:v>
                </c:pt>
                <c:pt idx="27">
                  <c:v>1.0908311584797561</c:v>
                </c:pt>
                <c:pt idx="28">
                  <c:v>1.0780982840083211</c:v>
                </c:pt>
                <c:pt idx="29">
                  <c:v>1.0760252544031026</c:v>
                </c:pt>
                <c:pt idx="30">
                  <c:v>1.0963482941452038</c:v>
                </c:pt>
                <c:pt idx="31">
                  <c:v>1.1163803771561507</c:v>
                </c:pt>
                <c:pt idx="32">
                  <c:v>1.1336381898133798</c:v>
                </c:pt>
                <c:pt idx="33">
                  <c:v>1.1234054891382783</c:v>
                </c:pt>
                <c:pt idx="34">
                  <c:v>1.1273365217663358</c:v>
                </c:pt>
                <c:pt idx="35">
                  <c:v>1.0968796270862016</c:v>
                </c:pt>
                <c:pt idx="36">
                  <c:v>1.1002186538944121</c:v>
                </c:pt>
                <c:pt idx="37">
                  <c:v>1.0930895312628288</c:v>
                </c:pt>
                <c:pt idx="38">
                  <c:v>1.0796548223748041</c:v>
                </c:pt>
                <c:pt idx="39">
                  <c:v>1.1114230111332357</c:v>
                </c:pt>
                <c:pt idx="40">
                  <c:v>1.1117416327974072</c:v>
                </c:pt>
                <c:pt idx="41">
                  <c:v>1.127351838403071</c:v>
                </c:pt>
                <c:pt idx="42">
                  <c:v>1.1388371193823192</c:v>
                </c:pt>
                <c:pt idx="43">
                  <c:v>1.1433494718045949</c:v>
                </c:pt>
                <c:pt idx="44">
                  <c:v>1.1331012763923312</c:v>
                </c:pt>
                <c:pt idx="45">
                  <c:v>1.1257887696875923</c:v>
                </c:pt>
                <c:pt idx="46">
                  <c:v>1.146321552366067</c:v>
                </c:pt>
                <c:pt idx="47">
                  <c:v>1.1569145502052933</c:v>
                </c:pt>
                <c:pt idx="48">
                  <c:v>1.1864644981435701</c:v>
                </c:pt>
                <c:pt idx="49">
                  <c:v>1.1881219600854382</c:v>
                </c:pt>
                <c:pt idx="50">
                  <c:v>1.18495776852988</c:v>
                </c:pt>
                <c:pt idx="51">
                  <c:v>1.1710620763695818</c:v>
                </c:pt>
                <c:pt idx="52">
                  <c:v>1.1675230427816816</c:v>
                </c:pt>
                <c:pt idx="53">
                  <c:v>1.1354497086247328</c:v>
                </c:pt>
                <c:pt idx="54">
                  <c:v>1.1486058090778857</c:v>
                </c:pt>
                <c:pt idx="55">
                  <c:v>1.1477492647569116</c:v>
                </c:pt>
                <c:pt idx="56">
                  <c:v>1.1575203884916492</c:v>
                </c:pt>
                <c:pt idx="57">
                  <c:v>1.1601444014516609</c:v>
                </c:pt>
                <c:pt idx="58">
                  <c:v>1.1495632176074355</c:v>
                </c:pt>
                <c:pt idx="59">
                  <c:v>1.1524809181718181</c:v>
                </c:pt>
                <c:pt idx="60">
                  <c:v>1.1492323663805997</c:v>
                </c:pt>
                <c:pt idx="61">
                  <c:v>1.1616741060204534</c:v>
                </c:pt>
                <c:pt idx="62">
                  <c:v>1.1514268604771345</c:v>
                </c:pt>
                <c:pt idx="63">
                  <c:v>1.1532095270192892</c:v>
                </c:pt>
                <c:pt idx="64">
                  <c:v>1.1087574414068888</c:v>
                </c:pt>
                <c:pt idx="65">
                  <c:v>1.0596566971786339</c:v>
                </c:pt>
                <c:pt idx="66">
                  <c:v>1.0579798222902066</c:v>
                </c:pt>
                <c:pt idx="67">
                  <c:v>1.0579095913551002</c:v>
                </c:pt>
                <c:pt idx="68">
                  <c:v>1.0569533107949223</c:v>
                </c:pt>
                <c:pt idx="69">
                  <c:v>1.051324031227179</c:v>
                </c:pt>
                <c:pt idx="70">
                  <c:v>1.059077811423587</c:v>
                </c:pt>
                <c:pt idx="71">
                  <c:v>1.07179519115786</c:v>
                </c:pt>
                <c:pt idx="72">
                  <c:v>1.050690349907379</c:v>
                </c:pt>
                <c:pt idx="73">
                  <c:v>1.0456889337121489</c:v>
                </c:pt>
                <c:pt idx="74">
                  <c:v>1.0506498617436069</c:v>
                </c:pt>
                <c:pt idx="75">
                  <c:v>1.055260228767624</c:v>
                </c:pt>
                <c:pt idx="76">
                  <c:v>1.0465693434903611</c:v>
                </c:pt>
                <c:pt idx="77">
                  <c:v>1.0480997604608622</c:v>
                </c:pt>
                <c:pt idx="78">
                  <c:v>1.0559132636671744</c:v>
                </c:pt>
                <c:pt idx="79">
                  <c:v>1.0493881389508661</c:v>
                </c:pt>
                <c:pt idx="80">
                  <c:v>1.0432988259797944</c:v>
                </c:pt>
                <c:pt idx="81">
                  <c:v>1.076092101430093</c:v>
                </c:pt>
                <c:pt idx="82">
                  <c:v>1.0804197637094139</c:v>
                </c:pt>
                <c:pt idx="83">
                  <c:v>1.0833432228542743</c:v>
                </c:pt>
                <c:pt idx="84">
                  <c:v>1.0818988283900868</c:v>
                </c:pt>
                <c:pt idx="85">
                  <c:v>1.0811131086723094</c:v>
                </c:pt>
                <c:pt idx="86">
                  <c:v>1.0794460886741841</c:v>
                </c:pt>
                <c:pt idx="87">
                  <c:v>1.0813452922625042</c:v>
                </c:pt>
                <c:pt idx="88">
                  <c:v>1.0370875735829335</c:v>
                </c:pt>
                <c:pt idx="89">
                  <c:v>1.0349333895497437</c:v>
                </c:pt>
                <c:pt idx="90">
                  <c:v>1.0513854165077368</c:v>
                </c:pt>
                <c:pt idx="91">
                  <c:v>1.0425527039236533</c:v>
                </c:pt>
                <c:pt idx="92">
                  <c:v>1.0591606281222119</c:v>
                </c:pt>
                <c:pt idx="93">
                  <c:v>1.056229451292175</c:v>
                </c:pt>
                <c:pt idx="94">
                  <c:v>1.0538040796752446</c:v>
                </c:pt>
                <c:pt idx="95">
                  <c:v>1.0778082177793025</c:v>
                </c:pt>
                <c:pt idx="96">
                  <c:v>1.0742790984485138</c:v>
                </c:pt>
                <c:pt idx="97">
                  <c:v>1.0581148224139862</c:v>
                </c:pt>
                <c:pt idx="98">
                  <c:v>1.0826289807745932</c:v>
                </c:pt>
                <c:pt idx="99">
                  <c:v>1.0871565904667948</c:v>
                </c:pt>
                <c:pt idx="100">
                  <c:v>1.0911222933113376</c:v>
                </c:pt>
                <c:pt idx="101">
                  <c:v>1.0921461926670235</c:v>
                </c:pt>
                <c:pt idx="102">
                  <c:v>1.090394574966002</c:v>
                </c:pt>
                <c:pt idx="103">
                  <c:v>1.1221896568889334</c:v>
                </c:pt>
                <c:pt idx="104">
                  <c:v>1.1277376632950871</c:v>
                </c:pt>
                <c:pt idx="105">
                  <c:v>1.1261007422691502</c:v>
                </c:pt>
                <c:pt idx="106">
                  <c:v>1.1323945738973995</c:v>
                </c:pt>
                <c:pt idx="107">
                  <c:v>1.1178700684956433</c:v>
                </c:pt>
                <c:pt idx="108">
                  <c:v>1.1357568131279487</c:v>
                </c:pt>
                <c:pt idx="109">
                  <c:v>1.1752208994439646</c:v>
                </c:pt>
                <c:pt idx="110">
                  <c:v>1.176914397038926</c:v>
                </c:pt>
                <c:pt idx="111">
                  <c:v>1.1689244556761169</c:v>
                </c:pt>
                <c:pt idx="112">
                  <c:v>1.1684491650028623</c:v>
                </c:pt>
                <c:pt idx="113">
                  <c:v>1.1521357001771921</c:v>
                </c:pt>
                <c:pt idx="114">
                  <c:v>1.1555063101278173</c:v>
                </c:pt>
                <c:pt idx="115">
                  <c:v>1.1506187594723454</c:v>
                </c:pt>
                <c:pt idx="116">
                  <c:v>1.1533010706388445</c:v>
                </c:pt>
                <c:pt idx="117">
                  <c:v>1.1419883689735044</c:v>
                </c:pt>
                <c:pt idx="118">
                  <c:v>1.1435411672310174</c:v>
                </c:pt>
                <c:pt idx="119">
                  <c:v>1.1601740254893771</c:v>
                </c:pt>
                <c:pt idx="120">
                  <c:v>1.1238879038286189</c:v>
                </c:pt>
                <c:pt idx="121">
                  <c:v>1.1261159995390759</c:v>
                </c:pt>
                <c:pt idx="122">
                  <c:v>1.1217981327832485</c:v>
                </c:pt>
                <c:pt idx="123">
                  <c:v>1.1183179910699259</c:v>
                </c:pt>
                <c:pt idx="124">
                  <c:v>1.1249897518045877</c:v>
                </c:pt>
                <c:pt idx="125">
                  <c:v>1.1255505900496834</c:v>
                </c:pt>
                <c:pt idx="126">
                  <c:v>1.1275382501834879</c:v>
                </c:pt>
                <c:pt idx="127">
                  <c:v>1.124571156433976</c:v>
                </c:pt>
                <c:pt idx="128">
                  <c:v>1.1582828364202788</c:v>
                </c:pt>
                <c:pt idx="129">
                  <c:v>1.1633771023048629</c:v>
                </c:pt>
                <c:pt idx="130">
                  <c:v>1.1660971113951086</c:v>
                </c:pt>
                <c:pt idx="131">
                  <c:v>1.1514393275070351</c:v>
                </c:pt>
                <c:pt idx="132">
                  <c:v>1.1639985540619988</c:v>
                </c:pt>
                <c:pt idx="133">
                  <c:v>1.185809385405703</c:v>
                </c:pt>
                <c:pt idx="134">
                  <c:v>1.1993759479766277</c:v>
                </c:pt>
                <c:pt idx="135">
                  <c:v>1.1942769327473195</c:v>
                </c:pt>
                <c:pt idx="136">
                  <c:v>1.1860621692786382</c:v>
                </c:pt>
                <c:pt idx="137">
                  <c:v>1.1847734939545886</c:v>
                </c:pt>
                <c:pt idx="138">
                  <c:v>1.1733372499596157</c:v>
                </c:pt>
                <c:pt idx="139">
                  <c:v>1.170603052202007</c:v>
                </c:pt>
                <c:pt idx="140">
                  <c:v>1.1682123508015618</c:v>
                </c:pt>
                <c:pt idx="141">
                  <c:v>1.1607095141070083</c:v>
                </c:pt>
                <c:pt idx="142">
                  <c:v>1.1613827930884448</c:v>
                </c:pt>
                <c:pt idx="143">
                  <c:v>1.1638038309283147</c:v>
                </c:pt>
                <c:pt idx="144">
                  <c:v>1.1714870239887623</c:v>
                </c:pt>
                <c:pt idx="145">
                  <c:v>1.1754533205013955</c:v>
                </c:pt>
                <c:pt idx="146">
                  <c:v>1.1599946783592368</c:v>
                </c:pt>
                <c:pt idx="147">
                  <c:v>1.1609908534150966</c:v>
                </c:pt>
                <c:pt idx="148">
                  <c:v>1.173959117284415</c:v>
                </c:pt>
                <c:pt idx="149">
                  <c:v>1.1853374786405642</c:v>
                </c:pt>
                <c:pt idx="150">
                  <c:v>1.1783804603884169</c:v>
                </c:pt>
                <c:pt idx="151">
                  <c:v>1.1865741486398855</c:v>
                </c:pt>
                <c:pt idx="152">
                  <c:v>1.1793334164072882</c:v>
                </c:pt>
                <c:pt idx="153">
                  <c:v>1.1482996544436146</c:v>
                </c:pt>
                <c:pt idx="154">
                  <c:v>1.1518597632487275</c:v>
                </c:pt>
                <c:pt idx="155">
                  <c:v>1.1428972748200605</c:v>
                </c:pt>
                <c:pt idx="156">
                  <c:v>1.1528998103764752</c:v>
                </c:pt>
                <c:pt idx="157">
                  <c:v>1.1584162930070232</c:v>
                </c:pt>
                <c:pt idx="158">
                  <c:v>1.1555218048649794</c:v>
                </c:pt>
                <c:pt idx="159">
                  <c:v>1.1607931025741507</c:v>
                </c:pt>
                <c:pt idx="160">
                  <c:v>1.159853800921361</c:v>
                </c:pt>
                <c:pt idx="161">
                  <c:v>1.145465008045093</c:v>
                </c:pt>
                <c:pt idx="162">
                  <c:v>1.1475385719515929</c:v>
                </c:pt>
                <c:pt idx="163">
                  <c:v>1.143349709271831</c:v>
                </c:pt>
                <c:pt idx="164">
                  <c:v>1.1639152624289015</c:v>
                </c:pt>
                <c:pt idx="165">
                  <c:v>1.169048947874695</c:v>
                </c:pt>
                <c:pt idx="166">
                  <c:v>1.1873876520242983</c:v>
                </c:pt>
                <c:pt idx="167">
                  <c:v>1.2002297020575765</c:v>
                </c:pt>
                <c:pt idx="168">
                  <c:v>1.1973125951612844</c:v>
                </c:pt>
                <c:pt idx="169">
                  <c:v>1.1909310787560683</c:v>
                </c:pt>
                <c:pt idx="170">
                  <c:v>1.1930776044708906</c:v>
                </c:pt>
                <c:pt idx="171">
                  <c:v>1.186292275030516</c:v>
                </c:pt>
                <c:pt idx="172">
                  <c:v>1.2020733383126256</c:v>
                </c:pt>
                <c:pt idx="173">
                  <c:v>1.2059048721687153</c:v>
                </c:pt>
                <c:pt idx="174">
                  <c:v>1.20518338733833</c:v>
                </c:pt>
                <c:pt idx="175">
                  <c:v>1.2031387944346466</c:v>
                </c:pt>
                <c:pt idx="176">
                  <c:v>1.2457040841218185</c:v>
                </c:pt>
                <c:pt idx="177">
                  <c:v>1.2614219217522897</c:v>
                </c:pt>
                <c:pt idx="178">
                  <c:v>1.2418449446995203</c:v>
                </c:pt>
                <c:pt idx="179">
                  <c:v>1.2328670802673096</c:v>
                </c:pt>
                <c:pt idx="180">
                  <c:v>1.2309370653050931</c:v>
                </c:pt>
                <c:pt idx="181">
                  <c:v>1.2258991978891061</c:v>
                </c:pt>
                <c:pt idx="182">
                  <c:v>1.2285285538619326</c:v>
                </c:pt>
                <c:pt idx="183">
                  <c:v>1.2135784478060967</c:v>
                </c:pt>
                <c:pt idx="184">
                  <c:v>1.2187979776577764</c:v>
                </c:pt>
                <c:pt idx="185">
                  <c:v>1.2238262870175058</c:v>
                </c:pt>
                <c:pt idx="186">
                  <c:v>1.241277338638193</c:v>
                </c:pt>
                <c:pt idx="187">
                  <c:v>1.230990436066429</c:v>
                </c:pt>
                <c:pt idx="188">
                  <c:v>1.2288567929491703</c:v>
                </c:pt>
                <c:pt idx="189">
                  <c:v>1.2421354858630116</c:v>
                </c:pt>
                <c:pt idx="190">
                  <c:v>1.2628048715691105</c:v>
                </c:pt>
                <c:pt idx="191">
                  <c:v>1.2830227133255749</c:v>
                </c:pt>
                <c:pt idx="192">
                  <c:v>1.2681208724854967</c:v>
                </c:pt>
                <c:pt idx="193">
                  <c:v>1.2672548294750745</c:v>
                </c:pt>
                <c:pt idx="194">
                  <c:v>1.2668257261792608</c:v>
                </c:pt>
                <c:pt idx="195">
                  <c:v>1.2517656727930639</c:v>
                </c:pt>
                <c:pt idx="196">
                  <c:v>1.2595059173570087</c:v>
                </c:pt>
                <c:pt idx="197">
                  <c:v>1.290150411153741</c:v>
                </c:pt>
                <c:pt idx="198">
                  <c:v>1.2755803714094434</c:v>
                </c:pt>
                <c:pt idx="199">
                  <c:v>1.2748435105755143</c:v>
                </c:pt>
                <c:pt idx="200">
                  <c:v>1.2768093237235882</c:v>
                </c:pt>
                <c:pt idx="201">
                  <c:v>1.2864475251728629</c:v>
                </c:pt>
                <c:pt idx="202">
                  <c:v>1.2666473289180655</c:v>
                </c:pt>
                <c:pt idx="203">
                  <c:v>1.2371349601699175</c:v>
                </c:pt>
                <c:pt idx="204">
                  <c:v>1.255707628913987</c:v>
                </c:pt>
                <c:pt idx="205">
                  <c:v>1.2506965952956908</c:v>
                </c:pt>
                <c:pt idx="206">
                  <c:v>1.240840873858057</c:v>
                </c:pt>
                <c:pt idx="207">
                  <c:v>1.2388792757534255</c:v>
                </c:pt>
                <c:pt idx="208">
                  <c:v>1.2545914735370369</c:v>
                </c:pt>
                <c:pt idx="209">
                  <c:v>1.2474827730877669</c:v>
                </c:pt>
                <c:pt idx="210">
                  <c:v>1.2489582163930877</c:v>
                </c:pt>
                <c:pt idx="211">
                  <c:v>1.2151049465672004</c:v>
                </c:pt>
                <c:pt idx="212">
                  <c:v>1.2361684091517735</c:v>
                </c:pt>
                <c:pt idx="213">
                  <c:v>1.2370401513758644</c:v>
                </c:pt>
                <c:pt idx="214">
                  <c:v>1.2341844297601301</c:v>
                </c:pt>
                <c:pt idx="215">
                  <c:v>1.232395292235789</c:v>
                </c:pt>
                <c:pt idx="216">
                  <c:v>1.2414532424934084</c:v>
                </c:pt>
                <c:pt idx="217">
                  <c:v>1.225888511863477</c:v>
                </c:pt>
                <c:pt idx="218">
                  <c:v>1.2471548308345746</c:v>
                </c:pt>
                <c:pt idx="219">
                  <c:v>1.2471819020995014</c:v>
                </c:pt>
                <c:pt idx="220">
                  <c:v>1.228431667229563</c:v>
                </c:pt>
                <c:pt idx="221">
                  <c:v>1.2216212849957691</c:v>
                </c:pt>
                <c:pt idx="222">
                  <c:v>1.219574911087814</c:v>
                </c:pt>
                <c:pt idx="223">
                  <c:v>1.2154111605682805</c:v>
                </c:pt>
                <c:pt idx="224">
                  <c:v>1.2111020207333831</c:v>
                </c:pt>
                <c:pt idx="225">
                  <c:v>1.2136271285895175</c:v>
                </c:pt>
                <c:pt idx="226">
                  <c:v>1.2278416205144147</c:v>
                </c:pt>
                <c:pt idx="227">
                  <c:v>1.23816093736392</c:v>
                </c:pt>
                <c:pt idx="228">
                  <c:v>1.2556357950750363</c:v>
                </c:pt>
                <c:pt idx="229">
                  <c:v>1.2627553596503627</c:v>
                </c:pt>
                <c:pt idx="230">
                  <c:v>1.2681349424192414</c:v>
                </c:pt>
                <c:pt idx="231">
                  <c:v>1.2670196775444273</c:v>
                </c:pt>
                <c:pt idx="232">
                  <c:v>1.2488491001980535</c:v>
                </c:pt>
                <c:pt idx="233">
                  <c:v>1.2405156624780811</c:v>
                </c:pt>
                <c:pt idx="234">
                  <c:v>1.2353646419240449</c:v>
                </c:pt>
                <c:pt idx="235">
                  <c:v>1.2253229836404667</c:v>
                </c:pt>
                <c:pt idx="236">
                  <c:v>1.2296141946990307</c:v>
                </c:pt>
                <c:pt idx="237">
                  <c:v>1.2342071078811871</c:v>
                </c:pt>
                <c:pt idx="238">
                  <c:v>1.2255337951794032</c:v>
                </c:pt>
                <c:pt idx="239">
                  <c:v>1.232537594477082</c:v>
                </c:pt>
                <c:pt idx="240">
                  <c:v>1.2458158124564507</c:v>
                </c:pt>
                <c:pt idx="241">
                  <c:v>1.2599804956285547</c:v>
                </c:pt>
                <c:pt idx="242">
                  <c:v>1.2546807612178483</c:v>
                </c:pt>
                <c:pt idx="243">
                  <c:v>1.2617229114741735</c:v>
                </c:pt>
                <c:pt idx="244">
                  <c:v>1.2494911522379297</c:v>
                </c:pt>
                <c:pt idx="245">
                  <c:v>1.256190399805182</c:v>
                </c:pt>
                <c:pt idx="246">
                  <c:v>1.25175468993339</c:v>
                </c:pt>
                <c:pt idx="247">
                  <c:v>1.2582634887772093</c:v>
                </c:pt>
                <c:pt idx="248">
                  <c:v>1.2606230226029034</c:v>
                </c:pt>
                <c:pt idx="249">
                  <c:v>1.2767100030520475</c:v>
                </c:pt>
                <c:pt idx="250">
                  <c:v>1.2880008577316573</c:v>
                </c:pt>
                <c:pt idx="251">
                  <c:v>1.2897126403038059</c:v>
                </c:pt>
                <c:pt idx="252">
                  <c:v>1.2761960052192922</c:v>
                </c:pt>
                <c:pt idx="253">
                  <c:v>1.2910536177866283</c:v>
                </c:pt>
                <c:pt idx="254">
                  <c:v>1.2677611689894623</c:v>
                </c:pt>
                <c:pt idx="255">
                  <c:v>1.2871240099619878</c:v>
                </c:pt>
                <c:pt idx="256">
                  <c:v>1.290748353654493</c:v>
                </c:pt>
                <c:pt idx="257">
                  <c:v>1.2975191975934597</c:v>
                </c:pt>
                <c:pt idx="258">
                  <c:v>1.2835037032124983</c:v>
                </c:pt>
                <c:pt idx="259">
                  <c:v>1.2759590129175646</c:v>
                </c:pt>
                <c:pt idx="260">
                  <c:v>1.2612963609511489</c:v>
                </c:pt>
                <c:pt idx="261">
                  <c:v>1.2713088701314839</c:v>
                </c:pt>
                <c:pt idx="262">
                  <c:v>1.2740156404233116</c:v>
                </c:pt>
                <c:pt idx="263">
                  <c:v>1.266303832560902</c:v>
                </c:pt>
                <c:pt idx="264">
                  <c:v>1.2534677192085288</c:v>
                </c:pt>
                <c:pt idx="265">
                  <c:v>1.2667125136744024</c:v>
                </c:pt>
                <c:pt idx="266">
                  <c:v>1.2587248876171462</c:v>
                </c:pt>
                <c:pt idx="267">
                  <c:v>1.2556835259895125</c:v>
                </c:pt>
                <c:pt idx="268">
                  <c:v>1.2333132218373208</c:v>
                </c:pt>
                <c:pt idx="269">
                  <c:v>1.2290975253598682</c:v>
                </c:pt>
                <c:pt idx="270">
                  <c:v>1.2405616717550947</c:v>
                </c:pt>
                <c:pt idx="271">
                  <c:v>1.2390227059640906</c:v>
                </c:pt>
                <c:pt idx="272">
                  <c:v>1.2398143623627729</c:v>
                </c:pt>
                <c:pt idx="273">
                  <c:v>1.2525537078163944</c:v>
                </c:pt>
                <c:pt idx="274">
                  <c:v>1.2363758367825943</c:v>
                </c:pt>
                <c:pt idx="275">
                  <c:v>1.2539059649929361</c:v>
                </c:pt>
                <c:pt idx="276">
                  <c:v>1.2607048894325832</c:v>
                </c:pt>
                <c:pt idx="277">
                  <c:v>1.2528460299841568</c:v>
                </c:pt>
                <c:pt idx="278">
                  <c:v>1.2482941986338629</c:v>
                </c:pt>
                <c:pt idx="279">
                  <c:v>1.2509462327277463</c:v>
                </c:pt>
                <c:pt idx="280">
                  <c:v>1.2427121750461236</c:v>
                </c:pt>
                <c:pt idx="281">
                  <c:v>1.2402803324470066</c:v>
                </c:pt>
                <c:pt idx="282">
                  <c:v>1.2447001913807825</c:v>
                </c:pt>
                <c:pt idx="283">
                  <c:v>1.2372239510166834</c:v>
                </c:pt>
                <c:pt idx="284">
                  <c:v>1.246526670628016</c:v>
                </c:pt>
                <c:pt idx="285">
                  <c:v>1.2668950666122314</c:v>
                </c:pt>
                <c:pt idx="286">
                  <c:v>1.2666013790078605</c:v>
                </c:pt>
                <c:pt idx="287">
                  <c:v>1.2743974283723123</c:v>
                </c:pt>
                <c:pt idx="288">
                  <c:v>1.2683367895700115</c:v>
                </c:pt>
                <c:pt idx="289">
                  <c:v>1.2673805683766424</c:v>
                </c:pt>
                <c:pt idx="290">
                  <c:v>1.2609282273682296</c:v>
                </c:pt>
                <c:pt idx="291">
                  <c:v>1.2643123135845091</c:v>
                </c:pt>
                <c:pt idx="292">
                  <c:v>1.2578577166373521</c:v>
                </c:pt>
                <c:pt idx="293">
                  <c:v>1.2460263865281511</c:v>
                </c:pt>
                <c:pt idx="294">
                  <c:v>1.2333689079042096</c:v>
                </c:pt>
                <c:pt idx="295">
                  <c:v>1.2082614970207657</c:v>
                </c:pt>
                <c:pt idx="296">
                  <c:v>1.1969682676687943</c:v>
                </c:pt>
                <c:pt idx="297">
                  <c:v>1.2019365571845742</c:v>
                </c:pt>
                <c:pt idx="298">
                  <c:v>1.1811902320939462</c:v>
                </c:pt>
                <c:pt idx="299">
                  <c:v>1.1770996808499712</c:v>
                </c:pt>
                <c:pt idx="300">
                  <c:v>1.1741908259401372</c:v>
                </c:pt>
                <c:pt idx="301">
                  <c:v>1.1801843208814025</c:v>
                </c:pt>
                <c:pt idx="302">
                  <c:v>1.1873165899538656</c:v>
                </c:pt>
                <c:pt idx="303">
                  <c:v>1.1847385862708673</c:v>
                </c:pt>
                <c:pt idx="304">
                  <c:v>1.1792053028333582</c:v>
                </c:pt>
                <c:pt idx="305">
                  <c:v>1.1702011389047382</c:v>
                </c:pt>
                <c:pt idx="306">
                  <c:v>1.1443726587585723</c:v>
                </c:pt>
                <c:pt idx="307">
                  <c:v>1.1371702774846211</c:v>
                </c:pt>
                <c:pt idx="308">
                  <c:v>1.1433365892070309</c:v>
                </c:pt>
                <c:pt idx="309">
                  <c:v>1.1287471365161739</c:v>
                </c:pt>
                <c:pt idx="310">
                  <c:v>1.1286033501046548</c:v>
                </c:pt>
                <c:pt idx="311">
                  <c:v>1.1309578971183887</c:v>
                </c:pt>
                <c:pt idx="312">
                  <c:v>1.1415764226855063</c:v>
                </c:pt>
                <c:pt idx="313">
                  <c:v>1.1506956394900651</c:v>
                </c:pt>
                <c:pt idx="314">
                  <c:v>1.1522622108472778</c:v>
                </c:pt>
                <c:pt idx="315">
                  <c:v>1.1587745123328312</c:v>
                </c:pt>
                <c:pt idx="316">
                  <c:v>1.1727554552309252</c:v>
                </c:pt>
                <c:pt idx="317">
                  <c:v>1.1687926019932169</c:v>
                </c:pt>
                <c:pt idx="318">
                  <c:v>1.149944471255155</c:v>
                </c:pt>
                <c:pt idx="319">
                  <c:v>1.1538254576631835</c:v>
                </c:pt>
                <c:pt idx="320">
                  <c:v>1.1767966132897707</c:v>
                </c:pt>
                <c:pt idx="321">
                  <c:v>1.1740109445087157</c:v>
                </c:pt>
                <c:pt idx="322">
                  <c:v>1.1702593183776071</c:v>
                </c:pt>
                <c:pt idx="323">
                  <c:v>1.1551793177435696</c:v>
                </c:pt>
                <c:pt idx="324">
                  <c:v>1.1591725667875117</c:v>
                </c:pt>
                <c:pt idx="325">
                  <c:v>1.1601283130464084</c:v>
                </c:pt>
                <c:pt idx="326">
                  <c:v>1.1605464334825479</c:v>
                </c:pt>
                <c:pt idx="327">
                  <c:v>1.1725036212269351</c:v>
                </c:pt>
                <c:pt idx="328">
                  <c:v>1.1697450830776157</c:v>
                </c:pt>
                <c:pt idx="329">
                  <c:v>1.1678740787235946</c:v>
                </c:pt>
                <c:pt idx="330">
                  <c:v>1.1602135637842041</c:v>
                </c:pt>
                <c:pt idx="331">
                  <c:v>1.1757713484974766</c:v>
                </c:pt>
                <c:pt idx="332">
                  <c:v>1.1709457767906528</c:v>
                </c:pt>
                <c:pt idx="333">
                  <c:v>1.1719623740288256</c:v>
                </c:pt>
                <c:pt idx="334">
                  <c:v>1.167686954541469</c:v>
                </c:pt>
                <c:pt idx="335">
                  <c:v>1.175945174514375</c:v>
                </c:pt>
                <c:pt idx="336">
                  <c:v>1.1739569800792891</c:v>
                </c:pt>
                <c:pt idx="337">
                  <c:v>1.1725468996307324</c:v>
                </c:pt>
                <c:pt idx="338">
                  <c:v>1.1626883285862644</c:v>
                </c:pt>
                <c:pt idx="339">
                  <c:v>1.1623238163786971</c:v>
                </c:pt>
                <c:pt idx="340">
                  <c:v>1.1738268480338514</c:v>
                </c:pt>
                <c:pt idx="341">
                  <c:v>1.1803651521817689</c:v>
                </c:pt>
                <c:pt idx="342">
                  <c:v>1.1788792603180553</c:v>
                </c:pt>
                <c:pt idx="343">
                  <c:v>1.1889639001713861</c:v>
                </c:pt>
                <c:pt idx="344">
                  <c:v>1.1887727984130541</c:v>
                </c:pt>
                <c:pt idx="345">
                  <c:v>1.2043560514874088</c:v>
                </c:pt>
                <c:pt idx="346">
                  <c:v>1.2037721789204014</c:v>
                </c:pt>
                <c:pt idx="347">
                  <c:v>1.2132761520144137</c:v>
                </c:pt>
                <c:pt idx="348">
                  <c:v>1.2204142984009727</c:v>
                </c:pt>
                <c:pt idx="349">
                  <c:v>1.2307380677611572</c:v>
                </c:pt>
                <c:pt idx="350">
                  <c:v>1.2196863425884013</c:v>
                </c:pt>
                <c:pt idx="351">
                  <c:v>1.1999846358698179</c:v>
                </c:pt>
                <c:pt idx="352">
                  <c:v>1.204826236615085</c:v>
                </c:pt>
                <c:pt idx="353">
                  <c:v>1.2124632422980917</c:v>
                </c:pt>
                <c:pt idx="354">
                  <c:v>1.2126414614588596</c:v>
                </c:pt>
                <c:pt idx="355">
                  <c:v>1.1920046681309293</c:v>
                </c:pt>
                <c:pt idx="356">
                  <c:v>1.2120477933683593</c:v>
                </c:pt>
                <c:pt idx="357">
                  <c:v>1.2515940433481003</c:v>
                </c:pt>
                <c:pt idx="358">
                  <c:v>1.2528206803566924</c:v>
                </c:pt>
                <c:pt idx="359">
                  <c:v>1.2558905380526701</c:v>
                </c:pt>
                <c:pt idx="360">
                  <c:v>1.2473435579205445</c:v>
                </c:pt>
                <c:pt idx="361">
                  <c:v>1.2452508779015306</c:v>
                </c:pt>
                <c:pt idx="362">
                  <c:v>1.250378686033228</c:v>
                </c:pt>
                <c:pt idx="363">
                  <c:v>1.2325698306543962</c:v>
                </c:pt>
                <c:pt idx="364">
                  <c:v>1.2388226991844009</c:v>
                </c:pt>
                <c:pt idx="365">
                  <c:v>1.2690153521974536</c:v>
                </c:pt>
                <c:pt idx="366">
                  <c:v>1.2561936649796797</c:v>
                </c:pt>
                <c:pt idx="367">
                  <c:v>1.2549581823165392</c:v>
                </c:pt>
                <c:pt idx="368">
                  <c:v>1.2635480252847988</c:v>
                </c:pt>
                <c:pt idx="369">
                  <c:v>1.2648204341031686</c:v>
                </c:pt>
                <c:pt idx="370">
                  <c:v>1.2793211334144958</c:v>
                </c:pt>
                <c:pt idx="371">
                  <c:v>1.2682884056206356</c:v>
                </c:pt>
                <c:pt idx="372">
                  <c:v>1.2968906218192378</c:v>
                </c:pt>
                <c:pt idx="373">
                  <c:v>1.2825861891786301</c:v>
                </c:pt>
                <c:pt idx="374">
                  <c:v>1.23416881628935</c:v>
                </c:pt>
                <c:pt idx="375">
                  <c:v>1.2434794910530955</c:v>
                </c:pt>
                <c:pt idx="376">
                  <c:v>1.2403774565466124</c:v>
                </c:pt>
                <c:pt idx="377">
                  <c:v>1.2343372992934341</c:v>
                </c:pt>
                <c:pt idx="378">
                  <c:v>1.2521573156323673</c:v>
                </c:pt>
                <c:pt idx="379">
                  <c:v>1.2516992413337371</c:v>
                </c:pt>
                <c:pt idx="380">
                  <c:v>1.2672573228810546</c:v>
                </c:pt>
                <c:pt idx="381">
                  <c:v>1.2570586987543477</c:v>
                </c:pt>
                <c:pt idx="382">
                  <c:v>1.2403941979867645</c:v>
                </c:pt>
                <c:pt idx="383">
                  <c:v>1.2361538642835561</c:v>
                </c:pt>
                <c:pt idx="384">
                  <c:v>1.2670265640942773</c:v>
                </c:pt>
                <c:pt idx="385">
                  <c:v>1.2815014388436676</c:v>
                </c:pt>
                <c:pt idx="386">
                  <c:v>1.2745874021612724</c:v>
                </c:pt>
                <c:pt idx="387">
                  <c:v>1.2911340598128913</c:v>
                </c:pt>
                <c:pt idx="388">
                  <c:v>1.2964346253589245</c:v>
                </c:pt>
                <c:pt idx="389">
                  <c:v>1.334074013431978</c:v>
                </c:pt>
                <c:pt idx="390">
                  <c:v>1.3371959358194925</c:v>
                </c:pt>
                <c:pt idx="391">
                  <c:v>1.3308060486942004</c:v>
                </c:pt>
                <c:pt idx="392">
                  <c:v>1.3385782919682228</c:v>
                </c:pt>
                <c:pt idx="393">
                  <c:v>1.3196818366475942</c:v>
                </c:pt>
                <c:pt idx="394">
                  <c:v>1.3274255244864637</c:v>
                </c:pt>
                <c:pt idx="395">
                  <c:v>1.336969688910203</c:v>
                </c:pt>
                <c:pt idx="396">
                  <c:v>1.3411851479204193</c:v>
                </c:pt>
                <c:pt idx="397">
                  <c:v>1.3444703290328215</c:v>
                </c:pt>
                <c:pt idx="398">
                  <c:v>1.3266489472572802</c:v>
                </c:pt>
                <c:pt idx="399">
                  <c:v>1.2962059444104634</c:v>
                </c:pt>
                <c:pt idx="400">
                  <c:v>1.3012478487694656</c:v>
                </c:pt>
                <c:pt idx="401">
                  <c:v>1.2988484798148989</c:v>
                </c:pt>
                <c:pt idx="402">
                  <c:v>1.3091614444158362</c:v>
                </c:pt>
                <c:pt idx="403">
                  <c:v>1.2932905591516339</c:v>
                </c:pt>
                <c:pt idx="404">
                  <c:v>1.2869458501680286</c:v>
                </c:pt>
                <c:pt idx="405">
                  <c:v>1.27204092225388</c:v>
                </c:pt>
                <c:pt idx="406">
                  <c:v>1.2909280569854875</c:v>
                </c:pt>
                <c:pt idx="407">
                  <c:v>1.2993066134803384</c:v>
                </c:pt>
                <c:pt idx="408">
                  <c:v>1.2861458230492704</c:v>
                </c:pt>
                <c:pt idx="409">
                  <c:v>1.2875414179964189</c:v>
                </c:pt>
                <c:pt idx="410">
                  <c:v>1.2888468941274294</c:v>
                </c:pt>
                <c:pt idx="411">
                  <c:v>1.2788992728693862</c:v>
                </c:pt>
                <c:pt idx="412">
                  <c:v>1.2784413766711831</c:v>
                </c:pt>
                <c:pt idx="413">
                  <c:v>1.2636986982461678</c:v>
                </c:pt>
                <c:pt idx="414">
                  <c:v>1.2706360660845197</c:v>
                </c:pt>
                <c:pt idx="415">
                  <c:v>1.2618999432987605</c:v>
                </c:pt>
                <c:pt idx="416">
                  <c:v>1.2520110358148679</c:v>
                </c:pt>
                <c:pt idx="417">
                  <c:v>1.245323958443471</c:v>
                </c:pt>
                <c:pt idx="418">
                  <c:v>1.2297438518099961</c:v>
                </c:pt>
                <c:pt idx="419">
                  <c:v>1.237865587488896</c:v>
                </c:pt>
                <c:pt idx="420">
                  <c:v>1.2386453111589593</c:v>
                </c:pt>
                <c:pt idx="421">
                  <c:v>1.2409823449640234</c:v>
                </c:pt>
                <c:pt idx="422">
                  <c:v>1.2454073688101863</c:v>
                </c:pt>
                <c:pt idx="423">
                  <c:v>1.2558659008269144</c:v>
                </c:pt>
                <c:pt idx="424">
                  <c:v>1.2450347233497792</c:v>
                </c:pt>
                <c:pt idx="425">
                  <c:v>1.2254646328468599</c:v>
                </c:pt>
                <c:pt idx="426">
                  <c:v>1.2310816234851298</c:v>
                </c:pt>
                <c:pt idx="427">
                  <c:v>1.2347300107352999</c:v>
                </c:pt>
                <c:pt idx="428">
                  <c:v>1.2317331148476447</c:v>
                </c:pt>
                <c:pt idx="429">
                  <c:v>1.2184508005584518</c:v>
                </c:pt>
                <c:pt idx="430">
                  <c:v>1.226795636705762</c:v>
                </c:pt>
                <c:pt idx="431">
                  <c:v>1.2513162066817463</c:v>
                </c:pt>
                <c:pt idx="432">
                  <c:v>1.2480351812459776</c:v>
                </c:pt>
                <c:pt idx="433">
                  <c:v>1.2634582033027062</c:v>
                </c:pt>
                <c:pt idx="434">
                  <c:v>1.2440707251044247</c:v>
                </c:pt>
                <c:pt idx="435">
                  <c:v>1.2563784144894434</c:v>
                </c:pt>
                <c:pt idx="436">
                  <c:v>1.2599342488843046</c:v>
                </c:pt>
                <c:pt idx="437">
                  <c:v>1.243130532949499</c:v>
                </c:pt>
                <c:pt idx="438">
                  <c:v>1.2275162310340113</c:v>
                </c:pt>
                <c:pt idx="439">
                  <c:v>1.2063896615314178</c:v>
                </c:pt>
                <c:pt idx="440">
                  <c:v>1.2136281378252716</c:v>
                </c:pt>
                <c:pt idx="441">
                  <c:v>1.2088708379488553</c:v>
                </c:pt>
                <c:pt idx="442">
                  <c:v>1.2290452232010951</c:v>
                </c:pt>
                <c:pt idx="443">
                  <c:v>1.2106831878955351</c:v>
                </c:pt>
                <c:pt idx="444">
                  <c:v>1.2222014174538063</c:v>
                </c:pt>
                <c:pt idx="445">
                  <c:v>1.2152695707286962</c:v>
                </c:pt>
                <c:pt idx="446">
                  <c:v>1.2284383756789856</c:v>
                </c:pt>
                <c:pt idx="447">
                  <c:v>1.2369405932370876</c:v>
                </c:pt>
                <c:pt idx="448">
                  <c:v>1.2335115663463569</c:v>
                </c:pt>
                <c:pt idx="449">
                  <c:v>1.2276494501535196</c:v>
                </c:pt>
                <c:pt idx="450">
                  <c:v>1.224808688973666</c:v>
                </c:pt>
                <c:pt idx="451">
                  <c:v>1.2097258980996031</c:v>
                </c:pt>
                <c:pt idx="452">
                  <c:v>1.2122384201922192</c:v>
                </c:pt>
                <c:pt idx="453">
                  <c:v>1.1920940151785495</c:v>
                </c:pt>
                <c:pt idx="454">
                  <c:v>1.1961059647673424</c:v>
                </c:pt>
                <c:pt idx="455">
                  <c:v>1.2041076607583434</c:v>
                </c:pt>
                <c:pt idx="456">
                  <c:v>1.1881107397585278</c:v>
                </c:pt>
                <c:pt idx="457">
                  <c:v>1.1934732248864002</c:v>
                </c:pt>
                <c:pt idx="458">
                  <c:v>1.1918540545363694</c:v>
                </c:pt>
                <c:pt idx="459">
                  <c:v>1.1817544542471579</c:v>
                </c:pt>
                <c:pt idx="460">
                  <c:v>1.2035808396948333</c:v>
                </c:pt>
                <c:pt idx="461">
                  <c:v>1.2081247752595234</c:v>
                </c:pt>
                <c:pt idx="462">
                  <c:v>1.2069891475692052</c:v>
                </c:pt>
                <c:pt idx="463">
                  <c:v>1.2069683098192285</c:v>
                </c:pt>
                <c:pt idx="464">
                  <c:v>1.2231758642575536</c:v>
                </c:pt>
                <c:pt idx="465">
                  <c:v>1.2074136796207222</c:v>
                </c:pt>
                <c:pt idx="466">
                  <c:v>1.2125849442566441</c:v>
                </c:pt>
                <c:pt idx="467">
                  <c:v>1.2217169842919577</c:v>
                </c:pt>
                <c:pt idx="468">
                  <c:v>1.2331488945098703</c:v>
                </c:pt>
                <c:pt idx="469">
                  <c:v>1.2290749659724292</c:v>
                </c:pt>
                <c:pt idx="470">
                  <c:v>1.2687172120824044</c:v>
                </c:pt>
                <c:pt idx="471">
                  <c:v>1.2721243919874043</c:v>
                </c:pt>
                <c:pt idx="472">
                  <c:v>1.3041713079143258</c:v>
                </c:pt>
                <c:pt idx="473">
                  <c:v>1.2997168381308741</c:v>
                </c:pt>
                <c:pt idx="474">
                  <c:v>1.3280919169180503</c:v>
                </c:pt>
                <c:pt idx="475">
                  <c:v>1.3232160615239614</c:v>
                </c:pt>
                <c:pt idx="476">
                  <c:v>1.3270513354890214</c:v>
                </c:pt>
                <c:pt idx="477">
                  <c:v>1.3096583446075851</c:v>
                </c:pt>
                <c:pt idx="478">
                  <c:v>1.3083797022742651</c:v>
                </c:pt>
                <c:pt idx="479">
                  <c:v>1.2841462301868469</c:v>
                </c:pt>
                <c:pt idx="480">
                  <c:v>1.2796166020231377</c:v>
                </c:pt>
                <c:pt idx="481">
                  <c:v>1.2838114013838047</c:v>
                </c:pt>
                <c:pt idx="482">
                  <c:v>1.2871723345445547</c:v>
                </c:pt>
                <c:pt idx="483">
                  <c:v>1.2941145110944396</c:v>
                </c:pt>
                <c:pt idx="484">
                  <c:v>1.3020300064787</c:v>
                </c:pt>
                <c:pt idx="485">
                  <c:v>1.3165193073626895</c:v>
                </c:pt>
                <c:pt idx="486">
                  <c:v>1.3242203104658519</c:v>
                </c:pt>
                <c:pt idx="487">
                  <c:v>1.3320537015531959</c:v>
                </c:pt>
                <c:pt idx="488">
                  <c:v>1.3317728371795803</c:v>
                </c:pt>
                <c:pt idx="489">
                  <c:v>1.352966253709164</c:v>
                </c:pt>
                <c:pt idx="490">
                  <c:v>1.3428822668907328</c:v>
                </c:pt>
                <c:pt idx="491">
                  <c:v>1.3236106133369079</c:v>
                </c:pt>
                <c:pt idx="492">
                  <c:v>1.2956387539167995</c:v>
                </c:pt>
                <c:pt idx="493">
                  <c:v>1.3513813380079551</c:v>
                </c:pt>
                <c:pt idx="494">
                  <c:v>1.366567367762956</c:v>
                </c:pt>
                <c:pt idx="495">
                  <c:v>1.3032246447772138</c:v>
                </c:pt>
                <c:pt idx="496">
                  <c:v>1.2843797198468407</c:v>
                </c:pt>
                <c:pt idx="497">
                  <c:v>1.2479491587396641</c:v>
                </c:pt>
                <c:pt idx="498">
                  <c:v>1.1724293533488135</c:v>
                </c:pt>
                <c:pt idx="499">
                  <c:v>1.1747327261731459</c:v>
                </c:pt>
                <c:pt idx="500">
                  <c:v>1.1817082075029079</c:v>
                </c:pt>
                <c:pt idx="501">
                  <c:v>1.1908384071671412</c:v>
                </c:pt>
                <c:pt idx="502">
                  <c:v>1.2150935481398626</c:v>
                </c:pt>
                <c:pt idx="503">
                  <c:v>1.2329855170513646</c:v>
                </c:pt>
                <c:pt idx="504">
                  <c:v>1.2467138541769509</c:v>
                </c:pt>
                <c:pt idx="505">
                  <c:v>1.2170557399125848</c:v>
                </c:pt>
                <c:pt idx="506">
                  <c:v>1.2100940316825224</c:v>
                </c:pt>
                <c:pt idx="507">
                  <c:v>1.2066715945075965</c:v>
                </c:pt>
                <c:pt idx="508">
                  <c:v>1.1931759159066775</c:v>
                </c:pt>
                <c:pt idx="509">
                  <c:v>1.187276873558611</c:v>
                </c:pt>
                <c:pt idx="510">
                  <c:v>1.2121268105912049</c:v>
                </c:pt>
                <c:pt idx="511">
                  <c:v>1.1940494391350398</c:v>
                </c:pt>
                <c:pt idx="512">
                  <c:v>1.1978835851307277</c:v>
                </c:pt>
                <c:pt idx="513">
                  <c:v>1.1974346533206912</c:v>
                </c:pt>
                <c:pt idx="514">
                  <c:v>1.2089627377692649</c:v>
                </c:pt>
                <c:pt idx="515">
                  <c:v>1.2035892104149093</c:v>
                </c:pt>
                <c:pt idx="516">
                  <c:v>1.2060606506756626</c:v>
                </c:pt>
                <c:pt idx="517">
                  <c:v>1.2048116917468679</c:v>
                </c:pt>
                <c:pt idx="518">
                  <c:v>1.1895107872163551</c:v>
                </c:pt>
                <c:pt idx="519">
                  <c:v>1.1732592419725238</c:v>
                </c:pt>
                <c:pt idx="520">
                  <c:v>1.1825864207091852</c:v>
                </c:pt>
                <c:pt idx="521">
                  <c:v>1.1790181192844233</c:v>
                </c:pt>
                <c:pt idx="522">
                  <c:v>1.1788488051450128</c:v>
                </c:pt>
                <c:pt idx="523">
                  <c:v>1.1372384899482197</c:v>
                </c:pt>
                <c:pt idx="524">
                  <c:v>1.12644322939056</c:v>
                </c:pt>
                <c:pt idx="525">
                  <c:v>1.1360738318882759</c:v>
                </c:pt>
                <c:pt idx="526">
                  <c:v>1.1171659781403098</c:v>
                </c:pt>
                <c:pt idx="527">
                  <c:v>1.1369650464257353</c:v>
                </c:pt>
                <c:pt idx="528">
                  <c:v>1.1338301820738477</c:v>
                </c:pt>
                <c:pt idx="529">
                  <c:v>1.131440193075111</c:v>
                </c:pt>
                <c:pt idx="530">
                  <c:v>1.1177619021695542</c:v>
                </c:pt>
                <c:pt idx="531">
                  <c:v>1.1101673437550184</c:v>
                </c:pt>
                <c:pt idx="532">
                  <c:v>1.1113268369025746</c:v>
                </c:pt>
                <c:pt idx="533">
                  <c:v>1.1273375310020897</c:v>
                </c:pt>
                <c:pt idx="534">
                  <c:v>1.1330413752819997</c:v>
                </c:pt>
                <c:pt idx="535">
                  <c:v>1.1265244431853403</c:v>
                </c:pt>
                <c:pt idx="536">
                  <c:v>1.1221541555371215</c:v>
                </c:pt>
                <c:pt idx="537">
                  <c:v>1.1029382474169946</c:v>
                </c:pt>
                <c:pt idx="538">
                  <c:v>1.0890893363022278</c:v>
                </c:pt>
                <c:pt idx="539">
                  <c:v>1.1037803062365603</c:v>
                </c:pt>
                <c:pt idx="540">
                  <c:v>1.1225669329604464</c:v>
                </c:pt>
                <c:pt idx="541">
                  <c:v>1.1023406611170969</c:v>
                </c:pt>
                <c:pt idx="542">
                  <c:v>1.1036224498912963</c:v>
                </c:pt>
                <c:pt idx="543">
                  <c:v>1.1202777488034767</c:v>
                </c:pt>
                <c:pt idx="544">
                  <c:v>1.1065105264179629</c:v>
                </c:pt>
                <c:pt idx="545">
                  <c:v>1.0941493475379902</c:v>
                </c:pt>
                <c:pt idx="546">
                  <c:v>1.1035623706805378</c:v>
                </c:pt>
                <c:pt idx="547">
                  <c:v>1.0905329589978978</c:v>
                </c:pt>
                <c:pt idx="548">
                  <c:v>1.1018194205336376</c:v>
                </c:pt>
                <c:pt idx="549">
                  <c:v>1.1029620535074238</c:v>
                </c:pt>
                <c:pt idx="550">
                  <c:v>1.1290074599738584</c:v>
                </c:pt>
                <c:pt idx="551">
                  <c:v>1.1305509376423506</c:v>
                </c:pt>
                <c:pt idx="552">
                  <c:v>1.1360976973455141</c:v>
                </c:pt>
                <c:pt idx="553">
                  <c:v>1.14901549942714</c:v>
                </c:pt>
                <c:pt idx="554">
                  <c:v>1.1493721752159125</c:v>
                </c:pt>
                <c:pt idx="555">
                  <c:v>1.1422679272773213</c:v>
                </c:pt>
                <c:pt idx="556">
                  <c:v>1.1428547681847807</c:v>
                </c:pt>
                <c:pt idx="557">
                  <c:v>1.1372270321540729</c:v>
                </c:pt>
                <c:pt idx="558">
                  <c:v>1.1442208578278315</c:v>
                </c:pt>
                <c:pt idx="559">
                  <c:v>1.197430675744485</c:v>
                </c:pt>
                <c:pt idx="560">
                  <c:v>1.195184888724931</c:v>
                </c:pt>
                <c:pt idx="561">
                  <c:v>1.1923038768485414</c:v>
                </c:pt>
                <c:pt idx="562">
                  <c:v>1.1458694147483419</c:v>
                </c:pt>
                <c:pt idx="563">
                  <c:v>1.1449314785321603</c:v>
                </c:pt>
                <c:pt idx="564">
                  <c:v>1.1313176006144228</c:v>
                </c:pt>
                <c:pt idx="565">
                  <c:v>1.1219391289547422</c:v>
                </c:pt>
                <c:pt idx="566">
                  <c:v>1.1221868072820991</c:v>
                </c:pt>
                <c:pt idx="567">
                  <c:v>1.0804963468930886</c:v>
                </c:pt>
                <c:pt idx="568">
                  <c:v>1.1007580013546319</c:v>
                </c:pt>
                <c:pt idx="569">
                  <c:v>1.1019328705057323</c:v>
                </c:pt>
                <c:pt idx="570">
                  <c:v>1.1023157864241049</c:v>
                </c:pt>
                <c:pt idx="571">
                  <c:v>1.0961572517536806</c:v>
                </c:pt>
                <c:pt idx="572">
                  <c:v>1.1001781657306402</c:v>
                </c:pt>
                <c:pt idx="573">
                  <c:v>1.1009080806479103</c:v>
                </c:pt>
                <c:pt idx="574">
                  <c:v>1.0849378153453584</c:v>
                </c:pt>
                <c:pt idx="575">
                  <c:v>1.0721468207678633</c:v>
                </c:pt>
                <c:pt idx="576">
                  <c:v>1.0892344287835463</c:v>
                </c:pt>
                <c:pt idx="577">
                  <c:v>1.0801364059298182</c:v>
                </c:pt>
                <c:pt idx="578">
                  <c:v>1.0817247055391428</c:v>
                </c:pt>
                <c:pt idx="579">
                  <c:v>1.0799413265952797</c:v>
                </c:pt>
                <c:pt idx="580">
                  <c:v>1.0303150080065047</c:v>
                </c:pt>
                <c:pt idx="581">
                  <c:v>1.0316609129344783</c:v>
                </c:pt>
                <c:pt idx="582">
                  <c:v>1.0294731866541751</c:v>
                </c:pt>
                <c:pt idx="583">
                  <c:v>1.0366049807921658</c:v>
                </c:pt>
                <c:pt idx="584">
                  <c:v>1.0262745623493679</c:v>
                </c:pt>
                <c:pt idx="585">
                  <c:v>1.0161912285658363</c:v>
                </c:pt>
                <c:pt idx="586">
                  <c:v>1.023152283760999</c:v>
                </c:pt>
                <c:pt idx="587">
                  <c:v>1.017433063477545</c:v>
                </c:pt>
                <c:pt idx="588">
                  <c:v>1.033686745926502</c:v>
                </c:pt>
                <c:pt idx="589">
                  <c:v>1.001849572935954</c:v>
                </c:pt>
                <c:pt idx="590">
                  <c:v>1.0046595821087196</c:v>
                </c:pt>
                <c:pt idx="591">
                  <c:v>0.99899284208446604</c:v>
                </c:pt>
                <c:pt idx="592">
                  <c:v>0.97640133720175371</c:v>
                </c:pt>
                <c:pt idx="593">
                  <c:v>0.97557554488786768</c:v>
                </c:pt>
                <c:pt idx="594">
                  <c:v>0.99682725962393859</c:v>
                </c:pt>
                <c:pt idx="595">
                  <c:v>0.99953515788513825</c:v>
                </c:pt>
                <c:pt idx="596">
                  <c:v>0.97489009571057583</c:v>
                </c:pt>
                <c:pt idx="597">
                  <c:v>0.98969938369534527</c:v>
                </c:pt>
                <c:pt idx="598">
                  <c:v>0.98508682009939308</c:v>
                </c:pt>
                <c:pt idx="599">
                  <c:v>0.99132193795349188</c:v>
                </c:pt>
                <c:pt idx="600">
                  <c:v>0.97787517760323006</c:v>
                </c:pt>
                <c:pt idx="601">
                  <c:v>0.97417650666579436</c:v>
                </c:pt>
                <c:pt idx="602">
                  <c:v>0.97185734227025444</c:v>
                </c:pt>
                <c:pt idx="603">
                  <c:v>0.98292747115381585</c:v>
                </c:pt>
                <c:pt idx="604">
                  <c:v>0.99990744714469104</c:v>
                </c:pt>
                <c:pt idx="605">
                  <c:v>1.021236398099336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A6-4134-B0AA-4ADD19ECFA0A}"/>
            </c:ext>
          </c:extLst>
        </c:ser>
        <c:ser>
          <c:idx val="1"/>
          <c:order val="1"/>
          <c:tx>
            <c:strRef>
              <c:f>回撤结果!$AD$2</c:f>
              <c:strCache>
                <c:ptCount val="1"/>
                <c:pt idx="0">
                  <c:v>全指材料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回撤结果!$AB$3:$AB$608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回撤结果!$AD$3:$AD$608</c:f>
              <c:numCache>
                <c:formatCode>General</c:formatCode>
                <c:ptCount val="606"/>
                <c:pt idx="0">
                  <c:v>1</c:v>
                </c:pt>
                <c:pt idx="1">
                  <c:v>1.0353399358784086</c:v>
                </c:pt>
                <c:pt idx="2">
                  <c:v>1.0155847443181227</c:v>
                </c:pt>
                <c:pt idx="3">
                  <c:v>1.0461877394628507</c:v>
                </c:pt>
                <c:pt idx="4">
                  <c:v>1.0495220669263479</c:v>
                </c:pt>
                <c:pt idx="5">
                  <c:v>1.077561319402655</c:v>
                </c:pt>
                <c:pt idx="6">
                  <c:v>1.0687144493781644</c:v>
                </c:pt>
                <c:pt idx="7">
                  <c:v>1.0773593054640067</c:v>
                </c:pt>
                <c:pt idx="8">
                  <c:v>1.1151762834224987</c:v>
                </c:pt>
                <c:pt idx="9">
                  <c:v>1.1276576405422614</c:v>
                </c:pt>
                <c:pt idx="10">
                  <c:v>1.127168401508073</c:v>
                </c:pt>
                <c:pt idx="11">
                  <c:v>1.1288447957952255</c:v>
                </c:pt>
                <c:pt idx="12">
                  <c:v>1.1616177749689367</c:v>
                </c:pt>
                <c:pt idx="13">
                  <c:v>1.1640698102789662</c:v>
                </c:pt>
                <c:pt idx="14">
                  <c:v>1.1710312952672022</c:v>
                </c:pt>
                <c:pt idx="15">
                  <c:v>1.0820632043369423</c:v>
                </c:pt>
                <c:pt idx="16">
                  <c:v>1.0932970842302094</c:v>
                </c:pt>
                <c:pt idx="17">
                  <c:v>1.0439878100227056</c:v>
                </c:pt>
                <c:pt idx="18">
                  <c:v>1.0733404274691767</c:v>
                </c:pt>
                <c:pt idx="19">
                  <c:v>1.1348839699587949</c:v>
                </c:pt>
                <c:pt idx="20">
                  <c:v>1.1411834026696333</c:v>
                </c:pt>
                <c:pt idx="21">
                  <c:v>1.1180546096903743</c:v>
                </c:pt>
                <c:pt idx="22">
                  <c:v>1.1520451206794191</c:v>
                </c:pt>
                <c:pt idx="23">
                  <c:v>1.1568474788099961</c:v>
                </c:pt>
                <c:pt idx="24">
                  <c:v>1.1067678941763661</c:v>
                </c:pt>
                <c:pt idx="25">
                  <c:v>1.0858783437882928</c:v>
                </c:pt>
                <c:pt idx="26">
                  <c:v>1.08598397583421</c:v>
                </c:pt>
                <c:pt idx="27">
                  <c:v>1.1201690144091125</c:v>
                </c:pt>
                <c:pt idx="28">
                  <c:v>1.1075117084009931</c:v>
                </c:pt>
                <c:pt idx="29">
                  <c:v>1.0961306099680357</c:v>
                </c:pt>
                <c:pt idx="30">
                  <c:v>1.1296494807312842</c:v>
                </c:pt>
                <c:pt idx="31">
                  <c:v>1.1666508773868287</c:v>
                </c:pt>
                <c:pt idx="32">
                  <c:v>1.1931921929804585</c:v>
                </c:pt>
                <c:pt idx="33">
                  <c:v>1.187681453415425</c:v>
                </c:pt>
                <c:pt idx="34">
                  <c:v>1.1952566233546535</c:v>
                </c:pt>
                <c:pt idx="35">
                  <c:v>1.1723256503886572</c:v>
                </c:pt>
                <c:pt idx="36">
                  <c:v>1.1753555459038656</c:v>
                </c:pt>
                <c:pt idx="37">
                  <c:v>1.170538450241094</c:v>
                </c:pt>
                <c:pt idx="38">
                  <c:v>1.1530298700380914</c:v>
                </c:pt>
                <c:pt idx="39">
                  <c:v>1.1927126352506641</c:v>
                </c:pt>
                <c:pt idx="40">
                  <c:v>1.1945515343476023</c:v>
                </c:pt>
                <c:pt idx="41">
                  <c:v>1.1986072953684836</c:v>
                </c:pt>
                <c:pt idx="42">
                  <c:v>1.2233690539495978</c:v>
                </c:pt>
                <c:pt idx="43">
                  <c:v>1.2285737937437686</c:v>
                </c:pt>
                <c:pt idx="44">
                  <c:v>1.2135526032498376</c:v>
                </c:pt>
                <c:pt idx="45">
                  <c:v>1.2057350871362471</c:v>
                </c:pt>
                <c:pt idx="46">
                  <c:v>1.2334478405615377</c:v>
                </c:pt>
                <c:pt idx="47">
                  <c:v>1.2267389317899584</c:v>
                </c:pt>
                <c:pt idx="48">
                  <c:v>1.2544371436608759</c:v>
                </c:pt>
                <c:pt idx="49">
                  <c:v>1.2607585258877492</c:v>
                </c:pt>
                <c:pt idx="50">
                  <c:v>1.2566502036150775</c:v>
                </c:pt>
                <c:pt idx="51">
                  <c:v>1.2414416191279998</c:v>
                </c:pt>
                <c:pt idx="52">
                  <c:v>1.2460318508643269</c:v>
                </c:pt>
                <c:pt idx="53">
                  <c:v>1.2008486937157086</c:v>
                </c:pt>
                <c:pt idx="54">
                  <c:v>1.2009778431002345</c:v>
                </c:pt>
                <c:pt idx="55">
                  <c:v>1.1954214798983001</c:v>
                </c:pt>
                <c:pt idx="56">
                  <c:v>1.1888209860577066</c:v>
                </c:pt>
                <c:pt idx="57">
                  <c:v>1.1975886810422149</c:v>
                </c:pt>
                <c:pt idx="58">
                  <c:v>1.194002561273348</c:v>
                </c:pt>
                <c:pt idx="59">
                  <c:v>1.1857984201130314</c:v>
                </c:pt>
                <c:pt idx="60">
                  <c:v>1.188971614611495</c:v>
                </c:pt>
                <c:pt idx="61">
                  <c:v>1.2221654757551721</c:v>
                </c:pt>
                <c:pt idx="62">
                  <c:v>1.2195493678127829</c:v>
                </c:pt>
                <c:pt idx="63">
                  <c:v>1.2273756245372229</c:v>
                </c:pt>
                <c:pt idx="64">
                  <c:v>1.1783709390602652</c:v>
                </c:pt>
                <c:pt idx="65">
                  <c:v>1.1254790334891214</c:v>
                </c:pt>
                <c:pt idx="66">
                  <c:v>1.1192216184232637</c:v>
                </c:pt>
                <c:pt idx="67">
                  <c:v>1.1130097877987424</c:v>
                </c:pt>
                <c:pt idx="68">
                  <c:v>1.1195464320650133</c:v>
                </c:pt>
                <c:pt idx="69">
                  <c:v>1.1211798680136404</c:v>
                </c:pt>
                <c:pt idx="70">
                  <c:v>1.1437760324689785</c:v>
                </c:pt>
                <c:pt idx="71">
                  <c:v>1.1409740983560166</c:v>
                </c:pt>
                <c:pt idx="72">
                  <c:v>1.1071550287654288</c:v>
                </c:pt>
                <c:pt idx="73">
                  <c:v>1.1198530589649056</c:v>
                </c:pt>
                <c:pt idx="74">
                  <c:v>1.1262701959554804</c:v>
                </c:pt>
                <c:pt idx="75">
                  <c:v>1.1403167103507765</c:v>
                </c:pt>
                <c:pt idx="76">
                  <c:v>1.1302181299788412</c:v>
                </c:pt>
                <c:pt idx="77">
                  <c:v>1.1222390497490093</c:v>
                </c:pt>
                <c:pt idx="78">
                  <c:v>1.1309483825382036</c:v>
                </c:pt>
                <c:pt idx="79">
                  <c:v>1.1267778961004764</c:v>
                </c:pt>
                <c:pt idx="80">
                  <c:v>1.1195246785268003</c:v>
                </c:pt>
                <c:pt idx="81">
                  <c:v>1.1656705963224918</c:v>
                </c:pt>
                <c:pt idx="82">
                  <c:v>1.1772225874160054</c:v>
                </c:pt>
                <c:pt idx="83">
                  <c:v>1.1891741380924796</c:v>
                </c:pt>
                <c:pt idx="84">
                  <c:v>1.1899881123772891</c:v>
                </c:pt>
                <c:pt idx="85">
                  <c:v>1.1968379292026983</c:v>
                </c:pt>
                <c:pt idx="86">
                  <c:v>1.1950243504403288</c:v>
                </c:pt>
                <c:pt idx="87">
                  <c:v>1.1917281210653778</c:v>
                </c:pt>
                <c:pt idx="88">
                  <c:v>1.1456861891019008</c:v>
                </c:pt>
                <c:pt idx="89">
                  <c:v>1.1498972821442921</c:v>
                </c:pt>
                <c:pt idx="90">
                  <c:v>1.1935793275695212</c:v>
                </c:pt>
                <c:pt idx="91">
                  <c:v>1.2018814184451425</c:v>
                </c:pt>
                <c:pt idx="92">
                  <c:v>1.2072346310370625</c:v>
                </c:pt>
                <c:pt idx="93">
                  <c:v>1.2081676814463602</c:v>
                </c:pt>
                <c:pt idx="94">
                  <c:v>1.1940080878479209</c:v>
                </c:pt>
                <c:pt idx="95">
                  <c:v>1.2112541361609224</c:v>
                </c:pt>
                <c:pt idx="96">
                  <c:v>1.198272330075568</c:v>
                </c:pt>
                <c:pt idx="97">
                  <c:v>1.190884201369407</c:v>
                </c:pt>
                <c:pt idx="98">
                  <c:v>1.2129943016312683</c:v>
                </c:pt>
                <c:pt idx="99">
                  <c:v>1.2178390301669053</c:v>
                </c:pt>
                <c:pt idx="100">
                  <c:v>1.2266213842924796</c:v>
                </c:pt>
                <c:pt idx="101">
                  <c:v>1.2204105727526313</c:v>
                </c:pt>
                <c:pt idx="102">
                  <c:v>1.2230258967837335</c:v>
                </c:pt>
                <c:pt idx="103">
                  <c:v>1.2556697657684834</c:v>
                </c:pt>
                <c:pt idx="104">
                  <c:v>1.2650125380731014</c:v>
                </c:pt>
                <c:pt idx="105">
                  <c:v>1.2767309535328355</c:v>
                </c:pt>
                <c:pt idx="106">
                  <c:v>1.292550126521322</c:v>
                </c:pt>
                <c:pt idx="107">
                  <c:v>1.2835772819530178</c:v>
                </c:pt>
                <c:pt idx="108">
                  <c:v>1.2917457159542136</c:v>
                </c:pt>
                <c:pt idx="109">
                  <c:v>1.3045204518731188</c:v>
                </c:pt>
                <c:pt idx="110">
                  <c:v>1.3142076747972247</c:v>
                </c:pt>
                <c:pt idx="111">
                  <c:v>1.3075025679953871</c:v>
                </c:pt>
                <c:pt idx="112">
                  <c:v>1.3054520128509715</c:v>
                </c:pt>
                <c:pt idx="113">
                  <c:v>1.2979904316572226</c:v>
                </c:pt>
                <c:pt idx="114">
                  <c:v>1.2993581608751366</c:v>
                </c:pt>
                <c:pt idx="115">
                  <c:v>1.2939011584288238</c:v>
                </c:pt>
                <c:pt idx="116">
                  <c:v>1.2943792267271732</c:v>
                </c:pt>
                <c:pt idx="117">
                  <c:v>1.2792259471813903</c:v>
                </c:pt>
                <c:pt idx="118">
                  <c:v>1.2797980456386098</c:v>
                </c:pt>
                <c:pt idx="119">
                  <c:v>1.2976319098301339</c:v>
                </c:pt>
                <c:pt idx="120">
                  <c:v>1.2439833730848213</c:v>
                </c:pt>
                <c:pt idx="121">
                  <c:v>1.2498507138942907</c:v>
                </c:pt>
                <c:pt idx="122">
                  <c:v>1.2373003333857118</c:v>
                </c:pt>
                <c:pt idx="123">
                  <c:v>1.2240969939706638</c:v>
                </c:pt>
                <c:pt idx="124">
                  <c:v>1.2334309080777395</c:v>
                </c:pt>
                <c:pt idx="125">
                  <c:v>1.239696985363318</c:v>
                </c:pt>
                <c:pt idx="126">
                  <c:v>1.2461896914019552</c:v>
                </c:pt>
                <c:pt idx="127">
                  <c:v>1.2421501965402781</c:v>
                </c:pt>
                <c:pt idx="128">
                  <c:v>1.2515946813343786</c:v>
                </c:pt>
                <c:pt idx="129">
                  <c:v>1.262764672457759</c:v>
                </c:pt>
                <c:pt idx="130">
                  <c:v>1.2675003197378163</c:v>
                </c:pt>
                <c:pt idx="131">
                  <c:v>1.2453340522322442</c:v>
                </c:pt>
                <c:pt idx="132">
                  <c:v>1.2553151634978295</c:v>
                </c:pt>
                <c:pt idx="133">
                  <c:v>1.2780743423052896</c:v>
                </c:pt>
                <c:pt idx="134">
                  <c:v>1.2876243807541785</c:v>
                </c:pt>
                <c:pt idx="135">
                  <c:v>1.2917344668272457</c:v>
                </c:pt>
                <c:pt idx="136">
                  <c:v>1.2900263241329717</c:v>
                </c:pt>
                <c:pt idx="137">
                  <c:v>1.2931703179359961</c:v>
                </c:pt>
                <c:pt idx="138">
                  <c:v>1.2760395437777414</c:v>
                </c:pt>
                <c:pt idx="139">
                  <c:v>1.28133396302314</c:v>
                </c:pt>
                <c:pt idx="140">
                  <c:v>1.2812910830757434</c:v>
                </c:pt>
                <c:pt idx="141">
                  <c:v>1.2752863226176712</c:v>
                </c:pt>
                <c:pt idx="142">
                  <c:v>1.2784645341483711</c:v>
                </c:pt>
                <c:pt idx="143">
                  <c:v>1.2786974733872898</c:v>
                </c:pt>
                <c:pt idx="144">
                  <c:v>1.2789021134287493</c:v>
                </c:pt>
                <c:pt idx="145">
                  <c:v>1.2800491716193856</c:v>
                </c:pt>
                <c:pt idx="146">
                  <c:v>1.2722485487940289</c:v>
                </c:pt>
                <c:pt idx="147">
                  <c:v>1.2689853220842586</c:v>
                </c:pt>
                <c:pt idx="148">
                  <c:v>1.2809510615550268</c:v>
                </c:pt>
                <c:pt idx="149">
                  <c:v>1.2956517499192866</c:v>
                </c:pt>
                <c:pt idx="150">
                  <c:v>1.2951907316914286</c:v>
                </c:pt>
                <c:pt idx="151">
                  <c:v>1.3002388068149013</c:v>
                </c:pt>
                <c:pt idx="152">
                  <c:v>1.2917892622262039</c:v>
                </c:pt>
                <c:pt idx="153">
                  <c:v>1.2516980792331278</c:v>
                </c:pt>
                <c:pt idx="154">
                  <c:v>1.2592569830131519</c:v>
                </c:pt>
                <c:pt idx="155">
                  <c:v>1.2526579394084394</c:v>
                </c:pt>
                <c:pt idx="156">
                  <c:v>1.2641096682483515</c:v>
                </c:pt>
                <c:pt idx="157">
                  <c:v>1.2651761011631246</c:v>
                </c:pt>
                <c:pt idx="158">
                  <c:v>1.2668542592506726</c:v>
                </c:pt>
                <c:pt idx="159">
                  <c:v>1.271599627030688</c:v>
                </c:pt>
                <c:pt idx="160">
                  <c:v>1.2627235563107584</c:v>
                </c:pt>
                <c:pt idx="161">
                  <c:v>1.2344455244564447</c:v>
                </c:pt>
                <c:pt idx="162">
                  <c:v>1.2419270169968821</c:v>
                </c:pt>
                <c:pt idx="163">
                  <c:v>1.2397248142140049</c:v>
                </c:pt>
                <c:pt idx="164">
                  <c:v>1.2433882276357655</c:v>
                </c:pt>
                <c:pt idx="165">
                  <c:v>1.2493575553036675</c:v>
                </c:pt>
                <c:pt idx="166">
                  <c:v>1.2718041886810187</c:v>
                </c:pt>
                <c:pt idx="167">
                  <c:v>1.2832728108091647</c:v>
                </c:pt>
                <c:pt idx="168">
                  <c:v>1.2815923793788844</c:v>
                </c:pt>
                <c:pt idx="169">
                  <c:v>1.2819737914155522</c:v>
                </c:pt>
                <c:pt idx="170">
                  <c:v>1.2804623712587393</c:v>
                </c:pt>
                <c:pt idx="171">
                  <c:v>1.2762671524199087</c:v>
                </c:pt>
                <c:pt idx="172">
                  <c:v>1.2961240172741124</c:v>
                </c:pt>
                <c:pt idx="173">
                  <c:v>1.2950983869418253</c:v>
                </c:pt>
                <c:pt idx="174">
                  <c:v>1.2988104028633771</c:v>
                </c:pt>
                <c:pt idx="175">
                  <c:v>1.2923942849574754</c:v>
                </c:pt>
                <c:pt idx="176">
                  <c:v>1.3055222904978467</c:v>
                </c:pt>
                <c:pt idx="177">
                  <c:v>1.3177876800580535</c:v>
                </c:pt>
                <c:pt idx="178">
                  <c:v>1.3077710184156048</c:v>
                </c:pt>
                <c:pt idx="179">
                  <c:v>1.3064807788284063</c:v>
                </c:pt>
                <c:pt idx="180">
                  <c:v>1.2928470721168204</c:v>
                </c:pt>
                <c:pt idx="181">
                  <c:v>1.2970920301268083</c:v>
                </c:pt>
                <c:pt idx="182">
                  <c:v>1.3089658168036167</c:v>
                </c:pt>
                <c:pt idx="183">
                  <c:v>1.3059101306070677</c:v>
                </c:pt>
                <c:pt idx="184">
                  <c:v>1.3122185782977061</c:v>
                </c:pt>
                <c:pt idx="185">
                  <c:v>1.3061270780557324</c:v>
                </c:pt>
                <c:pt idx="186">
                  <c:v>1.3164362561949079</c:v>
                </c:pt>
                <c:pt idx="187">
                  <c:v>1.3185919730384688</c:v>
                </c:pt>
                <c:pt idx="188">
                  <c:v>1.3188874292025221</c:v>
                </c:pt>
                <c:pt idx="189">
                  <c:v>1.3367482991378818</c:v>
                </c:pt>
                <c:pt idx="190">
                  <c:v>1.3620395897933339</c:v>
                </c:pt>
                <c:pt idx="191">
                  <c:v>1.3603446168086808</c:v>
                </c:pt>
                <c:pt idx="192">
                  <c:v>1.3590465381086125</c:v>
                </c:pt>
                <c:pt idx="193">
                  <c:v>1.3591344537594445</c:v>
                </c:pt>
                <c:pt idx="194">
                  <c:v>1.3591128178079246</c:v>
                </c:pt>
                <c:pt idx="195">
                  <c:v>1.3518883697784796</c:v>
                </c:pt>
                <c:pt idx="196">
                  <c:v>1.3558662100174377</c:v>
                </c:pt>
                <c:pt idx="197">
                  <c:v>1.3694455916768375</c:v>
                </c:pt>
                <c:pt idx="198">
                  <c:v>1.3604738445843352</c:v>
                </c:pt>
                <c:pt idx="199">
                  <c:v>1.3609847195700435</c:v>
                </c:pt>
                <c:pt idx="200">
                  <c:v>1.3605206832837307</c:v>
                </c:pt>
                <c:pt idx="201">
                  <c:v>1.3717381010399721</c:v>
                </c:pt>
                <c:pt idx="202">
                  <c:v>1.3550975458050143</c:v>
                </c:pt>
                <c:pt idx="203">
                  <c:v>1.3392156991091357</c:v>
                </c:pt>
                <c:pt idx="204">
                  <c:v>1.3517420527367696</c:v>
                </c:pt>
                <c:pt idx="205">
                  <c:v>1.3317561952802974</c:v>
                </c:pt>
                <c:pt idx="206">
                  <c:v>1.323884118941135</c:v>
                </c:pt>
                <c:pt idx="207">
                  <c:v>1.3248687115175501</c:v>
                </c:pt>
                <c:pt idx="208">
                  <c:v>1.3431980860335584</c:v>
                </c:pt>
                <c:pt idx="209">
                  <c:v>1.3418981651419659</c:v>
                </c:pt>
                <c:pt idx="210">
                  <c:v>1.3398036325743519</c:v>
                </c:pt>
                <c:pt idx="211">
                  <c:v>1.2840613863682766</c:v>
                </c:pt>
                <c:pt idx="212">
                  <c:v>1.2944999490653641</c:v>
                </c:pt>
                <c:pt idx="213">
                  <c:v>1.2912204953919539</c:v>
                </c:pt>
                <c:pt idx="214">
                  <c:v>1.2943988245093472</c:v>
                </c:pt>
                <c:pt idx="215">
                  <c:v>1.2980511847819616</c:v>
                </c:pt>
                <c:pt idx="216">
                  <c:v>1.2985507322495735</c:v>
                </c:pt>
                <c:pt idx="217">
                  <c:v>1.2923732761349851</c:v>
                </c:pt>
                <c:pt idx="218">
                  <c:v>1.3029721486902548</c:v>
                </c:pt>
                <c:pt idx="219">
                  <c:v>1.3000260924871863</c:v>
                </c:pt>
                <c:pt idx="220">
                  <c:v>1.2869361066442322</c:v>
                </c:pt>
                <c:pt idx="221">
                  <c:v>1.2877670134128398</c:v>
                </c:pt>
                <c:pt idx="222">
                  <c:v>1.2891590046850849</c:v>
                </c:pt>
                <c:pt idx="223">
                  <c:v>1.2875113015510351</c:v>
                </c:pt>
                <c:pt idx="224">
                  <c:v>1.2836913802408341</c:v>
                </c:pt>
                <c:pt idx="225">
                  <c:v>1.2855610870513494</c:v>
                </c:pt>
                <c:pt idx="226">
                  <c:v>1.2979229760909803</c:v>
                </c:pt>
                <c:pt idx="227">
                  <c:v>1.3168664275136241</c:v>
                </c:pt>
                <c:pt idx="228">
                  <c:v>1.3184254310855552</c:v>
                </c:pt>
                <c:pt idx="229">
                  <c:v>1.3115730273528989</c:v>
                </c:pt>
                <c:pt idx="230">
                  <c:v>1.3183692246462806</c:v>
                </c:pt>
                <c:pt idx="231">
                  <c:v>1.3200023470303932</c:v>
                </c:pt>
                <c:pt idx="232">
                  <c:v>1.3094358108157103</c:v>
                </c:pt>
                <c:pt idx="233">
                  <c:v>1.2938805023664126</c:v>
                </c:pt>
                <c:pt idx="234">
                  <c:v>1.2760126948161634</c:v>
                </c:pt>
                <c:pt idx="235">
                  <c:v>1.2433488752891604</c:v>
                </c:pt>
                <c:pt idx="236">
                  <c:v>1.2538634381855183</c:v>
                </c:pt>
                <c:pt idx="237">
                  <c:v>1.2552065133934576</c:v>
                </c:pt>
                <c:pt idx="238">
                  <c:v>1.2478342588908573</c:v>
                </c:pt>
                <c:pt idx="239">
                  <c:v>1.2627397832743983</c:v>
                </c:pt>
                <c:pt idx="240">
                  <c:v>1.2797032315684527</c:v>
                </c:pt>
                <c:pt idx="241">
                  <c:v>1.2817553937310067</c:v>
                </c:pt>
                <c:pt idx="242">
                  <c:v>1.2835442400922727</c:v>
                </c:pt>
                <c:pt idx="243">
                  <c:v>1.2973706713937563</c:v>
                </c:pt>
                <c:pt idx="244">
                  <c:v>1.2933793086850982</c:v>
                </c:pt>
                <c:pt idx="245">
                  <c:v>1.2995432423299866</c:v>
                </c:pt>
                <c:pt idx="246">
                  <c:v>1.3036613242981809</c:v>
                </c:pt>
                <c:pt idx="247">
                  <c:v>1.3100311914381524</c:v>
                </c:pt>
                <c:pt idx="248">
                  <c:v>1.3231461056600315</c:v>
                </c:pt>
                <c:pt idx="249">
                  <c:v>1.3310472259123758</c:v>
                </c:pt>
                <c:pt idx="250">
                  <c:v>1.3395423549424099</c:v>
                </c:pt>
                <c:pt idx="251">
                  <c:v>1.3463947978706305</c:v>
                </c:pt>
                <c:pt idx="252">
                  <c:v>1.3254720488395546</c:v>
                </c:pt>
                <c:pt idx="253">
                  <c:v>1.3427058289409151</c:v>
                </c:pt>
                <c:pt idx="254">
                  <c:v>1.3291385195153345</c:v>
                </c:pt>
                <c:pt idx="255">
                  <c:v>1.3436618479509206</c:v>
                </c:pt>
                <c:pt idx="256">
                  <c:v>1.3545555103456497</c:v>
                </c:pt>
                <c:pt idx="257">
                  <c:v>1.3657633251886256</c:v>
                </c:pt>
                <c:pt idx="258">
                  <c:v>1.3645310950366618</c:v>
                </c:pt>
                <c:pt idx="259">
                  <c:v>1.3557155030725208</c:v>
                </c:pt>
                <c:pt idx="260">
                  <c:v>1.3465122669769807</c:v>
                </c:pt>
                <c:pt idx="261">
                  <c:v>1.3514346811211546</c:v>
                </c:pt>
                <c:pt idx="262">
                  <c:v>1.3592695216741868</c:v>
                </c:pt>
                <c:pt idx="263">
                  <c:v>1.3528117388833836</c:v>
                </c:pt>
                <c:pt idx="264">
                  <c:v>1.3503169804082147</c:v>
                </c:pt>
                <c:pt idx="265">
                  <c:v>1.3602100584362748</c:v>
                </c:pt>
                <c:pt idx="266">
                  <c:v>1.3556707417380356</c:v>
                </c:pt>
                <c:pt idx="267">
                  <c:v>1.3507492290918417</c:v>
                </c:pt>
                <c:pt idx="268">
                  <c:v>1.3387448819901908</c:v>
                </c:pt>
                <c:pt idx="269">
                  <c:v>1.3436982606301997</c:v>
                </c:pt>
                <c:pt idx="270">
                  <c:v>1.3572869316383498</c:v>
                </c:pt>
                <c:pt idx="271">
                  <c:v>1.3558459851062343</c:v>
                </c:pt>
                <c:pt idx="272">
                  <c:v>1.3583608509059133</c:v>
                </c:pt>
                <c:pt idx="273">
                  <c:v>1.3705864961638714</c:v>
                </c:pt>
                <c:pt idx="274">
                  <c:v>1.3548050685038515</c:v>
                </c:pt>
                <c:pt idx="275">
                  <c:v>1.3566567061592028</c:v>
                </c:pt>
                <c:pt idx="276">
                  <c:v>1.3555233664160882</c:v>
                </c:pt>
                <c:pt idx="277">
                  <c:v>1.3469834368560047</c:v>
                </c:pt>
                <c:pt idx="278">
                  <c:v>1.3502684562995524</c:v>
                </c:pt>
                <c:pt idx="279">
                  <c:v>1.3535792664244408</c:v>
                </c:pt>
                <c:pt idx="280">
                  <c:v>1.35048371833895</c:v>
                </c:pt>
                <c:pt idx="281">
                  <c:v>1.3490435949136859</c:v>
                </c:pt>
                <c:pt idx="282">
                  <c:v>1.3454392100118329</c:v>
                </c:pt>
                <c:pt idx="283">
                  <c:v>1.3213763867341672</c:v>
                </c:pt>
                <c:pt idx="284">
                  <c:v>1.3269149551498876</c:v>
                </c:pt>
                <c:pt idx="285">
                  <c:v>1.3625532476641109</c:v>
                </c:pt>
                <c:pt idx="286">
                  <c:v>1.369697658351158</c:v>
                </c:pt>
                <c:pt idx="287">
                  <c:v>1.3722478001587499</c:v>
                </c:pt>
                <c:pt idx="288">
                  <c:v>1.3685721577209127</c:v>
                </c:pt>
                <c:pt idx="289">
                  <c:v>1.378510663408052</c:v>
                </c:pt>
                <c:pt idx="290">
                  <c:v>1.368935343820159</c:v>
                </c:pt>
                <c:pt idx="291">
                  <c:v>1.3754324005664387</c:v>
                </c:pt>
                <c:pt idx="292">
                  <c:v>1.3603568458247572</c:v>
                </c:pt>
                <c:pt idx="293">
                  <c:v>1.3451645666924483</c:v>
                </c:pt>
                <c:pt idx="294">
                  <c:v>1.3326117168633154</c:v>
                </c:pt>
                <c:pt idx="295">
                  <c:v>1.3089376351928506</c:v>
                </c:pt>
                <c:pt idx="296">
                  <c:v>1.3013610150177413</c:v>
                </c:pt>
                <c:pt idx="297">
                  <c:v>1.2937481389456105</c:v>
                </c:pt>
                <c:pt idx="298">
                  <c:v>1.2539062397417859</c:v>
                </c:pt>
                <c:pt idx="299">
                  <c:v>1.2577165189431576</c:v>
                </c:pt>
                <c:pt idx="300">
                  <c:v>1.2645414857807704</c:v>
                </c:pt>
                <c:pt idx="301">
                  <c:v>1.2680107635723166</c:v>
                </c:pt>
                <c:pt idx="302">
                  <c:v>1.2771696302890152</c:v>
                </c:pt>
                <c:pt idx="303">
                  <c:v>1.2811543689472986</c:v>
                </c:pt>
                <c:pt idx="304">
                  <c:v>1.2756475881342642</c:v>
                </c:pt>
                <c:pt idx="305">
                  <c:v>1.2661183233344795</c:v>
                </c:pt>
                <c:pt idx="306">
                  <c:v>1.2490170634361788</c:v>
                </c:pt>
                <c:pt idx="307">
                  <c:v>1.2274536237102749</c:v>
                </c:pt>
                <c:pt idx="308">
                  <c:v>1.2339906207366249</c:v>
                </c:pt>
                <c:pt idx="309">
                  <c:v>1.2083206617340094</c:v>
                </c:pt>
                <c:pt idx="310">
                  <c:v>1.2047125924491078</c:v>
                </c:pt>
                <c:pt idx="311">
                  <c:v>1.2026746582764118</c:v>
                </c:pt>
                <c:pt idx="312">
                  <c:v>1.2050180042865053</c:v>
                </c:pt>
                <c:pt idx="313">
                  <c:v>1.2331421151596254</c:v>
                </c:pt>
                <c:pt idx="314">
                  <c:v>1.2354343893493736</c:v>
                </c:pt>
                <c:pt idx="315">
                  <c:v>1.2240671661461953</c:v>
                </c:pt>
                <c:pt idx="316">
                  <c:v>1.2216172473966405</c:v>
                </c:pt>
                <c:pt idx="317">
                  <c:v>1.2072895440227136</c:v>
                </c:pt>
                <c:pt idx="318">
                  <c:v>1.1837201145090572</c:v>
                </c:pt>
                <c:pt idx="319">
                  <c:v>1.188441259430306</c:v>
                </c:pt>
                <c:pt idx="320">
                  <c:v>1.1999234040281517</c:v>
                </c:pt>
                <c:pt idx="321">
                  <c:v>1.1959051923579154</c:v>
                </c:pt>
                <c:pt idx="322">
                  <c:v>1.1906106947213884</c:v>
                </c:pt>
                <c:pt idx="323">
                  <c:v>1.1637986161692442</c:v>
                </c:pt>
                <c:pt idx="324">
                  <c:v>1.1722012044718533</c:v>
                </c:pt>
                <c:pt idx="325">
                  <c:v>1.1818223828700332</c:v>
                </c:pt>
                <c:pt idx="326">
                  <c:v>1.1863071001471364</c:v>
                </c:pt>
                <c:pt idx="327">
                  <c:v>1.2110030493757107</c:v>
                </c:pt>
                <c:pt idx="328">
                  <c:v>1.2105887522605552</c:v>
                </c:pt>
                <c:pt idx="329">
                  <c:v>1.2105882427182186</c:v>
                </c:pt>
                <c:pt idx="330">
                  <c:v>1.1973841193918839</c:v>
                </c:pt>
                <c:pt idx="331">
                  <c:v>1.2199800094782713</c:v>
                </c:pt>
                <c:pt idx="332">
                  <c:v>1.2193560160938555</c:v>
                </c:pt>
                <c:pt idx="333">
                  <c:v>1.2300654985317148</c:v>
                </c:pt>
                <c:pt idx="334">
                  <c:v>1.2307812879278328</c:v>
                </c:pt>
                <c:pt idx="335">
                  <c:v>1.2375244928182163</c:v>
                </c:pt>
                <c:pt idx="336">
                  <c:v>1.2431320062316245</c:v>
                </c:pt>
                <c:pt idx="337">
                  <c:v>1.2459690987658061</c:v>
                </c:pt>
                <c:pt idx="338">
                  <c:v>1.2266485860141367</c:v>
                </c:pt>
                <c:pt idx="339">
                  <c:v>1.2345925078227487</c:v>
                </c:pt>
                <c:pt idx="340">
                  <c:v>1.2541187580916793</c:v>
                </c:pt>
                <c:pt idx="341">
                  <c:v>1.2547583905062698</c:v>
                </c:pt>
                <c:pt idx="342">
                  <c:v>1.2546351204563964</c:v>
                </c:pt>
                <c:pt idx="343">
                  <c:v>1.2617082344118948</c:v>
                </c:pt>
                <c:pt idx="344">
                  <c:v>1.265089714139302</c:v>
                </c:pt>
                <c:pt idx="345">
                  <c:v>1.2804024412408517</c:v>
                </c:pt>
                <c:pt idx="346">
                  <c:v>1.2729145598234255</c:v>
                </c:pt>
                <c:pt idx="347">
                  <c:v>1.2901394425316792</c:v>
                </c:pt>
                <c:pt idx="348">
                  <c:v>1.3003584316772907</c:v>
                </c:pt>
                <c:pt idx="349">
                  <c:v>1.3216793684465751</c:v>
                </c:pt>
                <c:pt idx="350">
                  <c:v>1.3223076733430694</c:v>
                </c:pt>
                <c:pt idx="351">
                  <c:v>1.2994549739190755</c:v>
                </c:pt>
                <c:pt idx="352">
                  <c:v>1.3094558397490919</c:v>
                </c:pt>
                <c:pt idx="353">
                  <c:v>1.3183375938258519</c:v>
                </c:pt>
                <c:pt idx="354">
                  <c:v>1.3134461441775125</c:v>
                </c:pt>
                <c:pt idx="355">
                  <c:v>1.2710052262973546</c:v>
                </c:pt>
                <c:pt idx="356">
                  <c:v>1.2948854766362885</c:v>
                </c:pt>
                <c:pt idx="357">
                  <c:v>1.337426421596662</c:v>
                </c:pt>
                <c:pt idx="358">
                  <c:v>1.3436750960516701</c:v>
                </c:pt>
                <c:pt idx="359">
                  <c:v>1.346780364637119</c:v>
                </c:pt>
                <c:pt idx="360">
                  <c:v>1.3491605936732638</c:v>
                </c:pt>
                <c:pt idx="361">
                  <c:v>1.3432573105312877</c:v>
                </c:pt>
                <c:pt idx="362">
                  <c:v>1.3561456351956727</c:v>
                </c:pt>
                <c:pt idx="363">
                  <c:v>1.3487083944473841</c:v>
                </c:pt>
                <c:pt idx="364">
                  <c:v>1.3662493501865376</c:v>
                </c:pt>
                <c:pt idx="365">
                  <c:v>1.4082102007945647</c:v>
                </c:pt>
                <c:pt idx="366">
                  <c:v>1.4052740218737119</c:v>
                </c:pt>
                <c:pt idx="367">
                  <c:v>1.4078167949152065</c:v>
                </c:pt>
                <c:pt idx="368">
                  <c:v>1.421629115813525</c:v>
                </c:pt>
                <c:pt idx="369">
                  <c:v>1.4115003940526063</c:v>
                </c:pt>
                <c:pt idx="370">
                  <c:v>1.4395670442283923</c:v>
                </c:pt>
                <c:pt idx="371">
                  <c:v>1.4358578503874737</c:v>
                </c:pt>
                <c:pt idx="372">
                  <c:v>1.4527210364279264</c:v>
                </c:pt>
                <c:pt idx="373">
                  <c:v>1.4334385433736743</c:v>
                </c:pt>
                <c:pt idx="374">
                  <c:v>1.37454207332228</c:v>
                </c:pt>
                <c:pt idx="375">
                  <c:v>1.4019249960735845</c:v>
                </c:pt>
                <c:pt idx="376">
                  <c:v>1.405744643014835</c:v>
                </c:pt>
                <c:pt idx="377">
                  <c:v>1.3925119461220907</c:v>
                </c:pt>
                <c:pt idx="378">
                  <c:v>1.4088423860519292</c:v>
                </c:pt>
                <c:pt idx="379">
                  <c:v>1.3972958431418601</c:v>
                </c:pt>
                <c:pt idx="380">
                  <c:v>1.4168233084732853</c:v>
                </c:pt>
                <c:pt idx="381">
                  <c:v>1.4173338306989145</c:v>
                </c:pt>
                <c:pt idx="382">
                  <c:v>1.3915012101042559</c:v>
                </c:pt>
                <c:pt idx="383">
                  <c:v>1.3834266886752375</c:v>
                </c:pt>
                <c:pt idx="384">
                  <c:v>1.4050822771729228</c:v>
                </c:pt>
                <c:pt idx="385">
                  <c:v>1.4208796574276319</c:v>
                </c:pt>
                <c:pt idx="386">
                  <c:v>1.4172043285543097</c:v>
                </c:pt>
                <c:pt idx="387">
                  <c:v>1.4379933815153956</c:v>
                </c:pt>
                <c:pt idx="388">
                  <c:v>1.445165150706357</c:v>
                </c:pt>
                <c:pt idx="389">
                  <c:v>1.4707937975841501</c:v>
                </c:pt>
                <c:pt idx="390">
                  <c:v>1.4798709415491835</c:v>
                </c:pt>
                <c:pt idx="391">
                  <c:v>1.473220159799532</c:v>
                </c:pt>
                <c:pt idx="392">
                  <c:v>1.4828632877137466</c:v>
                </c:pt>
                <c:pt idx="393">
                  <c:v>1.4687696210545402</c:v>
                </c:pt>
                <c:pt idx="394">
                  <c:v>1.4784540218980131</c:v>
                </c:pt>
                <c:pt idx="395">
                  <c:v>1.5028962974341291</c:v>
                </c:pt>
                <c:pt idx="396">
                  <c:v>1.503172234207137</c:v>
                </c:pt>
                <c:pt idx="397">
                  <c:v>1.5186712578260313</c:v>
                </c:pt>
                <c:pt idx="398">
                  <c:v>1.504912948415384</c:v>
                </c:pt>
                <c:pt idx="399">
                  <c:v>1.4770262058799539</c:v>
                </c:pt>
                <c:pt idx="400">
                  <c:v>1.4836941160912254</c:v>
                </c:pt>
                <c:pt idx="401">
                  <c:v>1.4731567021808529</c:v>
                </c:pt>
                <c:pt idx="402">
                  <c:v>1.4940125051880229</c:v>
                </c:pt>
                <c:pt idx="403">
                  <c:v>1.4692929602297111</c:v>
                </c:pt>
                <c:pt idx="404">
                  <c:v>1.4545605626538942</c:v>
                </c:pt>
                <c:pt idx="405">
                  <c:v>1.4344290152847414</c:v>
                </c:pt>
                <c:pt idx="406">
                  <c:v>1.4492554038238645</c:v>
                </c:pt>
                <c:pt idx="407">
                  <c:v>1.4642976815314148</c:v>
                </c:pt>
                <c:pt idx="408">
                  <c:v>1.452800681814681</c:v>
                </c:pt>
                <c:pt idx="409">
                  <c:v>1.4602019018393342</c:v>
                </c:pt>
                <c:pt idx="410">
                  <c:v>1.473010385139143</c:v>
                </c:pt>
                <c:pt idx="411">
                  <c:v>1.4660343194009695</c:v>
                </c:pt>
                <c:pt idx="412">
                  <c:v>1.4552865820923071</c:v>
                </c:pt>
                <c:pt idx="413">
                  <c:v>1.4514278963689662</c:v>
                </c:pt>
                <c:pt idx="414">
                  <c:v>1.4591461693136281</c:v>
                </c:pt>
                <c:pt idx="415">
                  <c:v>1.4505146789152283</c:v>
                </c:pt>
                <c:pt idx="416">
                  <c:v>1.438802338767968</c:v>
                </c:pt>
                <c:pt idx="417">
                  <c:v>1.4195313692096345</c:v>
                </c:pt>
                <c:pt idx="418">
                  <c:v>1.405195356376066</c:v>
                </c:pt>
                <c:pt idx="419">
                  <c:v>1.4278754777302367</c:v>
                </c:pt>
                <c:pt idx="420">
                  <c:v>1.4328571163721402</c:v>
                </c:pt>
                <c:pt idx="421">
                  <c:v>1.4372389060972661</c:v>
                </c:pt>
                <c:pt idx="422">
                  <c:v>1.4419937592038534</c:v>
                </c:pt>
                <c:pt idx="423">
                  <c:v>1.4489184003616027</c:v>
                </c:pt>
                <c:pt idx="424">
                  <c:v>1.4320425933494298</c:v>
                </c:pt>
                <c:pt idx="425">
                  <c:v>1.4032156276164265</c:v>
                </c:pt>
                <c:pt idx="426">
                  <c:v>1.4140025604894366</c:v>
                </c:pt>
                <c:pt idx="427">
                  <c:v>1.4159480715214006</c:v>
                </c:pt>
                <c:pt idx="428">
                  <c:v>1.39746469763307</c:v>
                </c:pt>
                <c:pt idx="429">
                  <c:v>1.3793216980255352</c:v>
                </c:pt>
                <c:pt idx="430">
                  <c:v>1.3905547940075156</c:v>
                </c:pt>
                <c:pt idx="431">
                  <c:v>1.4004808747007567</c:v>
                </c:pt>
                <c:pt idx="432">
                  <c:v>1.4055115861892233</c:v>
                </c:pt>
                <c:pt idx="433">
                  <c:v>1.4102552685599719</c:v>
                </c:pt>
                <c:pt idx="434">
                  <c:v>1.4071026125372266</c:v>
                </c:pt>
                <c:pt idx="435">
                  <c:v>1.4179929041134216</c:v>
                </c:pt>
                <c:pt idx="436">
                  <c:v>1.4128132494804333</c:v>
                </c:pt>
                <c:pt idx="437">
                  <c:v>1.3919451782616228</c:v>
                </c:pt>
                <c:pt idx="438">
                  <c:v>1.3881284317921336</c:v>
                </c:pt>
                <c:pt idx="439">
                  <c:v>1.3520855626627131</c:v>
                </c:pt>
                <c:pt idx="440">
                  <c:v>1.3612556001152507</c:v>
                </c:pt>
                <c:pt idx="441">
                  <c:v>1.3606754273717756</c:v>
                </c:pt>
                <c:pt idx="442">
                  <c:v>1.3636220715083092</c:v>
                </c:pt>
                <c:pt idx="443">
                  <c:v>1.3404243335313624</c:v>
                </c:pt>
                <c:pt idx="444">
                  <c:v>1.3526589937691202</c:v>
                </c:pt>
                <c:pt idx="445">
                  <c:v>1.3384057619674543</c:v>
                </c:pt>
                <c:pt idx="446">
                  <c:v>1.3650150426696632</c:v>
                </c:pt>
                <c:pt idx="447">
                  <c:v>1.3910219267434119</c:v>
                </c:pt>
                <c:pt idx="448">
                  <c:v>1.3784167508358747</c:v>
                </c:pt>
                <c:pt idx="449">
                  <c:v>1.3785885449944109</c:v>
                </c:pt>
                <c:pt idx="450">
                  <c:v>1.3730192472562419</c:v>
                </c:pt>
                <c:pt idx="451">
                  <c:v>1.3397052517078389</c:v>
                </c:pt>
                <c:pt idx="452">
                  <c:v>1.3404390710635572</c:v>
                </c:pt>
                <c:pt idx="453">
                  <c:v>1.3274388430629593</c:v>
                </c:pt>
                <c:pt idx="454">
                  <c:v>1.3413747083801018</c:v>
                </c:pt>
                <c:pt idx="455">
                  <c:v>1.3549987337872937</c:v>
                </c:pt>
                <c:pt idx="456">
                  <c:v>1.3463255393084281</c:v>
                </c:pt>
                <c:pt idx="457">
                  <c:v>1.3506125149633967</c:v>
                </c:pt>
                <c:pt idx="458">
                  <c:v>1.3521174678520922</c:v>
                </c:pt>
                <c:pt idx="459">
                  <c:v>1.338663511998605</c:v>
                </c:pt>
                <c:pt idx="460">
                  <c:v>1.3389766061666146</c:v>
                </c:pt>
                <c:pt idx="461">
                  <c:v>1.3463086460201941</c:v>
                </c:pt>
                <c:pt idx="462">
                  <c:v>1.3288910387220427</c:v>
                </c:pt>
                <c:pt idx="463">
                  <c:v>1.3395960528655662</c:v>
                </c:pt>
                <c:pt idx="464">
                  <c:v>1.3431309048362663</c:v>
                </c:pt>
                <c:pt idx="465">
                  <c:v>1.3338461419668828</c:v>
                </c:pt>
                <c:pt idx="466">
                  <c:v>1.3386414448958772</c:v>
                </c:pt>
                <c:pt idx="467">
                  <c:v>1.339781016733723</c:v>
                </c:pt>
                <c:pt idx="468">
                  <c:v>1.3593626503350771</c:v>
                </c:pt>
                <c:pt idx="469">
                  <c:v>1.3640324098714656</c:v>
                </c:pt>
                <c:pt idx="470">
                  <c:v>1.3952537150437789</c:v>
                </c:pt>
                <c:pt idx="471">
                  <c:v>1.4067201422203213</c:v>
                </c:pt>
                <c:pt idx="472">
                  <c:v>1.4201433295557955</c:v>
                </c:pt>
                <c:pt idx="473">
                  <c:v>1.4173332427654493</c:v>
                </c:pt>
                <c:pt idx="474">
                  <c:v>1.4375886089223764</c:v>
                </c:pt>
                <c:pt idx="475">
                  <c:v>1.4299190560641986</c:v>
                </c:pt>
                <c:pt idx="476">
                  <c:v>1.4185052293350109</c:v>
                </c:pt>
                <c:pt idx="477">
                  <c:v>1.4136487029345053</c:v>
                </c:pt>
                <c:pt idx="478">
                  <c:v>1.4082000883389629</c:v>
                </c:pt>
                <c:pt idx="479">
                  <c:v>1.3757205271599589</c:v>
                </c:pt>
                <c:pt idx="480">
                  <c:v>1.3854644660656759</c:v>
                </c:pt>
                <c:pt idx="481">
                  <c:v>1.3722095844835109</c:v>
                </c:pt>
                <c:pt idx="482">
                  <c:v>1.3883973133635592</c:v>
                </c:pt>
                <c:pt idx="483">
                  <c:v>1.3870308775992686</c:v>
                </c:pt>
                <c:pt idx="484">
                  <c:v>1.4026389824737426</c:v>
                </c:pt>
                <c:pt idx="485">
                  <c:v>1.4074257799652736</c:v>
                </c:pt>
                <c:pt idx="486">
                  <c:v>1.4052132687489729</c:v>
                </c:pt>
                <c:pt idx="487">
                  <c:v>1.4174913184764639</c:v>
                </c:pt>
                <c:pt idx="488">
                  <c:v>1.4109116374805388</c:v>
                </c:pt>
                <c:pt idx="489">
                  <c:v>1.4098416769649744</c:v>
                </c:pt>
                <c:pt idx="490">
                  <c:v>1.4043919648936305</c:v>
                </c:pt>
                <c:pt idx="491">
                  <c:v>1.3840659683297489</c:v>
                </c:pt>
                <c:pt idx="492">
                  <c:v>1.3455111338724108</c:v>
                </c:pt>
                <c:pt idx="493">
                  <c:v>1.3675606769873554</c:v>
                </c:pt>
                <c:pt idx="494">
                  <c:v>1.373628620695156</c:v>
                </c:pt>
                <c:pt idx="495">
                  <c:v>1.3110673261816845</c:v>
                </c:pt>
                <c:pt idx="496">
                  <c:v>1.3029495720451905</c:v>
                </c:pt>
                <c:pt idx="497">
                  <c:v>1.2985017769897029</c:v>
                </c:pt>
                <c:pt idx="498">
                  <c:v>1.2401696838693517</c:v>
                </c:pt>
                <c:pt idx="499">
                  <c:v>1.2721059945264963</c:v>
                </c:pt>
                <c:pt idx="500">
                  <c:v>1.2805217133431617</c:v>
                </c:pt>
                <c:pt idx="501">
                  <c:v>1.2954910873010252</c:v>
                </c:pt>
                <c:pt idx="502">
                  <c:v>1.3285470976448914</c:v>
                </c:pt>
                <c:pt idx="503">
                  <c:v>1.3398021823384709</c:v>
                </c:pt>
                <c:pt idx="504">
                  <c:v>1.3644305192185455</c:v>
                </c:pt>
                <c:pt idx="505">
                  <c:v>1.3439059971212426</c:v>
                </c:pt>
                <c:pt idx="506">
                  <c:v>1.3480335644160091</c:v>
                </c:pt>
                <c:pt idx="507">
                  <c:v>1.3538667266933671</c:v>
                </c:pt>
                <c:pt idx="508">
                  <c:v>1.3424951527825462</c:v>
                </c:pt>
                <c:pt idx="509">
                  <c:v>1.3325812227142528</c:v>
                </c:pt>
                <c:pt idx="510">
                  <c:v>1.3538376435846211</c:v>
                </c:pt>
                <c:pt idx="511">
                  <c:v>1.3365641975721405</c:v>
                </c:pt>
                <c:pt idx="512">
                  <c:v>1.3440576055641398</c:v>
                </c:pt>
                <c:pt idx="513">
                  <c:v>1.3481213232845837</c:v>
                </c:pt>
                <c:pt idx="514">
                  <c:v>1.3764149549735074</c:v>
                </c:pt>
                <c:pt idx="515">
                  <c:v>1.3709292613740922</c:v>
                </c:pt>
                <c:pt idx="516">
                  <c:v>1.3744209982240099</c:v>
                </c:pt>
                <c:pt idx="517">
                  <c:v>1.3692297025084104</c:v>
                </c:pt>
                <c:pt idx="518">
                  <c:v>1.3562434281287203</c:v>
                </c:pt>
                <c:pt idx="519">
                  <c:v>1.3454578671004622</c:v>
                </c:pt>
                <c:pt idx="520">
                  <c:v>1.3451624893275378</c:v>
                </c:pt>
                <c:pt idx="521">
                  <c:v>1.3345430782965499</c:v>
                </c:pt>
                <c:pt idx="522">
                  <c:v>1.3311508981800755</c:v>
                </c:pt>
                <c:pt idx="523">
                  <c:v>1.2619964393965435</c:v>
                </c:pt>
                <c:pt idx="524">
                  <c:v>1.2773075594799548</c:v>
                </c:pt>
                <c:pt idx="525">
                  <c:v>1.3006993938915516</c:v>
                </c:pt>
                <c:pt idx="526">
                  <c:v>1.2813714731782206</c:v>
                </c:pt>
                <c:pt idx="527">
                  <c:v>1.2982930998051159</c:v>
                </c:pt>
                <c:pt idx="528">
                  <c:v>1.3043155374627089</c:v>
                </c:pt>
                <c:pt idx="529">
                  <c:v>1.3050122778145541</c:v>
                </c:pt>
                <c:pt idx="530">
                  <c:v>1.29045876879442</c:v>
                </c:pt>
                <c:pt idx="531">
                  <c:v>1.2809321692930111</c:v>
                </c:pt>
                <c:pt idx="532">
                  <c:v>1.2854831662694262</c:v>
                </c:pt>
                <c:pt idx="533">
                  <c:v>1.3061202188319714</c:v>
                </c:pt>
                <c:pt idx="534">
                  <c:v>1.3130564618767675</c:v>
                </c:pt>
                <c:pt idx="535">
                  <c:v>1.3004174993927626</c:v>
                </c:pt>
                <c:pt idx="536">
                  <c:v>1.2951084210062984</c:v>
                </c:pt>
                <c:pt idx="537">
                  <c:v>1.2792513459070876</c:v>
                </c:pt>
                <c:pt idx="538">
                  <c:v>1.2568381855416892</c:v>
                </c:pt>
                <c:pt idx="539">
                  <c:v>1.2636765964578733</c:v>
                </c:pt>
                <c:pt idx="540">
                  <c:v>1.2817897682409396</c:v>
                </c:pt>
                <c:pt idx="541">
                  <c:v>1.2524520451089207</c:v>
                </c:pt>
                <c:pt idx="542">
                  <c:v>1.2450104536529893</c:v>
                </c:pt>
                <c:pt idx="543">
                  <c:v>1.2697880080465358</c:v>
                </c:pt>
                <c:pt idx="544">
                  <c:v>1.2643233232696109</c:v>
                </c:pt>
                <c:pt idx="545">
                  <c:v>1.2393683697518267</c:v>
                </c:pt>
                <c:pt idx="546">
                  <c:v>1.2420455835790341</c:v>
                </c:pt>
                <c:pt idx="547">
                  <c:v>1.241333204197014</c:v>
                </c:pt>
                <c:pt idx="548">
                  <c:v>1.2476783781314464</c:v>
                </c:pt>
                <c:pt idx="549">
                  <c:v>1.2482791677417684</c:v>
                </c:pt>
                <c:pt idx="550">
                  <c:v>1.2727552298543521</c:v>
                </c:pt>
                <c:pt idx="551">
                  <c:v>1.2789062289630058</c:v>
                </c:pt>
                <c:pt idx="552">
                  <c:v>1.2776188114564402</c:v>
                </c:pt>
                <c:pt idx="553">
                  <c:v>1.281440496567037</c:v>
                </c:pt>
                <c:pt idx="554">
                  <c:v>1.2806634445038432</c:v>
                </c:pt>
                <c:pt idx="555">
                  <c:v>1.2782605996270699</c:v>
                </c:pt>
                <c:pt idx="556">
                  <c:v>1.2863495450237685</c:v>
                </c:pt>
                <c:pt idx="557">
                  <c:v>1.2765963559648652</c:v>
                </c:pt>
                <c:pt idx="558">
                  <c:v>1.2778281549656214</c:v>
                </c:pt>
                <c:pt idx="559">
                  <c:v>1.2865962027102087</c:v>
                </c:pt>
                <c:pt idx="560">
                  <c:v>1.3038413887207942</c:v>
                </c:pt>
                <c:pt idx="561">
                  <c:v>1.3020137387508242</c:v>
                </c:pt>
                <c:pt idx="562">
                  <c:v>1.2763972424979788</c:v>
                </c:pt>
                <c:pt idx="563">
                  <c:v>1.2732615189590317</c:v>
                </c:pt>
                <c:pt idx="564">
                  <c:v>1.255721347131165</c:v>
                </c:pt>
                <c:pt idx="565">
                  <c:v>1.2440315052378403</c:v>
                </c:pt>
                <c:pt idx="566">
                  <c:v>1.235657059350433</c:v>
                </c:pt>
                <c:pt idx="567">
                  <c:v>1.1990280205561923</c:v>
                </c:pt>
                <c:pt idx="568">
                  <c:v>1.2145678075620081</c:v>
                </c:pt>
                <c:pt idx="569">
                  <c:v>1.2077418216397222</c:v>
                </c:pt>
                <c:pt idx="570">
                  <c:v>1.2103453086103915</c:v>
                </c:pt>
                <c:pt idx="571">
                  <c:v>1.2277317946304507</c:v>
                </c:pt>
                <c:pt idx="572">
                  <c:v>1.2337650110682394</c:v>
                </c:pt>
                <c:pt idx="573">
                  <c:v>1.2366320098180186</c:v>
                </c:pt>
                <c:pt idx="574">
                  <c:v>1.2154633478162251</c:v>
                </c:pt>
                <c:pt idx="575">
                  <c:v>1.217239573205771</c:v>
                </c:pt>
                <c:pt idx="576">
                  <c:v>1.2245436274264063</c:v>
                </c:pt>
                <c:pt idx="577">
                  <c:v>1.2106709845545567</c:v>
                </c:pt>
                <c:pt idx="578">
                  <c:v>1.2090958324101144</c:v>
                </c:pt>
                <c:pt idx="579">
                  <c:v>1.1892336761547238</c:v>
                </c:pt>
                <c:pt idx="580">
                  <c:v>1.1138024005009821</c:v>
                </c:pt>
                <c:pt idx="581">
                  <c:v>1.1198311094488709</c:v>
                </c:pt>
                <c:pt idx="582">
                  <c:v>1.1060158488832263</c:v>
                </c:pt>
                <c:pt idx="583">
                  <c:v>1.1230391488040394</c:v>
                </c:pt>
                <c:pt idx="584">
                  <c:v>1.1120041080087082</c:v>
                </c:pt>
                <c:pt idx="585">
                  <c:v>1.1099516714772035</c:v>
                </c:pt>
                <c:pt idx="586">
                  <c:v>1.0991332253704578</c:v>
                </c:pt>
                <c:pt idx="587">
                  <c:v>1.0842811245411228</c:v>
                </c:pt>
                <c:pt idx="588">
                  <c:v>1.1121976949010217</c:v>
                </c:pt>
                <c:pt idx="589">
                  <c:v>1.0911014663021426</c:v>
                </c:pt>
                <c:pt idx="590">
                  <c:v>1.0975268343612306</c:v>
                </c:pt>
                <c:pt idx="591">
                  <c:v>1.0847577426035913</c:v>
                </c:pt>
                <c:pt idx="592">
                  <c:v>1.0540378662859784</c:v>
                </c:pt>
                <c:pt idx="593">
                  <c:v>1.06000782108291</c:v>
                </c:pt>
                <c:pt idx="594">
                  <c:v>1.0893642013035583</c:v>
                </c:pt>
                <c:pt idx="595">
                  <c:v>1.1037542256247979</c:v>
                </c:pt>
                <c:pt idx="596">
                  <c:v>1.0861469901863323</c:v>
                </c:pt>
                <c:pt idx="597">
                  <c:v>1.1085633253924425</c:v>
                </c:pt>
                <c:pt idx="598">
                  <c:v>1.118482115710715</c:v>
                </c:pt>
                <c:pt idx="599">
                  <c:v>1.1112474768345395</c:v>
                </c:pt>
                <c:pt idx="600">
                  <c:v>1.1122152545138493</c:v>
                </c:pt>
                <c:pt idx="601">
                  <c:v>1.1046849243002348</c:v>
                </c:pt>
                <c:pt idx="602">
                  <c:v>1.1000560065418965</c:v>
                </c:pt>
                <c:pt idx="603">
                  <c:v>1.1108865640780257</c:v>
                </c:pt>
                <c:pt idx="604">
                  <c:v>1.1342792999876026</c:v>
                </c:pt>
                <c:pt idx="605">
                  <c:v>1.160669516680672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A6-4134-B0AA-4ADD19ECFA0A}"/>
            </c:ext>
          </c:extLst>
        </c:ser>
        <c:ser>
          <c:idx val="2"/>
          <c:order val="2"/>
          <c:tx>
            <c:strRef>
              <c:f>回撤结果!$AE$2</c:f>
              <c:strCache>
                <c:ptCount val="1"/>
                <c:pt idx="0">
                  <c:v>全指工业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回撤结果!$AB$3:$AB$608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回撤结果!$AE$3:$AE$608</c:f>
              <c:numCache>
                <c:formatCode>General</c:formatCode>
                <c:ptCount val="606"/>
                <c:pt idx="0">
                  <c:v>1</c:v>
                </c:pt>
                <c:pt idx="1">
                  <c:v>1.0383126349032272</c:v>
                </c:pt>
                <c:pt idx="2">
                  <c:v>1.0207174895430577</c:v>
                </c:pt>
                <c:pt idx="3">
                  <c:v>1.0540053288291504</c:v>
                </c:pt>
                <c:pt idx="4">
                  <c:v>1.0568362471187398</c:v>
                </c:pt>
                <c:pt idx="5">
                  <c:v>1.07683880060976</c:v>
                </c:pt>
                <c:pt idx="6">
                  <c:v>1.067729751153599</c:v>
                </c:pt>
                <c:pt idx="7">
                  <c:v>1.0614695547987816</c:v>
                </c:pt>
                <c:pt idx="8">
                  <c:v>1.1061676041897139</c:v>
                </c:pt>
                <c:pt idx="9">
                  <c:v>1.1270270924568548</c:v>
                </c:pt>
                <c:pt idx="10">
                  <c:v>1.1234141749412441</c:v>
                </c:pt>
                <c:pt idx="11">
                  <c:v>1.1276696677585001</c:v>
                </c:pt>
                <c:pt idx="12">
                  <c:v>1.149456379874229</c:v>
                </c:pt>
                <c:pt idx="13">
                  <c:v>1.1401076668775043</c:v>
                </c:pt>
                <c:pt idx="14">
                  <c:v>1.1507627503785547</c:v>
                </c:pt>
                <c:pt idx="15">
                  <c:v>1.0568108838618537</c:v>
                </c:pt>
                <c:pt idx="16">
                  <c:v>1.0572442788838368</c:v>
                </c:pt>
                <c:pt idx="17">
                  <c:v>0.99842585032612352</c:v>
                </c:pt>
                <c:pt idx="18">
                  <c:v>1.0190574244260771</c:v>
                </c:pt>
                <c:pt idx="19">
                  <c:v>1.0708036772638321</c:v>
                </c:pt>
                <c:pt idx="20">
                  <c:v>1.0743958188093912</c:v>
                </c:pt>
                <c:pt idx="21">
                  <c:v>1.0529900882641341</c:v>
                </c:pt>
                <c:pt idx="22">
                  <c:v>1.0721768741789495</c:v>
                </c:pt>
                <c:pt idx="23">
                  <c:v>1.0767237928895041</c:v>
                </c:pt>
                <c:pt idx="24">
                  <c:v>1.0572759755560945</c:v>
                </c:pt>
                <c:pt idx="25">
                  <c:v>1.0390752491429469</c:v>
                </c:pt>
                <c:pt idx="26">
                  <c:v>1.0371323112029593</c:v>
                </c:pt>
                <c:pt idx="27">
                  <c:v>1.0716215757087595</c:v>
                </c:pt>
                <c:pt idx="28">
                  <c:v>1.066564195557399</c:v>
                </c:pt>
                <c:pt idx="29">
                  <c:v>1.0580814735288688</c:v>
                </c:pt>
                <c:pt idx="30">
                  <c:v>1.0872866867228765</c:v>
                </c:pt>
                <c:pt idx="31">
                  <c:v>1.1195300155944077</c:v>
                </c:pt>
                <c:pt idx="32">
                  <c:v>1.1491800476343865</c:v>
                </c:pt>
                <c:pt idx="33">
                  <c:v>1.147133377821137</c:v>
                </c:pt>
                <c:pt idx="34">
                  <c:v>1.1538005996974876</c:v>
                </c:pt>
                <c:pt idx="35">
                  <c:v>1.1360984077793754</c:v>
                </c:pt>
                <c:pt idx="36">
                  <c:v>1.1461792813503173</c:v>
                </c:pt>
                <c:pt idx="37">
                  <c:v>1.1388489745608605</c:v>
                </c:pt>
                <c:pt idx="38">
                  <c:v>1.1145432500649026</c:v>
                </c:pt>
                <c:pt idx="39">
                  <c:v>1.1539212897343387</c:v>
                </c:pt>
                <c:pt idx="40">
                  <c:v>1.1609820712257077</c:v>
                </c:pt>
                <c:pt idx="41">
                  <c:v>1.1575222507087801</c:v>
                </c:pt>
                <c:pt idx="42">
                  <c:v>1.1873948697441383</c:v>
                </c:pt>
                <c:pt idx="43">
                  <c:v>1.193344610364143</c:v>
                </c:pt>
                <c:pt idx="44">
                  <c:v>1.1719331975022904</c:v>
                </c:pt>
                <c:pt idx="45">
                  <c:v>1.1602558593266763</c:v>
                </c:pt>
                <c:pt idx="46">
                  <c:v>1.1816667986621459</c:v>
                </c:pt>
                <c:pt idx="47">
                  <c:v>1.1722623871246283</c:v>
                </c:pt>
                <c:pt idx="48">
                  <c:v>1.1893653905959318</c:v>
                </c:pt>
                <c:pt idx="49">
                  <c:v>1.2003467041794267</c:v>
                </c:pt>
                <c:pt idx="50">
                  <c:v>1.1988585883302501</c:v>
                </c:pt>
                <c:pt idx="51">
                  <c:v>1.1788842392544139</c:v>
                </c:pt>
                <c:pt idx="52">
                  <c:v>1.1828894733782875</c:v>
                </c:pt>
                <c:pt idx="53">
                  <c:v>1.1323650369901053</c:v>
                </c:pt>
                <c:pt idx="54">
                  <c:v>1.1174307251618543</c:v>
                </c:pt>
                <c:pt idx="55">
                  <c:v>1.1250547366903276</c:v>
                </c:pt>
                <c:pt idx="56">
                  <c:v>1.1189635596588194</c:v>
                </c:pt>
                <c:pt idx="57">
                  <c:v>1.131761231661063</c:v>
                </c:pt>
                <c:pt idx="58">
                  <c:v>1.1265505473432269</c:v>
                </c:pt>
                <c:pt idx="59">
                  <c:v>1.120933666175028</c:v>
                </c:pt>
                <c:pt idx="60">
                  <c:v>1.118321073143371</c:v>
                </c:pt>
                <c:pt idx="61">
                  <c:v>1.1481836593384906</c:v>
                </c:pt>
                <c:pt idx="62">
                  <c:v>1.150927863109205</c:v>
                </c:pt>
                <c:pt idx="63">
                  <c:v>1.1572544419438306</c:v>
                </c:pt>
                <c:pt idx="64">
                  <c:v>1.1144961045944015</c:v>
                </c:pt>
                <c:pt idx="65">
                  <c:v>1.0732537323645457</c:v>
                </c:pt>
                <c:pt idx="66">
                  <c:v>1.0759002417233803</c:v>
                </c:pt>
                <c:pt idx="67">
                  <c:v>1.070893203345606</c:v>
                </c:pt>
                <c:pt idx="68">
                  <c:v>1.0671307698745829</c:v>
                </c:pt>
                <c:pt idx="69">
                  <c:v>1.0641266889058332</c:v>
                </c:pt>
                <c:pt idx="70">
                  <c:v>1.0779443071415236</c:v>
                </c:pt>
                <c:pt idx="71">
                  <c:v>1.0736951477396395</c:v>
                </c:pt>
                <c:pt idx="72">
                  <c:v>1.0463309163362933</c:v>
                </c:pt>
                <c:pt idx="73">
                  <c:v>1.0486381144463548</c:v>
                </c:pt>
                <c:pt idx="74">
                  <c:v>1.0599141686078288</c:v>
                </c:pt>
                <c:pt idx="75">
                  <c:v>1.0732924727417497</c:v>
                </c:pt>
                <c:pt idx="76">
                  <c:v>1.0623134380039725</c:v>
                </c:pt>
                <c:pt idx="77">
                  <c:v>1.0590381152039969</c:v>
                </c:pt>
                <c:pt idx="78">
                  <c:v>1.0602990863663586</c:v>
                </c:pt>
                <c:pt idx="79">
                  <c:v>1.0599141982032279</c:v>
                </c:pt>
                <c:pt idx="80">
                  <c:v>1.0561314918839353</c:v>
                </c:pt>
                <c:pt idx="81">
                  <c:v>1.0950783265909094</c:v>
                </c:pt>
                <c:pt idx="82">
                  <c:v>1.099166516617994</c:v>
                </c:pt>
                <c:pt idx="83">
                  <c:v>1.1064239891306753</c:v>
                </c:pt>
                <c:pt idx="84">
                  <c:v>1.1090865391957321</c:v>
                </c:pt>
                <c:pt idx="85">
                  <c:v>1.1107304452248949</c:v>
                </c:pt>
                <c:pt idx="86">
                  <c:v>1.1129145560707916</c:v>
                </c:pt>
                <c:pt idx="87">
                  <c:v>1.1116972973126549</c:v>
                </c:pt>
                <c:pt idx="88">
                  <c:v>1.0641519633765224</c:v>
                </c:pt>
                <c:pt idx="89">
                  <c:v>1.0651008510571298</c:v>
                </c:pt>
                <c:pt idx="90">
                  <c:v>1.094367741062515</c:v>
                </c:pt>
                <c:pt idx="91">
                  <c:v>1.092199789304436</c:v>
                </c:pt>
                <c:pt idx="92">
                  <c:v>1.0957814836741717</c:v>
                </c:pt>
                <c:pt idx="93">
                  <c:v>1.0970073250979993</c:v>
                </c:pt>
                <c:pt idx="94">
                  <c:v>1.0891598683075776</c:v>
                </c:pt>
                <c:pt idx="95">
                  <c:v>1.1031578113089702</c:v>
                </c:pt>
                <c:pt idx="96">
                  <c:v>1.1004134595612611</c:v>
                </c:pt>
                <c:pt idx="97">
                  <c:v>1.0859109741988495</c:v>
                </c:pt>
                <c:pt idx="98">
                  <c:v>1.1085701290797405</c:v>
                </c:pt>
                <c:pt idx="99">
                  <c:v>1.1167130367377156</c:v>
                </c:pt>
                <c:pt idx="100">
                  <c:v>1.1252775900442971</c:v>
                </c:pt>
                <c:pt idx="101">
                  <c:v>1.1224332650389908</c:v>
                </c:pt>
                <c:pt idx="102">
                  <c:v>1.1211560164072156</c:v>
                </c:pt>
                <c:pt idx="103">
                  <c:v>1.1453709422192453</c:v>
                </c:pt>
                <c:pt idx="104">
                  <c:v>1.1579597594912148</c:v>
                </c:pt>
                <c:pt idx="105">
                  <c:v>1.1583575512482807</c:v>
                </c:pt>
                <c:pt idx="106">
                  <c:v>1.1556681581563912</c:v>
                </c:pt>
                <c:pt idx="107">
                  <c:v>1.1544242043484163</c:v>
                </c:pt>
                <c:pt idx="108">
                  <c:v>1.1523154433882044</c:v>
                </c:pt>
                <c:pt idx="109">
                  <c:v>1.1664461217538138</c:v>
                </c:pt>
                <c:pt idx="110">
                  <c:v>1.1729766424824903</c:v>
                </c:pt>
                <c:pt idx="111">
                  <c:v>1.1739457142251704</c:v>
                </c:pt>
                <c:pt idx="112">
                  <c:v>1.169370798267225</c:v>
                </c:pt>
                <c:pt idx="113">
                  <c:v>1.1616486483958879</c:v>
                </c:pt>
                <c:pt idx="114">
                  <c:v>1.1647717324637494</c:v>
                </c:pt>
                <c:pt idx="115">
                  <c:v>1.1635430498816244</c:v>
                </c:pt>
                <c:pt idx="116">
                  <c:v>1.1666217112556867</c:v>
                </c:pt>
                <c:pt idx="117">
                  <c:v>1.1573680290849375</c:v>
                </c:pt>
                <c:pt idx="118">
                  <c:v>1.1590072294456699</c:v>
                </c:pt>
                <c:pt idx="119">
                  <c:v>1.1730156196228858</c:v>
                </c:pt>
                <c:pt idx="120">
                  <c:v>1.1320625424176054</c:v>
                </c:pt>
                <c:pt idx="121">
                  <c:v>1.1354171216959252</c:v>
                </c:pt>
                <c:pt idx="122">
                  <c:v>1.1254604600143077</c:v>
                </c:pt>
                <c:pt idx="123">
                  <c:v>1.1086732986404229</c:v>
                </c:pt>
                <c:pt idx="124">
                  <c:v>1.1204037605571227</c:v>
                </c:pt>
                <c:pt idx="125">
                  <c:v>1.1255727449578614</c:v>
                </c:pt>
                <c:pt idx="126">
                  <c:v>1.1307810912391818</c:v>
                </c:pt>
                <c:pt idx="127">
                  <c:v>1.1249008406158731</c:v>
                </c:pt>
                <c:pt idx="128">
                  <c:v>1.1411284713775203</c:v>
                </c:pt>
                <c:pt idx="129">
                  <c:v>1.1527087958354301</c:v>
                </c:pt>
                <c:pt idx="130">
                  <c:v>1.1463475015978555</c:v>
                </c:pt>
                <c:pt idx="131">
                  <c:v>1.1307132881802251</c:v>
                </c:pt>
                <c:pt idx="132">
                  <c:v>1.1437858422477634</c:v>
                </c:pt>
                <c:pt idx="133">
                  <c:v>1.1710405410796567</c:v>
                </c:pt>
                <c:pt idx="134">
                  <c:v>1.1781768796245031</c:v>
                </c:pt>
                <c:pt idx="135">
                  <c:v>1.1825180215262725</c:v>
                </c:pt>
                <c:pt idx="136">
                  <c:v>1.1825804974134213</c:v>
                </c:pt>
                <c:pt idx="137">
                  <c:v>1.1892800966562052</c:v>
                </c:pt>
                <c:pt idx="138">
                  <c:v>1.1718102878105194</c:v>
                </c:pt>
                <c:pt idx="139">
                  <c:v>1.1727192217025664</c:v>
                </c:pt>
                <c:pt idx="140">
                  <c:v>1.174448776816243</c:v>
                </c:pt>
                <c:pt idx="141">
                  <c:v>1.1625082171625138</c:v>
                </c:pt>
                <c:pt idx="142">
                  <c:v>1.1672122282506077</c:v>
                </c:pt>
                <c:pt idx="143">
                  <c:v>1.1742005306099883</c:v>
                </c:pt>
                <c:pt idx="144">
                  <c:v>1.1736654753926687</c:v>
                </c:pt>
                <c:pt idx="145">
                  <c:v>1.1735649398224914</c:v>
                </c:pt>
                <c:pt idx="146">
                  <c:v>1.1639594867400183</c:v>
                </c:pt>
                <c:pt idx="147">
                  <c:v>1.1624265930522553</c:v>
                </c:pt>
                <c:pt idx="148">
                  <c:v>1.1656053460655107</c:v>
                </c:pt>
                <c:pt idx="149">
                  <c:v>1.18344858965494</c:v>
                </c:pt>
                <c:pt idx="150">
                  <c:v>1.1895084843497754</c:v>
                </c:pt>
                <c:pt idx="151">
                  <c:v>1.1924325393598088</c:v>
                </c:pt>
                <c:pt idx="152">
                  <c:v>1.1851604763154533</c:v>
                </c:pt>
                <c:pt idx="153">
                  <c:v>1.1563195824823176</c:v>
                </c:pt>
                <c:pt idx="154">
                  <c:v>1.1603660725923048</c:v>
                </c:pt>
                <c:pt idx="155">
                  <c:v>1.150863256353333</c:v>
                </c:pt>
                <c:pt idx="156">
                  <c:v>1.1627420504094879</c:v>
                </c:pt>
                <c:pt idx="157">
                  <c:v>1.1612663942232622</c:v>
                </c:pt>
                <c:pt idx="158">
                  <c:v>1.1625760202214706</c:v>
                </c:pt>
                <c:pt idx="159">
                  <c:v>1.1684673099285814</c:v>
                </c:pt>
                <c:pt idx="160">
                  <c:v>1.167446357451571</c:v>
                </c:pt>
                <c:pt idx="161">
                  <c:v>1.1416390807953207</c:v>
                </c:pt>
                <c:pt idx="162">
                  <c:v>1.1467620739461166</c:v>
                </c:pt>
                <c:pt idx="163">
                  <c:v>1.1434237721372105</c:v>
                </c:pt>
                <c:pt idx="164">
                  <c:v>1.1454319383364473</c:v>
                </c:pt>
                <c:pt idx="165">
                  <c:v>1.1501404183297801</c:v>
                </c:pt>
                <c:pt idx="166">
                  <c:v>1.1730181352317952</c:v>
                </c:pt>
                <c:pt idx="167">
                  <c:v>1.182177082530558</c:v>
                </c:pt>
                <c:pt idx="168">
                  <c:v>1.1831068515834544</c:v>
                </c:pt>
                <c:pt idx="169">
                  <c:v>1.1907915632751405</c:v>
                </c:pt>
                <c:pt idx="170">
                  <c:v>1.1924296982015112</c:v>
                </c:pt>
                <c:pt idx="171">
                  <c:v>1.1809664235463835</c:v>
                </c:pt>
                <c:pt idx="172">
                  <c:v>1.2033029293881008</c:v>
                </c:pt>
                <c:pt idx="173">
                  <c:v>1.2022426742213066</c:v>
                </c:pt>
                <c:pt idx="174">
                  <c:v>1.2026622185965885</c:v>
                </c:pt>
                <c:pt idx="175">
                  <c:v>1.207162376576828</c:v>
                </c:pt>
                <c:pt idx="176">
                  <c:v>1.2193794460427934</c:v>
                </c:pt>
                <c:pt idx="177">
                  <c:v>1.2186943421528806</c:v>
                </c:pt>
                <c:pt idx="178">
                  <c:v>1.2108003909907343</c:v>
                </c:pt>
                <c:pt idx="179">
                  <c:v>1.2098119046663538</c:v>
                </c:pt>
                <c:pt idx="180">
                  <c:v>1.1964097170454937</c:v>
                </c:pt>
                <c:pt idx="181">
                  <c:v>1.1916970049101134</c:v>
                </c:pt>
                <c:pt idx="182">
                  <c:v>1.2024449291776182</c:v>
                </c:pt>
                <c:pt idx="183">
                  <c:v>1.190399838574856</c:v>
                </c:pt>
                <c:pt idx="184">
                  <c:v>1.2070419528985674</c:v>
                </c:pt>
                <c:pt idx="185">
                  <c:v>1.2038893030271711</c:v>
                </c:pt>
                <c:pt idx="186">
                  <c:v>1.2052601619057732</c:v>
                </c:pt>
                <c:pt idx="187">
                  <c:v>1.210760851537759</c:v>
                </c:pt>
                <c:pt idx="188">
                  <c:v>1.2008940118919049</c:v>
                </c:pt>
                <c:pt idx="189">
                  <c:v>1.2200949740028098</c:v>
                </c:pt>
                <c:pt idx="190">
                  <c:v>1.2321468715473269</c:v>
                </c:pt>
                <c:pt idx="191">
                  <c:v>1.2455222457367532</c:v>
                </c:pt>
                <c:pt idx="192">
                  <c:v>1.2471914262366053</c:v>
                </c:pt>
                <c:pt idx="193">
                  <c:v>1.2471365267715835</c:v>
                </c:pt>
                <c:pt idx="194">
                  <c:v>1.2522482736707847</c:v>
                </c:pt>
                <c:pt idx="195">
                  <c:v>1.244689401615364</c:v>
                </c:pt>
                <c:pt idx="196">
                  <c:v>1.2519416357424342</c:v>
                </c:pt>
                <c:pt idx="197">
                  <c:v>1.2621152021028359</c:v>
                </c:pt>
                <c:pt idx="198">
                  <c:v>1.2556160524970288</c:v>
                </c:pt>
                <c:pt idx="199">
                  <c:v>1.251139274881947</c:v>
                </c:pt>
                <c:pt idx="200">
                  <c:v>1.2598031799427483</c:v>
                </c:pt>
                <c:pt idx="201">
                  <c:v>1.2726507497875938</c:v>
                </c:pt>
                <c:pt idx="202">
                  <c:v>1.277564296300137</c:v>
                </c:pt>
                <c:pt idx="203">
                  <c:v>1.2674992562676248</c:v>
                </c:pt>
                <c:pt idx="204">
                  <c:v>1.272513989449122</c:v>
                </c:pt>
                <c:pt idx="205">
                  <c:v>1.2557865219948861</c:v>
                </c:pt>
                <c:pt idx="206">
                  <c:v>1.2360144278753615</c:v>
                </c:pt>
                <c:pt idx="207">
                  <c:v>1.2352933951711436</c:v>
                </c:pt>
                <c:pt idx="208">
                  <c:v>1.2477498618190823</c:v>
                </c:pt>
                <c:pt idx="209">
                  <c:v>1.2383725596669879</c:v>
                </c:pt>
                <c:pt idx="210">
                  <c:v>1.2403419262982227</c:v>
                </c:pt>
                <c:pt idx="211">
                  <c:v>1.1836751424337764</c:v>
                </c:pt>
                <c:pt idx="212">
                  <c:v>1.1875055861315487</c:v>
                </c:pt>
                <c:pt idx="213">
                  <c:v>1.1771380515265366</c:v>
                </c:pt>
                <c:pt idx="214">
                  <c:v>1.1862091892766635</c:v>
                </c:pt>
                <c:pt idx="215">
                  <c:v>1.193573027653112</c:v>
                </c:pt>
                <c:pt idx="216">
                  <c:v>1.1916364231284964</c:v>
                </c:pt>
                <c:pt idx="217">
                  <c:v>1.1898915375981725</c:v>
                </c:pt>
                <c:pt idx="218">
                  <c:v>1.206456437526066</c:v>
                </c:pt>
                <c:pt idx="219">
                  <c:v>1.2083395631648088</c:v>
                </c:pt>
                <c:pt idx="220">
                  <c:v>1.1971138803723196</c:v>
                </c:pt>
                <c:pt idx="221">
                  <c:v>1.2056785224650979</c:v>
                </c:pt>
                <c:pt idx="222">
                  <c:v>1.2060821149203547</c:v>
                </c:pt>
                <c:pt idx="223">
                  <c:v>1.198725438630448</c:v>
                </c:pt>
                <c:pt idx="224">
                  <c:v>1.197177836029415</c:v>
                </c:pt>
                <c:pt idx="225">
                  <c:v>1.1951855625594052</c:v>
                </c:pt>
                <c:pt idx="226">
                  <c:v>1.2078039160395104</c:v>
                </c:pt>
                <c:pt idx="227">
                  <c:v>1.2213061952995641</c:v>
                </c:pt>
                <c:pt idx="228">
                  <c:v>1.2237171844736854</c:v>
                </c:pt>
                <c:pt idx="229">
                  <c:v>1.21856725950986</c:v>
                </c:pt>
                <c:pt idx="230">
                  <c:v>1.230111803130459</c:v>
                </c:pt>
                <c:pt idx="231">
                  <c:v>1.2219592473724317</c:v>
                </c:pt>
                <c:pt idx="232">
                  <c:v>1.2109696766726343</c:v>
                </c:pt>
                <c:pt idx="233">
                  <c:v>1.1988927118252204</c:v>
                </c:pt>
                <c:pt idx="234">
                  <c:v>1.1844816170547157</c:v>
                </c:pt>
                <c:pt idx="235">
                  <c:v>1.1569533087596817</c:v>
                </c:pt>
                <c:pt idx="236">
                  <c:v>1.1647481153354005</c:v>
                </c:pt>
                <c:pt idx="237">
                  <c:v>1.1645039236987997</c:v>
                </c:pt>
                <c:pt idx="238">
                  <c:v>1.1587316962815986</c:v>
                </c:pt>
                <c:pt idx="239">
                  <c:v>1.1722256296391527</c:v>
                </c:pt>
                <c:pt idx="240">
                  <c:v>1.1827226737098979</c:v>
                </c:pt>
                <c:pt idx="241">
                  <c:v>1.1785941155586681</c:v>
                </c:pt>
                <c:pt idx="242">
                  <c:v>1.1819919337148299</c:v>
                </c:pt>
                <c:pt idx="243">
                  <c:v>1.1868261941536302</c:v>
                </c:pt>
                <c:pt idx="244">
                  <c:v>1.1844287004814225</c:v>
                </c:pt>
                <c:pt idx="245">
                  <c:v>1.1958544777661013</c:v>
                </c:pt>
                <c:pt idx="246">
                  <c:v>1.194834294769463</c:v>
                </c:pt>
                <c:pt idx="247">
                  <c:v>1.2035868676454693</c:v>
                </c:pt>
                <c:pt idx="248">
                  <c:v>1.213502066173181</c:v>
                </c:pt>
                <c:pt idx="249">
                  <c:v>1.2203245159169382</c:v>
                </c:pt>
                <c:pt idx="250">
                  <c:v>1.2262062759055925</c:v>
                </c:pt>
                <c:pt idx="251">
                  <c:v>1.2276193378230738</c:v>
                </c:pt>
                <c:pt idx="252">
                  <c:v>1.2150618324831759</c:v>
                </c:pt>
                <c:pt idx="253">
                  <c:v>1.2230000879575256</c:v>
                </c:pt>
                <c:pt idx="254">
                  <c:v>1.2127728355434584</c:v>
                </c:pt>
                <c:pt idx="255">
                  <c:v>1.2273159849840047</c:v>
                </c:pt>
                <c:pt idx="256">
                  <c:v>1.2334722422977678</c:v>
                </c:pt>
                <c:pt idx="257">
                  <c:v>1.2367786698620227</c:v>
                </c:pt>
                <c:pt idx="258">
                  <c:v>1.2315056576340324</c:v>
                </c:pt>
                <c:pt idx="259">
                  <c:v>1.2361709283449223</c:v>
                </c:pt>
                <c:pt idx="260">
                  <c:v>1.2252156883078877</c:v>
                </c:pt>
                <c:pt idx="261">
                  <c:v>1.2312642775603304</c:v>
                </c:pt>
                <c:pt idx="262">
                  <c:v>1.2339932692959927</c:v>
                </c:pt>
                <c:pt idx="263">
                  <c:v>1.2248580575071748</c:v>
                </c:pt>
                <c:pt idx="264">
                  <c:v>1.2273021639327029</c:v>
                </c:pt>
                <c:pt idx="265">
                  <c:v>1.238515387062241</c:v>
                </c:pt>
                <c:pt idx="266">
                  <c:v>1.2376128753717626</c:v>
                </c:pt>
                <c:pt idx="267">
                  <c:v>1.2367946809728458</c:v>
                </c:pt>
                <c:pt idx="268">
                  <c:v>1.2265126178799537</c:v>
                </c:pt>
                <c:pt idx="269">
                  <c:v>1.2233431578219633</c:v>
                </c:pt>
                <c:pt idx="270">
                  <c:v>1.2333799934392919</c:v>
                </c:pt>
                <c:pt idx="271">
                  <c:v>1.2324796718083346</c:v>
                </c:pt>
                <c:pt idx="272">
                  <c:v>1.2325508191473706</c:v>
                </c:pt>
                <c:pt idx="273">
                  <c:v>1.2437879553592475</c:v>
                </c:pt>
                <c:pt idx="274">
                  <c:v>1.2343368718776113</c:v>
                </c:pt>
                <c:pt idx="275">
                  <c:v>1.2406038159833856</c:v>
                </c:pt>
                <c:pt idx="276">
                  <c:v>1.2455785065901257</c:v>
                </c:pt>
                <c:pt idx="277">
                  <c:v>1.2429639010713416</c:v>
                </c:pt>
                <c:pt idx="278">
                  <c:v>1.2428686038867756</c:v>
                </c:pt>
                <c:pt idx="279">
                  <c:v>1.2560764089274403</c:v>
                </c:pt>
                <c:pt idx="280">
                  <c:v>1.2534344572600413</c:v>
                </c:pt>
                <c:pt idx="281">
                  <c:v>1.2495294035615576</c:v>
                </c:pt>
                <c:pt idx="282">
                  <c:v>1.2503484266316447</c:v>
                </c:pt>
                <c:pt idx="283">
                  <c:v>1.228942755277185</c:v>
                </c:pt>
                <c:pt idx="284">
                  <c:v>1.228965040612582</c:v>
                </c:pt>
                <c:pt idx="285">
                  <c:v>1.2600258261289252</c:v>
                </c:pt>
                <c:pt idx="286">
                  <c:v>1.2714677625014221</c:v>
                </c:pt>
                <c:pt idx="287">
                  <c:v>1.273980056726093</c:v>
                </c:pt>
                <c:pt idx="288">
                  <c:v>1.2725173929199993</c:v>
                </c:pt>
                <c:pt idx="289">
                  <c:v>1.2909004565859765</c:v>
                </c:pt>
                <c:pt idx="290">
                  <c:v>1.2761549929983207</c:v>
                </c:pt>
                <c:pt idx="291">
                  <c:v>1.279864569086848</c:v>
                </c:pt>
                <c:pt idx="292">
                  <c:v>1.2631901365875011</c:v>
                </c:pt>
                <c:pt idx="293">
                  <c:v>1.2486598907408899</c:v>
                </c:pt>
                <c:pt idx="294">
                  <c:v>1.2404063554817011</c:v>
                </c:pt>
                <c:pt idx="295">
                  <c:v>1.2290394138501022</c:v>
                </c:pt>
                <c:pt idx="296">
                  <c:v>1.2278778536327584</c:v>
                </c:pt>
                <c:pt idx="297">
                  <c:v>1.2200316694444906</c:v>
                </c:pt>
                <c:pt idx="298">
                  <c:v>1.1819033250904227</c:v>
                </c:pt>
                <c:pt idx="299">
                  <c:v>1.1832968836400066</c:v>
                </c:pt>
                <c:pt idx="300">
                  <c:v>1.1830415345380081</c:v>
                </c:pt>
                <c:pt idx="301">
                  <c:v>1.1872552090565709</c:v>
                </c:pt>
                <c:pt idx="302">
                  <c:v>1.1921414686112974</c:v>
                </c:pt>
                <c:pt idx="303">
                  <c:v>1.1943045075331538</c:v>
                </c:pt>
                <c:pt idx="304">
                  <c:v>1.1892874955059387</c:v>
                </c:pt>
                <c:pt idx="305">
                  <c:v>1.1886819144529603</c:v>
                </c:pt>
                <c:pt idx="306">
                  <c:v>1.1725162564566802</c:v>
                </c:pt>
                <c:pt idx="307">
                  <c:v>1.1460546255300093</c:v>
                </c:pt>
                <c:pt idx="308">
                  <c:v>1.1487519501888128</c:v>
                </c:pt>
                <c:pt idx="309">
                  <c:v>1.1233800514462737</c:v>
                </c:pt>
                <c:pt idx="310">
                  <c:v>1.1251030067859882</c:v>
                </c:pt>
                <c:pt idx="311">
                  <c:v>1.1236344534955067</c:v>
                </c:pt>
                <c:pt idx="312">
                  <c:v>1.1222554262867992</c:v>
                </c:pt>
                <c:pt idx="313">
                  <c:v>1.1404256694390451</c:v>
                </c:pt>
                <c:pt idx="314">
                  <c:v>1.144029264403992</c:v>
                </c:pt>
                <c:pt idx="315">
                  <c:v>1.1349710302477998</c:v>
                </c:pt>
                <c:pt idx="316">
                  <c:v>1.1320777544526572</c:v>
                </c:pt>
                <c:pt idx="317">
                  <c:v>1.1143091504593383</c:v>
                </c:pt>
                <c:pt idx="318">
                  <c:v>1.0894257829669955</c:v>
                </c:pt>
                <c:pt idx="319">
                  <c:v>1.0950884482173449</c:v>
                </c:pt>
                <c:pt idx="320">
                  <c:v>1.1041815753488795</c:v>
                </c:pt>
                <c:pt idx="321">
                  <c:v>1.1063101948217759</c:v>
                </c:pt>
                <c:pt idx="322">
                  <c:v>1.1072504406458947</c:v>
                </c:pt>
                <c:pt idx="323">
                  <c:v>1.0882269621423943</c:v>
                </c:pt>
                <c:pt idx="324">
                  <c:v>1.0972903754933996</c:v>
                </c:pt>
                <c:pt idx="325">
                  <c:v>1.1029783744052359</c:v>
                </c:pt>
                <c:pt idx="326">
                  <c:v>1.1065408021702661</c:v>
                </c:pt>
                <c:pt idx="327">
                  <c:v>1.1253973330283824</c:v>
                </c:pt>
                <c:pt idx="328">
                  <c:v>1.1253488261695304</c:v>
                </c:pt>
                <c:pt idx="329">
                  <c:v>1.1314804601113804</c:v>
                </c:pt>
                <c:pt idx="330">
                  <c:v>1.1179286973443101</c:v>
                </c:pt>
                <c:pt idx="331">
                  <c:v>1.1294293805836899</c:v>
                </c:pt>
                <c:pt idx="332">
                  <c:v>1.1259689977541827</c:v>
                </c:pt>
                <c:pt idx="333">
                  <c:v>1.134071714860406</c:v>
                </c:pt>
                <c:pt idx="334">
                  <c:v>1.1314920319123634</c:v>
                </c:pt>
                <c:pt idx="335">
                  <c:v>1.1399801698988985</c:v>
                </c:pt>
                <c:pt idx="336">
                  <c:v>1.141026100892609</c:v>
                </c:pt>
                <c:pt idx="337">
                  <c:v>1.1431740165656101</c:v>
                </c:pt>
                <c:pt idx="338">
                  <c:v>1.1300560335607088</c:v>
                </c:pt>
                <c:pt idx="339">
                  <c:v>1.1317962134226025</c:v>
                </c:pt>
                <c:pt idx="340">
                  <c:v>1.1473780133887217</c:v>
                </c:pt>
                <c:pt idx="341">
                  <c:v>1.1488252579919711</c:v>
                </c:pt>
                <c:pt idx="342">
                  <c:v>1.140570509321426</c:v>
                </c:pt>
                <c:pt idx="343">
                  <c:v>1.1438894853348287</c:v>
                </c:pt>
                <c:pt idx="344">
                  <c:v>1.1455013987377443</c:v>
                </c:pt>
                <c:pt idx="345">
                  <c:v>1.1518611244191754</c:v>
                </c:pt>
                <c:pt idx="346">
                  <c:v>1.148562953971223</c:v>
                </c:pt>
                <c:pt idx="347">
                  <c:v>1.1554477316251341</c:v>
                </c:pt>
                <c:pt idx="348">
                  <c:v>1.1578561755949475</c:v>
                </c:pt>
                <c:pt idx="349">
                  <c:v>1.1607164525202791</c:v>
                </c:pt>
                <c:pt idx="350">
                  <c:v>1.1582341384347277</c:v>
                </c:pt>
                <c:pt idx="351">
                  <c:v>1.1454745853063104</c:v>
                </c:pt>
                <c:pt idx="352">
                  <c:v>1.1443474741333253</c:v>
                </c:pt>
                <c:pt idx="353">
                  <c:v>1.1492775348784734</c:v>
                </c:pt>
                <c:pt idx="354">
                  <c:v>1.1473779837933229</c:v>
                </c:pt>
                <c:pt idx="355">
                  <c:v>1.1018547850847238</c:v>
                </c:pt>
                <c:pt idx="356">
                  <c:v>1.1144765420357063</c:v>
                </c:pt>
                <c:pt idx="357">
                  <c:v>1.129354504224388</c:v>
                </c:pt>
                <c:pt idx="358">
                  <c:v>1.1343720193733848</c:v>
                </c:pt>
                <c:pt idx="359">
                  <c:v>1.1383107822312539</c:v>
                </c:pt>
                <c:pt idx="360">
                  <c:v>1.1440794582005831</c:v>
                </c:pt>
                <c:pt idx="361">
                  <c:v>1.1365567813180582</c:v>
                </c:pt>
                <c:pt idx="362">
                  <c:v>1.1362633133422333</c:v>
                </c:pt>
                <c:pt idx="363">
                  <c:v>1.1440714082520731</c:v>
                </c:pt>
                <c:pt idx="364">
                  <c:v>1.144979128732764</c:v>
                </c:pt>
                <c:pt idx="365">
                  <c:v>1.1510691811391127</c:v>
                </c:pt>
                <c:pt idx="366">
                  <c:v>1.1532199379704116</c:v>
                </c:pt>
                <c:pt idx="367">
                  <c:v>1.1417037763373894</c:v>
                </c:pt>
                <c:pt idx="368">
                  <c:v>1.1426431638949393</c:v>
                </c:pt>
                <c:pt idx="369">
                  <c:v>1.1423378281641416</c:v>
                </c:pt>
                <c:pt idx="370">
                  <c:v>1.1485322931379278</c:v>
                </c:pt>
                <c:pt idx="371">
                  <c:v>1.1503238802077691</c:v>
                </c:pt>
                <c:pt idx="372">
                  <c:v>1.1487171459996668</c:v>
                </c:pt>
                <c:pt idx="373">
                  <c:v>1.1427154062637359</c:v>
                </c:pt>
                <c:pt idx="374">
                  <c:v>1.1267996222206516</c:v>
                </c:pt>
                <c:pt idx="375">
                  <c:v>1.1463083764804654</c:v>
                </c:pt>
                <c:pt idx="376">
                  <c:v>1.1485573308454258</c:v>
                </c:pt>
                <c:pt idx="377">
                  <c:v>1.1499263844046927</c:v>
                </c:pt>
                <c:pt idx="378">
                  <c:v>1.1624787105497771</c:v>
                </c:pt>
                <c:pt idx="379">
                  <c:v>1.1601243077784165</c:v>
                </c:pt>
                <c:pt idx="380">
                  <c:v>1.1665664862412766</c:v>
                </c:pt>
                <c:pt idx="381">
                  <c:v>1.159188412477941</c:v>
                </c:pt>
                <c:pt idx="382">
                  <c:v>1.1545067163206431</c:v>
                </c:pt>
                <c:pt idx="383">
                  <c:v>1.1478869950595807</c:v>
                </c:pt>
                <c:pt idx="384">
                  <c:v>1.1587882826843594</c:v>
                </c:pt>
                <c:pt idx="385">
                  <c:v>1.1710124550460688</c:v>
                </c:pt>
                <c:pt idx="386">
                  <c:v>1.1691974284202722</c:v>
                </c:pt>
                <c:pt idx="387">
                  <c:v>1.1707284871933012</c:v>
                </c:pt>
                <c:pt idx="388">
                  <c:v>1.1712183502364495</c:v>
                </c:pt>
                <c:pt idx="389">
                  <c:v>1.1732496896330513</c:v>
                </c:pt>
                <c:pt idx="390">
                  <c:v>1.1798043306118589</c:v>
                </c:pt>
                <c:pt idx="391">
                  <c:v>1.1815551944127676</c:v>
                </c:pt>
                <c:pt idx="392">
                  <c:v>1.1894517795654187</c:v>
                </c:pt>
                <c:pt idx="393">
                  <c:v>1.1827367611197905</c:v>
                </c:pt>
                <c:pt idx="394">
                  <c:v>1.1828764514027568</c:v>
                </c:pt>
                <c:pt idx="395">
                  <c:v>1.1957848693878097</c:v>
                </c:pt>
                <c:pt idx="396">
                  <c:v>1.1911846493637759</c:v>
                </c:pt>
                <c:pt idx="397">
                  <c:v>1.1967067956599886</c:v>
                </c:pt>
                <c:pt idx="398">
                  <c:v>1.1961646967377229</c:v>
                </c:pt>
                <c:pt idx="399">
                  <c:v>1.1953305800141798</c:v>
                </c:pt>
                <c:pt idx="400">
                  <c:v>1.2011052046586945</c:v>
                </c:pt>
                <c:pt idx="401">
                  <c:v>1.1957446196452601</c:v>
                </c:pt>
                <c:pt idx="402">
                  <c:v>1.2004637243868099</c:v>
                </c:pt>
                <c:pt idx="403">
                  <c:v>1.188838858853505</c:v>
                </c:pt>
                <c:pt idx="404">
                  <c:v>1.1822197886912191</c:v>
                </c:pt>
                <c:pt idx="405">
                  <c:v>1.1695126490143135</c:v>
                </c:pt>
                <c:pt idx="406">
                  <c:v>1.1724133828499872</c:v>
                </c:pt>
                <c:pt idx="407">
                  <c:v>1.1780402672630257</c:v>
                </c:pt>
                <c:pt idx="408">
                  <c:v>1.1718974166649796</c:v>
                </c:pt>
                <c:pt idx="409">
                  <c:v>1.1785319060301098</c:v>
                </c:pt>
                <c:pt idx="410">
                  <c:v>1.1899768611332979</c:v>
                </c:pt>
                <c:pt idx="411">
                  <c:v>1.1951823366609216</c:v>
                </c:pt>
                <c:pt idx="412">
                  <c:v>1.1932694972416495</c:v>
                </c:pt>
                <c:pt idx="413">
                  <c:v>1.1914223300126112</c:v>
                </c:pt>
                <c:pt idx="414">
                  <c:v>1.1987421304354464</c:v>
                </c:pt>
                <c:pt idx="415">
                  <c:v>1.1835789573872424</c:v>
                </c:pt>
                <c:pt idx="416">
                  <c:v>1.1850481913718993</c:v>
                </c:pt>
                <c:pt idx="417">
                  <c:v>1.1801838028169847</c:v>
                </c:pt>
                <c:pt idx="418">
                  <c:v>1.1677121833247921</c:v>
                </c:pt>
                <c:pt idx="419">
                  <c:v>1.1816139116842517</c:v>
                </c:pt>
                <c:pt idx="420">
                  <c:v>1.1853197291571147</c:v>
                </c:pt>
                <c:pt idx="421">
                  <c:v>1.1835181980332319</c:v>
                </c:pt>
                <c:pt idx="422">
                  <c:v>1.1884949603178971</c:v>
                </c:pt>
                <c:pt idx="423">
                  <c:v>1.1984186527251028</c:v>
                </c:pt>
                <c:pt idx="424">
                  <c:v>1.1913261449660772</c:v>
                </c:pt>
                <c:pt idx="425">
                  <c:v>1.1740108536982232</c:v>
                </c:pt>
                <c:pt idx="426">
                  <c:v>1.1837859180119845</c:v>
                </c:pt>
                <c:pt idx="427">
                  <c:v>1.1864767612784217</c:v>
                </c:pt>
                <c:pt idx="428">
                  <c:v>1.1749946343541733</c:v>
                </c:pt>
                <c:pt idx="429">
                  <c:v>1.1643462098178829</c:v>
                </c:pt>
                <c:pt idx="430">
                  <c:v>1.1707723179791221</c:v>
                </c:pt>
                <c:pt idx="431">
                  <c:v>1.1753260732268302</c:v>
                </c:pt>
                <c:pt idx="432">
                  <c:v>1.1772729473548755</c:v>
                </c:pt>
                <c:pt idx="433">
                  <c:v>1.1829351390788421</c:v>
                </c:pt>
                <c:pt idx="434">
                  <c:v>1.1856057982832064</c:v>
                </c:pt>
                <c:pt idx="435">
                  <c:v>1.1853891599630129</c:v>
                </c:pt>
                <c:pt idx="436">
                  <c:v>1.1795968668653345</c:v>
                </c:pt>
                <c:pt idx="437">
                  <c:v>1.1648787198308943</c:v>
                </c:pt>
                <c:pt idx="438">
                  <c:v>1.1600613879602839</c:v>
                </c:pt>
                <c:pt idx="439">
                  <c:v>1.1354096044645963</c:v>
                </c:pt>
                <c:pt idx="440">
                  <c:v>1.139659799705443</c:v>
                </c:pt>
                <c:pt idx="441">
                  <c:v>1.1429240538262173</c:v>
                </c:pt>
                <c:pt idx="442">
                  <c:v>1.1519286315241428</c:v>
                </c:pt>
                <c:pt idx="443">
                  <c:v>1.1227455556885375</c:v>
                </c:pt>
                <c:pt idx="444">
                  <c:v>1.1241346749282815</c:v>
                </c:pt>
                <c:pt idx="445">
                  <c:v>1.1120400416277043</c:v>
                </c:pt>
                <c:pt idx="446">
                  <c:v>1.1217312029854891</c:v>
                </c:pt>
                <c:pt idx="447">
                  <c:v>1.1239175334863061</c:v>
                </c:pt>
                <c:pt idx="448">
                  <c:v>1.1172007097213428</c:v>
                </c:pt>
                <c:pt idx="449">
                  <c:v>1.1240542642293789</c:v>
                </c:pt>
                <c:pt idx="450">
                  <c:v>1.1150507815612141</c:v>
                </c:pt>
                <c:pt idx="451">
                  <c:v>1.0991679371971428</c:v>
                </c:pt>
                <c:pt idx="452">
                  <c:v>1.102468445681611</c:v>
                </c:pt>
                <c:pt idx="453">
                  <c:v>1.1010088006062084</c:v>
                </c:pt>
                <c:pt idx="454">
                  <c:v>1.1059710315499975</c:v>
                </c:pt>
                <c:pt idx="455">
                  <c:v>1.1161692804731096</c:v>
                </c:pt>
                <c:pt idx="456">
                  <c:v>1.102338018758511</c:v>
                </c:pt>
                <c:pt idx="457">
                  <c:v>1.1121896759647123</c:v>
                </c:pt>
                <c:pt idx="458">
                  <c:v>1.111061706525158</c:v>
                </c:pt>
                <c:pt idx="459">
                  <c:v>1.1059068983205085</c:v>
                </c:pt>
                <c:pt idx="460">
                  <c:v>1.0994111225901799</c:v>
                </c:pt>
                <c:pt idx="461">
                  <c:v>1.1069133194566427</c:v>
                </c:pt>
                <c:pt idx="462">
                  <c:v>1.0999188612542838</c:v>
                </c:pt>
                <c:pt idx="463">
                  <c:v>1.1039602609556542</c:v>
                </c:pt>
                <c:pt idx="464">
                  <c:v>1.1039273508720402</c:v>
                </c:pt>
                <c:pt idx="465">
                  <c:v>1.0915142710789383</c:v>
                </c:pt>
                <c:pt idx="466">
                  <c:v>1.1033210003386897</c:v>
                </c:pt>
                <c:pt idx="467">
                  <c:v>1.0953728008102983</c:v>
                </c:pt>
                <c:pt idx="468">
                  <c:v>1.0962343524686529</c:v>
                </c:pt>
                <c:pt idx="469">
                  <c:v>1.104000925033789</c:v>
                </c:pt>
                <c:pt idx="470">
                  <c:v>1.1152901195523897</c:v>
                </c:pt>
                <c:pt idx="471">
                  <c:v>1.1280334544021913</c:v>
                </c:pt>
                <c:pt idx="472">
                  <c:v>1.12763859258962</c:v>
                </c:pt>
                <c:pt idx="473">
                  <c:v>1.1279692619819044</c:v>
                </c:pt>
                <c:pt idx="474">
                  <c:v>1.1283073598193212</c:v>
                </c:pt>
                <c:pt idx="475">
                  <c:v>1.1256639875727736</c:v>
                </c:pt>
                <c:pt idx="476">
                  <c:v>1.1171421404268531</c:v>
                </c:pt>
                <c:pt idx="477">
                  <c:v>1.118280142706646</c:v>
                </c:pt>
                <c:pt idx="478">
                  <c:v>1.1119289996909056</c:v>
                </c:pt>
                <c:pt idx="479">
                  <c:v>1.085912601945791</c:v>
                </c:pt>
                <c:pt idx="480">
                  <c:v>1.0900460137424459</c:v>
                </c:pt>
                <c:pt idx="481">
                  <c:v>1.0899677043168676</c:v>
                </c:pt>
                <c:pt idx="482">
                  <c:v>1.0970278051140612</c:v>
                </c:pt>
                <c:pt idx="483">
                  <c:v>1.0970066148084248</c:v>
                </c:pt>
                <c:pt idx="484">
                  <c:v>1.1041039466174767</c:v>
                </c:pt>
                <c:pt idx="485">
                  <c:v>1.1090083777471484</c:v>
                </c:pt>
                <c:pt idx="486">
                  <c:v>1.11377933362763</c:v>
                </c:pt>
                <c:pt idx="487">
                  <c:v>1.1149874178120973</c:v>
                </c:pt>
                <c:pt idx="488">
                  <c:v>1.1168925624276467</c:v>
                </c:pt>
                <c:pt idx="489">
                  <c:v>1.1033498854480488</c:v>
                </c:pt>
                <c:pt idx="490">
                  <c:v>1.0986351608255411</c:v>
                </c:pt>
                <c:pt idx="491">
                  <c:v>1.0793062874004455</c:v>
                </c:pt>
                <c:pt idx="492">
                  <c:v>1.0466504874539777</c:v>
                </c:pt>
                <c:pt idx="493">
                  <c:v>1.0433786865064751</c:v>
                </c:pt>
                <c:pt idx="494">
                  <c:v>1.0414820061750207</c:v>
                </c:pt>
                <c:pt idx="495">
                  <c:v>0.99913013203454515</c:v>
                </c:pt>
                <c:pt idx="496">
                  <c:v>0.99578703577101157</c:v>
                </c:pt>
                <c:pt idx="497">
                  <c:v>0.99740776860280944</c:v>
                </c:pt>
                <c:pt idx="498">
                  <c:v>0.96098225471718102</c:v>
                </c:pt>
                <c:pt idx="499">
                  <c:v>0.97915800261362884</c:v>
                </c:pt>
                <c:pt idx="500">
                  <c:v>0.98293680234026204</c:v>
                </c:pt>
                <c:pt idx="501">
                  <c:v>0.9849046892015505</c:v>
                </c:pt>
                <c:pt idx="502">
                  <c:v>1.0034614482638686</c:v>
                </c:pt>
                <c:pt idx="503">
                  <c:v>1.0082211282973566</c:v>
                </c:pt>
                <c:pt idx="504">
                  <c:v>1.0289776245762088</c:v>
                </c:pt>
                <c:pt idx="505">
                  <c:v>1.0300741341066966</c:v>
                </c:pt>
                <c:pt idx="506">
                  <c:v>1.0311056817365254</c:v>
                </c:pt>
                <c:pt idx="507">
                  <c:v>1.0382595111621415</c:v>
                </c:pt>
                <c:pt idx="508">
                  <c:v>1.033582935008859</c:v>
                </c:pt>
                <c:pt idx="509">
                  <c:v>1.0379987756975368</c:v>
                </c:pt>
                <c:pt idx="510">
                  <c:v>1.0474434073822052</c:v>
                </c:pt>
                <c:pt idx="511">
                  <c:v>1.0389341678762305</c:v>
                </c:pt>
                <c:pt idx="512">
                  <c:v>1.045090218022201</c:v>
                </c:pt>
                <c:pt idx="513">
                  <c:v>1.0576153755910644</c:v>
                </c:pt>
                <c:pt idx="514">
                  <c:v>1.0712075360776792</c:v>
                </c:pt>
                <c:pt idx="515">
                  <c:v>1.0632585078781176</c:v>
                </c:pt>
                <c:pt idx="516">
                  <c:v>1.0525526090770982</c:v>
                </c:pt>
                <c:pt idx="517">
                  <c:v>1.0511381265804682</c:v>
                </c:pt>
                <c:pt idx="518">
                  <c:v>1.0468030517354801</c:v>
                </c:pt>
                <c:pt idx="519">
                  <c:v>1.0462657768632404</c:v>
                </c:pt>
                <c:pt idx="520">
                  <c:v>1.0469496673417968</c:v>
                </c:pt>
                <c:pt idx="521">
                  <c:v>1.0438857444764036</c:v>
                </c:pt>
                <c:pt idx="522">
                  <c:v>1.0404137306551153</c:v>
                </c:pt>
                <c:pt idx="523">
                  <c:v>0.99812785425426165</c:v>
                </c:pt>
                <c:pt idx="524">
                  <c:v>1.0060751955160838</c:v>
                </c:pt>
                <c:pt idx="525">
                  <c:v>1.025355266128338</c:v>
                </c:pt>
                <c:pt idx="526">
                  <c:v>1.0161329846758576</c:v>
                </c:pt>
                <c:pt idx="527">
                  <c:v>1.0238526781290831</c:v>
                </c:pt>
                <c:pt idx="528">
                  <c:v>1.0364281478761335</c:v>
                </c:pt>
                <c:pt idx="529">
                  <c:v>1.0377808943705882</c:v>
                </c:pt>
                <c:pt idx="530">
                  <c:v>1.0282858617215358</c:v>
                </c:pt>
                <c:pt idx="531">
                  <c:v>1.0218259556147149</c:v>
                </c:pt>
                <c:pt idx="532">
                  <c:v>1.0218814765831141</c:v>
                </c:pt>
                <c:pt idx="533">
                  <c:v>1.0261360223476041</c:v>
                </c:pt>
                <c:pt idx="534">
                  <c:v>1.030306014057341</c:v>
                </c:pt>
                <c:pt idx="535">
                  <c:v>1.0218788425926091</c:v>
                </c:pt>
                <c:pt idx="536">
                  <c:v>1.020468799405819</c:v>
                </c:pt>
                <c:pt idx="537">
                  <c:v>1.0128544655727969</c:v>
                </c:pt>
                <c:pt idx="538">
                  <c:v>0.99343505982236369</c:v>
                </c:pt>
                <c:pt idx="539">
                  <c:v>1.0028252655683931</c:v>
                </c:pt>
                <c:pt idx="540">
                  <c:v>1.0104099448116839</c:v>
                </c:pt>
                <c:pt idx="541">
                  <c:v>0.99230942841932512</c:v>
                </c:pt>
                <c:pt idx="542">
                  <c:v>0.98504088722744265</c:v>
                </c:pt>
                <c:pt idx="543">
                  <c:v>1.0045399046010073</c:v>
                </c:pt>
                <c:pt idx="544">
                  <c:v>1.0051843444127853</c:v>
                </c:pt>
                <c:pt idx="545">
                  <c:v>0.99038356702452246</c:v>
                </c:pt>
                <c:pt idx="546">
                  <c:v>0.99419453694979631</c:v>
                </c:pt>
                <c:pt idx="547">
                  <c:v>0.99092051634737377</c:v>
                </c:pt>
                <c:pt idx="548">
                  <c:v>0.99761872460640777</c:v>
                </c:pt>
                <c:pt idx="549">
                  <c:v>0.99501527655302147</c:v>
                </c:pt>
                <c:pt idx="550">
                  <c:v>1.0088960217746372</c:v>
                </c:pt>
                <c:pt idx="551">
                  <c:v>1.0154052930068795</c:v>
                </c:pt>
                <c:pt idx="552">
                  <c:v>1.014646141428835</c:v>
                </c:pt>
                <c:pt idx="553">
                  <c:v>1.0168932608790615</c:v>
                </c:pt>
                <c:pt idx="554">
                  <c:v>1.0103998527806475</c:v>
                </c:pt>
                <c:pt idx="555">
                  <c:v>1.0071537406394193</c:v>
                </c:pt>
                <c:pt idx="556">
                  <c:v>1.0146236785210445</c:v>
                </c:pt>
                <c:pt idx="557">
                  <c:v>1.0087754205239829</c:v>
                </c:pt>
                <c:pt idx="558">
                  <c:v>1.0022520914772473</c:v>
                </c:pt>
                <c:pt idx="559">
                  <c:v>1.0065328587651923</c:v>
                </c:pt>
                <c:pt idx="560">
                  <c:v>1.0166776879932296</c:v>
                </c:pt>
                <c:pt idx="561">
                  <c:v>1.0155299784225864</c:v>
                </c:pt>
                <c:pt idx="562">
                  <c:v>1.0033775453078921</c:v>
                </c:pt>
                <c:pt idx="563">
                  <c:v>0.99769235795895439</c:v>
                </c:pt>
                <c:pt idx="564">
                  <c:v>0.98904348736081127</c:v>
                </c:pt>
                <c:pt idx="565">
                  <c:v>0.98190451482545982</c:v>
                </c:pt>
                <c:pt idx="566">
                  <c:v>0.9771286757041544</c:v>
                </c:pt>
                <c:pt idx="567">
                  <c:v>0.94610742964078642</c:v>
                </c:pt>
                <c:pt idx="568">
                  <c:v>0.95591910346302866</c:v>
                </c:pt>
                <c:pt idx="569">
                  <c:v>0.94759954086881903</c:v>
                </c:pt>
                <c:pt idx="570">
                  <c:v>0.94383542046005697</c:v>
                </c:pt>
                <c:pt idx="571">
                  <c:v>0.9529270382262458</c:v>
                </c:pt>
                <c:pt idx="572">
                  <c:v>0.95395512319439946</c:v>
                </c:pt>
                <c:pt idx="573">
                  <c:v>0.94801683599378217</c:v>
                </c:pt>
                <c:pt idx="574">
                  <c:v>0.93562411783514621</c:v>
                </c:pt>
                <c:pt idx="575">
                  <c:v>0.93037578816986666</c:v>
                </c:pt>
                <c:pt idx="576">
                  <c:v>0.939385752230398</c:v>
                </c:pt>
                <c:pt idx="577">
                  <c:v>0.92627445778565565</c:v>
                </c:pt>
                <c:pt idx="578">
                  <c:v>0.92155757269902583</c:v>
                </c:pt>
                <c:pt idx="579">
                  <c:v>0.90752479591308843</c:v>
                </c:pt>
                <c:pt idx="580">
                  <c:v>0.85836142232646107</c:v>
                </c:pt>
                <c:pt idx="581">
                  <c:v>0.86475183843658643</c:v>
                </c:pt>
                <c:pt idx="582">
                  <c:v>0.84781332619255556</c:v>
                </c:pt>
                <c:pt idx="583">
                  <c:v>0.85798769162872823</c:v>
                </c:pt>
                <c:pt idx="584">
                  <c:v>0.85155314877879318</c:v>
                </c:pt>
                <c:pt idx="585">
                  <c:v>0.85356344584675337</c:v>
                </c:pt>
                <c:pt idx="586">
                  <c:v>0.84786979421372066</c:v>
                </c:pt>
                <c:pt idx="587">
                  <c:v>0.83874532555471548</c:v>
                </c:pt>
                <c:pt idx="588">
                  <c:v>0.85731344925022424</c:v>
                </c:pt>
                <c:pt idx="589">
                  <c:v>0.84182064264869827</c:v>
                </c:pt>
                <c:pt idx="590">
                  <c:v>0.84862281954418584</c:v>
                </c:pt>
                <c:pt idx="591">
                  <c:v>0.83591701166023202</c:v>
                </c:pt>
                <c:pt idx="592">
                  <c:v>0.81879204840291975</c:v>
                </c:pt>
                <c:pt idx="593">
                  <c:v>0.81840864000973568</c:v>
                </c:pt>
                <c:pt idx="594">
                  <c:v>0.8324223573587598</c:v>
                </c:pt>
                <c:pt idx="595">
                  <c:v>0.83827875409052799</c:v>
                </c:pt>
                <c:pt idx="596">
                  <c:v>0.8204933695060137</c:v>
                </c:pt>
                <c:pt idx="597">
                  <c:v>0.83961563745115431</c:v>
                </c:pt>
                <c:pt idx="598">
                  <c:v>0.83870338887442653</c:v>
                </c:pt>
                <c:pt idx="599">
                  <c:v>0.83807220780137071</c:v>
                </c:pt>
                <c:pt idx="600">
                  <c:v>0.83895867878562735</c:v>
                </c:pt>
                <c:pt idx="601">
                  <c:v>0.83512820549245614</c:v>
                </c:pt>
                <c:pt idx="602">
                  <c:v>0.82809509569909001</c:v>
                </c:pt>
                <c:pt idx="603">
                  <c:v>0.83632030816149938</c:v>
                </c:pt>
                <c:pt idx="604">
                  <c:v>0.85260976371151864</c:v>
                </c:pt>
                <c:pt idx="605">
                  <c:v>0.87356768627551251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A6-4134-B0AA-4ADD19ECFA0A}"/>
            </c:ext>
          </c:extLst>
        </c:ser>
        <c:ser>
          <c:idx val="3"/>
          <c:order val="3"/>
          <c:tx>
            <c:strRef>
              <c:f>回撤结果!$AF$2</c:f>
              <c:strCache>
                <c:ptCount val="1"/>
                <c:pt idx="0">
                  <c:v>全指可选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回撤结果!$AB$3:$AB$608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回撤结果!$AF$3:$AF$608</c:f>
              <c:numCache>
                <c:formatCode>General</c:formatCode>
                <c:ptCount val="606"/>
                <c:pt idx="0">
                  <c:v>1</c:v>
                </c:pt>
                <c:pt idx="1">
                  <c:v>1.0349950243551251</c:v>
                </c:pt>
                <c:pt idx="2">
                  <c:v>1.0235766171776257</c:v>
                </c:pt>
                <c:pt idx="3">
                  <c:v>1.0558708991247703</c:v>
                </c:pt>
                <c:pt idx="4">
                  <c:v>1.0585613656320536</c:v>
                </c:pt>
                <c:pt idx="5">
                  <c:v>1.0786645422913272</c:v>
                </c:pt>
                <c:pt idx="6">
                  <c:v>1.0712265476343821</c:v>
                </c:pt>
                <c:pt idx="7">
                  <c:v>1.0708367043594422</c:v>
                </c:pt>
                <c:pt idx="8">
                  <c:v>1.1112477279818151</c:v>
                </c:pt>
                <c:pt idx="9">
                  <c:v>1.1266545492363476</c:v>
                </c:pt>
                <c:pt idx="10">
                  <c:v>1.1221341867224199</c:v>
                </c:pt>
                <c:pt idx="11">
                  <c:v>1.124871235934473</c:v>
                </c:pt>
                <c:pt idx="12">
                  <c:v>1.1481268604394157</c:v>
                </c:pt>
                <c:pt idx="13">
                  <c:v>1.1374577049509786</c:v>
                </c:pt>
                <c:pt idx="14">
                  <c:v>1.1466837270050876</c:v>
                </c:pt>
                <c:pt idx="15">
                  <c:v>1.0633867177057077</c:v>
                </c:pt>
                <c:pt idx="16">
                  <c:v>1.0648984122803009</c:v>
                </c:pt>
                <c:pt idx="17">
                  <c:v>1.0080532874715269</c:v>
                </c:pt>
                <c:pt idx="18">
                  <c:v>1.0293990210808965</c:v>
                </c:pt>
                <c:pt idx="19">
                  <c:v>1.077107195425508</c:v>
                </c:pt>
                <c:pt idx="20">
                  <c:v>1.0786368986711419</c:v>
                </c:pt>
                <c:pt idx="21">
                  <c:v>1.053842556247117</c:v>
                </c:pt>
                <c:pt idx="22">
                  <c:v>1.0711155182847971</c:v>
                </c:pt>
                <c:pt idx="23">
                  <c:v>1.077260031357004</c:v>
                </c:pt>
                <c:pt idx="24">
                  <c:v>1.0586446273063141</c:v>
                </c:pt>
                <c:pt idx="25">
                  <c:v>1.040962469391979</c:v>
                </c:pt>
                <c:pt idx="26">
                  <c:v>1.0403647717313074</c:v>
                </c:pt>
                <c:pt idx="27">
                  <c:v>1.0735786951012072</c:v>
                </c:pt>
                <c:pt idx="28">
                  <c:v>1.0690789464162436</c:v>
                </c:pt>
                <c:pt idx="29">
                  <c:v>1.059559864771628</c:v>
                </c:pt>
                <c:pt idx="30">
                  <c:v>1.0915168614711408</c:v>
                </c:pt>
                <c:pt idx="31">
                  <c:v>1.1280288320684189</c:v>
                </c:pt>
                <c:pt idx="32">
                  <c:v>1.1537951465080856</c:v>
                </c:pt>
                <c:pt idx="33">
                  <c:v>1.1521676257851916</c:v>
                </c:pt>
                <c:pt idx="34">
                  <c:v>1.1620226900984771</c:v>
                </c:pt>
                <c:pt idx="35">
                  <c:v>1.1500302384401802</c:v>
                </c:pt>
                <c:pt idx="36">
                  <c:v>1.1590453254059343</c:v>
                </c:pt>
                <c:pt idx="37">
                  <c:v>1.150658288258243</c:v>
                </c:pt>
                <c:pt idx="38">
                  <c:v>1.1284676564474867</c:v>
                </c:pt>
                <c:pt idx="39">
                  <c:v>1.1648061566084482</c:v>
                </c:pt>
                <c:pt idx="40">
                  <c:v>1.1694973637249126</c:v>
                </c:pt>
                <c:pt idx="41">
                  <c:v>1.1645463851469608</c:v>
                </c:pt>
                <c:pt idx="42">
                  <c:v>1.1926517178845537</c:v>
                </c:pt>
                <c:pt idx="43">
                  <c:v>1.1959557611103264</c:v>
                </c:pt>
                <c:pt idx="44">
                  <c:v>1.1796872115071892</c:v>
                </c:pt>
                <c:pt idx="45">
                  <c:v>1.1707484804796138</c:v>
                </c:pt>
                <c:pt idx="46">
                  <c:v>1.1942816370068059</c:v>
                </c:pt>
                <c:pt idx="47">
                  <c:v>1.1879874720850092</c:v>
                </c:pt>
                <c:pt idx="48">
                  <c:v>1.2004129175308313</c:v>
                </c:pt>
                <c:pt idx="49">
                  <c:v>1.2129298743176709</c:v>
                </c:pt>
                <c:pt idx="50">
                  <c:v>1.2112586034823518</c:v>
                </c:pt>
                <c:pt idx="51">
                  <c:v>1.1977468898859704</c:v>
                </c:pt>
                <c:pt idx="52">
                  <c:v>1.2019175616383466</c:v>
                </c:pt>
                <c:pt idx="53">
                  <c:v>1.1515369708092054</c:v>
                </c:pt>
                <c:pt idx="54">
                  <c:v>1.1359192351421745</c:v>
                </c:pt>
                <c:pt idx="55">
                  <c:v>1.1474787757163718</c:v>
                </c:pt>
                <c:pt idx="56">
                  <c:v>1.1427266782024161</c:v>
                </c:pt>
                <c:pt idx="57">
                  <c:v>1.1546705415978591</c:v>
                </c:pt>
                <c:pt idx="58">
                  <c:v>1.1503367993650031</c:v>
                </c:pt>
                <c:pt idx="59">
                  <c:v>1.147598096084427</c:v>
                </c:pt>
                <c:pt idx="60">
                  <c:v>1.149689479648651</c:v>
                </c:pt>
                <c:pt idx="61">
                  <c:v>1.1807739345265922</c:v>
                </c:pt>
                <c:pt idx="62">
                  <c:v>1.1800414302813218</c:v>
                </c:pt>
                <c:pt idx="63">
                  <c:v>1.1854333835274209</c:v>
                </c:pt>
                <c:pt idx="64">
                  <c:v>1.1450572400750203</c:v>
                </c:pt>
                <c:pt idx="65">
                  <c:v>1.1075083545967286</c:v>
                </c:pt>
                <c:pt idx="66">
                  <c:v>1.1056569970510026</c:v>
                </c:pt>
                <c:pt idx="67">
                  <c:v>1.1017144833754742</c:v>
                </c:pt>
                <c:pt idx="68">
                  <c:v>1.1007451992211816</c:v>
                </c:pt>
                <c:pt idx="69">
                  <c:v>1.0953333764769539</c:v>
                </c:pt>
                <c:pt idx="70">
                  <c:v>1.1111011154831358</c:v>
                </c:pt>
                <c:pt idx="71">
                  <c:v>1.1052369670255238</c:v>
                </c:pt>
                <c:pt idx="72">
                  <c:v>1.0805964116223952</c:v>
                </c:pt>
                <c:pt idx="73">
                  <c:v>1.0841960575690277</c:v>
                </c:pt>
                <c:pt idx="74">
                  <c:v>1.0930008503979791</c:v>
                </c:pt>
                <c:pt idx="75">
                  <c:v>1.1062785960018269</c:v>
                </c:pt>
                <c:pt idx="76">
                  <c:v>1.098805224954353</c:v>
                </c:pt>
                <c:pt idx="77">
                  <c:v>1.0948459018074626</c:v>
                </c:pt>
                <c:pt idx="78">
                  <c:v>1.0984633703424274</c:v>
                </c:pt>
                <c:pt idx="79">
                  <c:v>1.0980146835797928</c:v>
                </c:pt>
                <c:pt idx="80">
                  <c:v>1.0937566149818496</c:v>
                </c:pt>
                <c:pt idx="81">
                  <c:v>1.1320362265817494</c:v>
                </c:pt>
                <c:pt idx="82">
                  <c:v>1.1378466178123745</c:v>
                </c:pt>
                <c:pt idx="83">
                  <c:v>1.1437844756985287</c:v>
                </c:pt>
                <c:pt idx="84">
                  <c:v>1.151629143777632</c:v>
                </c:pt>
                <c:pt idx="85">
                  <c:v>1.1563534529404067</c:v>
                </c:pt>
                <c:pt idx="86">
                  <c:v>1.1549948010558746</c:v>
                </c:pt>
                <c:pt idx="87">
                  <c:v>1.1482672288294218</c:v>
                </c:pt>
                <c:pt idx="88">
                  <c:v>1.0964983369374797</c:v>
                </c:pt>
                <c:pt idx="89">
                  <c:v>1.0964309956727498</c:v>
                </c:pt>
                <c:pt idx="90">
                  <c:v>1.1280341664394045</c:v>
                </c:pt>
                <c:pt idx="91">
                  <c:v>1.1210086551203033</c:v>
                </c:pt>
                <c:pt idx="92">
                  <c:v>1.1253793657846416</c:v>
                </c:pt>
                <c:pt idx="93">
                  <c:v>1.1266433842738193</c:v>
                </c:pt>
                <c:pt idx="94">
                  <c:v>1.116267846624015</c:v>
                </c:pt>
                <c:pt idx="95">
                  <c:v>1.1287859199071075</c:v>
                </c:pt>
                <c:pt idx="96">
                  <c:v>1.121107258280112</c:v>
                </c:pt>
                <c:pt idx="97">
                  <c:v>1.1097748833416483</c:v>
                </c:pt>
                <c:pt idx="98">
                  <c:v>1.130308014437537</c:v>
                </c:pt>
                <c:pt idx="99">
                  <c:v>1.14235077045478</c:v>
                </c:pt>
                <c:pt idx="100">
                  <c:v>1.1448282342880547</c:v>
                </c:pt>
                <c:pt idx="101">
                  <c:v>1.1489884440570248</c:v>
                </c:pt>
                <c:pt idx="102">
                  <c:v>1.1467106676461507</c:v>
                </c:pt>
                <c:pt idx="103">
                  <c:v>1.1654604647643085</c:v>
                </c:pt>
                <c:pt idx="104">
                  <c:v>1.1685539243912872</c:v>
                </c:pt>
                <c:pt idx="105">
                  <c:v>1.1721873133357827</c:v>
                </c:pt>
                <c:pt idx="106">
                  <c:v>1.1686497776621767</c:v>
                </c:pt>
                <c:pt idx="107">
                  <c:v>1.1617646140572255</c:v>
                </c:pt>
                <c:pt idx="108">
                  <c:v>1.1609352434240956</c:v>
                </c:pt>
                <c:pt idx="109">
                  <c:v>1.1825978345348418</c:v>
                </c:pt>
                <c:pt idx="110">
                  <c:v>1.1957708569253471</c:v>
                </c:pt>
                <c:pt idx="111">
                  <c:v>1.1975637224729399</c:v>
                </c:pt>
                <c:pt idx="112">
                  <c:v>1.1979216835771052</c:v>
                </c:pt>
                <c:pt idx="113">
                  <c:v>1.195102179049196</c:v>
                </c:pt>
                <c:pt idx="114">
                  <c:v>1.1956502960059001</c:v>
                </c:pt>
                <c:pt idx="115">
                  <c:v>1.1969351764343203</c:v>
                </c:pt>
                <c:pt idx="116">
                  <c:v>1.1997275955901705</c:v>
                </c:pt>
                <c:pt idx="117">
                  <c:v>1.1898515452825034</c:v>
                </c:pt>
                <c:pt idx="118">
                  <c:v>1.1892781004015458</c:v>
                </c:pt>
                <c:pt idx="119">
                  <c:v>1.206220166031263</c:v>
                </c:pt>
                <c:pt idx="120">
                  <c:v>1.1605866691587965</c:v>
                </c:pt>
                <c:pt idx="121">
                  <c:v>1.1664880961857385</c:v>
                </c:pt>
                <c:pt idx="122">
                  <c:v>1.160167197381444</c:v>
                </c:pt>
                <c:pt idx="123">
                  <c:v>1.1417731490508025</c:v>
                </c:pt>
                <c:pt idx="124">
                  <c:v>1.149629767774982</c:v>
                </c:pt>
                <c:pt idx="125">
                  <c:v>1.1528165995700661</c:v>
                </c:pt>
                <c:pt idx="126">
                  <c:v>1.1578015485803026</c:v>
                </c:pt>
                <c:pt idx="127">
                  <c:v>1.1514570172719902</c:v>
                </c:pt>
                <c:pt idx="128">
                  <c:v>1.1635573762255356</c:v>
                </c:pt>
                <c:pt idx="129">
                  <c:v>1.1740282088981029</c:v>
                </c:pt>
                <c:pt idx="130">
                  <c:v>1.1682173214469211</c:v>
                </c:pt>
                <c:pt idx="131">
                  <c:v>1.1554057543803353</c:v>
                </c:pt>
                <c:pt idx="132">
                  <c:v>1.1666417798273523</c:v>
                </c:pt>
                <c:pt idx="133">
                  <c:v>1.1919137345373021</c:v>
                </c:pt>
                <c:pt idx="134">
                  <c:v>1.1956542450944978</c:v>
                </c:pt>
                <c:pt idx="135">
                  <c:v>1.2021408402130522</c:v>
                </c:pt>
                <c:pt idx="136">
                  <c:v>1.2003367683512183</c:v>
                </c:pt>
                <c:pt idx="137">
                  <c:v>1.2006333221614789</c:v>
                </c:pt>
                <c:pt idx="138">
                  <c:v>1.1863849071209509</c:v>
                </c:pt>
                <c:pt idx="139">
                  <c:v>1.1862037866177171</c:v>
                </c:pt>
                <c:pt idx="140">
                  <c:v>1.1870046452446874</c:v>
                </c:pt>
                <c:pt idx="141">
                  <c:v>1.1767118730485868</c:v>
                </c:pt>
                <c:pt idx="142">
                  <c:v>1.1786119222364495</c:v>
                </c:pt>
                <c:pt idx="143">
                  <c:v>1.1788832308258825</c:v>
                </c:pt>
                <c:pt idx="144">
                  <c:v>1.1798985807885316</c:v>
                </c:pt>
                <c:pt idx="145">
                  <c:v>1.1808362722340406</c:v>
                </c:pt>
                <c:pt idx="146">
                  <c:v>1.1751795026174601</c:v>
                </c:pt>
                <c:pt idx="147">
                  <c:v>1.1772971651953383</c:v>
                </c:pt>
                <c:pt idx="148">
                  <c:v>1.1847670006713449</c:v>
                </c:pt>
                <c:pt idx="149">
                  <c:v>1.203771172852435</c:v>
                </c:pt>
                <c:pt idx="150">
                  <c:v>1.2010884804672082</c:v>
                </c:pt>
                <c:pt idx="151">
                  <c:v>1.2035837048612452</c:v>
                </c:pt>
                <c:pt idx="152">
                  <c:v>1.1945719053566803</c:v>
                </c:pt>
                <c:pt idx="153">
                  <c:v>1.1638743371061946</c:v>
                </c:pt>
                <c:pt idx="154">
                  <c:v>1.1685897556506599</c:v>
                </c:pt>
                <c:pt idx="155">
                  <c:v>1.1598862124911533</c:v>
                </c:pt>
                <c:pt idx="156">
                  <c:v>1.1746615724112948</c:v>
                </c:pt>
                <c:pt idx="157">
                  <c:v>1.1726243802670451</c:v>
                </c:pt>
                <c:pt idx="158">
                  <c:v>1.1741945461639152</c:v>
                </c:pt>
                <c:pt idx="159">
                  <c:v>1.1810120170145759</c:v>
                </c:pt>
                <c:pt idx="160">
                  <c:v>1.1765031296010242</c:v>
                </c:pt>
                <c:pt idx="161">
                  <c:v>1.1546026420850029</c:v>
                </c:pt>
                <c:pt idx="162">
                  <c:v>1.1638876730336589</c:v>
                </c:pt>
                <c:pt idx="163">
                  <c:v>1.1635978595526282</c:v>
                </c:pt>
                <c:pt idx="164">
                  <c:v>1.1667091417679387</c:v>
                </c:pt>
                <c:pt idx="165">
                  <c:v>1.1733141888685736</c:v>
                </c:pt>
                <c:pt idx="166">
                  <c:v>1.1918285086566709</c:v>
                </c:pt>
                <c:pt idx="167">
                  <c:v>1.1960797748978147</c:v>
                </c:pt>
                <c:pt idx="168">
                  <c:v>1.1957871908520086</c:v>
                </c:pt>
                <c:pt idx="169">
                  <c:v>1.1956306952939062</c:v>
                </c:pt>
                <c:pt idx="170">
                  <c:v>1.1942271147731267</c:v>
                </c:pt>
                <c:pt idx="171">
                  <c:v>1.1832365530948759</c:v>
                </c:pt>
                <c:pt idx="172">
                  <c:v>1.1992185973540279</c:v>
                </c:pt>
                <c:pt idx="173">
                  <c:v>1.197093202005806</c:v>
                </c:pt>
                <c:pt idx="174">
                  <c:v>1.2019564942761991</c:v>
                </c:pt>
                <c:pt idx="175">
                  <c:v>1.1994222131891701</c:v>
                </c:pt>
                <c:pt idx="176">
                  <c:v>1.2090490780738952</c:v>
                </c:pt>
                <c:pt idx="177">
                  <c:v>1.2135815566397514</c:v>
                </c:pt>
                <c:pt idx="178">
                  <c:v>1.2071555211049838</c:v>
                </c:pt>
                <c:pt idx="179">
                  <c:v>1.2061715364166963</c:v>
                </c:pt>
                <c:pt idx="180">
                  <c:v>1.1978239694791275</c:v>
                </c:pt>
                <c:pt idx="181">
                  <c:v>1.1993488345743328</c:v>
                </c:pt>
                <c:pt idx="182">
                  <c:v>1.209919531633957</c:v>
                </c:pt>
                <c:pt idx="183">
                  <c:v>1.203054878478687</c:v>
                </c:pt>
                <c:pt idx="184">
                  <c:v>1.2087262452499803</c:v>
                </c:pt>
                <c:pt idx="185">
                  <c:v>1.2064184474954196</c:v>
                </c:pt>
                <c:pt idx="186">
                  <c:v>1.2048434847998337</c:v>
                </c:pt>
                <c:pt idx="187">
                  <c:v>1.2143283479018863</c:v>
                </c:pt>
                <c:pt idx="188">
                  <c:v>1.2046283938643154</c:v>
                </c:pt>
                <c:pt idx="189">
                  <c:v>1.2187362751079847</c:v>
                </c:pt>
                <c:pt idx="190">
                  <c:v>1.2195785474755916</c:v>
                </c:pt>
                <c:pt idx="191">
                  <c:v>1.221338186921735</c:v>
                </c:pt>
                <c:pt idx="192">
                  <c:v>1.2267520152240465</c:v>
                </c:pt>
                <c:pt idx="193">
                  <c:v>1.228542151558577</c:v>
                </c:pt>
                <c:pt idx="194">
                  <c:v>1.2266728473693798</c:v>
                </c:pt>
                <c:pt idx="195">
                  <c:v>1.2223252729885026</c:v>
                </c:pt>
                <c:pt idx="196">
                  <c:v>1.2268175576892579</c:v>
                </c:pt>
                <c:pt idx="197">
                  <c:v>1.2364087567214623</c:v>
                </c:pt>
                <c:pt idx="198">
                  <c:v>1.2379242143019447</c:v>
                </c:pt>
                <c:pt idx="199">
                  <c:v>1.2407815556473103</c:v>
                </c:pt>
                <c:pt idx="200">
                  <c:v>1.2444846429041805</c:v>
                </c:pt>
                <c:pt idx="201">
                  <c:v>1.2484246754769248</c:v>
                </c:pt>
                <c:pt idx="202">
                  <c:v>1.2465539446536265</c:v>
                </c:pt>
                <c:pt idx="203">
                  <c:v>1.2423539958883991</c:v>
                </c:pt>
                <c:pt idx="204">
                  <c:v>1.2568051790539514</c:v>
                </c:pt>
                <c:pt idx="205">
                  <c:v>1.234248646610121</c:v>
                </c:pt>
                <c:pt idx="206">
                  <c:v>1.2170909938243284</c:v>
                </c:pt>
                <c:pt idx="207">
                  <c:v>1.2208315250573807</c:v>
                </c:pt>
                <c:pt idx="208">
                  <c:v>1.2321167797188042</c:v>
                </c:pt>
                <c:pt idx="209">
                  <c:v>1.2279941173052991</c:v>
                </c:pt>
                <c:pt idx="210">
                  <c:v>1.2293305012923443</c:v>
                </c:pt>
                <c:pt idx="211">
                  <c:v>1.1768202352126791</c:v>
                </c:pt>
                <c:pt idx="212">
                  <c:v>1.1777810422657926</c:v>
                </c:pt>
                <c:pt idx="213">
                  <c:v>1.1681791124640473</c:v>
                </c:pt>
                <c:pt idx="214">
                  <c:v>1.1706261621123613</c:v>
                </c:pt>
                <c:pt idx="215">
                  <c:v>1.1850541676427393</c:v>
                </c:pt>
                <c:pt idx="216">
                  <c:v>1.181098442094886</c:v>
                </c:pt>
                <c:pt idx="217">
                  <c:v>1.1770824464252374</c:v>
                </c:pt>
                <c:pt idx="218">
                  <c:v>1.1843281556164207</c:v>
                </c:pt>
                <c:pt idx="219">
                  <c:v>1.1865706590160483</c:v>
                </c:pt>
                <c:pt idx="220">
                  <c:v>1.1745910263888024</c:v>
                </c:pt>
                <c:pt idx="221">
                  <c:v>1.1779028850883448</c:v>
                </c:pt>
                <c:pt idx="222">
                  <c:v>1.1775160604884587</c:v>
                </c:pt>
                <c:pt idx="223">
                  <c:v>1.1722067486409242</c:v>
                </c:pt>
                <c:pt idx="224">
                  <c:v>1.1690529155128677</c:v>
                </c:pt>
                <c:pt idx="225">
                  <c:v>1.1700772181213959</c:v>
                </c:pt>
                <c:pt idx="226">
                  <c:v>1.1819773107285572</c:v>
                </c:pt>
                <c:pt idx="227">
                  <c:v>1.1961334287455192</c:v>
                </c:pt>
                <c:pt idx="228">
                  <c:v>1.1942434486997884</c:v>
                </c:pt>
                <c:pt idx="229">
                  <c:v>1.1858426000799329</c:v>
                </c:pt>
                <c:pt idx="230">
                  <c:v>1.1913599317200512</c:v>
                </c:pt>
                <c:pt idx="231">
                  <c:v>1.1893045654979086</c:v>
                </c:pt>
                <c:pt idx="232">
                  <c:v>1.1763188043400277</c:v>
                </c:pt>
                <c:pt idx="233">
                  <c:v>1.1660209045315069</c:v>
                </c:pt>
                <c:pt idx="234">
                  <c:v>1.1548597050092844</c:v>
                </c:pt>
                <c:pt idx="235">
                  <c:v>1.1265932453217256</c:v>
                </c:pt>
                <c:pt idx="236">
                  <c:v>1.1366913750044194</c:v>
                </c:pt>
                <c:pt idx="237">
                  <c:v>1.1367918389913159</c:v>
                </c:pt>
                <c:pt idx="238">
                  <c:v>1.1331284287031338</c:v>
                </c:pt>
                <c:pt idx="239">
                  <c:v>1.14843991358319</c:v>
                </c:pt>
                <c:pt idx="240">
                  <c:v>1.1537743879481257</c:v>
                </c:pt>
                <c:pt idx="241">
                  <c:v>1.1504519638858948</c:v>
                </c:pt>
                <c:pt idx="242">
                  <c:v>1.1553571454416249</c:v>
                </c:pt>
                <c:pt idx="243">
                  <c:v>1.1625713239515945</c:v>
                </c:pt>
                <c:pt idx="244">
                  <c:v>1.1581695995024561</c:v>
                </c:pt>
                <c:pt idx="245">
                  <c:v>1.1668259190056403</c:v>
                </c:pt>
                <c:pt idx="246">
                  <c:v>1.1660458396144864</c:v>
                </c:pt>
                <c:pt idx="247">
                  <c:v>1.171432355110317</c:v>
                </c:pt>
                <c:pt idx="248">
                  <c:v>1.1780556176405581</c:v>
                </c:pt>
                <c:pt idx="249">
                  <c:v>1.1749687536118136</c:v>
                </c:pt>
                <c:pt idx="250">
                  <c:v>1.183997031774036</c:v>
                </c:pt>
                <c:pt idx="251">
                  <c:v>1.1810371588561206</c:v>
                </c:pt>
                <c:pt idx="252">
                  <c:v>1.1724016806163224</c:v>
                </c:pt>
                <c:pt idx="253">
                  <c:v>1.1816308454006246</c:v>
                </c:pt>
                <c:pt idx="254">
                  <c:v>1.1762148668092336</c:v>
                </c:pt>
                <c:pt idx="255">
                  <c:v>1.1926735309131968</c:v>
                </c:pt>
                <c:pt idx="256">
                  <c:v>1.2022647299454012</c:v>
                </c:pt>
                <c:pt idx="257">
                  <c:v>1.2065267476319423</c:v>
                </c:pt>
                <c:pt idx="258">
                  <c:v>1.2040907182151608</c:v>
                </c:pt>
                <c:pt idx="259">
                  <c:v>1.2061734799472104</c:v>
                </c:pt>
                <c:pt idx="260">
                  <c:v>1.1973562402526259</c:v>
                </c:pt>
                <c:pt idx="261">
                  <c:v>1.2057002095911575</c:v>
                </c:pt>
                <c:pt idx="262">
                  <c:v>1.2087228750853654</c:v>
                </c:pt>
                <c:pt idx="263">
                  <c:v>1.2002320037861629</c:v>
                </c:pt>
                <c:pt idx="264">
                  <c:v>1.2032941188146364</c:v>
                </c:pt>
                <c:pt idx="265">
                  <c:v>1.2164625098132784</c:v>
                </c:pt>
                <c:pt idx="266">
                  <c:v>1.2184846292581151</c:v>
                </c:pt>
                <c:pt idx="267">
                  <c:v>1.2117381179470776</c:v>
                </c:pt>
                <c:pt idx="268">
                  <c:v>1.2038128553792065</c:v>
                </c:pt>
                <c:pt idx="269">
                  <c:v>1.2115801957548744</c:v>
                </c:pt>
                <c:pt idx="270">
                  <c:v>1.2177742068276227</c:v>
                </c:pt>
                <c:pt idx="271">
                  <c:v>1.216081288370513</c:v>
                </c:pt>
                <c:pt idx="272">
                  <c:v>1.2184026494869595</c:v>
                </c:pt>
                <c:pt idx="273">
                  <c:v>1.2241928817574643</c:v>
                </c:pt>
                <c:pt idx="274">
                  <c:v>1.212518838289784</c:v>
                </c:pt>
                <c:pt idx="275">
                  <c:v>1.2138023127599602</c:v>
                </c:pt>
                <c:pt idx="276">
                  <c:v>1.221574573989483</c:v>
                </c:pt>
                <c:pt idx="277">
                  <c:v>1.2185408882637427</c:v>
                </c:pt>
                <c:pt idx="278">
                  <c:v>1.2238963279472037</c:v>
                </c:pt>
                <c:pt idx="279">
                  <c:v>1.2288870661972695</c:v>
                </c:pt>
                <c:pt idx="280">
                  <c:v>1.2238165191409842</c:v>
                </c:pt>
                <c:pt idx="281">
                  <c:v>1.219614213328112</c:v>
                </c:pt>
                <c:pt idx="282">
                  <c:v>1.2141582476301849</c:v>
                </c:pt>
                <c:pt idx="283">
                  <c:v>1.1928363326075417</c:v>
                </c:pt>
                <c:pt idx="284">
                  <c:v>1.2018802417173036</c:v>
                </c:pt>
                <c:pt idx="285">
                  <c:v>1.2172788133050791</c:v>
                </c:pt>
                <c:pt idx="286">
                  <c:v>1.2203895165964065</c:v>
                </c:pt>
                <c:pt idx="287">
                  <c:v>1.2205132822736164</c:v>
                </c:pt>
                <c:pt idx="288">
                  <c:v>1.2093051072053498</c:v>
                </c:pt>
                <c:pt idx="289">
                  <c:v>1.2118567766877237</c:v>
                </c:pt>
                <c:pt idx="290">
                  <c:v>1.2054541462225521</c:v>
                </c:pt>
                <c:pt idx="291">
                  <c:v>1.2108744667438152</c:v>
                </c:pt>
                <c:pt idx="292">
                  <c:v>1.1960539507530044</c:v>
                </c:pt>
                <c:pt idx="293">
                  <c:v>1.1884385779228579</c:v>
                </c:pt>
                <c:pt idx="294">
                  <c:v>1.1876679060464268</c:v>
                </c:pt>
                <c:pt idx="295">
                  <c:v>1.1804050565701771</c:v>
                </c:pt>
                <c:pt idx="296">
                  <c:v>1.1796746199105603</c:v>
                </c:pt>
                <c:pt idx="297">
                  <c:v>1.1753269835021138</c:v>
                </c:pt>
                <c:pt idx="298">
                  <c:v>1.150234495226875</c:v>
                </c:pt>
                <c:pt idx="299">
                  <c:v>1.1579677617909756</c:v>
                </c:pt>
                <c:pt idx="300">
                  <c:v>1.1601190639874339</c:v>
                </c:pt>
                <c:pt idx="301">
                  <c:v>1.1608970551170779</c:v>
                </c:pt>
                <c:pt idx="302">
                  <c:v>1.159567887003963</c:v>
                </c:pt>
                <c:pt idx="303">
                  <c:v>1.1624920940693579</c:v>
                </c:pt>
                <c:pt idx="304">
                  <c:v>1.1607291878378823</c:v>
                </c:pt>
                <c:pt idx="305">
                  <c:v>1.1567520007509471</c:v>
                </c:pt>
                <c:pt idx="306">
                  <c:v>1.1508671350850883</c:v>
                </c:pt>
                <c:pt idx="307">
                  <c:v>1.1359192558180309</c:v>
                </c:pt>
                <c:pt idx="308">
                  <c:v>1.1328379949464071</c:v>
                </c:pt>
                <c:pt idx="309">
                  <c:v>1.1185371666095669</c:v>
                </c:pt>
                <c:pt idx="310">
                  <c:v>1.1191267593344771</c:v>
                </c:pt>
                <c:pt idx="311">
                  <c:v>1.1199202160048083</c:v>
                </c:pt>
                <c:pt idx="312">
                  <c:v>1.1226705597926128</c:v>
                </c:pt>
                <c:pt idx="313">
                  <c:v>1.1393263888644798</c:v>
                </c:pt>
                <c:pt idx="314">
                  <c:v>1.1383075033303636</c:v>
                </c:pt>
                <c:pt idx="315">
                  <c:v>1.1317120084754471</c:v>
                </c:pt>
                <c:pt idx="316">
                  <c:v>1.1347236537381225</c:v>
                </c:pt>
                <c:pt idx="317">
                  <c:v>1.1286086451131889</c:v>
                </c:pt>
                <c:pt idx="318">
                  <c:v>1.1140743036526588</c:v>
                </c:pt>
                <c:pt idx="319">
                  <c:v>1.1159415402562027</c:v>
                </c:pt>
                <c:pt idx="320">
                  <c:v>1.1203549465642826</c:v>
                </c:pt>
                <c:pt idx="321">
                  <c:v>1.123438523131838</c:v>
                </c:pt>
                <c:pt idx="322">
                  <c:v>1.1252873995747803</c:v>
                </c:pt>
                <c:pt idx="323">
                  <c:v>1.1127145352718739</c:v>
                </c:pt>
                <c:pt idx="324">
                  <c:v>1.1179454029197202</c:v>
                </c:pt>
                <c:pt idx="325">
                  <c:v>1.121083543072668</c:v>
                </c:pt>
                <c:pt idx="326">
                  <c:v>1.1340920269968793</c:v>
                </c:pt>
                <c:pt idx="327">
                  <c:v>1.150942374527014</c:v>
                </c:pt>
                <c:pt idx="328">
                  <c:v>1.1620887701359581</c:v>
                </c:pt>
                <c:pt idx="329">
                  <c:v>1.164113329331866</c:v>
                </c:pt>
                <c:pt idx="330">
                  <c:v>1.162230482456639</c:v>
                </c:pt>
                <c:pt idx="331">
                  <c:v>1.1734018545002758</c:v>
                </c:pt>
                <c:pt idx="332">
                  <c:v>1.1627187428086785</c:v>
                </c:pt>
                <c:pt idx="333">
                  <c:v>1.1699914133167817</c:v>
                </c:pt>
                <c:pt idx="334">
                  <c:v>1.160704955734025</c:v>
                </c:pt>
                <c:pt idx="335">
                  <c:v>1.1715377813027814</c:v>
                </c:pt>
                <c:pt idx="336">
                  <c:v>1.1711659466988824</c:v>
                </c:pt>
                <c:pt idx="337">
                  <c:v>1.1841455050998033</c:v>
                </c:pt>
                <c:pt idx="338">
                  <c:v>1.171737758187174</c:v>
                </c:pt>
                <c:pt idx="339">
                  <c:v>1.1813587097769302</c:v>
                </c:pt>
                <c:pt idx="340">
                  <c:v>1.1963483129224723</c:v>
                </c:pt>
                <c:pt idx="341">
                  <c:v>1.199260073122234</c:v>
                </c:pt>
                <c:pt idx="342">
                  <c:v>1.1863973126348712</c:v>
                </c:pt>
                <c:pt idx="343">
                  <c:v>1.1909788343324252</c:v>
                </c:pt>
                <c:pt idx="344">
                  <c:v>1.1954855714568973</c:v>
                </c:pt>
                <c:pt idx="345">
                  <c:v>1.1932051071846741</c:v>
                </c:pt>
                <c:pt idx="346">
                  <c:v>1.1862828924448146</c:v>
                </c:pt>
                <c:pt idx="347">
                  <c:v>1.1959011975249345</c:v>
                </c:pt>
                <c:pt idx="348">
                  <c:v>1.1949133671273315</c:v>
                </c:pt>
                <c:pt idx="349">
                  <c:v>1.1895235021427424</c:v>
                </c:pt>
                <c:pt idx="350">
                  <c:v>1.1818346266426192</c:v>
                </c:pt>
                <c:pt idx="351">
                  <c:v>1.1864650260650185</c:v>
                </c:pt>
                <c:pt idx="352">
                  <c:v>1.176044952620241</c:v>
                </c:pt>
                <c:pt idx="353">
                  <c:v>1.1746344043358099</c:v>
                </c:pt>
                <c:pt idx="354">
                  <c:v>1.1754725622079665</c:v>
                </c:pt>
                <c:pt idx="355">
                  <c:v>1.1378543919344311</c:v>
                </c:pt>
                <c:pt idx="356">
                  <c:v>1.1386528728378997</c:v>
                </c:pt>
                <c:pt idx="357">
                  <c:v>1.1467907659143619</c:v>
                </c:pt>
                <c:pt idx="358">
                  <c:v>1.1566413022150663</c:v>
                </c:pt>
                <c:pt idx="359">
                  <c:v>1.1568366063558824</c:v>
                </c:pt>
                <c:pt idx="360">
                  <c:v>1.1667141039735067</c:v>
                </c:pt>
                <c:pt idx="361">
                  <c:v>1.1645378253423559</c:v>
                </c:pt>
                <c:pt idx="362">
                  <c:v>1.1555242270382724</c:v>
                </c:pt>
                <c:pt idx="363">
                  <c:v>1.1608753041160047</c:v>
                </c:pt>
                <c:pt idx="364">
                  <c:v>1.161035976197127</c:v>
                </c:pt>
                <c:pt idx="365">
                  <c:v>1.162713491141119</c:v>
                </c:pt>
                <c:pt idx="366">
                  <c:v>1.1648326217048111</c:v>
                </c:pt>
                <c:pt idx="367">
                  <c:v>1.1542119304240885</c:v>
                </c:pt>
                <c:pt idx="368">
                  <c:v>1.1487311536983214</c:v>
                </c:pt>
                <c:pt idx="369">
                  <c:v>1.1417687864450738</c:v>
                </c:pt>
                <c:pt idx="370">
                  <c:v>1.149713236207808</c:v>
                </c:pt>
                <c:pt idx="371">
                  <c:v>1.1503210030106115</c:v>
                </c:pt>
                <c:pt idx="372">
                  <c:v>1.1569086410400451</c:v>
                </c:pt>
                <c:pt idx="373">
                  <c:v>1.1490521877227178</c:v>
                </c:pt>
                <c:pt idx="374">
                  <c:v>1.1339151036925219</c:v>
                </c:pt>
                <c:pt idx="375">
                  <c:v>1.1493524631871543</c:v>
                </c:pt>
                <c:pt idx="376">
                  <c:v>1.1505826973267566</c:v>
                </c:pt>
                <c:pt idx="377">
                  <c:v>1.1524416842635437</c:v>
                </c:pt>
                <c:pt idx="378">
                  <c:v>1.1583809894596551</c:v>
                </c:pt>
                <c:pt idx="379">
                  <c:v>1.1573389883179344</c:v>
                </c:pt>
                <c:pt idx="380">
                  <c:v>1.1655864841098806</c:v>
                </c:pt>
                <c:pt idx="381">
                  <c:v>1.1629916020873516</c:v>
                </c:pt>
                <c:pt idx="382">
                  <c:v>1.1600860653204066</c:v>
                </c:pt>
                <c:pt idx="383">
                  <c:v>1.1568465307670184</c:v>
                </c:pt>
                <c:pt idx="384">
                  <c:v>1.1658078398299287</c:v>
                </c:pt>
                <c:pt idx="385">
                  <c:v>1.1762946756154531</c:v>
                </c:pt>
                <c:pt idx="386">
                  <c:v>1.1713200025059138</c:v>
                </c:pt>
                <c:pt idx="387">
                  <c:v>1.1726772691080578</c:v>
                </c:pt>
                <c:pt idx="388">
                  <c:v>1.1694437098772081</c:v>
                </c:pt>
                <c:pt idx="389">
                  <c:v>1.1687111642802248</c:v>
                </c:pt>
                <c:pt idx="390">
                  <c:v>1.1749534741538352</c:v>
                </c:pt>
                <c:pt idx="391">
                  <c:v>1.175466194044154</c:v>
                </c:pt>
                <c:pt idx="392">
                  <c:v>1.1768860878157383</c:v>
                </c:pt>
                <c:pt idx="393">
                  <c:v>1.1734607806913966</c:v>
                </c:pt>
                <c:pt idx="394">
                  <c:v>1.1736959065318959</c:v>
                </c:pt>
                <c:pt idx="395">
                  <c:v>1.1817883747515536</c:v>
                </c:pt>
                <c:pt idx="396">
                  <c:v>1.1821194158905122</c:v>
                </c:pt>
                <c:pt idx="397">
                  <c:v>1.1862995158334675</c:v>
                </c:pt>
                <c:pt idx="398">
                  <c:v>1.1859486258722367</c:v>
                </c:pt>
                <c:pt idx="399">
                  <c:v>1.1896597560372983</c:v>
                </c:pt>
                <c:pt idx="400">
                  <c:v>1.1989095553264211</c:v>
                </c:pt>
                <c:pt idx="401">
                  <c:v>1.1917786591665684</c:v>
                </c:pt>
                <c:pt idx="402">
                  <c:v>1.2031533162316432</c:v>
                </c:pt>
                <c:pt idx="403">
                  <c:v>1.1992783092276966</c:v>
                </c:pt>
                <c:pt idx="404">
                  <c:v>1.2030203704741325</c:v>
                </c:pt>
                <c:pt idx="405">
                  <c:v>1.1879240385571643</c:v>
                </c:pt>
                <c:pt idx="406">
                  <c:v>1.1876294903049875</c:v>
                </c:pt>
                <c:pt idx="407">
                  <c:v>1.1953409851921581</c:v>
                </c:pt>
                <c:pt idx="408">
                  <c:v>1.1946359591602211</c:v>
                </c:pt>
                <c:pt idx="409">
                  <c:v>1.2026036692615556</c:v>
                </c:pt>
                <c:pt idx="410">
                  <c:v>1.2261736701650905</c:v>
                </c:pt>
                <c:pt idx="411">
                  <c:v>1.2292251991550189</c:v>
                </c:pt>
                <c:pt idx="412">
                  <c:v>1.2336494809636354</c:v>
                </c:pt>
                <c:pt idx="413">
                  <c:v>1.2361511975766242</c:v>
                </c:pt>
                <c:pt idx="414">
                  <c:v>1.2386866365116189</c:v>
                </c:pt>
                <c:pt idx="415">
                  <c:v>1.2194254427579607</c:v>
                </c:pt>
                <c:pt idx="416">
                  <c:v>1.2248543437596853</c:v>
                </c:pt>
                <c:pt idx="417">
                  <c:v>1.2269586497342428</c:v>
                </c:pt>
                <c:pt idx="418">
                  <c:v>1.2198692500184531</c:v>
                </c:pt>
                <c:pt idx="419">
                  <c:v>1.2237550911712232</c:v>
                </c:pt>
                <c:pt idx="420">
                  <c:v>1.2268987724537217</c:v>
                </c:pt>
                <c:pt idx="421">
                  <c:v>1.2276906577589564</c:v>
                </c:pt>
                <c:pt idx="422">
                  <c:v>1.2417565256621494</c:v>
                </c:pt>
                <c:pt idx="423">
                  <c:v>1.2435448838730179</c:v>
                </c:pt>
                <c:pt idx="424">
                  <c:v>1.2434279825801773</c:v>
                </c:pt>
                <c:pt idx="425">
                  <c:v>1.2271821143916575</c:v>
                </c:pt>
                <c:pt idx="426">
                  <c:v>1.2258211674870503</c:v>
                </c:pt>
                <c:pt idx="427">
                  <c:v>1.2180564736210187</c:v>
                </c:pt>
                <c:pt idx="428">
                  <c:v>1.2109772257507869</c:v>
                </c:pt>
                <c:pt idx="429">
                  <c:v>1.2024410122982063</c:v>
                </c:pt>
                <c:pt idx="430">
                  <c:v>1.2208731248807261</c:v>
                </c:pt>
                <c:pt idx="431">
                  <c:v>1.2291499597130935</c:v>
                </c:pt>
                <c:pt idx="432">
                  <c:v>1.2309051745259387</c:v>
                </c:pt>
                <c:pt idx="433">
                  <c:v>1.2402854798215011</c:v>
                </c:pt>
                <c:pt idx="434">
                  <c:v>1.2502883351572884</c:v>
                </c:pt>
                <c:pt idx="435">
                  <c:v>1.2495351343796282</c:v>
                </c:pt>
                <c:pt idx="436">
                  <c:v>1.2337118806986536</c:v>
                </c:pt>
                <c:pt idx="437">
                  <c:v>1.2269776301705406</c:v>
                </c:pt>
                <c:pt idx="438">
                  <c:v>1.2270489825514379</c:v>
                </c:pt>
                <c:pt idx="439">
                  <c:v>1.2071821722840557</c:v>
                </c:pt>
                <c:pt idx="440">
                  <c:v>1.2094424569203022</c:v>
                </c:pt>
                <c:pt idx="441">
                  <c:v>1.2271982415597535</c:v>
                </c:pt>
                <c:pt idx="442">
                  <c:v>1.2207027351470332</c:v>
                </c:pt>
                <c:pt idx="443">
                  <c:v>1.182826282073681</c:v>
                </c:pt>
                <c:pt idx="444">
                  <c:v>1.1857057672613938</c:v>
                </c:pt>
                <c:pt idx="445">
                  <c:v>1.1686436989603559</c:v>
                </c:pt>
                <c:pt idx="446">
                  <c:v>1.1760694535102332</c:v>
                </c:pt>
                <c:pt idx="447">
                  <c:v>1.1665704067705986</c:v>
                </c:pt>
                <c:pt idx="448">
                  <c:v>1.160327393917866</c:v>
                </c:pt>
                <c:pt idx="449">
                  <c:v>1.1643431208013797</c:v>
                </c:pt>
                <c:pt idx="450">
                  <c:v>1.1594427567202219</c:v>
                </c:pt>
                <c:pt idx="451">
                  <c:v>1.1480516003216337</c:v>
                </c:pt>
                <c:pt idx="452">
                  <c:v>1.1488609567256389</c:v>
                </c:pt>
                <c:pt idx="453">
                  <c:v>1.1402328390907668</c:v>
                </c:pt>
                <c:pt idx="454">
                  <c:v>1.152728355014381</c:v>
                </c:pt>
                <c:pt idx="455">
                  <c:v>1.176017557110334</c:v>
                </c:pt>
                <c:pt idx="456">
                  <c:v>1.1633737539436613</c:v>
                </c:pt>
                <c:pt idx="457">
                  <c:v>1.1757654977433336</c:v>
                </c:pt>
                <c:pt idx="458">
                  <c:v>1.1746911595619944</c:v>
                </c:pt>
                <c:pt idx="459">
                  <c:v>1.1689996131547242</c:v>
                </c:pt>
                <c:pt idx="460">
                  <c:v>1.1694020066745801</c:v>
                </c:pt>
                <c:pt idx="461">
                  <c:v>1.1766181907426334</c:v>
                </c:pt>
                <c:pt idx="462">
                  <c:v>1.1685429455114678</c:v>
                </c:pt>
                <c:pt idx="463">
                  <c:v>1.1734182297786504</c:v>
                </c:pt>
                <c:pt idx="464">
                  <c:v>1.1723310932421169</c:v>
                </c:pt>
                <c:pt idx="465">
                  <c:v>1.1674630868764342</c:v>
                </c:pt>
                <c:pt idx="466">
                  <c:v>1.1682042543055922</c:v>
                </c:pt>
                <c:pt idx="467">
                  <c:v>1.1591551348799838</c:v>
                </c:pt>
                <c:pt idx="468">
                  <c:v>1.1671028307521938</c:v>
                </c:pt>
                <c:pt idx="469">
                  <c:v>1.1748617560542525</c:v>
                </c:pt>
                <c:pt idx="470">
                  <c:v>1.1860000674032922</c:v>
                </c:pt>
                <c:pt idx="471">
                  <c:v>1.1917976189270099</c:v>
                </c:pt>
                <c:pt idx="472">
                  <c:v>1.1954476932877278</c:v>
                </c:pt>
                <c:pt idx="473">
                  <c:v>1.1988707053919947</c:v>
                </c:pt>
                <c:pt idx="474">
                  <c:v>1.2018844595920364</c:v>
                </c:pt>
                <c:pt idx="475">
                  <c:v>1.2083741560890708</c:v>
                </c:pt>
                <c:pt idx="476">
                  <c:v>1.2116612864641991</c:v>
                </c:pt>
                <c:pt idx="477">
                  <c:v>1.2113313618214931</c:v>
                </c:pt>
                <c:pt idx="478">
                  <c:v>1.2185220112067277</c:v>
                </c:pt>
                <c:pt idx="479">
                  <c:v>1.2061278069801278</c:v>
                </c:pt>
                <c:pt idx="480">
                  <c:v>1.2094376601215864</c:v>
                </c:pt>
                <c:pt idx="481">
                  <c:v>1.1999217005313074</c:v>
                </c:pt>
                <c:pt idx="482">
                  <c:v>1.2001796731932766</c:v>
                </c:pt>
                <c:pt idx="483">
                  <c:v>1.1940962779529827</c:v>
                </c:pt>
                <c:pt idx="484">
                  <c:v>1.2278390483812973</c:v>
                </c:pt>
                <c:pt idx="485">
                  <c:v>1.2315167456863443</c:v>
                </c:pt>
                <c:pt idx="486">
                  <c:v>1.2321658021746453</c:v>
                </c:pt>
                <c:pt idx="487">
                  <c:v>1.232799703260107</c:v>
                </c:pt>
                <c:pt idx="488">
                  <c:v>1.2390428194921224</c:v>
                </c:pt>
                <c:pt idx="489">
                  <c:v>1.2163837761515985</c:v>
                </c:pt>
                <c:pt idx="490">
                  <c:v>1.2104924596185014</c:v>
                </c:pt>
                <c:pt idx="491">
                  <c:v>1.2023452210548864</c:v>
                </c:pt>
                <c:pt idx="492">
                  <c:v>1.1733198127015507</c:v>
                </c:pt>
                <c:pt idx="493">
                  <c:v>1.1760830995755454</c:v>
                </c:pt>
                <c:pt idx="494">
                  <c:v>1.1631312054706662</c:v>
                </c:pt>
                <c:pt idx="495">
                  <c:v>1.1234518590593023</c:v>
                </c:pt>
                <c:pt idx="496">
                  <c:v>1.1109452402007296</c:v>
                </c:pt>
                <c:pt idx="497">
                  <c:v>1.1207899045581786</c:v>
                </c:pt>
                <c:pt idx="498">
                  <c:v>1.0864570865361096</c:v>
                </c:pt>
                <c:pt idx="499">
                  <c:v>1.1162914998038893</c:v>
                </c:pt>
                <c:pt idx="500">
                  <c:v>1.1228712396561273</c:v>
                </c:pt>
                <c:pt idx="501">
                  <c:v>1.1343968304738967</c:v>
                </c:pt>
                <c:pt idx="502">
                  <c:v>1.1554791743468857</c:v>
                </c:pt>
                <c:pt idx="503">
                  <c:v>1.1517740608560756</c:v>
                </c:pt>
                <c:pt idx="504">
                  <c:v>1.1684621649399913</c:v>
                </c:pt>
                <c:pt idx="505">
                  <c:v>1.1561387341703058</c:v>
                </c:pt>
                <c:pt idx="506">
                  <c:v>1.1525181642568612</c:v>
                </c:pt>
                <c:pt idx="507">
                  <c:v>1.161598628280974</c:v>
                </c:pt>
                <c:pt idx="508">
                  <c:v>1.1643098119965041</c:v>
                </c:pt>
                <c:pt idx="509">
                  <c:v>1.1658766284046158</c:v>
                </c:pt>
                <c:pt idx="510">
                  <c:v>1.1725385134348614</c:v>
                </c:pt>
                <c:pt idx="511">
                  <c:v>1.1662643627421891</c:v>
                </c:pt>
                <c:pt idx="512">
                  <c:v>1.1801426179231969</c:v>
                </c:pt>
                <c:pt idx="513">
                  <c:v>1.1940514320201614</c:v>
                </c:pt>
                <c:pt idx="514">
                  <c:v>1.2089104464558376</c:v>
                </c:pt>
                <c:pt idx="515">
                  <c:v>1.2054569581390406</c:v>
                </c:pt>
                <c:pt idx="516">
                  <c:v>1.1937005213830743</c:v>
                </c:pt>
                <c:pt idx="517">
                  <c:v>1.1977689923766048</c:v>
                </c:pt>
                <c:pt idx="518">
                  <c:v>1.190829017075983</c:v>
                </c:pt>
                <c:pt idx="519">
                  <c:v>1.1900994074506275</c:v>
                </c:pt>
                <c:pt idx="520">
                  <c:v>1.1831556898199731</c:v>
                </c:pt>
                <c:pt idx="521">
                  <c:v>1.1739719912441882</c:v>
                </c:pt>
                <c:pt idx="522">
                  <c:v>1.1655990343547964</c:v>
                </c:pt>
                <c:pt idx="523">
                  <c:v>1.1225798754858567</c:v>
                </c:pt>
                <c:pt idx="524">
                  <c:v>1.1231683723903709</c:v>
                </c:pt>
                <c:pt idx="525">
                  <c:v>1.1351018151541208</c:v>
                </c:pt>
                <c:pt idx="526">
                  <c:v>1.113569564642962</c:v>
                </c:pt>
                <c:pt idx="527">
                  <c:v>1.1267144265168687</c:v>
                </c:pt>
                <c:pt idx="528">
                  <c:v>1.1332410707695284</c:v>
                </c:pt>
                <c:pt idx="529">
                  <c:v>1.1284700755227011</c:v>
                </c:pt>
                <c:pt idx="530">
                  <c:v>1.1159692872556708</c:v>
                </c:pt>
                <c:pt idx="531">
                  <c:v>1.1168087683826455</c:v>
                </c:pt>
                <c:pt idx="532">
                  <c:v>1.1080982988112003</c:v>
                </c:pt>
                <c:pt idx="533">
                  <c:v>1.1199988669630618</c:v>
                </c:pt>
                <c:pt idx="534">
                  <c:v>1.1240498048302521</c:v>
                </c:pt>
                <c:pt idx="535">
                  <c:v>1.1165454406738344</c:v>
                </c:pt>
                <c:pt idx="536">
                  <c:v>1.1127602495906697</c:v>
                </c:pt>
                <c:pt idx="537">
                  <c:v>1.0980030844242776</c:v>
                </c:pt>
                <c:pt idx="538">
                  <c:v>1.0780739984770162</c:v>
                </c:pt>
                <c:pt idx="539">
                  <c:v>1.0773418663971637</c:v>
                </c:pt>
                <c:pt idx="540">
                  <c:v>1.0920738483702981</c:v>
                </c:pt>
                <c:pt idx="541">
                  <c:v>1.0757618587925837</c:v>
                </c:pt>
                <c:pt idx="542">
                  <c:v>1.0740623654130963</c:v>
                </c:pt>
                <c:pt idx="543">
                  <c:v>1.0945420907715588</c:v>
                </c:pt>
                <c:pt idx="544">
                  <c:v>1.0937790276103321</c:v>
                </c:pt>
                <c:pt idx="545">
                  <c:v>1.0664081840002366</c:v>
                </c:pt>
                <c:pt idx="546">
                  <c:v>1.0661783511790097</c:v>
                </c:pt>
                <c:pt idx="547">
                  <c:v>1.0715855425313738</c:v>
                </c:pt>
                <c:pt idx="548">
                  <c:v>1.0839017987788424</c:v>
                </c:pt>
                <c:pt idx="549">
                  <c:v>1.0780741432080121</c:v>
                </c:pt>
                <c:pt idx="550">
                  <c:v>1.0943959744934364</c:v>
                </c:pt>
                <c:pt idx="551">
                  <c:v>1.1081275344723387</c:v>
                </c:pt>
                <c:pt idx="552">
                  <c:v>1.1080625709311103</c:v>
                </c:pt>
                <c:pt idx="553">
                  <c:v>1.114369017311688</c:v>
                </c:pt>
                <c:pt idx="554">
                  <c:v>1.1076403079131258</c:v>
                </c:pt>
                <c:pt idx="555">
                  <c:v>1.114752058229828</c:v>
                </c:pt>
                <c:pt idx="556">
                  <c:v>1.1213732531744161</c:v>
                </c:pt>
                <c:pt idx="557">
                  <c:v>1.1154883668327005</c:v>
                </c:pt>
                <c:pt idx="558">
                  <c:v>1.1062009995122566</c:v>
                </c:pt>
                <c:pt idx="559">
                  <c:v>1.1127061201982649</c:v>
                </c:pt>
                <c:pt idx="560">
                  <c:v>1.121384376785231</c:v>
                </c:pt>
                <c:pt idx="561">
                  <c:v>1.117836420479932</c:v>
                </c:pt>
                <c:pt idx="562">
                  <c:v>1.1089358777593739</c:v>
                </c:pt>
                <c:pt idx="563">
                  <c:v>1.1019206836926831</c:v>
                </c:pt>
                <c:pt idx="564">
                  <c:v>1.0999420042224235</c:v>
                </c:pt>
                <c:pt idx="565">
                  <c:v>1.1043817515717269</c:v>
                </c:pt>
                <c:pt idx="566">
                  <c:v>1.1000204277462551</c:v>
                </c:pt>
                <c:pt idx="567">
                  <c:v>1.0784386378828419</c:v>
                </c:pt>
                <c:pt idx="568">
                  <c:v>1.110146655917978</c:v>
                </c:pt>
                <c:pt idx="569">
                  <c:v>1.0979055977607222</c:v>
                </c:pt>
                <c:pt idx="570">
                  <c:v>1.1026175427612894</c:v>
                </c:pt>
                <c:pt idx="571">
                  <c:v>1.1145601656053405</c:v>
                </c:pt>
                <c:pt idx="572">
                  <c:v>1.1128619954806713</c:v>
                </c:pt>
                <c:pt idx="573">
                  <c:v>1.1043533636207064</c:v>
                </c:pt>
                <c:pt idx="574">
                  <c:v>1.0966852673563994</c:v>
                </c:pt>
                <c:pt idx="575">
                  <c:v>1.0956871403822428</c:v>
                </c:pt>
                <c:pt idx="576">
                  <c:v>1.1108899116086457</c:v>
                </c:pt>
                <c:pt idx="577">
                  <c:v>1.098359184701355</c:v>
                </c:pt>
                <c:pt idx="578">
                  <c:v>1.0894651962273179</c:v>
                </c:pt>
                <c:pt idx="579">
                  <c:v>1.074866925018386</c:v>
                </c:pt>
                <c:pt idx="580">
                  <c:v>1.0233476940940862</c:v>
                </c:pt>
                <c:pt idx="581">
                  <c:v>1.0313014273164041</c:v>
                </c:pt>
                <c:pt idx="582">
                  <c:v>1.0142031142388628</c:v>
                </c:pt>
                <c:pt idx="583">
                  <c:v>1.0199149643372487</c:v>
                </c:pt>
                <c:pt idx="584">
                  <c:v>1.0153540978203717</c:v>
                </c:pt>
                <c:pt idx="585">
                  <c:v>1.0132862227050263</c:v>
                </c:pt>
                <c:pt idx="586">
                  <c:v>0.99532909657465141</c:v>
                </c:pt>
                <c:pt idx="587">
                  <c:v>0.9817080076972079</c:v>
                </c:pt>
                <c:pt idx="588">
                  <c:v>1.0113900192264789</c:v>
                </c:pt>
                <c:pt idx="589">
                  <c:v>0.98537972967971654</c:v>
                </c:pt>
                <c:pt idx="590">
                  <c:v>0.98290420937695577</c:v>
                </c:pt>
                <c:pt idx="591">
                  <c:v>0.9638059827244948</c:v>
                </c:pt>
                <c:pt idx="592">
                  <c:v>0.95230003397043228</c:v>
                </c:pt>
                <c:pt idx="593">
                  <c:v>0.95812078380518051</c:v>
                </c:pt>
                <c:pt idx="594">
                  <c:v>0.97975351897909224</c:v>
                </c:pt>
                <c:pt idx="595">
                  <c:v>0.98190219534177081</c:v>
                </c:pt>
                <c:pt idx="596">
                  <c:v>0.96344992379913075</c:v>
                </c:pt>
                <c:pt idx="597">
                  <c:v>0.98225471869566772</c:v>
                </c:pt>
                <c:pt idx="598">
                  <c:v>0.98674379863866013</c:v>
                </c:pt>
                <c:pt idx="599">
                  <c:v>0.98342960356732945</c:v>
                </c:pt>
                <c:pt idx="600">
                  <c:v>0.97647581679454343</c:v>
                </c:pt>
                <c:pt idx="601">
                  <c:v>0.97169090669626901</c:v>
                </c:pt>
                <c:pt idx="602">
                  <c:v>0.96804897862302508</c:v>
                </c:pt>
                <c:pt idx="603">
                  <c:v>0.97347916152785474</c:v>
                </c:pt>
                <c:pt idx="604">
                  <c:v>0.97609434724149957</c:v>
                </c:pt>
                <c:pt idx="605">
                  <c:v>0.99230078657161003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A6-4134-B0AA-4ADD19ECFA0A}"/>
            </c:ext>
          </c:extLst>
        </c:ser>
        <c:ser>
          <c:idx val="4"/>
          <c:order val="4"/>
          <c:tx>
            <c:strRef>
              <c:f>回撤结果!$AG$2</c:f>
              <c:strCache>
                <c:ptCount val="1"/>
                <c:pt idx="0">
                  <c:v>全指消费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回撤结果!$AB$3:$AB$608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回撤结果!$AG$3:$AG$608</c:f>
              <c:numCache>
                <c:formatCode>General</c:formatCode>
                <c:ptCount val="606"/>
                <c:pt idx="0">
                  <c:v>1</c:v>
                </c:pt>
                <c:pt idx="1">
                  <c:v>1.0326278949010528</c:v>
                </c:pt>
                <c:pt idx="2">
                  <c:v>1.0267078243450325</c:v>
                </c:pt>
                <c:pt idx="3">
                  <c:v>1.0515557550235939</c:v>
                </c:pt>
                <c:pt idx="4">
                  <c:v>1.0502416118740474</c:v>
                </c:pt>
                <c:pt idx="5">
                  <c:v>1.0648309924624193</c:v>
                </c:pt>
                <c:pt idx="6">
                  <c:v>1.0579768747127418</c:v>
                </c:pt>
                <c:pt idx="7">
                  <c:v>1.0498543738358237</c:v>
                </c:pt>
                <c:pt idx="8">
                  <c:v>1.0854280123950169</c:v>
                </c:pt>
                <c:pt idx="9">
                  <c:v>1.0946012194471895</c:v>
                </c:pt>
                <c:pt idx="10">
                  <c:v>1.0903976790468974</c:v>
                </c:pt>
                <c:pt idx="11">
                  <c:v>1.0939126571043776</c:v>
                </c:pt>
                <c:pt idx="12">
                  <c:v>1.1140675538107072</c:v>
                </c:pt>
                <c:pt idx="13">
                  <c:v>1.1146872599192379</c:v>
                </c:pt>
                <c:pt idx="14">
                  <c:v>1.1246372392496937</c:v>
                </c:pt>
                <c:pt idx="15">
                  <c:v>1.0499160730773689</c:v>
                </c:pt>
                <c:pt idx="16">
                  <c:v>1.0595365921755431</c:v>
                </c:pt>
                <c:pt idx="17">
                  <c:v>1.0238989581729689</c:v>
                </c:pt>
                <c:pt idx="18">
                  <c:v>1.043221809742531</c:v>
                </c:pt>
                <c:pt idx="19">
                  <c:v>1.0823968470464918</c:v>
                </c:pt>
                <c:pt idx="20">
                  <c:v>1.0906695254876539</c:v>
                </c:pt>
                <c:pt idx="21">
                  <c:v>1.0927077773772678</c:v>
                </c:pt>
                <c:pt idx="22">
                  <c:v>1.1034988077270174</c:v>
                </c:pt>
                <c:pt idx="23">
                  <c:v>1.0967978943530956</c:v>
                </c:pt>
                <c:pt idx="24">
                  <c:v>1.0786562597034097</c:v>
                </c:pt>
                <c:pt idx="25">
                  <c:v>1.0756839457097369</c:v>
                </c:pt>
                <c:pt idx="26">
                  <c:v>1.0714602911777764</c:v>
                </c:pt>
                <c:pt idx="27">
                  <c:v>1.0894731745102213</c:v>
                </c:pt>
                <c:pt idx="28">
                  <c:v>1.0942884439542235</c:v>
                </c:pt>
                <c:pt idx="29">
                  <c:v>1.0833638611379395</c:v>
                </c:pt>
                <c:pt idx="30">
                  <c:v>1.101786989258174</c:v>
                </c:pt>
                <c:pt idx="31">
                  <c:v>1.12481534399601</c:v>
                </c:pt>
                <c:pt idx="32">
                  <c:v>1.1483588531068245</c:v>
                </c:pt>
                <c:pt idx="33">
                  <c:v>1.1493145502035085</c:v>
                </c:pt>
                <c:pt idx="34">
                  <c:v>1.1535538159258745</c:v>
                </c:pt>
                <c:pt idx="35">
                  <c:v>1.1481014548451536</c:v>
                </c:pt>
                <c:pt idx="36">
                  <c:v>1.1591450673968786</c:v>
                </c:pt>
                <c:pt idx="37">
                  <c:v>1.167290023338506</c:v>
                </c:pt>
                <c:pt idx="38">
                  <c:v>1.1461521136798833</c:v>
                </c:pt>
                <c:pt idx="39">
                  <c:v>1.1745686551302406</c:v>
                </c:pt>
                <c:pt idx="40">
                  <c:v>1.1760075386990152</c:v>
                </c:pt>
                <c:pt idx="41">
                  <c:v>1.168755164124381</c:v>
                </c:pt>
                <c:pt idx="42">
                  <c:v>1.1907922902786792</c:v>
                </c:pt>
                <c:pt idx="43">
                  <c:v>1.2008749870931836</c:v>
                </c:pt>
                <c:pt idx="44">
                  <c:v>1.1807810142875195</c:v>
                </c:pt>
                <c:pt idx="45">
                  <c:v>1.1693277682744676</c:v>
                </c:pt>
                <c:pt idx="46">
                  <c:v>1.1831481001725508</c:v>
                </c:pt>
                <c:pt idx="47">
                  <c:v>1.1747707954438285</c:v>
                </c:pt>
                <c:pt idx="48">
                  <c:v>1.1834172925618343</c:v>
                </c:pt>
                <c:pt idx="49">
                  <c:v>1.1942443613520901</c:v>
                </c:pt>
                <c:pt idx="50">
                  <c:v>1.1938257070978358</c:v>
                </c:pt>
                <c:pt idx="51">
                  <c:v>1.1815697894390371</c:v>
                </c:pt>
                <c:pt idx="52">
                  <c:v>1.1829981015331248</c:v>
                </c:pt>
                <c:pt idx="53">
                  <c:v>1.1437348244728893</c:v>
                </c:pt>
                <c:pt idx="54">
                  <c:v>1.1392105166044095</c:v>
                </c:pt>
                <c:pt idx="55">
                  <c:v>1.1516714970154966</c:v>
                </c:pt>
                <c:pt idx="56">
                  <c:v>1.1487202663295921</c:v>
                </c:pt>
                <c:pt idx="57">
                  <c:v>1.1590193130703461</c:v>
                </c:pt>
                <c:pt idx="58">
                  <c:v>1.1606084487553729</c:v>
                </c:pt>
                <c:pt idx="59">
                  <c:v>1.1577121181679142</c:v>
                </c:pt>
                <c:pt idx="60">
                  <c:v>1.1714233953891819</c:v>
                </c:pt>
                <c:pt idx="61">
                  <c:v>1.2178483768723272</c:v>
                </c:pt>
                <c:pt idx="62">
                  <c:v>1.213468670077918</c:v>
                </c:pt>
                <c:pt idx="63">
                  <c:v>1.2188364891819445</c:v>
                </c:pt>
                <c:pt idx="64">
                  <c:v>1.1752300209006554</c:v>
                </c:pt>
                <c:pt idx="65">
                  <c:v>1.1547360914842597</c:v>
                </c:pt>
                <c:pt idx="66">
                  <c:v>1.1685233372013399</c:v>
                </c:pt>
                <c:pt idx="67">
                  <c:v>1.1946084137159292</c:v>
                </c:pt>
                <c:pt idx="68">
                  <c:v>1.1853616387425909</c:v>
                </c:pt>
                <c:pt idx="69">
                  <c:v>1.1770665350575225</c:v>
                </c:pt>
                <c:pt idx="70">
                  <c:v>1.1975231884700848</c:v>
                </c:pt>
                <c:pt idx="71">
                  <c:v>1.1838613392299002</c:v>
                </c:pt>
                <c:pt idx="72">
                  <c:v>1.1577566406268931</c:v>
                </c:pt>
                <c:pt idx="73">
                  <c:v>1.1563517825944174</c:v>
                </c:pt>
                <c:pt idx="74">
                  <c:v>1.1653197628798844</c:v>
                </c:pt>
                <c:pt idx="75">
                  <c:v>1.1777549930275235</c:v>
                </c:pt>
                <c:pt idx="76">
                  <c:v>1.1640415388876317</c:v>
                </c:pt>
                <c:pt idx="77">
                  <c:v>1.1560517554947625</c:v>
                </c:pt>
                <c:pt idx="78">
                  <c:v>1.1534573605383551</c:v>
                </c:pt>
                <c:pt idx="79">
                  <c:v>1.1523834835991174</c:v>
                </c:pt>
                <c:pt idx="80">
                  <c:v>1.1485019034991357</c:v>
                </c:pt>
                <c:pt idx="81">
                  <c:v>1.1866223877442463</c:v>
                </c:pt>
                <c:pt idx="82">
                  <c:v>1.1897246309768812</c:v>
                </c:pt>
                <c:pt idx="83">
                  <c:v>1.1975822336601569</c:v>
                </c:pt>
                <c:pt idx="84">
                  <c:v>1.2250325512703477</c:v>
                </c:pt>
                <c:pt idx="85">
                  <c:v>1.2181803420520665</c:v>
                </c:pt>
                <c:pt idx="86">
                  <c:v>1.2225629265539713</c:v>
                </c:pt>
                <c:pt idx="87">
                  <c:v>1.2103154332720392</c:v>
                </c:pt>
                <c:pt idx="88">
                  <c:v>1.171742269236375</c:v>
                </c:pt>
                <c:pt idx="89">
                  <c:v>1.1869474344976743</c:v>
                </c:pt>
                <c:pt idx="90">
                  <c:v>1.2120145928099808</c:v>
                </c:pt>
                <c:pt idx="91">
                  <c:v>1.2070732708314151</c:v>
                </c:pt>
                <c:pt idx="92">
                  <c:v>1.2195274073681985</c:v>
                </c:pt>
                <c:pt idx="93">
                  <c:v>1.2159871710905208</c:v>
                </c:pt>
                <c:pt idx="94">
                  <c:v>1.2049295129405511</c:v>
                </c:pt>
                <c:pt idx="95">
                  <c:v>1.2166510418083931</c:v>
                </c:pt>
                <c:pt idx="96">
                  <c:v>1.2077620568302501</c:v>
                </c:pt>
                <c:pt idx="97">
                  <c:v>1.1915282527879656</c:v>
                </c:pt>
                <c:pt idx="98">
                  <c:v>1.220168405530119</c:v>
                </c:pt>
                <c:pt idx="99">
                  <c:v>1.226702769718913</c:v>
                </c:pt>
                <c:pt idx="100">
                  <c:v>1.2270091039184163</c:v>
                </c:pt>
                <c:pt idx="101">
                  <c:v>1.2345024753130345</c:v>
                </c:pt>
                <c:pt idx="102">
                  <c:v>1.232600310658216</c:v>
                </c:pt>
                <c:pt idx="103">
                  <c:v>1.2503113925532234</c:v>
                </c:pt>
                <c:pt idx="104">
                  <c:v>1.2576171761861503</c:v>
                </c:pt>
                <c:pt idx="105">
                  <c:v>1.2928257932054046</c:v>
                </c:pt>
                <c:pt idx="106">
                  <c:v>1.2950505891286026</c:v>
                </c:pt>
                <c:pt idx="107">
                  <c:v>1.2866052035064792</c:v>
                </c:pt>
                <c:pt idx="108">
                  <c:v>1.3013616253232296</c:v>
                </c:pt>
                <c:pt idx="109">
                  <c:v>1.3300521752225658</c:v>
                </c:pt>
                <c:pt idx="110">
                  <c:v>1.321189507103129</c:v>
                </c:pt>
                <c:pt idx="111">
                  <c:v>1.3205959091076831</c:v>
                </c:pt>
                <c:pt idx="112">
                  <c:v>1.3205802233652701</c:v>
                </c:pt>
                <c:pt idx="113">
                  <c:v>1.3153679197492369</c:v>
                </c:pt>
                <c:pt idx="114">
                  <c:v>1.3003653719343748</c:v>
                </c:pt>
                <c:pt idx="115">
                  <c:v>1.3011194058503197</c:v>
                </c:pt>
                <c:pt idx="116">
                  <c:v>1.3070087907999841</c:v>
                </c:pt>
                <c:pt idx="117">
                  <c:v>1.2863635953600321</c:v>
                </c:pt>
                <c:pt idx="118">
                  <c:v>1.2915481059876073</c:v>
                </c:pt>
                <c:pt idx="119">
                  <c:v>1.3167170427007806</c:v>
                </c:pt>
                <c:pt idx="120">
                  <c:v>1.2813520155694413</c:v>
                </c:pt>
                <c:pt idx="121">
                  <c:v>1.2957507368534058</c:v>
                </c:pt>
                <c:pt idx="122">
                  <c:v>1.2916492730620113</c:v>
                </c:pt>
                <c:pt idx="123">
                  <c:v>1.2652648404158362</c:v>
                </c:pt>
                <c:pt idx="124">
                  <c:v>1.2690066653222456</c:v>
                </c:pt>
                <c:pt idx="125">
                  <c:v>1.2751906798062096</c:v>
                </c:pt>
                <c:pt idx="126">
                  <c:v>1.2746197605314964</c:v>
                </c:pt>
                <c:pt idx="127">
                  <c:v>1.2729357201407094</c:v>
                </c:pt>
                <c:pt idx="128">
                  <c:v>1.283412737434166</c:v>
                </c:pt>
                <c:pt idx="129">
                  <c:v>1.2983519756841171</c:v>
                </c:pt>
                <c:pt idx="130">
                  <c:v>1.2881688125840807</c:v>
                </c:pt>
                <c:pt idx="131">
                  <c:v>1.2804731965030633</c:v>
                </c:pt>
                <c:pt idx="132">
                  <c:v>1.2883246262801045</c:v>
                </c:pt>
                <c:pt idx="133">
                  <c:v>1.3097737756603351</c:v>
                </c:pt>
                <c:pt idx="134">
                  <c:v>1.3073634943420618</c:v>
                </c:pt>
                <c:pt idx="135">
                  <c:v>1.3090339513570517</c:v>
                </c:pt>
                <c:pt idx="136">
                  <c:v>1.3014832792893405</c:v>
                </c:pt>
                <c:pt idx="137">
                  <c:v>1.3007317205000501</c:v>
                </c:pt>
                <c:pt idx="138">
                  <c:v>1.2977548141027051</c:v>
                </c:pt>
                <c:pt idx="139">
                  <c:v>1.2990471284244067</c:v>
                </c:pt>
                <c:pt idx="140">
                  <c:v>1.2968061099843402</c:v>
                </c:pt>
                <c:pt idx="141">
                  <c:v>1.2883686865166357</c:v>
                </c:pt>
                <c:pt idx="142">
                  <c:v>1.2881071133425355</c:v>
                </c:pt>
                <c:pt idx="143">
                  <c:v>1.2841611650391342</c:v>
                </c:pt>
                <c:pt idx="144">
                  <c:v>1.2842717703977089</c:v>
                </c:pt>
                <c:pt idx="145">
                  <c:v>1.2887850893002586</c:v>
                </c:pt>
                <c:pt idx="146">
                  <c:v>1.2794834142284743</c:v>
                </c:pt>
                <c:pt idx="147">
                  <c:v>1.2738356821564616</c:v>
                </c:pt>
                <c:pt idx="148">
                  <c:v>1.2776517459521055</c:v>
                </c:pt>
                <c:pt idx="149">
                  <c:v>1.2902411496515998</c:v>
                </c:pt>
                <c:pt idx="150">
                  <c:v>1.2846150823930151</c:v>
                </c:pt>
                <c:pt idx="151">
                  <c:v>1.2832078237858926</c:v>
                </c:pt>
                <c:pt idx="152">
                  <c:v>1.2754487341255478</c:v>
                </c:pt>
                <c:pt idx="153">
                  <c:v>1.2437731218392278</c:v>
                </c:pt>
                <c:pt idx="154">
                  <c:v>1.249185373939824</c:v>
                </c:pt>
                <c:pt idx="155">
                  <c:v>1.2453293502680705</c:v>
                </c:pt>
                <c:pt idx="156">
                  <c:v>1.2553105519793371</c:v>
                </c:pt>
                <c:pt idx="157">
                  <c:v>1.2537318088441791</c:v>
                </c:pt>
                <c:pt idx="158">
                  <c:v>1.2524340224051149</c:v>
                </c:pt>
                <c:pt idx="159">
                  <c:v>1.2622202258851281</c:v>
                </c:pt>
                <c:pt idx="160">
                  <c:v>1.2592377280872078</c:v>
                </c:pt>
                <c:pt idx="161">
                  <c:v>1.2331961153930886</c:v>
                </c:pt>
                <c:pt idx="162">
                  <c:v>1.2410924105683436</c:v>
                </c:pt>
                <c:pt idx="163">
                  <c:v>1.2377076450474542</c:v>
                </c:pt>
                <c:pt idx="164">
                  <c:v>1.2446940627899374</c:v>
                </c:pt>
                <c:pt idx="165">
                  <c:v>1.2555763149762682</c:v>
                </c:pt>
                <c:pt idx="166">
                  <c:v>1.2766479777208781</c:v>
                </c:pt>
                <c:pt idx="167">
                  <c:v>1.2828970015555277</c:v>
                </c:pt>
                <c:pt idx="168">
                  <c:v>1.281988973012546</c:v>
                </c:pt>
                <c:pt idx="169">
                  <c:v>1.2799736831412936</c:v>
                </c:pt>
                <c:pt idx="170">
                  <c:v>1.2819706033978568</c:v>
                </c:pt>
                <c:pt idx="171">
                  <c:v>1.2742268565406898</c:v>
                </c:pt>
                <c:pt idx="172">
                  <c:v>1.2913474418037707</c:v>
                </c:pt>
                <c:pt idx="173">
                  <c:v>1.2909308750057311</c:v>
                </c:pt>
                <c:pt idx="174">
                  <c:v>1.2890616176070968</c:v>
                </c:pt>
                <c:pt idx="175">
                  <c:v>1.2841241276017252</c:v>
                </c:pt>
                <c:pt idx="176">
                  <c:v>1.298919644491296</c:v>
                </c:pt>
                <c:pt idx="177">
                  <c:v>1.3103744710069107</c:v>
                </c:pt>
                <c:pt idx="178">
                  <c:v>1.3244725389543557</c:v>
                </c:pt>
                <c:pt idx="179">
                  <c:v>1.3187339876266031</c:v>
                </c:pt>
                <c:pt idx="180">
                  <c:v>1.3130557041418487</c:v>
                </c:pt>
                <c:pt idx="181">
                  <c:v>1.3139968337762344</c:v>
                </c:pt>
                <c:pt idx="182">
                  <c:v>1.3266595370096668</c:v>
                </c:pt>
                <c:pt idx="183">
                  <c:v>1.3171940115354321</c:v>
                </c:pt>
                <c:pt idx="184">
                  <c:v>1.3212710222683117</c:v>
                </c:pt>
                <c:pt idx="185">
                  <c:v>1.3173697157071016</c:v>
                </c:pt>
                <c:pt idx="186">
                  <c:v>1.3175664733657362</c:v>
                </c:pt>
                <c:pt idx="187">
                  <c:v>1.3271397712222541</c:v>
                </c:pt>
                <c:pt idx="188">
                  <c:v>1.3166790808184767</c:v>
                </c:pt>
                <c:pt idx="189">
                  <c:v>1.3310238860904966</c:v>
                </c:pt>
                <c:pt idx="190">
                  <c:v>1.3311385918094929</c:v>
                </c:pt>
                <c:pt idx="191">
                  <c:v>1.3257832974427541</c:v>
                </c:pt>
                <c:pt idx="192">
                  <c:v>1.3355398888653223</c:v>
                </c:pt>
                <c:pt idx="193">
                  <c:v>1.3310523947782282</c:v>
                </c:pt>
                <c:pt idx="194">
                  <c:v>1.32730075882761</c:v>
                </c:pt>
                <c:pt idx="195">
                  <c:v>1.3212570810428783</c:v>
                </c:pt>
                <c:pt idx="196">
                  <c:v>1.3199174709275128</c:v>
                </c:pt>
                <c:pt idx="197">
                  <c:v>1.3231283811665229</c:v>
                </c:pt>
                <c:pt idx="198">
                  <c:v>1.3260253379908458</c:v>
                </c:pt>
                <c:pt idx="199">
                  <c:v>1.3349095665508999</c:v>
                </c:pt>
                <c:pt idx="200">
                  <c:v>1.3378331682627631</c:v>
                </c:pt>
                <c:pt idx="201">
                  <c:v>1.3377536212705825</c:v>
                </c:pt>
                <c:pt idx="202">
                  <c:v>1.3518234489175234</c:v>
                </c:pt>
                <c:pt idx="203">
                  <c:v>1.33838652308447</c:v>
                </c:pt>
                <c:pt idx="204">
                  <c:v>1.3439670837975748</c:v>
                </c:pt>
                <c:pt idx="205">
                  <c:v>1.3251463101788468</c:v>
                </c:pt>
                <c:pt idx="206">
                  <c:v>1.3108223198273674</c:v>
                </c:pt>
                <c:pt idx="207">
                  <c:v>1.321360141738277</c:v>
                </c:pt>
                <c:pt idx="208">
                  <c:v>1.3359366248293225</c:v>
                </c:pt>
                <c:pt idx="209">
                  <c:v>1.3391951738012315</c:v>
                </c:pt>
                <c:pt idx="210">
                  <c:v>1.3385517154230586</c:v>
                </c:pt>
                <c:pt idx="211">
                  <c:v>1.295470331842169</c:v>
                </c:pt>
                <c:pt idx="212">
                  <c:v>1.3162618132315651</c:v>
                </c:pt>
                <c:pt idx="213">
                  <c:v>1.3059526572385713</c:v>
                </c:pt>
                <c:pt idx="214">
                  <c:v>1.3056627990327623</c:v>
                </c:pt>
                <c:pt idx="215">
                  <c:v>1.3146588854251198</c:v>
                </c:pt>
                <c:pt idx="216">
                  <c:v>1.3211035039070842</c:v>
                </c:pt>
                <c:pt idx="217">
                  <c:v>1.3122214969968586</c:v>
                </c:pt>
                <c:pt idx="218">
                  <c:v>1.320554666937042</c:v>
                </c:pt>
                <c:pt idx="219">
                  <c:v>1.3156508446183328</c:v>
                </c:pt>
                <c:pt idx="220">
                  <c:v>1.2978862045610173</c:v>
                </c:pt>
                <c:pt idx="221">
                  <c:v>1.3037068227388098</c:v>
                </c:pt>
                <c:pt idx="222">
                  <c:v>1.3034368997398507</c:v>
                </c:pt>
                <c:pt idx="223">
                  <c:v>1.2973308964767094</c:v>
                </c:pt>
                <c:pt idx="224">
                  <c:v>1.2972452511303016</c:v>
                </c:pt>
                <c:pt idx="225">
                  <c:v>1.3072765965219251</c:v>
                </c:pt>
                <c:pt idx="226">
                  <c:v>1.3172776439776328</c:v>
                </c:pt>
                <c:pt idx="227">
                  <c:v>1.3416768163012438</c:v>
                </c:pt>
                <c:pt idx="228">
                  <c:v>1.3394968559554568</c:v>
                </c:pt>
                <c:pt idx="229">
                  <c:v>1.3348629864565096</c:v>
                </c:pt>
                <c:pt idx="230">
                  <c:v>1.3360932884182337</c:v>
                </c:pt>
                <c:pt idx="231">
                  <c:v>1.3326544876021875</c:v>
                </c:pt>
                <c:pt idx="232">
                  <c:v>1.3168919268003656</c:v>
                </c:pt>
                <c:pt idx="233">
                  <c:v>1.307059858925236</c:v>
                </c:pt>
                <c:pt idx="234">
                  <c:v>1.2914864216564634</c:v>
                </c:pt>
                <c:pt idx="235">
                  <c:v>1.2707329617909777</c:v>
                </c:pt>
                <c:pt idx="236">
                  <c:v>1.2844555112758047</c:v>
                </c:pt>
                <c:pt idx="237">
                  <c:v>1.2925757905028945</c:v>
                </c:pt>
                <c:pt idx="238">
                  <c:v>1.2865646472143082</c:v>
                </c:pt>
                <c:pt idx="239">
                  <c:v>1.2981326734983643</c:v>
                </c:pt>
                <c:pt idx="240">
                  <c:v>1.3031462661931621</c:v>
                </c:pt>
                <c:pt idx="241">
                  <c:v>1.3026788549258936</c:v>
                </c:pt>
                <c:pt idx="242">
                  <c:v>1.3040184203100544</c:v>
                </c:pt>
                <c:pt idx="243">
                  <c:v>1.3045694043779175</c:v>
                </c:pt>
                <c:pt idx="244">
                  <c:v>1.299155541953956</c:v>
                </c:pt>
                <c:pt idx="245">
                  <c:v>1.3078681368819591</c:v>
                </c:pt>
                <c:pt idx="246">
                  <c:v>1.3072749712881582</c:v>
                </c:pt>
                <c:pt idx="247">
                  <c:v>1.3126233472285851</c:v>
                </c:pt>
                <c:pt idx="248">
                  <c:v>1.3210921720019191</c:v>
                </c:pt>
                <c:pt idx="249">
                  <c:v>1.323309840753184</c:v>
                </c:pt>
                <c:pt idx="250">
                  <c:v>1.3413068445079961</c:v>
                </c:pt>
                <c:pt idx="251">
                  <c:v>1.3397830760232914</c:v>
                </c:pt>
                <c:pt idx="252">
                  <c:v>1.3279567121222684</c:v>
                </c:pt>
                <c:pt idx="253">
                  <c:v>1.3316351529117592</c:v>
                </c:pt>
                <c:pt idx="254">
                  <c:v>1.3313408812270964</c:v>
                </c:pt>
                <c:pt idx="255">
                  <c:v>1.3602049732898795</c:v>
                </c:pt>
                <c:pt idx="256">
                  <c:v>1.3674360259903209</c:v>
                </c:pt>
                <c:pt idx="257">
                  <c:v>1.3802848259452916</c:v>
                </c:pt>
                <c:pt idx="258">
                  <c:v>1.3698650347729202</c:v>
                </c:pt>
                <c:pt idx="259">
                  <c:v>1.3712817465746148</c:v>
                </c:pt>
                <c:pt idx="260">
                  <c:v>1.3541489944238825</c:v>
                </c:pt>
                <c:pt idx="261">
                  <c:v>1.3545322513848967</c:v>
                </c:pt>
                <c:pt idx="262">
                  <c:v>1.3580959417241867</c:v>
                </c:pt>
                <c:pt idx="263">
                  <c:v>1.351753996267181</c:v>
                </c:pt>
                <c:pt idx="264">
                  <c:v>1.3531665182460448</c:v>
                </c:pt>
                <c:pt idx="265">
                  <c:v>1.3625664379535325</c:v>
                </c:pt>
                <c:pt idx="266">
                  <c:v>1.3786202734493092</c:v>
                </c:pt>
                <c:pt idx="267">
                  <c:v>1.3727056601002503</c:v>
                </c:pt>
                <c:pt idx="268">
                  <c:v>1.3646483325884347</c:v>
                </c:pt>
                <c:pt idx="269">
                  <c:v>1.364405114118622</c:v>
                </c:pt>
                <c:pt idx="270">
                  <c:v>1.3785722619563716</c:v>
                </c:pt>
                <c:pt idx="271">
                  <c:v>1.371715072663978</c:v>
                </c:pt>
                <c:pt idx="272">
                  <c:v>1.3729888682669751</c:v>
                </c:pt>
                <c:pt idx="273">
                  <c:v>1.3753520476268046</c:v>
                </c:pt>
                <c:pt idx="274">
                  <c:v>1.3705053321459684</c:v>
                </c:pt>
                <c:pt idx="275">
                  <c:v>1.3804129212048648</c:v>
                </c:pt>
                <c:pt idx="276">
                  <c:v>1.4033423752493299</c:v>
                </c:pt>
                <c:pt idx="277">
                  <c:v>1.4032233007826842</c:v>
                </c:pt>
                <c:pt idx="278">
                  <c:v>1.4009101309095977</c:v>
                </c:pt>
                <c:pt idx="279">
                  <c:v>1.4021018298417522</c:v>
                </c:pt>
                <c:pt idx="280">
                  <c:v>1.3884581862018399</c:v>
                </c:pt>
                <c:pt idx="281">
                  <c:v>1.3837223593772074</c:v>
                </c:pt>
                <c:pt idx="282">
                  <c:v>1.380703286364326</c:v>
                </c:pt>
                <c:pt idx="283">
                  <c:v>1.366190753985457</c:v>
                </c:pt>
                <c:pt idx="284">
                  <c:v>1.3706733425504465</c:v>
                </c:pt>
                <c:pt idx="285">
                  <c:v>1.3873328832877136</c:v>
                </c:pt>
                <c:pt idx="286">
                  <c:v>1.3870016487176495</c:v>
                </c:pt>
                <c:pt idx="287">
                  <c:v>1.3819162027978622</c:v>
                </c:pt>
                <c:pt idx="288">
                  <c:v>1.3671513267834423</c:v>
                </c:pt>
                <c:pt idx="289">
                  <c:v>1.3643915456532267</c:v>
                </c:pt>
                <c:pt idx="290">
                  <c:v>1.3677679762596588</c:v>
                </c:pt>
                <c:pt idx="291">
                  <c:v>1.3771484677139485</c:v>
                </c:pt>
                <c:pt idx="292">
                  <c:v>1.3617927073971621</c:v>
                </c:pt>
                <c:pt idx="293">
                  <c:v>1.3598021389716519</c:v>
                </c:pt>
                <c:pt idx="294">
                  <c:v>1.3680624716003447</c:v>
                </c:pt>
                <c:pt idx="295">
                  <c:v>1.3582469691813182</c:v>
                </c:pt>
                <c:pt idx="296">
                  <c:v>1.3784980976191443</c:v>
                </c:pt>
                <c:pt idx="297">
                  <c:v>1.3664284257858994</c:v>
                </c:pt>
                <c:pt idx="298">
                  <c:v>1.339937204843942</c:v>
                </c:pt>
                <c:pt idx="299">
                  <c:v>1.3596312210388748</c:v>
                </c:pt>
                <c:pt idx="300">
                  <c:v>1.358336670156943</c:v>
                </c:pt>
                <c:pt idx="301">
                  <c:v>1.3601304958342202</c:v>
                </c:pt>
                <c:pt idx="302">
                  <c:v>1.3399483429138876</c:v>
                </c:pt>
                <c:pt idx="303">
                  <c:v>1.335030832846571</c:v>
                </c:pt>
                <c:pt idx="304">
                  <c:v>1.3362489082790376</c:v>
                </c:pt>
                <c:pt idx="305">
                  <c:v>1.3326517739091084</c:v>
                </c:pt>
                <c:pt idx="306">
                  <c:v>1.3228551331480218</c:v>
                </c:pt>
                <c:pt idx="307">
                  <c:v>1.3002811430761125</c:v>
                </c:pt>
                <c:pt idx="308">
                  <c:v>1.3001489176353147</c:v>
                </c:pt>
                <c:pt idx="309">
                  <c:v>1.2872622899916539</c:v>
                </c:pt>
                <c:pt idx="310">
                  <c:v>1.2862393469840545</c:v>
                </c:pt>
                <c:pt idx="311">
                  <c:v>1.2872616935755925</c:v>
                </c:pt>
                <c:pt idx="312">
                  <c:v>1.2998675583583796</c:v>
                </c:pt>
                <c:pt idx="313">
                  <c:v>1.3262429254804227</c:v>
                </c:pt>
                <c:pt idx="314">
                  <c:v>1.3187848917374383</c:v>
                </c:pt>
                <c:pt idx="315">
                  <c:v>1.3173201237116017</c:v>
                </c:pt>
                <c:pt idx="316">
                  <c:v>1.3273640385717176</c:v>
                </c:pt>
                <c:pt idx="317">
                  <c:v>1.3211203973920218</c:v>
                </c:pt>
                <c:pt idx="318">
                  <c:v>1.3212340295621077</c:v>
                </c:pt>
                <c:pt idx="319">
                  <c:v>1.3124323748057454</c:v>
                </c:pt>
                <c:pt idx="320">
                  <c:v>1.3189588513921284</c:v>
                </c:pt>
                <c:pt idx="321">
                  <c:v>1.3188811682001393</c:v>
                </c:pt>
                <c:pt idx="322">
                  <c:v>1.3166868789584785</c:v>
                </c:pt>
                <c:pt idx="323">
                  <c:v>1.3100676000329521</c:v>
                </c:pt>
                <c:pt idx="324">
                  <c:v>1.3074784982690888</c:v>
                </c:pt>
                <c:pt idx="325">
                  <c:v>1.3055100568794542</c:v>
                </c:pt>
                <c:pt idx="326">
                  <c:v>1.3203481727862059</c:v>
                </c:pt>
                <c:pt idx="327">
                  <c:v>1.3471373184612019</c:v>
                </c:pt>
                <c:pt idx="328">
                  <c:v>1.3630813239392834</c:v>
                </c:pt>
                <c:pt idx="329">
                  <c:v>1.3700812952367603</c:v>
                </c:pt>
                <c:pt idx="330">
                  <c:v>1.3782157691661097</c:v>
                </c:pt>
                <c:pt idx="331">
                  <c:v>1.3837747992594005</c:v>
                </c:pt>
                <c:pt idx="332">
                  <c:v>1.3762604191090215</c:v>
                </c:pt>
                <c:pt idx="333">
                  <c:v>1.3695391530370065</c:v>
                </c:pt>
                <c:pt idx="334">
                  <c:v>1.3614722530474066</c:v>
                </c:pt>
                <c:pt idx="335">
                  <c:v>1.3723770944920604</c:v>
                </c:pt>
                <c:pt idx="336">
                  <c:v>1.366459976195544</c:v>
                </c:pt>
                <c:pt idx="337">
                  <c:v>1.3884717397568338</c:v>
                </c:pt>
                <c:pt idx="338">
                  <c:v>1.3752471082208126</c:v>
                </c:pt>
                <c:pt idx="339">
                  <c:v>1.3835366205053061</c:v>
                </c:pt>
                <c:pt idx="340">
                  <c:v>1.405432962648326</c:v>
                </c:pt>
                <c:pt idx="341">
                  <c:v>1.4098225103077471</c:v>
                </c:pt>
                <c:pt idx="342">
                  <c:v>1.3943161549354735</c:v>
                </c:pt>
                <c:pt idx="343">
                  <c:v>1.3999705817777746</c:v>
                </c:pt>
                <c:pt idx="344">
                  <c:v>1.4049702034263358</c:v>
                </c:pt>
                <c:pt idx="345">
                  <c:v>1.3987498672042364</c:v>
                </c:pt>
                <c:pt idx="346">
                  <c:v>1.3847934033401537</c:v>
                </c:pt>
                <c:pt idx="347">
                  <c:v>1.3959993752541757</c:v>
                </c:pt>
                <c:pt idx="348">
                  <c:v>1.3915698528082439</c:v>
                </c:pt>
                <c:pt idx="349">
                  <c:v>1.3815733828458066</c:v>
                </c:pt>
                <c:pt idx="350">
                  <c:v>1.3896432052741072</c:v>
                </c:pt>
                <c:pt idx="351">
                  <c:v>1.3939292896572881</c:v>
                </c:pt>
                <c:pt idx="352">
                  <c:v>1.383492455895964</c:v>
                </c:pt>
                <c:pt idx="353">
                  <c:v>1.3833631230730636</c:v>
                </c:pt>
                <c:pt idx="354">
                  <c:v>1.3799812799908748</c:v>
                </c:pt>
                <c:pt idx="355">
                  <c:v>1.3349627519531695</c:v>
                </c:pt>
                <c:pt idx="356">
                  <c:v>1.3413834839718775</c:v>
                </c:pt>
                <c:pt idx="357">
                  <c:v>1.3566731464786665</c:v>
                </c:pt>
                <c:pt idx="358">
                  <c:v>1.3701002761779124</c:v>
                </c:pt>
                <c:pt idx="359">
                  <c:v>1.3775900243449581</c:v>
                </c:pt>
                <c:pt idx="360">
                  <c:v>1.391826595012247</c:v>
                </c:pt>
                <c:pt idx="361">
                  <c:v>1.3876024335266341</c:v>
                </c:pt>
                <c:pt idx="362">
                  <c:v>1.3741535942827559</c:v>
                </c:pt>
                <c:pt idx="363">
                  <c:v>1.3835893436851281</c:v>
                </c:pt>
                <c:pt idx="364">
                  <c:v>1.4030474475069996</c:v>
                </c:pt>
                <c:pt idx="365">
                  <c:v>1.4137932695192998</c:v>
                </c:pt>
                <c:pt idx="366">
                  <c:v>1.4156679244832893</c:v>
                </c:pt>
                <c:pt idx="367">
                  <c:v>1.4064865763518797</c:v>
                </c:pt>
                <c:pt idx="368">
                  <c:v>1.4003667660569183</c:v>
                </c:pt>
                <c:pt idx="369">
                  <c:v>1.3879209346137888</c:v>
                </c:pt>
                <c:pt idx="370">
                  <c:v>1.4149546406947353</c:v>
                </c:pt>
                <c:pt idx="371">
                  <c:v>1.4331868262129333</c:v>
                </c:pt>
                <c:pt idx="372">
                  <c:v>1.4570335234285274</c:v>
                </c:pt>
                <c:pt idx="373">
                  <c:v>1.4541858156604692</c:v>
                </c:pt>
                <c:pt idx="374">
                  <c:v>1.424741336217999</c:v>
                </c:pt>
                <c:pt idx="375">
                  <c:v>1.4495383926065282</c:v>
                </c:pt>
                <c:pt idx="376">
                  <c:v>1.4509960036396292</c:v>
                </c:pt>
                <c:pt idx="377">
                  <c:v>1.4472154116892331</c:v>
                </c:pt>
                <c:pt idx="378">
                  <c:v>1.4440421502140948</c:v>
                </c:pt>
                <c:pt idx="379">
                  <c:v>1.4423342979120592</c:v>
                </c:pt>
                <c:pt idx="380">
                  <c:v>1.4465157709180818</c:v>
                </c:pt>
                <c:pt idx="381">
                  <c:v>1.4402258180312233</c:v>
                </c:pt>
                <c:pt idx="382">
                  <c:v>1.4409891411273232</c:v>
                </c:pt>
                <c:pt idx="383">
                  <c:v>1.4280953117597219</c:v>
                </c:pt>
                <c:pt idx="384">
                  <c:v>1.4380804050857887</c:v>
                </c:pt>
                <c:pt idx="385">
                  <c:v>1.4480070198170418</c:v>
                </c:pt>
                <c:pt idx="386">
                  <c:v>1.4481872269299745</c:v>
                </c:pt>
                <c:pt idx="387">
                  <c:v>1.4559584685675691</c:v>
                </c:pt>
                <c:pt idx="388">
                  <c:v>1.4594449826685221</c:v>
                </c:pt>
                <c:pt idx="389">
                  <c:v>1.4628027603626359</c:v>
                </c:pt>
                <c:pt idx="390">
                  <c:v>1.4581577229729403</c:v>
                </c:pt>
                <c:pt idx="391">
                  <c:v>1.463078617701405</c:v>
                </c:pt>
                <c:pt idx="392">
                  <c:v>1.4571313058417834</c:v>
                </c:pt>
                <c:pt idx="393">
                  <c:v>1.4451494115423655</c:v>
                </c:pt>
                <c:pt idx="394">
                  <c:v>1.4405026147252888</c:v>
                </c:pt>
                <c:pt idx="395">
                  <c:v>1.4468786155393967</c:v>
                </c:pt>
                <c:pt idx="396">
                  <c:v>1.4543496064213135</c:v>
                </c:pt>
                <c:pt idx="397">
                  <c:v>1.4725576669098304</c:v>
                </c:pt>
                <c:pt idx="398">
                  <c:v>1.473622851084974</c:v>
                </c:pt>
                <c:pt idx="399">
                  <c:v>1.4786171795409908</c:v>
                </c:pt>
                <c:pt idx="400">
                  <c:v>1.5005525422048236</c:v>
                </c:pt>
                <c:pt idx="401">
                  <c:v>1.4960765887685163</c:v>
                </c:pt>
                <c:pt idx="402">
                  <c:v>1.5068382903584496</c:v>
                </c:pt>
                <c:pt idx="403">
                  <c:v>1.500852166723637</c:v>
                </c:pt>
                <c:pt idx="404">
                  <c:v>1.4965926526759885</c:v>
                </c:pt>
                <c:pt idx="405">
                  <c:v>1.5016273137681528</c:v>
                </c:pt>
                <c:pt idx="406">
                  <c:v>1.4995019553127811</c:v>
                </c:pt>
                <c:pt idx="407">
                  <c:v>1.498087271325695</c:v>
                </c:pt>
                <c:pt idx="408">
                  <c:v>1.5160763874780958</c:v>
                </c:pt>
                <c:pt idx="409">
                  <c:v>1.5270466557646782</c:v>
                </c:pt>
                <c:pt idx="410">
                  <c:v>1.5455610504526984</c:v>
                </c:pt>
                <c:pt idx="411">
                  <c:v>1.5627727084483454</c:v>
                </c:pt>
                <c:pt idx="412">
                  <c:v>1.5918116100587061</c:v>
                </c:pt>
                <c:pt idx="413">
                  <c:v>1.5849476067128119</c:v>
                </c:pt>
                <c:pt idx="414">
                  <c:v>1.5882448332662988</c:v>
                </c:pt>
                <c:pt idx="415">
                  <c:v>1.5733604951147933</c:v>
                </c:pt>
                <c:pt idx="416">
                  <c:v>1.5756400271220206</c:v>
                </c:pt>
                <c:pt idx="417">
                  <c:v>1.5920848431668053</c:v>
                </c:pt>
                <c:pt idx="418">
                  <c:v>1.6102560004115269</c:v>
                </c:pt>
                <c:pt idx="419">
                  <c:v>1.6008628947575401</c:v>
                </c:pt>
                <c:pt idx="420">
                  <c:v>1.6103239620217165</c:v>
                </c:pt>
                <c:pt idx="421">
                  <c:v>1.6128076472467385</c:v>
                </c:pt>
                <c:pt idx="422">
                  <c:v>1.6153323658967804</c:v>
                </c:pt>
                <c:pt idx="423">
                  <c:v>1.6382754927794516</c:v>
                </c:pt>
                <c:pt idx="424">
                  <c:v>1.6656919339573584</c:v>
                </c:pt>
                <c:pt idx="425">
                  <c:v>1.6472048402145456</c:v>
                </c:pt>
                <c:pt idx="426">
                  <c:v>1.6436718056608086</c:v>
                </c:pt>
                <c:pt idx="427">
                  <c:v>1.6437711238454225</c:v>
                </c:pt>
                <c:pt idx="428">
                  <c:v>1.6451337854415584</c:v>
                </c:pt>
                <c:pt idx="429">
                  <c:v>1.6514203536672691</c:v>
                </c:pt>
                <c:pt idx="430">
                  <c:v>1.6873934717043446</c:v>
                </c:pt>
                <c:pt idx="431">
                  <c:v>1.6839868177140043</c:v>
                </c:pt>
                <c:pt idx="432">
                  <c:v>1.6743169451867546</c:v>
                </c:pt>
                <c:pt idx="433">
                  <c:v>1.6817245817725561</c:v>
                </c:pt>
                <c:pt idx="434">
                  <c:v>1.7193310597456062</c:v>
                </c:pt>
                <c:pt idx="435">
                  <c:v>1.7111124762412069</c:v>
                </c:pt>
                <c:pt idx="436">
                  <c:v>1.6820883061075613</c:v>
                </c:pt>
                <c:pt idx="437">
                  <c:v>1.6911620906023095</c:v>
                </c:pt>
                <c:pt idx="438">
                  <c:v>1.7332573598673868</c:v>
                </c:pt>
                <c:pt idx="439">
                  <c:v>1.7012426254085915</c:v>
                </c:pt>
                <c:pt idx="440">
                  <c:v>1.6985685194455864</c:v>
                </c:pt>
                <c:pt idx="441">
                  <c:v>1.7245886015198917</c:v>
                </c:pt>
                <c:pt idx="442">
                  <c:v>1.6926216548980109</c:v>
                </c:pt>
                <c:pt idx="443">
                  <c:v>1.6283348324499543</c:v>
                </c:pt>
                <c:pt idx="444">
                  <c:v>1.6209054415883157</c:v>
                </c:pt>
                <c:pt idx="445">
                  <c:v>1.5964200125918342</c:v>
                </c:pt>
                <c:pt idx="446">
                  <c:v>1.616177547097299</c:v>
                </c:pt>
                <c:pt idx="447">
                  <c:v>1.593313027851512</c:v>
                </c:pt>
                <c:pt idx="448">
                  <c:v>1.575461579436469</c:v>
                </c:pt>
                <c:pt idx="449">
                  <c:v>1.5798642482492391</c:v>
                </c:pt>
                <c:pt idx="450">
                  <c:v>1.6082892140764629</c:v>
                </c:pt>
                <c:pt idx="451">
                  <c:v>1.5971833953295402</c:v>
                </c:pt>
                <c:pt idx="452">
                  <c:v>1.5945252882273806</c:v>
                </c:pt>
                <c:pt idx="453">
                  <c:v>1.5741725304927032</c:v>
                </c:pt>
                <c:pt idx="454">
                  <c:v>1.6012613752385199</c:v>
                </c:pt>
                <c:pt idx="455">
                  <c:v>1.6425250914100804</c:v>
                </c:pt>
                <c:pt idx="456">
                  <c:v>1.632882594380046</c:v>
                </c:pt>
                <c:pt idx="457">
                  <c:v>1.6645018453485698</c:v>
                </c:pt>
                <c:pt idx="458">
                  <c:v>1.6648952712034297</c:v>
                </c:pt>
                <c:pt idx="459">
                  <c:v>1.6513364677482425</c:v>
                </c:pt>
                <c:pt idx="460">
                  <c:v>1.6674678373319922</c:v>
                </c:pt>
                <c:pt idx="461">
                  <c:v>1.6794067598541913</c:v>
                </c:pt>
                <c:pt idx="462">
                  <c:v>1.7096470968889073</c:v>
                </c:pt>
                <c:pt idx="463">
                  <c:v>1.7101662621598983</c:v>
                </c:pt>
                <c:pt idx="464">
                  <c:v>1.7022338689025311</c:v>
                </c:pt>
                <c:pt idx="465">
                  <c:v>1.7006307025296614</c:v>
                </c:pt>
                <c:pt idx="466">
                  <c:v>1.6881356071198659</c:v>
                </c:pt>
                <c:pt idx="467">
                  <c:v>1.6610180151198926</c:v>
                </c:pt>
                <c:pt idx="468">
                  <c:v>1.6954761916299714</c:v>
                </c:pt>
                <c:pt idx="469">
                  <c:v>1.6891773968750037</c:v>
                </c:pt>
                <c:pt idx="470">
                  <c:v>1.696000963211939</c:v>
                </c:pt>
                <c:pt idx="471">
                  <c:v>1.7093613092227169</c:v>
                </c:pt>
                <c:pt idx="472">
                  <c:v>1.7389304098012033</c:v>
                </c:pt>
                <c:pt idx="473">
                  <c:v>1.7452783492396253</c:v>
                </c:pt>
                <c:pt idx="474">
                  <c:v>1.757426255949716</c:v>
                </c:pt>
                <c:pt idx="475">
                  <c:v>1.7890136284797615</c:v>
                </c:pt>
                <c:pt idx="476">
                  <c:v>1.8009245492678807</c:v>
                </c:pt>
                <c:pt idx="477">
                  <c:v>1.7891528767196818</c:v>
                </c:pt>
                <c:pt idx="478">
                  <c:v>1.806227508125237</c:v>
                </c:pt>
                <c:pt idx="479">
                  <c:v>1.7899613932428295</c:v>
                </c:pt>
                <c:pt idx="480">
                  <c:v>1.8140174324959528</c:v>
                </c:pt>
                <c:pt idx="481">
                  <c:v>1.7839189082902205</c:v>
                </c:pt>
                <c:pt idx="482">
                  <c:v>1.7880106355894139</c:v>
                </c:pt>
                <c:pt idx="483">
                  <c:v>1.7685213988491406</c:v>
                </c:pt>
                <c:pt idx="484">
                  <c:v>1.8191004032890854</c:v>
                </c:pt>
                <c:pt idx="485">
                  <c:v>1.8243095757207968</c:v>
                </c:pt>
                <c:pt idx="486">
                  <c:v>1.8075175262451024</c:v>
                </c:pt>
                <c:pt idx="487">
                  <c:v>1.7947009327574441</c:v>
                </c:pt>
                <c:pt idx="488">
                  <c:v>1.8038461678963398</c:v>
                </c:pt>
                <c:pt idx="489">
                  <c:v>1.7522826594639487</c:v>
                </c:pt>
                <c:pt idx="490">
                  <c:v>1.7430565652175374</c:v>
                </c:pt>
                <c:pt idx="491">
                  <c:v>1.7525763645533534</c:v>
                </c:pt>
                <c:pt idx="492">
                  <c:v>1.7091721260480615</c:v>
                </c:pt>
                <c:pt idx="493">
                  <c:v>1.7013568390843374</c:v>
                </c:pt>
                <c:pt idx="494">
                  <c:v>1.6585395634458087</c:v>
                </c:pt>
                <c:pt idx="495">
                  <c:v>1.6037519192482474</c:v>
                </c:pt>
                <c:pt idx="496">
                  <c:v>1.5668868609914448</c:v>
                </c:pt>
                <c:pt idx="497">
                  <c:v>1.5886456099491144</c:v>
                </c:pt>
                <c:pt idx="498">
                  <c:v>1.5535246810012782</c:v>
                </c:pt>
                <c:pt idx="499">
                  <c:v>1.5934343537887889</c:v>
                </c:pt>
                <c:pt idx="500">
                  <c:v>1.6036141024068744</c:v>
                </c:pt>
                <c:pt idx="501">
                  <c:v>1.6199825921062099</c:v>
                </c:pt>
                <c:pt idx="502">
                  <c:v>1.6657117051497918</c:v>
                </c:pt>
                <c:pt idx="503">
                  <c:v>1.6619085835826788</c:v>
                </c:pt>
                <c:pt idx="504">
                  <c:v>1.6680343580382535</c:v>
                </c:pt>
                <c:pt idx="505">
                  <c:v>1.646214088763857</c:v>
                </c:pt>
                <c:pt idx="506">
                  <c:v>1.6201522277444551</c:v>
                </c:pt>
                <c:pt idx="507">
                  <c:v>1.6344454132063664</c:v>
                </c:pt>
                <c:pt idx="508">
                  <c:v>1.6263345275322427</c:v>
                </c:pt>
                <c:pt idx="509">
                  <c:v>1.6131398509929022</c:v>
                </c:pt>
                <c:pt idx="510">
                  <c:v>1.6229924057597391</c:v>
                </c:pt>
                <c:pt idx="511">
                  <c:v>1.6102080783809989</c:v>
                </c:pt>
                <c:pt idx="512">
                  <c:v>1.6329182600605139</c:v>
                </c:pt>
                <c:pt idx="513">
                  <c:v>1.6479331536878457</c:v>
                </c:pt>
                <c:pt idx="514">
                  <c:v>1.6480307720866845</c:v>
                </c:pt>
                <c:pt idx="515">
                  <c:v>1.6354955229655597</c:v>
                </c:pt>
                <c:pt idx="516">
                  <c:v>1.6406973893005197</c:v>
                </c:pt>
                <c:pt idx="517">
                  <c:v>1.6610540982916033</c:v>
                </c:pt>
                <c:pt idx="518">
                  <c:v>1.6439878465317102</c:v>
                </c:pt>
                <c:pt idx="519">
                  <c:v>1.6437221580867869</c:v>
                </c:pt>
                <c:pt idx="520">
                  <c:v>1.6369354055312371</c:v>
                </c:pt>
                <c:pt idx="521">
                  <c:v>1.6301049505887932</c:v>
                </c:pt>
                <c:pt idx="522">
                  <c:v>1.6042528043669586</c:v>
                </c:pt>
                <c:pt idx="523">
                  <c:v>1.5814323155368992</c:v>
                </c:pt>
                <c:pt idx="524">
                  <c:v>1.5690961948282527</c:v>
                </c:pt>
                <c:pt idx="525">
                  <c:v>1.584347343767881</c:v>
                </c:pt>
                <c:pt idx="526">
                  <c:v>1.5331231215223817</c:v>
                </c:pt>
                <c:pt idx="527">
                  <c:v>1.5646600819848429</c:v>
                </c:pt>
                <c:pt idx="528">
                  <c:v>1.5663639233888658</c:v>
                </c:pt>
                <c:pt idx="529">
                  <c:v>1.5695734767813365</c:v>
                </c:pt>
                <c:pt idx="530">
                  <c:v>1.5787184435330048</c:v>
                </c:pt>
                <c:pt idx="531">
                  <c:v>1.6155938346980698</c:v>
                </c:pt>
                <c:pt idx="532">
                  <c:v>1.5999691205584243</c:v>
                </c:pt>
                <c:pt idx="533">
                  <c:v>1.6049370426933256</c:v>
                </c:pt>
                <c:pt idx="534">
                  <c:v>1.6143509185366482</c:v>
                </c:pt>
                <c:pt idx="535">
                  <c:v>1.6001385027198436</c:v>
                </c:pt>
                <c:pt idx="536">
                  <c:v>1.5839225762489977</c:v>
                </c:pt>
                <c:pt idx="537">
                  <c:v>1.5795757916211746</c:v>
                </c:pt>
                <c:pt idx="538">
                  <c:v>1.5585147599928577</c:v>
                </c:pt>
                <c:pt idx="539">
                  <c:v>1.5558375377559324</c:v>
                </c:pt>
                <c:pt idx="540">
                  <c:v>1.5852964951982915</c:v>
                </c:pt>
                <c:pt idx="541">
                  <c:v>1.5660962667709402</c:v>
                </c:pt>
                <c:pt idx="542">
                  <c:v>1.5587545490703179</c:v>
                </c:pt>
                <c:pt idx="543">
                  <c:v>1.5936967917661782</c:v>
                </c:pt>
                <c:pt idx="544">
                  <c:v>1.5958187953812049</c:v>
                </c:pt>
                <c:pt idx="545">
                  <c:v>1.5627099803890945</c:v>
                </c:pt>
                <c:pt idx="546">
                  <c:v>1.5419744279158503</c:v>
                </c:pt>
                <c:pt idx="547">
                  <c:v>1.5529428473126425</c:v>
                </c:pt>
                <c:pt idx="548">
                  <c:v>1.5749814346862907</c:v>
                </c:pt>
                <c:pt idx="549">
                  <c:v>1.5746775457926387</c:v>
                </c:pt>
                <c:pt idx="550">
                  <c:v>1.6271603848523739</c:v>
                </c:pt>
                <c:pt idx="551">
                  <c:v>1.6431308115619727</c:v>
                </c:pt>
                <c:pt idx="552">
                  <c:v>1.6421372718661971</c:v>
                </c:pt>
                <c:pt idx="553">
                  <c:v>1.6607188975547316</c:v>
                </c:pt>
                <c:pt idx="554">
                  <c:v>1.6521874640053589</c:v>
                </c:pt>
                <c:pt idx="555">
                  <c:v>1.6780153957351034</c:v>
                </c:pt>
                <c:pt idx="556">
                  <c:v>1.6937355066237596</c:v>
                </c:pt>
                <c:pt idx="557">
                  <c:v>1.7043748087275055</c:v>
                </c:pt>
                <c:pt idx="558">
                  <c:v>1.6829970950810211</c:v>
                </c:pt>
                <c:pt idx="559">
                  <c:v>1.6940286302075043</c:v>
                </c:pt>
                <c:pt idx="560">
                  <c:v>1.6926073110917359</c:v>
                </c:pt>
                <c:pt idx="561">
                  <c:v>1.709209208216675</c:v>
                </c:pt>
                <c:pt idx="562">
                  <c:v>1.6814982418772793</c:v>
                </c:pt>
                <c:pt idx="563">
                  <c:v>1.6676819656084134</c:v>
                </c:pt>
                <c:pt idx="564">
                  <c:v>1.6764953101195779</c:v>
                </c:pt>
                <c:pt idx="565">
                  <c:v>1.7192120300101652</c:v>
                </c:pt>
                <c:pt idx="566">
                  <c:v>1.7027071697784055</c:v>
                </c:pt>
                <c:pt idx="567">
                  <c:v>1.7043888990569545</c:v>
                </c:pt>
                <c:pt idx="568">
                  <c:v>1.7620629435145529</c:v>
                </c:pt>
                <c:pt idx="569">
                  <c:v>1.7325793391784592</c:v>
                </c:pt>
                <c:pt idx="570">
                  <c:v>1.7588905915739086</c:v>
                </c:pt>
                <c:pt idx="571">
                  <c:v>1.779490265557979</c:v>
                </c:pt>
                <c:pt idx="572">
                  <c:v>1.7770811174302223</c:v>
                </c:pt>
                <c:pt idx="573">
                  <c:v>1.7630432576841688</c:v>
                </c:pt>
                <c:pt idx="574">
                  <c:v>1.7434381223927766</c:v>
                </c:pt>
                <c:pt idx="575">
                  <c:v>1.7239864896851707</c:v>
                </c:pt>
                <c:pt idx="576">
                  <c:v>1.774289353488717</c:v>
                </c:pt>
                <c:pt idx="577">
                  <c:v>1.7509308675505304</c:v>
                </c:pt>
                <c:pt idx="578">
                  <c:v>1.7250436073330846</c:v>
                </c:pt>
                <c:pt idx="579">
                  <c:v>1.6972483524938207</c:v>
                </c:pt>
                <c:pt idx="580">
                  <c:v>1.6252201390320391</c:v>
                </c:pt>
                <c:pt idx="581">
                  <c:v>1.658163388925523</c:v>
                </c:pt>
                <c:pt idx="582">
                  <c:v>1.6352156994599825</c:v>
                </c:pt>
                <c:pt idx="583">
                  <c:v>1.6435463495423064</c:v>
                </c:pt>
                <c:pt idx="584">
                  <c:v>1.6462148790151381</c:v>
                </c:pt>
                <c:pt idx="585">
                  <c:v>1.6379834278342158</c:v>
                </c:pt>
                <c:pt idx="586">
                  <c:v>1.5849176964473359</c:v>
                </c:pt>
                <c:pt idx="587">
                  <c:v>1.5516419296892561</c:v>
                </c:pt>
                <c:pt idx="588">
                  <c:v>1.5953530093477035</c:v>
                </c:pt>
                <c:pt idx="589">
                  <c:v>1.5716511965038091</c:v>
                </c:pt>
                <c:pt idx="590">
                  <c:v>1.5490174455425543</c:v>
                </c:pt>
                <c:pt idx="591">
                  <c:v>1.5333670855122712</c:v>
                </c:pt>
                <c:pt idx="592">
                  <c:v>1.5155846275251232</c:v>
                </c:pt>
                <c:pt idx="593">
                  <c:v>1.5321179666238116</c:v>
                </c:pt>
                <c:pt idx="594">
                  <c:v>1.5759354021763967</c:v>
                </c:pt>
                <c:pt idx="595">
                  <c:v>1.5776669620168704</c:v>
                </c:pt>
                <c:pt idx="596">
                  <c:v>1.5591466926306461</c:v>
                </c:pt>
                <c:pt idx="597">
                  <c:v>1.595479852133548</c:v>
                </c:pt>
                <c:pt idx="598">
                  <c:v>1.6183931880339555</c:v>
                </c:pt>
                <c:pt idx="599">
                  <c:v>1.6162377702090924</c:v>
                </c:pt>
                <c:pt idx="600">
                  <c:v>1.6037525454851118</c:v>
                </c:pt>
                <c:pt idx="601">
                  <c:v>1.591548844052483</c:v>
                </c:pt>
                <c:pt idx="602">
                  <c:v>1.5784796534524475</c:v>
                </c:pt>
                <c:pt idx="603">
                  <c:v>1.5865024782951147</c:v>
                </c:pt>
                <c:pt idx="604">
                  <c:v>1.5820527969863099</c:v>
                </c:pt>
                <c:pt idx="605">
                  <c:v>1.6141216263818683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A6-4134-B0AA-4ADD19ECFA0A}"/>
            </c:ext>
          </c:extLst>
        </c:ser>
        <c:ser>
          <c:idx val="5"/>
          <c:order val="5"/>
          <c:tx>
            <c:strRef>
              <c:f>回撤结果!$AH$2</c:f>
              <c:strCache>
                <c:ptCount val="1"/>
                <c:pt idx="0">
                  <c:v>全指医药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回撤结果!$AB$3:$AB$608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回撤结果!$AH$3:$AH$608</c:f>
              <c:numCache>
                <c:formatCode>General</c:formatCode>
                <c:ptCount val="606"/>
                <c:pt idx="0">
                  <c:v>1</c:v>
                </c:pt>
                <c:pt idx="1">
                  <c:v>1.0338829650471173</c:v>
                </c:pt>
                <c:pt idx="2">
                  <c:v>1.0245047439409145</c:v>
                </c:pt>
                <c:pt idx="3">
                  <c:v>1.0565881566369613</c:v>
                </c:pt>
                <c:pt idx="4">
                  <c:v>1.0590419434542924</c:v>
                </c:pt>
                <c:pt idx="5">
                  <c:v>1.0801106966890615</c:v>
                </c:pt>
                <c:pt idx="6">
                  <c:v>1.0734504905239377</c:v>
                </c:pt>
                <c:pt idx="7">
                  <c:v>1.0812153688435149</c:v>
                </c:pt>
                <c:pt idx="8">
                  <c:v>1.1168795209420856</c:v>
                </c:pt>
                <c:pt idx="9">
                  <c:v>1.1218416594010314</c:v>
                </c:pt>
                <c:pt idx="10">
                  <c:v>1.116396168981209</c:v>
                </c:pt>
                <c:pt idx="11">
                  <c:v>1.1202959236420491</c:v>
                </c:pt>
                <c:pt idx="12">
                  <c:v>1.1365635775178795</c:v>
                </c:pt>
                <c:pt idx="13">
                  <c:v>1.1310475159332867</c:v>
                </c:pt>
                <c:pt idx="14">
                  <c:v>1.1298925769533841</c:v>
                </c:pt>
                <c:pt idx="15">
                  <c:v>1.0522024069929725</c:v>
                </c:pt>
                <c:pt idx="16">
                  <c:v>1.0551797221798256</c:v>
                </c:pt>
                <c:pt idx="17">
                  <c:v>1.0049888527448045</c:v>
                </c:pt>
                <c:pt idx="18">
                  <c:v>1.0219634656760455</c:v>
                </c:pt>
                <c:pt idx="19">
                  <c:v>1.0641303788559997</c:v>
                </c:pt>
                <c:pt idx="20">
                  <c:v>1.0655472734545193</c:v>
                </c:pt>
                <c:pt idx="21">
                  <c:v>1.0369193159650871</c:v>
                </c:pt>
                <c:pt idx="22">
                  <c:v>1.052977380644881</c:v>
                </c:pt>
                <c:pt idx="23">
                  <c:v>1.0601438861324746</c:v>
                </c:pt>
                <c:pt idx="24">
                  <c:v>1.0485082522936184</c:v>
                </c:pt>
                <c:pt idx="25">
                  <c:v>1.0310581423648879</c:v>
                </c:pt>
                <c:pt idx="26">
                  <c:v>1.0286024659101383</c:v>
                </c:pt>
                <c:pt idx="27">
                  <c:v>1.0610686475138782</c:v>
                </c:pt>
                <c:pt idx="28">
                  <c:v>1.0590401526214446</c:v>
                </c:pt>
                <c:pt idx="29">
                  <c:v>1.0510927699088308</c:v>
                </c:pt>
                <c:pt idx="30">
                  <c:v>1.0818301061825553</c:v>
                </c:pt>
                <c:pt idx="31">
                  <c:v>1.1116234265341207</c:v>
                </c:pt>
                <c:pt idx="32">
                  <c:v>1.1338651135312687</c:v>
                </c:pt>
                <c:pt idx="33">
                  <c:v>1.1301045868614079</c:v>
                </c:pt>
                <c:pt idx="34">
                  <c:v>1.131050541823271</c:v>
                </c:pt>
                <c:pt idx="35">
                  <c:v>1.1134405537482415</c:v>
                </c:pt>
                <c:pt idx="36">
                  <c:v>1.1227748315215333</c:v>
                </c:pt>
                <c:pt idx="37">
                  <c:v>1.1197281555259038</c:v>
                </c:pt>
                <c:pt idx="38">
                  <c:v>1.096239962412765</c:v>
                </c:pt>
                <c:pt idx="39">
                  <c:v>1.135918988847854</c:v>
                </c:pt>
                <c:pt idx="40">
                  <c:v>1.1350952057379173</c:v>
                </c:pt>
                <c:pt idx="41">
                  <c:v>1.1274155340101759</c:v>
                </c:pt>
                <c:pt idx="42">
                  <c:v>1.1542058499864527</c:v>
                </c:pt>
                <c:pt idx="43">
                  <c:v>1.1625724604934247</c:v>
                </c:pt>
                <c:pt idx="44">
                  <c:v>1.1458987939345948</c:v>
                </c:pt>
                <c:pt idx="45">
                  <c:v>1.1367720304613504</c:v>
                </c:pt>
                <c:pt idx="46">
                  <c:v>1.1671098381020413</c:v>
                </c:pt>
                <c:pt idx="47">
                  <c:v>1.1571611070528507</c:v>
                </c:pt>
                <c:pt idx="48">
                  <c:v>1.1688042376885244</c:v>
                </c:pt>
                <c:pt idx="49">
                  <c:v>1.1755642117691212</c:v>
                </c:pt>
                <c:pt idx="50">
                  <c:v>1.1726072626744466</c:v>
                </c:pt>
                <c:pt idx="51">
                  <c:v>1.1530312118452255</c:v>
                </c:pt>
                <c:pt idx="52">
                  <c:v>1.1548053837721446</c:v>
                </c:pt>
                <c:pt idx="53">
                  <c:v>1.104338293808582</c:v>
                </c:pt>
                <c:pt idx="54">
                  <c:v>1.0934321341167317</c:v>
                </c:pt>
                <c:pt idx="55">
                  <c:v>1.1063513504868114</c:v>
                </c:pt>
                <c:pt idx="56">
                  <c:v>1.1014756907285521</c:v>
                </c:pt>
                <c:pt idx="57">
                  <c:v>1.1133168874771802</c:v>
                </c:pt>
                <c:pt idx="58">
                  <c:v>1.1083773876155436</c:v>
                </c:pt>
                <c:pt idx="59">
                  <c:v>1.1064298630689684</c:v>
                </c:pt>
                <c:pt idx="60">
                  <c:v>1.1062124683118302</c:v>
                </c:pt>
                <c:pt idx="61">
                  <c:v>1.137857633333619</c:v>
                </c:pt>
                <c:pt idx="62">
                  <c:v>1.1388569798154859</c:v>
                </c:pt>
                <c:pt idx="63">
                  <c:v>1.1413372709589629</c:v>
                </c:pt>
                <c:pt idx="64">
                  <c:v>1.1036925441848484</c:v>
                </c:pt>
                <c:pt idx="65">
                  <c:v>1.0711702539354047</c:v>
                </c:pt>
                <c:pt idx="66">
                  <c:v>1.0702032535999384</c:v>
                </c:pt>
                <c:pt idx="67">
                  <c:v>1.0845056722098583</c:v>
                </c:pt>
                <c:pt idx="68">
                  <c:v>1.0811506642001423</c:v>
                </c:pt>
                <c:pt idx="69">
                  <c:v>1.0773535921896171</c:v>
                </c:pt>
                <c:pt idx="70">
                  <c:v>1.0927770968633328</c:v>
                </c:pt>
                <c:pt idx="71">
                  <c:v>1.097363061619693</c:v>
                </c:pt>
                <c:pt idx="72">
                  <c:v>1.0707698607623755</c:v>
                </c:pt>
                <c:pt idx="73">
                  <c:v>1.0706996107124609</c:v>
                </c:pt>
                <c:pt idx="74">
                  <c:v>1.0793384648639954</c:v>
                </c:pt>
                <c:pt idx="75">
                  <c:v>1.0877686808134888</c:v>
                </c:pt>
                <c:pt idx="76">
                  <c:v>1.0770914760135726</c:v>
                </c:pt>
                <c:pt idx="77">
                  <c:v>1.07157378415356</c:v>
                </c:pt>
                <c:pt idx="78">
                  <c:v>1.0753036567052969</c:v>
                </c:pt>
                <c:pt idx="79">
                  <c:v>1.0722852264663751</c:v>
                </c:pt>
                <c:pt idx="80">
                  <c:v>1.0664478771183361</c:v>
                </c:pt>
                <c:pt idx="81">
                  <c:v>1.1042673891783847</c:v>
                </c:pt>
                <c:pt idx="82">
                  <c:v>1.1060386216693194</c:v>
                </c:pt>
                <c:pt idx="83">
                  <c:v>1.1103999542337226</c:v>
                </c:pt>
                <c:pt idx="84">
                  <c:v>1.1225705901228973</c:v>
                </c:pt>
                <c:pt idx="85">
                  <c:v>1.120699342705062</c:v>
                </c:pt>
                <c:pt idx="86">
                  <c:v>1.1210236440079215</c:v>
                </c:pt>
                <c:pt idx="87">
                  <c:v>1.1142119580850263</c:v>
                </c:pt>
                <c:pt idx="88">
                  <c:v>1.0697867676324229</c:v>
                </c:pt>
                <c:pt idx="89">
                  <c:v>1.0732492626647143</c:v>
                </c:pt>
                <c:pt idx="90">
                  <c:v>1.0964770686817991</c:v>
                </c:pt>
                <c:pt idx="91">
                  <c:v>1.0865246077600568</c:v>
                </c:pt>
                <c:pt idx="92">
                  <c:v>1.1039309472638754</c:v>
                </c:pt>
                <c:pt idx="93">
                  <c:v>1.1053817565313588</c:v>
                </c:pt>
                <c:pt idx="94">
                  <c:v>1.0951147512581341</c:v>
                </c:pt>
                <c:pt idx="95">
                  <c:v>1.1118526284374821</c:v>
                </c:pt>
                <c:pt idx="96">
                  <c:v>1.1076208410161092</c:v>
                </c:pt>
                <c:pt idx="97">
                  <c:v>1.0971378613014533</c:v>
                </c:pt>
                <c:pt idx="98">
                  <c:v>1.1196026366691378</c:v>
                </c:pt>
                <c:pt idx="99">
                  <c:v>1.1445173701770308</c:v>
                </c:pt>
                <c:pt idx="100">
                  <c:v>1.1420263957893246</c:v>
                </c:pt>
                <c:pt idx="101">
                  <c:v>1.1463984486496714</c:v>
                </c:pt>
                <c:pt idx="102">
                  <c:v>1.1413643928136767</c:v>
                </c:pt>
                <c:pt idx="103">
                  <c:v>1.159309612447222</c:v>
                </c:pt>
                <c:pt idx="104">
                  <c:v>1.1599447282290118</c:v>
                </c:pt>
                <c:pt idx="105">
                  <c:v>1.1741042754294002</c:v>
                </c:pt>
                <c:pt idx="106">
                  <c:v>1.186674155888467</c:v>
                </c:pt>
                <c:pt idx="107">
                  <c:v>1.1820399003980762</c:v>
                </c:pt>
                <c:pt idx="108">
                  <c:v>1.1847715133182262</c:v>
                </c:pt>
                <c:pt idx="109">
                  <c:v>1.2111036107463506</c:v>
                </c:pt>
                <c:pt idx="110">
                  <c:v>1.2123819442847448</c:v>
                </c:pt>
                <c:pt idx="111">
                  <c:v>1.211239924002488</c:v>
                </c:pt>
                <c:pt idx="112">
                  <c:v>1.2124374971547369</c:v>
                </c:pt>
                <c:pt idx="113">
                  <c:v>1.2097590534443063</c:v>
                </c:pt>
                <c:pt idx="114">
                  <c:v>1.2072777001516921</c:v>
                </c:pt>
                <c:pt idx="115">
                  <c:v>1.2077302991898742</c:v>
                </c:pt>
                <c:pt idx="116">
                  <c:v>1.2111577556512079</c:v>
                </c:pt>
                <c:pt idx="117">
                  <c:v>1.2000503433989913</c:v>
                </c:pt>
                <c:pt idx="118">
                  <c:v>1.2047376692945306</c:v>
                </c:pt>
                <c:pt idx="119">
                  <c:v>1.2246007597528077</c:v>
                </c:pt>
                <c:pt idx="120">
                  <c:v>1.1924147385098742</c:v>
                </c:pt>
                <c:pt idx="121">
                  <c:v>1.1997590304722436</c:v>
                </c:pt>
                <c:pt idx="122">
                  <c:v>1.2029958435140122</c:v>
                </c:pt>
                <c:pt idx="123">
                  <c:v>1.1794355107135401</c:v>
                </c:pt>
                <c:pt idx="124">
                  <c:v>1.1885120073613358</c:v>
                </c:pt>
                <c:pt idx="125">
                  <c:v>1.1916501887401965</c:v>
                </c:pt>
                <c:pt idx="126">
                  <c:v>1.1920314014758981</c:v>
                </c:pt>
                <c:pt idx="127">
                  <c:v>1.1878539318673815</c:v>
                </c:pt>
                <c:pt idx="128">
                  <c:v>1.1994894298499525</c:v>
                </c:pt>
                <c:pt idx="129">
                  <c:v>1.2109731393104681</c:v>
                </c:pt>
                <c:pt idx="130">
                  <c:v>1.2086288773599874</c:v>
                </c:pt>
                <c:pt idx="131">
                  <c:v>1.195230458821009</c:v>
                </c:pt>
                <c:pt idx="132">
                  <c:v>1.2050176443967668</c:v>
                </c:pt>
                <c:pt idx="133">
                  <c:v>1.2279550514293847</c:v>
                </c:pt>
                <c:pt idx="134">
                  <c:v>1.2324533641807789</c:v>
                </c:pt>
                <c:pt idx="135">
                  <c:v>1.2342045393438197</c:v>
                </c:pt>
                <c:pt idx="136">
                  <c:v>1.228856112064342</c:v>
                </c:pt>
                <c:pt idx="137">
                  <c:v>1.2318662056675931</c:v>
                </c:pt>
                <c:pt idx="138">
                  <c:v>1.2276422732096075</c:v>
                </c:pt>
                <c:pt idx="139">
                  <c:v>1.233961158984533</c:v>
                </c:pt>
                <c:pt idx="140">
                  <c:v>1.2337805442289151</c:v>
                </c:pt>
                <c:pt idx="141">
                  <c:v>1.2307629167771323</c:v>
                </c:pt>
                <c:pt idx="142">
                  <c:v>1.2374922861418907</c:v>
                </c:pt>
                <c:pt idx="143">
                  <c:v>1.2419853251993129</c:v>
                </c:pt>
                <c:pt idx="144">
                  <c:v>1.2378510455388538</c:v>
                </c:pt>
                <c:pt idx="145">
                  <c:v>1.2391574395753855</c:v>
                </c:pt>
                <c:pt idx="146">
                  <c:v>1.2302698078648784</c:v>
                </c:pt>
                <c:pt idx="147">
                  <c:v>1.2267493639517502</c:v>
                </c:pt>
                <c:pt idx="148">
                  <c:v>1.2264592243292818</c:v>
                </c:pt>
                <c:pt idx="149">
                  <c:v>1.2392192418344876</c:v>
                </c:pt>
                <c:pt idx="150">
                  <c:v>1.2411414847614821</c:v>
                </c:pt>
                <c:pt idx="151">
                  <c:v>1.2454816360959973</c:v>
                </c:pt>
                <c:pt idx="152">
                  <c:v>1.2365674259559163</c:v>
                </c:pt>
                <c:pt idx="153">
                  <c:v>1.2066497847530071</c:v>
                </c:pt>
                <c:pt idx="154">
                  <c:v>1.210264772289922</c:v>
                </c:pt>
                <c:pt idx="155">
                  <c:v>1.2055538938547927</c:v>
                </c:pt>
                <c:pt idx="156">
                  <c:v>1.2172908270799714</c:v>
                </c:pt>
                <c:pt idx="157">
                  <c:v>1.2173374504868684</c:v>
                </c:pt>
                <c:pt idx="158">
                  <c:v>1.219767227793469</c:v>
                </c:pt>
                <c:pt idx="159">
                  <c:v>1.2260154435990533</c:v>
                </c:pt>
                <c:pt idx="160">
                  <c:v>1.2249459088201284</c:v>
                </c:pt>
                <c:pt idx="161">
                  <c:v>1.2027131883377902</c:v>
                </c:pt>
                <c:pt idx="162">
                  <c:v>1.2108474475457032</c:v>
                </c:pt>
                <c:pt idx="163">
                  <c:v>1.2100835400057361</c:v>
                </c:pt>
                <c:pt idx="164">
                  <c:v>1.214932843644706</c:v>
                </c:pt>
                <c:pt idx="165">
                  <c:v>1.2219987413779734</c:v>
                </c:pt>
                <c:pt idx="166">
                  <c:v>1.2498801932824897</c:v>
                </c:pt>
                <c:pt idx="167">
                  <c:v>1.2538072303554715</c:v>
                </c:pt>
                <c:pt idx="168">
                  <c:v>1.2544740253528082</c:v>
                </c:pt>
                <c:pt idx="169">
                  <c:v>1.2518465771515368</c:v>
                </c:pt>
                <c:pt idx="170">
                  <c:v>1.2507290480522939</c:v>
                </c:pt>
                <c:pt idx="171">
                  <c:v>1.2448440254987918</c:v>
                </c:pt>
                <c:pt idx="172">
                  <c:v>1.2573763849220569</c:v>
                </c:pt>
                <c:pt idx="173">
                  <c:v>1.2539243014214247</c:v>
                </c:pt>
                <c:pt idx="174">
                  <c:v>1.2498918398712853</c:v>
                </c:pt>
                <c:pt idx="175">
                  <c:v>1.2436204296926805</c:v>
                </c:pt>
                <c:pt idx="176">
                  <c:v>1.2515880673423301</c:v>
                </c:pt>
                <c:pt idx="177">
                  <c:v>1.2518999686715406</c:v>
                </c:pt>
                <c:pt idx="178">
                  <c:v>1.2513942251247823</c:v>
                </c:pt>
                <c:pt idx="179">
                  <c:v>1.2467864492593943</c:v>
                </c:pt>
                <c:pt idx="180">
                  <c:v>1.2376946132019655</c:v>
                </c:pt>
                <c:pt idx="181">
                  <c:v>1.2369544311095872</c:v>
                </c:pt>
                <c:pt idx="182">
                  <c:v>1.2485200495593847</c:v>
                </c:pt>
                <c:pt idx="183">
                  <c:v>1.2432396739281193</c:v>
                </c:pt>
                <c:pt idx="184">
                  <c:v>1.2471527672060316</c:v>
                </c:pt>
                <c:pt idx="185">
                  <c:v>1.2425087918159781</c:v>
                </c:pt>
                <c:pt idx="186">
                  <c:v>1.2372057899379747</c:v>
                </c:pt>
                <c:pt idx="187">
                  <c:v>1.2452034271254662</c:v>
                </c:pt>
                <c:pt idx="188">
                  <c:v>1.2368384221927713</c:v>
                </c:pt>
                <c:pt idx="189">
                  <c:v>1.2489802071472411</c:v>
                </c:pt>
                <c:pt idx="190">
                  <c:v>1.2469715349218458</c:v>
                </c:pt>
                <c:pt idx="191">
                  <c:v>1.2470317316066708</c:v>
                </c:pt>
                <c:pt idx="192">
                  <c:v>1.2523752557093171</c:v>
                </c:pt>
                <c:pt idx="193">
                  <c:v>1.2534164953292486</c:v>
                </c:pt>
                <c:pt idx="194">
                  <c:v>1.2537790463516203</c:v>
                </c:pt>
                <c:pt idx="195">
                  <c:v>1.2496598096870817</c:v>
                </c:pt>
                <c:pt idx="196">
                  <c:v>1.2506402597947628</c:v>
                </c:pt>
                <c:pt idx="197">
                  <c:v>1.2587079617735983</c:v>
                </c:pt>
                <c:pt idx="198">
                  <c:v>1.2515677877041516</c:v>
                </c:pt>
                <c:pt idx="199">
                  <c:v>1.251060413881973</c:v>
                </c:pt>
                <c:pt idx="200">
                  <c:v>1.2578713340694438</c:v>
                </c:pt>
                <c:pt idx="201">
                  <c:v>1.2567583746816053</c:v>
                </c:pt>
                <c:pt idx="202">
                  <c:v>1.2526615419535199</c:v>
                </c:pt>
                <c:pt idx="203">
                  <c:v>1.2537344360878557</c:v>
                </c:pt>
                <c:pt idx="204">
                  <c:v>1.2567791483426385</c:v>
                </c:pt>
                <c:pt idx="205">
                  <c:v>1.2400956507290035</c:v>
                </c:pt>
                <c:pt idx="206">
                  <c:v>1.2327147887248273</c:v>
                </c:pt>
                <c:pt idx="207">
                  <c:v>1.2351800121712411</c:v>
                </c:pt>
                <c:pt idx="208">
                  <c:v>1.2419398009932676</c:v>
                </c:pt>
                <c:pt idx="209">
                  <c:v>1.2343594031581449</c:v>
                </c:pt>
                <c:pt idx="210">
                  <c:v>1.2305836358832216</c:v>
                </c:pt>
                <c:pt idx="211">
                  <c:v>1.1828851364504709</c:v>
                </c:pt>
                <c:pt idx="212">
                  <c:v>1.1836598630909523</c:v>
                </c:pt>
                <c:pt idx="213">
                  <c:v>1.1734703947047467</c:v>
                </c:pt>
                <c:pt idx="214">
                  <c:v>1.1740561452527973</c:v>
                </c:pt>
                <c:pt idx="215">
                  <c:v>1.1857846924400199</c:v>
                </c:pt>
                <c:pt idx="216">
                  <c:v>1.1848382434553026</c:v>
                </c:pt>
                <c:pt idx="217">
                  <c:v>1.1845640731216072</c:v>
                </c:pt>
                <c:pt idx="218">
                  <c:v>1.1926737546925068</c:v>
                </c:pt>
                <c:pt idx="219">
                  <c:v>1.1909669674829464</c:v>
                </c:pt>
                <c:pt idx="220">
                  <c:v>1.1807290354547111</c:v>
                </c:pt>
                <c:pt idx="221">
                  <c:v>1.1862782706739856</c:v>
                </c:pt>
                <c:pt idx="222">
                  <c:v>1.185161087390741</c:v>
                </c:pt>
                <c:pt idx="223">
                  <c:v>1.1811751257417846</c:v>
                </c:pt>
                <c:pt idx="224">
                  <c:v>1.1770488121998548</c:v>
                </c:pt>
                <c:pt idx="225">
                  <c:v>1.1866902363323821</c:v>
                </c:pt>
                <c:pt idx="226">
                  <c:v>1.193756109364507</c:v>
                </c:pt>
                <c:pt idx="227">
                  <c:v>1.200366629181036</c:v>
                </c:pt>
                <c:pt idx="228">
                  <c:v>1.1980555779169511</c:v>
                </c:pt>
                <c:pt idx="229">
                  <c:v>1.1884401146854295</c:v>
                </c:pt>
                <c:pt idx="230">
                  <c:v>1.1937158959041478</c:v>
                </c:pt>
                <c:pt idx="231">
                  <c:v>1.1905392795472043</c:v>
                </c:pt>
                <c:pt idx="232">
                  <c:v>1.1807804385327254</c:v>
                </c:pt>
                <c:pt idx="233">
                  <c:v>1.1700592656987556</c:v>
                </c:pt>
                <c:pt idx="234">
                  <c:v>1.1585734566411086</c:v>
                </c:pt>
                <c:pt idx="235">
                  <c:v>1.1338579872515921</c:v>
                </c:pt>
                <c:pt idx="236">
                  <c:v>1.1406132804656424</c:v>
                </c:pt>
                <c:pt idx="237">
                  <c:v>1.1381813418090529</c:v>
                </c:pt>
                <c:pt idx="238">
                  <c:v>1.1363724894777454</c:v>
                </c:pt>
                <c:pt idx="239">
                  <c:v>1.1506276053993438</c:v>
                </c:pt>
                <c:pt idx="240">
                  <c:v>1.1564937686303738</c:v>
                </c:pt>
                <c:pt idx="241">
                  <c:v>1.1518430498283556</c:v>
                </c:pt>
                <c:pt idx="242">
                  <c:v>1.1616211577341613</c:v>
                </c:pt>
                <c:pt idx="243">
                  <c:v>1.1684463798832709</c:v>
                </c:pt>
                <c:pt idx="244">
                  <c:v>1.1677821044024921</c:v>
                </c:pt>
                <c:pt idx="245">
                  <c:v>1.1752448383442358</c:v>
                </c:pt>
                <c:pt idx="246">
                  <c:v>1.1726681633418394</c:v>
                </c:pt>
                <c:pt idx="247">
                  <c:v>1.1773353701566278</c:v>
                </c:pt>
                <c:pt idx="248">
                  <c:v>1.1808650399465646</c:v>
                </c:pt>
                <c:pt idx="249">
                  <c:v>1.1767443088628911</c:v>
                </c:pt>
                <c:pt idx="250">
                  <c:v>1.1850064211855575</c:v>
                </c:pt>
                <c:pt idx="251">
                  <c:v>1.1825301439777736</c:v>
                </c:pt>
                <c:pt idx="252">
                  <c:v>1.175169783922061</c:v>
                </c:pt>
                <c:pt idx="253">
                  <c:v>1.1796021816740889</c:v>
                </c:pt>
                <c:pt idx="254">
                  <c:v>1.1710053071146183</c:v>
                </c:pt>
                <c:pt idx="255">
                  <c:v>1.182310859583217</c:v>
                </c:pt>
                <c:pt idx="256">
                  <c:v>1.1899751054473258</c:v>
                </c:pt>
                <c:pt idx="257">
                  <c:v>1.1928716602480336</c:v>
                </c:pt>
                <c:pt idx="258">
                  <c:v>1.2061579232484609</c:v>
                </c:pt>
                <c:pt idx="259">
                  <c:v>1.2082559024553849</c:v>
                </c:pt>
                <c:pt idx="260">
                  <c:v>1.1991252362015896</c:v>
                </c:pt>
                <c:pt idx="261">
                  <c:v>1.1980098684523353</c:v>
                </c:pt>
                <c:pt idx="262">
                  <c:v>1.1989783014540798</c:v>
                </c:pt>
                <c:pt idx="263">
                  <c:v>1.1922838718557083</c:v>
                </c:pt>
                <c:pt idx="264">
                  <c:v>1.194269312656369</c:v>
                </c:pt>
                <c:pt idx="265">
                  <c:v>1.2018364830295616</c:v>
                </c:pt>
                <c:pt idx="266">
                  <c:v>1.207857312465775</c:v>
                </c:pt>
                <c:pt idx="267">
                  <c:v>1.2041421988468173</c:v>
                </c:pt>
                <c:pt idx="268">
                  <c:v>1.1950108286104542</c:v>
                </c:pt>
                <c:pt idx="269">
                  <c:v>1.1972046235500151</c:v>
                </c:pt>
                <c:pt idx="270">
                  <c:v>1.2051517098489162</c:v>
                </c:pt>
                <c:pt idx="271">
                  <c:v>1.2053087103120874</c:v>
                </c:pt>
                <c:pt idx="272">
                  <c:v>1.208016758342076</c:v>
                </c:pt>
                <c:pt idx="273">
                  <c:v>1.2142374941263769</c:v>
                </c:pt>
                <c:pt idx="274">
                  <c:v>1.2066320246313866</c:v>
                </c:pt>
                <c:pt idx="275">
                  <c:v>1.215212374126373</c:v>
                </c:pt>
                <c:pt idx="276">
                  <c:v>1.2249940636978742</c:v>
                </c:pt>
                <c:pt idx="277">
                  <c:v>1.2334563417306266</c:v>
                </c:pt>
                <c:pt idx="278">
                  <c:v>1.233066557698399</c:v>
                </c:pt>
                <c:pt idx="279">
                  <c:v>1.2356684896192336</c:v>
                </c:pt>
                <c:pt idx="280">
                  <c:v>1.2273974972357569</c:v>
                </c:pt>
                <c:pt idx="281">
                  <c:v>1.2252231544460932</c:v>
                </c:pt>
                <c:pt idx="282">
                  <c:v>1.2157071503657608</c:v>
                </c:pt>
                <c:pt idx="283">
                  <c:v>1.19719506420778</c:v>
                </c:pt>
                <c:pt idx="284">
                  <c:v>1.2060422230959291</c:v>
                </c:pt>
                <c:pt idx="285">
                  <c:v>1.2191106096669355</c:v>
                </c:pt>
                <c:pt idx="286">
                  <c:v>1.2190521667632439</c:v>
                </c:pt>
                <c:pt idx="287">
                  <c:v>1.2177592595506412</c:v>
                </c:pt>
                <c:pt idx="288">
                  <c:v>1.2051546986871862</c:v>
                </c:pt>
                <c:pt idx="289">
                  <c:v>1.2026667625400354</c:v>
                </c:pt>
                <c:pt idx="290">
                  <c:v>1.2006323023216332</c:v>
                </c:pt>
                <c:pt idx="291">
                  <c:v>1.2082897800726347</c:v>
                </c:pt>
                <c:pt idx="292">
                  <c:v>1.1980427456733047</c:v>
                </c:pt>
                <c:pt idx="293">
                  <c:v>1.1924069700004869</c:v>
                </c:pt>
                <c:pt idx="294">
                  <c:v>1.1941019006615385</c:v>
                </c:pt>
                <c:pt idx="295">
                  <c:v>1.1874354574578765</c:v>
                </c:pt>
                <c:pt idx="296">
                  <c:v>1.205151598693774</c:v>
                </c:pt>
                <c:pt idx="297">
                  <c:v>1.2030651549205034</c:v>
                </c:pt>
                <c:pt idx="298">
                  <c:v>1.1839790018549818</c:v>
                </c:pt>
                <c:pt idx="299">
                  <c:v>1.1845261198158075</c:v>
                </c:pt>
                <c:pt idx="300">
                  <c:v>1.1851592842073218</c:v>
                </c:pt>
                <c:pt idx="301">
                  <c:v>1.1873857587587104</c:v>
                </c:pt>
                <c:pt idx="302">
                  <c:v>1.1828558038434829</c:v>
                </c:pt>
                <c:pt idx="303">
                  <c:v>1.1799344367449063</c:v>
                </c:pt>
                <c:pt idx="304">
                  <c:v>1.1774642113170903</c:v>
                </c:pt>
                <c:pt idx="305">
                  <c:v>1.1756694386371371</c:v>
                </c:pt>
                <c:pt idx="306">
                  <c:v>1.1665738356554423</c:v>
                </c:pt>
                <c:pt idx="307">
                  <c:v>1.1549355711448859</c:v>
                </c:pt>
                <c:pt idx="308">
                  <c:v>1.1539672987005694</c:v>
                </c:pt>
                <c:pt idx="309">
                  <c:v>1.1423882922314141</c:v>
                </c:pt>
                <c:pt idx="310">
                  <c:v>1.140263462882346</c:v>
                </c:pt>
                <c:pt idx="311">
                  <c:v>1.1436260417923079</c:v>
                </c:pt>
                <c:pt idx="312">
                  <c:v>1.1526898050010279</c:v>
                </c:pt>
                <c:pt idx="313">
                  <c:v>1.1733728004898336</c:v>
                </c:pt>
                <c:pt idx="314">
                  <c:v>1.1694948445874498</c:v>
                </c:pt>
                <c:pt idx="315">
                  <c:v>1.1682232544610203</c:v>
                </c:pt>
                <c:pt idx="316">
                  <c:v>1.1698576302706774</c:v>
                </c:pt>
                <c:pt idx="317">
                  <c:v>1.1652983303978908</c:v>
                </c:pt>
                <c:pt idx="318">
                  <c:v>1.1555848777331721</c:v>
                </c:pt>
                <c:pt idx="319">
                  <c:v>1.1580922907313631</c:v>
                </c:pt>
                <c:pt idx="320">
                  <c:v>1.1607944228376688</c:v>
                </c:pt>
                <c:pt idx="321">
                  <c:v>1.1593737736654546</c:v>
                </c:pt>
                <c:pt idx="322">
                  <c:v>1.1592583699266352</c:v>
                </c:pt>
                <c:pt idx="323">
                  <c:v>1.1532573508068886</c:v>
                </c:pt>
                <c:pt idx="324">
                  <c:v>1.1540947936487531</c:v>
                </c:pt>
                <c:pt idx="325">
                  <c:v>1.1526370063084497</c:v>
                </c:pt>
                <c:pt idx="326">
                  <c:v>1.1584618568782692</c:v>
                </c:pt>
                <c:pt idx="327">
                  <c:v>1.1784043368092698</c:v>
                </c:pt>
                <c:pt idx="328">
                  <c:v>1.1867327593495862</c:v>
                </c:pt>
                <c:pt idx="329">
                  <c:v>1.1879587388159709</c:v>
                </c:pt>
                <c:pt idx="330">
                  <c:v>1.185704438427301</c:v>
                </c:pt>
                <c:pt idx="331">
                  <c:v>1.1939350938447051</c:v>
                </c:pt>
                <c:pt idx="332">
                  <c:v>1.1854454469458111</c:v>
                </c:pt>
                <c:pt idx="333">
                  <c:v>1.1903724480292279</c:v>
                </c:pt>
                <c:pt idx="334">
                  <c:v>1.1870865908685755</c:v>
                </c:pt>
                <c:pt idx="335">
                  <c:v>1.1925353171380948</c:v>
                </c:pt>
                <c:pt idx="336">
                  <c:v>1.1869801783457088</c:v>
                </c:pt>
                <c:pt idx="337">
                  <c:v>1.1982134799718318</c:v>
                </c:pt>
                <c:pt idx="338">
                  <c:v>1.1837881731768463</c:v>
                </c:pt>
                <c:pt idx="339">
                  <c:v>1.1902843884554071</c:v>
                </c:pt>
                <c:pt idx="340">
                  <c:v>1.2069263140458331</c:v>
                </c:pt>
                <c:pt idx="341">
                  <c:v>1.2110116977942647</c:v>
                </c:pt>
                <c:pt idx="342">
                  <c:v>1.2005027695291741</c:v>
                </c:pt>
                <c:pt idx="343">
                  <c:v>1.2073416143584976</c:v>
                </c:pt>
                <c:pt idx="344">
                  <c:v>1.2122917974643634</c:v>
                </c:pt>
                <c:pt idx="345">
                  <c:v>1.2135074148013743</c:v>
                </c:pt>
                <c:pt idx="346">
                  <c:v>1.2029754527206913</c:v>
                </c:pt>
                <c:pt idx="347">
                  <c:v>1.2084543884877657</c:v>
                </c:pt>
                <c:pt idx="348">
                  <c:v>1.1996146028907204</c:v>
                </c:pt>
                <c:pt idx="349">
                  <c:v>1.1950344799546151</c:v>
                </c:pt>
                <c:pt idx="350">
                  <c:v>1.1870013842767395</c:v>
                </c:pt>
                <c:pt idx="351">
                  <c:v>1.1827302973372884</c:v>
                </c:pt>
                <c:pt idx="352">
                  <c:v>1.1743946126610103</c:v>
                </c:pt>
                <c:pt idx="353">
                  <c:v>1.1803979660387447</c:v>
                </c:pt>
                <c:pt idx="354">
                  <c:v>1.1739372586528534</c:v>
                </c:pt>
                <c:pt idx="355">
                  <c:v>1.1345769263612249</c:v>
                </c:pt>
                <c:pt idx="356">
                  <c:v>1.1339769726561069</c:v>
                </c:pt>
                <c:pt idx="357">
                  <c:v>1.1446528929966011</c:v>
                </c:pt>
                <c:pt idx="358">
                  <c:v>1.1478972275363299</c:v>
                </c:pt>
                <c:pt idx="359">
                  <c:v>1.1437692713684089</c:v>
                </c:pt>
                <c:pt idx="360">
                  <c:v>1.1455695277020475</c:v>
                </c:pt>
                <c:pt idx="361">
                  <c:v>1.1438152401950232</c:v>
                </c:pt>
                <c:pt idx="362">
                  <c:v>1.13386295218128</c:v>
                </c:pt>
                <c:pt idx="363">
                  <c:v>1.1453825771033204</c:v>
                </c:pt>
                <c:pt idx="364">
                  <c:v>1.14583479327379</c:v>
                </c:pt>
                <c:pt idx="365">
                  <c:v>1.1528073700898358</c:v>
                </c:pt>
                <c:pt idx="366">
                  <c:v>1.1528359369613994</c:v>
                </c:pt>
                <c:pt idx="367">
                  <c:v>1.1437404698359896</c:v>
                </c:pt>
                <c:pt idx="368">
                  <c:v>1.1421891516187512</c:v>
                </c:pt>
                <c:pt idx="369">
                  <c:v>1.1377772311140435</c:v>
                </c:pt>
                <c:pt idx="370">
                  <c:v>1.1513330453344766</c:v>
                </c:pt>
                <c:pt idx="371">
                  <c:v>1.1559347817704679</c:v>
                </c:pt>
                <c:pt idx="372">
                  <c:v>1.1688856156032377</c:v>
                </c:pt>
                <c:pt idx="373">
                  <c:v>1.1646367596922407</c:v>
                </c:pt>
                <c:pt idx="374">
                  <c:v>1.1582188840878376</c:v>
                </c:pt>
                <c:pt idx="375">
                  <c:v>1.1742847419781619</c:v>
                </c:pt>
                <c:pt idx="376">
                  <c:v>1.1734026641713902</c:v>
                </c:pt>
                <c:pt idx="377">
                  <c:v>1.1755948535366738</c:v>
                </c:pt>
                <c:pt idx="378">
                  <c:v>1.1785922260514208</c:v>
                </c:pt>
                <c:pt idx="379">
                  <c:v>1.1782092842357281</c:v>
                </c:pt>
                <c:pt idx="380">
                  <c:v>1.1843892384333874</c:v>
                </c:pt>
                <c:pt idx="381">
                  <c:v>1.180283500943349</c:v>
                </c:pt>
                <c:pt idx="382">
                  <c:v>1.1749944675615578</c:v>
                </c:pt>
                <c:pt idx="383">
                  <c:v>1.1661971679300025</c:v>
                </c:pt>
                <c:pt idx="384">
                  <c:v>1.1735276149018734</c:v>
                </c:pt>
                <c:pt idx="385">
                  <c:v>1.1807822170150017</c:v>
                </c:pt>
                <c:pt idx="386">
                  <c:v>1.1759280472509146</c:v>
                </c:pt>
                <c:pt idx="387">
                  <c:v>1.1776216934525447</c:v>
                </c:pt>
                <c:pt idx="388">
                  <c:v>1.1778214762949186</c:v>
                </c:pt>
                <c:pt idx="389">
                  <c:v>1.1810640323523711</c:v>
                </c:pt>
                <c:pt idx="390">
                  <c:v>1.1867950309304003</c:v>
                </c:pt>
                <c:pt idx="391">
                  <c:v>1.1922321970651237</c:v>
                </c:pt>
                <c:pt idx="392">
                  <c:v>1.1905869527526669</c:v>
                </c:pt>
                <c:pt idx="393">
                  <c:v>1.1912021100111336</c:v>
                </c:pt>
                <c:pt idx="394">
                  <c:v>1.1970235271221141</c:v>
                </c:pt>
                <c:pt idx="395">
                  <c:v>1.1931021713119594</c:v>
                </c:pt>
                <c:pt idx="396">
                  <c:v>1.1900775534367849</c:v>
                </c:pt>
                <c:pt idx="397">
                  <c:v>1.1937152042721517</c:v>
                </c:pt>
                <c:pt idx="398">
                  <c:v>1.1945683570407903</c:v>
                </c:pt>
                <c:pt idx="399">
                  <c:v>1.1938345478432359</c:v>
                </c:pt>
                <c:pt idx="400">
                  <c:v>1.2009548621939303</c:v>
                </c:pt>
                <c:pt idx="401">
                  <c:v>1.1965526986405999</c:v>
                </c:pt>
                <c:pt idx="402">
                  <c:v>1.2001487774527575</c:v>
                </c:pt>
                <c:pt idx="403">
                  <c:v>1.1933607675751656</c:v>
                </c:pt>
                <c:pt idx="404">
                  <c:v>1.190383563543455</c:v>
                </c:pt>
                <c:pt idx="405">
                  <c:v>1.1961178844251812</c:v>
                </c:pt>
                <c:pt idx="406">
                  <c:v>1.1918517624154181</c:v>
                </c:pt>
                <c:pt idx="407">
                  <c:v>1.1926819801730348</c:v>
                </c:pt>
                <c:pt idx="408">
                  <c:v>1.1968272765431502</c:v>
                </c:pt>
                <c:pt idx="409">
                  <c:v>1.201762466055381</c:v>
                </c:pt>
                <c:pt idx="410">
                  <c:v>1.2165937361310801</c:v>
                </c:pt>
                <c:pt idx="411">
                  <c:v>1.2422777249763406</c:v>
                </c:pt>
                <c:pt idx="412">
                  <c:v>1.2488163521169633</c:v>
                </c:pt>
                <c:pt idx="413">
                  <c:v>1.2490341420923849</c:v>
                </c:pt>
                <c:pt idx="414">
                  <c:v>1.2522573448045111</c:v>
                </c:pt>
                <c:pt idx="415">
                  <c:v>1.2363859466603029</c:v>
                </c:pt>
                <c:pt idx="416">
                  <c:v>1.2393474037135253</c:v>
                </c:pt>
                <c:pt idx="417">
                  <c:v>1.250446331123215</c:v>
                </c:pt>
                <c:pt idx="418">
                  <c:v>1.2586721698177874</c:v>
                </c:pt>
                <c:pt idx="419">
                  <c:v>1.2575755996381481</c:v>
                </c:pt>
                <c:pt idx="420">
                  <c:v>1.2748916317641579</c:v>
                </c:pt>
                <c:pt idx="421">
                  <c:v>1.2754933268998383</c:v>
                </c:pt>
                <c:pt idx="422">
                  <c:v>1.2880207460945581</c:v>
                </c:pt>
                <c:pt idx="423">
                  <c:v>1.2803124210412535</c:v>
                </c:pt>
                <c:pt idx="424">
                  <c:v>1.2807573256734761</c:v>
                </c:pt>
                <c:pt idx="425">
                  <c:v>1.2669327383190334</c:v>
                </c:pt>
                <c:pt idx="426">
                  <c:v>1.2668390345340994</c:v>
                </c:pt>
                <c:pt idx="427">
                  <c:v>1.2640274887160856</c:v>
                </c:pt>
                <c:pt idx="428">
                  <c:v>1.263090413815033</c:v>
                </c:pt>
                <c:pt idx="429">
                  <c:v>1.2623019780403382</c:v>
                </c:pt>
                <c:pt idx="430">
                  <c:v>1.2962778687863936</c:v>
                </c:pt>
                <c:pt idx="431">
                  <c:v>1.2952561924715018</c:v>
                </c:pt>
                <c:pt idx="432">
                  <c:v>1.2843731406986723</c:v>
                </c:pt>
                <c:pt idx="433">
                  <c:v>1.2917376628969346</c:v>
                </c:pt>
                <c:pt idx="434">
                  <c:v>1.2980205714574786</c:v>
                </c:pt>
                <c:pt idx="435">
                  <c:v>1.2974758371569262</c:v>
                </c:pt>
                <c:pt idx="436">
                  <c:v>1.2815612984669458</c:v>
                </c:pt>
                <c:pt idx="437">
                  <c:v>1.2810638668547147</c:v>
                </c:pt>
                <c:pt idx="438">
                  <c:v>1.2995868709177811</c:v>
                </c:pt>
                <c:pt idx="439">
                  <c:v>1.2730947718376442</c:v>
                </c:pt>
                <c:pt idx="440">
                  <c:v>1.2845747143738937</c:v>
                </c:pt>
                <c:pt idx="441">
                  <c:v>1.2882738216523648</c:v>
                </c:pt>
                <c:pt idx="442">
                  <c:v>1.2787217415530798</c:v>
                </c:pt>
                <c:pt idx="443">
                  <c:v>1.2377840807409217</c:v>
                </c:pt>
                <c:pt idx="444">
                  <c:v>1.2378596785882368</c:v>
                </c:pt>
                <c:pt idx="445">
                  <c:v>1.2225136613992549</c:v>
                </c:pt>
                <c:pt idx="446">
                  <c:v>1.2349169450012014</c:v>
                </c:pt>
                <c:pt idx="447">
                  <c:v>1.2248413365323947</c:v>
                </c:pt>
                <c:pt idx="448">
                  <c:v>1.2193917704240225</c:v>
                </c:pt>
                <c:pt idx="449">
                  <c:v>1.2298985990919811</c:v>
                </c:pt>
                <c:pt idx="450">
                  <c:v>1.2287431907903668</c:v>
                </c:pt>
                <c:pt idx="451">
                  <c:v>1.2149658567219603</c:v>
                </c:pt>
                <c:pt idx="452">
                  <c:v>1.2195820556770178</c:v>
                </c:pt>
                <c:pt idx="453">
                  <c:v>1.2153665586592732</c:v>
                </c:pt>
                <c:pt idx="454">
                  <c:v>1.224965336268883</c:v>
                </c:pt>
                <c:pt idx="455">
                  <c:v>1.2514257808346154</c:v>
                </c:pt>
                <c:pt idx="456">
                  <c:v>1.2430251445035374</c:v>
                </c:pt>
                <c:pt idx="457">
                  <c:v>1.2512723002842832</c:v>
                </c:pt>
                <c:pt idx="458">
                  <c:v>1.2505655141368717</c:v>
                </c:pt>
                <c:pt idx="459">
                  <c:v>1.2398542835128494</c:v>
                </c:pt>
                <c:pt idx="460">
                  <c:v>1.2328489406309764</c:v>
                </c:pt>
                <c:pt idx="461">
                  <c:v>1.2442299921423194</c:v>
                </c:pt>
                <c:pt idx="462">
                  <c:v>1.2416977050934028</c:v>
                </c:pt>
                <c:pt idx="463">
                  <c:v>1.2520295014639997</c:v>
                </c:pt>
                <c:pt idx="464">
                  <c:v>1.2535754224815525</c:v>
                </c:pt>
                <c:pt idx="465">
                  <c:v>1.2492704579248515</c:v>
                </c:pt>
                <c:pt idx="466">
                  <c:v>1.2496877219783631</c:v>
                </c:pt>
                <c:pt idx="467">
                  <c:v>1.2318566586759294</c:v>
                </c:pt>
                <c:pt idx="468">
                  <c:v>1.2355073887663699</c:v>
                </c:pt>
                <c:pt idx="469">
                  <c:v>1.2471815810890223</c:v>
                </c:pt>
                <c:pt idx="470">
                  <c:v>1.2531893559713048</c:v>
                </c:pt>
                <c:pt idx="471">
                  <c:v>1.2582752842070255</c:v>
                </c:pt>
                <c:pt idx="472">
                  <c:v>1.2642221460713439</c:v>
                </c:pt>
                <c:pt idx="473">
                  <c:v>1.2659787307846415</c:v>
                </c:pt>
                <c:pt idx="474">
                  <c:v>1.2671830226477119</c:v>
                </c:pt>
                <c:pt idx="475">
                  <c:v>1.2854354133416357</c:v>
                </c:pt>
                <c:pt idx="476">
                  <c:v>1.2767401911823986</c:v>
                </c:pt>
                <c:pt idx="477">
                  <c:v>1.2766808343364262</c:v>
                </c:pt>
                <c:pt idx="478">
                  <c:v>1.2803412596253869</c:v>
                </c:pt>
                <c:pt idx="479">
                  <c:v>1.2668662798945272</c:v>
                </c:pt>
                <c:pt idx="480">
                  <c:v>1.2745424934622869</c:v>
                </c:pt>
                <c:pt idx="481">
                  <c:v>1.2669679127462763</c:v>
                </c:pt>
                <c:pt idx="482">
                  <c:v>1.2644295368656775</c:v>
                </c:pt>
                <c:pt idx="483">
                  <c:v>1.2598154869100371</c:v>
                </c:pt>
                <c:pt idx="484">
                  <c:v>1.277153552455359</c:v>
                </c:pt>
                <c:pt idx="485">
                  <c:v>1.2756029629218311</c:v>
                </c:pt>
                <c:pt idx="486">
                  <c:v>1.2840416390127081</c:v>
                </c:pt>
                <c:pt idx="487">
                  <c:v>1.2737494509244738</c:v>
                </c:pt>
                <c:pt idx="488">
                  <c:v>1.2740729494401941</c:v>
                </c:pt>
                <c:pt idx="489">
                  <c:v>1.2478831058930331</c:v>
                </c:pt>
                <c:pt idx="490">
                  <c:v>1.2474363486751061</c:v>
                </c:pt>
                <c:pt idx="491">
                  <c:v>1.2386051590757297</c:v>
                </c:pt>
                <c:pt idx="492">
                  <c:v>1.2065765829165365</c:v>
                </c:pt>
                <c:pt idx="493">
                  <c:v>1.2059362181419173</c:v>
                </c:pt>
                <c:pt idx="494">
                  <c:v>1.1936537848807616</c:v>
                </c:pt>
                <c:pt idx="495">
                  <c:v>1.1453765253233521</c:v>
                </c:pt>
                <c:pt idx="496">
                  <c:v>1.1411761577555277</c:v>
                </c:pt>
                <c:pt idx="497">
                  <c:v>1.1580733696560344</c:v>
                </c:pt>
                <c:pt idx="498">
                  <c:v>1.1240752108298109</c:v>
                </c:pt>
                <c:pt idx="499">
                  <c:v>1.1571924528029707</c:v>
                </c:pt>
                <c:pt idx="500">
                  <c:v>1.1651834330324973</c:v>
                </c:pt>
                <c:pt idx="501">
                  <c:v>1.1699614738747004</c:v>
                </c:pt>
                <c:pt idx="502">
                  <c:v>1.1891191861507016</c:v>
                </c:pt>
                <c:pt idx="503">
                  <c:v>1.1891512605845322</c:v>
                </c:pt>
                <c:pt idx="504">
                  <c:v>1.2101396363008685</c:v>
                </c:pt>
                <c:pt idx="505">
                  <c:v>1.2052768952402553</c:v>
                </c:pt>
                <c:pt idx="506">
                  <c:v>1.202955284237655</c:v>
                </c:pt>
                <c:pt idx="507">
                  <c:v>1.2185550809670112</c:v>
                </c:pt>
                <c:pt idx="508">
                  <c:v>1.213386539759441</c:v>
                </c:pt>
                <c:pt idx="509">
                  <c:v>1.2232786557895021</c:v>
                </c:pt>
                <c:pt idx="510">
                  <c:v>1.2489847521575028</c:v>
                </c:pt>
                <c:pt idx="511">
                  <c:v>1.2427409825576092</c:v>
                </c:pt>
                <c:pt idx="512">
                  <c:v>1.2730236942994482</c:v>
                </c:pt>
                <c:pt idx="513">
                  <c:v>1.2848456612084633</c:v>
                </c:pt>
                <c:pt idx="514">
                  <c:v>1.2954573956295823</c:v>
                </c:pt>
                <c:pt idx="515">
                  <c:v>1.2781095360811692</c:v>
                </c:pt>
                <c:pt idx="516">
                  <c:v>1.2682973035466862</c:v>
                </c:pt>
                <c:pt idx="517">
                  <c:v>1.2707832142001338</c:v>
                </c:pt>
                <c:pt idx="518">
                  <c:v>1.2685177118432371</c:v>
                </c:pt>
                <c:pt idx="519">
                  <c:v>1.2946634020977743</c:v>
                </c:pt>
                <c:pt idx="520">
                  <c:v>1.3248476797858468</c:v>
                </c:pt>
                <c:pt idx="521">
                  <c:v>1.3094568423733877</c:v>
                </c:pt>
                <c:pt idx="522">
                  <c:v>1.2963326435703901</c:v>
                </c:pt>
                <c:pt idx="523">
                  <c:v>1.2559082354523792</c:v>
                </c:pt>
                <c:pt idx="524">
                  <c:v>1.2911121682102371</c:v>
                </c:pt>
                <c:pt idx="525">
                  <c:v>1.3103878654944723</c:v>
                </c:pt>
                <c:pt idx="526">
                  <c:v>1.2988969433002806</c:v>
                </c:pt>
                <c:pt idx="527">
                  <c:v>1.2925220106325082</c:v>
                </c:pt>
                <c:pt idx="528">
                  <c:v>1.3291680208038952</c:v>
                </c:pt>
                <c:pt idx="529">
                  <c:v>1.3226473019917495</c:v>
                </c:pt>
                <c:pt idx="530">
                  <c:v>1.3213849006904141</c:v>
                </c:pt>
                <c:pt idx="531">
                  <c:v>1.3187185852410623</c:v>
                </c:pt>
                <c:pt idx="532">
                  <c:v>1.3207548856945974</c:v>
                </c:pt>
                <c:pt idx="533">
                  <c:v>1.3323683132061424</c:v>
                </c:pt>
                <c:pt idx="534">
                  <c:v>1.3315340938634037</c:v>
                </c:pt>
                <c:pt idx="535">
                  <c:v>1.3386242975211144</c:v>
                </c:pt>
                <c:pt idx="536">
                  <c:v>1.3140846385149554</c:v>
                </c:pt>
                <c:pt idx="537">
                  <c:v>1.3159599986730546</c:v>
                </c:pt>
                <c:pt idx="538">
                  <c:v>1.2828986059835998</c:v>
                </c:pt>
                <c:pt idx="539">
                  <c:v>1.2921252855791741</c:v>
                </c:pt>
                <c:pt idx="540">
                  <c:v>1.2990137920559495</c:v>
                </c:pt>
                <c:pt idx="541">
                  <c:v>1.2852592818434225</c:v>
                </c:pt>
                <c:pt idx="542">
                  <c:v>1.2743294708074115</c:v>
                </c:pt>
                <c:pt idx="543">
                  <c:v>1.2997121057114056</c:v>
                </c:pt>
                <c:pt idx="544">
                  <c:v>1.3276847542348691</c:v>
                </c:pt>
                <c:pt idx="545">
                  <c:v>1.3043636025994199</c:v>
                </c:pt>
                <c:pt idx="546">
                  <c:v>1.3304325587540762</c:v>
                </c:pt>
                <c:pt idx="547">
                  <c:v>1.3434443303059531</c:v>
                </c:pt>
                <c:pt idx="548">
                  <c:v>1.3420385882733745</c:v>
                </c:pt>
                <c:pt idx="549">
                  <c:v>1.3592194680969552</c:v>
                </c:pt>
                <c:pt idx="550">
                  <c:v>1.3873787461042901</c:v>
                </c:pt>
                <c:pt idx="551">
                  <c:v>1.3845375712655756</c:v>
                </c:pt>
                <c:pt idx="552">
                  <c:v>1.3850119320104999</c:v>
                </c:pt>
                <c:pt idx="553">
                  <c:v>1.4138373133831754</c:v>
                </c:pt>
                <c:pt idx="554">
                  <c:v>1.3816362738454644</c:v>
                </c:pt>
                <c:pt idx="555">
                  <c:v>1.3827938681982099</c:v>
                </c:pt>
                <c:pt idx="556">
                  <c:v>1.4106899308286489</c:v>
                </c:pt>
                <c:pt idx="557">
                  <c:v>1.4252463389386567</c:v>
                </c:pt>
                <c:pt idx="558">
                  <c:v>1.4066264446432448</c:v>
                </c:pt>
                <c:pt idx="559">
                  <c:v>1.4088910701095745</c:v>
                </c:pt>
                <c:pt idx="560">
                  <c:v>1.4126842022878348</c:v>
                </c:pt>
                <c:pt idx="561">
                  <c:v>1.4389893507692442</c:v>
                </c:pt>
                <c:pt idx="562">
                  <c:v>1.4317743692890494</c:v>
                </c:pt>
                <c:pt idx="563">
                  <c:v>1.4383409828243816</c:v>
                </c:pt>
                <c:pt idx="564">
                  <c:v>1.4451194086585955</c:v>
                </c:pt>
                <c:pt idx="565">
                  <c:v>1.4583709418523489</c:v>
                </c:pt>
                <c:pt idx="566">
                  <c:v>1.4092731844369857</c:v>
                </c:pt>
                <c:pt idx="567">
                  <c:v>1.3844005046245851</c:v>
                </c:pt>
                <c:pt idx="568">
                  <c:v>1.4192821492227155</c:v>
                </c:pt>
                <c:pt idx="569">
                  <c:v>1.3754710538794417</c:v>
                </c:pt>
                <c:pt idx="570">
                  <c:v>1.3722794068771489</c:v>
                </c:pt>
                <c:pt idx="571">
                  <c:v>1.4119122792270526</c:v>
                </c:pt>
                <c:pt idx="572">
                  <c:v>1.4224726105701575</c:v>
                </c:pt>
                <c:pt idx="573">
                  <c:v>1.4041501921366035</c:v>
                </c:pt>
                <c:pt idx="574">
                  <c:v>1.3961554202816686</c:v>
                </c:pt>
                <c:pt idx="575">
                  <c:v>1.3644608035721408</c:v>
                </c:pt>
                <c:pt idx="576">
                  <c:v>1.3858930464727051</c:v>
                </c:pt>
                <c:pt idx="577">
                  <c:v>1.3590964317050331</c:v>
                </c:pt>
                <c:pt idx="578">
                  <c:v>1.3492301036679788</c:v>
                </c:pt>
                <c:pt idx="579">
                  <c:v>1.3248186559431432</c:v>
                </c:pt>
                <c:pt idx="580">
                  <c:v>1.2715224823502307</c:v>
                </c:pt>
                <c:pt idx="581">
                  <c:v>1.3020787592477681</c:v>
                </c:pt>
                <c:pt idx="582">
                  <c:v>1.2925557647440442</c:v>
                </c:pt>
                <c:pt idx="583">
                  <c:v>1.3046263980568895</c:v>
                </c:pt>
                <c:pt idx="584">
                  <c:v>1.3025001730932577</c:v>
                </c:pt>
                <c:pt idx="585">
                  <c:v>1.3022314123098193</c:v>
                </c:pt>
                <c:pt idx="586">
                  <c:v>1.2706902390989103</c:v>
                </c:pt>
                <c:pt idx="587">
                  <c:v>1.2526376065462179</c:v>
                </c:pt>
                <c:pt idx="588">
                  <c:v>1.2982298889409452</c:v>
                </c:pt>
                <c:pt idx="589">
                  <c:v>1.2928656529301223</c:v>
                </c:pt>
                <c:pt idx="590">
                  <c:v>1.2851433099783205</c:v>
                </c:pt>
                <c:pt idx="591">
                  <c:v>1.2593206242166495</c:v>
                </c:pt>
                <c:pt idx="592">
                  <c:v>1.2269440707092936</c:v>
                </c:pt>
                <c:pt idx="593">
                  <c:v>1.2305183013607093</c:v>
                </c:pt>
                <c:pt idx="594">
                  <c:v>1.2720668090819285</c:v>
                </c:pt>
                <c:pt idx="595">
                  <c:v>1.2838059283582384</c:v>
                </c:pt>
                <c:pt idx="596">
                  <c:v>1.274545457599414</c:v>
                </c:pt>
                <c:pt idx="597">
                  <c:v>1.3075528288897253</c:v>
                </c:pt>
                <c:pt idx="598">
                  <c:v>1.330176469656857</c:v>
                </c:pt>
                <c:pt idx="599">
                  <c:v>1.3317491049602688</c:v>
                </c:pt>
                <c:pt idx="600">
                  <c:v>1.3157682560526383</c:v>
                </c:pt>
                <c:pt idx="601">
                  <c:v>1.3107758710444237</c:v>
                </c:pt>
                <c:pt idx="602">
                  <c:v>1.2871718913247536</c:v>
                </c:pt>
                <c:pt idx="603">
                  <c:v>1.2927215711645974</c:v>
                </c:pt>
                <c:pt idx="604">
                  <c:v>1.2421291476028393</c:v>
                </c:pt>
                <c:pt idx="605">
                  <c:v>1.259066535911991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A6-4134-B0AA-4ADD19ECFA0A}"/>
            </c:ext>
          </c:extLst>
        </c:ser>
        <c:ser>
          <c:idx val="6"/>
          <c:order val="6"/>
          <c:tx>
            <c:strRef>
              <c:f>回撤结果!$AI$2</c:f>
              <c:strCache>
                <c:ptCount val="1"/>
                <c:pt idx="0">
                  <c:v>全指金融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回撤结果!$AB$3:$AB$608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回撤结果!$AI$3:$AI$608</c:f>
              <c:numCache>
                <c:formatCode>General</c:formatCode>
                <c:ptCount val="606"/>
                <c:pt idx="0">
                  <c:v>1</c:v>
                </c:pt>
                <c:pt idx="1">
                  <c:v>1.032528943188167</c:v>
                </c:pt>
                <c:pt idx="2">
                  <c:v>1.0166605883892554</c:v>
                </c:pt>
                <c:pt idx="3">
                  <c:v>1.0351683644264227</c:v>
                </c:pt>
                <c:pt idx="4">
                  <c:v>1.030343270931114</c:v>
                </c:pt>
                <c:pt idx="5">
                  <c:v>1.0417168510339372</c:v>
                </c:pt>
                <c:pt idx="6">
                  <c:v>1.0318547816368122</c:v>
                </c:pt>
                <c:pt idx="7">
                  <c:v>1.0213724964719844</c:v>
                </c:pt>
                <c:pt idx="8">
                  <c:v>1.05096404137378</c:v>
                </c:pt>
                <c:pt idx="9">
                  <c:v>1.0570790327806043</c:v>
                </c:pt>
                <c:pt idx="10">
                  <c:v>1.0554793913389604</c:v>
                </c:pt>
                <c:pt idx="11">
                  <c:v>1.0535652269036389</c:v>
                </c:pt>
                <c:pt idx="12">
                  <c:v>1.0803875549113211</c:v>
                </c:pt>
                <c:pt idx="13">
                  <c:v>1.0666965779641095</c:v>
                </c:pt>
                <c:pt idx="14">
                  <c:v>1.0710640217501168</c:v>
                </c:pt>
                <c:pt idx="15">
                  <c:v>1.0129423586408284</c:v>
                </c:pt>
                <c:pt idx="16">
                  <c:v>1.0220287403931709</c:v>
                </c:pt>
                <c:pt idx="17">
                  <c:v>1.0107162431204657</c:v>
                </c:pt>
                <c:pt idx="18">
                  <c:v>1.0289492321523899</c:v>
                </c:pt>
                <c:pt idx="19">
                  <c:v>1.0709390484229526</c:v>
                </c:pt>
                <c:pt idx="20">
                  <c:v>1.0739763867924261</c:v>
                </c:pt>
                <c:pt idx="21">
                  <c:v>1.0964338643553093</c:v>
                </c:pt>
                <c:pt idx="22">
                  <c:v>1.0923438437808977</c:v>
                </c:pt>
                <c:pt idx="23">
                  <c:v>1.0934545439581622</c:v>
                </c:pt>
                <c:pt idx="24">
                  <c:v>1.0877280607834598</c:v>
                </c:pt>
                <c:pt idx="25">
                  <c:v>1.0619677810146677</c:v>
                </c:pt>
                <c:pt idx="26">
                  <c:v>1.0648766739803175</c:v>
                </c:pt>
                <c:pt idx="27">
                  <c:v>1.073591350636963</c:v>
                </c:pt>
                <c:pt idx="28">
                  <c:v>1.0776602172628393</c:v>
                </c:pt>
                <c:pt idx="29">
                  <c:v>1.091643577356882</c:v>
                </c:pt>
                <c:pt idx="30">
                  <c:v>1.0956453600324882</c:v>
                </c:pt>
                <c:pt idx="31">
                  <c:v>1.1106645991950439</c:v>
                </c:pt>
                <c:pt idx="32">
                  <c:v>1.1472709391727318</c:v>
                </c:pt>
                <c:pt idx="33">
                  <c:v>1.1321991259111306</c:v>
                </c:pt>
                <c:pt idx="34">
                  <c:v>1.1378185962539806</c:v>
                </c:pt>
                <c:pt idx="35">
                  <c:v>1.1146553440960851</c:v>
                </c:pt>
                <c:pt idx="36">
                  <c:v>1.1223062579080831</c:v>
                </c:pt>
                <c:pt idx="37">
                  <c:v>1.1059240786287337</c:v>
                </c:pt>
                <c:pt idx="38">
                  <c:v>1.0990947824632522</c:v>
                </c:pt>
                <c:pt idx="39">
                  <c:v>1.1266505545163614</c:v>
                </c:pt>
                <c:pt idx="40">
                  <c:v>1.1247282671362628</c:v>
                </c:pt>
                <c:pt idx="41">
                  <c:v>1.1269127177367135</c:v>
                </c:pt>
                <c:pt idx="42">
                  <c:v>1.1378917884872624</c:v>
                </c:pt>
                <c:pt idx="43">
                  <c:v>1.1309468635959963</c:v>
                </c:pt>
                <c:pt idx="44">
                  <c:v>1.1154441699074857</c:v>
                </c:pt>
                <c:pt idx="45">
                  <c:v>1.107787019217044</c:v>
                </c:pt>
                <c:pt idx="46">
                  <c:v>1.1234571655903656</c:v>
                </c:pt>
                <c:pt idx="47">
                  <c:v>1.1204412383602915</c:v>
                </c:pt>
                <c:pt idx="48">
                  <c:v>1.1352176036172694</c:v>
                </c:pt>
                <c:pt idx="49">
                  <c:v>1.1404367778134128</c:v>
                </c:pt>
                <c:pt idx="50">
                  <c:v>1.142669173077363</c:v>
                </c:pt>
                <c:pt idx="51">
                  <c:v>1.1289581566753588</c:v>
                </c:pt>
                <c:pt idx="52">
                  <c:v>1.1330514564332823</c:v>
                </c:pt>
                <c:pt idx="53">
                  <c:v>1.1231036353157002</c:v>
                </c:pt>
                <c:pt idx="54">
                  <c:v>1.1167855059917327</c:v>
                </c:pt>
                <c:pt idx="55">
                  <c:v>1.1236060576678497</c:v>
                </c:pt>
                <c:pt idx="56">
                  <c:v>1.1171152461115097</c:v>
                </c:pt>
                <c:pt idx="57">
                  <c:v>1.1234889286620269</c:v>
                </c:pt>
                <c:pt idx="58">
                  <c:v>1.1187361272319774</c:v>
                </c:pt>
                <c:pt idx="59">
                  <c:v>1.1178266146078066</c:v>
                </c:pt>
                <c:pt idx="60">
                  <c:v>1.1120554445205444</c:v>
                </c:pt>
                <c:pt idx="61">
                  <c:v>1.1249532234116728</c:v>
                </c:pt>
                <c:pt idx="62">
                  <c:v>1.1237963360418104</c:v>
                </c:pt>
                <c:pt idx="63">
                  <c:v>1.1253717158119827</c:v>
                </c:pt>
                <c:pt idx="64">
                  <c:v>1.0997263146289562</c:v>
                </c:pt>
                <c:pt idx="65">
                  <c:v>1.079993559940774</c:v>
                </c:pt>
                <c:pt idx="66">
                  <c:v>1.0775861462941068</c:v>
                </c:pt>
                <c:pt idx="67">
                  <c:v>1.0782361319042779</c:v>
                </c:pt>
                <c:pt idx="68">
                  <c:v>1.0824381376672392</c:v>
                </c:pt>
                <c:pt idx="69">
                  <c:v>1.0783892033332965</c:v>
                </c:pt>
                <c:pt idx="70">
                  <c:v>1.0817808221174541</c:v>
                </c:pt>
                <c:pt idx="71">
                  <c:v>1.078891432792298</c:v>
                </c:pt>
                <c:pt idx="72">
                  <c:v>1.0823449917094525</c:v>
                </c:pt>
                <c:pt idx="73">
                  <c:v>1.0779641739985351</c:v>
                </c:pt>
                <c:pt idx="74">
                  <c:v>1.0833962593646407</c:v>
                </c:pt>
                <c:pt idx="75">
                  <c:v>1.0838989817727978</c:v>
                </c:pt>
                <c:pt idx="76">
                  <c:v>1.074432814845125</c:v>
                </c:pt>
                <c:pt idx="77">
                  <c:v>1.0773825154278083</c:v>
                </c:pt>
                <c:pt idx="78">
                  <c:v>1.0795128702166035</c:v>
                </c:pt>
                <c:pt idx="79">
                  <c:v>1.0789301614498501</c:v>
                </c:pt>
                <c:pt idx="80">
                  <c:v>1.0840498885120471</c:v>
                </c:pt>
                <c:pt idx="81">
                  <c:v>1.1221386337626962</c:v>
                </c:pt>
                <c:pt idx="82">
                  <c:v>1.1133027130464095</c:v>
                </c:pt>
                <c:pt idx="83">
                  <c:v>1.1146015697730092</c:v>
                </c:pt>
                <c:pt idx="84">
                  <c:v>1.1176815803932774</c:v>
                </c:pt>
                <c:pt idx="85">
                  <c:v>1.1116939627616778</c:v>
                </c:pt>
                <c:pt idx="86">
                  <c:v>1.1126502841230335</c:v>
                </c:pt>
                <c:pt idx="87">
                  <c:v>1.1106546973467932</c:v>
                </c:pt>
                <c:pt idx="88">
                  <c:v>1.0812777567881455</c:v>
                </c:pt>
                <c:pt idx="89">
                  <c:v>1.0878001599555711</c:v>
                </c:pt>
                <c:pt idx="90">
                  <c:v>1.0962792497811091</c:v>
                </c:pt>
                <c:pt idx="91">
                  <c:v>1.0895438282808616</c:v>
                </c:pt>
                <c:pt idx="92">
                  <c:v>1.0941098877113262</c:v>
                </c:pt>
                <c:pt idx="93">
                  <c:v>1.0964573330216179</c:v>
                </c:pt>
                <c:pt idx="94">
                  <c:v>1.0989395677770366</c:v>
                </c:pt>
                <c:pt idx="95">
                  <c:v>1.1070646772438979</c:v>
                </c:pt>
                <c:pt idx="96">
                  <c:v>1.1021789510024826</c:v>
                </c:pt>
                <c:pt idx="97">
                  <c:v>1.087089005784994</c:v>
                </c:pt>
                <c:pt idx="98">
                  <c:v>1.097715703619764</c:v>
                </c:pt>
                <c:pt idx="99">
                  <c:v>1.1039256841855651</c:v>
                </c:pt>
                <c:pt idx="100">
                  <c:v>1.1100567928865122</c:v>
                </c:pt>
                <c:pt idx="101">
                  <c:v>1.1094498438808591</c:v>
                </c:pt>
                <c:pt idx="102">
                  <c:v>1.1121393959049555</c:v>
                </c:pt>
                <c:pt idx="103">
                  <c:v>1.1244890582004921</c:v>
                </c:pt>
                <c:pt idx="104">
                  <c:v>1.1186014020845663</c:v>
                </c:pt>
                <c:pt idx="105">
                  <c:v>1.1162272517895984</c:v>
                </c:pt>
                <c:pt idx="106">
                  <c:v>1.1130653901769723</c:v>
                </c:pt>
                <c:pt idx="107">
                  <c:v>1.1071529580078474</c:v>
                </c:pt>
                <c:pt idx="108">
                  <c:v>1.1042031502623046</c:v>
                </c:pt>
                <c:pt idx="109">
                  <c:v>1.1227514552930693</c:v>
                </c:pt>
                <c:pt idx="110">
                  <c:v>1.1249967315327742</c:v>
                </c:pt>
                <c:pt idx="111">
                  <c:v>1.1242765756819693</c:v>
                </c:pt>
                <c:pt idx="112">
                  <c:v>1.1223979035858322</c:v>
                </c:pt>
                <c:pt idx="113">
                  <c:v>1.1189492098625151</c:v>
                </c:pt>
                <c:pt idx="114">
                  <c:v>1.1151217597273226</c:v>
                </c:pt>
                <c:pt idx="115">
                  <c:v>1.1095778177680993</c:v>
                </c:pt>
                <c:pt idx="116">
                  <c:v>1.1154573295066761</c:v>
                </c:pt>
                <c:pt idx="117">
                  <c:v>1.1072824107425536</c:v>
                </c:pt>
                <c:pt idx="118">
                  <c:v>1.1091370569255112</c:v>
                </c:pt>
                <c:pt idx="119">
                  <c:v>1.1184562392746051</c:v>
                </c:pt>
                <c:pt idx="120">
                  <c:v>1.1065840518174435</c:v>
                </c:pt>
                <c:pt idx="121">
                  <c:v>1.0978559583707439</c:v>
                </c:pt>
                <c:pt idx="122">
                  <c:v>1.0931841506301734</c:v>
                </c:pt>
                <c:pt idx="123">
                  <c:v>1.0900060859931369</c:v>
                </c:pt>
                <c:pt idx="124">
                  <c:v>1.0938850814639198</c:v>
                </c:pt>
                <c:pt idx="125">
                  <c:v>1.0946856737573329</c:v>
                </c:pt>
                <c:pt idx="126">
                  <c:v>1.1002762744257377</c:v>
                </c:pt>
                <c:pt idx="127">
                  <c:v>1.1071989951724417</c:v>
                </c:pt>
                <c:pt idx="128">
                  <c:v>1.1155368657812614</c:v>
                </c:pt>
                <c:pt idx="129">
                  <c:v>1.1207795300762853</c:v>
                </c:pt>
                <c:pt idx="130">
                  <c:v>1.1161253184773032</c:v>
                </c:pt>
                <c:pt idx="131">
                  <c:v>1.1197194750665889</c:v>
                </c:pt>
                <c:pt idx="132">
                  <c:v>1.1538007580100593</c:v>
                </c:pt>
                <c:pt idx="133">
                  <c:v>1.1991428857277846</c:v>
                </c:pt>
                <c:pt idx="134">
                  <c:v>1.1890119875804246</c:v>
                </c:pt>
                <c:pt idx="135">
                  <c:v>1.1810660544152425</c:v>
                </c:pt>
                <c:pt idx="136">
                  <c:v>1.1818164301925271</c:v>
                </c:pt>
                <c:pt idx="137">
                  <c:v>1.1785653233502127</c:v>
                </c:pt>
                <c:pt idx="138">
                  <c:v>1.1701823157448217</c:v>
                </c:pt>
                <c:pt idx="139">
                  <c:v>1.1726944060729962</c:v>
                </c:pt>
                <c:pt idx="140">
                  <c:v>1.1645561370069446</c:v>
                </c:pt>
                <c:pt idx="141">
                  <c:v>1.1595565180780742</c:v>
                </c:pt>
                <c:pt idx="142">
                  <c:v>1.1561455242488548</c:v>
                </c:pt>
                <c:pt idx="143">
                  <c:v>1.1554531878764684</c:v>
                </c:pt>
                <c:pt idx="144">
                  <c:v>1.159302777858507</c:v>
                </c:pt>
                <c:pt idx="145">
                  <c:v>1.1710804691058476</c:v>
                </c:pt>
                <c:pt idx="146">
                  <c:v>1.1575424564247949</c:v>
                </c:pt>
                <c:pt idx="147">
                  <c:v>1.1630024898647511</c:v>
                </c:pt>
                <c:pt idx="148">
                  <c:v>1.1625187781479325</c:v>
                </c:pt>
                <c:pt idx="149">
                  <c:v>1.1642858508418157</c:v>
                </c:pt>
                <c:pt idx="150">
                  <c:v>1.16477854280629</c:v>
                </c:pt>
                <c:pt idx="151">
                  <c:v>1.1657804726808005</c:v>
                </c:pt>
                <c:pt idx="152">
                  <c:v>1.1594622361939728</c:v>
                </c:pt>
                <c:pt idx="153">
                  <c:v>1.1432964830263888</c:v>
                </c:pt>
                <c:pt idx="154">
                  <c:v>1.1416608562964052</c:v>
                </c:pt>
                <c:pt idx="155">
                  <c:v>1.1328543625014349</c:v>
                </c:pt>
                <c:pt idx="156">
                  <c:v>1.141086913451588</c:v>
                </c:pt>
                <c:pt idx="157">
                  <c:v>1.140433734388193</c:v>
                </c:pt>
                <c:pt idx="158">
                  <c:v>1.1462839263683131</c:v>
                </c:pt>
                <c:pt idx="159">
                  <c:v>1.1597179482101616</c:v>
                </c:pt>
                <c:pt idx="160">
                  <c:v>1.1520247050685202</c:v>
                </c:pt>
                <c:pt idx="161">
                  <c:v>1.1361578291170749</c:v>
                </c:pt>
                <c:pt idx="162">
                  <c:v>1.1453387499443823</c:v>
                </c:pt>
                <c:pt idx="163">
                  <c:v>1.141847898351998</c:v>
                </c:pt>
                <c:pt idx="164">
                  <c:v>1.1470070827791941</c:v>
                </c:pt>
                <c:pt idx="165">
                  <c:v>1.1484799291250565</c:v>
                </c:pt>
                <c:pt idx="166">
                  <c:v>1.1545805392760882</c:v>
                </c:pt>
                <c:pt idx="167">
                  <c:v>1.1572407929742998</c:v>
                </c:pt>
                <c:pt idx="168">
                  <c:v>1.1550896485906925</c:v>
                </c:pt>
                <c:pt idx="169">
                  <c:v>1.1544308113282973</c:v>
                </c:pt>
                <c:pt idx="170">
                  <c:v>1.1539578801951802</c:v>
                </c:pt>
                <c:pt idx="171">
                  <c:v>1.1419734503586054</c:v>
                </c:pt>
                <c:pt idx="172">
                  <c:v>1.1550816113762035</c:v>
                </c:pt>
                <c:pt idx="173">
                  <c:v>1.1518524300550157</c:v>
                </c:pt>
                <c:pt idx="174">
                  <c:v>1.152900740015272</c:v>
                </c:pt>
                <c:pt idx="175">
                  <c:v>1.154812353974529</c:v>
                </c:pt>
                <c:pt idx="176">
                  <c:v>1.1687904630884387</c:v>
                </c:pt>
                <c:pt idx="177">
                  <c:v>1.1669255292709351</c:v>
                </c:pt>
                <c:pt idx="178">
                  <c:v>1.1635758540301249</c:v>
                </c:pt>
                <c:pt idx="179">
                  <c:v>1.161083267342444</c:v>
                </c:pt>
                <c:pt idx="180">
                  <c:v>1.1645445848506522</c:v>
                </c:pt>
                <c:pt idx="181">
                  <c:v>1.1635473058442594</c:v>
                </c:pt>
                <c:pt idx="182">
                  <c:v>1.1734531619859214</c:v>
                </c:pt>
                <c:pt idx="183">
                  <c:v>1.1644325353643867</c:v>
                </c:pt>
                <c:pt idx="184">
                  <c:v>1.1757453541256715</c:v>
                </c:pt>
                <c:pt idx="185">
                  <c:v>1.1730527801089272</c:v>
                </c:pt>
                <c:pt idx="186">
                  <c:v>1.1722920309668088</c:v>
                </c:pt>
                <c:pt idx="187">
                  <c:v>1.1766811430830788</c:v>
                </c:pt>
                <c:pt idx="188">
                  <c:v>1.1709547027735205</c:v>
                </c:pt>
                <c:pt idx="189">
                  <c:v>1.1848615057204821</c:v>
                </c:pt>
                <c:pt idx="190">
                  <c:v>1.1954089459041026</c:v>
                </c:pt>
                <c:pt idx="191">
                  <c:v>1.1978648185959968</c:v>
                </c:pt>
                <c:pt idx="192">
                  <c:v>1.1995935698511953</c:v>
                </c:pt>
                <c:pt idx="193">
                  <c:v>1.1992948640956325</c:v>
                </c:pt>
                <c:pt idx="194">
                  <c:v>1.1994102141979814</c:v>
                </c:pt>
                <c:pt idx="195">
                  <c:v>1.1948279088779628</c:v>
                </c:pt>
                <c:pt idx="196">
                  <c:v>1.2051024481226738</c:v>
                </c:pt>
                <c:pt idx="197">
                  <c:v>1.2140174764621063</c:v>
                </c:pt>
                <c:pt idx="198">
                  <c:v>1.2193201519586498</c:v>
                </c:pt>
                <c:pt idx="199">
                  <c:v>1.2237792842875501</c:v>
                </c:pt>
                <c:pt idx="200">
                  <c:v>1.2368595400964413</c:v>
                </c:pt>
                <c:pt idx="201">
                  <c:v>1.2310699379972838</c:v>
                </c:pt>
                <c:pt idx="202">
                  <c:v>1.2309606747453745</c:v>
                </c:pt>
                <c:pt idx="203">
                  <c:v>1.223022521603818</c:v>
                </c:pt>
                <c:pt idx="204">
                  <c:v>1.2315958718808855</c:v>
                </c:pt>
                <c:pt idx="205">
                  <c:v>1.2205846951375237</c:v>
                </c:pt>
                <c:pt idx="206">
                  <c:v>1.2039029313671605</c:v>
                </c:pt>
                <c:pt idx="207">
                  <c:v>1.1992920778612761</c:v>
                </c:pt>
                <c:pt idx="208">
                  <c:v>1.2025251384779907</c:v>
                </c:pt>
                <c:pt idx="209">
                  <c:v>1.2022460220932094</c:v>
                </c:pt>
                <c:pt idx="210">
                  <c:v>1.214989572196433</c:v>
                </c:pt>
                <c:pt idx="211">
                  <c:v>1.1978036714681628</c:v>
                </c:pt>
                <c:pt idx="212">
                  <c:v>1.1893367124783605</c:v>
                </c:pt>
                <c:pt idx="213">
                  <c:v>1.1851961753318125</c:v>
                </c:pt>
                <c:pt idx="214">
                  <c:v>1.1633564487908556</c:v>
                </c:pt>
                <c:pt idx="215">
                  <c:v>1.1610815313041145</c:v>
                </c:pt>
                <c:pt idx="216">
                  <c:v>1.1535147617696753</c:v>
                </c:pt>
                <c:pt idx="217">
                  <c:v>1.1444519772790733</c:v>
                </c:pt>
                <c:pt idx="218">
                  <c:v>1.1492468722804745</c:v>
                </c:pt>
                <c:pt idx="219">
                  <c:v>1.1452150197063926</c:v>
                </c:pt>
                <c:pt idx="220">
                  <c:v>1.1363810279215831</c:v>
                </c:pt>
                <c:pt idx="221">
                  <c:v>1.142609097578128</c:v>
                </c:pt>
                <c:pt idx="222">
                  <c:v>1.1412659397252634</c:v>
                </c:pt>
                <c:pt idx="223">
                  <c:v>1.1370241551087235</c:v>
                </c:pt>
                <c:pt idx="224">
                  <c:v>1.133827572729504</c:v>
                </c:pt>
                <c:pt idx="225">
                  <c:v>1.1401590545458098</c:v>
                </c:pt>
                <c:pt idx="226">
                  <c:v>1.1515563390732331</c:v>
                </c:pt>
                <c:pt idx="227">
                  <c:v>1.1551123456844101</c:v>
                </c:pt>
                <c:pt idx="228">
                  <c:v>1.1532360740363334</c:v>
                </c:pt>
                <c:pt idx="229">
                  <c:v>1.1448517161789085</c:v>
                </c:pt>
                <c:pt idx="230">
                  <c:v>1.1484515095346224</c:v>
                </c:pt>
                <c:pt idx="231">
                  <c:v>1.1463787012015698</c:v>
                </c:pt>
                <c:pt idx="232">
                  <c:v>1.1412244034007832</c:v>
                </c:pt>
                <c:pt idx="233">
                  <c:v>1.1393615485427608</c:v>
                </c:pt>
                <c:pt idx="234">
                  <c:v>1.1464149436807731</c:v>
                </c:pt>
                <c:pt idx="235">
                  <c:v>1.1513303754669406</c:v>
                </c:pt>
                <c:pt idx="236">
                  <c:v>1.1469858859655147</c:v>
                </c:pt>
                <c:pt idx="237">
                  <c:v>1.1511869272627373</c:v>
                </c:pt>
                <c:pt idx="238">
                  <c:v>1.14842506174081</c:v>
                </c:pt>
                <c:pt idx="239">
                  <c:v>1.1554215962653829</c:v>
                </c:pt>
                <c:pt idx="240">
                  <c:v>1.1562341693665277</c:v>
                </c:pt>
                <c:pt idx="241">
                  <c:v>1.1584789740896493</c:v>
                </c:pt>
                <c:pt idx="242">
                  <c:v>1.1603444008563082</c:v>
                </c:pt>
                <c:pt idx="243">
                  <c:v>1.1654451172271669</c:v>
                </c:pt>
                <c:pt idx="244">
                  <c:v>1.1535209129178312</c:v>
                </c:pt>
                <c:pt idx="245">
                  <c:v>1.1558324158049271</c:v>
                </c:pt>
                <c:pt idx="246">
                  <c:v>1.1542330315541469</c:v>
                </c:pt>
                <c:pt idx="247">
                  <c:v>1.1605919684951478</c:v>
                </c:pt>
                <c:pt idx="248">
                  <c:v>1.1641508685035409</c:v>
                </c:pt>
                <c:pt idx="249">
                  <c:v>1.1677212135053665</c:v>
                </c:pt>
                <c:pt idx="250">
                  <c:v>1.174176597020238</c:v>
                </c:pt>
                <c:pt idx="251">
                  <c:v>1.171119604982267</c:v>
                </c:pt>
                <c:pt idx="252">
                  <c:v>1.1727400145861511</c:v>
                </c:pt>
                <c:pt idx="253">
                  <c:v>1.1770017957923402</c:v>
                </c:pt>
                <c:pt idx="254">
                  <c:v>1.1707187944538333</c:v>
                </c:pt>
                <c:pt idx="255">
                  <c:v>1.1860133350033593</c:v>
                </c:pt>
                <c:pt idx="256">
                  <c:v>1.189713239902751</c:v>
                </c:pt>
                <c:pt idx="257">
                  <c:v>1.1893446639625618</c:v>
                </c:pt>
                <c:pt idx="258">
                  <c:v>1.1827069535579311</c:v>
                </c:pt>
                <c:pt idx="259">
                  <c:v>1.1821407264390236</c:v>
                </c:pt>
                <c:pt idx="260">
                  <c:v>1.1729034379474315</c:v>
                </c:pt>
                <c:pt idx="261">
                  <c:v>1.174024597219818</c:v>
                </c:pt>
                <c:pt idx="262">
                  <c:v>1.1741974080476221</c:v>
                </c:pt>
                <c:pt idx="263">
                  <c:v>1.1666287738794214</c:v>
                </c:pt>
                <c:pt idx="264">
                  <c:v>1.162831929457004</c:v>
                </c:pt>
                <c:pt idx="265">
                  <c:v>1.1665035433613935</c:v>
                </c:pt>
                <c:pt idx="266">
                  <c:v>1.16940304886052</c:v>
                </c:pt>
                <c:pt idx="267">
                  <c:v>1.1681986240460254</c:v>
                </c:pt>
                <c:pt idx="268">
                  <c:v>1.1614600090925542</c:v>
                </c:pt>
                <c:pt idx="269">
                  <c:v>1.1604240014286094</c:v>
                </c:pt>
                <c:pt idx="270">
                  <c:v>1.1702283100442719</c:v>
                </c:pt>
                <c:pt idx="271">
                  <c:v>1.1714454015088016</c:v>
                </c:pt>
                <c:pt idx="272">
                  <c:v>1.1703764948468809</c:v>
                </c:pt>
                <c:pt idx="273">
                  <c:v>1.1788695587093443</c:v>
                </c:pt>
                <c:pt idx="274">
                  <c:v>1.1646306151945447</c:v>
                </c:pt>
                <c:pt idx="275">
                  <c:v>1.1587334644492355</c:v>
                </c:pt>
                <c:pt idx="276">
                  <c:v>1.1577948892574719</c:v>
                </c:pt>
                <c:pt idx="277">
                  <c:v>1.1439308871567369</c:v>
                </c:pt>
                <c:pt idx="278">
                  <c:v>1.1492696122393358</c:v>
                </c:pt>
                <c:pt idx="279">
                  <c:v>1.1557807847390487</c:v>
                </c:pt>
                <c:pt idx="280">
                  <c:v>1.1578730752800228</c:v>
                </c:pt>
                <c:pt idx="281">
                  <c:v>1.1541949458737539</c:v>
                </c:pt>
                <c:pt idx="282">
                  <c:v>1.1484856087566289</c:v>
                </c:pt>
                <c:pt idx="283">
                  <c:v>1.144371690864469</c:v>
                </c:pt>
                <c:pt idx="284">
                  <c:v>1.1499705645056546</c:v>
                </c:pt>
                <c:pt idx="285">
                  <c:v>1.1626155462103824</c:v>
                </c:pt>
                <c:pt idx="286">
                  <c:v>1.1613643983889907</c:v>
                </c:pt>
                <c:pt idx="287">
                  <c:v>1.1616447364303741</c:v>
                </c:pt>
                <c:pt idx="288">
                  <c:v>1.1590055295178381</c:v>
                </c:pt>
                <c:pt idx="289">
                  <c:v>1.162684409064126</c:v>
                </c:pt>
                <c:pt idx="290">
                  <c:v>1.1629191600249269</c:v>
                </c:pt>
                <c:pt idx="291">
                  <c:v>1.1603836653281596</c:v>
                </c:pt>
                <c:pt idx="292">
                  <c:v>1.1501466116518262</c:v>
                </c:pt>
                <c:pt idx="293">
                  <c:v>1.1463540966089469</c:v>
                </c:pt>
                <c:pt idx="294">
                  <c:v>1.1321824942352812</c:v>
                </c:pt>
                <c:pt idx="295">
                  <c:v>1.1246635193363377</c:v>
                </c:pt>
                <c:pt idx="296">
                  <c:v>1.1217660499315485</c:v>
                </c:pt>
                <c:pt idx="297">
                  <c:v>1.1301288466215709</c:v>
                </c:pt>
                <c:pt idx="298">
                  <c:v>1.1270718760161718</c:v>
                </c:pt>
                <c:pt idx="299">
                  <c:v>1.1270954089801961</c:v>
                </c:pt>
                <c:pt idx="300">
                  <c:v>1.1303328204090208</c:v>
                </c:pt>
                <c:pt idx="301">
                  <c:v>1.12973176536066</c:v>
                </c:pt>
                <c:pt idx="302">
                  <c:v>1.1315106474016992</c:v>
                </c:pt>
                <c:pt idx="303">
                  <c:v>1.1231090577564091</c:v>
                </c:pt>
                <c:pt idx="304">
                  <c:v>1.117439756683726</c:v>
                </c:pt>
                <c:pt idx="305">
                  <c:v>1.112766920179701</c:v>
                </c:pt>
                <c:pt idx="306">
                  <c:v>1.1048636806978858</c:v>
                </c:pt>
                <c:pt idx="307">
                  <c:v>1.1029826295862597</c:v>
                </c:pt>
                <c:pt idx="308">
                  <c:v>1.102824371474824</c:v>
                </c:pt>
                <c:pt idx="309">
                  <c:v>1.1058157798425632</c:v>
                </c:pt>
                <c:pt idx="310">
                  <c:v>1.1111634423076742</c:v>
                </c:pt>
                <c:pt idx="311">
                  <c:v>1.1309640310861451</c:v>
                </c:pt>
                <c:pt idx="312">
                  <c:v>1.1324896872893446</c:v>
                </c:pt>
                <c:pt idx="313">
                  <c:v>1.1330781185528143</c:v>
                </c:pt>
                <c:pt idx="314">
                  <c:v>1.1257126008691851</c:v>
                </c:pt>
                <c:pt idx="315">
                  <c:v>1.1207449593376957</c:v>
                </c:pt>
                <c:pt idx="316">
                  <c:v>1.1219689092252561</c:v>
                </c:pt>
                <c:pt idx="317">
                  <c:v>1.1248324294360428</c:v>
                </c:pt>
                <c:pt idx="318">
                  <c:v>1.1346255716817082</c:v>
                </c:pt>
                <c:pt idx="319">
                  <c:v>1.1342292191282446</c:v>
                </c:pt>
                <c:pt idx="320">
                  <c:v>1.1747423097574183</c:v>
                </c:pt>
                <c:pt idx="321">
                  <c:v>1.171446430272256</c:v>
                </c:pt>
                <c:pt idx="322">
                  <c:v>1.1776831801204493</c:v>
                </c:pt>
                <c:pt idx="323">
                  <c:v>1.1808170507940809</c:v>
                </c:pt>
                <c:pt idx="324">
                  <c:v>1.1734003306960124</c:v>
                </c:pt>
                <c:pt idx="325">
                  <c:v>1.1633408673110326</c:v>
                </c:pt>
                <c:pt idx="326">
                  <c:v>1.1700712092917229</c:v>
                </c:pt>
                <c:pt idx="327">
                  <c:v>1.1804185121182762</c:v>
                </c:pt>
                <c:pt idx="328">
                  <c:v>1.187177509447692</c:v>
                </c:pt>
                <c:pt idx="329">
                  <c:v>1.1905700498324443</c:v>
                </c:pt>
                <c:pt idx="330">
                  <c:v>1.1872951742678139</c:v>
                </c:pt>
                <c:pt idx="331">
                  <c:v>1.1868107124109764</c:v>
                </c:pt>
                <c:pt idx="332">
                  <c:v>1.1707479641842859</c:v>
                </c:pt>
                <c:pt idx="333">
                  <c:v>1.1672736585374635</c:v>
                </c:pt>
                <c:pt idx="334">
                  <c:v>1.1661971218799212</c:v>
                </c:pt>
                <c:pt idx="335">
                  <c:v>1.1811108913558064</c:v>
                </c:pt>
                <c:pt idx="336">
                  <c:v>1.1784934170712493</c:v>
                </c:pt>
                <c:pt idx="337">
                  <c:v>1.1862607526141951</c:v>
                </c:pt>
                <c:pt idx="338">
                  <c:v>1.1953121135439366</c:v>
                </c:pt>
                <c:pt idx="339">
                  <c:v>1.2048922374567801</c:v>
                </c:pt>
                <c:pt idx="340">
                  <c:v>1.2176805602028513</c:v>
                </c:pt>
                <c:pt idx="341">
                  <c:v>1.2204538707182113</c:v>
                </c:pt>
                <c:pt idx="342">
                  <c:v>1.2137938704387305</c:v>
                </c:pt>
                <c:pt idx="343">
                  <c:v>1.2200783934898476</c:v>
                </c:pt>
                <c:pt idx="344">
                  <c:v>1.2163318084487027</c:v>
                </c:pt>
                <c:pt idx="345">
                  <c:v>1.2113909147670334</c:v>
                </c:pt>
                <c:pt idx="346">
                  <c:v>1.1992421399685833</c:v>
                </c:pt>
                <c:pt idx="347">
                  <c:v>1.2165843270116676</c:v>
                </c:pt>
                <c:pt idx="348">
                  <c:v>1.218474915617821</c:v>
                </c:pt>
                <c:pt idx="349">
                  <c:v>1.2182731493852836</c:v>
                </c:pt>
                <c:pt idx="350">
                  <c:v>1.2208531166688914</c:v>
                </c:pt>
                <c:pt idx="351">
                  <c:v>1.230520921233669</c:v>
                </c:pt>
                <c:pt idx="352">
                  <c:v>1.2308751159180653</c:v>
                </c:pt>
                <c:pt idx="353">
                  <c:v>1.2480052490940665</c:v>
                </c:pt>
                <c:pt idx="354">
                  <c:v>1.2569925266336142</c:v>
                </c:pt>
                <c:pt idx="355">
                  <c:v>1.2534627320579579</c:v>
                </c:pt>
                <c:pt idx="356">
                  <c:v>1.2502893611541834</c:v>
                </c:pt>
                <c:pt idx="357">
                  <c:v>1.275260043538984</c:v>
                </c:pt>
                <c:pt idx="358">
                  <c:v>1.2781871113256653</c:v>
                </c:pt>
                <c:pt idx="359">
                  <c:v>1.2631936769797629</c:v>
                </c:pt>
                <c:pt idx="360">
                  <c:v>1.2699322705006622</c:v>
                </c:pt>
                <c:pt idx="361">
                  <c:v>1.2633546141626948</c:v>
                </c:pt>
                <c:pt idx="362">
                  <c:v>1.2626931406939472</c:v>
                </c:pt>
                <c:pt idx="363">
                  <c:v>1.2641524416543235</c:v>
                </c:pt>
                <c:pt idx="364">
                  <c:v>1.2627464435004396</c:v>
                </c:pt>
                <c:pt idx="365">
                  <c:v>1.2636869261911088</c:v>
                </c:pt>
                <c:pt idx="366">
                  <c:v>1.2853695091143724</c:v>
                </c:pt>
                <c:pt idx="367">
                  <c:v>1.2876061908927172</c:v>
                </c:pt>
                <c:pt idx="368">
                  <c:v>1.2706102684823997</c:v>
                </c:pt>
                <c:pt idx="369">
                  <c:v>1.2619631258600355</c:v>
                </c:pt>
                <c:pt idx="370">
                  <c:v>1.2601868800253486</c:v>
                </c:pt>
                <c:pt idx="371">
                  <c:v>1.2610662798858996</c:v>
                </c:pt>
                <c:pt idx="372">
                  <c:v>1.2476265141147631</c:v>
                </c:pt>
                <c:pt idx="373">
                  <c:v>1.2411493979719128</c:v>
                </c:pt>
                <c:pt idx="374">
                  <c:v>1.2165606011544954</c:v>
                </c:pt>
                <c:pt idx="375">
                  <c:v>1.2260381059127405</c:v>
                </c:pt>
                <c:pt idx="376">
                  <c:v>1.2347435665634388</c:v>
                </c:pt>
                <c:pt idx="377">
                  <c:v>1.2315337388547412</c:v>
                </c:pt>
                <c:pt idx="378">
                  <c:v>1.2354774178277332</c:v>
                </c:pt>
                <c:pt idx="379">
                  <c:v>1.24114991235364</c:v>
                </c:pt>
                <c:pt idx="380">
                  <c:v>1.2421103702013865</c:v>
                </c:pt>
                <c:pt idx="381">
                  <c:v>1.2525497044919842</c:v>
                </c:pt>
                <c:pt idx="382">
                  <c:v>1.2623742668881595</c:v>
                </c:pt>
                <c:pt idx="383">
                  <c:v>1.2551741229298599</c:v>
                </c:pt>
                <c:pt idx="384">
                  <c:v>1.2860929227161173</c:v>
                </c:pt>
                <c:pt idx="385">
                  <c:v>1.3097367360027514</c:v>
                </c:pt>
                <c:pt idx="386">
                  <c:v>1.3099776381117081</c:v>
                </c:pt>
                <c:pt idx="387">
                  <c:v>1.3046353337895897</c:v>
                </c:pt>
                <c:pt idx="388">
                  <c:v>1.3000380256691912</c:v>
                </c:pt>
                <c:pt idx="389">
                  <c:v>1.2971025134491532</c:v>
                </c:pt>
                <c:pt idx="390">
                  <c:v>1.2977840906704099</c:v>
                </c:pt>
                <c:pt idx="391">
                  <c:v>1.3087008140690946</c:v>
                </c:pt>
                <c:pt idx="392">
                  <c:v>1.3007694979179971</c:v>
                </c:pt>
                <c:pt idx="393">
                  <c:v>1.2981388211691056</c:v>
                </c:pt>
                <c:pt idx="394">
                  <c:v>1.2969347607083344</c:v>
                </c:pt>
                <c:pt idx="395">
                  <c:v>1.2911246047726563</c:v>
                </c:pt>
                <c:pt idx="396">
                  <c:v>1.2979699539345444</c:v>
                </c:pt>
                <c:pt idx="397">
                  <c:v>1.2957547904584588</c:v>
                </c:pt>
                <c:pt idx="398">
                  <c:v>1.2940803707732074</c:v>
                </c:pt>
                <c:pt idx="399">
                  <c:v>1.2972975927192352</c:v>
                </c:pt>
                <c:pt idx="400">
                  <c:v>1.2966641316220537</c:v>
                </c:pt>
                <c:pt idx="401">
                  <c:v>1.2987882709649776</c:v>
                </c:pt>
                <c:pt idx="402">
                  <c:v>1.2960383219530662</c:v>
                </c:pt>
                <c:pt idx="403">
                  <c:v>1.2970810594446101</c:v>
                </c:pt>
                <c:pt idx="404">
                  <c:v>1.2961674317666207</c:v>
                </c:pt>
                <c:pt idx="405">
                  <c:v>1.2848900410468045</c:v>
                </c:pt>
                <c:pt idx="406">
                  <c:v>1.2839832932244182</c:v>
                </c:pt>
                <c:pt idx="407">
                  <c:v>1.2779296204060031</c:v>
                </c:pt>
                <c:pt idx="408">
                  <c:v>1.2719476181082601</c:v>
                </c:pt>
                <c:pt idx="409">
                  <c:v>1.2780855637996658</c:v>
                </c:pt>
                <c:pt idx="410">
                  <c:v>1.2873294320908528</c:v>
                </c:pt>
                <c:pt idx="411">
                  <c:v>1.2903977833919684</c:v>
                </c:pt>
                <c:pt idx="412">
                  <c:v>1.2913599558454725</c:v>
                </c:pt>
                <c:pt idx="413">
                  <c:v>1.2949162625126569</c:v>
                </c:pt>
                <c:pt idx="414">
                  <c:v>1.2930079277369115</c:v>
                </c:pt>
                <c:pt idx="415">
                  <c:v>1.2935743691815389</c:v>
                </c:pt>
                <c:pt idx="416">
                  <c:v>1.2922361622527998</c:v>
                </c:pt>
                <c:pt idx="417">
                  <c:v>1.2996053877713802</c:v>
                </c:pt>
                <c:pt idx="418">
                  <c:v>1.2931604847842026</c:v>
                </c:pt>
                <c:pt idx="419">
                  <c:v>1.2896660110871552</c:v>
                </c:pt>
                <c:pt idx="420">
                  <c:v>1.2859377723276175</c:v>
                </c:pt>
                <c:pt idx="421">
                  <c:v>1.297802629845165</c:v>
                </c:pt>
                <c:pt idx="422">
                  <c:v>1.2985185206141476</c:v>
                </c:pt>
                <c:pt idx="423">
                  <c:v>1.2985369526260429</c:v>
                </c:pt>
                <c:pt idx="424">
                  <c:v>1.3115595119511878</c:v>
                </c:pt>
                <c:pt idx="425">
                  <c:v>1.3065172422040947</c:v>
                </c:pt>
                <c:pt idx="426">
                  <c:v>1.3019887540722956</c:v>
                </c:pt>
                <c:pt idx="427">
                  <c:v>1.29754858956959</c:v>
                </c:pt>
                <c:pt idx="428">
                  <c:v>1.2986576823039568</c:v>
                </c:pt>
                <c:pt idx="429">
                  <c:v>1.2945206172340682</c:v>
                </c:pt>
                <c:pt idx="430">
                  <c:v>1.2831059080256322</c:v>
                </c:pt>
                <c:pt idx="431">
                  <c:v>1.3007542807918975</c:v>
                </c:pt>
                <c:pt idx="432">
                  <c:v>1.3035056229209869</c:v>
                </c:pt>
                <c:pt idx="433">
                  <c:v>1.3075752182543101</c:v>
                </c:pt>
                <c:pt idx="434">
                  <c:v>1.3164356578329319</c:v>
                </c:pt>
                <c:pt idx="435">
                  <c:v>1.3218051600888818</c:v>
                </c:pt>
                <c:pt idx="436">
                  <c:v>1.3218059959591886</c:v>
                </c:pt>
                <c:pt idx="437">
                  <c:v>1.3147621597482753</c:v>
                </c:pt>
                <c:pt idx="438">
                  <c:v>1.3233919848524867</c:v>
                </c:pt>
                <c:pt idx="439">
                  <c:v>1.3479314653217984</c:v>
                </c:pt>
                <c:pt idx="440">
                  <c:v>1.3515482332745137</c:v>
                </c:pt>
                <c:pt idx="441">
                  <c:v>1.381099720699295</c:v>
                </c:pt>
                <c:pt idx="442">
                  <c:v>1.3914973686374086</c:v>
                </c:pt>
                <c:pt idx="443">
                  <c:v>1.3593426167232869</c:v>
                </c:pt>
                <c:pt idx="444">
                  <c:v>1.3639313518148972</c:v>
                </c:pt>
                <c:pt idx="445">
                  <c:v>1.3551903130947269</c:v>
                </c:pt>
                <c:pt idx="446">
                  <c:v>1.342285568617708</c:v>
                </c:pt>
                <c:pt idx="447">
                  <c:v>1.3534398506441216</c:v>
                </c:pt>
                <c:pt idx="448">
                  <c:v>1.3332809092622917</c:v>
                </c:pt>
                <c:pt idx="449">
                  <c:v>1.3230414122727534</c:v>
                </c:pt>
                <c:pt idx="450">
                  <c:v>1.3262167764057216</c:v>
                </c:pt>
                <c:pt idx="451">
                  <c:v>1.3443721366619659</c:v>
                </c:pt>
                <c:pt idx="452">
                  <c:v>1.33172119670223</c:v>
                </c:pt>
                <c:pt idx="453">
                  <c:v>1.3187138759357566</c:v>
                </c:pt>
                <c:pt idx="454">
                  <c:v>1.3255897236475596</c:v>
                </c:pt>
                <c:pt idx="455">
                  <c:v>1.3352059828767466</c:v>
                </c:pt>
                <c:pt idx="456">
                  <c:v>1.3138615202089008</c:v>
                </c:pt>
                <c:pt idx="457">
                  <c:v>1.3191137648635956</c:v>
                </c:pt>
                <c:pt idx="458">
                  <c:v>1.3081175909206137</c:v>
                </c:pt>
                <c:pt idx="459">
                  <c:v>1.2947836591898709</c:v>
                </c:pt>
                <c:pt idx="460">
                  <c:v>1.2937822008319437</c:v>
                </c:pt>
                <c:pt idx="461">
                  <c:v>1.31504164048678</c:v>
                </c:pt>
                <c:pt idx="462">
                  <c:v>1.3090191091954391</c:v>
                </c:pt>
                <c:pt idx="463">
                  <c:v>1.3183718549522401</c:v>
                </c:pt>
                <c:pt idx="464">
                  <c:v>1.3096315878046607</c:v>
                </c:pt>
                <c:pt idx="465">
                  <c:v>1.3069687836303845</c:v>
                </c:pt>
                <c:pt idx="466">
                  <c:v>1.3173494998366408</c:v>
                </c:pt>
                <c:pt idx="467">
                  <c:v>1.2971107221242182</c:v>
                </c:pt>
                <c:pt idx="468">
                  <c:v>1.2980225280335895</c:v>
                </c:pt>
                <c:pt idx="469">
                  <c:v>1.3041909294097667</c:v>
                </c:pt>
                <c:pt idx="470">
                  <c:v>1.3283040945899987</c:v>
                </c:pt>
                <c:pt idx="471">
                  <c:v>1.3305155287985611</c:v>
                </c:pt>
                <c:pt idx="472">
                  <c:v>1.3295206073750849</c:v>
                </c:pt>
                <c:pt idx="473">
                  <c:v>1.3411591583651883</c:v>
                </c:pt>
                <c:pt idx="474">
                  <c:v>1.3498848513638273</c:v>
                </c:pt>
                <c:pt idx="475">
                  <c:v>1.3528346805419422</c:v>
                </c:pt>
                <c:pt idx="476">
                  <c:v>1.3625476649684354</c:v>
                </c:pt>
                <c:pt idx="477">
                  <c:v>1.3651760055669819</c:v>
                </c:pt>
                <c:pt idx="478">
                  <c:v>1.3733899316120919</c:v>
                </c:pt>
                <c:pt idx="479">
                  <c:v>1.3889372264828745</c:v>
                </c:pt>
                <c:pt idx="480">
                  <c:v>1.414308633665821</c:v>
                </c:pt>
                <c:pt idx="481">
                  <c:v>1.42498826995336</c:v>
                </c:pt>
                <c:pt idx="482">
                  <c:v>1.4371074463699181</c:v>
                </c:pt>
                <c:pt idx="483">
                  <c:v>1.4484523496914437</c:v>
                </c:pt>
                <c:pt idx="484">
                  <c:v>1.4450261173035526</c:v>
                </c:pt>
                <c:pt idx="485">
                  <c:v>1.4740345462197271</c:v>
                </c:pt>
                <c:pt idx="486">
                  <c:v>1.4814361777871281</c:v>
                </c:pt>
                <c:pt idx="487">
                  <c:v>1.4617700998303482</c:v>
                </c:pt>
                <c:pt idx="488">
                  <c:v>1.4690734201901172</c:v>
                </c:pt>
                <c:pt idx="489">
                  <c:v>1.4497686739642002</c:v>
                </c:pt>
                <c:pt idx="490">
                  <c:v>1.4264328896019363</c:v>
                </c:pt>
                <c:pt idx="491">
                  <c:v>1.4388943870580184</c:v>
                </c:pt>
                <c:pt idx="492">
                  <c:v>1.4389129476653455</c:v>
                </c:pt>
                <c:pt idx="493">
                  <c:v>1.4378112063031649</c:v>
                </c:pt>
                <c:pt idx="494">
                  <c:v>1.4630812159881157</c:v>
                </c:pt>
                <c:pt idx="495">
                  <c:v>1.4201927748399437</c:v>
                </c:pt>
                <c:pt idx="496">
                  <c:v>1.3762445144403668</c:v>
                </c:pt>
                <c:pt idx="497">
                  <c:v>1.344999896695003</c:v>
                </c:pt>
                <c:pt idx="498">
                  <c:v>1.2770597794725511</c:v>
                </c:pt>
                <c:pt idx="499">
                  <c:v>1.2752953429850205</c:v>
                </c:pt>
                <c:pt idx="500">
                  <c:v>1.2964840122872077</c:v>
                </c:pt>
                <c:pt idx="501">
                  <c:v>1.3025831650233455</c:v>
                </c:pt>
                <c:pt idx="502">
                  <c:v>1.3248808627621835</c:v>
                </c:pt>
                <c:pt idx="503">
                  <c:v>1.338293923548644</c:v>
                </c:pt>
                <c:pt idx="504">
                  <c:v>1.3448166053395052</c:v>
                </c:pt>
                <c:pt idx="505">
                  <c:v>1.3208891748279756</c:v>
                </c:pt>
                <c:pt idx="506">
                  <c:v>1.3069653329862969</c:v>
                </c:pt>
                <c:pt idx="507">
                  <c:v>1.3106503636807407</c:v>
                </c:pt>
                <c:pt idx="508">
                  <c:v>1.2989832645047716</c:v>
                </c:pt>
                <c:pt idx="509">
                  <c:v>1.2991955541301465</c:v>
                </c:pt>
                <c:pt idx="510">
                  <c:v>1.3196357980190987</c:v>
                </c:pt>
                <c:pt idx="511">
                  <c:v>1.3143880756370896</c:v>
                </c:pt>
                <c:pt idx="512">
                  <c:v>1.3221371506287158</c:v>
                </c:pt>
                <c:pt idx="513">
                  <c:v>1.327612036841048</c:v>
                </c:pt>
                <c:pt idx="514">
                  <c:v>1.3242673125243634</c:v>
                </c:pt>
                <c:pt idx="515">
                  <c:v>1.3144469723448664</c:v>
                </c:pt>
                <c:pt idx="516">
                  <c:v>1.3052721383679986</c:v>
                </c:pt>
                <c:pt idx="517">
                  <c:v>1.3085167082758618</c:v>
                </c:pt>
                <c:pt idx="518">
                  <c:v>1.3010445421141037</c:v>
                </c:pt>
                <c:pt idx="519">
                  <c:v>1.3072918153551347</c:v>
                </c:pt>
                <c:pt idx="520">
                  <c:v>1.3083841049530758</c:v>
                </c:pt>
                <c:pt idx="521">
                  <c:v>1.3082361559087585</c:v>
                </c:pt>
                <c:pt idx="522">
                  <c:v>1.2983287566219146</c:v>
                </c:pt>
                <c:pt idx="523">
                  <c:v>1.2558760610944892</c:v>
                </c:pt>
                <c:pt idx="524">
                  <c:v>1.2359746963626095</c:v>
                </c:pt>
                <c:pt idx="525">
                  <c:v>1.2416558067824488</c:v>
                </c:pt>
                <c:pt idx="526">
                  <c:v>1.2304493150107132</c:v>
                </c:pt>
                <c:pt idx="527">
                  <c:v>1.2580747429227288</c:v>
                </c:pt>
                <c:pt idx="528">
                  <c:v>1.2481021457519486</c:v>
                </c:pt>
                <c:pt idx="529">
                  <c:v>1.2455641434442606</c:v>
                </c:pt>
                <c:pt idx="530">
                  <c:v>1.2382952652276493</c:v>
                </c:pt>
                <c:pt idx="531">
                  <c:v>1.2338047770459555</c:v>
                </c:pt>
                <c:pt idx="532">
                  <c:v>1.2363579750471709</c:v>
                </c:pt>
                <c:pt idx="533">
                  <c:v>1.26798428546677</c:v>
                </c:pt>
                <c:pt idx="534">
                  <c:v>1.2739572003539974</c:v>
                </c:pt>
                <c:pt idx="535">
                  <c:v>1.2588366922888776</c:v>
                </c:pt>
                <c:pt idx="536">
                  <c:v>1.2479325069447962</c:v>
                </c:pt>
                <c:pt idx="537">
                  <c:v>1.2139384331366765</c:v>
                </c:pt>
                <c:pt idx="538">
                  <c:v>1.2049055042188304</c:v>
                </c:pt>
                <c:pt idx="539">
                  <c:v>1.2164818364525012</c:v>
                </c:pt>
                <c:pt idx="540">
                  <c:v>1.2228269922497246</c:v>
                </c:pt>
                <c:pt idx="541">
                  <c:v>1.204659201101737</c:v>
                </c:pt>
                <c:pt idx="542">
                  <c:v>1.2104400158463862</c:v>
                </c:pt>
                <c:pt idx="543">
                  <c:v>1.2380703518173835</c:v>
                </c:pt>
                <c:pt idx="544">
                  <c:v>1.2254273633418489</c:v>
                </c:pt>
                <c:pt idx="545">
                  <c:v>1.2064585298164368</c:v>
                </c:pt>
                <c:pt idx="546">
                  <c:v>1.2082059059766783</c:v>
                </c:pt>
                <c:pt idx="547">
                  <c:v>1.2075330946773579</c:v>
                </c:pt>
                <c:pt idx="548">
                  <c:v>1.2136128723684338</c:v>
                </c:pt>
                <c:pt idx="549">
                  <c:v>1.204699430039327</c:v>
                </c:pt>
                <c:pt idx="550">
                  <c:v>1.2172727197908111</c:v>
                </c:pt>
                <c:pt idx="551">
                  <c:v>1.2355578757029131</c:v>
                </c:pt>
                <c:pt idx="552">
                  <c:v>1.2308731655540159</c:v>
                </c:pt>
                <c:pt idx="553">
                  <c:v>1.235191057233626</c:v>
                </c:pt>
                <c:pt idx="554">
                  <c:v>1.2311212690071549</c:v>
                </c:pt>
                <c:pt idx="555">
                  <c:v>1.2382481564344567</c:v>
                </c:pt>
                <c:pt idx="556">
                  <c:v>1.2363733422012742</c:v>
                </c:pt>
                <c:pt idx="557">
                  <c:v>1.2194524337928561</c:v>
                </c:pt>
                <c:pt idx="558">
                  <c:v>1.213733966400071</c:v>
                </c:pt>
                <c:pt idx="559">
                  <c:v>1.2283573888234622</c:v>
                </c:pt>
                <c:pt idx="560">
                  <c:v>1.2314485658137273</c:v>
                </c:pt>
                <c:pt idx="561">
                  <c:v>1.2198765843921666</c:v>
                </c:pt>
                <c:pt idx="562">
                  <c:v>1.2033232231604831</c:v>
                </c:pt>
                <c:pt idx="563">
                  <c:v>1.1952328130276431</c:v>
                </c:pt>
                <c:pt idx="564">
                  <c:v>1.1902334298570645</c:v>
                </c:pt>
                <c:pt idx="565">
                  <c:v>1.1887341785825336</c:v>
                </c:pt>
                <c:pt idx="566">
                  <c:v>1.1799989052242237</c:v>
                </c:pt>
                <c:pt idx="567">
                  <c:v>1.1477331968850071</c:v>
                </c:pt>
                <c:pt idx="568">
                  <c:v>1.1640303745839187</c:v>
                </c:pt>
                <c:pt idx="569">
                  <c:v>1.1639477305863977</c:v>
                </c:pt>
                <c:pt idx="570">
                  <c:v>1.1778437958148016</c:v>
                </c:pt>
                <c:pt idx="571">
                  <c:v>1.1817753439520582</c:v>
                </c:pt>
                <c:pt idx="572">
                  <c:v>1.173360380381858</c:v>
                </c:pt>
                <c:pt idx="573">
                  <c:v>1.1792067787967393</c:v>
                </c:pt>
                <c:pt idx="574">
                  <c:v>1.155746171135315</c:v>
                </c:pt>
                <c:pt idx="575">
                  <c:v>1.1613838162991965</c:v>
                </c:pt>
                <c:pt idx="576">
                  <c:v>1.1669324305591098</c:v>
                </c:pt>
                <c:pt idx="577">
                  <c:v>1.1588495218264596</c:v>
                </c:pt>
                <c:pt idx="578">
                  <c:v>1.1626951896478277</c:v>
                </c:pt>
                <c:pt idx="579">
                  <c:v>1.164025766580945</c:v>
                </c:pt>
                <c:pt idx="580">
                  <c:v>1.126021744287298</c:v>
                </c:pt>
                <c:pt idx="581">
                  <c:v>1.1235504830087284</c:v>
                </c:pt>
                <c:pt idx="582">
                  <c:v>1.1128768049761975</c:v>
                </c:pt>
                <c:pt idx="583">
                  <c:v>1.1181405160568969</c:v>
                </c:pt>
                <c:pt idx="584">
                  <c:v>1.0934474283442677</c:v>
                </c:pt>
                <c:pt idx="585">
                  <c:v>1.0786787145154837</c:v>
                </c:pt>
                <c:pt idx="586">
                  <c:v>1.0593628019195698</c:v>
                </c:pt>
                <c:pt idx="587">
                  <c:v>1.0534624362884648</c:v>
                </c:pt>
                <c:pt idx="588">
                  <c:v>1.0747840946997333</c:v>
                </c:pt>
                <c:pt idx="589">
                  <c:v>1.0336236332341691</c:v>
                </c:pt>
                <c:pt idx="590">
                  <c:v>1.0437967749808841</c:v>
                </c:pt>
                <c:pt idx="591">
                  <c:v>1.0330380739353433</c:v>
                </c:pt>
                <c:pt idx="592">
                  <c:v>1.0304100762579482</c:v>
                </c:pt>
                <c:pt idx="593">
                  <c:v>1.0387132903978904</c:v>
                </c:pt>
                <c:pt idx="594">
                  <c:v>1.0687590343649001</c:v>
                </c:pt>
                <c:pt idx="595">
                  <c:v>1.0676785112489711</c:v>
                </c:pt>
                <c:pt idx="596">
                  <c:v>1.0468098731114581</c:v>
                </c:pt>
                <c:pt idx="597">
                  <c:v>1.0658675446476908</c:v>
                </c:pt>
                <c:pt idx="598">
                  <c:v>1.0613488297687106</c:v>
                </c:pt>
                <c:pt idx="599">
                  <c:v>1.0448635598181797</c:v>
                </c:pt>
                <c:pt idx="600">
                  <c:v>1.0406604609940477</c:v>
                </c:pt>
                <c:pt idx="601">
                  <c:v>1.0344991323666213</c:v>
                </c:pt>
                <c:pt idx="602">
                  <c:v>1.0352974742399772</c:v>
                </c:pt>
                <c:pt idx="603">
                  <c:v>1.0731153332134824</c:v>
                </c:pt>
                <c:pt idx="604">
                  <c:v>1.0905866729352651</c:v>
                </c:pt>
                <c:pt idx="605">
                  <c:v>1.1022079492723598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BA6-4134-B0AA-4ADD19ECFA0A}"/>
            </c:ext>
          </c:extLst>
        </c:ser>
        <c:ser>
          <c:idx val="7"/>
          <c:order val="7"/>
          <c:tx>
            <c:strRef>
              <c:f>回撤结果!$AJ$2</c:f>
              <c:strCache>
                <c:ptCount val="1"/>
                <c:pt idx="0">
                  <c:v>全指信息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回撤结果!$AB$3:$AB$608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回撤结果!$AJ$3:$AJ$608</c:f>
              <c:numCache>
                <c:formatCode>General</c:formatCode>
                <c:ptCount val="606"/>
                <c:pt idx="0">
                  <c:v>1</c:v>
                </c:pt>
                <c:pt idx="1">
                  <c:v>1.0436372749757459</c:v>
                </c:pt>
                <c:pt idx="2">
                  <c:v>1.0343879863248513</c:v>
                </c:pt>
                <c:pt idx="3">
                  <c:v>1.07936380739175</c:v>
                </c:pt>
                <c:pt idx="4">
                  <c:v>1.0851050859634543</c:v>
                </c:pt>
                <c:pt idx="5">
                  <c:v>1.1055605071471666</c:v>
                </c:pt>
                <c:pt idx="6">
                  <c:v>1.0882556504255017</c:v>
                </c:pt>
                <c:pt idx="7">
                  <c:v>1.0930742944342171</c:v>
                </c:pt>
                <c:pt idx="8">
                  <c:v>1.1455889668378951</c:v>
                </c:pt>
                <c:pt idx="9">
                  <c:v>1.1627874396159361</c:v>
                </c:pt>
                <c:pt idx="10">
                  <c:v>1.1564943647636281</c:v>
                </c:pt>
                <c:pt idx="11">
                  <c:v>1.1685598445889263</c:v>
                </c:pt>
                <c:pt idx="12">
                  <c:v>1.1879135389482443</c:v>
                </c:pt>
                <c:pt idx="13">
                  <c:v>1.1755866897153511</c:v>
                </c:pt>
                <c:pt idx="14">
                  <c:v>1.1677752745500993</c:v>
                </c:pt>
                <c:pt idx="15">
                  <c:v>1.0762622508481667</c:v>
                </c:pt>
                <c:pt idx="16">
                  <c:v>1.0685526938293193</c:v>
                </c:pt>
                <c:pt idx="17">
                  <c:v>0.99838393941239534</c:v>
                </c:pt>
                <c:pt idx="18">
                  <c:v>1.0200637088161921</c:v>
                </c:pt>
                <c:pt idx="19">
                  <c:v>1.06499109461652</c:v>
                </c:pt>
                <c:pt idx="20">
                  <c:v>1.0641075112181122</c:v>
                </c:pt>
                <c:pt idx="21">
                  <c:v>1.0200033956409997</c:v>
                </c:pt>
                <c:pt idx="22">
                  <c:v>1.0447187373121816</c:v>
                </c:pt>
                <c:pt idx="23">
                  <c:v>1.0565618250038991</c:v>
                </c:pt>
                <c:pt idx="24">
                  <c:v>1.0373907327079124</c:v>
                </c:pt>
                <c:pt idx="25">
                  <c:v>1.0187792136746907</c:v>
                </c:pt>
                <c:pt idx="26">
                  <c:v>1.0144063514557893</c:v>
                </c:pt>
                <c:pt idx="27">
                  <c:v>1.0585378250152782</c:v>
                </c:pt>
                <c:pt idx="28">
                  <c:v>1.04760832029211</c:v>
                </c:pt>
                <c:pt idx="29">
                  <c:v>1.0371426636023511</c:v>
                </c:pt>
                <c:pt idx="30">
                  <c:v>1.0861198435906649</c:v>
                </c:pt>
                <c:pt idx="31">
                  <c:v>1.1317382170269026</c:v>
                </c:pt>
                <c:pt idx="32">
                  <c:v>1.1638039336714676</c:v>
                </c:pt>
                <c:pt idx="33">
                  <c:v>1.1588458951083873</c:v>
                </c:pt>
                <c:pt idx="34">
                  <c:v>1.1794972556027477</c:v>
                </c:pt>
                <c:pt idx="35">
                  <c:v>1.1598275497616484</c:v>
                </c:pt>
                <c:pt idx="36">
                  <c:v>1.1619717801211062</c:v>
                </c:pt>
                <c:pt idx="37">
                  <c:v>1.1501439508314435</c:v>
                </c:pt>
                <c:pt idx="38">
                  <c:v>1.1294157441475576</c:v>
                </c:pt>
                <c:pt idx="39">
                  <c:v>1.1757333255452675</c:v>
                </c:pt>
                <c:pt idx="40">
                  <c:v>1.1752560294286916</c:v>
                </c:pt>
                <c:pt idx="41">
                  <c:v>1.1632296561858995</c:v>
                </c:pt>
                <c:pt idx="42">
                  <c:v>1.2001771563285544</c:v>
                </c:pt>
                <c:pt idx="43">
                  <c:v>1.204953978276432</c:v>
                </c:pt>
                <c:pt idx="44">
                  <c:v>1.1802195174210774</c:v>
                </c:pt>
                <c:pt idx="45">
                  <c:v>1.1707702070057162</c:v>
                </c:pt>
                <c:pt idx="46">
                  <c:v>1.192870395262255</c:v>
                </c:pt>
                <c:pt idx="47">
                  <c:v>1.182552870686391</c:v>
                </c:pt>
                <c:pt idx="48">
                  <c:v>1.1982867770115142</c:v>
                </c:pt>
                <c:pt idx="49">
                  <c:v>1.2135797967968771</c:v>
                </c:pt>
                <c:pt idx="50">
                  <c:v>1.2110144825695754</c:v>
                </c:pt>
                <c:pt idx="51">
                  <c:v>1.1859701800947717</c:v>
                </c:pt>
                <c:pt idx="52">
                  <c:v>1.1925433925586546</c:v>
                </c:pt>
                <c:pt idx="53">
                  <c:v>1.1350237426093039</c:v>
                </c:pt>
                <c:pt idx="54">
                  <c:v>1.1142807393394063</c:v>
                </c:pt>
                <c:pt idx="55">
                  <c:v>1.1272584351577672</c:v>
                </c:pt>
                <c:pt idx="56">
                  <c:v>1.1192701629207567</c:v>
                </c:pt>
                <c:pt idx="57">
                  <c:v>1.134048811997626</c:v>
                </c:pt>
                <c:pt idx="58">
                  <c:v>1.1284176488431721</c:v>
                </c:pt>
                <c:pt idx="59">
                  <c:v>1.1304839985451687</c:v>
                </c:pt>
                <c:pt idx="60">
                  <c:v>1.1249285732217371</c:v>
                </c:pt>
                <c:pt idx="61">
                  <c:v>1.1635246088561282</c:v>
                </c:pt>
                <c:pt idx="62">
                  <c:v>1.1661382475141504</c:v>
                </c:pt>
                <c:pt idx="63">
                  <c:v>1.1738255080544506</c:v>
                </c:pt>
                <c:pt idx="64">
                  <c:v>1.1263744823065251</c:v>
                </c:pt>
                <c:pt idx="65">
                  <c:v>1.085914316978968</c:v>
                </c:pt>
                <c:pt idx="66">
                  <c:v>1.0832583759714232</c:v>
                </c:pt>
                <c:pt idx="67">
                  <c:v>1.0691366325065035</c:v>
                </c:pt>
                <c:pt idx="68">
                  <c:v>1.0729791451818298</c:v>
                </c:pt>
                <c:pt idx="69">
                  <c:v>1.0670596610355219</c:v>
                </c:pt>
                <c:pt idx="70">
                  <c:v>1.0890238537037711</c:v>
                </c:pt>
                <c:pt idx="71">
                  <c:v>1.0957731658611025</c:v>
                </c:pt>
                <c:pt idx="72">
                  <c:v>1.0653872773633348</c:v>
                </c:pt>
                <c:pt idx="73">
                  <c:v>1.0763683946474487</c:v>
                </c:pt>
                <c:pt idx="74">
                  <c:v>1.0931858137722374</c:v>
                </c:pt>
                <c:pt idx="75">
                  <c:v>1.1111622249107305</c:v>
                </c:pt>
                <c:pt idx="76">
                  <c:v>1.09960016151739</c:v>
                </c:pt>
                <c:pt idx="77">
                  <c:v>1.0967378072113463</c:v>
                </c:pt>
                <c:pt idx="78">
                  <c:v>1.1058143027716592</c:v>
                </c:pt>
                <c:pt idx="79">
                  <c:v>1.107166943488439</c:v>
                </c:pt>
                <c:pt idx="80">
                  <c:v>1.1040691184184819</c:v>
                </c:pt>
                <c:pt idx="81">
                  <c:v>1.159353375521522</c:v>
                </c:pt>
                <c:pt idx="82">
                  <c:v>1.1695025034955318</c:v>
                </c:pt>
                <c:pt idx="83">
                  <c:v>1.1841799409684566</c:v>
                </c:pt>
                <c:pt idx="84">
                  <c:v>1.1902897672149735</c:v>
                </c:pt>
                <c:pt idx="85">
                  <c:v>1.1936108156873886</c:v>
                </c:pt>
                <c:pt idx="86">
                  <c:v>1.1917959894749539</c:v>
                </c:pt>
                <c:pt idx="87">
                  <c:v>1.1887775228737947</c:v>
                </c:pt>
                <c:pt idx="88">
                  <c:v>1.1164159919949914</c:v>
                </c:pt>
                <c:pt idx="89">
                  <c:v>1.1187143765495429</c:v>
                </c:pt>
                <c:pt idx="90">
                  <c:v>1.1625610389191037</c:v>
                </c:pt>
                <c:pt idx="91">
                  <c:v>1.1584749829354353</c:v>
                </c:pt>
                <c:pt idx="92">
                  <c:v>1.1659944010531327</c:v>
                </c:pt>
                <c:pt idx="93">
                  <c:v>1.1783520995976862</c:v>
                </c:pt>
                <c:pt idx="94">
                  <c:v>1.158644635676926</c:v>
                </c:pt>
                <c:pt idx="95">
                  <c:v>1.1867031560452947</c:v>
                </c:pt>
                <c:pt idx="96">
                  <c:v>1.185298533314735</c:v>
                </c:pt>
                <c:pt idx="97">
                  <c:v>1.1752694220939335</c:v>
                </c:pt>
                <c:pt idx="98">
                  <c:v>1.2145258546695579</c:v>
                </c:pt>
                <c:pt idx="99">
                  <c:v>1.2277433623226348</c:v>
                </c:pt>
                <c:pt idx="100">
                  <c:v>1.2230451599378869</c:v>
                </c:pt>
                <c:pt idx="101">
                  <c:v>1.2265022778891586</c:v>
                </c:pt>
                <c:pt idx="102">
                  <c:v>1.2179045377841169</c:v>
                </c:pt>
                <c:pt idx="103">
                  <c:v>1.2388695452621192</c:v>
                </c:pt>
                <c:pt idx="104">
                  <c:v>1.2385990873148018</c:v>
                </c:pt>
                <c:pt idx="105">
                  <c:v>1.2386678240146154</c:v>
                </c:pt>
                <c:pt idx="106">
                  <c:v>1.2324294651270606</c:v>
                </c:pt>
                <c:pt idx="107">
                  <c:v>1.2335123313842664</c:v>
                </c:pt>
                <c:pt idx="108">
                  <c:v>1.2234026240276719</c:v>
                </c:pt>
                <c:pt idx="109">
                  <c:v>1.2369017471036607</c:v>
                </c:pt>
                <c:pt idx="110">
                  <c:v>1.2511051026996676</c:v>
                </c:pt>
                <c:pt idx="111">
                  <c:v>1.25357799830048</c:v>
                </c:pt>
                <c:pt idx="112">
                  <c:v>1.243407146499816</c:v>
                </c:pt>
                <c:pt idx="113">
                  <c:v>1.2359344826382936</c:v>
                </c:pt>
                <c:pt idx="114">
                  <c:v>1.2465640840232541</c:v>
                </c:pt>
                <c:pt idx="115">
                  <c:v>1.2472026647746248</c:v>
                </c:pt>
                <c:pt idx="116">
                  <c:v>1.2508599522714967</c:v>
                </c:pt>
                <c:pt idx="117">
                  <c:v>1.2453387567531591</c:v>
                </c:pt>
                <c:pt idx="118">
                  <c:v>1.2466557267987917</c:v>
                </c:pt>
                <c:pt idx="119">
                  <c:v>1.2603462079702836</c:v>
                </c:pt>
                <c:pt idx="120">
                  <c:v>1.1983975943891494</c:v>
                </c:pt>
                <c:pt idx="121">
                  <c:v>1.1829343492104027</c:v>
                </c:pt>
                <c:pt idx="122">
                  <c:v>1.172114941431843</c:v>
                </c:pt>
                <c:pt idx="123">
                  <c:v>1.1538714897847493</c:v>
                </c:pt>
                <c:pt idx="124">
                  <c:v>1.1624259300176161</c:v>
                </c:pt>
                <c:pt idx="125">
                  <c:v>1.1664865122283623</c:v>
                </c:pt>
                <c:pt idx="126">
                  <c:v>1.1800081719272408</c:v>
                </c:pt>
                <c:pt idx="127">
                  <c:v>1.1707230278787817</c:v>
                </c:pt>
                <c:pt idx="128">
                  <c:v>1.1848158062414955</c:v>
                </c:pt>
                <c:pt idx="129">
                  <c:v>1.197654661684743</c:v>
                </c:pt>
                <c:pt idx="130">
                  <c:v>1.1910179956965765</c:v>
                </c:pt>
                <c:pt idx="131">
                  <c:v>1.1702998196571408</c:v>
                </c:pt>
                <c:pt idx="132">
                  <c:v>1.1808018674510741</c:v>
                </c:pt>
                <c:pt idx="133">
                  <c:v>1.2155834688255422</c:v>
                </c:pt>
                <c:pt idx="134">
                  <c:v>1.2189167831320546</c:v>
                </c:pt>
                <c:pt idx="135">
                  <c:v>1.2240577747386587</c:v>
                </c:pt>
                <c:pt idx="136">
                  <c:v>1.2207874890856707</c:v>
                </c:pt>
                <c:pt idx="137">
                  <c:v>1.2213734597534431</c:v>
                </c:pt>
                <c:pt idx="138">
                  <c:v>1.2051698495674881</c:v>
                </c:pt>
                <c:pt idx="139">
                  <c:v>1.2068320548140914</c:v>
                </c:pt>
                <c:pt idx="140">
                  <c:v>1.2141509524059961</c:v>
                </c:pt>
                <c:pt idx="141">
                  <c:v>1.2048985788239353</c:v>
                </c:pt>
                <c:pt idx="142">
                  <c:v>1.2089328559928825</c:v>
                </c:pt>
                <c:pt idx="143">
                  <c:v>1.2103803721974993</c:v>
                </c:pt>
                <c:pt idx="144">
                  <c:v>1.2102325910637968</c:v>
                </c:pt>
                <c:pt idx="145">
                  <c:v>1.2079448098055885</c:v>
                </c:pt>
                <c:pt idx="146">
                  <c:v>1.2010508014457206</c:v>
                </c:pt>
                <c:pt idx="147">
                  <c:v>1.1935989562514089</c:v>
                </c:pt>
                <c:pt idx="148">
                  <c:v>1.1982291977872952</c:v>
                </c:pt>
                <c:pt idx="149">
                  <c:v>1.2216017816050135</c:v>
                </c:pt>
                <c:pt idx="150">
                  <c:v>1.2155281617362541</c:v>
                </c:pt>
                <c:pt idx="151">
                  <c:v>1.2166626590270471</c:v>
                </c:pt>
                <c:pt idx="152">
                  <c:v>1.2051148565131089</c:v>
                </c:pt>
                <c:pt idx="153">
                  <c:v>1.167648385974174</c:v>
                </c:pt>
                <c:pt idx="154">
                  <c:v>1.1779077217286424</c:v>
                </c:pt>
                <c:pt idx="155">
                  <c:v>1.1771814328744192</c:v>
                </c:pt>
                <c:pt idx="156">
                  <c:v>1.1878434906908693</c:v>
                </c:pt>
                <c:pt idx="157">
                  <c:v>1.1852627887530209</c:v>
                </c:pt>
                <c:pt idx="158">
                  <c:v>1.1890430855710583</c:v>
                </c:pt>
                <c:pt idx="159">
                  <c:v>1.1933221252427006</c:v>
                </c:pt>
                <c:pt idx="160">
                  <c:v>1.1880802545397025</c:v>
                </c:pt>
                <c:pt idx="161">
                  <c:v>1.1614785421147322</c:v>
                </c:pt>
                <c:pt idx="162">
                  <c:v>1.1709173415969587</c:v>
                </c:pt>
                <c:pt idx="163">
                  <c:v>1.1688999813407845</c:v>
                </c:pt>
                <c:pt idx="164">
                  <c:v>1.1715997394544724</c:v>
                </c:pt>
                <c:pt idx="165">
                  <c:v>1.1741101529906035</c:v>
                </c:pt>
                <c:pt idx="166">
                  <c:v>1.2063895611545024</c:v>
                </c:pt>
                <c:pt idx="167">
                  <c:v>1.209551689490262</c:v>
                </c:pt>
                <c:pt idx="168">
                  <c:v>1.2082158404047991</c:v>
                </c:pt>
                <c:pt idx="169">
                  <c:v>1.2098882610222697</c:v>
                </c:pt>
                <c:pt idx="170">
                  <c:v>1.2036834484520655</c:v>
                </c:pt>
                <c:pt idx="171">
                  <c:v>1.1894807209258769</c:v>
                </c:pt>
                <c:pt idx="172">
                  <c:v>1.2073704769020952</c:v>
                </c:pt>
                <c:pt idx="173">
                  <c:v>1.2047523493921364</c:v>
                </c:pt>
                <c:pt idx="174">
                  <c:v>1.2141544806805631</c:v>
                </c:pt>
                <c:pt idx="175">
                  <c:v>1.2072126097060174</c:v>
                </c:pt>
                <c:pt idx="176">
                  <c:v>1.2139768662304944</c:v>
                </c:pt>
                <c:pt idx="177">
                  <c:v>1.2163961172797728</c:v>
                </c:pt>
                <c:pt idx="178">
                  <c:v>1.2084425366638989</c:v>
                </c:pt>
                <c:pt idx="179">
                  <c:v>1.2066951910116412</c:v>
                </c:pt>
                <c:pt idx="180">
                  <c:v>1.1968981515886776</c:v>
                </c:pt>
                <c:pt idx="181">
                  <c:v>1.195277140333094</c:v>
                </c:pt>
                <c:pt idx="182">
                  <c:v>1.2064646893883486</c:v>
                </c:pt>
                <c:pt idx="183">
                  <c:v>1.197045378543129</c:v>
                </c:pt>
                <c:pt idx="184">
                  <c:v>1.2025894801371904</c:v>
                </c:pt>
                <c:pt idx="185">
                  <c:v>1.1973594319248886</c:v>
                </c:pt>
                <c:pt idx="186">
                  <c:v>1.1949631793145428</c:v>
                </c:pt>
                <c:pt idx="187">
                  <c:v>1.2051238711622649</c:v>
                </c:pt>
                <c:pt idx="188">
                  <c:v>1.1941845574663472</c:v>
                </c:pt>
                <c:pt idx="189">
                  <c:v>1.2057664974221707</c:v>
                </c:pt>
                <c:pt idx="190">
                  <c:v>1.2049986451240935</c:v>
                </c:pt>
                <c:pt idx="191">
                  <c:v>1.2114502337149393</c:v>
                </c:pt>
                <c:pt idx="192">
                  <c:v>1.2186849330059168</c:v>
                </c:pt>
                <c:pt idx="193">
                  <c:v>1.2209946412898383</c:v>
                </c:pt>
                <c:pt idx="194">
                  <c:v>1.2100107715821091</c:v>
                </c:pt>
                <c:pt idx="195">
                  <c:v>1.205740672669056</c:v>
                </c:pt>
                <c:pt idx="196">
                  <c:v>1.206424714591682</c:v>
                </c:pt>
                <c:pt idx="197">
                  <c:v>1.2183513725145083</c:v>
                </c:pt>
                <c:pt idx="198">
                  <c:v>1.2106827139244132</c:v>
                </c:pt>
                <c:pt idx="199">
                  <c:v>1.1990142296421651</c:v>
                </c:pt>
                <c:pt idx="200">
                  <c:v>1.2075298588547934</c:v>
                </c:pt>
                <c:pt idx="201">
                  <c:v>1.20543938388272</c:v>
                </c:pt>
                <c:pt idx="202">
                  <c:v>1.1999954409520253</c:v>
                </c:pt>
                <c:pt idx="203">
                  <c:v>1.2057997666498954</c:v>
                </c:pt>
                <c:pt idx="204">
                  <c:v>1.204810593631457</c:v>
                </c:pt>
                <c:pt idx="205">
                  <c:v>1.1833497250319573</c:v>
                </c:pt>
                <c:pt idx="206">
                  <c:v>1.1781998665573308</c:v>
                </c:pt>
                <c:pt idx="207">
                  <c:v>1.1743753647076745</c:v>
                </c:pt>
                <c:pt idx="208">
                  <c:v>1.1838419470430372</c:v>
                </c:pt>
                <c:pt idx="209">
                  <c:v>1.1749425856441085</c:v>
                </c:pt>
                <c:pt idx="210">
                  <c:v>1.1674300208764867</c:v>
                </c:pt>
                <c:pt idx="211">
                  <c:v>1.1020974964231887</c:v>
                </c:pt>
                <c:pt idx="212">
                  <c:v>1.1025184509825405</c:v>
                </c:pt>
                <c:pt idx="213">
                  <c:v>1.0894429609989518</c:v>
                </c:pt>
                <c:pt idx="214">
                  <c:v>1.0980328871765488</c:v>
                </c:pt>
                <c:pt idx="215">
                  <c:v>1.1088635817391952</c:v>
                </c:pt>
                <c:pt idx="216">
                  <c:v>1.0996376609800671</c:v>
                </c:pt>
                <c:pt idx="217">
                  <c:v>1.1007347511713919</c:v>
                </c:pt>
                <c:pt idx="218">
                  <c:v>1.1075960260101445</c:v>
                </c:pt>
                <c:pt idx="219">
                  <c:v>1.1045098941223914</c:v>
                </c:pt>
                <c:pt idx="220">
                  <c:v>1.0947032304530957</c:v>
                </c:pt>
                <c:pt idx="221">
                  <c:v>1.0979455115812471</c:v>
                </c:pt>
                <c:pt idx="222">
                  <c:v>1.0961340473896042</c:v>
                </c:pt>
                <c:pt idx="223">
                  <c:v>1.0928298274937895</c:v>
                </c:pt>
                <c:pt idx="224">
                  <c:v>1.0896334508802943</c:v>
                </c:pt>
                <c:pt idx="225">
                  <c:v>1.0892391523429341</c:v>
                </c:pt>
                <c:pt idx="226">
                  <c:v>1.0982387093505133</c:v>
                </c:pt>
                <c:pt idx="227">
                  <c:v>1.1121580665528272</c:v>
                </c:pt>
                <c:pt idx="228">
                  <c:v>1.1114724729282974</c:v>
                </c:pt>
                <c:pt idx="229">
                  <c:v>1.0980965254272494</c:v>
                </c:pt>
                <c:pt idx="230">
                  <c:v>1.1015902930996795</c:v>
                </c:pt>
                <c:pt idx="231">
                  <c:v>1.0978427852206822</c:v>
                </c:pt>
                <c:pt idx="232">
                  <c:v>1.0860908969611007</c:v>
                </c:pt>
                <c:pt idx="233">
                  <c:v>1.0804547277207426</c:v>
                </c:pt>
                <c:pt idx="234">
                  <c:v>1.0612691713462949</c:v>
                </c:pt>
                <c:pt idx="235">
                  <c:v>1.0189703685711351</c:v>
                </c:pt>
                <c:pt idx="236">
                  <c:v>1.0391901527371588</c:v>
                </c:pt>
                <c:pt idx="237">
                  <c:v>1.0289184403127427</c:v>
                </c:pt>
                <c:pt idx="238">
                  <c:v>1.0279272168310742</c:v>
                </c:pt>
                <c:pt idx="239">
                  <c:v>1.0493362696705695</c:v>
                </c:pt>
                <c:pt idx="240">
                  <c:v>1.0564130648201857</c:v>
                </c:pt>
                <c:pt idx="241">
                  <c:v>1.0477718955344772</c:v>
                </c:pt>
                <c:pt idx="242">
                  <c:v>1.0529150114948784</c:v>
                </c:pt>
                <c:pt idx="243">
                  <c:v>1.0593247410796029</c:v>
                </c:pt>
                <c:pt idx="244">
                  <c:v>1.0537376536482757</c:v>
                </c:pt>
                <c:pt idx="245">
                  <c:v>1.0644493105077244</c:v>
                </c:pt>
                <c:pt idx="246">
                  <c:v>1.0608733026343891</c:v>
                </c:pt>
                <c:pt idx="247">
                  <c:v>1.070290396762603</c:v>
                </c:pt>
                <c:pt idx="248">
                  <c:v>1.0760845440348894</c:v>
                </c:pt>
                <c:pt idx="249">
                  <c:v>1.0696476596668469</c:v>
                </c:pt>
                <c:pt idx="250">
                  <c:v>1.0753183173292831</c:v>
                </c:pt>
                <c:pt idx="251">
                  <c:v>1.0749424175430689</c:v>
                </c:pt>
                <c:pt idx="252">
                  <c:v>1.0666497346432728</c:v>
                </c:pt>
                <c:pt idx="253">
                  <c:v>1.0717551109966548</c:v>
                </c:pt>
                <c:pt idx="254">
                  <c:v>1.0631143481090639</c:v>
                </c:pt>
                <c:pt idx="255">
                  <c:v>1.0716707279693105</c:v>
                </c:pt>
                <c:pt idx="256">
                  <c:v>1.0846580295613621</c:v>
                </c:pt>
                <c:pt idx="257">
                  <c:v>1.0891068328103453</c:v>
                </c:pt>
                <c:pt idx="258">
                  <c:v>1.0910244223286283</c:v>
                </c:pt>
                <c:pt idx="259">
                  <c:v>1.0975915572933879</c:v>
                </c:pt>
                <c:pt idx="260">
                  <c:v>1.0909232476699671</c:v>
                </c:pt>
                <c:pt idx="261">
                  <c:v>1.0920542166861931</c:v>
                </c:pt>
                <c:pt idx="262">
                  <c:v>1.0937294081999207</c:v>
                </c:pt>
                <c:pt idx="263">
                  <c:v>1.0871310544706665</c:v>
                </c:pt>
                <c:pt idx="264">
                  <c:v>1.0943908580817319</c:v>
                </c:pt>
                <c:pt idx="265">
                  <c:v>1.1112163128056658</c:v>
                </c:pt>
                <c:pt idx="266">
                  <c:v>1.1188731304324229</c:v>
                </c:pt>
                <c:pt idx="267">
                  <c:v>1.1091301050138278</c:v>
                </c:pt>
                <c:pt idx="268">
                  <c:v>1.1046580262362866</c:v>
                </c:pt>
                <c:pt idx="269">
                  <c:v>1.1048134550436584</c:v>
                </c:pt>
                <c:pt idx="270">
                  <c:v>1.1180201931466167</c:v>
                </c:pt>
                <c:pt idx="271">
                  <c:v>1.1131049372217432</c:v>
                </c:pt>
                <c:pt idx="272">
                  <c:v>1.1117285037424371</c:v>
                </c:pt>
                <c:pt idx="273">
                  <c:v>1.1220044464018057</c:v>
                </c:pt>
                <c:pt idx="274">
                  <c:v>1.1126342912561837</c:v>
                </c:pt>
                <c:pt idx="275">
                  <c:v>1.1152067543958284</c:v>
                </c:pt>
                <c:pt idx="276">
                  <c:v>1.1167096146350168</c:v>
                </c:pt>
                <c:pt idx="277">
                  <c:v>1.1114171288937258</c:v>
                </c:pt>
                <c:pt idx="278">
                  <c:v>1.1141519480813844</c:v>
                </c:pt>
                <c:pt idx="279">
                  <c:v>1.1210227178579775</c:v>
                </c:pt>
                <c:pt idx="280">
                  <c:v>1.1141789181382851</c:v>
                </c:pt>
                <c:pt idx="281">
                  <c:v>1.1120538069630002</c:v>
                </c:pt>
                <c:pt idx="282">
                  <c:v>1.1054538091686334</c:v>
                </c:pt>
                <c:pt idx="283">
                  <c:v>1.0797185375305614</c:v>
                </c:pt>
                <c:pt idx="284">
                  <c:v>1.0846679863152453</c:v>
                </c:pt>
                <c:pt idx="285">
                  <c:v>1.1067455640583279</c:v>
                </c:pt>
                <c:pt idx="286">
                  <c:v>1.1084107249276052</c:v>
                </c:pt>
                <c:pt idx="287">
                  <c:v>1.1102298922108427</c:v>
                </c:pt>
                <c:pt idx="288">
                  <c:v>1.0944429878766455</c:v>
                </c:pt>
                <c:pt idx="289">
                  <c:v>1.1008148485458586</c:v>
                </c:pt>
                <c:pt idx="290">
                  <c:v>1.0870678965086504</c:v>
                </c:pt>
                <c:pt idx="291">
                  <c:v>1.0894203320128535</c:v>
                </c:pt>
                <c:pt idx="292">
                  <c:v>1.0773408314524953</c:v>
                </c:pt>
                <c:pt idx="293">
                  <c:v>1.0674850859741682</c:v>
                </c:pt>
                <c:pt idx="294">
                  <c:v>1.0572215384573893</c:v>
                </c:pt>
                <c:pt idx="295">
                  <c:v>1.0508426212390418</c:v>
                </c:pt>
                <c:pt idx="296">
                  <c:v>1.0549956036036356</c:v>
                </c:pt>
                <c:pt idx="297">
                  <c:v>1.0488614673606247</c:v>
                </c:pt>
                <c:pt idx="298">
                  <c:v>1.0303635366012953</c:v>
                </c:pt>
                <c:pt idx="299">
                  <c:v>1.0363202985385795</c:v>
                </c:pt>
                <c:pt idx="300">
                  <c:v>1.0431116544284493</c:v>
                </c:pt>
                <c:pt idx="301">
                  <c:v>1.0514907892914613</c:v>
                </c:pt>
                <c:pt idx="302">
                  <c:v>1.0545218727069101</c:v>
                </c:pt>
                <c:pt idx="303">
                  <c:v>1.05113206906204</c:v>
                </c:pt>
                <c:pt idx="304">
                  <c:v>1.0503634224403693</c:v>
                </c:pt>
                <c:pt idx="305">
                  <c:v>1.0499024376664257</c:v>
                </c:pt>
                <c:pt idx="306">
                  <c:v>1.0379057130135827</c:v>
                </c:pt>
                <c:pt idx="307">
                  <c:v>1.0230907467231058</c:v>
                </c:pt>
                <c:pt idx="308">
                  <c:v>1.0318433984015514</c:v>
                </c:pt>
                <c:pt idx="309">
                  <c:v>1.0207121170129538</c:v>
                </c:pt>
                <c:pt idx="310">
                  <c:v>1.0134193951543564</c:v>
                </c:pt>
                <c:pt idx="311">
                  <c:v>1.0092268628638554</c:v>
                </c:pt>
                <c:pt idx="312">
                  <c:v>1.0224829229201871</c:v>
                </c:pt>
                <c:pt idx="313">
                  <c:v>1.0471822672836455</c:v>
                </c:pt>
                <c:pt idx="314">
                  <c:v>1.0447933667847014</c:v>
                </c:pt>
                <c:pt idx="315">
                  <c:v>1.0396268829325332</c:v>
                </c:pt>
                <c:pt idx="316">
                  <c:v>1.0361114468513744</c:v>
                </c:pt>
                <c:pt idx="317">
                  <c:v>1.0236864340004193</c:v>
                </c:pt>
                <c:pt idx="318">
                  <c:v>0.99841153753911416</c:v>
                </c:pt>
                <c:pt idx="319">
                  <c:v>1.005689518229625</c:v>
                </c:pt>
                <c:pt idx="320">
                  <c:v>1.010261312327132</c:v>
                </c:pt>
                <c:pt idx="321">
                  <c:v>1.0050040354409453</c:v>
                </c:pt>
                <c:pt idx="322">
                  <c:v>1.0026824123031193</c:v>
                </c:pt>
                <c:pt idx="323">
                  <c:v>0.98185103591526735</c:v>
                </c:pt>
                <c:pt idx="324">
                  <c:v>0.99357057857920972</c:v>
                </c:pt>
                <c:pt idx="325">
                  <c:v>1.0032640234274475</c:v>
                </c:pt>
                <c:pt idx="326">
                  <c:v>1.0095419691861927</c:v>
                </c:pt>
                <c:pt idx="327">
                  <c:v>1.0319480089715709</c:v>
                </c:pt>
                <c:pt idx="328">
                  <c:v>1.0338975746326591</c:v>
                </c:pt>
                <c:pt idx="329">
                  <c:v>1.037644399023913</c:v>
                </c:pt>
                <c:pt idx="330">
                  <c:v>1.0200284075978789</c:v>
                </c:pt>
                <c:pt idx="331">
                  <c:v>1.0322842479960277</c:v>
                </c:pt>
                <c:pt idx="332">
                  <c:v>1.0256500573418508</c:v>
                </c:pt>
                <c:pt idx="333">
                  <c:v>1.0414165494069554</c:v>
                </c:pt>
                <c:pt idx="334">
                  <c:v>1.0394644714665944</c:v>
                </c:pt>
                <c:pt idx="335">
                  <c:v>1.0449555196336566</c:v>
                </c:pt>
                <c:pt idx="336">
                  <c:v>1.0458949458279621</c:v>
                </c:pt>
                <c:pt idx="337">
                  <c:v>1.0522018382162714</c:v>
                </c:pt>
                <c:pt idx="338">
                  <c:v>1.0365288361908755</c:v>
                </c:pt>
                <c:pt idx="339">
                  <c:v>1.0401960250237055</c:v>
                </c:pt>
                <c:pt idx="340">
                  <c:v>1.0559202886298544</c:v>
                </c:pt>
                <c:pt idx="341">
                  <c:v>1.0554625180955688</c:v>
                </c:pt>
                <c:pt idx="342">
                  <c:v>1.0462155200522465</c:v>
                </c:pt>
                <c:pt idx="343">
                  <c:v>1.0583867742239925</c:v>
                </c:pt>
                <c:pt idx="344">
                  <c:v>1.0567523148852418</c:v>
                </c:pt>
                <c:pt idx="345">
                  <c:v>1.0600494228139972</c:v>
                </c:pt>
                <c:pt idx="346">
                  <c:v>1.0592664783676407</c:v>
                </c:pt>
                <c:pt idx="347">
                  <c:v>1.0680368453094888</c:v>
                </c:pt>
                <c:pt idx="348">
                  <c:v>1.0667970539609326</c:v>
                </c:pt>
                <c:pt idx="349">
                  <c:v>1.0666510092555508</c:v>
                </c:pt>
                <c:pt idx="350">
                  <c:v>1.0527008396868598</c:v>
                </c:pt>
                <c:pt idx="351">
                  <c:v>1.0417227149707038</c:v>
                </c:pt>
                <c:pt idx="352">
                  <c:v>1.0399776045080931</c:v>
                </c:pt>
                <c:pt idx="353">
                  <c:v>1.0337553907093955</c:v>
                </c:pt>
                <c:pt idx="354">
                  <c:v>1.0291955484110769</c:v>
                </c:pt>
                <c:pt idx="355">
                  <c:v>0.97842923765495071</c:v>
                </c:pt>
                <c:pt idx="356">
                  <c:v>0.98168899390216247</c:v>
                </c:pt>
                <c:pt idx="357">
                  <c:v>0.99782490185624007</c:v>
                </c:pt>
                <c:pt idx="358">
                  <c:v>1.0025456593365192</c:v>
                </c:pt>
                <c:pt idx="359">
                  <c:v>1.0021596919605715</c:v>
                </c:pt>
                <c:pt idx="360">
                  <c:v>1.0064837494600678</c:v>
                </c:pt>
                <c:pt idx="361">
                  <c:v>1.0028463569983206</c:v>
                </c:pt>
                <c:pt idx="362">
                  <c:v>0.99726348132930387</c:v>
                </c:pt>
                <c:pt idx="363">
                  <c:v>1.0262765200402579</c:v>
                </c:pt>
                <c:pt idx="364">
                  <c:v>1.0230210125006398</c:v>
                </c:pt>
                <c:pt idx="365">
                  <c:v>1.0270337136240666</c:v>
                </c:pt>
                <c:pt idx="366">
                  <c:v>1.0268787651053792</c:v>
                </c:pt>
                <c:pt idx="367">
                  <c:v>1.016989288583285</c:v>
                </c:pt>
                <c:pt idx="368">
                  <c:v>1.0153415843604261</c:v>
                </c:pt>
                <c:pt idx="369">
                  <c:v>1.0078946344161681</c:v>
                </c:pt>
                <c:pt idx="370">
                  <c:v>1.0138030165048066</c:v>
                </c:pt>
                <c:pt idx="371">
                  <c:v>1.0221100711198554</c:v>
                </c:pt>
                <c:pt idx="372">
                  <c:v>1.0217060190276708</c:v>
                </c:pt>
                <c:pt idx="373">
                  <c:v>1.0182708096294704</c:v>
                </c:pt>
                <c:pt idx="374">
                  <c:v>1.0099847399354076</c:v>
                </c:pt>
                <c:pt idx="375">
                  <c:v>1.0452601150228593</c:v>
                </c:pt>
                <c:pt idx="376">
                  <c:v>1.0546399498327386</c:v>
                </c:pt>
                <c:pt idx="377">
                  <c:v>1.0728334699292825</c:v>
                </c:pt>
                <c:pt idx="378">
                  <c:v>1.0813890739385772</c:v>
                </c:pt>
                <c:pt idx="379">
                  <c:v>1.0732826506851716</c:v>
                </c:pt>
                <c:pt idx="380">
                  <c:v>1.0820796367037278</c:v>
                </c:pt>
                <c:pt idx="381">
                  <c:v>1.0736596773025304</c:v>
                </c:pt>
                <c:pt idx="382">
                  <c:v>1.0689980507483738</c:v>
                </c:pt>
                <c:pt idx="383">
                  <c:v>1.0592065346452824</c:v>
                </c:pt>
                <c:pt idx="384">
                  <c:v>1.0701959830908088</c:v>
                </c:pt>
                <c:pt idx="385">
                  <c:v>1.0861571029089996</c:v>
                </c:pt>
                <c:pt idx="386">
                  <c:v>1.0808652637101686</c:v>
                </c:pt>
                <c:pt idx="387">
                  <c:v>1.0868695372819381</c:v>
                </c:pt>
                <c:pt idx="388">
                  <c:v>1.090946615561734</c:v>
                </c:pt>
                <c:pt idx="389">
                  <c:v>1.1063315367396185</c:v>
                </c:pt>
                <c:pt idx="390">
                  <c:v>1.1261432787228476</c:v>
                </c:pt>
                <c:pt idx="391">
                  <c:v>1.1257643494233922</c:v>
                </c:pt>
                <c:pt idx="392">
                  <c:v>1.1348016090927071</c:v>
                </c:pt>
                <c:pt idx="393">
                  <c:v>1.1253408086942005</c:v>
                </c:pt>
                <c:pt idx="394">
                  <c:v>1.1229328998469339</c:v>
                </c:pt>
                <c:pt idx="395">
                  <c:v>1.1287245163673056</c:v>
                </c:pt>
                <c:pt idx="396">
                  <c:v>1.1299721770612314</c:v>
                </c:pt>
                <c:pt idx="397">
                  <c:v>1.1262820821526776</c:v>
                </c:pt>
                <c:pt idx="398">
                  <c:v>1.1207944144790487</c:v>
                </c:pt>
                <c:pt idx="399">
                  <c:v>1.1125990824010792</c:v>
                </c:pt>
                <c:pt idx="400">
                  <c:v>1.1247035025551082</c:v>
                </c:pt>
                <c:pt idx="401">
                  <c:v>1.1148520612023003</c:v>
                </c:pt>
                <c:pt idx="402">
                  <c:v>1.1263496920213465</c:v>
                </c:pt>
                <c:pt idx="403">
                  <c:v>1.1181465829612158</c:v>
                </c:pt>
                <c:pt idx="404">
                  <c:v>1.1127255276336034</c:v>
                </c:pt>
                <c:pt idx="405">
                  <c:v>1.0964285751890734</c:v>
                </c:pt>
                <c:pt idx="406">
                  <c:v>1.0965488136139823</c:v>
                </c:pt>
                <c:pt idx="407">
                  <c:v>1.1082135848952461</c:v>
                </c:pt>
                <c:pt idx="408">
                  <c:v>1.114114651817766</c:v>
                </c:pt>
                <c:pt idx="409">
                  <c:v>1.1223922795145662</c:v>
                </c:pt>
                <c:pt idx="410">
                  <c:v>1.1448318101993697</c:v>
                </c:pt>
                <c:pt idx="411">
                  <c:v>1.1539121850144427</c:v>
                </c:pt>
                <c:pt idx="412">
                  <c:v>1.1432787597926475</c:v>
                </c:pt>
                <c:pt idx="413">
                  <c:v>1.1463093259741284</c:v>
                </c:pt>
                <c:pt idx="414">
                  <c:v>1.1580824392990379</c:v>
                </c:pt>
                <c:pt idx="415">
                  <c:v>1.1363877440007371</c:v>
                </c:pt>
                <c:pt idx="416">
                  <c:v>1.1338568997228715</c:v>
                </c:pt>
                <c:pt idx="417">
                  <c:v>1.1302694572843159</c:v>
                </c:pt>
                <c:pt idx="418">
                  <c:v>1.1160958426414667</c:v>
                </c:pt>
                <c:pt idx="419">
                  <c:v>1.1248221153875462</c:v>
                </c:pt>
                <c:pt idx="420">
                  <c:v>1.1338834818542964</c:v>
                </c:pt>
                <c:pt idx="421">
                  <c:v>1.1296309688961539</c:v>
                </c:pt>
                <c:pt idx="422">
                  <c:v>1.1460116762982095</c:v>
                </c:pt>
                <c:pt idx="423">
                  <c:v>1.147197823095232</c:v>
                </c:pt>
                <c:pt idx="424">
                  <c:v>1.1399917933441925</c:v>
                </c:pt>
                <c:pt idx="425">
                  <c:v>1.1227609380252292</c:v>
                </c:pt>
                <c:pt idx="426">
                  <c:v>1.1354141618919045</c:v>
                </c:pt>
                <c:pt idx="427">
                  <c:v>1.1335879565321747</c:v>
                </c:pt>
                <c:pt idx="428">
                  <c:v>1.1241822415512557</c:v>
                </c:pt>
                <c:pt idx="429">
                  <c:v>1.1250942912905431</c:v>
                </c:pt>
                <c:pt idx="430">
                  <c:v>1.1470843271845483</c:v>
                </c:pt>
                <c:pt idx="431">
                  <c:v>1.1567140044735937</c:v>
                </c:pt>
                <c:pt idx="432">
                  <c:v>1.1551542300252877</c:v>
                </c:pt>
                <c:pt idx="433">
                  <c:v>1.1729308225983732</c:v>
                </c:pt>
                <c:pt idx="434">
                  <c:v>1.1828566717520002</c:v>
                </c:pt>
                <c:pt idx="435">
                  <c:v>1.1960306209159184</c:v>
                </c:pt>
                <c:pt idx="436">
                  <c:v>1.1797777626671568</c:v>
                </c:pt>
                <c:pt idx="437">
                  <c:v>1.1608694806448185</c:v>
                </c:pt>
                <c:pt idx="438">
                  <c:v>1.1657729694969212</c:v>
                </c:pt>
                <c:pt idx="439">
                  <c:v>1.1250454311532125</c:v>
                </c:pt>
                <c:pt idx="440">
                  <c:v>1.1452696487532472</c:v>
                </c:pt>
                <c:pt idx="441">
                  <c:v>1.155923098318659</c:v>
                </c:pt>
                <c:pt idx="442">
                  <c:v>1.1523613513247257</c:v>
                </c:pt>
                <c:pt idx="443">
                  <c:v>1.1091925610154587</c:v>
                </c:pt>
                <c:pt idx="444">
                  <c:v>1.0964104720001948</c:v>
                </c:pt>
                <c:pt idx="445">
                  <c:v>1.0723069626951836</c:v>
                </c:pt>
                <c:pt idx="446">
                  <c:v>1.0991259688046218</c:v>
                </c:pt>
                <c:pt idx="447">
                  <c:v>1.091562474963798</c:v>
                </c:pt>
                <c:pt idx="448">
                  <c:v>1.0796307185918586</c:v>
                </c:pt>
                <c:pt idx="449">
                  <c:v>1.099358243801519</c:v>
                </c:pt>
                <c:pt idx="450">
                  <c:v>1.0951586549618837</c:v>
                </c:pt>
                <c:pt idx="451">
                  <c:v>1.0680063285053791</c:v>
                </c:pt>
                <c:pt idx="452">
                  <c:v>1.0845872239256771</c:v>
                </c:pt>
                <c:pt idx="453">
                  <c:v>1.0777339662134275</c:v>
                </c:pt>
                <c:pt idx="454">
                  <c:v>1.0952571510874964</c:v>
                </c:pt>
                <c:pt idx="455">
                  <c:v>1.1192813019237096</c:v>
                </c:pt>
                <c:pt idx="456">
                  <c:v>1.1072694297046619</c:v>
                </c:pt>
                <c:pt idx="457">
                  <c:v>1.1149679400837649</c:v>
                </c:pt>
                <c:pt idx="458">
                  <c:v>1.1096991177965081</c:v>
                </c:pt>
                <c:pt idx="459">
                  <c:v>1.0974487453003059</c:v>
                </c:pt>
                <c:pt idx="460">
                  <c:v>1.0831676198826881</c:v>
                </c:pt>
                <c:pt idx="461">
                  <c:v>1.0970599146648927</c:v>
                </c:pt>
                <c:pt idx="462">
                  <c:v>1.0829247785347311</c:v>
                </c:pt>
                <c:pt idx="463">
                  <c:v>1.0970899511803178</c:v>
                </c:pt>
                <c:pt idx="464">
                  <c:v>1.0893691812679507</c:v>
                </c:pt>
                <c:pt idx="465">
                  <c:v>1.0682186715218682</c:v>
                </c:pt>
                <c:pt idx="466">
                  <c:v>1.0724570713817421</c:v>
                </c:pt>
                <c:pt idx="467">
                  <c:v>1.0562829989498856</c:v>
                </c:pt>
                <c:pt idx="468">
                  <c:v>1.0555938955234305</c:v>
                </c:pt>
                <c:pt idx="469">
                  <c:v>1.0677455686949608</c:v>
                </c:pt>
                <c:pt idx="470">
                  <c:v>1.0745717270418176</c:v>
                </c:pt>
                <c:pt idx="471">
                  <c:v>1.0887214380862904</c:v>
                </c:pt>
                <c:pt idx="472">
                  <c:v>1.0892143435851138</c:v>
                </c:pt>
                <c:pt idx="473">
                  <c:v>1.0815701427726463</c:v>
                </c:pt>
                <c:pt idx="474">
                  <c:v>1.0768719219152567</c:v>
                </c:pt>
                <c:pt idx="475">
                  <c:v>1.0803209303768166</c:v>
                </c:pt>
                <c:pt idx="476">
                  <c:v>1.0821868888615125</c:v>
                </c:pt>
                <c:pt idx="477">
                  <c:v>1.1016061980441942</c:v>
                </c:pt>
                <c:pt idx="478">
                  <c:v>1.0876497847226043</c:v>
                </c:pt>
                <c:pt idx="479">
                  <c:v>1.0549123658800776</c:v>
                </c:pt>
                <c:pt idx="480">
                  <c:v>1.052091094729203</c:v>
                </c:pt>
                <c:pt idx="481">
                  <c:v>1.0465906809327923</c:v>
                </c:pt>
                <c:pt idx="482">
                  <c:v>1.0419838442339562</c:v>
                </c:pt>
                <c:pt idx="483">
                  <c:v>1.0466491283711716</c:v>
                </c:pt>
                <c:pt idx="484">
                  <c:v>1.064604369862262</c:v>
                </c:pt>
                <c:pt idx="485">
                  <c:v>1.0621161604414695</c:v>
                </c:pt>
                <c:pt idx="486">
                  <c:v>1.082482488074201</c:v>
                </c:pt>
                <c:pt idx="487">
                  <c:v>1.074970773048098</c:v>
                </c:pt>
                <c:pt idx="488">
                  <c:v>1.0722857745751391</c:v>
                </c:pt>
                <c:pt idx="489">
                  <c:v>1.0456209041881526</c:v>
                </c:pt>
                <c:pt idx="490">
                  <c:v>1.042967826440073</c:v>
                </c:pt>
                <c:pt idx="491">
                  <c:v>1.0142519386437117</c:v>
                </c:pt>
                <c:pt idx="492">
                  <c:v>0.97935425518872032</c:v>
                </c:pt>
                <c:pt idx="493">
                  <c:v>0.98432989817935301</c:v>
                </c:pt>
                <c:pt idx="494">
                  <c:v>0.97318056901980232</c:v>
                </c:pt>
                <c:pt idx="495">
                  <c:v>0.91820319791353733</c:v>
                </c:pt>
                <c:pt idx="496">
                  <c:v>0.9256808309156801</c:v>
                </c:pt>
                <c:pt idx="497">
                  <c:v>0.94968246360164532</c:v>
                </c:pt>
                <c:pt idx="498">
                  <c:v>0.92454361814655528</c:v>
                </c:pt>
                <c:pt idx="499">
                  <c:v>0.95681883302078552</c:v>
                </c:pt>
                <c:pt idx="500">
                  <c:v>0.95880083664072124</c:v>
                </c:pt>
                <c:pt idx="501">
                  <c:v>0.95724593896982779</c:v>
                </c:pt>
                <c:pt idx="502">
                  <c:v>0.98152900235228768</c:v>
                </c:pt>
                <c:pt idx="503">
                  <c:v>0.97752500184310787</c:v>
                </c:pt>
                <c:pt idx="504">
                  <c:v>1.0172185894848662</c:v>
                </c:pt>
                <c:pt idx="505">
                  <c:v>1.0262535216013253</c:v>
                </c:pt>
                <c:pt idx="506">
                  <c:v>1.0342737145632155</c:v>
                </c:pt>
                <c:pt idx="507">
                  <c:v>1.0647032723859924</c:v>
                </c:pt>
                <c:pt idx="508">
                  <c:v>1.0480554321121274</c:v>
                </c:pt>
                <c:pt idx="509">
                  <c:v>1.0642968742683103</c:v>
                </c:pt>
                <c:pt idx="510">
                  <c:v>1.0726237315552751</c:v>
                </c:pt>
                <c:pt idx="511">
                  <c:v>1.0616094189340033</c:v>
                </c:pt>
                <c:pt idx="512">
                  <c:v>1.0644146927771545</c:v>
                </c:pt>
                <c:pt idx="513">
                  <c:v>1.1005883000678927</c:v>
                </c:pt>
                <c:pt idx="514">
                  <c:v>1.1213881621289823</c:v>
                </c:pt>
                <c:pt idx="515">
                  <c:v>1.1130813291856343</c:v>
                </c:pt>
                <c:pt idx="516">
                  <c:v>1.0917288211024219</c:v>
                </c:pt>
                <c:pt idx="517">
                  <c:v>1.0918817561031624</c:v>
                </c:pt>
                <c:pt idx="518">
                  <c:v>1.07846801357717</c:v>
                </c:pt>
                <c:pt idx="519">
                  <c:v>1.0892564057902938</c:v>
                </c:pt>
                <c:pt idx="520">
                  <c:v>1.0916502569572173</c:v>
                </c:pt>
                <c:pt idx="521">
                  <c:v>1.0792363092186481</c:v>
                </c:pt>
                <c:pt idx="522">
                  <c:v>1.0751755422814848</c:v>
                </c:pt>
                <c:pt idx="523">
                  <c:v>1.0122373308111527</c:v>
                </c:pt>
                <c:pt idx="524">
                  <c:v>1.0422406878443313</c:v>
                </c:pt>
                <c:pt idx="525">
                  <c:v>1.0823596265341691</c:v>
                </c:pt>
                <c:pt idx="526">
                  <c:v>1.0731818454793447</c:v>
                </c:pt>
                <c:pt idx="527">
                  <c:v>1.0736917642811856</c:v>
                </c:pt>
                <c:pt idx="528">
                  <c:v>1.1028573685400456</c:v>
                </c:pt>
                <c:pt idx="529">
                  <c:v>1.1132826255623787</c:v>
                </c:pt>
                <c:pt idx="530">
                  <c:v>1.0980651958269048</c:v>
                </c:pt>
                <c:pt idx="531">
                  <c:v>1.0751203829733302</c:v>
                </c:pt>
                <c:pt idx="532">
                  <c:v>1.0792815302455612</c:v>
                </c:pt>
                <c:pt idx="533">
                  <c:v>1.0793013883354023</c:v>
                </c:pt>
                <c:pt idx="534">
                  <c:v>1.0840723359832154</c:v>
                </c:pt>
                <c:pt idx="535">
                  <c:v>1.0771193260057168</c:v>
                </c:pt>
                <c:pt idx="536">
                  <c:v>1.083125945602984</c:v>
                </c:pt>
                <c:pt idx="537">
                  <c:v>1.097331351662221</c:v>
                </c:pt>
                <c:pt idx="538">
                  <c:v>1.0561591029419179</c:v>
                </c:pt>
                <c:pt idx="539">
                  <c:v>1.0851656208103471</c:v>
                </c:pt>
                <c:pt idx="540">
                  <c:v>1.0830246416358307</c:v>
                </c:pt>
                <c:pt idx="541">
                  <c:v>1.0583478523679037</c:v>
                </c:pt>
                <c:pt idx="542">
                  <c:v>1.0410194615006962</c:v>
                </c:pt>
                <c:pt idx="543">
                  <c:v>1.0694381244918985</c:v>
                </c:pt>
                <c:pt idx="544">
                  <c:v>1.071617619124386</c:v>
                </c:pt>
                <c:pt idx="545">
                  <c:v>1.0458067204911419</c:v>
                </c:pt>
                <c:pt idx="546">
                  <c:v>1.0420457830016192</c:v>
                </c:pt>
                <c:pt idx="547">
                  <c:v>1.0331213542278861</c:v>
                </c:pt>
                <c:pt idx="548">
                  <c:v>1.0562438000041712</c:v>
                </c:pt>
                <c:pt idx="549">
                  <c:v>1.0460331211879741</c:v>
                </c:pt>
                <c:pt idx="550">
                  <c:v>1.0657981458603114</c:v>
                </c:pt>
                <c:pt idx="551">
                  <c:v>1.0727641051596508</c:v>
                </c:pt>
                <c:pt idx="552">
                  <c:v>1.0698922743884083</c:v>
                </c:pt>
                <c:pt idx="553">
                  <c:v>1.065722925263257</c:v>
                </c:pt>
                <c:pt idx="554">
                  <c:v>1.0491847385905992</c:v>
                </c:pt>
                <c:pt idx="555">
                  <c:v>1.0474420480440529</c:v>
                </c:pt>
                <c:pt idx="556">
                  <c:v>1.060291414420435</c:v>
                </c:pt>
                <c:pt idx="557">
                  <c:v>1.0491108480237479</c:v>
                </c:pt>
                <c:pt idx="558">
                  <c:v>1.0436654826996414</c:v>
                </c:pt>
                <c:pt idx="559">
                  <c:v>1.0439871837550703</c:v>
                </c:pt>
                <c:pt idx="560">
                  <c:v>1.0665939842105834</c:v>
                </c:pt>
                <c:pt idx="561">
                  <c:v>1.0684227387948697</c:v>
                </c:pt>
                <c:pt idx="562">
                  <c:v>1.0581447641449129</c:v>
                </c:pt>
                <c:pt idx="563">
                  <c:v>1.048020278674948</c:v>
                </c:pt>
                <c:pt idx="564">
                  <c:v>1.023743440572745</c:v>
                </c:pt>
                <c:pt idx="565">
                  <c:v>1.0158689043907605</c:v>
                </c:pt>
                <c:pt idx="566">
                  <c:v>1.0122831060173172</c:v>
                </c:pt>
                <c:pt idx="567">
                  <c:v>0.97770518399037476</c:v>
                </c:pt>
                <c:pt idx="568">
                  <c:v>0.98912111031512506</c:v>
                </c:pt>
                <c:pt idx="569">
                  <c:v>0.97416708197783408</c:v>
                </c:pt>
                <c:pt idx="570">
                  <c:v>0.97239010620826871</c:v>
                </c:pt>
                <c:pt idx="571">
                  <c:v>1.0025459364261451</c:v>
                </c:pt>
                <c:pt idx="572">
                  <c:v>1.0006434944740663</c:v>
                </c:pt>
                <c:pt idx="573">
                  <c:v>0.9929430075222998</c:v>
                </c:pt>
                <c:pt idx="574">
                  <c:v>0.98534556096600756</c:v>
                </c:pt>
                <c:pt idx="575">
                  <c:v>0.97963154801347163</c:v>
                </c:pt>
                <c:pt idx="576">
                  <c:v>0.98673287483128247</c:v>
                </c:pt>
                <c:pt idx="577">
                  <c:v>0.9678306333627843</c:v>
                </c:pt>
                <c:pt idx="578">
                  <c:v>0.96390377460539711</c:v>
                </c:pt>
                <c:pt idx="579">
                  <c:v>0.9422150644430114</c:v>
                </c:pt>
                <c:pt idx="580">
                  <c:v>0.87765536142841105</c:v>
                </c:pt>
                <c:pt idx="581">
                  <c:v>0.88548641301180375</c:v>
                </c:pt>
                <c:pt idx="582">
                  <c:v>0.8483959900402166</c:v>
                </c:pt>
                <c:pt idx="583">
                  <c:v>0.86325366507833357</c:v>
                </c:pt>
                <c:pt idx="584">
                  <c:v>0.85489281813061702</c:v>
                </c:pt>
                <c:pt idx="585">
                  <c:v>0.87661653394904859</c:v>
                </c:pt>
                <c:pt idx="586">
                  <c:v>0.86966439218571046</c:v>
                </c:pt>
                <c:pt idx="587">
                  <c:v>0.86413226086347894</c:v>
                </c:pt>
                <c:pt idx="588">
                  <c:v>0.90563230661097616</c:v>
                </c:pt>
                <c:pt idx="589">
                  <c:v>0.89156507591175094</c:v>
                </c:pt>
                <c:pt idx="590">
                  <c:v>0.91138304317523722</c:v>
                </c:pt>
                <c:pt idx="591">
                  <c:v>0.8853870301993888</c:v>
                </c:pt>
                <c:pt idx="592">
                  <c:v>0.86509559065616104</c:v>
                </c:pt>
                <c:pt idx="593">
                  <c:v>0.86992945612164785</c:v>
                </c:pt>
                <c:pt idx="594">
                  <c:v>0.89317786684177247</c:v>
                </c:pt>
                <c:pt idx="595">
                  <c:v>0.89896920627251853</c:v>
                </c:pt>
                <c:pt idx="596">
                  <c:v>0.87000066815545074</c:v>
                </c:pt>
                <c:pt idx="597">
                  <c:v>0.90613923284485942</c:v>
                </c:pt>
                <c:pt idx="598">
                  <c:v>0.90954991057486512</c:v>
                </c:pt>
                <c:pt idx="599">
                  <c:v>0.91457350854338437</c:v>
                </c:pt>
                <c:pt idx="600">
                  <c:v>0.91710411267690761</c:v>
                </c:pt>
                <c:pt idx="601">
                  <c:v>0.90665785226094697</c:v>
                </c:pt>
                <c:pt idx="602">
                  <c:v>0.90004392609472894</c:v>
                </c:pt>
                <c:pt idx="603">
                  <c:v>0.91660873184409486</c:v>
                </c:pt>
                <c:pt idx="604">
                  <c:v>0.93191996565418678</c:v>
                </c:pt>
                <c:pt idx="605">
                  <c:v>0.94000411090168678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BA6-4134-B0AA-4ADD19ECFA0A}"/>
            </c:ext>
          </c:extLst>
        </c:ser>
        <c:ser>
          <c:idx val="8"/>
          <c:order val="8"/>
          <c:tx>
            <c:strRef>
              <c:f>回撤结果!$AK$2</c:f>
              <c:strCache>
                <c:ptCount val="1"/>
                <c:pt idx="0">
                  <c:v>全指电信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回撤结果!$AB$3:$AB$608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回撤结果!$AK$3:$AK$608</c:f>
              <c:numCache>
                <c:formatCode>General</c:formatCode>
                <c:ptCount val="606"/>
                <c:pt idx="0">
                  <c:v>1</c:v>
                </c:pt>
                <c:pt idx="1">
                  <c:v>1.0369802846841383</c:v>
                </c:pt>
                <c:pt idx="2">
                  <c:v>1.0236510617786498</c:v>
                </c:pt>
                <c:pt idx="3">
                  <c:v>1.0589427964222353</c:v>
                </c:pt>
                <c:pt idx="4">
                  <c:v>1.0655385553616514</c:v>
                </c:pt>
                <c:pt idx="5">
                  <c:v>1.0710149768169723</c:v>
                </c:pt>
                <c:pt idx="6">
                  <c:v>1.0550501317403909</c:v>
                </c:pt>
                <c:pt idx="7">
                  <c:v>1.0564439060272137</c:v>
                </c:pt>
                <c:pt idx="8">
                  <c:v>1.0966559387969184</c:v>
                </c:pt>
                <c:pt idx="9">
                  <c:v>1.11511484774011</c:v>
                </c:pt>
                <c:pt idx="10">
                  <c:v>1.1068093655943523</c:v>
                </c:pt>
                <c:pt idx="11">
                  <c:v>1.1172857129634555</c:v>
                </c:pt>
                <c:pt idx="12">
                  <c:v>1.1375369522391774</c:v>
                </c:pt>
                <c:pt idx="13">
                  <c:v>1.1247677059407175</c:v>
                </c:pt>
                <c:pt idx="14">
                  <c:v>1.1244430374904468</c:v>
                </c:pt>
                <c:pt idx="15">
                  <c:v>1.0396499706257083</c:v>
                </c:pt>
                <c:pt idx="16">
                  <c:v>1.0343777530329368</c:v>
                </c:pt>
                <c:pt idx="17">
                  <c:v>0.97888149514171174</c:v>
                </c:pt>
                <c:pt idx="18">
                  <c:v>0.99783211411518036</c:v>
                </c:pt>
                <c:pt idx="19">
                  <c:v>1.0419150425332353</c:v>
                </c:pt>
                <c:pt idx="20">
                  <c:v>1.0440045718148299</c:v>
                </c:pt>
                <c:pt idx="21">
                  <c:v>1.0174385848094334</c:v>
                </c:pt>
                <c:pt idx="22">
                  <c:v>1.039592191320567</c:v>
                </c:pt>
                <c:pt idx="23">
                  <c:v>1.0480623514377672</c:v>
                </c:pt>
                <c:pt idx="24">
                  <c:v>1.0353343987712731</c:v>
                </c:pt>
                <c:pt idx="25">
                  <c:v>1.0206978818452337</c:v>
                </c:pt>
                <c:pt idx="26">
                  <c:v>1.0194564907928707</c:v>
                </c:pt>
                <c:pt idx="27">
                  <c:v>1.0508304945864824</c:v>
                </c:pt>
                <c:pt idx="28">
                  <c:v>1.0479987723536293</c:v>
                </c:pt>
                <c:pt idx="29">
                  <c:v>1.0401286311532427</c:v>
                </c:pt>
                <c:pt idx="30">
                  <c:v>1.0703427784588102</c:v>
                </c:pt>
                <c:pt idx="31">
                  <c:v>1.0964178300619467</c:v>
                </c:pt>
                <c:pt idx="32">
                  <c:v>1.119324156520463</c:v>
                </c:pt>
                <c:pt idx="33">
                  <c:v>1.1219054355568481</c:v>
                </c:pt>
                <c:pt idx="34">
                  <c:v>1.1275091144917289</c:v>
                </c:pt>
                <c:pt idx="35">
                  <c:v>1.1063734883680465</c:v>
                </c:pt>
                <c:pt idx="36">
                  <c:v>1.1089321045693796</c:v>
                </c:pt>
                <c:pt idx="37">
                  <c:v>1.1084781526893515</c:v>
                </c:pt>
                <c:pt idx="38">
                  <c:v>1.0896245409782788</c:v>
                </c:pt>
                <c:pt idx="39">
                  <c:v>1.1273066187832674</c:v>
                </c:pt>
                <c:pt idx="40">
                  <c:v>1.1269040306994218</c:v>
                </c:pt>
                <c:pt idx="41">
                  <c:v>1.1248094762668475</c:v>
                </c:pt>
                <c:pt idx="42">
                  <c:v>1.1497134293445697</c:v>
                </c:pt>
                <c:pt idx="43">
                  <c:v>1.1529871265165776</c:v>
                </c:pt>
                <c:pt idx="44">
                  <c:v>1.1350247739943313</c:v>
                </c:pt>
                <c:pt idx="45">
                  <c:v>1.1241382710215273</c:v>
                </c:pt>
                <c:pt idx="46">
                  <c:v>1.1434056731293021</c:v>
                </c:pt>
                <c:pt idx="47">
                  <c:v>1.1390134528257299</c:v>
                </c:pt>
                <c:pt idx="48">
                  <c:v>1.152086492342524</c:v>
                </c:pt>
                <c:pt idx="49">
                  <c:v>1.168064744442471</c:v>
                </c:pt>
                <c:pt idx="50">
                  <c:v>1.1685603474750881</c:v>
                </c:pt>
                <c:pt idx="51">
                  <c:v>1.1502258159842147</c:v>
                </c:pt>
                <c:pt idx="52">
                  <c:v>1.1543293781091633</c:v>
                </c:pt>
                <c:pt idx="53">
                  <c:v>1.1087077603783966</c:v>
                </c:pt>
                <c:pt idx="54">
                  <c:v>1.0945198325230392</c:v>
                </c:pt>
                <c:pt idx="55">
                  <c:v>1.1053475829401169</c:v>
                </c:pt>
                <c:pt idx="56">
                  <c:v>1.1008336665888991</c:v>
                </c:pt>
                <c:pt idx="57">
                  <c:v>1.1157329413106458</c:v>
                </c:pt>
                <c:pt idx="58">
                  <c:v>1.1131162677325761</c:v>
                </c:pt>
                <c:pt idx="59">
                  <c:v>1.1103747797325372</c:v>
                </c:pt>
                <c:pt idx="60">
                  <c:v>1.1047650626715775</c:v>
                </c:pt>
                <c:pt idx="61">
                  <c:v>1.1403853190432605</c:v>
                </c:pt>
                <c:pt idx="62">
                  <c:v>1.1408572859902404</c:v>
                </c:pt>
                <c:pt idx="63">
                  <c:v>1.1436381211210749</c:v>
                </c:pt>
                <c:pt idx="64">
                  <c:v>1.0962235573278161</c:v>
                </c:pt>
                <c:pt idx="65">
                  <c:v>1.0598121475417694</c:v>
                </c:pt>
                <c:pt idx="66">
                  <c:v>1.0617937254574505</c:v>
                </c:pt>
                <c:pt idx="67">
                  <c:v>1.0496615809093202</c:v>
                </c:pt>
                <c:pt idx="68">
                  <c:v>1.0499694260280494</c:v>
                </c:pt>
                <c:pt idx="69">
                  <c:v>1.0479874508672318</c:v>
                </c:pt>
                <c:pt idx="70">
                  <c:v>1.0635540576942153</c:v>
                </c:pt>
                <c:pt idx="71">
                  <c:v>1.0604859348804787</c:v>
                </c:pt>
                <c:pt idx="72">
                  <c:v>1.0369038745820831</c:v>
                </c:pt>
                <c:pt idx="73">
                  <c:v>1.0401423758349746</c:v>
                </c:pt>
                <c:pt idx="74">
                  <c:v>1.0511984230321458</c:v>
                </c:pt>
                <c:pt idx="75">
                  <c:v>1.068825639694768</c:v>
                </c:pt>
                <c:pt idx="76">
                  <c:v>1.0532676530872522</c:v>
                </c:pt>
                <c:pt idx="77">
                  <c:v>1.0520804065470288</c:v>
                </c:pt>
                <c:pt idx="78">
                  <c:v>1.0594037795411841</c:v>
                </c:pt>
                <c:pt idx="79">
                  <c:v>1.0597566523961648</c:v>
                </c:pt>
                <c:pt idx="80">
                  <c:v>1.0615499361170233</c:v>
                </c:pt>
                <c:pt idx="81">
                  <c:v>1.1039637199194561</c:v>
                </c:pt>
                <c:pt idx="82">
                  <c:v>1.1081603565799467</c:v>
                </c:pt>
                <c:pt idx="83">
                  <c:v>1.1169308141582774</c:v>
                </c:pt>
                <c:pt idx="84">
                  <c:v>1.1202151972244641</c:v>
                </c:pt>
                <c:pt idx="85">
                  <c:v>1.1228638093115291</c:v>
                </c:pt>
                <c:pt idx="86">
                  <c:v>1.1257671945670531</c:v>
                </c:pt>
                <c:pt idx="87">
                  <c:v>1.1326405484080342</c:v>
                </c:pt>
                <c:pt idx="88">
                  <c:v>1.0836206177058592</c:v>
                </c:pt>
                <c:pt idx="89">
                  <c:v>1.0923383211300288</c:v>
                </c:pt>
                <c:pt idx="90">
                  <c:v>1.1238974212951121</c:v>
                </c:pt>
                <c:pt idx="91">
                  <c:v>1.1171313832278256</c:v>
                </c:pt>
                <c:pt idx="92">
                  <c:v>1.1280668863882484</c:v>
                </c:pt>
                <c:pt idx="93">
                  <c:v>1.1347168494265745</c:v>
                </c:pt>
                <c:pt idx="94">
                  <c:v>1.1217422869791822</c:v>
                </c:pt>
                <c:pt idx="95">
                  <c:v>1.1418697248080343</c:v>
                </c:pt>
                <c:pt idx="96">
                  <c:v>1.1552717826093466</c:v>
                </c:pt>
                <c:pt idx="97">
                  <c:v>1.1480720918885203</c:v>
                </c:pt>
                <c:pt idx="98">
                  <c:v>1.1819544405114086</c:v>
                </c:pt>
                <c:pt idx="99">
                  <c:v>1.1822068699335602</c:v>
                </c:pt>
                <c:pt idx="100">
                  <c:v>1.1781483156826063</c:v>
                </c:pt>
                <c:pt idx="101">
                  <c:v>1.1750699240820845</c:v>
                </c:pt>
                <c:pt idx="102">
                  <c:v>1.1680388043350409</c:v>
                </c:pt>
                <c:pt idx="103">
                  <c:v>1.1884593892125619</c:v>
                </c:pt>
                <c:pt idx="104">
                  <c:v>1.192173810001544</c:v>
                </c:pt>
                <c:pt idx="105">
                  <c:v>1.191208305696658</c:v>
                </c:pt>
                <c:pt idx="106">
                  <c:v>1.1874396013597384</c:v>
                </c:pt>
                <c:pt idx="107">
                  <c:v>1.1913460305855714</c:v>
                </c:pt>
                <c:pt idx="108">
                  <c:v>1.1903989783172877</c:v>
                </c:pt>
                <c:pt idx="109">
                  <c:v>1.200981112066309</c:v>
                </c:pt>
                <c:pt idx="110">
                  <c:v>1.2207040550346591</c:v>
                </c:pt>
                <c:pt idx="111">
                  <c:v>1.2310104013474872</c:v>
                </c:pt>
                <c:pt idx="112">
                  <c:v>1.2254804113854745</c:v>
                </c:pt>
                <c:pt idx="113">
                  <c:v>1.2325789436322259</c:v>
                </c:pt>
                <c:pt idx="114">
                  <c:v>1.2425865417399566</c:v>
                </c:pt>
                <c:pt idx="115">
                  <c:v>1.2382601449555448</c:v>
                </c:pt>
                <c:pt idx="116">
                  <c:v>1.255515679205961</c:v>
                </c:pt>
                <c:pt idx="117">
                  <c:v>1.2492848495114262</c:v>
                </c:pt>
                <c:pt idx="118">
                  <c:v>1.2444397896142085</c:v>
                </c:pt>
                <c:pt idx="119">
                  <c:v>1.2574718532951463</c:v>
                </c:pt>
                <c:pt idx="120">
                  <c:v>1.2013521588862961</c:v>
                </c:pt>
                <c:pt idx="121">
                  <c:v>1.2020281310732572</c:v>
                </c:pt>
                <c:pt idx="122">
                  <c:v>1.184849284996492</c:v>
                </c:pt>
                <c:pt idx="123">
                  <c:v>1.1653375572673554</c:v>
                </c:pt>
                <c:pt idx="124">
                  <c:v>1.1818441652614449</c:v>
                </c:pt>
                <c:pt idx="125">
                  <c:v>1.182557140832895</c:v>
                </c:pt>
                <c:pt idx="126">
                  <c:v>1.1911906878748428</c:v>
                </c:pt>
                <c:pt idx="127">
                  <c:v>1.1829124964699802</c:v>
                </c:pt>
                <c:pt idx="128">
                  <c:v>1.2016145591613805</c:v>
                </c:pt>
                <c:pt idx="129">
                  <c:v>1.2125622378852448</c:v>
                </c:pt>
                <c:pt idx="130">
                  <c:v>1.207416066174366</c:v>
                </c:pt>
                <c:pt idx="131">
                  <c:v>1.1941929673071621</c:v>
                </c:pt>
                <c:pt idx="132">
                  <c:v>1.205841585074833</c:v>
                </c:pt>
                <c:pt idx="133">
                  <c:v>1.2313980331519339</c:v>
                </c:pt>
                <c:pt idx="134">
                  <c:v>1.2344743789400014</c:v>
                </c:pt>
                <c:pt idx="135">
                  <c:v>1.2386258488284425</c:v>
                </c:pt>
                <c:pt idx="136">
                  <c:v>1.2416858877036463</c:v>
                </c:pt>
                <c:pt idx="137">
                  <c:v>1.2397440740261545</c:v>
                </c:pt>
                <c:pt idx="138">
                  <c:v>1.2225412343431292</c:v>
                </c:pt>
                <c:pt idx="139">
                  <c:v>1.2181909432637412</c:v>
                </c:pt>
                <c:pt idx="140">
                  <c:v>1.228295310286786</c:v>
                </c:pt>
                <c:pt idx="141">
                  <c:v>1.2225549393003472</c:v>
                </c:pt>
                <c:pt idx="142">
                  <c:v>1.2313231921681691</c:v>
                </c:pt>
                <c:pt idx="143">
                  <c:v>1.2332144564020084</c:v>
                </c:pt>
                <c:pt idx="144">
                  <c:v>1.2359887767126001</c:v>
                </c:pt>
                <c:pt idx="145">
                  <c:v>1.2320524945147397</c:v>
                </c:pt>
                <c:pt idx="146">
                  <c:v>1.2298895344696159</c:v>
                </c:pt>
                <c:pt idx="147">
                  <c:v>1.2262094555227063</c:v>
                </c:pt>
                <c:pt idx="148">
                  <c:v>1.2332558692075155</c:v>
                </c:pt>
                <c:pt idx="149">
                  <c:v>1.2595810660732671</c:v>
                </c:pt>
                <c:pt idx="150">
                  <c:v>1.2569562092453799</c:v>
                </c:pt>
                <c:pt idx="151">
                  <c:v>1.2664345973819242</c:v>
                </c:pt>
                <c:pt idx="152">
                  <c:v>1.2597081646547723</c:v>
                </c:pt>
                <c:pt idx="153">
                  <c:v>1.2278636239966729</c:v>
                </c:pt>
                <c:pt idx="154">
                  <c:v>1.225673214312599</c:v>
                </c:pt>
                <c:pt idx="155">
                  <c:v>1.2170990554185963</c:v>
                </c:pt>
                <c:pt idx="156">
                  <c:v>1.2347417646415519</c:v>
                </c:pt>
                <c:pt idx="157">
                  <c:v>1.2262759742208562</c:v>
                </c:pt>
                <c:pt idx="158">
                  <c:v>1.2276611084259546</c:v>
                </c:pt>
                <c:pt idx="159">
                  <c:v>1.2357734301239647</c:v>
                </c:pt>
                <c:pt idx="160">
                  <c:v>1.2310556674308206</c:v>
                </c:pt>
                <c:pt idx="161">
                  <c:v>1.2045209833422004</c:v>
                </c:pt>
                <c:pt idx="162">
                  <c:v>1.2164682500036845</c:v>
                </c:pt>
                <c:pt idx="163">
                  <c:v>1.2157677677917853</c:v>
                </c:pt>
                <c:pt idx="164">
                  <c:v>1.2208854173018451</c:v>
                </c:pt>
                <c:pt idx="165">
                  <c:v>1.2293963347700763</c:v>
                </c:pt>
                <c:pt idx="166">
                  <c:v>1.2634625681667688</c:v>
                </c:pt>
                <c:pt idx="167">
                  <c:v>1.2850138318770392</c:v>
                </c:pt>
                <c:pt idx="168">
                  <c:v>1.2874443762462822</c:v>
                </c:pt>
                <c:pt idx="169">
                  <c:v>1.2847854556479181</c:v>
                </c:pt>
                <c:pt idx="170">
                  <c:v>1.294203124865309</c:v>
                </c:pt>
                <c:pt idx="171">
                  <c:v>1.2772554158713654</c:v>
                </c:pt>
                <c:pt idx="172">
                  <c:v>1.2939799724097363</c:v>
                </c:pt>
                <c:pt idx="173">
                  <c:v>1.2928124689528095</c:v>
                </c:pt>
                <c:pt idx="174">
                  <c:v>1.2983248410930073</c:v>
                </c:pt>
                <c:pt idx="175">
                  <c:v>1.2907226814618764</c:v>
                </c:pt>
                <c:pt idx="176">
                  <c:v>1.2981550585215575</c:v>
                </c:pt>
                <c:pt idx="177">
                  <c:v>1.2968066099048388</c:v>
                </c:pt>
                <c:pt idx="178">
                  <c:v>1.2901060576983465</c:v>
                </c:pt>
                <c:pt idx="179">
                  <c:v>1.2858640159187249</c:v>
                </c:pt>
                <c:pt idx="180">
                  <c:v>1.2782506738369943</c:v>
                </c:pt>
                <c:pt idx="181">
                  <c:v>1.2697427952940592</c:v>
                </c:pt>
                <c:pt idx="182">
                  <c:v>1.2805464527935926</c:v>
                </c:pt>
                <c:pt idx="183">
                  <c:v>1.2684576476898823</c:v>
                </c:pt>
                <c:pt idx="184">
                  <c:v>1.2733821168899375</c:v>
                </c:pt>
                <c:pt idx="185">
                  <c:v>1.2694692125683753</c:v>
                </c:pt>
                <c:pt idx="186">
                  <c:v>1.2704040296864467</c:v>
                </c:pt>
                <c:pt idx="187">
                  <c:v>1.2822275743500882</c:v>
                </c:pt>
                <c:pt idx="188">
                  <c:v>1.2694496879699035</c:v>
                </c:pt>
                <c:pt idx="189">
                  <c:v>1.2817696698809491</c:v>
                </c:pt>
                <c:pt idx="190">
                  <c:v>1.2873587897815679</c:v>
                </c:pt>
                <c:pt idx="191">
                  <c:v>1.2961736792284451</c:v>
                </c:pt>
                <c:pt idx="192">
                  <c:v>1.3022073561616077</c:v>
                </c:pt>
                <c:pt idx="193">
                  <c:v>1.3099758026069848</c:v>
                </c:pt>
                <c:pt idx="194">
                  <c:v>1.3080760969139893</c:v>
                </c:pt>
                <c:pt idx="195">
                  <c:v>1.3037496008182932</c:v>
                </c:pt>
                <c:pt idx="196">
                  <c:v>1.3062167910514018</c:v>
                </c:pt>
                <c:pt idx="197">
                  <c:v>1.3113592683825088</c:v>
                </c:pt>
                <c:pt idx="198">
                  <c:v>1.3019213396631431</c:v>
                </c:pt>
                <c:pt idx="199">
                  <c:v>1.2986753304771672</c:v>
                </c:pt>
                <c:pt idx="200">
                  <c:v>1.3069979140260621</c:v>
                </c:pt>
                <c:pt idx="201">
                  <c:v>1.3134536639170284</c:v>
                </c:pt>
                <c:pt idx="202">
                  <c:v>1.3079264149464596</c:v>
                </c:pt>
                <c:pt idx="203">
                  <c:v>1.3244494887514675</c:v>
                </c:pt>
                <c:pt idx="204">
                  <c:v>1.3530055348562149</c:v>
                </c:pt>
                <c:pt idx="205">
                  <c:v>1.3200467414517711</c:v>
                </c:pt>
                <c:pt idx="206">
                  <c:v>1.3122735677892667</c:v>
                </c:pt>
                <c:pt idx="207">
                  <c:v>1.3051470694848877</c:v>
                </c:pt>
                <c:pt idx="208">
                  <c:v>1.3091915413957438</c:v>
                </c:pt>
                <c:pt idx="209">
                  <c:v>1.3149774366748548</c:v>
                </c:pt>
                <c:pt idx="210">
                  <c:v>1.307596542584897</c:v>
                </c:pt>
                <c:pt idx="211">
                  <c:v>1.250560920064228</c:v>
                </c:pt>
                <c:pt idx="212">
                  <c:v>1.2661111603915771</c:v>
                </c:pt>
                <c:pt idx="213">
                  <c:v>1.2467888192813892</c:v>
                </c:pt>
                <c:pt idx="214">
                  <c:v>1.256248377998451</c:v>
                </c:pt>
                <c:pt idx="215">
                  <c:v>1.264016069678068</c:v>
                </c:pt>
                <c:pt idx="216">
                  <c:v>1.2618879877559515</c:v>
                </c:pt>
                <c:pt idx="217">
                  <c:v>1.2671223876117037</c:v>
                </c:pt>
                <c:pt idx="218">
                  <c:v>1.2796382312374268</c:v>
                </c:pt>
                <c:pt idx="219">
                  <c:v>1.2840029621775355</c:v>
                </c:pt>
                <c:pt idx="220">
                  <c:v>1.2668078290501632</c:v>
                </c:pt>
                <c:pt idx="221">
                  <c:v>1.273963524872094</c:v>
                </c:pt>
                <c:pt idx="222">
                  <c:v>1.2700229127022429</c:v>
                </c:pt>
                <c:pt idx="223">
                  <c:v>1.2666574121791307</c:v>
                </c:pt>
                <c:pt idx="224">
                  <c:v>1.2614593205288778</c:v>
                </c:pt>
                <c:pt idx="225">
                  <c:v>1.2588863836403648</c:v>
                </c:pt>
                <c:pt idx="226">
                  <c:v>1.2698295933564405</c:v>
                </c:pt>
                <c:pt idx="227">
                  <c:v>1.2864027399109368</c:v>
                </c:pt>
                <c:pt idx="228">
                  <c:v>1.2906726682991587</c:v>
                </c:pt>
                <c:pt idx="229">
                  <c:v>1.2771448625498059</c:v>
                </c:pt>
                <c:pt idx="230">
                  <c:v>1.2798239433388603</c:v>
                </c:pt>
                <c:pt idx="231">
                  <c:v>1.2694769588485419</c:v>
                </c:pt>
                <c:pt idx="232">
                  <c:v>1.2489160074019481</c:v>
                </c:pt>
                <c:pt idx="233">
                  <c:v>1.2366486207470091</c:v>
                </c:pt>
                <c:pt idx="234">
                  <c:v>1.2214929838762567</c:v>
                </c:pt>
                <c:pt idx="235">
                  <c:v>1.1817297785243159</c:v>
                </c:pt>
                <c:pt idx="236">
                  <c:v>1.1944385839752185</c:v>
                </c:pt>
                <c:pt idx="237">
                  <c:v>1.188312686583558</c:v>
                </c:pt>
                <c:pt idx="238">
                  <c:v>1.1753305367540534</c:v>
                </c:pt>
                <c:pt idx="239">
                  <c:v>1.19564575235905</c:v>
                </c:pt>
                <c:pt idx="240">
                  <c:v>1.2055348323802295</c:v>
                </c:pt>
                <c:pt idx="241">
                  <c:v>1.1978756879342312</c:v>
                </c:pt>
                <c:pt idx="242">
                  <c:v>1.2059952196314732</c:v>
                </c:pt>
                <c:pt idx="243">
                  <c:v>1.2088251343989538</c:v>
                </c:pt>
                <c:pt idx="244">
                  <c:v>1.2048600519286787</c:v>
                </c:pt>
                <c:pt idx="245">
                  <c:v>1.2191511840705651</c:v>
                </c:pt>
                <c:pt idx="246">
                  <c:v>1.2195665435855576</c:v>
                </c:pt>
                <c:pt idx="247">
                  <c:v>1.2337625553794478</c:v>
                </c:pt>
                <c:pt idx="248">
                  <c:v>1.23798066313958</c:v>
                </c:pt>
                <c:pt idx="249">
                  <c:v>1.2349100972682523</c:v>
                </c:pt>
                <c:pt idx="250">
                  <c:v>1.2401550241201287</c:v>
                </c:pt>
                <c:pt idx="251">
                  <c:v>1.2423204669473573</c:v>
                </c:pt>
                <c:pt idx="252">
                  <c:v>1.2278755612130325</c:v>
                </c:pt>
                <c:pt idx="253">
                  <c:v>1.2328626759711541</c:v>
                </c:pt>
                <c:pt idx="254">
                  <c:v>1.2245199123693118</c:v>
                </c:pt>
                <c:pt idx="255">
                  <c:v>1.2337682161226466</c:v>
                </c:pt>
                <c:pt idx="256">
                  <c:v>1.2400060969183591</c:v>
                </c:pt>
                <c:pt idx="257">
                  <c:v>1.2465442950374588</c:v>
                </c:pt>
                <c:pt idx="258">
                  <c:v>1.2447475751461674</c:v>
                </c:pt>
                <c:pt idx="259">
                  <c:v>1.2609352350199554</c:v>
                </c:pt>
                <c:pt idx="260">
                  <c:v>1.2554023253061874</c:v>
                </c:pt>
                <c:pt idx="261">
                  <c:v>1.2560541251265771</c:v>
                </c:pt>
                <c:pt idx="262">
                  <c:v>1.2580736598150752</c:v>
                </c:pt>
                <c:pt idx="263">
                  <c:v>1.2487500979705819</c:v>
                </c:pt>
                <c:pt idx="264">
                  <c:v>1.2557811779931118</c:v>
                </c:pt>
                <c:pt idx="265">
                  <c:v>1.2758911966227171</c:v>
                </c:pt>
                <c:pt idx="266">
                  <c:v>1.2753789291566131</c:v>
                </c:pt>
                <c:pt idx="267">
                  <c:v>1.2856871027970704</c:v>
                </c:pt>
                <c:pt idx="268">
                  <c:v>1.2815514432650721</c:v>
                </c:pt>
                <c:pt idx="269">
                  <c:v>1.2831155761287929</c:v>
                </c:pt>
                <c:pt idx="270">
                  <c:v>1.288246890871557</c:v>
                </c:pt>
                <c:pt idx="271">
                  <c:v>1.2852871365311274</c:v>
                </c:pt>
                <c:pt idx="272">
                  <c:v>1.2821918818745504</c:v>
                </c:pt>
                <c:pt idx="273">
                  <c:v>1.3046212360973635</c:v>
                </c:pt>
                <c:pt idx="274">
                  <c:v>1.2978396458829733</c:v>
                </c:pt>
                <c:pt idx="275">
                  <c:v>1.3033039314993662</c:v>
                </c:pt>
                <c:pt idx="276">
                  <c:v>1.3037910136237998</c:v>
                </c:pt>
                <c:pt idx="277">
                  <c:v>1.3009700964586668</c:v>
                </c:pt>
                <c:pt idx="278">
                  <c:v>1.3090490892897029</c:v>
                </c:pt>
                <c:pt idx="279">
                  <c:v>1.3159730521611068</c:v>
                </c:pt>
                <c:pt idx="280">
                  <c:v>1.3043413570362621</c:v>
                </c:pt>
                <c:pt idx="281">
                  <c:v>1.3005036512190875</c:v>
                </c:pt>
                <c:pt idx="282">
                  <c:v>1.2841627738960526</c:v>
                </c:pt>
                <c:pt idx="283">
                  <c:v>1.2579908540663183</c:v>
                </c:pt>
                <c:pt idx="284">
                  <c:v>1.273760234673359</c:v>
                </c:pt>
                <c:pt idx="285">
                  <c:v>1.2913095118401494</c:v>
                </c:pt>
                <c:pt idx="286">
                  <c:v>1.2920604044599029</c:v>
                </c:pt>
                <c:pt idx="287">
                  <c:v>1.2938771455060869</c:v>
                </c:pt>
                <c:pt idx="288">
                  <c:v>1.2833489179221234</c:v>
                </c:pt>
                <c:pt idx="289">
                  <c:v>1.2866382864147763</c:v>
                </c:pt>
                <c:pt idx="290">
                  <c:v>1.2753522541456799</c:v>
                </c:pt>
                <c:pt idx="291">
                  <c:v>1.2738897365879414</c:v>
                </c:pt>
                <c:pt idx="292">
                  <c:v>1.2542122186009796</c:v>
                </c:pt>
                <c:pt idx="293">
                  <c:v>1.2448167951112472</c:v>
                </c:pt>
                <c:pt idx="294">
                  <c:v>1.2379366285161706</c:v>
                </c:pt>
                <c:pt idx="295">
                  <c:v>1.2333127745733556</c:v>
                </c:pt>
                <c:pt idx="296">
                  <c:v>1.2383824964576657</c:v>
                </c:pt>
                <c:pt idx="297">
                  <c:v>1.2304159240003316</c:v>
                </c:pt>
                <c:pt idx="298">
                  <c:v>1.2070461316407617</c:v>
                </c:pt>
                <c:pt idx="299">
                  <c:v>1.2081141053286741</c:v>
                </c:pt>
                <c:pt idx="300">
                  <c:v>1.2029675760971721</c:v>
                </c:pt>
                <c:pt idx="301">
                  <c:v>1.2053501531161517</c:v>
                </c:pt>
                <c:pt idx="302">
                  <c:v>1.2078589945018492</c:v>
                </c:pt>
                <c:pt idx="303">
                  <c:v>1.2051287684014373</c:v>
                </c:pt>
                <c:pt idx="304">
                  <c:v>1.2071455620984919</c:v>
                </c:pt>
                <c:pt idx="305">
                  <c:v>1.1998166078101651</c:v>
                </c:pt>
                <c:pt idx="306">
                  <c:v>1.1863509510624577</c:v>
                </c:pt>
                <c:pt idx="307">
                  <c:v>1.1727478673596898</c:v>
                </c:pt>
                <c:pt idx="308">
                  <c:v>1.1782653639621516</c:v>
                </c:pt>
                <c:pt idx="309">
                  <c:v>1.1628423215275918</c:v>
                </c:pt>
                <c:pt idx="310">
                  <c:v>1.1597507612507867</c:v>
                </c:pt>
                <c:pt idx="311">
                  <c:v>1.1571364115567666</c:v>
                </c:pt>
                <c:pt idx="312">
                  <c:v>1.1649783086279299</c:v>
                </c:pt>
                <c:pt idx="313">
                  <c:v>1.1933988742787864</c:v>
                </c:pt>
                <c:pt idx="314">
                  <c:v>1.1956580272337758</c:v>
                </c:pt>
                <c:pt idx="315">
                  <c:v>1.1896418688111443</c:v>
                </c:pt>
                <c:pt idx="316">
                  <c:v>1.1852847252531473</c:v>
                </c:pt>
                <c:pt idx="317">
                  <c:v>1.1737485278591788</c:v>
                </c:pt>
                <c:pt idx="318">
                  <c:v>1.1544552452307444</c:v>
                </c:pt>
                <c:pt idx="319">
                  <c:v>1.1569874446304831</c:v>
                </c:pt>
                <c:pt idx="320">
                  <c:v>1.1681325343250584</c:v>
                </c:pt>
                <c:pt idx="321">
                  <c:v>1.1614575647053735</c:v>
                </c:pt>
                <c:pt idx="322">
                  <c:v>1.1665492741080028</c:v>
                </c:pt>
                <c:pt idx="323">
                  <c:v>1.1514146117804713</c:v>
                </c:pt>
                <c:pt idx="324">
                  <c:v>1.1556947096441943</c:v>
                </c:pt>
                <c:pt idx="325">
                  <c:v>1.1592515035629114</c:v>
                </c:pt>
                <c:pt idx="326">
                  <c:v>1.1669599858548951</c:v>
                </c:pt>
                <c:pt idx="327">
                  <c:v>1.1881406993015993</c:v>
                </c:pt>
                <c:pt idx="328">
                  <c:v>1.1904569761072543</c:v>
                </c:pt>
                <c:pt idx="329">
                  <c:v>1.1978767207715866</c:v>
                </c:pt>
                <c:pt idx="330">
                  <c:v>1.1837892760735718</c:v>
                </c:pt>
                <c:pt idx="331">
                  <c:v>1.1915348610613286</c:v>
                </c:pt>
                <c:pt idx="332">
                  <c:v>1.1915078483920292</c:v>
                </c:pt>
                <c:pt idx="333">
                  <c:v>1.2053794300827305</c:v>
                </c:pt>
                <c:pt idx="334">
                  <c:v>1.213665228731962</c:v>
                </c:pt>
                <c:pt idx="335">
                  <c:v>1.2204690845362678</c:v>
                </c:pt>
                <c:pt idx="336">
                  <c:v>1.2251034853374634</c:v>
                </c:pt>
                <c:pt idx="337">
                  <c:v>1.23085831604688</c:v>
                </c:pt>
                <c:pt idx="338">
                  <c:v>1.2166664753269258</c:v>
                </c:pt>
                <c:pt idx="339">
                  <c:v>1.2298034315862241</c:v>
                </c:pt>
                <c:pt idx="340">
                  <c:v>1.2465047095595811</c:v>
                </c:pt>
                <c:pt idx="341">
                  <c:v>1.2464157266489475</c:v>
                </c:pt>
                <c:pt idx="342">
                  <c:v>1.2400410147658798</c:v>
                </c:pt>
                <c:pt idx="343">
                  <c:v>1.2456218719676539</c:v>
                </c:pt>
                <c:pt idx="344">
                  <c:v>1.247521776283218</c:v>
                </c:pt>
                <c:pt idx="345">
                  <c:v>1.2409495739804117</c:v>
                </c:pt>
                <c:pt idx="346">
                  <c:v>1.243167572339233</c:v>
                </c:pt>
                <c:pt idx="347">
                  <c:v>1.2570358171707861</c:v>
                </c:pt>
                <c:pt idx="348">
                  <c:v>1.2572380348076515</c:v>
                </c:pt>
                <c:pt idx="349">
                  <c:v>1.2592215989490163</c:v>
                </c:pt>
                <c:pt idx="350">
                  <c:v>1.2438092821331492</c:v>
                </c:pt>
                <c:pt idx="351">
                  <c:v>1.2356325471362142</c:v>
                </c:pt>
                <c:pt idx="352">
                  <c:v>1.2344305429391604</c:v>
                </c:pt>
                <c:pt idx="353">
                  <c:v>1.2329915820180315</c:v>
                </c:pt>
                <c:pt idx="354">
                  <c:v>1.2303113094935667</c:v>
                </c:pt>
                <c:pt idx="355">
                  <c:v>1.1766555677699608</c:v>
                </c:pt>
                <c:pt idx="356">
                  <c:v>1.1782650263037853</c:v>
                </c:pt>
                <c:pt idx="357">
                  <c:v>1.1943917884981086</c:v>
                </c:pt>
                <c:pt idx="358">
                  <c:v>1.2038387346820785</c:v>
                </c:pt>
                <c:pt idx="359">
                  <c:v>1.2070210853348895</c:v>
                </c:pt>
                <c:pt idx="360">
                  <c:v>1.2110088306402165</c:v>
                </c:pt>
                <c:pt idx="361">
                  <c:v>1.2041801668771206</c:v>
                </c:pt>
                <c:pt idx="362">
                  <c:v>1.1973870168292504</c:v>
                </c:pt>
                <c:pt idx="363">
                  <c:v>1.2155668809261277</c:v>
                </c:pt>
                <c:pt idx="364">
                  <c:v>1.2164039757405571</c:v>
                </c:pt>
                <c:pt idx="365">
                  <c:v>1.2190809709926438</c:v>
                </c:pt>
                <c:pt idx="366">
                  <c:v>1.2209694942350395</c:v>
                </c:pt>
                <c:pt idx="367">
                  <c:v>1.2098457167420511</c:v>
                </c:pt>
                <c:pt idx="368">
                  <c:v>1.2029957407773681</c:v>
                </c:pt>
                <c:pt idx="369">
                  <c:v>1.2009852235534746</c:v>
                </c:pt>
                <c:pt idx="370">
                  <c:v>1.2107188814148981</c:v>
                </c:pt>
                <c:pt idx="371">
                  <c:v>1.2120920982658938</c:v>
                </c:pt>
                <c:pt idx="372">
                  <c:v>1.2180207634471549</c:v>
                </c:pt>
                <c:pt idx="373">
                  <c:v>1.2123836960585297</c:v>
                </c:pt>
                <c:pt idx="374">
                  <c:v>1.2026409810079881</c:v>
                </c:pt>
                <c:pt idx="375">
                  <c:v>1.225191951829419</c:v>
                </c:pt>
                <c:pt idx="376">
                  <c:v>1.226787407472173</c:v>
                </c:pt>
                <c:pt idx="377">
                  <c:v>1.2417571137566665</c:v>
                </c:pt>
                <c:pt idx="378">
                  <c:v>1.2547348144406392</c:v>
                </c:pt>
                <c:pt idx="379">
                  <c:v>1.2518843025128177</c:v>
                </c:pt>
                <c:pt idx="380">
                  <c:v>1.2716482411792809</c:v>
                </c:pt>
                <c:pt idx="381">
                  <c:v>1.2736482909938212</c:v>
                </c:pt>
                <c:pt idx="382">
                  <c:v>1.2663525265366702</c:v>
                </c:pt>
                <c:pt idx="383">
                  <c:v>1.2497019569050203</c:v>
                </c:pt>
                <c:pt idx="384">
                  <c:v>1.2594075493975319</c:v>
                </c:pt>
                <c:pt idx="385">
                  <c:v>1.2720718435308609</c:v>
                </c:pt>
                <c:pt idx="386">
                  <c:v>1.2676178714707798</c:v>
                </c:pt>
                <c:pt idx="387">
                  <c:v>1.267007742665236</c:v>
                </c:pt>
                <c:pt idx="388">
                  <c:v>1.2676005913073309</c:v>
                </c:pt>
                <c:pt idx="389">
                  <c:v>1.2718360586799393</c:v>
                </c:pt>
                <c:pt idx="390">
                  <c:v>1.2898132284457866</c:v>
                </c:pt>
                <c:pt idx="391">
                  <c:v>1.2801922690296608</c:v>
                </c:pt>
                <c:pt idx="392">
                  <c:v>1.2896261657108883</c:v>
                </c:pt>
                <c:pt idx="393">
                  <c:v>1.2846562715294449</c:v>
                </c:pt>
                <c:pt idx="394">
                  <c:v>1.2835534197185254</c:v>
                </c:pt>
                <c:pt idx="395">
                  <c:v>1.2890630310050226</c:v>
                </c:pt>
                <c:pt idx="396">
                  <c:v>1.2812559921946098</c:v>
                </c:pt>
                <c:pt idx="397">
                  <c:v>1.2806610381532899</c:v>
                </c:pt>
                <c:pt idx="398">
                  <c:v>1.2829299434763866</c:v>
                </c:pt>
                <c:pt idx="399">
                  <c:v>1.2825992369000372</c:v>
                </c:pt>
                <c:pt idx="400">
                  <c:v>1.2933839259442903</c:v>
                </c:pt>
                <c:pt idx="401">
                  <c:v>1.2881292467243066</c:v>
                </c:pt>
                <c:pt idx="402">
                  <c:v>1.2995848033555137</c:v>
                </c:pt>
                <c:pt idx="403">
                  <c:v>1.2963141451088021</c:v>
                </c:pt>
                <c:pt idx="404">
                  <c:v>1.3343833382995596</c:v>
                </c:pt>
                <c:pt idx="405">
                  <c:v>1.309601756586215</c:v>
                </c:pt>
                <c:pt idx="406">
                  <c:v>1.313910873207178</c:v>
                </c:pt>
                <c:pt idx="407">
                  <c:v>1.358884226599272</c:v>
                </c:pt>
                <c:pt idx="408">
                  <c:v>1.3605612366686022</c:v>
                </c:pt>
                <c:pt idx="409">
                  <c:v>1.3767636343369638</c:v>
                </c:pt>
                <c:pt idx="410">
                  <c:v>1.3985509013829811</c:v>
                </c:pt>
                <c:pt idx="411">
                  <c:v>1.3877685163605211</c:v>
                </c:pt>
                <c:pt idx="412">
                  <c:v>1.3645874948899377</c:v>
                </c:pt>
                <c:pt idx="413">
                  <c:v>1.3791940396704088</c:v>
                </c:pt>
                <c:pt idx="414">
                  <c:v>1.3867472984252049</c:v>
                </c:pt>
                <c:pt idx="415">
                  <c:v>1.3792791693032158</c:v>
                </c:pt>
                <c:pt idx="416">
                  <c:v>1.3758955941263811</c:v>
                </c:pt>
                <c:pt idx="417">
                  <c:v>1.3655721464104154</c:v>
                </c:pt>
                <c:pt idx="418">
                  <c:v>1.331068943363291</c:v>
                </c:pt>
                <c:pt idx="419">
                  <c:v>1.3426056571759373</c:v>
                </c:pt>
                <c:pt idx="420">
                  <c:v>1.3558835957342705</c:v>
                </c:pt>
                <c:pt idx="421">
                  <c:v>1.3502208464475538</c:v>
                </c:pt>
                <c:pt idx="422">
                  <c:v>1.3563838862595012</c:v>
                </c:pt>
                <c:pt idx="423">
                  <c:v>1.3785237282266463</c:v>
                </c:pt>
                <c:pt idx="424">
                  <c:v>1.3773175529556567</c:v>
                </c:pt>
                <c:pt idx="425">
                  <c:v>1.3705376510330975</c:v>
                </c:pt>
                <c:pt idx="426">
                  <c:v>1.3886872251882971</c:v>
                </c:pt>
                <c:pt idx="427">
                  <c:v>1.3806922894281985</c:v>
                </c:pt>
                <c:pt idx="428">
                  <c:v>1.3657127314643134</c:v>
                </c:pt>
                <c:pt idx="429">
                  <c:v>1.3707466019750312</c:v>
                </c:pt>
                <c:pt idx="430">
                  <c:v>1.4070943135033989</c:v>
                </c:pt>
                <c:pt idx="431">
                  <c:v>1.415557362932651</c:v>
                </c:pt>
                <c:pt idx="432">
                  <c:v>1.4081007737818845</c:v>
                </c:pt>
                <c:pt idx="433">
                  <c:v>1.4475584380368891</c:v>
                </c:pt>
                <c:pt idx="434">
                  <c:v>1.4688859335616247</c:v>
                </c:pt>
                <c:pt idx="435">
                  <c:v>1.4808535391741107</c:v>
                </c:pt>
                <c:pt idx="436">
                  <c:v>1.4644539092953495</c:v>
                </c:pt>
                <c:pt idx="437">
                  <c:v>1.4568700825272798</c:v>
                </c:pt>
                <c:pt idx="438">
                  <c:v>1.4792521447165623</c:v>
                </c:pt>
                <c:pt idx="439">
                  <c:v>1.4275157127334506</c:v>
                </c:pt>
                <c:pt idx="440">
                  <c:v>1.4793409488668838</c:v>
                </c:pt>
                <c:pt idx="441">
                  <c:v>1.4916696503086813</c:v>
                </c:pt>
                <c:pt idx="442">
                  <c:v>1.4916799190954664</c:v>
                </c:pt>
                <c:pt idx="443">
                  <c:v>1.4419667161806247</c:v>
                </c:pt>
                <c:pt idx="444">
                  <c:v>1.4274944402563772</c:v>
                </c:pt>
                <c:pt idx="445">
                  <c:v>1.3689360182284669</c:v>
                </c:pt>
                <c:pt idx="446">
                  <c:v>1.4027421156473547</c:v>
                </c:pt>
                <c:pt idx="447">
                  <c:v>1.3891381977297996</c:v>
                </c:pt>
                <c:pt idx="448">
                  <c:v>1.3722130323973667</c:v>
                </c:pt>
                <c:pt idx="449">
                  <c:v>1.3955157499155952</c:v>
                </c:pt>
                <c:pt idx="450">
                  <c:v>1.4039561365097954</c:v>
                </c:pt>
                <c:pt idx="451">
                  <c:v>1.3657232187359238</c:v>
                </c:pt>
                <c:pt idx="452">
                  <c:v>1.3803722687460276</c:v>
                </c:pt>
                <c:pt idx="453">
                  <c:v>1.362876401187874</c:v>
                </c:pt>
                <c:pt idx="454">
                  <c:v>1.3843419393976324</c:v>
                </c:pt>
                <c:pt idx="455">
                  <c:v>1.4083840294266485</c:v>
                </c:pt>
                <c:pt idx="456">
                  <c:v>1.39390968782769</c:v>
                </c:pt>
                <c:pt idx="457">
                  <c:v>1.4040614859200631</c:v>
                </c:pt>
                <c:pt idx="458">
                  <c:v>1.4071268478800993</c:v>
                </c:pt>
                <c:pt idx="459">
                  <c:v>1.385855641991242</c:v>
                </c:pt>
                <c:pt idx="460">
                  <c:v>1.3645986972027944</c:v>
                </c:pt>
                <c:pt idx="461">
                  <c:v>1.3837794204217289</c:v>
                </c:pt>
                <c:pt idx="462">
                  <c:v>1.3684772398200271</c:v>
                </c:pt>
                <c:pt idx="463">
                  <c:v>1.3938056294641166</c:v>
                </c:pt>
                <c:pt idx="464">
                  <c:v>1.3916094994500736</c:v>
                </c:pt>
                <c:pt idx="465">
                  <c:v>1.367528558846683</c:v>
                </c:pt>
                <c:pt idx="466">
                  <c:v>1.3722761745118541</c:v>
                </c:pt>
                <c:pt idx="467">
                  <c:v>1.3452122407275338</c:v>
                </c:pt>
                <c:pt idx="468">
                  <c:v>1.3426081200957853</c:v>
                </c:pt>
                <c:pt idx="469">
                  <c:v>1.3551732022562093</c:v>
                </c:pt>
                <c:pt idx="470">
                  <c:v>1.3540450856545923</c:v>
                </c:pt>
                <c:pt idx="471">
                  <c:v>1.3900903347358338</c:v>
                </c:pt>
                <c:pt idx="472">
                  <c:v>1.3909232783385841</c:v>
                </c:pt>
                <c:pt idx="473">
                  <c:v>1.3768250682973633</c:v>
                </c:pt>
                <c:pt idx="474">
                  <c:v>1.3666809767606429</c:v>
                </c:pt>
                <c:pt idx="475">
                  <c:v>1.3719376620685673</c:v>
                </c:pt>
                <c:pt idx="476">
                  <c:v>1.3553835236938649</c:v>
                </c:pt>
                <c:pt idx="477">
                  <c:v>1.3620417295687788</c:v>
                </c:pt>
                <c:pt idx="478">
                  <c:v>1.3421923434733993</c:v>
                </c:pt>
                <c:pt idx="479">
                  <c:v>1.3130153833576452</c:v>
                </c:pt>
                <c:pt idx="480">
                  <c:v>1.3179437852845544</c:v>
                </c:pt>
                <c:pt idx="481">
                  <c:v>1.3175317030419402</c:v>
                </c:pt>
                <c:pt idx="482">
                  <c:v>1.3120865249166251</c:v>
                </c:pt>
                <c:pt idx="483">
                  <c:v>1.3076896767072097</c:v>
                </c:pt>
                <c:pt idx="484">
                  <c:v>1.3163070161475776</c:v>
                </c:pt>
                <c:pt idx="485">
                  <c:v>1.3094373169618547</c:v>
                </c:pt>
                <c:pt idx="486">
                  <c:v>1.3205769445357995</c:v>
                </c:pt>
                <c:pt idx="487">
                  <c:v>1.3134287963714675</c:v>
                </c:pt>
                <c:pt idx="488">
                  <c:v>1.2978468558822054</c:v>
                </c:pt>
                <c:pt idx="489">
                  <c:v>1.2515012588897005</c:v>
                </c:pt>
                <c:pt idx="490">
                  <c:v>1.2454002489058578</c:v>
                </c:pt>
                <c:pt idx="491">
                  <c:v>1.224074004703303</c:v>
                </c:pt>
                <c:pt idx="492">
                  <c:v>1.1814252702647356</c:v>
                </c:pt>
                <c:pt idx="493">
                  <c:v>1.1920641504815426</c:v>
                </c:pt>
                <c:pt idx="494">
                  <c:v>1.1828554520683421</c:v>
                </c:pt>
                <c:pt idx="495">
                  <c:v>1.1317940786083771</c:v>
                </c:pt>
                <c:pt idx="496">
                  <c:v>1.134934917144397</c:v>
                </c:pt>
                <c:pt idx="497">
                  <c:v>1.1605539710550508</c:v>
                </c:pt>
                <c:pt idx="498">
                  <c:v>1.1309524949239023</c:v>
                </c:pt>
                <c:pt idx="499">
                  <c:v>1.1656053799385564</c:v>
                </c:pt>
                <c:pt idx="500">
                  <c:v>1.168543067311639</c:v>
                </c:pt>
                <c:pt idx="501">
                  <c:v>1.17181749938715</c:v>
                </c:pt>
                <c:pt idx="502">
                  <c:v>1.1893888435212874</c:v>
                </c:pt>
                <c:pt idx="503">
                  <c:v>1.1947752492286194</c:v>
                </c:pt>
                <c:pt idx="504">
                  <c:v>1.2440044883933512</c:v>
                </c:pt>
                <c:pt idx="505">
                  <c:v>1.2483356719816607</c:v>
                </c:pt>
                <c:pt idx="506">
                  <c:v>1.2575518584656891</c:v>
                </c:pt>
                <c:pt idx="507">
                  <c:v>1.2709509567907327</c:v>
                </c:pt>
                <c:pt idx="508">
                  <c:v>1.2588924813532139</c:v>
                </c:pt>
                <c:pt idx="509">
                  <c:v>1.2679000346914178</c:v>
                </c:pt>
                <c:pt idx="510">
                  <c:v>1.2819641809621618</c:v>
                </c:pt>
                <c:pt idx="511">
                  <c:v>1.2641563567981136</c:v>
                </c:pt>
                <c:pt idx="512">
                  <c:v>1.2637260012792086</c:v>
                </c:pt>
                <c:pt idx="513">
                  <c:v>1.2985020322862573</c:v>
                </c:pt>
                <c:pt idx="514">
                  <c:v>1.3167895696774523</c:v>
                </c:pt>
                <c:pt idx="515">
                  <c:v>1.2991039182552133</c:v>
                </c:pt>
                <c:pt idx="516">
                  <c:v>1.2841089471800222</c:v>
                </c:pt>
                <c:pt idx="517">
                  <c:v>1.2807225317004598</c:v>
                </c:pt>
                <c:pt idx="518">
                  <c:v>1.2662020500788669</c:v>
                </c:pt>
                <c:pt idx="519">
                  <c:v>1.2686997090139649</c:v>
                </c:pt>
                <c:pt idx="520">
                  <c:v>1.2707175554106316</c:v>
                </c:pt>
                <c:pt idx="521">
                  <c:v>1.2574473234079517</c:v>
                </c:pt>
                <c:pt idx="522">
                  <c:v>1.2493076513822761</c:v>
                </c:pt>
                <c:pt idx="523">
                  <c:v>1.167961857952051</c:v>
                </c:pt>
                <c:pt idx="524">
                  <c:v>1.1868449849767848</c:v>
                </c:pt>
                <c:pt idx="525">
                  <c:v>1.2270114338670466</c:v>
                </c:pt>
                <c:pt idx="526">
                  <c:v>1.2200419665652273</c:v>
                </c:pt>
                <c:pt idx="527">
                  <c:v>1.2249409922142733</c:v>
                </c:pt>
                <c:pt idx="528">
                  <c:v>1.2501911245664219</c:v>
                </c:pt>
                <c:pt idx="529">
                  <c:v>1.2578185688505072</c:v>
                </c:pt>
                <c:pt idx="530">
                  <c:v>1.2415865168326865</c:v>
                </c:pt>
                <c:pt idx="531">
                  <c:v>1.2220377062700338</c:v>
                </c:pt>
                <c:pt idx="532">
                  <c:v>1.2304015834508946</c:v>
                </c:pt>
                <c:pt idx="533">
                  <c:v>1.2376756384613217</c:v>
                </c:pt>
                <c:pt idx="534">
                  <c:v>1.2429110512921728</c:v>
                </c:pt>
                <c:pt idx="535">
                  <c:v>1.2336955798493907</c:v>
                </c:pt>
                <c:pt idx="536">
                  <c:v>1.2282968198183057</c:v>
                </c:pt>
                <c:pt idx="537">
                  <c:v>1.229811992218921</c:v>
                </c:pt>
                <c:pt idx="538">
                  <c:v>1.1991420458434394</c:v>
                </c:pt>
                <c:pt idx="539">
                  <c:v>1.2027790236930107</c:v>
                </c:pt>
                <c:pt idx="540">
                  <c:v>1.2052436119704737</c:v>
                </c:pt>
                <c:pt idx="541">
                  <c:v>1.1805492057023903</c:v>
                </c:pt>
                <c:pt idx="542">
                  <c:v>1.1822661389079645</c:v>
                </c:pt>
                <c:pt idx="543">
                  <c:v>1.2091359787184657</c:v>
                </c:pt>
                <c:pt idx="544">
                  <c:v>1.228400719283824</c:v>
                </c:pt>
                <c:pt idx="545">
                  <c:v>1.1974790783896936</c:v>
                </c:pt>
                <c:pt idx="546">
                  <c:v>1.1953137547360062</c:v>
                </c:pt>
                <c:pt idx="547">
                  <c:v>1.1848997152666032</c:v>
                </c:pt>
                <c:pt idx="548">
                  <c:v>1.2025864988374819</c:v>
                </c:pt>
                <c:pt idx="549">
                  <c:v>1.1964065761072225</c:v>
                </c:pt>
                <c:pt idx="550">
                  <c:v>1.2108926364377153</c:v>
                </c:pt>
                <c:pt idx="551">
                  <c:v>1.2179414534556017</c:v>
                </c:pt>
                <c:pt idx="552">
                  <c:v>1.2152030838298864</c:v>
                </c:pt>
                <c:pt idx="553">
                  <c:v>1.2144845468265217</c:v>
                </c:pt>
                <c:pt idx="554">
                  <c:v>1.2016877913023416</c:v>
                </c:pt>
                <c:pt idx="555">
                  <c:v>1.2028869750589244</c:v>
                </c:pt>
                <c:pt idx="556">
                  <c:v>1.2082215204136528</c:v>
                </c:pt>
                <c:pt idx="557">
                  <c:v>1.2002893096606482</c:v>
                </c:pt>
                <c:pt idx="558">
                  <c:v>1.1903207408876035</c:v>
                </c:pt>
                <c:pt idx="559">
                  <c:v>1.1946842403677886</c:v>
                </c:pt>
                <c:pt idx="560">
                  <c:v>1.227647721264846</c:v>
                </c:pt>
                <c:pt idx="561">
                  <c:v>1.2398707157757523</c:v>
                </c:pt>
                <c:pt idx="562">
                  <c:v>1.2215711418569135</c:v>
                </c:pt>
                <c:pt idx="563">
                  <c:v>1.2197319365982462</c:v>
                </c:pt>
                <c:pt idx="564">
                  <c:v>1.1947937012652217</c:v>
                </c:pt>
                <c:pt idx="565">
                  <c:v>1.1941603733436912</c:v>
                </c:pt>
                <c:pt idx="566">
                  <c:v>1.1840079793836129</c:v>
                </c:pt>
                <c:pt idx="567">
                  <c:v>1.1397460324446786</c:v>
                </c:pt>
                <c:pt idx="568">
                  <c:v>1.1503333701049914</c:v>
                </c:pt>
                <c:pt idx="569">
                  <c:v>1.1410112383429902</c:v>
                </c:pt>
                <c:pt idx="570">
                  <c:v>1.142751728185174</c:v>
                </c:pt>
                <c:pt idx="571">
                  <c:v>1.1677808532054881</c:v>
                </c:pt>
                <c:pt idx="572">
                  <c:v>1.1661325440972887</c:v>
                </c:pt>
                <c:pt idx="573">
                  <c:v>1.1562040970830567</c:v>
                </c:pt>
                <c:pt idx="574">
                  <c:v>1.1463699163397769</c:v>
                </c:pt>
                <c:pt idx="575">
                  <c:v>1.1375727440259993</c:v>
                </c:pt>
                <c:pt idx="576">
                  <c:v>1.1444875702592576</c:v>
                </c:pt>
                <c:pt idx="577">
                  <c:v>1.1105731440915763</c:v>
                </c:pt>
                <c:pt idx="578">
                  <c:v>1.0938357962598018</c:v>
                </c:pt>
                <c:pt idx="579">
                  <c:v>1.0563476535305776</c:v>
                </c:pt>
                <c:pt idx="580">
                  <c:v>0.97659944100458829</c:v>
                </c:pt>
                <c:pt idx="581">
                  <c:v>0.9726312401599897</c:v>
                </c:pt>
                <c:pt idx="582">
                  <c:v>0.94046270636835194</c:v>
                </c:pt>
                <c:pt idx="583">
                  <c:v>0.95062725602961506</c:v>
                </c:pt>
                <c:pt idx="584">
                  <c:v>0.9399634685427336</c:v>
                </c:pt>
                <c:pt idx="585">
                  <c:v>0.95366566490712235</c:v>
                </c:pt>
                <c:pt idx="586">
                  <c:v>0.94328942331248178</c:v>
                </c:pt>
                <c:pt idx="587">
                  <c:v>0.94087836381719692</c:v>
                </c:pt>
                <c:pt idx="588">
                  <c:v>0.97049467705420323</c:v>
                </c:pt>
                <c:pt idx="589">
                  <c:v>0.95664162684913134</c:v>
                </c:pt>
                <c:pt idx="590">
                  <c:v>0.98623891204408709</c:v>
                </c:pt>
                <c:pt idx="591">
                  <c:v>0.96748282401408814</c:v>
                </c:pt>
                <c:pt idx="592">
                  <c:v>0.93850885616321655</c:v>
                </c:pt>
                <c:pt idx="593">
                  <c:v>0.9430945745729028</c:v>
                </c:pt>
                <c:pt idx="594">
                  <c:v>0.96480477606238946</c:v>
                </c:pt>
                <c:pt idx="595">
                  <c:v>0.9702527746281755</c:v>
                </c:pt>
                <c:pt idx="596">
                  <c:v>0.94040095461184314</c:v>
                </c:pt>
                <c:pt idx="597">
                  <c:v>0.98670823731090773</c:v>
                </c:pt>
                <c:pt idx="598">
                  <c:v>0.98835902920121188</c:v>
                </c:pt>
                <c:pt idx="599">
                  <c:v>1.0046992709320279</c:v>
                </c:pt>
                <c:pt idx="600">
                  <c:v>1.0158255510693779</c:v>
                </c:pt>
                <c:pt idx="601">
                  <c:v>1.0022641383814557</c:v>
                </c:pt>
                <c:pt idx="602">
                  <c:v>1.003296836701224</c:v>
                </c:pt>
                <c:pt idx="603">
                  <c:v>1.0108651907712167</c:v>
                </c:pt>
                <c:pt idx="604">
                  <c:v>1.0321260086997479</c:v>
                </c:pt>
                <c:pt idx="605">
                  <c:v>1.0441637479411281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BA6-4134-B0AA-4ADD19ECFA0A}"/>
            </c:ext>
          </c:extLst>
        </c:ser>
        <c:ser>
          <c:idx val="9"/>
          <c:order val="9"/>
          <c:tx>
            <c:strRef>
              <c:f>回撤结果!$AL$2</c:f>
              <c:strCache>
                <c:ptCount val="1"/>
                <c:pt idx="0">
                  <c:v>全指公用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回撤结果!$AB$3:$AB$608</c:f>
              <c:numCache>
                <c:formatCode>m/d/yyyy</c:formatCode>
                <c:ptCount val="606"/>
                <c:pt idx="0">
                  <c:v>42397</c:v>
                </c:pt>
                <c:pt idx="1">
                  <c:v>42398</c:v>
                </c:pt>
                <c:pt idx="2">
                  <c:v>42401</c:v>
                </c:pt>
                <c:pt idx="3">
                  <c:v>42402</c:v>
                </c:pt>
                <c:pt idx="4">
                  <c:v>42403</c:v>
                </c:pt>
                <c:pt idx="5">
                  <c:v>42404</c:v>
                </c:pt>
                <c:pt idx="6">
                  <c:v>42405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42422</c:v>
                </c:pt>
                <c:pt idx="13">
                  <c:v>42423</c:v>
                </c:pt>
                <c:pt idx="14">
                  <c:v>42424</c:v>
                </c:pt>
                <c:pt idx="15">
                  <c:v>42425</c:v>
                </c:pt>
                <c:pt idx="16">
                  <c:v>42426</c:v>
                </c:pt>
                <c:pt idx="17">
                  <c:v>42429</c:v>
                </c:pt>
                <c:pt idx="18">
                  <c:v>42430</c:v>
                </c:pt>
                <c:pt idx="19">
                  <c:v>42431</c:v>
                </c:pt>
                <c:pt idx="20">
                  <c:v>42432</c:v>
                </c:pt>
                <c:pt idx="21">
                  <c:v>42433</c:v>
                </c:pt>
                <c:pt idx="22">
                  <c:v>42436</c:v>
                </c:pt>
                <c:pt idx="23">
                  <c:v>42437</c:v>
                </c:pt>
                <c:pt idx="24">
                  <c:v>42438</c:v>
                </c:pt>
                <c:pt idx="25">
                  <c:v>42439</c:v>
                </c:pt>
                <c:pt idx="26">
                  <c:v>42440</c:v>
                </c:pt>
                <c:pt idx="27">
                  <c:v>42443</c:v>
                </c:pt>
                <c:pt idx="28">
                  <c:v>42444</c:v>
                </c:pt>
                <c:pt idx="29">
                  <c:v>42445</c:v>
                </c:pt>
                <c:pt idx="30">
                  <c:v>42446</c:v>
                </c:pt>
                <c:pt idx="31">
                  <c:v>42447</c:v>
                </c:pt>
                <c:pt idx="32">
                  <c:v>42450</c:v>
                </c:pt>
                <c:pt idx="33">
                  <c:v>42451</c:v>
                </c:pt>
                <c:pt idx="34">
                  <c:v>42452</c:v>
                </c:pt>
                <c:pt idx="35">
                  <c:v>42453</c:v>
                </c:pt>
                <c:pt idx="36">
                  <c:v>42454</c:v>
                </c:pt>
                <c:pt idx="37">
                  <c:v>42457</c:v>
                </c:pt>
                <c:pt idx="38">
                  <c:v>42458</c:v>
                </c:pt>
                <c:pt idx="39">
                  <c:v>42459</c:v>
                </c:pt>
                <c:pt idx="40">
                  <c:v>42460</c:v>
                </c:pt>
                <c:pt idx="41">
                  <c:v>42461</c:v>
                </c:pt>
                <c:pt idx="42">
                  <c:v>42465</c:v>
                </c:pt>
                <c:pt idx="43">
                  <c:v>42466</c:v>
                </c:pt>
                <c:pt idx="44">
                  <c:v>42467</c:v>
                </c:pt>
                <c:pt idx="45">
                  <c:v>42468</c:v>
                </c:pt>
                <c:pt idx="46">
                  <c:v>42471</c:v>
                </c:pt>
                <c:pt idx="47">
                  <c:v>42472</c:v>
                </c:pt>
                <c:pt idx="48">
                  <c:v>42473</c:v>
                </c:pt>
                <c:pt idx="49">
                  <c:v>42474</c:v>
                </c:pt>
                <c:pt idx="50">
                  <c:v>42475</c:v>
                </c:pt>
                <c:pt idx="51">
                  <c:v>42478</c:v>
                </c:pt>
                <c:pt idx="52">
                  <c:v>42479</c:v>
                </c:pt>
                <c:pt idx="53">
                  <c:v>42480</c:v>
                </c:pt>
                <c:pt idx="54">
                  <c:v>42481</c:v>
                </c:pt>
                <c:pt idx="55">
                  <c:v>42482</c:v>
                </c:pt>
                <c:pt idx="56">
                  <c:v>42485</c:v>
                </c:pt>
                <c:pt idx="57">
                  <c:v>42486</c:v>
                </c:pt>
                <c:pt idx="58">
                  <c:v>42487</c:v>
                </c:pt>
                <c:pt idx="59">
                  <c:v>42488</c:v>
                </c:pt>
                <c:pt idx="60">
                  <c:v>42489</c:v>
                </c:pt>
                <c:pt idx="61">
                  <c:v>42493</c:v>
                </c:pt>
                <c:pt idx="62">
                  <c:v>42494</c:v>
                </c:pt>
                <c:pt idx="63">
                  <c:v>42495</c:v>
                </c:pt>
                <c:pt idx="64">
                  <c:v>42496</c:v>
                </c:pt>
                <c:pt idx="65">
                  <c:v>42499</c:v>
                </c:pt>
                <c:pt idx="66">
                  <c:v>42500</c:v>
                </c:pt>
                <c:pt idx="67">
                  <c:v>42501</c:v>
                </c:pt>
                <c:pt idx="68">
                  <c:v>42502</c:v>
                </c:pt>
                <c:pt idx="69">
                  <c:v>42503</c:v>
                </c:pt>
                <c:pt idx="70">
                  <c:v>42506</c:v>
                </c:pt>
                <c:pt idx="71">
                  <c:v>42507</c:v>
                </c:pt>
                <c:pt idx="72">
                  <c:v>42508</c:v>
                </c:pt>
                <c:pt idx="73">
                  <c:v>42509</c:v>
                </c:pt>
                <c:pt idx="74">
                  <c:v>42510</c:v>
                </c:pt>
                <c:pt idx="75">
                  <c:v>42513</c:v>
                </c:pt>
                <c:pt idx="76">
                  <c:v>42514</c:v>
                </c:pt>
                <c:pt idx="77">
                  <c:v>42515</c:v>
                </c:pt>
                <c:pt idx="78">
                  <c:v>42516</c:v>
                </c:pt>
                <c:pt idx="79">
                  <c:v>42517</c:v>
                </c:pt>
                <c:pt idx="80">
                  <c:v>42520</c:v>
                </c:pt>
                <c:pt idx="81">
                  <c:v>42521</c:v>
                </c:pt>
                <c:pt idx="82">
                  <c:v>42522</c:v>
                </c:pt>
                <c:pt idx="83">
                  <c:v>42523</c:v>
                </c:pt>
                <c:pt idx="84">
                  <c:v>42524</c:v>
                </c:pt>
                <c:pt idx="85">
                  <c:v>42527</c:v>
                </c:pt>
                <c:pt idx="86">
                  <c:v>42528</c:v>
                </c:pt>
                <c:pt idx="87">
                  <c:v>42529</c:v>
                </c:pt>
                <c:pt idx="88">
                  <c:v>42534</c:v>
                </c:pt>
                <c:pt idx="89">
                  <c:v>42535</c:v>
                </c:pt>
                <c:pt idx="90">
                  <c:v>42536</c:v>
                </c:pt>
                <c:pt idx="91">
                  <c:v>42537</c:v>
                </c:pt>
                <c:pt idx="92">
                  <c:v>42538</c:v>
                </c:pt>
                <c:pt idx="93">
                  <c:v>42541</c:v>
                </c:pt>
                <c:pt idx="94">
                  <c:v>42542</c:v>
                </c:pt>
                <c:pt idx="95">
                  <c:v>42543</c:v>
                </c:pt>
                <c:pt idx="96">
                  <c:v>42544</c:v>
                </c:pt>
                <c:pt idx="97">
                  <c:v>42545</c:v>
                </c:pt>
                <c:pt idx="98">
                  <c:v>42548</c:v>
                </c:pt>
                <c:pt idx="99">
                  <c:v>42549</c:v>
                </c:pt>
                <c:pt idx="100">
                  <c:v>42550</c:v>
                </c:pt>
                <c:pt idx="101">
                  <c:v>42551</c:v>
                </c:pt>
                <c:pt idx="102">
                  <c:v>42552</c:v>
                </c:pt>
                <c:pt idx="103">
                  <c:v>42555</c:v>
                </c:pt>
                <c:pt idx="104">
                  <c:v>42556</c:v>
                </c:pt>
                <c:pt idx="105">
                  <c:v>42557</c:v>
                </c:pt>
                <c:pt idx="106">
                  <c:v>42558</c:v>
                </c:pt>
                <c:pt idx="107">
                  <c:v>42559</c:v>
                </c:pt>
                <c:pt idx="108">
                  <c:v>42562</c:v>
                </c:pt>
                <c:pt idx="109">
                  <c:v>42563</c:v>
                </c:pt>
                <c:pt idx="110">
                  <c:v>42564</c:v>
                </c:pt>
                <c:pt idx="111">
                  <c:v>42565</c:v>
                </c:pt>
                <c:pt idx="112">
                  <c:v>42566</c:v>
                </c:pt>
                <c:pt idx="113">
                  <c:v>42569</c:v>
                </c:pt>
                <c:pt idx="114">
                  <c:v>42570</c:v>
                </c:pt>
                <c:pt idx="115">
                  <c:v>42571</c:v>
                </c:pt>
                <c:pt idx="116">
                  <c:v>42572</c:v>
                </c:pt>
                <c:pt idx="117">
                  <c:v>42573</c:v>
                </c:pt>
                <c:pt idx="118">
                  <c:v>42576</c:v>
                </c:pt>
                <c:pt idx="119">
                  <c:v>42577</c:v>
                </c:pt>
                <c:pt idx="120">
                  <c:v>42578</c:v>
                </c:pt>
                <c:pt idx="121">
                  <c:v>42579</c:v>
                </c:pt>
                <c:pt idx="122">
                  <c:v>42580</c:v>
                </c:pt>
                <c:pt idx="123">
                  <c:v>42583</c:v>
                </c:pt>
                <c:pt idx="124">
                  <c:v>42584</c:v>
                </c:pt>
                <c:pt idx="125">
                  <c:v>42585</c:v>
                </c:pt>
                <c:pt idx="126">
                  <c:v>42586</c:v>
                </c:pt>
                <c:pt idx="127">
                  <c:v>42587</c:v>
                </c:pt>
                <c:pt idx="128">
                  <c:v>42590</c:v>
                </c:pt>
                <c:pt idx="129">
                  <c:v>42591</c:v>
                </c:pt>
                <c:pt idx="130">
                  <c:v>42592</c:v>
                </c:pt>
                <c:pt idx="131">
                  <c:v>42593</c:v>
                </c:pt>
                <c:pt idx="132">
                  <c:v>42594</c:v>
                </c:pt>
                <c:pt idx="133">
                  <c:v>42597</c:v>
                </c:pt>
                <c:pt idx="134">
                  <c:v>42598</c:v>
                </c:pt>
                <c:pt idx="135">
                  <c:v>42599</c:v>
                </c:pt>
                <c:pt idx="136">
                  <c:v>42600</c:v>
                </c:pt>
                <c:pt idx="137">
                  <c:v>42601</c:v>
                </c:pt>
                <c:pt idx="138">
                  <c:v>42604</c:v>
                </c:pt>
                <c:pt idx="139">
                  <c:v>42605</c:v>
                </c:pt>
                <c:pt idx="140">
                  <c:v>42606</c:v>
                </c:pt>
                <c:pt idx="141">
                  <c:v>42607</c:v>
                </c:pt>
                <c:pt idx="142">
                  <c:v>42608</c:v>
                </c:pt>
                <c:pt idx="143">
                  <c:v>42611</c:v>
                </c:pt>
                <c:pt idx="144">
                  <c:v>42612</c:v>
                </c:pt>
                <c:pt idx="145">
                  <c:v>42613</c:v>
                </c:pt>
                <c:pt idx="146">
                  <c:v>42614</c:v>
                </c:pt>
                <c:pt idx="147">
                  <c:v>42615</c:v>
                </c:pt>
                <c:pt idx="148">
                  <c:v>42618</c:v>
                </c:pt>
                <c:pt idx="149">
                  <c:v>42619</c:v>
                </c:pt>
                <c:pt idx="150">
                  <c:v>42620</c:v>
                </c:pt>
                <c:pt idx="151">
                  <c:v>42621</c:v>
                </c:pt>
                <c:pt idx="152">
                  <c:v>42622</c:v>
                </c:pt>
                <c:pt idx="153">
                  <c:v>42625</c:v>
                </c:pt>
                <c:pt idx="154">
                  <c:v>42626</c:v>
                </c:pt>
                <c:pt idx="155">
                  <c:v>42627</c:v>
                </c:pt>
                <c:pt idx="156">
                  <c:v>42632</c:v>
                </c:pt>
                <c:pt idx="157">
                  <c:v>42633</c:v>
                </c:pt>
                <c:pt idx="158">
                  <c:v>42634</c:v>
                </c:pt>
                <c:pt idx="159">
                  <c:v>42635</c:v>
                </c:pt>
                <c:pt idx="160">
                  <c:v>42636</c:v>
                </c:pt>
                <c:pt idx="161">
                  <c:v>42639</c:v>
                </c:pt>
                <c:pt idx="162">
                  <c:v>42640</c:v>
                </c:pt>
                <c:pt idx="163">
                  <c:v>42641</c:v>
                </c:pt>
                <c:pt idx="164">
                  <c:v>42642</c:v>
                </c:pt>
                <c:pt idx="165">
                  <c:v>42643</c:v>
                </c:pt>
                <c:pt idx="166">
                  <c:v>42653</c:v>
                </c:pt>
                <c:pt idx="167">
                  <c:v>42654</c:v>
                </c:pt>
                <c:pt idx="168">
                  <c:v>42655</c:v>
                </c:pt>
                <c:pt idx="169">
                  <c:v>42656</c:v>
                </c:pt>
                <c:pt idx="170">
                  <c:v>42657</c:v>
                </c:pt>
                <c:pt idx="171">
                  <c:v>42660</c:v>
                </c:pt>
                <c:pt idx="172">
                  <c:v>42661</c:v>
                </c:pt>
                <c:pt idx="173">
                  <c:v>42662</c:v>
                </c:pt>
                <c:pt idx="174">
                  <c:v>42663</c:v>
                </c:pt>
                <c:pt idx="175">
                  <c:v>42664</c:v>
                </c:pt>
                <c:pt idx="176">
                  <c:v>42667</c:v>
                </c:pt>
                <c:pt idx="177">
                  <c:v>42668</c:v>
                </c:pt>
                <c:pt idx="178">
                  <c:v>42669</c:v>
                </c:pt>
                <c:pt idx="179">
                  <c:v>42670</c:v>
                </c:pt>
                <c:pt idx="180">
                  <c:v>42671</c:v>
                </c:pt>
                <c:pt idx="181">
                  <c:v>42674</c:v>
                </c:pt>
                <c:pt idx="182">
                  <c:v>42675</c:v>
                </c:pt>
                <c:pt idx="183">
                  <c:v>42676</c:v>
                </c:pt>
                <c:pt idx="184">
                  <c:v>42677</c:v>
                </c:pt>
                <c:pt idx="185">
                  <c:v>42678</c:v>
                </c:pt>
                <c:pt idx="186">
                  <c:v>42681</c:v>
                </c:pt>
                <c:pt idx="187">
                  <c:v>42682</c:v>
                </c:pt>
                <c:pt idx="188">
                  <c:v>42683</c:v>
                </c:pt>
                <c:pt idx="189">
                  <c:v>42684</c:v>
                </c:pt>
                <c:pt idx="190">
                  <c:v>42685</c:v>
                </c:pt>
                <c:pt idx="191">
                  <c:v>42688</c:v>
                </c:pt>
                <c:pt idx="192">
                  <c:v>42689</c:v>
                </c:pt>
                <c:pt idx="193">
                  <c:v>42690</c:v>
                </c:pt>
                <c:pt idx="194">
                  <c:v>42691</c:v>
                </c:pt>
                <c:pt idx="195">
                  <c:v>42692</c:v>
                </c:pt>
                <c:pt idx="196">
                  <c:v>42695</c:v>
                </c:pt>
                <c:pt idx="197">
                  <c:v>42696</c:v>
                </c:pt>
                <c:pt idx="198">
                  <c:v>42697</c:v>
                </c:pt>
                <c:pt idx="199">
                  <c:v>42698</c:v>
                </c:pt>
                <c:pt idx="200">
                  <c:v>42699</c:v>
                </c:pt>
                <c:pt idx="201">
                  <c:v>42702</c:v>
                </c:pt>
                <c:pt idx="202">
                  <c:v>42703</c:v>
                </c:pt>
                <c:pt idx="203">
                  <c:v>42704</c:v>
                </c:pt>
                <c:pt idx="204">
                  <c:v>42705</c:v>
                </c:pt>
                <c:pt idx="205">
                  <c:v>42706</c:v>
                </c:pt>
                <c:pt idx="206">
                  <c:v>42709</c:v>
                </c:pt>
                <c:pt idx="207">
                  <c:v>42710</c:v>
                </c:pt>
                <c:pt idx="208">
                  <c:v>42711</c:v>
                </c:pt>
                <c:pt idx="209">
                  <c:v>42712</c:v>
                </c:pt>
                <c:pt idx="210">
                  <c:v>42713</c:v>
                </c:pt>
                <c:pt idx="211">
                  <c:v>42716</c:v>
                </c:pt>
                <c:pt idx="212">
                  <c:v>42717</c:v>
                </c:pt>
                <c:pt idx="213">
                  <c:v>42718</c:v>
                </c:pt>
                <c:pt idx="214">
                  <c:v>42719</c:v>
                </c:pt>
                <c:pt idx="215">
                  <c:v>42720</c:v>
                </c:pt>
                <c:pt idx="216">
                  <c:v>42723</c:v>
                </c:pt>
                <c:pt idx="217">
                  <c:v>42724</c:v>
                </c:pt>
                <c:pt idx="218">
                  <c:v>42725</c:v>
                </c:pt>
                <c:pt idx="219">
                  <c:v>42726</c:v>
                </c:pt>
                <c:pt idx="220">
                  <c:v>42727</c:v>
                </c:pt>
                <c:pt idx="221">
                  <c:v>42730</c:v>
                </c:pt>
                <c:pt idx="222">
                  <c:v>42731</c:v>
                </c:pt>
                <c:pt idx="223">
                  <c:v>42732</c:v>
                </c:pt>
                <c:pt idx="224">
                  <c:v>42733</c:v>
                </c:pt>
                <c:pt idx="225">
                  <c:v>42734</c:v>
                </c:pt>
                <c:pt idx="226">
                  <c:v>42738</c:v>
                </c:pt>
                <c:pt idx="227">
                  <c:v>42739</c:v>
                </c:pt>
                <c:pt idx="228">
                  <c:v>42740</c:v>
                </c:pt>
                <c:pt idx="229">
                  <c:v>42741</c:v>
                </c:pt>
                <c:pt idx="230">
                  <c:v>42744</c:v>
                </c:pt>
                <c:pt idx="231">
                  <c:v>42745</c:v>
                </c:pt>
                <c:pt idx="232">
                  <c:v>42746</c:v>
                </c:pt>
                <c:pt idx="233">
                  <c:v>42747</c:v>
                </c:pt>
                <c:pt idx="234">
                  <c:v>42748</c:v>
                </c:pt>
                <c:pt idx="235">
                  <c:v>42751</c:v>
                </c:pt>
                <c:pt idx="236">
                  <c:v>42752</c:v>
                </c:pt>
                <c:pt idx="237">
                  <c:v>42753</c:v>
                </c:pt>
                <c:pt idx="238">
                  <c:v>42754</c:v>
                </c:pt>
                <c:pt idx="239">
                  <c:v>42755</c:v>
                </c:pt>
                <c:pt idx="240">
                  <c:v>42758</c:v>
                </c:pt>
                <c:pt idx="241">
                  <c:v>42759</c:v>
                </c:pt>
                <c:pt idx="242">
                  <c:v>42760</c:v>
                </c:pt>
                <c:pt idx="243">
                  <c:v>42761</c:v>
                </c:pt>
                <c:pt idx="244">
                  <c:v>42769</c:v>
                </c:pt>
                <c:pt idx="245">
                  <c:v>42772</c:v>
                </c:pt>
                <c:pt idx="246">
                  <c:v>42773</c:v>
                </c:pt>
                <c:pt idx="247">
                  <c:v>42774</c:v>
                </c:pt>
                <c:pt idx="248">
                  <c:v>42775</c:v>
                </c:pt>
                <c:pt idx="249">
                  <c:v>42776</c:v>
                </c:pt>
                <c:pt idx="250">
                  <c:v>42779</c:v>
                </c:pt>
                <c:pt idx="251">
                  <c:v>42780</c:v>
                </c:pt>
                <c:pt idx="252">
                  <c:v>42781</c:v>
                </c:pt>
                <c:pt idx="253">
                  <c:v>42782</c:v>
                </c:pt>
                <c:pt idx="254">
                  <c:v>42783</c:v>
                </c:pt>
                <c:pt idx="255">
                  <c:v>42786</c:v>
                </c:pt>
                <c:pt idx="256">
                  <c:v>42787</c:v>
                </c:pt>
                <c:pt idx="257">
                  <c:v>42788</c:v>
                </c:pt>
                <c:pt idx="258">
                  <c:v>42789</c:v>
                </c:pt>
                <c:pt idx="259">
                  <c:v>42790</c:v>
                </c:pt>
                <c:pt idx="260">
                  <c:v>42793</c:v>
                </c:pt>
                <c:pt idx="261">
                  <c:v>42794</c:v>
                </c:pt>
                <c:pt idx="262">
                  <c:v>42795</c:v>
                </c:pt>
                <c:pt idx="263">
                  <c:v>42796</c:v>
                </c:pt>
                <c:pt idx="264">
                  <c:v>42797</c:v>
                </c:pt>
                <c:pt idx="265">
                  <c:v>42800</c:v>
                </c:pt>
                <c:pt idx="266">
                  <c:v>42801</c:v>
                </c:pt>
                <c:pt idx="267">
                  <c:v>42802</c:v>
                </c:pt>
                <c:pt idx="268">
                  <c:v>42803</c:v>
                </c:pt>
                <c:pt idx="269">
                  <c:v>42804</c:v>
                </c:pt>
                <c:pt idx="270">
                  <c:v>42807</c:v>
                </c:pt>
                <c:pt idx="271">
                  <c:v>42808</c:v>
                </c:pt>
                <c:pt idx="272">
                  <c:v>42809</c:v>
                </c:pt>
                <c:pt idx="273">
                  <c:v>42810</c:v>
                </c:pt>
                <c:pt idx="274">
                  <c:v>42811</c:v>
                </c:pt>
                <c:pt idx="275">
                  <c:v>42814</c:v>
                </c:pt>
                <c:pt idx="276">
                  <c:v>42815</c:v>
                </c:pt>
                <c:pt idx="277">
                  <c:v>42816</c:v>
                </c:pt>
                <c:pt idx="278">
                  <c:v>42817</c:v>
                </c:pt>
                <c:pt idx="279">
                  <c:v>42818</c:v>
                </c:pt>
                <c:pt idx="280">
                  <c:v>42821</c:v>
                </c:pt>
                <c:pt idx="281">
                  <c:v>42822</c:v>
                </c:pt>
                <c:pt idx="282">
                  <c:v>42823</c:v>
                </c:pt>
                <c:pt idx="283">
                  <c:v>42824</c:v>
                </c:pt>
                <c:pt idx="284">
                  <c:v>42825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42839</c:v>
                </c:pt>
                <c:pt idx="293">
                  <c:v>42842</c:v>
                </c:pt>
                <c:pt idx="294">
                  <c:v>42843</c:v>
                </c:pt>
                <c:pt idx="295">
                  <c:v>42844</c:v>
                </c:pt>
                <c:pt idx="296">
                  <c:v>42845</c:v>
                </c:pt>
                <c:pt idx="297">
                  <c:v>42846</c:v>
                </c:pt>
                <c:pt idx="298">
                  <c:v>42849</c:v>
                </c:pt>
                <c:pt idx="299">
                  <c:v>42850</c:v>
                </c:pt>
                <c:pt idx="300">
                  <c:v>42851</c:v>
                </c:pt>
                <c:pt idx="301">
                  <c:v>42852</c:v>
                </c:pt>
                <c:pt idx="302">
                  <c:v>42853</c:v>
                </c:pt>
                <c:pt idx="303">
                  <c:v>42857</c:v>
                </c:pt>
                <c:pt idx="304">
                  <c:v>42858</c:v>
                </c:pt>
                <c:pt idx="305">
                  <c:v>42859</c:v>
                </c:pt>
                <c:pt idx="306">
                  <c:v>42860</c:v>
                </c:pt>
                <c:pt idx="307">
                  <c:v>42863</c:v>
                </c:pt>
                <c:pt idx="308">
                  <c:v>42864</c:v>
                </c:pt>
                <c:pt idx="309">
                  <c:v>42865</c:v>
                </c:pt>
                <c:pt idx="310">
                  <c:v>42866</c:v>
                </c:pt>
                <c:pt idx="311">
                  <c:v>42867</c:v>
                </c:pt>
                <c:pt idx="312">
                  <c:v>42870</c:v>
                </c:pt>
                <c:pt idx="313">
                  <c:v>42871</c:v>
                </c:pt>
                <c:pt idx="314">
                  <c:v>42872</c:v>
                </c:pt>
                <c:pt idx="315">
                  <c:v>42873</c:v>
                </c:pt>
                <c:pt idx="316">
                  <c:v>42874</c:v>
                </c:pt>
                <c:pt idx="317">
                  <c:v>42877</c:v>
                </c:pt>
                <c:pt idx="318">
                  <c:v>42878</c:v>
                </c:pt>
                <c:pt idx="319">
                  <c:v>42879</c:v>
                </c:pt>
                <c:pt idx="320">
                  <c:v>42880</c:v>
                </c:pt>
                <c:pt idx="321">
                  <c:v>42881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42920</c:v>
                </c:pt>
                <c:pt idx="347">
                  <c:v>42921</c:v>
                </c:pt>
                <c:pt idx="348">
                  <c:v>42922</c:v>
                </c:pt>
                <c:pt idx="349">
                  <c:v>42923</c:v>
                </c:pt>
                <c:pt idx="350">
                  <c:v>42926</c:v>
                </c:pt>
                <c:pt idx="351">
                  <c:v>42927</c:v>
                </c:pt>
                <c:pt idx="352">
                  <c:v>42928</c:v>
                </c:pt>
                <c:pt idx="353">
                  <c:v>42929</c:v>
                </c:pt>
                <c:pt idx="354">
                  <c:v>42930</c:v>
                </c:pt>
                <c:pt idx="355">
                  <c:v>42933</c:v>
                </c:pt>
                <c:pt idx="356">
                  <c:v>42934</c:v>
                </c:pt>
                <c:pt idx="357">
                  <c:v>42935</c:v>
                </c:pt>
                <c:pt idx="358">
                  <c:v>42936</c:v>
                </c:pt>
                <c:pt idx="359">
                  <c:v>42937</c:v>
                </c:pt>
                <c:pt idx="360">
                  <c:v>42940</c:v>
                </c:pt>
                <c:pt idx="361">
                  <c:v>42941</c:v>
                </c:pt>
                <c:pt idx="362">
                  <c:v>42942</c:v>
                </c:pt>
                <c:pt idx="363">
                  <c:v>42943</c:v>
                </c:pt>
                <c:pt idx="364">
                  <c:v>42944</c:v>
                </c:pt>
                <c:pt idx="365">
                  <c:v>42947</c:v>
                </c:pt>
                <c:pt idx="366">
                  <c:v>42948</c:v>
                </c:pt>
                <c:pt idx="367">
                  <c:v>42949</c:v>
                </c:pt>
                <c:pt idx="368">
                  <c:v>42950</c:v>
                </c:pt>
                <c:pt idx="369">
                  <c:v>42951</c:v>
                </c:pt>
                <c:pt idx="370">
                  <c:v>42954</c:v>
                </c:pt>
                <c:pt idx="371">
                  <c:v>42955</c:v>
                </c:pt>
                <c:pt idx="372">
                  <c:v>42956</c:v>
                </c:pt>
                <c:pt idx="373">
                  <c:v>42957</c:v>
                </c:pt>
                <c:pt idx="374">
                  <c:v>42958</c:v>
                </c:pt>
                <c:pt idx="375">
                  <c:v>42961</c:v>
                </c:pt>
                <c:pt idx="376">
                  <c:v>42962</c:v>
                </c:pt>
                <c:pt idx="377">
                  <c:v>42963</c:v>
                </c:pt>
                <c:pt idx="378">
                  <c:v>42964</c:v>
                </c:pt>
                <c:pt idx="379">
                  <c:v>42965</c:v>
                </c:pt>
                <c:pt idx="380">
                  <c:v>42968</c:v>
                </c:pt>
                <c:pt idx="381">
                  <c:v>42969</c:v>
                </c:pt>
                <c:pt idx="382">
                  <c:v>42970</c:v>
                </c:pt>
                <c:pt idx="383">
                  <c:v>42971</c:v>
                </c:pt>
                <c:pt idx="384">
                  <c:v>42972</c:v>
                </c:pt>
                <c:pt idx="385">
                  <c:v>42975</c:v>
                </c:pt>
                <c:pt idx="386">
                  <c:v>42976</c:v>
                </c:pt>
                <c:pt idx="387">
                  <c:v>42977</c:v>
                </c:pt>
                <c:pt idx="388">
                  <c:v>42978</c:v>
                </c:pt>
                <c:pt idx="389">
                  <c:v>42979</c:v>
                </c:pt>
                <c:pt idx="390">
                  <c:v>42982</c:v>
                </c:pt>
                <c:pt idx="391">
                  <c:v>42983</c:v>
                </c:pt>
                <c:pt idx="392">
                  <c:v>42984</c:v>
                </c:pt>
                <c:pt idx="393">
                  <c:v>42985</c:v>
                </c:pt>
                <c:pt idx="394">
                  <c:v>42986</c:v>
                </c:pt>
                <c:pt idx="395">
                  <c:v>42989</c:v>
                </c:pt>
                <c:pt idx="396">
                  <c:v>42990</c:v>
                </c:pt>
                <c:pt idx="397">
                  <c:v>42991</c:v>
                </c:pt>
                <c:pt idx="398">
                  <c:v>42992</c:v>
                </c:pt>
                <c:pt idx="399">
                  <c:v>42993</c:v>
                </c:pt>
                <c:pt idx="400">
                  <c:v>42996</c:v>
                </c:pt>
                <c:pt idx="401">
                  <c:v>42997</c:v>
                </c:pt>
                <c:pt idx="402">
                  <c:v>42998</c:v>
                </c:pt>
                <c:pt idx="403">
                  <c:v>42999</c:v>
                </c:pt>
                <c:pt idx="404">
                  <c:v>43000</c:v>
                </c:pt>
                <c:pt idx="405">
                  <c:v>43003</c:v>
                </c:pt>
                <c:pt idx="406">
                  <c:v>43004</c:v>
                </c:pt>
                <c:pt idx="407">
                  <c:v>43005</c:v>
                </c:pt>
                <c:pt idx="408">
                  <c:v>43006</c:v>
                </c:pt>
                <c:pt idx="409">
                  <c:v>43007</c:v>
                </c:pt>
                <c:pt idx="410">
                  <c:v>43017</c:v>
                </c:pt>
                <c:pt idx="411">
                  <c:v>43018</c:v>
                </c:pt>
                <c:pt idx="412">
                  <c:v>43019</c:v>
                </c:pt>
                <c:pt idx="413">
                  <c:v>43020</c:v>
                </c:pt>
                <c:pt idx="414">
                  <c:v>43021</c:v>
                </c:pt>
                <c:pt idx="415">
                  <c:v>43024</c:v>
                </c:pt>
                <c:pt idx="416">
                  <c:v>43025</c:v>
                </c:pt>
                <c:pt idx="417">
                  <c:v>43026</c:v>
                </c:pt>
                <c:pt idx="418">
                  <c:v>43027</c:v>
                </c:pt>
                <c:pt idx="419">
                  <c:v>43028</c:v>
                </c:pt>
                <c:pt idx="420">
                  <c:v>43031</c:v>
                </c:pt>
                <c:pt idx="421">
                  <c:v>43032</c:v>
                </c:pt>
                <c:pt idx="422">
                  <c:v>43033</c:v>
                </c:pt>
                <c:pt idx="423">
                  <c:v>43034</c:v>
                </c:pt>
                <c:pt idx="424">
                  <c:v>43035</c:v>
                </c:pt>
                <c:pt idx="425">
                  <c:v>43038</c:v>
                </c:pt>
                <c:pt idx="426">
                  <c:v>43039</c:v>
                </c:pt>
                <c:pt idx="427">
                  <c:v>43040</c:v>
                </c:pt>
                <c:pt idx="428">
                  <c:v>43041</c:v>
                </c:pt>
                <c:pt idx="429">
                  <c:v>43042</c:v>
                </c:pt>
                <c:pt idx="430">
                  <c:v>43045</c:v>
                </c:pt>
                <c:pt idx="431">
                  <c:v>43046</c:v>
                </c:pt>
                <c:pt idx="432">
                  <c:v>43047</c:v>
                </c:pt>
                <c:pt idx="433">
                  <c:v>43048</c:v>
                </c:pt>
                <c:pt idx="434">
                  <c:v>43049</c:v>
                </c:pt>
                <c:pt idx="435">
                  <c:v>43052</c:v>
                </c:pt>
                <c:pt idx="436">
                  <c:v>43053</c:v>
                </c:pt>
                <c:pt idx="437">
                  <c:v>43054</c:v>
                </c:pt>
                <c:pt idx="438">
                  <c:v>43055</c:v>
                </c:pt>
                <c:pt idx="439">
                  <c:v>43056</c:v>
                </c:pt>
                <c:pt idx="440">
                  <c:v>43059</c:v>
                </c:pt>
                <c:pt idx="441">
                  <c:v>43060</c:v>
                </c:pt>
                <c:pt idx="442">
                  <c:v>43061</c:v>
                </c:pt>
                <c:pt idx="443">
                  <c:v>43062</c:v>
                </c:pt>
                <c:pt idx="444">
                  <c:v>43063</c:v>
                </c:pt>
                <c:pt idx="445">
                  <c:v>43066</c:v>
                </c:pt>
                <c:pt idx="446">
                  <c:v>43067</c:v>
                </c:pt>
                <c:pt idx="447">
                  <c:v>43068</c:v>
                </c:pt>
                <c:pt idx="448">
                  <c:v>43069</c:v>
                </c:pt>
                <c:pt idx="449">
                  <c:v>43070</c:v>
                </c:pt>
                <c:pt idx="450">
                  <c:v>43073</c:v>
                </c:pt>
                <c:pt idx="451">
                  <c:v>43074</c:v>
                </c:pt>
                <c:pt idx="452">
                  <c:v>43075</c:v>
                </c:pt>
                <c:pt idx="453">
                  <c:v>43076</c:v>
                </c:pt>
                <c:pt idx="454">
                  <c:v>43077</c:v>
                </c:pt>
                <c:pt idx="455">
                  <c:v>43080</c:v>
                </c:pt>
                <c:pt idx="456">
                  <c:v>43081</c:v>
                </c:pt>
                <c:pt idx="457">
                  <c:v>43082</c:v>
                </c:pt>
                <c:pt idx="458">
                  <c:v>43083</c:v>
                </c:pt>
                <c:pt idx="459">
                  <c:v>43084</c:v>
                </c:pt>
                <c:pt idx="460">
                  <c:v>43087</c:v>
                </c:pt>
                <c:pt idx="461">
                  <c:v>43088</c:v>
                </c:pt>
                <c:pt idx="462">
                  <c:v>43089</c:v>
                </c:pt>
                <c:pt idx="463">
                  <c:v>43090</c:v>
                </c:pt>
                <c:pt idx="464">
                  <c:v>43091</c:v>
                </c:pt>
                <c:pt idx="465">
                  <c:v>43094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43115</c:v>
                </c:pt>
                <c:pt idx="480">
                  <c:v>43116</c:v>
                </c:pt>
                <c:pt idx="481">
                  <c:v>43117</c:v>
                </c:pt>
                <c:pt idx="482">
                  <c:v>43118</c:v>
                </c:pt>
                <c:pt idx="483">
                  <c:v>43119</c:v>
                </c:pt>
                <c:pt idx="484">
                  <c:v>43122</c:v>
                </c:pt>
                <c:pt idx="485">
                  <c:v>43123</c:v>
                </c:pt>
                <c:pt idx="486">
                  <c:v>43124</c:v>
                </c:pt>
                <c:pt idx="487">
                  <c:v>43125</c:v>
                </c:pt>
                <c:pt idx="488">
                  <c:v>43126</c:v>
                </c:pt>
                <c:pt idx="489">
                  <c:v>43129</c:v>
                </c:pt>
                <c:pt idx="490">
                  <c:v>43130</c:v>
                </c:pt>
                <c:pt idx="491">
                  <c:v>43131</c:v>
                </c:pt>
                <c:pt idx="492">
                  <c:v>43132</c:v>
                </c:pt>
                <c:pt idx="493">
                  <c:v>43133</c:v>
                </c:pt>
                <c:pt idx="494">
                  <c:v>43136</c:v>
                </c:pt>
                <c:pt idx="495">
                  <c:v>43137</c:v>
                </c:pt>
                <c:pt idx="496">
                  <c:v>43138</c:v>
                </c:pt>
                <c:pt idx="497">
                  <c:v>43139</c:v>
                </c:pt>
                <c:pt idx="498">
                  <c:v>43140</c:v>
                </c:pt>
                <c:pt idx="499">
                  <c:v>43143</c:v>
                </c:pt>
                <c:pt idx="500">
                  <c:v>43144</c:v>
                </c:pt>
                <c:pt idx="501">
                  <c:v>43145</c:v>
                </c:pt>
                <c:pt idx="502">
                  <c:v>43153</c:v>
                </c:pt>
                <c:pt idx="503">
                  <c:v>43154</c:v>
                </c:pt>
                <c:pt idx="504">
                  <c:v>43157</c:v>
                </c:pt>
                <c:pt idx="505">
                  <c:v>43158</c:v>
                </c:pt>
                <c:pt idx="506">
                  <c:v>43159</c:v>
                </c:pt>
                <c:pt idx="507">
                  <c:v>43160</c:v>
                </c:pt>
                <c:pt idx="508">
                  <c:v>43161</c:v>
                </c:pt>
                <c:pt idx="509">
                  <c:v>43164</c:v>
                </c:pt>
                <c:pt idx="510">
                  <c:v>43165</c:v>
                </c:pt>
                <c:pt idx="511">
                  <c:v>43166</c:v>
                </c:pt>
                <c:pt idx="512">
                  <c:v>43167</c:v>
                </c:pt>
                <c:pt idx="513">
                  <c:v>43168</c:v>
                </c:pt>
                <c:pt idx="514">
                  <c:v>43171</c:v>
                </c:pt>
                <c:pt idx="515">
                  <c:v>43172</c:v>
                </c:pt>
                <c:pt idx="516">
                  <c:v>43173</c:v>
                </c:pt>
                <c:pt idx="517">
                  <c:v>43174</c:v>
                </c:pt>
                <c:pt idx="518">
                  <c:v>43175</c:v>
                </c:pt>
                <c:pt idx="519">
                  <c:v>43178</c:v>
                </c:pt>
                <c:pt idx="520">
                  <c:v>43179</c:v>
                </c:pt>
                <c:pt idx="521">
                  <c:v>43180</c:v>
                </c:pt>
                <c:pt idx="522">
                  <c:v>43181</c:v>
                </c:pt>
                <c:pt idx="523">
                  <c:v>43182</c:v>
                </c:pt>
                <c:pt idx="524">
                  <c:v>43185</c:v>
                </c:pt>
                <c:pt idx="525">
                  <c:v>43186</c:v>
                </c:pt>
                <c:pt idx="526">
                  <c:v>43187</c:v>
                </c:pt>
                <c:pt idx="527">
                  <c:v>43188</c:v>
                </c:pt>
                <c:pt idx="528">
                  <c:v>43189</c:v>
                </c:pt>
                <c:pt idx="529">
                  <c:v>43192</c:v>
                </c:pt>
                <c:pt idx="530">
                  <c:v>43193</c:v>
                </c:pt>
                <c:pt idx="531">
                  <c:v>43194</c:v>
                </c:pt>
                <c:pt idx="532">
                  <c:v>43199</c:v>
                </c:pt>
                <c:pt idx="533">
                  <c:v>43200</c:v>
                </c:pt>
                <c:pt idx="534">
                  <c:v>43201</c:v>
                </c:pt>
                <c:pt idx="535">
                  <c:v>43202</c:v>
                </c:pt>
                <c:pt idx="536">
                  <c:v>43203</c:v>
                </c:pt>
                <c:pt idx="537">
                  <c:v>43206</c:v>
                </c:pt>
                <c:pt idx="538">
                  <c:v>43207</c:v>
                </c:pt>
                <c:pt idx="539">
                  <c:v>43208</c:v>
                </c:pt>
                <c:pt idx="540">
                  <c:v>43209</c:v>
                </c:pt>
                <c:pt idx="541">
                  <c:v>43210</c:v>
                </c:pt>
                <c:pt idx="542">
                  <c:v>43213</c:v>
                </c:pt>
                <c:pt idx="543">
                  <c:v>43214</c:v>
                </c:pt>
                <c:pt idx="544">
                  <c:v>43215</c:v>
                </c:pt>
                <c:pt idx="545">
                  <c:v>43216</c:v>
                </c:pt>
                <c:pt idx="546">
                  <c:v>43217</c:v>
                </c:pt>
                <c:pt idx="547">
                  <c:v>43222</c:v>
                </c:pt>
                <c:pt idx="548">
                  <c:v>43223</c:v>
                </c:pt>
                <c:pt idx="549">
                  <c:v>43224</c:v>
                </c:pt>
                <c:pt idx="550">
                  <c:v>43227</c:v>
                </c:pt>
                <c:pt idx="551">
                  <c:v>43228</c:v>
                </c:pt>
                <c:pt idx="552">
                  <c:v>43229</c:v>
                </c:pt>
                <c:pt idx="553">
                  <c:v>43230</c:v>
                </c:pt>
                <c:pt idx="554">
                  <c:v>43231</c:v>
                </c:pt>
                <c:pt idx="555">
                  <c:v>43234</c:v>
                </c:pt>
                <c:pt idx="556">
                  <c:v>43235</c:v>
                </c:pt>
                <c:pt idx="557">
                  <c:v>43236</c:v>
                </c:pt>
                <c:pt idx="558">
                  <c:v>43237</c:v>
                </c:pt>
                <c:pt idx="559">
                  <c:v>43238</c:v>
                </c:pt>
                <c:pt idx="560">
                  <c:v>43241</c:v>
                </c:pt>
                <c:pt idx="561">
                  <c:v>43242</c:v>
                </c:pt>
                <c:pt idx="562">
                  <c:v>43243</c:v>
                </c:pt>
                <c:pt idx="563">
                  <c:v>43244</c:v>
                </c:pt>
                <c:pt idx="564">
                  <c:v>43245</c:v>
                </c:pt>
                <c:pt idx="565">
                  <c:v>43248</c:v>
                </c:pt>
                <c:pt idx="566">
                  <c:v>43249</c:v>
                </c:pt>
                <c:pt idx="567">
                  <c:v>43250</c:v>
                </c:pt>
                <c:pt idx="568">
                  <c:v>43251</c:v>
                </c:pt>
                <c:pt idx="569">
                  <c:v>43252</c:v>
                </c:pt>
                <c:pt idx="570">
                  <c:v>43255</c:v>
                </c:pt>
                <c:pt idx="571">
                  <c:v>43256</c:v>
                </c:pt>
                <c:pt idx="572">
                  <c:v>43257</c:v>
                </c:pt>
                <c:pt idx="573">
                  <c:v>43258</c:v>
                </c:pt>
                <c:pt idx="574">
                  <c:v>43259</c:v>
                </c:pt>
                <c:pt idx="575">
                  <c:v>43262</c:v>
                </c:pt>
                <c:pt idx="576">
                  <c:v>43263</c:v>
                </c:pt>
                <c:pt idx="577">
                  <c:v>43264</c:v>
                </c:pt>
                <c:pt idx="578">
                  <c:v>43265</c:v>
                </c:pt>
                <c:pt idx="579">
                  <c:v>43266</c:v>
                </c:pt>
                <c:pt idx="580">
                  <c:v>43270</c:v>
                </c:pt>
                <c:pt idx="581">
                  <c:v>43271</c:v>
                </c:pt>
                <c:pt idx="582">
                  <c:v>43272</c:v>
                </c:pt>
                <c:pt idx="583">
                  <c:v>43273</c:v>
                </c:pt>
                <c:pt idx="584">
                  <c:v>43276</c:v>
                </c:pt>
                <c:pt idx="585">
                  <c:v>43277</c:v>
                </c:pt>
                <c:pt idx="586">
                  <c:v>43278</c:v>
                </c:pt>
                <c:pt idx="587">
                  <c:v>43279</c:v>
                </c:pt>
                <c:pt idx="588">
                  <c:v>43280</c:v>
                </c:pt>
                <c:pt idx="589">
                  <c:v>43283</c:v>
                </c:pt>
                <c:pt idx="590">
                  <c:v>43284</c:v>
                </c:pt>
                <c:pt idx="591">
                  <c:v>43285</c:v>
                </c:pt>
                <c:pt idx="592">
                  <c:v>43286</c:v>
                </c:pt>
                <c:pt idx="593">
                  <c:v>43287</c:v>
                </c:pt>
                <c:pt idx="594">
                  <c:v>43290</c:v>
                </c:pt>
                <c:pt idx="595">
                  <c:v>43291</c:v>
                </c:pt>
                <c:pt idx="596">
                  <c:v>43292</c:v>
                </c:pt>
                <c:pt idx="597">
                  <c:v>43293</c:v>
                </c:pt>
                <c:pt idx="598">
                  <c:v>43294</c:v>
                </c:pt>
                <c:pt idx="599">
                  <c:v>43297</c:v>
                </c:pt>
                <c:pt idx="600">
                  <c:v>43298</c:v>
                </c:pt>
                <c:pt idx="601">
                  <c:v>43299</c:v>
                </c:pt>
                <c:pt idx="602">
                  <c:v>43300</c:v>
                </c:pt>
                <c:pt idx="603">
                  <c:v>43301</c:v>
                </c:pt>
                <c:pt idx="604">
                  <c:v>43304</c:v>
                </c:pt>
                <c:pt idx="605">
                  <c:v>43305</c:v>
                </c:pt>
              </c:numCache>
            </c:numRef>
          </c:cat>
          <c:val>
            <c:numRef>
              <c:f>回撤结果!$AL$3:$AL$608</c:f>
              <c:numCache>
                <c:formatCode>General</c:formatCode>
                <c:ptCount val="606"/>
                <c:pt idx="0">
                  <c:v>1</c:v>
                </c:pt>
                <c:pt idx="1">
                  <c:v>1.0285885917544226</c:v>
                </c:pt>
                <c:pt idx="2">
                  <c:v>1.0145766737930406</c:v>
                </c:pt>
                <c:pt idx="3">
                  <c:v>1.0357236174648796</c:v>
                </c:pt>
                <c:pt idx="4">
                  <c:v>1.0355999285155206</c:v>
                </c:pt>
                <c:pt idx="5">
                  <c:v>1.0514070917990226</c:v>
                </c:pt>
                <c:pt idx="6">
                  <c:v>1.0437286436006703</c:v>
                </c:pt>
                <c:pt idx="7">
                  <c:v>1.033040816153288</c:v>
                </c:pt>
                <c:pt idx="8">
                  <c:v>1.0700145231182112</c:v>
                </c:pt>
                <c:pt idx="9">
                  <c:v>1.080210039213797</c:v>
                </c:pt>
                <c:pt idx="10">
                  <c:v>1.0799632835376054</c:v>
                </c:pt>
                <c:pt idx="11">
                  <c:v>1.0792437276302669</c:v>
                </c:pt>
                <c:pt idx="12">
                  <c:v>1.0992908929866587</c:v>
                </c:pt>
                <c:pt idx="13">
                  <c:v>1.0952304910015733</c:v>
                </c:pt>
                <c:pt idx="14">
                  <c:v>1.115944590017355</c:v>
                </c:pt>
                <c:pt idx="15">
                  <c:v>1.0452211776636868</c:v>
                </c:pt>
                <c:pt idx="16">
                  <c:v>1.0580476283788407</c:v>
                </c:pt>
                <c:pt idx="17">
                  <c:v>1.0120562725608444</c:v>
                </c:pt>
                <c:pt idx="18">
                  <c:v>1.0289926363964002</c:v>
                </c:pt>
                <c:pt idx="19">
                  <c:v>1.0715128349618304</c:v>
                </c:pt>
                <c:pt idx="20">
                  <c:v>1.0730959912913736</c:v>
                </c:pt>
                <c:pt idx="21">
                  <c:v>1.0653706541812087</c:v>
                </c:pt>
                <c:pt idx="22">
                  <c:v>1.0762764372907028</c:v>
                </c:pt>
                <c:pt idx="23">
                  <c:v>1.0729623023371258</c:v>
                </c:pt>
                <c:pt idx="24">
                  <c:v>1.0553987381949388</c:v>
                </c:pt>
                <c:pt idx="25">
                  <c:v>1.0403143308203395</c:v>
                </c:pt>
                <c:pt idx="26">
                  <c:v>1.0428635765110816</c:v>
                </c:pt>
                <c:pt idx="27">
                  <c:v>1.0657648321516957</c:v>
                </c:pt>
                <c:pt idx="28">
                  <c:v>1.074594880913053</c:v>
                </c:pt>
                <c:pt idx="29">
                  <c:v>1.0725292354587375</c:v>
                </c:pt>
                <c:pt idx="30">
                  <c:v>1.0864071977990744</c:v>
                </c:pt>
                <c:pt idx="31">
                  <c:v>1.1048574290414097</c:v>
                </c:pt>
                <c:pt idx="32">
                  <c:v>1.1253239723806086</c:v>
                </c:pt>
                <c:pt idx="33">
                  <c:v>1.1221888152923096</c:v>
                </c:pt>
                <c:pt idx="34">
                  <c:v>1.1225922377117605</c:v>
                </c:pt>
                <c:pt idx="35">
                  <c:v>1.1061288963296825</c:v>
                </c:pt>
                <c:pt idx="36">
                  <c:v>1.1151956563178764</c:v>
                </c:pt>
                <c:pt idx="37">
                  <c:v>1.1122709882213719</c:v>
                </c:pt>
                <c:pt idx="38">
                  <c:v>1.1007512937006323</c:v>
                </c:pt>
                <c:pt idx="39">
                  <c:v>1.1288352629861285</c:v>
                </c:pt>
                <c:pt idx="40">
                  <c:v>1.1290645964315804</c:v>
                </c:pt>
                <c:pt idx="41">
                  <c:v>1.1294714410749267</c:v>
                </c:pt>
                <c:pt idx="42">
                  <c:v>1.1464751382767342</c:v>
                </c:pt>
                <c:pt idx="43">
                  <c:v>1.1448558485961926</c:v>
                </c:pt>
                <c:pt idx="44">
                  <c:v>1.1298509968160428</c:v>
                </c:pt>
                <c:pt idx="45">
                  <c:v>1.1207681479310945</c:v>
                </c:pt>
                <c:pt idx="46">
                  <c:v>1.1367201112853877</c:v>
                </c:pt>
                <c:pt idx="47">
                  <c:v>1.1294473077297948</c:v>
                </c:pt>
                <c:pt idx="48">
                  <c:v>1.1452022487655438</c:v>
                </c:pt>
                <c:pt idx="49">
                  <c:v>1.1503834957430423</c:v>
                </c:pt>
                <c:pt idx="50">
                  <c:v>1.1439708703857587</c:v>
                </c:pt>
                <c:pt idx="51">
                  <c:v>1.1300601080293862</c:v>
                </c:pt>
                <c:pt idx="52">
                  <c:v>1.1346805547327157</c:v>
                </c:pt>
                <c:pt idx="53">
                  <c:v>1.1014164940258415</c:v>
                </c:pt>
                <c:pt idx="54">
                  <c:v>1.0884922210406414</c:v>
                </c:pt>
                <c:pt idx="55">
                  <c:v>1.0936268902175907</c:v>
                </c:pt>
                <c:pt idx="56">
                  <c:v>1.093430045676911</c:v>
                </c:pt>
                <c:pt idx="57">
                  <c:v>1.0980228923667472</c:v>
                </c:pt>
                <c:pt idx="58">
                  <c:v>1.0947790241141895</c:v>
                </c:pt>
                <c:pt idx="59">
                  <c:v>1.0911607556785916</c:v>
                </c:pt>
                <c:pt idx="60">
                  <c:v>1.088744621164037</c:v>
                </c:pt>
                <c:pt idx="61">
                  <c:v>1.1087240531539815</c:v>
                </c:pt>
                <c:pt idx="62">
                  <c:v>1.1056527183191067</c:v>
                </c:pt>
                <c:pt idx="63">
                  <c:v>1.1064792076120571</c:v>
                </c:pt>
                <c:pt idx="64">
                  <c:v>1.0784589716910529</c:v>
                </c:pt>
                <c:pt idx="65">
                  <c:v>1.0484386014588718</c:v>
                </c:pt>
                <c:pt idx="66">
                  <c:v>1.0504467357739597</c:v>
                </c:pt>
                <c:pt idx="67">
                  <c:v>1.0515608696519807</c:v>
                </c:pt>
                <c:pt idx="68">
                  <c:v>1.0656473209831347</c:v>
                </c:pt>
                <c:pt idx="69">
                  <c:v>1.0576511837405786</c:v>
                </c:pt>
                <c:pt idx="70">
                  <c:v>1.0630274085911775</c:v>
                </c:pt>
                <c:pt idx="71">
                  <c:v>1.0565541609820341</c:v>
                </c:pt>
                <c:pt idx="72">
                  <c:v>1.0410229533889994</c:v>
                </c:pt>
                <c:pt idx="73">
                  <c:v>1.0401605085229153</c:v>
                </c:pt>
                <c:pt idx="74">
                  <c:v>1.0468307340061365</c:v>
                </c:pt>
                <c:pt idx="75">
                  <c:v>1.0510542027376102</c:v>
                </c:pt>
                <c:pt idx="76">
                  <c:v>1.0443602883539187</c:v>
                </c:pt>
                <c:pt idx="77">
                  <c:v>1.0417468648540227</c:v>
                </c:pt>
                <c:pt idx="78">
                  <c:v>1.0409522866877847</c:v>
                </c:pt>
                <c:pt idx="79">
                  <c:v>1.0405274420356383</c:v>
                </c:pt>
                <c:pt idx="80">
                  <c:v>1.0385633077420615</c:v>
                </c:pt>
                <c:pt idx="81">
                  <c:v>1.0689581670462149</c:v>
                </c:pt>
                <c:pt idx="82">
                  <c:v>1.0676257663948192</c:v>
                </c:pt>
                <c:pt idx="83">
                  <c:v>1.0703022121477481</c:v>
                </c:pt>
                <c:pt idx="84">
                  <c:v>1.0767851486505171</c:v>
                </c:pt>
                <c:pt idx="85">
                  <c:v>1.0750295477922234</c:v>
                </c:pt>
                <c:pt idx="86">
                  <c:v>1.0709058568873078</c:v>
                </c:pt>
                <c:pt idx="87">
                  <c:v>1.0723930131699175</c:v>
                </c:pt>
                <c:pt idx="88">
                  <c:v>1.0409435311279485</c:v>
                </c:pt>
                <c:pt idx="89">
                  <c:v>1.0421273983733947</c:v>
                </c:pt>
                <c:pt idx="90">
                  <c:v>1.05771016154719</c:v>
                </c:pt>
                <c:pt idx="91">
                  <c:v>1.0532086482353391</c:v>
                </c:pt>
                <c:pt idx="92">
                  <c:v>1.0577522504566559</c:v>
                </c:pt>
                <c:pt idx="93">
                  <c:v>1.0586516731185958</c:v>
                </c:pt>
                <c:pt idx="94">
                  <c:v>1.0582518062564386</c:v>
                </c:pt>
                <c:pt idx="95">
                  <c:v>1.0673660329345049</c:v>
                </c:pt>
                <c:pt idx="96">
                  <c:v>1.058325939626015</c:v>
                </c:pt>
                <c:pt idx="97">
                  <c:v>1.0433622878660074</c:v>
                </c:pt>
                <c:pt idx="98">
                  <c:v>1.0539012263517107</c:v>
                </c:pt>
                <c:pt idx="99">
                  <c:v>1.0588274954267756</c:v>
                </c:pt>
                <c:pt idx="100">
                  <c:v>1.0656731432179811</c:v>
                </c:pt>
                <c:pt idx="101">
                  <c:v>1.06573203213566</c:v>
                </c:pt>
                <c:pt idx="102">
                  <c:v>1.0663791435631369</c:v>
                </c:pt>
                <c:pt idx="103">
                  <c:v>1.0829208849835437</c:v>
                </c:pt>
                <c:pt idx="104">
                  <c:v>1.0921766228419045</c:v>
                </c:pt>
                <c:pt idx="105">
                  <c:v>1.0937538680574466</c:v>
                </c:pt>
                <c:pt idx="106">
                  <c:v>1.0890408435310792</c:v>
                </c:pt>
                <c:pt idx="107">
                  <c:v>1.0801025280501249</c:v>
                </c:pt>
                <c:pt idx="108">
                  <c:v>1.0787314162686923</c:v>
                </c:pt>
                <c:pt idx="109">
                  <c:v>1.0960969358696131</c:v>
                </c:pt>
                <c:pt idx="110">
                  <c:v>1.10430360654843</c:v>
                </c:pt>
                <c:pt idx="111">
                  <c:v>1.1040912953335222</c:v>
                </c:pt>
                <c:pt idx="112">
                  <c:v>1.1037598729492712</c:v>
                </c:pt>
                <c:pt idx="113">
                  <c:v>1.0996979154078699</c:v>
                </c:pt>
                <c:pt idx="114">
                  <c:v>1.1047126289706184</c:v>
                </c:pt>
                <c:pt idx="115">
                  <c:v>1.0980920479561123</c:v>
                </c:pt>
                <c:pt idx="116">
                  <c:v>1.1018737831382941</c:v>
                </c:pt>
                <c:pt idx="117">
                  <c:v>1.0905579998283554</c:v>
                </c:pt>
                <c:pt idx="118">
                  <c:v>1.0945109795387009</c:v>
                </c:pt>
                <c:pt idx="119">
                  <c:v>1.1053927626364617</c:v>
                </c:pt>
                <c:pt idx="120">
                  <c:v>1.0872113759700059</c:v>
                </c:pt>
                <c:pt idx="121">
                  <c:v>1.0988376483206279</c:v>
                </c:pt>
                <c:pt idx="122">
                  <c:v>1.0936211124369881</c:v>
                </c:pt>
                <c:pt idx="123">
                  <c:v>1.0871123092549067</c:v>
                </c:pt>
                <c:pt idx="124">
                  <c:v>1.0922842228945089</c:v>
                </c:pt>
                <c:pt idx="125">
                  <c:v>1.0941270682399</c:v>
                </c:pt>
                <c:pt idx="126">
                  <c:v>1.0954922689073314</c:v>
                </c:pt>
                <c:pt idx="127">
                  <c:v>1.0913189779781669</c:v>
                </c:pt>
                <c:pt idx="128">
                  <c:v>1.1033760060949362</c:v>
                </c:pt>
                <c:pt idx="129">
                  <c:v>1.1116148101227961</c:v>
                </c:pt>
                <c:pt idx="130">
                  <c:v>1.1094190757159925</c:v>
                </c:pt>
                <c:pt idx="131">
                  <c:v>1.1011152049896558</c:v>
                </c:pt>
                <c:pt idx="132">
                  <c:v>1.1185970357585506</c:v>
                </c:pt>
                <c:pt idx="133">
                  <c:v>1.1403894464126183</c:v>
                </c:pt>
                <c:pt idx="134">
                  <c:v>1.1382446453640487</c:v>
                </c:pt>
                <c:pt idx="135">
                  <c:v>1.1412801135147221</c:v>
                </c:pt>
                <c:pt idx="136">
                  <c:v>1.140917268892887</c:v>
                </c:pt>
                <c:pt idx="137">
                  <c:v>1.1424709140968914</c:v>
                </c:pt>
                <c:pt idx="138">
                  <c:v>1.1343306434505367</c:v>
                </c:pt>
                <c:pt idx="139">
                  <c:v>1.1340003766224063</c:v>
                </c:pt>
                <c:pt idx="140">
                  <c:v>1.1349141104024538</c:v>
                </c:pt>
                <c:pt idx="141">
                  <c:v>1.1239156161365234</c:v>
                </c:pt>
                <c:pt idx="142">
                  <c:v>1.127025217656773</c:v>
                </c:pt>
                <c:pt idx="143">
                  <c:v>1.1289116630234797</c:v>
                </c:pt>
                <c:pt idx="144">
                  <c:v>1.1283299294057434</c:v>
                </c:pt>
                <c:pt idx="145">
                  <c:v>1.1278648625117105</c:v>
                </c:pt>
                <c:pt idx="146">
                  <c:v>1.1212607259496883</c:v>
                </c:pt>
                <c:pt idx="147">
                  <c:v>1.1254862391266056</c:v>
                </c:pt>
                <c:pt idx="148">
                  <c:v>1.1267176175063909</c:v>
                </c:pt>
                <c:pt idx="149">
                  <c:v>1.140422024206323</c:v>
                </c:pt>
                <c:pt idx="150">
                  <c:v>1.1437133147042873</c:v>
                </c:pt>
                <c:pt idx="151">
                  <c:v>1.1444437150613718</c:v>
                </c:pt>
                <c:pt idx="152">
                  <c:v>1.1344715324083046</c:v>
                </c:pt>
                <c:pt idx="153">
                  <c:v>1.1184421912384046</c:v>
                </c:pt>
                <c:pt idx="154">
                  <c:v>1.1223472153697498</c:v>
                </c:pt>
                <c:pt idx="155">
                  <c:v>1.1159884122610015</c:v>
                </c:pt>
                <c:pt idx="156">
                  <c:v>1.1231441490926952</c:v>
                </c:pt>
                <c:pt idx="157">
                  <c:v>1.1213657482232546</c:v>
                </c:pt>
                <c:pt idx="158">
                  <c:v>1.1210333480607479</c:v>
                </c:pt>
                <c:pt idx="159">
                  <c:v>1.1254806835683342</c:v>
                </c:pt>
                <c:pt idx="160">
                  <c:v>1.1199972142208603</c:v>
                </c:pt>
                <c:pt idx="161">
                  <c:v>1.1033604060873095</c:v>
                </c:pt>
                <c:pt idx="162">
                  <c:v>1.1054522293322009</c:v>
                </c:pt>
                <c:pt idx="163">
                  <c:v>1.1025740501473134</c:v>
                </c:pt>
                <c:pt idx="164">
                  <c:v>1.1025587168064839</c:v>
                </c:pt>
                <c:pt idx="165">
                  <c:v>1.1042711620881238</c:v>
                </c:pt>
                <c:pt idx="166">
                  <c:v>1.1205337922609651</c:v>
                </c:pt>
                <c:pt idx="167">
                  <c:v>1.1264492618196391</c:v>
                </c:pt>
                <c:pt idx="168">
                  <c:v>1.1281581959884512</c:v>
                </c:pt>
                <c:pt idx="169">
                  <c:v>1.1322688202203119</c:v>
                </c:pt>
                <c:pt idx="170">
                  <c:v>1.1319859756375881</c:v>
                </c:pt>
                <c:pt idx="171">
                  <c:v>1.1202576143481668</c:v>
                </c:pt>
                <c:pt idx="172">
                  <c:v>1.1348207325790249</c:v>
                </c:pt>
                <c:pt idx="173">
                  <c:v>1.1366270890176879</c:v>
                </c:pt>
                <c:pt idx="174">
                  <c:v>1.1347233103091741</c:v>
                </c:pt>
                <c:pt idx="175">
                  <c:v>1.1340517544253021</c:v>
                </c:pt>
                <c:pt idx="176">
                  <c:v>1.1442354482928858</c:v>
                </c:pt>
                <c:pt idx="177">
                  <c:v>1.1472291830898229</c:v>
                </c:pt>
                <c:pt idx="178">
                  <c:v>1.1432537144795936</c:v>
                </c:pt>
                <c:pt idx="179">
                  <c:v>1.1450789153719141</c:v>
                </c:pt>
                <c:pt idx="180">
                  <c:v>1.1365821112179211</c:v>
                </c:pt>
                <c:pt idx="181">
                  <c:v>1.133207309568018</c:v>
                </c:pt>
                <c:pt idx="182">
                  <c:v>1.1440533593149758</c:v>
                </c:pt>
                <c:pt idx="183">
                  <c:v>1.1308150417317981</c:v>
                </c:pt>
                <c:pt idx="184">
                  <c:v>1.1384138454467689</c:v>
                </c:pt>
                <c:pt idx="185">
                  <c:v>1.1329062427541632</c:v>
                </c:pt>
                <c:pt idx="186">
                  <c:v>1.1332530873681761</c:v>
                </c:pt>
                <c:pt idx="187">
                  <c:v>1.135975044254466</c:v>
                </c:pt>
                <c:pt idx="188">
                  <c:v>1.1264639284934763</c:v>
                </c:pt>
                <c:pt idx="189">
                  <c:v>1.1395063348697636</c:v>
                </c:pt>
                <c:pt idx="190">
                  <c:v>1.1482839836055032</c:v>
                </c:pt>
                <c:pt idx="191">
                  <c:v>1.1523299411390824</c:v>
                </c:pt>
                <c:pt idx="192">
                  <c:v>1.1544337199453742</c:v>
                </c:pt>
                <c:pt idx="193">
                  <c:v>1.1559389651257161</c:v>
                </c:pt>
                <c:pt idx="194">
                  <c:v>1.1648563028186369</c:v>
                </c:pt>
                <c:pt idx="195">
                  <c:v>1.1571682546155913</c:v>
                </c:pt>
                <c:pt idx="196">
                  <c:v>1.1700351497949621</c:v>
                </c:pt>
                <c:pt idx="197">
                  <c:v>1.1740920851116861</c:v>
                </c:pt>
                <c:pt idx="198">
                  <c:v>1.1674917707737547</c:v>
                </c:pt>
                <c:pt idx="199">
                  <c:v>1.1685499935133301</c:v>
                </c:pt>
                <c:pt idx="200">
                  <c:v>1.1740700851009305</c:v>
                </c:pt>
                <c:pt idx="201">
                  <c:v>1.1780361759287972</c:v>
                </c:pt>
                <c:pt idx="202">
                  <c:v>1.1833982229946867</c:v>
                </c:pt>
                <c:pt idx="203">
                  <c:v>1.1774842201033966</c:v>
                </c:pt>
                <c:pt idx="204">
                  <c:v>1.1818200000008887</c:v>
                </c:pt>
                <c:pt idx="205">
                  <c:v>1.1742599518604209</c:v>
                </c:pt>
                <c:pt idx="206">
                  <c:v>1.1603677228464424</c:v>
                </c:pt>
                <c:pt idx="207">
                  <c:v>1.1573401213662815</c:v>
                </c:pt>
                <c:pt idx="208">
                  <c:v>1.1619225680510332</c:v>
                </c:pt>
                <c:pt idx="209">
                  <c:v>1.1529092303111792</c:v>
                </c:pt>
                <c:pt idx="210">
                  <c:v>1.1531353637550668</c:v>
                </c:pt>
                <c:pt idx="211">
                  <c:v>1.1229754378991028</c:v>
                </c:pt>
                <c:pt idx="212">
                  <c:v>1.1230008156892877</c:v>
                </c:pt>
                <c:pt idx="213">
                  <c:v>1.117459835202586</c:v>
                </c:pt>
                <c:pt idx="214">
                  <c:v>1.1162281901560041</c:v>
                </c:pt>
                <c:pt idx="215">
                  <c:v>1.1221715708394344</c:v>
                </c:pt>
                <c:pt idx="216">
                  <c:v>1.1242759274237868</c:v>
                </c:pt>
                <c:pt idx="217">
                  <c:v>1.1196301473747388</c:v>
                </c:pt>
                <c:pt idx="218">
                  <c:v>1.1319842867478735</c:v>
                </c:pt>
                <c:pt idx="219">
                  <c:v>1.1357125552372491</c:v>
                </c:pt>
                <c:pt idx="220">
                  <c:v>1.1235026381568454</c:v>
                </c:pt>
                <c:pt idx="221">
                  <c:v>1.1241753495968376</c:v>
                </c:pt>
                <c:pt idx="222">
                  <c:v>1.1216240594606512</c:v>
                </c:pt>
                <c:pt idx="223">
                  <c:v>1.119131436019813</c:v>
                </c:pt>
                <c:pt idx="224">
                  <c:v>1.1165399236417404</c:v>
                </c:pt>
                <c:pt idx="225">
                  <c:v>1.1200067697810874</c:v>
                </c:pt>
                <c:pt idx="226">
                  <c:v>1.1277772180244177</c:v>
                </c:pt>
                <c:pt idx="227">
                  <c:v>1.13289930941744</c:v>
                </c:pt>
                <c:pt idx="228">
                  <c:v>1.132381442497594</c:v>
                </c:pt>
                <c:pt idx="229">
                  <c:v>1.1349251326300649</c:v>
                </c:pt>
                <c:pt idx="230">
                  <c:v>1.1472222497530997</c:v>
                </c:pt>
                <c:pt idx="231">
                  <c:v>1.1419938471969919</c:v>
                </c:pt>
                <c:pt idx="232">
                  <c:v>1.1349584215352284</c:v>
                </c:pt>
                <c:pt idx="233">
                  <c:v>1.1269735287426139</c:v>
                </c:pt>
                <c:pt idx="234">
                  <c:v>1.1246032609171497</c:v>
                </c:pt>
                <c:pt idx="235">
                  <c:v>1.1152154785497894</c:v>
                </c:pt>
                <c:pt idx="236">
                  <c:v>1.1159214344504791</c:v>
                </c:pt>
                <c:pt idx="237">
                  <c:v>1.1153628563996187</c:v>
                </c:pt>
                <c:pt idx="238">
                  <c:v>1.1129206329834207</c:v>
                </c:pt>
                <c:pt idx="239">
                  <c:v>1.1206588589887756</c:v>
                </c:pt>
                <c:pt idx="240">
                  <c:v>1.1240357939730548</c:v>
                </c:pt>
                <c:pt idx="241">
                  <c:v>1.1224739709872746</c:v>
                </c:pt>
                <c:pt idx="242">
                  <c:v>1.1224387709700658</c:v>
                </c:pt>
                <c:pt idx="243">
                  <c:v>1.1233233491803039</c:v>
                </c:pt>
                <c:pt idx="244">
                  <c:v>1.1210305036149129</c:v>
                </c:pt>
                <c:pt idx="245">
                  <c:v>1.1278365958312246</c:v>
                </c:pt>
                <c:pt idx="246">
                  <c:v>1.1286408628910884</c:v>
                </c:pt>
                <c:pt idx="247">
                  <c:v>1.1341657989255016</c:v>
                </c:pt>
                <c:pt idx="248">
                  <c:v>1.1378228673800683</c:v>
                </c:pt>
                <c:pt idx="249">
                  <c:v>1.1431267366397377</c:v>
                </c:pt>
                <c:pt idx="250">
                  <c:v>1.1475850499304687</c:v>
                </c:pt>
                <c:pt idx="251">
                  <c:v>1.1451796265322618</c:v>
                </c:pt>
                <c:pt idx="252">
                  <c:v>1.153744564052898</c:v>
                </c:pt>
                <c:pt idx="253">
                  <c:v>1.1655353698172919</c:v>
                </c:pt>
                <c:pt idx="254">
                  <c:v>1.1522368744269165</c:v>
                </c:pt>
                <c:pt idx="255">
                  <c:v>1.163476835477564</c:v>
                </c:pt>
                <c:pt idx="256">
                  <c:v>1.1668361260087727</c:v>
                </c:pt>
                <c:pt idx="257">
                  <c:v>1.1680590154955186</c:v>
                </c:pt>
                <c:pt idx="258">
                  <c:v>1.1614094122446015</c:v>
                </c:pt>
                <c:pt idx="259">
                  <c:v>1.1636978578078416</c:v>
                </c:pt>
                <c:pt idx="260">
                  <c:v>1.1566307876861628</c:v>
                </c:pt>
                <c:pt idx="261">
                  <c:v>1.1600610115853833</c:v>
                </c:pt>
                <c:pt idx="262">
                  <c:v>1.1613885233455001</c:v>
                </c:pt>
                <c:pt idx="263">
                  <c:v>1.1556135871888649</c:v>
                </c:pt>
                <c:pt idx="264">
                  <c:v>1.1560664762991661</c:v>
                </c:pt>
                <c:pt idx="265">
                  <c:v>1.16103723428487</c:v>
                </c:pt>
                <c:pt idx="266">
                  <c:v>1.1623475015921119</c:v>
                </c:pt>
                <c:pt idx="267">
                  <c:v>1.1608677230908868</c:v>
                </c:pt>
                <c:pt idx="268">
                  <c:v>1.1521577188326624</c:v>
                </c:pt>
                <c:pt idx="269">
                  <c:v>1.1471668719482486</c:v>
                </c:pt>
                <c:pt idx="270">
                  <c:v>1.1526751413078469</c:v>
                </c:pt>
                <c:pt idx="271">
                  <c:v>1.1488069616389591</c:v>
                </c:pt>
                <c:pt idx="272">
                  <c:v>1.1538715418927536</c:v>
                </c:pt>
                <c:pt idx="273">
                  <c:v>1.1590936333346653</c:v>
                </c:pt>
                <c:pt idx="274">
                  <c:v>1.1522664744413875</c:v>
                </c:pt>
                <c:pt idx="275">
                  <c:v>1.1599488781972294</c:v>
                </c:pt>
                <c:pt idx="276">
                  <c:v>1.1628168351548973</c:v>
                </c:pt>
                <c:pt idx="277">
                  <c:v>1.1535791861942688</c:v>
                </c:pt>
                <c:pt idx="278">
                  <c:v>1.1494094952668643</c:v>
                </c:pt>
                <c:pt idx="279">
                  <c:v>1.1543919865916379</c:v>
                </c:pt>
                <c:pt idx="280">
                  <c:v>1.1497223398642549</c:v>
                </c:pt>
                <c:pt idx="281">
                  <c:v>1.1447466040983398</c:v>
                </c:pt>
                <c:pt idx="282">
                  <c:v>1.1399413573046635</c:v>
                </c:pt>
                <c:pt idx="283">
                  <c:v>1.1490770506598913</c:v>
                </c:pt>
                <c:pt idx="284">
                  <c:v>1.1527915858092197</c:v>
                </c:pt>
                <c:pt idx="285">
                  <c:v>1.1669984816437022</c:v>
                </c:pt>
                <c:pt idx="286">
                  <c:v>1.1759051971092076</c:v>
                </c:pt>
                <c:pt idx="287">
                  <c:v>1.1862212021525878</c:v>
                </c:pt>
                <c:pt idx="288">
                  <c:v>1.1883789809852796</c:v>
                </c:pt>
                <c:pt idx="289">
                  <c:v>1.2004995202442099</c:v>
                </c:pt>
                <c:pt idx="290">
                  <c:v>1.2133697487585438</c:v>
                </c:pt>
                <c:pt idx="291">
                  <c:v>1.2263820662312324</c:v>
                </c:pt>
                <c:pt idx="292">
                  <c:v>1.2072784568916899</c:v>
                </c:pt>
                <c:pt idx="293">
                  <c:v>1.188011647472361</c:v>
                </c:pt>
                <c:pt idx="294">
                  <c:v>1.1742608851942105</c:v>
                </c:pt>
                <c:pt idx="295">
                  <c:v>1.1685655935209567</c:v>
                </c:pt>
                <c:pt idx="296">
                  <c:v>1.1624762127661485</c:v>
                </c:pt>
                <c:pt idx="297">
                  <c:v>1.1630723019464586</c:v>
                </c:pt>
                <c:pt idx="298">
                  <c:v>1.1386581566773211</c:v>
                </c:pt>
                <c:pt idx="299">
                  <c:v>1.1453240710473236</c:v>
                </c:pt>
                <c:pt idx="300">
                  <c:v>1.1488868283446716</c:v>
                </c:pt>
                <c:pt idx="301">
                  <c:v>1.1486391837791565</c:v>
                </c:pt>
                <c:pt idx="302">
                  <c:v>1.1522009632982486</c:v>
                </c:pt>
                <c:pt idx="303">
                  <c:v>1.1485420281761027</c:v>
                </c:pt>
                <c:pt idx="304">
                  <c:v>1.133959932158189</c:v>
                </c:pt>
                <c:pt idx="305">
                  <c:v>1.1365482000902312</c:v>
                </c:pt>
                <c:pt idx="306">
                  <c:v>1.1295377077739903</c:v>
                </c:pt>
                <c:pt idx="307">
                  <c:v>1.1167401904063154</c:v>
                </c:pt>
                <c:pt idx="308">
                  <c:v>1.1303647304005349</c:v>
                </c:pt>
                <c:pt idx="309">
                  <c:v>1.1083024085033997</c:v>
                </c:pt>
                <c:pt idx="310">
                  <c:v>1.1096882758476014</c:v>
                </c:pt>
                <c:pt idx="311">
                  <c:v>1.1118534769061443</c:v>
                </c:pt>
                <c:pt idx="312">
                  <c:v>1.1163124568638676</c:v>
                </c:pt>
                <c:pt idx="313">
                  <c:v>1.1349033548416401</c:v>
                </c:pt>
                <c:pt idx="314">
                  <c:v>1.1381420230916557</c:v>
                </c:pt>
                <c:pt idx="315">
                  <c:v>1.1266013063384164</c:v>
                </c:pt>
                <c:pt idx="316">
                  <c:v>1.1362733555114182</c:v>
                </c:pt>
                <c:pt idx="317">
                  <c:v>1.1265591285400185</c:v>
                </c:pt>
                <c:pt idx="318">
                  <c:v>1.1081472084275241</c:v>
                </c:pt>
                <c:pt idx="319">
                  <c:v>1.1147329894250171</c:v>
                </c:pt>
                <c:pt idx="320">
                  <c:v>1.1237441938304948</c:v>
                </c:pt>
                <c:pt idx="321">
                  <c:v>1.1235649492984194</c:v>
                </c:pt>
                <c:pt idx="322">
                  <c:v>1.1245416608870342</c:v>
                </c:pt>
                <c:pt idx="323">
                  <c:v>1.1152360563376276</c:v>
                </c:pt>
                <c:pt idx="324">
                  <c:v>1.1254992169107281</c:v>
                </c:pt>
                <c:pt idx="325">
                  <c:v>1.1300951302687303</c:v>
                </c:pt>
                <c:pt idx="326">
                  <c:v>1.1285640184090757</c:v>
                </c:pt>
                <c:pt idx="327">
                  <c:v>1.1412830912939556</c:v>
                </c:pt>
                <c:pt idx="328">
                  <c:v>1.1420685583446284</c:v>
                </c:pt>
                <c:pt idx="329">
                  <c:v>1.1424355807462838</c:v>
                </c:pt>
                <c:pt idx="330">
                  <c:v>1.1376209561702453</c:v>
                </c:pt>
                <c:pt idx="331">
                  <c:v>1.1415044247354964</c:v>
                </c:pt>
                <c:pt idx="332">
                  <c:v>1.1335600652960318</c:v>
                </c:pt>
                <c:pt idx="333">
                  <c:v>1.1328960205269434</c:v>
                </c:pt>
                <c:pt idx="334">
                  <c:v>1.1282881516075409</c:v>
                </c:pt>
                <c:pt idx="335">
                  <c:v>1.1358742442051859</c:v>
                </c:pt>
                <c:pt idx="336">
                  <c:v>1.1360319331711672</c:v>
                </c:pt>
                <c:pt idx="337">
                  <c:v>1.1400862018199209</c:v>
                </c:pt>
                <c:pt idx="338">
                  <c:v>1.1328519760609661</c:v>
                </c:pt>
                <c:pt idx="339">
                  <c:v>1.1328476649477472</c:v>
                </c:pt>
                <c:pt idx="340">
                  <c:v>1.1365837556631693</c:v>
                </c:pt>
                <c:pt idx="341">
                  <c:v>1.1377747784676695</c:v>
                </c:pt>
                <c:pt idx="342">
                  <c:v>1.1310950418686871</c:v>
                </c:pt>
                <c:pt idx="343">
                  <c:v>1.1329433983278836</c:v>
                </c:pt>
                <c:pt idx="344">
                  <c:v>1.132369353602795</c:v>
                </c:pt>
                <c:pt idx="345">
                  <c:v>1.1342903767641841</c:v>
                </c:pt>
                <c:pt idx="346">
                  <c:v>1.131134641888047</c:v>
                </c:pt>
                <c:pt idx="347">
                  <c:v>1.13229090912</c:v>
                </c:pt>
                <c:pt idx="348">
                  <c:v>1.1348960659491878</c:v>
                </c:pt>
                <c:pt idx="349">
                  <c:v>1.1361914443602616</c:v>
                </c:pt>
                <c:pt idx="350">
                  <c:v>1.1368689113581343</c:v>
                </c:pt>
                <c:pt idx="351">
                  <c:v>1.1302478858989664</c:v>
                </c:pt>
                <c:pt idx="352">
                  <c:v>1.1195811251285501</c:v>
                </c:pt>
                <c:pt idx="353">
                  <c:v>1.1192128582818417</c:v>
                </c:pt>
                <c:pt idx="354">
                  <c:v>1.1162617901724305</c:v>
                </c:pt>
                <c:pt idx="355">
                  <c:v>1.0843139523312655</c:v>
                </c:pt>
                <c:pt idx="356">
                  <c:v>1.0895149326517448</c:v>
                </c:pt>
                <c:pt idx="357">
                  <c:v>1.1023420055894251</c:v>
                </c:pt>
                <c:pt idx="358">
                  <c:v>1.1175965463805337</c:v>
                </c:pt>
                <c:pt idx="359">
                  <c:v>1.1147925450096887</c:v>
                </c:pt>
                <c:pt idx="360">
                  <c:v>1.1210867703090877</c:v>
                </c:pt>
                <c:pt idx="361">
                  <c:v>1.1130620108303164</c:v>
                </c:pt>
                <c:pt idx="362">
                  <c:v>1.114636278266625</c:v>
                </c:pt>
                <c:pt idx="363">
                  <c:v>1.1170254794346788</c:v>
                </c:pt>
                <c:pt idx="364">
                  <c:v>1.1209675258063458</c:v>
                </c:pt>
                <c:pt idx="365">
                  <c:v>1.1199776586557442</c:v>
                </c:pt>
                <c:pt idx="366">
                  <c:v>1.1242983718792039</c:v>
                </c:pt>
                <c:pt idx="367">
                  <c:v>1.1188495247708787</c:v>
                </c:pt>
                <c:pt idx="368">
                  <c:v>1.1198442808127596</c:v>
                </c:pt>
                <c:pt idx="369">
                  <c:v>1.1153090785955495</c:v>
                </c:pt>
                <c:pt idx="370">
                  <c:v>1.1205682367222491</c:v>
                </c:pt>
                <c:pt idx="371">
                  <c:v>1.1182553022581476</c:v>
                </c:pt>
                <c:pt idx="372">
                  <c:v>1.1180673021662366</c:v>
                </c:pt>
                <c:pt idx="373">
                  <c:v>1.1140479224234288</c:v>
                </c:pt>
                <c:pt idx="374">
                  <c:v>1.1024939167748036</c:v>
                </c:pt>
                <c:pt idx="375">
                  <c:v>1.111927254719991</c:v>
                </c:pt>
                <c:pt idx="376">
                  <c:v>1.1132360109153829</c:v>
                </c:pt>
                <c:pt idx="377">
                  <c:v>1.1170239683228289</c:v>
                </c:pt>
                <c:pt idx="378">
                  <c:v>1.1264644618270703</c:v>
                </c:pt>
                <c:pt idx="379">
                  <c:v>1.12733659558678</c:v>
                </c:pt>
                <c:pt idx="380">
                  <c:v>1.1289075741325918</c:v>
                </c:pt>
                <c:pt idx="381">
                  <c:v>1.126883262031817</c:v>
                </c:pt>
                <c:pt idx="382">
                  <c:v>1.1217904150975362</c:v>
                </c:pt>
                <c:pt idx="383">
                  <c:v>1.1172019239653852</c:v>
                </c:pt>
                <c:pt idx="384">
                  <c:v>1.121910192933872</c:v>
                </c:pt>
                <c:pt idx="385">
                  <c:v>1.1282696627096129</c:v>
                </c:pt>
                <c:pt idx="386">
                  <c:v>1.1332199317964109</c:v>
                </c:pt>
                <c:pt idx="387">
                  <c:v>1.128445040573131</c:v>
                </c:pt>
                <c:pt idx="388">
                  <c:v>1.1237926382986232</c:v>
                </c:pt>
                <c:pt idx="389">
                  <c:v>1.1350050437802437</c:v>
                </c:pt>
                <c:pt idx="390">
                  <c:v>1.1295367299957346</c:v>
                </c:pt>
                <c:pt idx="391">
                  <c:v>1.1234298825657203</c:v>
                </c:pt>
                <c:pt idx="392">
                  <c:v>1.1255335280386136</c:v>
                </c:pt>
                <c:pt idx="393">
                  <c:v>1.1204131699797719</c:v>
                </c:pt>
                <c:pt idx="394">
                  <c:v>1.1233773047622377</c:v>
                </c:pt>
                <c:pt idx="395">
                  <c:v>1.1250434833545917</c:v>
                </c:pt>
                <c:pt idx="396">
                  <c:v>1.1222942375660718</c:v>
                </c:pt>
                <c:pt idx="397">
                  <c:v>1.1212353926039698</c:v>
                </c:pt>
                <c:pt idx="398">
                  <c:v>1.1192798805368305</c:v>
                </c:pt>
                <c:pt idx="399">
                  <c:v>1.1162112568143923</c:v>
                </c:pt>
                <c:pt idx="400">
                  <c:v>1.1175024130011797</c:v>
                </c:pt>
                <c:pt idx="401">
                  <c:v>1.113991655729254</c:v>
                </c:pt>
                <c:pt idx="402">
                  <c:v>1.1180887243989319</c:v>
                </c:pt>
                <c:pt idx="403">
                  <c:v>1.1110486765126861</c:v>
                </c:pt>
                <c:pt idx="404">
                  <c:v>1.1062202741521341</c:v>
                </c:pt>
                <c:pt idx="405">
                  <c:v>1.1007865381623076</c:v>
                </c:pt>
                <c:pt idx="406">
                  <c:v>1.1015271163021456</c:v>
                </c:pt>
                <c:pt idx="407">
                  <c:v>1.100752982590347</c:v>
                </c:pt>
                <c:pt idx="408">
                  <c:v>1.0958180912888447</c:v>
                </c:pt>
                <c:pt idx="409">
                  <c:v>1.0988668927793699</c:v>
                </c:pt>
                <c:pt idx="410">
                  <c:v>1.1072446746529521</c:v>
                </c:pt>
                <c:pt idx="411">
                  <c:v>1.1120978325811626</c:v>
                </c:pt>
                <c:pt idx="412">
                  <c:v>1.1181672133261931</c:v>
                </c:pt>
                <c:pt idx="413">
                  <c:v>1.1156682787711585</c:v>
                </c:pt>
                <c:pt idx="414">
                  <c:v>1.1210534814039241</c:v>
                </c:pt>
                <c:pt idx="415">
                  <c:v>1.1074296969656297</c:v>
                </c:pt>
                <c:pt idx="416">
                  <c:v>1.1061580074550259</c:v>
                </c:pt>
                <c:pt idx="417">
                  <c:v>1.1071332079317904</c:v>
                </c:pt>
                <c:pt idx="418">
                  <c:v>1.0983871147670339</c:v>
                </c:pt>
                <c:pt idx="419">
                  <c:v>1.1023721389374901</c:v>
                </c:pt>
                <c:pt idx="420">
                  <c:v>1.1062538297240945</c:v>
                </c:pt>
                <c:pt idx="421">
                  <c:v>1.1082995196130985</c:v>
                </c:pt>
                <c:pt idx="422">
                  <c:v>1.1109507209092413</c:v>
                </c:pt>
                <c:pt idx="423">
                  <c:v>1.11078374304983</c:v>
                </c:pt>
                <c:pt idx="424">
                  <c:v>1.1062360963820916</c:v>
                </c:pt>
                <c:pt idx="425">
                  <c:v>1.0936166679903709</c:v>
                </c:pt>
                <c:pt idx="426">
                  <c:v>1.0915729781023449</c:v>
                </c:pt>
                <c:pt idx="427">
                  <c:v>1.0906427554253471</c:v>
                </c:pt>
                <c:pt idx="428">
                  <c:v>1.0877619095724891</c:v>
                </c:pt>
                <c:pt idx="429">
                  <c:v>1.0831812851108504</c:v>
                </c:pt>
                <c:pt idx="430">
                  <c:v>1.0867875535405815</c:v>
                </c:pt>
                <c:pt idx="431">
                  <c:v>1.0937834680719176</c:v>
                </c:pt>
                <c:pt idx="432">
                  <c:v>1.1001015600496515</c:v>
                </c:pt>
                <c:pt idx="433">
                  <c:v>1.103771650732807</c:v>
                </c:pt>
                <c:pt idx="434">
                  <c:v>1.099756582103218</c:v>
                </c:pt>
                <c:pt idx="435">
                  <c:v>1.0932351122482771</c:v>
                </c:pt>
                <c:pt idx="436">
                  <c:v>1.0891033768949843</c:v>
                </c:pt>
                <c:pt idx="437">
                  <c:v>1.0839015521296478</c:v>
                </c:pt>
                <c:pt idx="438">
                  <c:v>1.0765666596548114</c:v>
                </c:pt>
                <c:pt idx="439">
                  <c:v>1.0689636781600205</c:v>
                </c:pt>
                <c:pt idx="440">
                  <c:v>1.0675684774779224</c:v>
                </c:pt>
                <c:pt idx="441">
                  <c:v>1.0708044346155012</c:v>
                </c:pt>
                <c:pt idx="442">
                  <c:v>1.0743999030399525</c:v>
                </c:pt>
                <c:pt idx="443">
                  <c:v>1.061492741174229</c:v>
                </c:pt>
                <c:pt idx="444">
                  <c:v>1.0620747859032287</c:v>
                </c:pt>
                <c:pt idx="445">
                  <c:v>1.0564778942780815</c:v>
                </c:pt>
                <c:pt idx="446">
                  <c:v>1.0569814945242861</c:v>
                </c:pt>
                <c:pt idx="447">
                  <c:v>1.0561500274511246</c:v>
                </c:pt>
                <c:pt idx="448">
                  <c:v>1.0512553139470424</c:v>
                </c:pt>
                <c:pt idx="449">
                  <c:v>1.0530948259574704</c:v>
                </c:pt>
                <c:pt idx="450">
                  <c:v>1.0473172231328645</c:v>
                </c:pt>
                <c:pt idx="451">
                  <c:v>1.0420758427926342</c:v>
                </c:pt>
                <c:pt idx="452">
                  <c:v>1.0412726423999583</c:v>
                </c:pt>
                <c:pt idx="453">
                  <c:v>1.0409115311123041</c:v>
                </c:pt>
                <c:pt idx="454">
                  <c:v>1.0424851763260861</c:v>
                </c:pt>
                <c:pt idx="455">
                  <c:v>1.0466928672720683</c:v>
                </c:pt>
                <c:pt idx="456">
                  <c:v>1.038075129725619</c:v>
                </c:pt>
                <c:pt idx="457">
                  <c:v>1.041764153751364</c:v>
                </c:pt>
                <c:pt idx="458">
                  <c:v>1.0420492650018629</c:v>
                </c:pt>
                <c:pt idx="459">
                  <c:v>1.0393569970189762</c:v>
                </c:pt>
                <c:pt idx="460">
                  <c:v>1.0401076196081696</c:v>
                </c:pt>
                <c:pt idx="461">
                  <c:v>1.0404637086711463</c:v>
                </c:pt>
                <c:pt idx="462">
                  <c:v>1.0370964625804928</c:v>
                </c:pt>
                <c:pt idx="463">
                  <c:v>1.0387317522688566</c:v>
                </c:pt>
                <c:pt idx="464">
                  <c:v>1.0423541984842748</c:v>
                </c:pt>
                <c:pt idx="465">
                  <c:v>1.0316585488108461</c:v>
                </c:pt>
                <c:pt idx="466">
                  <c:v>1.034954150422029</c:v>
                </c:pt>
                <c:pt idx="467">
                  <c:v>1.0267724575332013</c:v>
                </c:pt>
                <c:pt idx="468">
                  <c:v>1.0254721902308486</c:v>
                </c:pt>
                <c:pt idx="469">
                  <c:v>1.0277830358050397</c:v>
                </c:pt>
                <c:pt idx="470">
                  <c:v>1.0367777957580335</c:v>
                </c:pt>
                <c:pt idx="471">
                  <c:v>1.0495173575418191</c:v>
                </c:pt>
                <c:pt idx="472">
                  <c:v>1.0491096684536159</c:v>
                </c:pt>
                <c:pt idx="473">
                  <c:v>1.0513514917718403</c:v>
                </c:pt>
                <c:pt idx="474">
                  <c:v>1.0536293151076652</c:v>
                </c:pt>
                <c:pt idx="475">
                  <c:v>1.0480236234782159</c:v>
                </c:pt>
                <c:pt idx="476">
                  <c:v>1.0449806442127594</c:v>
                </c:pt>
                <c:pt idx="477">
                  <c:v>1.0467186450624486</c:v>
                </c:pt>
                <c:pt idx="478">
                  <c:v>1.0447641996624977</c:v>
                </c:pt>
                <c:pt idx="479">
                  <c:v>1.0292044142777135</c:v>
                </c:pt>
                <c:pt idx="480">
                  <c:v>1.0308972151053053</c:v>
                </c:pt>
                <c:pt idx="481">
                  <c:v>1.0343180612221632</c:v>
                </c:pt>
                <c:pt idx="482">
                  <c:v>1.0349087281776006</c:v>
                </c:pt>
                <c:pt idx="483">
                  <c:v>1.0373632182664623</c:v>
                </c:pt>
                <c:pt idx="484">
                  <c:v>1.0434160212256105</c:v>
                </c:pt>
                <c:pt idx="485">
                  <c:v>1.0429983765769839</c:v>
                </c:pt>
                <c:pt idx="486">
                  <c:v>1.0465186449646708</c:v>
                </c:pt>
                <c:pt idx="487">
                  <c:v>1.0483911347689994</c:v>
                </c:pt>
                <c:pt idx="488">
                  <c:v>1.0463234893137059</c:v>
                </c:pt>
                <c:pt idx="489">
                  <c:v>1.0423249984699994</c:v>
                </c:pt>
                <c:pt idx="490">
                  <c:v>1.0379155740920585</c:v>
                </c:pt>
                <c:pt idx="491">
                  <c:v>1.0202057432116967</c:v>
                </c:pt>
                <c:pt idx="492">
                  <c:v>1.0001583111885077</c:v>
                </c:pt>
                <c:pt idx="493">
                  <c:v>1.0001893334258962</c:v>
                </c:pt>
                <c:pt idx="494">
                  <c:v>0.99975191098982319</c:v>
                </c:pt>
                <c:pt idx="495">
                  <c:v>0.97567927699875767</c:v>
                </c:pt>
                <c:pt idx="496">
                  <c:v>0.9754399435484169</c:v>
                </c:pt>
                <c:pt idx="497">
                  <c:v>0.97444425417274649</c:v>
                </c:pt>
                <c:pt idx="498">
                  <c:v>0.94193708272479593</c:v>
                </c:pt>
                <c:pt idx="499">
                  <c:v>0.94865113045166372</c:v>
                </c:pt>
                <c:pt idx="500">
                  <c:v>0.95201739876406166</c:v>
                </c:pt>
                <c:pt idx="501">
                  <c:v>0.95340957722246</c:v>
                </c:pt>
                <c:pt idx="502">
                  <c:v>0.96358989331061451</c:v>
                </c:pt>
                <c:pt idx="503">
                  <c:v>0.9699497630865509</c:v>
                </c:pt>
                <c:pt idx="504">
                  <c:v>0.98037510151671636</c:v>
                </c:pt>
                <c:pt idx="505">
                  <c:v>0.98281785826650858</c:v>
                </c:pt>
                <c:pt idx="506">
                  <c:v>0.98116754634857817</c:v>
                </c:pt>
                <c:pt idx="507">
                  <c:v>0.98620941548015861</c:v>
                </c:pt>
                <c:pt idx="508">
                  <c:v>0.99142230691757216</c:v>
                </c:pt>
                <c:pt idx="509">
                  <c:v>0.99459573069124618</c:v>
                </c:pt>
                <c:pt idx="510">
                  <c:v>1.0012405783842826</c:v>
                </c:pt>
                <c:pt idx="511">
                  <c:v>1.0060572029612991</c:v>
                </c:pt>
                <c:pt idx="512">
                  <c:v>1.0212185881513096</c:v>
                </c:pt>
                <c:pt idx="513">
                  <c:v>1.0220735219026107</c:v>
                </c:pt>
                <c:pt idx="514">
                  <c:v>1.023176722441953</c:v>
                </c:pt>
                <c:pt idx="515">
                  <c:v>1.0162227190422182</c:v>
                </c:pt>
                <c:pt idx="516">
                  <c:v>1.012479694990073</c:v>
                </c:pt>
                <c:pt idx="517">
                  <c:v>1.0124272949644553</c:v>
                </c:pt>
                <c:pt idx="518">
                  <c:v>1.0089614266033642</c:v>
                </c:pt>
                <c:pt idx="519">
                  <c:v>1.0099097826225605</c:v>
                </c:pt>
                <c:pt idx="520">
                  <c:v>1.0116056056738516</c:v>
                </c:pt>
                <c:pt idx="521">
                  <c:v>1.0081063595186646</c:v>
                </c:pt>
                <c:pt idx="522">
                  <c:v>1.0053662692901759</c:v>
                </c:pt>
                <c:pt idx="523">
                  <c:v>0.97342096478358286</c:v>
                </c:pt>
                <c:pt idx="524">
                  <c:v>0.97388483167702877</c:v>
                </c:pt>
                <c:pt idx="525">
                  <c:v>0.98701906032042941</c:v>
                </c:pt>
                <c:pt idx="526">
                  <c:v>0.98117763524239943</c:v>
                </c:pt>
                <c:pt idx="527">
                  <c:v>0.98620385992188708</c:v>
                </c:pt>
                <c:pt idx="528">
                  <c:v>0.98985595059624243</c:v>
                </c:pt>
                <c:pt idx="529">
                  <c:v>0.98622945993440259</c:v>
                </c:pt>
                <c:pt idx="530">
                  <c:v>0.97481429879810155</c:v>
                </c:pt>
                <c:pt idx="531">
                  <c:v>0.97108918586582416</c:v>
                </c:pt>
                <c:pt idx="532">
                  <c:v>0.96900607373630265</c:v>
                </c:pt>
                <c:pt idx="533">
                  <c:v>0.97567643255292258</c:v>
                </c:pt>
                <c:pt idx="534">
                  <c:v>0.98113856855663351</c:v>
                </c:pt>
                <c:pt idx="535">
                  <c:v>0.9743624763549884</c:v>
                </c:pt>
                <c:pt idx="536">
                  <c:v>0.96964567404899626</c:v>
                </c:pt>
                <c:pt idx="537">
                  <c:v>0.95884984654881378</c:v>
                </c:pt>
                <c:pt idx="538">
                  <c:v>0.95127922062539672</c:v>
                </c:pt>
                <c:pt idx="539">
                  <c:v>0.95265388796412309</c:v>
                </c:pt>
                <c:pt idx="540">
                  <c:v>0.95360651065207191</c:v>
                </c:pt>
                <c:pt idx="541">
                  <c:v>0.94014903740619604</c:v>
                </c:pt>
                <c:pt idx="542">
                  <c:v>0.9384449032397304</c:v>
                </c:pt>
                <c:pt idx="543">
                  <c:v>0.9492571307479305</c:v>
                </c:pt>
                <c:pt idx="544">
                  <c:v>0.94666912948268556</c:v>
                </c:pt>
                <c:pt idx="545">
                  <c:v>0.93531352393105616</c:v>
                </c:pt>
                <c:pt idx="546">
                  <c:v>0.94220170507638912</c:v>
                </c:pt>
                <c:pt idx="547">
                  <c:v>0.94064650431606867</c:v>
                </c:pt>
                <c:pt idx="548">
                  <c:v>0.94538992885729844</c:v>
                </c:pt>
                <c:pt idx="549">
                  <c:v>0.94811477463388982</c:v>
                </c:pt>
                <c:pt idx="550">
                  <c:v>0.95562051163669459</c:v>
                </c:pt>
                <c:pt idx="551">
                  <c:v>0.95731131246330825</c:v>
                </c:pt>
                <c:pt idx="552">
                  <c:v>0.9572980235679226</c:v>
                </c:pt>
                <c:pt idx="553">
                  <c:v>0.9580670906105776</c:v>
                </c:pt>
                <c:pt idx="554">
                  <c:v>0.95437064435898167</c:v>
                </c:pt>
                <c:pt idx="555">
                  <c:v>0.95289362141465928</c:v>
                </c:pt>
                <c:pt idx="556">
                  <c:v>0.96315860421087307</c:v>
                </c:pt>
                <c:pt idx="557">
                  <c:v>0.96317153755052942</c:v>
                </c:pt>
                <c:pt idx="558">
                  <c:v>0.96048980290612584</c:v>
                </c:pt>
                <c:pt idx="559">
                  <c:v>0.96582687218202634</c:v>
                </c:pt>
                <c:pt idx="560">
                  <c:v>0.97411269845509707</c:v>
                </c:pt>
                <c:pt idx="561">
                  <c:v>0.9776640335246386</c:v>
                </c:pt>
                <c:pt idx="562">
                  <c:v>0.98869128336018286</c:v>
                </c:pt>
                <c:pt idx="563">
                  <c:v>0.98164821325023743</c:v>
                </c:pt>
                <c:pt idx="564">
                  <c:v>0.97995114575389353</c:v>
                </c:pt>
                <c:pt idx="565">
                  <c:v>0.96956594067668211</c:v>
                </c:pt>
                <c:pt idx="566">
                  <c:v>0.9677273175555775</c:v>
                </c:pt>
                <c:pt idx="567">
                  <c:v>0.94474877298828897</c:v>
                </c:pt>
                <c:pt idx="568">
                  <c:v>0.95783562383074949</c:v>
                </c:pt>
                <c:pt idx="569">
                  <c:v>0.95415491092017857</c:v>
                </c:pt>
                <c:pt idx="570">
                  <c:v>0.95313704375588804</c:v>
                </c:pt>
                <c:pt idx="571">
                  <c:v>0.95646735649515202</c:v>
                </c:pt>
                <c:pt idx="572">
                  <c:v>0.9578586905086931</c:v>
                </c:pt>
                <c:pt idx="573">
                  <c:v>0.94838757476725877</c:v>
                </c:pt>
                <c:pt idx="574">
                  <c:v>0.93570250189900095</c:v>
                </c:pt>
                <c:pt idx="575">
                  <c:v>0.93525756834814455</c:v>
                </c:pt>
                <c:pt idx="576">
                  <c:v>0.94215206060767409</c:v>
                </c:pt>
                <c:pt idx="577">
                  <c:v>0.93935277035024323</c:v>
                </c:pt>
                <c:pt idx="578">
                  <c:v>0.93939957037312338</c:v>
                </c:pt>
                <c:pt idx="579">
                  <c:v>0.93324890069946265</c:v>
                </c:pt>
                <c:pt idx="580">
                  <c:v>0.88549483290858499</c:v>
                </c:pt>
                <c:pt idx="581">
                  <c:v>0.88845083435374128</c:v>
                </c:pt>
                <c:pt idx="582">
                  <c:v>0.87737189560403783</c:v>
                </c:pt>
                <c:pt idx="583">
                  <c:v>0.87509985004881552</c:v>
                </c:pt>
                <c:pt idx="584">
                  <c:v>0.870578114504856</c:v>
                </c:pt>
                <c:pt idx="585">
                  <c:v>0.86660460145113849</c:v>
                </c:pt>
                <c:pt idx="586">
                  <c:v>0.86308842195433966</c:v>
                </c:pt>
                <c:pt idx="587">
                  <c:v>0.85560188496092149</c:v>
                </c:pt>
                <c:pt idx="588">
                  <c:v>0.86670917928004321</c:v>
                </c:pt>
                <c:pt idx="589">
                  <c:v>0.85915459780891446</c:v>
                </c:pt>
                <c:pt idx="590">
                  <c:v>0.86870584692285846</c:v>
                </c:pt>
                <c:pt idx="591">
                  <c:v>0.87084140352246397</c:v>
                </c:pt>
                <c:pt idx="592">
                  <c:v>0.8591004200046497</c:v>
                </c:pt>
                <c:pt idx="593">
                  <c:v>0.85631650753251476</c:v>
                </c:pt>
                <c:pt idx="594">
                  <c:v>0.86834775785890383</c:v>
                </c:pt>
                <c:pt idx="595">
                  <c:v>0.86919775827445955</c:v>
                </c:pt>
                <c:pt idx="596">
                  <c:v>0.85375997294932016</c:v>
                </c:pt>
                <c:pt idx="597">
                  <c:v>0.86749709077635551</c:v>
                </c:pt>
                <c:pt idx="598">
                  <c:v>0.86675073485591481</c:v>
                </c:pt>
                <c:pt idx="599">
                  <c:v>0.8670170016527563</c:v>
                </c:pt>
                <c:pt idx="600">
                  <c:v>0.8662977568566812</c:v>
                </c:pt>
                <c:pt idx="601">
                  <c:v>0.8842143878381451</c:v>
                </c:pt>
                <c:pt idx="602">
                  <c:v>0.88295163166524215</c:v>
                </c:pt>
                <c:pt idx="603">
                  <c:v>0.90122470726541237</c:v>
                </c:pt>
                <c:pt idx="604">
                  <c:v>0.90664639880490616</c:v>
                </c:pt>
                <c:pt idx="605">
                  <c:v>0.91053408959444371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BA6-4134-B0AA-4ADD19ECF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1052863"/>
        <c:axId val="271052031"/>
      </c:lineChart>
      <c:dateAx>
        <c:axId val="2710528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1052031"/>
        <c:crosses val="autoZero"/>
        <c:auto val="1"/>
        <c:lblOffset val="100"/>
        <c:baseTimeUnit val="days"/>
      </c:dateAx>
      <c:valAx>
        <c:axId val="271052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1052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38100</xdr:colOff>
          <xdr:row>0</xdr:row>
          <xdr:rowOff>161925</xdr:rowOff>
        </xdr:from>
        <xdr:to>
          <xdr:col>23</xdr:col>
          <xdr:colOff>400050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33338</xdr:colOff>
          <xdr:row>3</xdr:row>
          <xdr:rowOff>166688</xdr:rowOff>
        </xdr:from>
        <xdr:to>
          <xdr:col>23</xdr:col>
          <xdr:colOff>400050</xdr:colOff>
          <xdr:row>5</xdr:row>
          <xdr:rowOff>147638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categorize2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519112</xdr:colOff>
      <xdr:row>0</xdr:row>
      <xdr:rowOff>142875</xdr:rowOff>
    </xdr:from>
    <xdr:to>
      <xdr:col>13</xdr:col>
      <xdr:colOff>442912</xdr:colOff>
      <xdr:row>18</xdr:row>
      <xdr:rowOff>104775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92866</xdr:colOff>
      <xdr:row>2</xdr:row>
      <xdr:rowOff>11905</xdr:rowOff>
    </xdr:from>
    <xdr:to>
      <xdr:col>37</xdr:col>
      <xdr:colOff>471488</xdr:colOff>
      <xdr:row>27</xdr:row>
      <xdr:rowOff>61912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0.08209</cdr:x>
      <cdr:y>0.09726</cdr:y>
    </cdr:from>
    <cdr:to>
      <cdr:x>0.37407</cdr:x>
      <cdr:y>0.70821</cdr:y>
    </cdr:to>
    <cdr:sp macro="" textlink="">
      <cdr:nvSpPr>
        <cdr:cNvPr id="6" name="矩形 5"/>
        <cdr:cNvSpPr/>
      </cdr:nvSpPr>
      <cdr:spPr>
        <a:xfrm xmlns:a="http://schemas.openxmlformats.org/drawingml/2006/main">
          <a:off x="419100" y="304800"/>
          <a:ext cx="1490662" cy="1914525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5000"/>
          </a:srgbClr>
        </a:solidFill>
        <a:ln xmlns:a="http://schemas.openxmlformats.org/drawingml/2006/main">
          <a:noFill/>
        </a:ln>
        <a:effectLst xmlns:a="http://schemas.openxmlformats.org/drawingml/2006/main">
          <a:outerShdw blurRad="50800" dist="50800" dir="5400000" algn="ctr" rotWithShape="0">
            <a:schemeClr val="bg1"/>
          </a:outerShdw>
        </a:effectLst>
      </cdr:spPr>
      <cdr:style>
        <a:lnRef xmlns:a="http://schemas.openxmlformats.org/drawingml/2006/main" idx="2">
          <a:schemeClr val="accent5">
            <a:shade val="50000"/>
          </a:schemeClr>
        </a:lnRef>
        <a:fillRef xmlns:a="http://schemas.openxmlformats.org/drawingml/2006/main" idx="1">
          <a:schemeClr val="accent5"/>
        </a:fillRef>
        <a:effectRef xmlns:a="http://schemas.openxmlformats.org/drawingml/2006/main" idx="0">
          <a:schemeClr val="accent5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0.375</cdr:x>
      <cdr:y>0.1003</cdr:y>
    </cdr:from>
    <cdr:to>
      <cdr:x>0.37593</cdr:x>
      <cdr:y>0.70213</cdr:y>
    </cdr:to>
    <cdr:cxnSp macro="">
      <cdr:nvCxnSpPr>
        <cdr:cNvPr id="3" name="直接连接符 2"/>
        <cdr:cNvCxnSpPr/>
      </cdr:nvCxnSpPr>
      <cdr:spPr>
        <a:xfrm xmlns:a="http://schemas.openxmlformats.org/drawingml/2006/main" flipV="1">
          <a:off x="1914525" y="314326"/>
          <a:ext cx="4763" cy="1885950"/>
        </a:xfrm>
        <a:prstGeom xmlns:a="http://schemas.openxmlformats.org/drawingml/2006/main" prst="line">
          <a:avLst/>
        </a:prstGeom>
        <a:ln xmlns:a="http://schemas.openxmlformats.org/drawingml/2006/main" w="9525">
          <a:prstDash val="dashDot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0.50715</cdr:x>
      <cdr:y>0.10436</cdr:y>
    </cdr:from>
    <cdr:to>
      <cdr:x>0.50808</cdr:x>
      <cdr:y>0.70618</cdr:y>
    </cdr:to>
    <cdr:cxnSp macro="">
      <cdr:nvCxnSpPr>
        <cdr:cNvPr id="4" name="直接连接符 3"/>
        <cdr:cNvCxnSpPr/>
      </cdr:nvCxnSpPr>
      <cdr:spPr>
        <a:xfrm xmlns:a="http://schemas.openxmlformats.org/drawingml/2006/main" flipV="1">
          <a:off x="2589212" y="327024"/>
          <a:ext cx="4763" cy="1885950"/>
        </a:xfrm>
        <a:prstGeom xmlns:a="http://schemas.openxmlformats.org/drawingml/2006/main" prst="line">
          <a:avLst/>
        </a:prstGeom>
        <a:ln xmlns:a="http://schemas.openxmlformats.org/drawingml/2006/main" w="9525">
          <a:prstDash val="dashDot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0.77861</cdr:x>
      <cdr:y>0.10284</cdr:y>
    </cdr:from>
    <cdr:to>
      <cdr:x>0.77954</cdr:x>
      <cdr:y>0.70466</cdr:y>
    </cdr:to>
    <cdr:cxnSp macro="">
      <cdr:nvCxnSpPr>
        <cdr:cNvPr id="5" name="直接连接符 4"/>
        <cdr:cNvCxnSpPr/>
      </cdr:nvCxnSpPr>
      <cdr:spPr>
        <a:xfrm xmlns:a="http://schemas.openxmlformats.org/drawingml/2006/main" flipV="1">
          <a:off x="3975100" y="322262"/>
          <a:ext cx="4763" cy="1885950"/>
        </a:xfrm>
        <a:prstGeom xmlns:a="http://schemas.openxmlformats.org/drawingml/2006/main" prst="line">
          <a:avLst/>
        </a:prstGeom>
        <a:ln xmlns:a="http://schemas.openxmlformats.org/drawingml/2006/main" w="9525">
          <a:prstDash val="dashDot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0.37469</cdr:x>
      <cdr:y>0.09726</cdr:y>
    </cdr:from>
    <cdr:to>
      <cdr:x>0.50933</cdr:x>
      <cdr:y>0.70821</cdr:y>
    </cdr:to>
    <cdr:sp macro="" textlink="">
      <cdr:nvSpPr>
        <cdr:cNvPr id="7" name="矩形 6"/>
        <cdr:cNvSpPr/>
      </cdr:nvSpPr>
      <cdr:spPr>
        <a:xfrm xmlns:a="http://schemas.openxmlformats.org/drawingml/2006/main">
          <a:off x="1912938" y="304799"/>
          <a:ext cx="687388" cy="1914525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1">
            <a:lumMod val="75000"/>
            <a:alpha val="15000"/>
          </a:schemeClr>
        </a:solidFill>
        <a:ln xmlns:a="http://schemas.openxmlformats.org/drawingml/2006/main">
          <a:noFill/>
        </a:ln>
        <a:effectLst xmlns:a="http://schemas.openxmlformats.org/drawingml/2006/main">
          <a:outerShdw blurRad="50800" dist="50800" dir="5400000" algn="ctr" rotWithShape="0">
            <a:schemeClr val="bg1"/>
          </a:outerShdw>
        </a:effectLst>
      </cdr:spPr>
      <cdr:style>
        <a:lnRef xmlns:a="http://schemas.openxmlformats.org/drawingml/2006/main" idx="2">
          <a:schemeClr val="accent5">
            <a:shade val="50000"/>
          </a:schemeClr>
        </a:lnRef>
        <a:fillRef xmlns:a="http://schemas.openxmlformats.org/drawingml/2006/main" idx="1">
          <a:schemeClr val="accent5"/>
        </a:fillRef>
        <a:effectRef xmlns:a="http://schemas.openxmlformats.org/drawingml/2006/main" idx="0">
          <a:schemeClr val="accent5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0.375</cdr:x>
      <cdr:y>0.1003</cdr:y>
    </cdr:from>
    <cdr:to>
      <cdr:x>0.37593</cdr:x>
      <cdr:y>0.70213</cdr:y>
    </cdr:to>
    <cdr:cxnSp macro="">
      <cdr:nvCxnSpPr>
        <cdr:cNvPr id="9" name="直接连接符 2"/>
        <cdr:cNvCxnSpPr/>
      </cdr:nvCxnSpPr>
      <cdr:spPr>
        <a:xfrm xmlns:a="http://schemas.openxmlformats.org/drawingml/2006/main" flipV="1">
          <a:off x="1914525" y="314326"/>
          <a:ext cx="4763" cy="1885950"/>
        </a:xfrm>
        <a:prstGeom xmlns:a="http://schemas.openxmlformats.org/drawingml/2006/main" prst="line">
          <a:avLst/>
        </a:prstGeom>
        <a:ln xmlns:a="http://schemas.openxmlformats.org/drawingml/2006/main" w="9525">
          <a:prstDash val="dashDot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0.50715</cdr:x>
      <cdr:y>0.10436</cdr:y>
    </cdr:from>
    <cdr:to>
      <cdr:x>0.50808</cdr:x>
      <cdr:y>0.70618</cdr:y>
    </cdr:to>
    <cdr:cxnSp macro="">
      <cdr:nvCxnSpPr>
        <cdr:cNvPr id="10" name="直接连接符 3"/>
        <cdr:cNvCxnSpPr/>
      </cdr:nvCxnSpPr>
      <cdr:spPr>
        <a:xfrm xmlns:a="http://schemas.openxmlformats.org/drawingml/2006/main" flipV="1">
          <a:off x="2589212" y="327024"/>
          <a:ext cx="4763" cy="1885950"/>
        </a:xfrm>
        <a:prstGeom xmlns:a="http://schemas.openxmlformats.org/drawingml/2006/main" prst="line">
          <a:avLst/>
        </a:prstGeom>
        <a:ln xmlns:a="http://schemas.openxmlformats.org/drawingml/2006/main" w="9525">
          <a:prstDash val="dashDot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0.77861</cdr:x>
      <cdr:y>0.10284</cdr:y>
    </cdr:from>
    <cdr:to>
      <cdr:x>0.77954</cdr:x>
      <cdr:y>0.70466</cdr:y>
    </cdr:to>
    <cdr:cxnSp macro="">
      <cdr:nvCxnSpPr>
        <cdr:cNvPr id="11" name="直接连接符 4"/>
        <cdr:cNvCxnSpPr/>
      </cdr:nvCxnSpPr>
      <cdr:spPr>
        <a:xfrm xmlns:a="http://schemas.openxmlformats.org/drawingml/2006/main" flipV="1">
          <a:off x="3975100" y="322262"/>
          <a:ext cx="4763" cy="1885950"/>
        </a:xfrm>
        <a:prstGeom xmlns:a="http://schemas.openxmlformats.org/drawingml/2006/main" prst="line">
          <a:avLst/>
        </a:prstGeom>
        <a:ln xmlns:a="http://schemas.openxmlformats.org/drawingml/2006/main" w="9525">
          <a:prstDash val="dashDot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0.77674</cdr:x>
      <cdr:y>0.10031</cdr:y>
    </cdr:from>
    <cdr:to>
      <cdr:x>0.95243</cdr:x>
      <cdr:y>0.71125</cdr:y>
    </cdr:to>
    <cdr:sp macro="" textlink="">
      <cdr:nvSpPr>
        <cdr:cNvPr id="12" name="矩形 6"/>
        <cdr:cNvSpPr/>
      </cdr:nvSpPr>
      <cdr:spPr>
        <a:xfrm xmlns:a="http://schemas.openxmlformats.org/drawingml/2006/main">
          <a:off x="3965577" y="314333"/>
          <a:ext cx="896934" cy="1914518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alpha val="15000"/>
          </a:schemeClr>
        </a:solidFill>
        <a:ln xmlns:a="http://schemas.openxmlformats.org/drawingml/2006/main">
          <a:noFill/>
        </a:ln>
        <a:effectLst xmlns:a="http://schemas.openxmlformats.org/drawingml/2006/main">
          <a:outerShdw blurRad="50800" dist="50800" dir="5400000" algn="ctr" rotWithShape="0">
            <a:schemeClr val="bg1"/>
          </a:outerShdw>
        </a:effectLst>
      </cdr:spPr>
      <cdr:style>
        <a:lnRef xmlns:a="http://schemas.openxmlformats.org/drawingml/2006/main" idx="2">
          <a:schemeClr val="accent5">
            <a:shade val="50000"/>
          </a:schemeClr>
        </a:lnRef>
        <a:fillRef xmlns:a="http://schemas.openxmlformats.org/drawingml/2006/main" idx="1">
          <a:schemeClr val="accent5"/>
        </a:fillRef>
        <a:effectRef xmlns:a="http://schemas.openxmlformats.org/drawingml/2006/main" idx="0">
          <a:schemeClr val="accent5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zh-CN"/>
        </a:p>
      </cdr:txBody>
    </cdr:sp>
  </cdr:relSizeAnchor>
  <cdr:relSizeAnchor xmlns:cdr="http://schemas.openxmlformats.org/drawingml/2006/chartDrawing">
    <cdr:from>
      <cdr:x>0.50902</cdr:x>
      <cdr:y>0.0998</cdr:y>
    </cdr:from>
    <cdr:to>
      <cdr:x>0.77799</cdr:x>
      <cdr:y>0.71075</cdr:y>
    </cdr:to>
    <cdr:sp macro="" textlink="">
      <cdr:nvSpPr>
        <cdr:cNvPr id="13" name="矩形 12"/>
        <cdr:cNvSpPr/>
      </cdr:nvSpPr>
      <cdr:spPr>
        <a:xfrm xmlns:a="http://schemas.openxmlformats.org/drawingml/2006/main">
          <a:off x="2598738" y="312737"/>
          <a:ext cx="1373188" cy="1914549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>
            <a:alpha val="15000"/>
          </a:srgbClr>
        </a:solidFill>
        <a:ln xmlns:a="http://schemas.openxmlformats.org/drawingml/2006/main">
          <a:noFill/>
        </a:ln>
        <a:effectLst xmlns:a="http://schemas.openxmlformats.org/drawingml/2006/main">
          <a:outerShdw blurRad="50800" dist="50800" dir="5400000" algn="ctr" rotWithShape="0">
            <a:schemeClr val="bg1"/>
          </a:outerShdw>
        </a:effectLst>
      </cdr:spPr>
      <cdr:style>
        <a:lnRef xmlns:a="http://schemas.openxmlformats.org/drawingml/2006/main" idx="2">
          <a:schemeClr val="accent5">
            <a:shade val="50000"/>
          </a:schemeClr>
        </a:lnRef>
        <a:fillRef xmlns:a="http://schemas.openxmlformats.org/drawingml/2006/main" idx="1">
          <a:schemeClr val="accent5"/>
        </a:fillRef>
        <a:effectRef xmlns:a="http://schemas.openxmlformats.org/drawingml/2006/main" idx="0">
          <a:schemeClr val="accent5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zh-CN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/Wind.NET.Client/WindNET/DataBrowse/XLA/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i_dq_clos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762"/>
  <sheetViews>
    <sheetView workbookViewId="0">
      <selection activeCell="S10" sqref="S10"/>
    </sheetView>
  </sheetViews>
  <sheetFormatPr defaultRowHeight="13.9" x14ac:dyDescent="0.4"/>
  <cols>
    <col min="2" max="2" width="22" customWidth="1"/>
    <col min="3" max="3" width="12" customWidth="1"/>
    <col min="4" max="4" width="15.1328125" customWidth="1"/>
    <col min="5" max="10" width="18.73046875" customWidth="1"/>
    <col min="11" max="11" width="16.1328125" customWidth="1"/>
    <col min="12" max="12" width="20" customWidth="1"/>
    <col min="13" max="13" width="18.86328125" customWidth="1"/>
    <col min="14" max="14" width="24.46484375" customWidth="1"/>
    <col min="15" max="15" width="14.3984375" customWidth="1"/>
    <col min="16" max="17" width="13.86328125" customWidth="1"/>
    <col min="19" max="19" width="15.59765625" customWidth="1"/>
  </cols>
  <sheetData>
    <row r="1" spans="1:21" x14ac:dyDescent="0.4">
      <c r="A1" t="s">
        <v>76</v>
      </c>
      <c r="B1" t="s">
        <v>77</v>
      </c>
      <c r="C1" t="s">
        <v>78</v>
      </c>
      <c r="D1" t="s">
        <v>79</v>
      </c>
      <c r="K1" t="s">
        <v>80</v>
      </c>
      <c r="L1" t="s">
        <v>81</v>
      </c>
      <c r="M1" t="s">
        <v>82</v>
      </c>
      <c r="N1" t="s">
        <v>36</v>
      </c>
      <c r="O1" t="s">
        <v>0</v>
      </c>
      <c r="P1" t="s">
        <v>1</v>
      </c>
    </row>
    <row r="2" spans="1:21" x14ac:dyDescent="0.4">
      <c r="A2" t="s">
        <v>195</v>
      </c>
      <c r="B2" t="s">
        <v>196</v>
      </c>
      <c r="C2" t="s">
        <v>37</v>
      </c>
      <c r="D2" s="1">
        <v>37162</v>
      </c>
      <c r="K2">
        <v>30.15184381778742</v>
      </c>
      <c r="L2">
        <v>50.118203309692674</v>
      </c>
      <c r="M2">
        <v>77.752293577981646</v>
      </c>
      <c r="N2">
        <f>IF(AND(K2&gt;0,K2&lt;30),1,IF(AND(K2&gt;=30,K2&lt;50),2,IF(K2&gt;=50,3,0)))</f>
        <v>2</v>
      </c>
      <c r="O2">
        <f t="shared" ref="O2:P2" si="0">IF(AND(L2&gt;0,L2&lt;30),1,IF(AND(L2&gt;=30,L2&lt;50),2,IF(L2&gt;=50,3,0)))</f>
        <v>3</v>
      </c>
      <c r="P2">
        <f t="shared" si="0"/>
        <v>3</v>
      </c>
      <c r="S2" t="s">
        <v>29</v>
      </c>
    </row>
    <row r="3" spans="1:21" x14ac:dyDescent="0.4">
      <c r="A3" t="s">
        <v>101</v>
      </c>
      <c r="B3" t="s">
        <v>102</v>
      </c>
      <c r="C3" t="s">
        <v>37</v>
      </c>
      <c r="D3" s="1">
        <v>37565</v>
      </c>
      <c r="K3">
        <v>12.79826464208243</v>
      </c>
      <c r="L3">
        <v>46.335697399527184</v>
      </c>
      <c r="M3">
        <v>49.77064220183486</v>
      </c>
      <c r="N3">
        <f t="shared" ref="N3:N66" si="1">IF(AND(K3&gt;0,K3&lt;30),1,IF(AND(K3&gt;=30,K3&lt;50),2,IF(K3&gt;=50,3,0)))</f>
        <v>1</v>
      </c>
      <c r="O3">
        <f t="shared" ref="O3:O66" si="2">IF(AND(L3&gt;0,L3&lt;30),1,IF(AND(L3&gt;=30,L3&lt;50),2,IF(L3&gt;=50,3,0)))</f>
        <v>2</v>
      </c>
      <c r="P3">
        <f t="shared" ref="P3:P66" si="3">IF(AND(M3&gt;0,M3&lt;30),1,IF(AND(M3&gt;=30,M3&lt;50),2,IF(M3&gt;=50,3,0)))</f>
        <v>2</v>
      </c>
      <c r="S3" s="2" t="s">
        <v>2</v>
      </c>
      <c r="T3" s="3">
        <f>COUNTIFS(N2:N762,"=1",O2:O762,"=1",P2:P762,"=1")</f>
        <v>4</v>
      </c>
      <c r="U3" s="4">
        <f>T3/$T$30</f>
        <v>3.4482758620689655E-2</v>
      </c>
    </row>
    <row r="4" spans="1:21" x14ac:dyDescent="0.4">
      <c r="A4" t="s">
        <v>103</v>
      </c>
      <c r="B4" t="s">
        <v>104</v>
      </c>
      <c r="C4" t="s">
        <v>37</v>
      </c>
      <c r="D4" s="1">
        <v>37817</v>
      </c>
      <c r="K4">
        <v>28.199566160520607</v>
      </c>
      <c r="L4">
        <v>30.969267139479907</v>
      </c>
      <c r="M4">
        <v>83.944954128440372</v>
      </c>
      <c r="N4">
        <f t="shared" si="1"/>
        <v>1</v>
      </c>
      <c r="O4">
        <f t="shared" si="2"/>
        <v>2</v>
      </c>
      <c r="P4">
        <f t="shared" si="3"/>
        <v>3</v>
      </c>
      <c r="S4" s="2" t="s">
        <v>3</v>
      </c>
      <c r="T4" s="3">
        <f>COUNTIFS(N2:N762,"=1",O2:O762,"=1",P2:P762,"=2")</f>
        <v>2</v>
      </c>
      <c r="U4" s="4">
        <f t="shared" ref="U4:U29" si="4">T4/$T$30</f>
        <v>1.7241379310344827E-2</v>
      </c>
    </row>
    <row r="5" spans="1:21" x14ac:dyDescent="0.4">
      <c r="A5" t="s">
        <v>197</v>
      </c>
      <c r="B5" t="s">
        <v>198</v>
      </c>
      <c r="C5" t="s">
        <v>45</v>
      </c>
      <c r="D5" s="1">
        <v>37817</v>
      </c>
      <c r="K5">
        <v>57.76805251641138</v>
      </c>
      <c r="L5">
        <v>53.787878787878789</v>
      </c>
      <c r="M5">
        <v>71.764705882352942</v>
      </c>
      <c r="N5">
        <f t="shared" si="1"/>
        <v>3</v>
      </c>
      <c r="O5">
        <f t="shared" si="2"/>
        <v>3</v>
      </c>
      <c r="P5">
        <f t="shared" si="3"/>
        <v>3</v>
      </c>
      <c r="S5" t="s">
        <v>4</v>
      </c>
      <c r="T5">
        <f>COUNTIFS(N2:N762,"=1",O2:O762,"=1",P2:P762,"=3")</f>
        <v>6</v>
      </c>
      <c r="U5" s="4">
        <f t="shared" si="4"/>
        <v>5.1724137931034482E-2</v>
      </c>
    </row>
    <row r="6" spans="1:21" x14ac:dyDescent="0.4">
      <c r="A6" t="s">
        <v>199</v>
      </c>
      <c r="B6" t="s">
        <v>200</v>
      </c>
      <c r="C6" t="s">
        <v>37</v>
      </c>
      <c r="D6" s="1">
        <v>37837</v>
      </c>
      <c r="K6">
        <v>18.004338394793926</v>
      </c>
      <c r="L6">
        <v>26.24113475177305</v>
      </c>
      <c r="M6">
        <v>80.963302752293572</v>
      </c>
      <c r="N6">
        <f t="shared" si="1"/>
        <v>1</v>
      </c>
      <c r="O6">
        <f t="shared" si="2"/>
        <v>1</v>
      </c>
      <c r="P6">
        <f t="shared" si="3"/>
        <v>3</v>
      </c>
      <c r="S6" s="2" t="s">
        <v>5</v>
      </c>
      <c r="T6" s="3">
        <f>COUNTIFS(N2:N762,"=1",O2:O762,"=2",P2:P762,"=1")</f>
        <v>1</v>
      </c>
      <c r="U6" s="4">
        <f t="shared" si="4"/>
        <v>8.6206896551724137E-3</v>
      </c>
    </row>
    <row r="7" spans="1:21" x14ac:dyDescent="0.4">
      <c r="A7" t="s">
        <v>149</v>
      </c>
      <c r="B7" t="s">
        <v>150</v>
      </c>
      <c r="C7" t="s">
        <v>94</v>
      </c>
      <c r="D7" s="1">
        <v>37841</v>
      </c>
      <c r="K7">
        <v>61.111111111111114</v>
      </c>
      <c r="L7">
        <v>55.555555555555557</v>
      </c>
      <c r="M7">
        <v>11.111111111111111</v>
      </c>
      <c r="N7">
        <f t="shared" si="1"/>
        <v>3</v>
      </c>
      <c r="O7">
        <f t="shared" si="2"/>
        <v>3</v>
      </c>
      <c r="P7">
        <f t="shared" si="3"/>
        <v>1</v>
      </c>
      <c r="S7" t="s">
        <v>6</v>
      </c>
      <c r="T7">
        <f>COUNTIFS(N2:N762,"=1",O2:O762,"=2",P2:P762,"=2")</f>
        <v>2</v>
      </c>
      <c r="U7" s="4">
        <f t="shared" si="4"/>
        <v>1.7241379310344827E-2</v>
      </c>
    </row>
    <row r="8" spans="1:21" x14ac:dyDescent="0.4">
      <c r="A8" t="s">
        <v>201</v>
      </c>
      <c r="B8" t="s">
        <v>202</v>
      </c>
      <c r="C8" t="s">
        <v>37</v>
      </c>
      <c r="D8" s="1">
        <v>38089</v>
      </c>
      <c r="K8">
        <v>5.6399132321041217</v>
      </c>
      <c r="L8">
        <v>11.347517730496454</v>
      </c>
      <c r="M8">
        <v>68.11926605504587</v>
      </c>
      <c r="N8">
        <f t="shared" si="1"/>
        <v>1</v>
      </c>
      <c r="O8">
        <f t="shared" si="2"/>
        <v>1</v>
      </c>
      <c r="P8">
        <f t="shared" si="3"/>
        <v>3</v>
      </c>
      <c r="S8" t="s">
        <v>7</v>
      </c>
      <c r="T8">
        <f>COUNTIFS(N2:N762,"=1",O2:O762,"=2",P2:P762,"=3")</f>
        <v>8</v>
      </c>
      <c r="U8" s="4">
        <f t="shared" si="4"/>
        <v>6.8965517241379309E-2</v>
      </c>
    </row>
    <row r="9" spans="1:21" x14ac:dyDescent="0.4">
      <c r="A9" t="s">
        <v>105</v>
      </c>
      <c r="B9" t="s">
        <v>106</v>
      </c>
      <c r="C9" t="s">
        <v>37</v>
      </c>
      <c r="D9" s="1">
        <v>38106</v>
      </c>
      <c r="K9">
        <v>12.147505422993492</v>
      </c>
      <c r="L9">
        <v>79.196217494089836</v>
      </c>
      <c r="M9">
        <v>96.330275229357795</v>
      </c>
      <c r="N9">
        <f t="shared" si="1"/>
        <v>1</v>
      </c>
      <c r="O9">
        <f t="shared" si="2"/>
        <v>3</v>
      </c>
      <c r="P9">
        <f t="shared" si="3"/>
        <v>3</v>
      </c>
      <c r="S9" t="s">
        <v>8</v>
      </c>
      <c r="T9">
        <f>COUNTIFS(N2:N762,"=1",O2:O762,"=3",P2:P762,"=1")</f>
        <v>1</v>
      </c>
      <c r="U9" s="4">
        <f t="shared" si="4"/>
        <v>8.6206896551724137E-3</v>
      </c>
    </row>
    <row r="10" spans="1:21" x14ac:dyDescent="0.4">
      <c r="A10" t="s">
        <v>107</v>
      </c>
      <c r="B10" t="s">
        <v>108</v>
      </c>
      <c r="C10" t="s">
        <v>37</v>
      </c>
      <c r="D10" s="1">
        <v>38160</v>
      </c>
      <c r="K10">
        <v>23.861171366594359</v>
      </c>
      <c r="L10">
        <v>41.843971631205676</v>
      </c>
      <c r="M10">
        <v>75.688073394495419</v>
      </c>
      <c r="N10">
        <f t="shared" si="1"/>
        <v>1</v>
      </c>
      <c r="O10">
        <f t="shared" si="2"/>
        <v>2</v>
      </c>
      <c r="P10">
        <f t="shared" si="3"/>
        <v>3</v>
      </c>
      <c r="S10" t="s">
        <v>9</v>
      </c>
      <c r="T10">
        <f>COUNTIFS(N2:N762,"=1",O2:O762,"=3",P2:P762,"=2")</f>
        <v>2</v>
      </c>
      <c r="U10" s="4">
        <f t="shared" si="4"/>
        <v>1.7241379310344827E-2</v>
      </c>
    </row>
    <row r="11" spans="1:21" x14ac:dyDescent="0.4">
      <c r="A11" t="s">
        <v>203</v>
      </c>
      <c r="B11" t="s">
        <v>204</v>
      </c>
      <c r="C11" t="s">
        <v>37</v>
      </c>
      <c r="D11" s="1">
        <v>38356</v>
      </c>
      <c r="K11">
        <v>65.943600867678953</v>
      </c>
      <c r="L11">
        <v>58.628841607565015</v>
      </c>
      <c r="M11">
        <v>77.293577981651381</v>
      </c>
      <c r="N11">
        <f t="shared" si="1"/>
        <v>3</v>
      </c>
      <c r="O11">
        <f t="shared" si="2"/>
        <v>3</v>
      </c>
      <c r="P11">
        <f t="shared" si="3"/>
        <v>3</v>
      </c>
      <c r="S11" t="s">
        <v>10</v>
      </c>
      <c r="T11">
        <f>COUNTIFS(N2:N762,"=1",O2:O762,"=3",P2:P762,"=3")</f>
        <v>11</v>
      </c>
      <c r="U11" s="4">
        <f t="shared" si="4"/>
        <v>9.4827586206896547E-2</v>
      </c>
    </row>
    <row r="12" spans="1:21" x14ac:dyDescent="0.4">
      <c r="A12" t="s">
        <v>151</v>
      </c>
      <c r="B12" t="s">
        <v>152</v>
      </c>
      <c r="C12" t="s">
        <v>37</v>
      </c>
      <c r="D12" s="1">
        <v>38413</v>
      </c>
      <c r="K12">
        <v>77.006507592190886</v>
      </c>
      <c r="L12">
        <v>75.886524822695037</v>
      </c>
      <c r="M12">
        <v>15.36697247706422</v>
      </c>
      <c r="N12">
        <f t="shared" si="1"/>
        <v>3</v>
      </c>
      <c r="O12">
        <f t="shared" si="2"/>
        <v>3</v>
      </c>
      <c r="P12">
        <f t="shared" si="3"/>
        <v>1</v>
      </c>
      <c r="S12" s="2" t="s">
        <v>11</v>
      </c>
      <c r="T12" s="3">
        <f>COUNTIFS(N2:N762,"=2",O2:O762,"=1",P2:P762,"=1")</f>
        <v>3</v>
      </c>
      <c r="U12" s="4">
        <f t="shared" si="4"/>
        <v>2.5862068965517241E-2</v>
      </c>
    </row>
    <row r="13" spans="1:21" x14ac:dyDescent="0.4">
      <c r="A13" t="s">
        <v>205</v>
      </c>
      <c r="B13" t="s">
        <v>206</v>
      </c>
      <c r="C13" t="s">
        <v>37</v>
      </c>
      <c r="D13" s="1">
        <v>38533</v>
      </c>
      <c r="K13">
        <v>32.754880694143168</v>
      </c>
      <c r="L13">
        <v>39.952718676122934</v>
      </c>
      <c r="M13">
        <v>62.155963302752291</v>
      </c>
      <c r="N13">
        <f t="shared" si="1"/>
        <v>2</v>
      </c>
      <c r="O13">
        <f t="shared" si="2"/>
        <v>2</v>
      </c>
      <c r="P13">
        <f t="shared" si="3"/>
        <v>3</v>
      </c>
      <c r="S13" t="s">
        <v>12</v>
      </c>
      <c r="T13">
        <f>COUNTIFS(N2:N762,"=2",O2:O762,"=1",P2:P762,"=2")</f>
        <v>1</v>
      </c>
      <c r="U13" s="4">
        <f t="shared" si="4"/>
        <v>8.6206896551724137E-3</v>
      </c>
    </row>
    <row r="14" spans="1:21" x14ac:dyDescent="0.4">
      <c r="A14" t="s">
        <v>207</v>
      </c>
      <c r="B14" t="s">
        <v>208</v>
      </c>
      <c r="C14" t="s">
        <v>37</v>
      </c>
      <c r="D14" s="1">
        <v>38546</v>
      </c>
      <c r="K14">
        <v>68.980477223427329</v>
      </c>
      <c r="L14">
        <v>40.898345153664302</v>
      </c>
      <c r="M14">
        <v>43.577981651376149</v>
      </c>
      <c r="N14">
        <f t="shared" si="1"/>
        <v>3</v>
      </c>
      <c r="O14">
        <f t="shared" si="2"/>
        <v>2</v>
      </c>
      <c r="P14">
        <f t="shared" si="3"/>
        <v>2</v>
      </c>
      <c r="S14" t="s">
        <v>13</v>
      </c>
      <c r="T14">
        <f>COUNTIFS(N2:N762,"=2",O2:O762,"=1",P2:P762,"=3")</f>
        <v>4</v>
      </c>
      <c r="U14" s="4">
        <f t="shared" si="4"/>
        <v>3.4482758620689655E-2</v>
      </c>
    </row>
    <row r="15" spans="1:21" x14ac:dyDescent="0.4">
      <c r="A15" t="s">
        <v>65</v>
      </c>
      <c r="B15" t="s">
        <v>66</v>
      </c>
      <c r="C15" t="s">
        <v>37</v>
      </c>
      <c r="D15" s="1">
        <v>38589</v>
      </c>
      <c r="K15">
        <v>38.177874186550973</v>
      </c>
      <c r="L15">
        <v>23.640661938534279</v>
      </c>
      <c r="M15">
        <v>41.743119266055047</v>
      </c>
      <c r="N15">
        <f t="shared" si="1"/>
        <v>2</v>
      </c>
      <c r="O15">
        <f t="shared" si="2"/>
        <v>1</v>
      </c>
      <c r="P15">
        <f t="shared" si="3"/>
        <v>2</v>
      </c>
      <c r="S15" t="s">
        <v>14</v>
      </c>
      <c r="T15">
        <f>COUNTIFS(N2:N762,"=2",O2:O762,"=2",P2:P762,"=1")</f>
        <v>2</v>
      </c>
      <c r="U15" s="4">
        <f t="shared" si="4"/>
        <v>1.7241379310344827E-2</v>
      </c>
    </row>
    <row r="16" spans="1:21" x14ac:dyDescent="0.4">
      <c r="A16" t="s">
        <v>153</v>
      </c>
      <c r="B16" t="s">
        <v>154</v>
      </c>
      <c r="C16" t="s">
        <v>37</v>
      </c>
      <c r="D16" s="1">
        <v>38622</v>
      </c>
      <c r="K16">
        <v>47.939262472885034</v>
      </c>
      <c r="L16">
        <v>80.614657210401887</v>
      </c>
      <c r="M16">
        <v>26.605504587155963</v>
      </c>
      <c r="N16">
        <f t="shared" si="1"/>
        <v>2</v>
      </c>
      <c r="O16">
        <f t="shared" si="2"/>
        <v>3</v>
      </c>
      <c r="P16">
        <f t="shared" si="3"/>
        <v>1</v>
      </c>
      <c r="S16" t="s">
        <v>15</v>
      </c>
      <c r="T16">
        <f>COUNTIFS(N2:N762,"=2",O2:O762,"=2",P2:P762,"=2")</f>
        <v>3</v>
      </c>
      <c r="U16" s="4">
        <f t="shared" si="4"/>
        <v>2.5862068965517241E-2</v>
      </c>
    </row>
    <row r="17" spans="1:21" x14ac:dyDescent="0.4">
      <c r="A17" t="s">
        <v>209</v>
      </c>
      <c r="B17" t="s">
        <v>210</v>
      </c>
      <c r="C17" t="s">
        <v>45</v>
      </c>
      <c r="D17" s="1">
        <v>38633</v>
      </c>
      <c r="K17">
        <v>77.899343544857771</v>
      </c>
      <c r="L17">
        <v>43.18181818181818</v>
      </c>
      <c r="M17">
        <v>49.411764705882355</v>
      </c>
      <c r="N17">
        <f t="shared" si="1"/>
        <v>3</v>
      </c>
      <c r="O17">
        <f t="shared" si="2"/>
        <v>2</v>
      </c>
      <c r="P17">
        <f t="shared" si="3"/>
        <v>2</v>
      </c>
      <c r="S17" t="s">
        <v>16</v>
      </c>
      <c r="T17">
        <f>COUNTIFS(N2:N762,"=2",O2:O762,"=2",P2:P762,"=3")</f>
        <v>4</v>
      </c>
      <c r="U17" s="4">
        <f t="shared" si="4"/>
        <v>3.4482758620689655E-2</v>
      </c>
    </row>
    <row r="18" spans="1:21" x14ac:dyDescent="0.4">
      <c r="A18" t="s">
        <v>211</v>
      </c>
      <c r="B18" t="s">
        <v>212</v>
      </c>
      <c r="C18" t="s">
        <v>45</v>
      </c>
      <c r="D18" s="1">
        <v>38659</v>
      </c>
      <c r="K18">
        <v>52.954048140043767</v>
      </c>
      <c r="L18">
        <v>40.909090909090907</v>
      </c>
      <c r="M18">
        <v>53.529411764705884</v>
      </c>
      <c r="N18">
        <f t="shared" si="1"/>
        <v>3</v>
      </c>
      <c r="O18">
        <f t="shared" si="2"/>
        <v>2</v>
      </c>
      <c r="P18">
        <f t="shared" si="3"/>
        <v>3</v>
      </c>
      <c r="S18" t="s">
        <v>17</v>
      </c>
      <c r="T18">
        <f>COUNTIFS(N2:N762,"=2",O2:O762,"=3",P2:P762,"=1")</f>
        <v>2</v>
      </c>
      <c r="U18" s="4">
        <f t="shared" si="4"/>
        <v>1.7241379310344827E-2</v>
      </c>
    </row>
    <row r="19" spans="1:21" x14ac:dyDescent="0.4">
      <c r="A19" t="s">
        <v>48</v>
      </c>
      <c r="B19" t="s">
        <v>49</v>
      </c>
      <c r="C19" t="s">
        <v>37</v>
      </c>
      <c r="D19" s="1">
        <v>38672</v>
      </c>
      <c r="K19">
        <v>31.670281995661604</v>
      </c>
      <c r="L19">
        <v>47.5177304964539</v>
      </c>
      <c r="M19">
        <v>30.275229357798164</v>
      </c>
      <c r="N19">
        <f t="shared" si="1"/>
        <v>2</v>
      </c>
      <c r="O19">
        <f t="shared" si="2"/>
        <v>2</v>
      </c>
      <c r="P19">
        <f t="shared" si="3"/>
        <v>2</v>
      </c>
      <c r="S19" t="s">
        <v>18</v>
      </c>
      <c r="T19">
        <f>COUNTIFS(N2:N762,"=2",O2:O762,"=3",P2:P762,"=2")</f>
        <v>1</v>
      </c>
      <c r="U19" s="4">
        <f t="shared" si="4"/>
        <v>8.6206896551724137E-3</v>
      </c>
    </row>
    <row r="20" spans="1:21" x14ac:dyDescent="0.4">
      <c r="A20" t="s">
        <v>133</v>
      </c>
      <c r="B20" t="s">
        <v>134</v>
      </c>
      <c r="C20" t="s">
        <v>37</v>
      </c>
      <c r="D20" s="1">
        <v>38673</v>
      </c>
      <c r="K20">
        <v>66.594360086767892</v>
      </c>
      <c r="L20">
        <v>6.1465721040189125</v>
      </c>
      <c r="M20">
        <v>33.256880733944953</v>
      </c>
      <c r="N20">
        <f t="shared" si="1"/>
        <v>3</v>
      </c>
      <c r="O20">
        <f t="shared" si="2"/>
        <v>1</v>
      </c>
      <c r="P20">
        <f t="shared" si="3"/>
        <v>2</v>
      </c>
      <c r="S20" t="s">
        <v>19</v>
      </c>
      <c r="T20">
        <f>COUNTIFS(N2:N762,"=2",O2:O762,"=3",P2:P762,"=3")</f>
        <v>5</v>
      </c>
      <c r="U20" s="4">
        <f t="shared" si="4"/>
        <v>4.3103448275862072E-2</v>
      </c>
    </row>
    <row r="21" spans="1:21" x14ac:dyDescent="0.4">
      <c r="A21" t="s">
        <v>213</v>
      </c>
      <c r="B21" t="s">
        <v>214</v>
      </c>
      <c r="C21" t="s">
        <v>37</v>
      </c>
      <c r="D21" s="1">
        <v>38673</v>
      </c>
      <c r="K21">
        <v>15.835140997830802</v>
      </c>
      <c r="L21">
        <v>23.404255319148938</v>
      </c>
      <c r="M21">
        <v>83.486238532110093</v>
      </c>
      <c r="N21">
        <f t="shared" si="1"/>
        <v>1</v>
      </c>
      <c r="O21">
        <f t="shared" si="2"/>
        <v>1</v>
      </c>
      <c r="P21">
        <f t="shared" si="3"/>
        <v>3</v>
      </c>
      <c r="S21" t="s">
        <v>20</v>
      </c>
      <c r="T21">
        <f>COUNTIFS(N2:N762,"=3",O2:O762,"=1",P2:P762,"=1")</f>
        <v>10</v>
      </c>
      <c r="U21" s="4">
        <f t="shared" si="4"/>
        <v>8.6206896551724144E-2</v>
      </c>
    </row>
    <row r="22" spans="1:21" x14ac:dyDescent="0.4">
      <c r="A22" t="s">
        <v>135</v>
      </c>
      <c r="B22" t="s">
        <v>136</v>
      </c>
      <c r="C22" t="s">
        <v>37</v>
      </c>
      <c r="D22" s="1">
        <v>38705</v>
      </c>
      <c r="K22">
        <v>47.288503253796094</v>
      </c>
      <c r="L22">
        <v>24.113475177304963</v>
      </c>
      <c r="M22">
        <v>65.366972477064223</v>
      </c>
      <c r="N22">
        <f t="shared" si="1"/>
        <v>2</v>
      </c>
      <c r="O22">
        <f t="shared" si="2"/>
        <v>1</v>
      </c>
      <c r="P22">
        <f t="shared" si="3"/>
        <v>3</v>
      </c>
      <c r="S22" t="s">
        <v>21</v>
      </c>
      <c r="T22">
        <f>COUNTIFS(N2:N762,"=3",O2:O762,"=1",P2:P762,"=2")</f>
        <v>2</v>
      </c>
      <c r="U22" s="4">
        <f t="shared" si="4"/>
        <v>1.7241379310344827E-2</v>
      </c>
    </row>
    <row r="23" spans="1:21" x14ac:dyDescent="0.4">
      <c r="A23" t="s">
        <v>41</v>
      </c>
      <c r="B23" t="s">
        <v>42</v>
      </c>
      <c r="C23" t="s">
        <v>37</v>
      </c>
      <c r="D23" s="1">
        <v>38714</v>
      </c>
      <c r="K23">
        <v>4.1214750542299345</v>
      </c>
      <c r="L23">
        <v>59.574468085106382</v>
      </c>
      <c r="M23">
        <v>91.972477064220186</v>
      </c>
      <c r="N23">
        <f t="shared" si="1"/>
        <v>1</v>
      </c>
      <c r="O23">
        <f t="shared" si="2"/>
        <v>3</v>
      </c>
      <c r="P23">
        <f t="shared" si="3"/>
        <v>3</v>
      </c>
      <c r="S23" t="s">
        <v>22</v>
      </c>
      <c r="T23">
        <f>COUNTIFS(N2:N762,"=3",O2:O762,"=1",P2:P762,"=3")</f>
        <v>2</v>
      </c>
      <c r="U23" s="4">
        <f t="shared" si="4"/>
        <v>1.7241379310344827E-2</v>
      </c>
    </row>
    <row r="24" spans="1:21" x14ac:dyDescent="0.4">
      <c r="A24" t="s">
        <v>155</v>
      </c>
      <c r="B24" t="s">
        <v>156</v>
      </c>
      <c r="C24" t="s">
        <v>37</v>
      </c>
      <c r="D24" s="1">
        <v>38793</v>
      </c>
      <c r="K24">
        <v>75.921908893709329</v>
      </c>
      <c r="L24">
        <v>95.27186761229315</v>
      </c>
      <c r="M24">
        <v>13.532110091743119</v>
      </c>
      <c r="N24">
        <f t="shared" si="1"/>
        <v>3</v>
      </c>
      <c r="O24">
        <f t="shared" si="2"/>
        <v>3</v>
      </c>
      <c r="P24">
        <f t="shared" si="3"/>
        <v>1</v>
      </c>
      <c r="S24" t="s">
        <v>23</v>
      </c>
      <c r="T24">
        <f>COUNTIFS(N2:N762,"=3",O2:O762,"=2",P2:P762,"=1")</f>
        <v>2</v>
      </c>
      <c r="U24" s="4">
        <f t="shared" si="4"/>
        <v>1.7241379310344827E-2</v>
      </c>
    </row>
    <row r="25" spans="1:21" x14ac:dyDescent="0.4">
      <c r="A25" t="s">
        <v>157</v>
      </c>
      <c r="B25" t="s">
        <v>158</v>
      </c>
      <c r="C25" t="s">
        <v>94</v>
      </c>
      <c r="D25" s="1">
        <v>38833</v>
      </c>
      <c r="K25">
        <v>100</v>
      </c>
      <c r="L25">
        <v>50</v>
      </c>
      <c r="M25">
        <v>5.5555555555555554</v>
      </c>
      <c r="N25">
        <f t="shared" si="1"/>
        <v>3</v>
      </c>
      <c r="O25">
        <f t="shared" si="2"/>
        <v>3</v>
      </c>
      <c r="P25">
        <f t="shared" si="3"/>
        <v>1</v>
      </c>
      <c r="S25" t="s">
        <v>24</v>
      </c>
      <c r="T25">
        <f>COUNTIFS(N2:N762,"=3",O2:O762,"=2",P2:P762,"=2")</f>
        <v>8</v>
      </c>
      <c r="U25" s="4">
        <f t="shared" si="4"/>
        <v>6.8965517241379309E-2</v>
      </c>
    </row>
    <row r="26" spans="1:21" x14ac:dyDescent="0.4">
      <c r="A26" t="s">
        <v>109</v>
      </c>
      <c r="B26" t="s">
        <v>110</v>
      </c>
      <c r="C26" t="s">
        <v>37</v>
      </c>
      <c r="D26" s="1">
        <v>38836</v>
      </c>
      <c r="K26">
        <v>28.416485900216919</v>
      </c>
      <c r="L26">
        <v>40.189125295508276</v>
      </c>
      <c r="M26">
        <v>55.73394495412844</v>
      </c>
      <c r="N26">
        <f t="shared" si="1"/>
        <v>1</v>
      </c>
      <c r="O26">
        <f t="shared" si="2"/>
        <v>2</v>
      </c>
      <c r="P26">
        <f t="shared" si="3"/>
        <v>3</v>
      </c>
      <c r="S26" t="s">
        <v>25</v>
      </c>
      <c r="T26">
        <f>COUNTIFS(N2:N762,"=3",O2:O762,"=2",P2:P762,"=3")</f>
        <v>3</v>
      </c>
      <c r="U26" s="4">
        <f t="shared" si="4"/>
        <v>2.5862068965517241E-2</v>
      </c>
    </row>
    <row r="27" spans="1:21" x14ac:dyDescent="0.4">
      <c r="A27" t="s">
        <v>159</v>
      </c>
      <c r="B27" t="s">
        <v>160</v>
      </c>
      <c r="C27" t="s">
        <v>37</v>
      </c>
      <c r="D27" s="1">
        <v>38881</v>
      </c>
      <c r="K27">
        <v>60.303687635574839</v>
      </c>
      <c r="L27">
        <v>86.288416075650119</v>
      </c>
      <c r="M27">
        <v>19.036697247706421</v>
      </c>
      <c r="N27">
        <f t="shared" si="1"/>
        <v>3</v>
      </c>
      <c r="O27">
        <f t="shared" si="2"/>
        <v>3</v>
      </c>
      <c r="P27">
        <f t="shared" si="3"/>
        <v>1</v>
      </c>
      <c r="S27" t="s">
        <v>26</v>
      </c>
      <c r="T27">
        <f>COUNTIFS(N2:N762,"=3",O2:O762,"=3",P2:P762,"=1")</f>
        <v>15</v>
      </c>
      <c r="U27" s="4">
        <f t="shared" si="4"/>
        <v>0.12931034482758622</v>
      </c>
    </row>
    <row r="28" spans="1:21" x14ac:dyDescent="0.4">
      <c r="A28" t="s">
        <v>215</v>
      </c>
      <c r="B28" t="s">
        <v>216</v>
      </c>
      <c r="C28" t="s">
        <v>37</v>
      </c>
      <c r="D28" s="1">
        <v>38911</v>
      </c>
      <c r="K28">
        <v>62.255965292841651</v>
      </c>
      <c r="L28">
        <v>41.607565011820334</v>
      </c>
      <c r="M28">
        <v>45.412844036697251</v>
      </c>
      <c r="N28">
        <f t="shared" si="1"/>
        <v>3</v>
      </c>
      <c r="O28">
        <f t="shared" si="2"/>
        <v>2</v>
      </c>
      <c r="P28">
        <f t="shared" si="3"/>
        <v>2</v>
      </c>
      <c r="S28" t="s">
        <v>27</v>
      </c>
      <c r="T28">
        <f>COUNTIFS(N2:N762,"=3",O2:O762,"=3",P2:P762,"=2")</f>
        <v>3</v>
      </c>
      <c r="U28" s="4">
        <f t="shared" si="4"/>
        <v>2.5862068965517241E-2</v>
      </c>
    </row>
    <row r="29" spans="1:21" x14ac:dyDescent="0.4">
      <c r="A29" t="s">
        <v>161</v>
      </c>
      <c r="B29" t="s">
        <v>162</v>
      </c>
      <c r="C29" t="s">
        <v>94</v>
      </c>
      <c r="D29" s="1">
        <v>38923</v>
      </c>
      <c r="K29">
        <v>88.888888888888886</v>
      </c>
      <c r="L29">
        <v>94.444444444444443</v>
      </c>
      <c r="M29">
        <v>27.777777777777779</v>
      </c>
      <c r="N29">
        <f t="shared" si="1"/>
        <v>3</v>
      </c>
      <c r="O29">
        <f t="shared" si="2"/>
        <v>3</v>
      </c>
      <c r="P29">
        <f t="shared" si="3"/>
        <v>1</v>
      </c>
      <c r="S29" t="s">
        <v>28</v>
      </c>
      <c r="T29">
        <f>COUNTIFS(N2:N762,"=3",O2:O762,"=3",P2:P762,"=3")</f>
        <v>9</v>
      </c>
      <c r="U29" s="4">
        <f t="shared" si="4"/>
        <v>7.7586206896551727E-2</v>
      </c>
    </row>
    <row r="30" spans="1:21" x14ac:dyDescent="0.4">
      <c r="A30" t="s">
        <v>90</v>
      </c>
      <c r="B30" t="s">
        <v>91</v>
      </c>
      <c r="C30" t="s">
        <v>37</v>
      </c>
      <c r="D30" s="1">
        <v>38968</v>
      </c>
      <c r="K30">
        <v>22.342733188720175</v>
      </c>
      <c r="L30">
        <v>25.768321513002363</v>
      </c>
      <c r="M30">
        <v>36.238532110091747</v>
      </c>
      <c r="N30">
        <f t="shared" si="1"/>
        <v>1</v>
      </c>
      <c r="O30">
        <f t="shared" si="2"/>
        <v>1</v>
      </c>
      <c r="P30">
        <f t="shared" si="3"/>
        <v>2</v>
      </c>
      <c r="T30">
        <f>SUM(T3:T29)</f>
        <v>116</v>
      </c>
    </row>
    <row r="31" spans="1:21" x14ac:dyDescent="0.4">
      <c r="A31" t="s">
        <v>137</v>
      </c>
      <c r="B31" t="s">
        <v>138</v>
      </c>
      <c r="C31" t="s">
        <v>37</v>
      </c>
      <c r="D31" s="1">
        <v>38974</v>
      </c>
      <c r="K31">
        <v>67.245119305856832</v>
      </c>
      <c r="L31">
        <v>26.477541371158392</v>
      </c>
      <c r="M31">
        <v>58.715596330275233</v>
      </c>
      <c r="N31">
        <f t="shared" si="1"/>
        <v>3</v>
      </c>
      <c r="O31">
        <f t="shared" si="2"/>
        <v>1</v>
      </c>
      <c r="P31">
        <f t="shared" si="3"/>
        <v>3</v>
      </c>
    </row>
    <row r="32" spans="1:21" x14ac:dyDescent="0.4">
      <c r="A32" t="s">
        <v>217</v>
      </c>
      <c r="B32" t="s">
        <v>218</v>
      </c>
      <c r="C32" t="s">
        <v>37</v>
      </c>
      <c r="D32" s="1">
        <v>39001</v>
      </c>
      <c r="K32">
        <v>44.468546637744033</v>
      </c>
      <c r="L32">
        <v>35.460992907801419</v>
      </c>
      <c r="M32">
        <v>53.669724770642205</v>
      </c>
      <c r="N32">
        <f t="shared" si="1"/>
        <v>2</v>
      </c>
      <c r="O32">
        <f t="shared" si="2"/>
        <v>2</v>
      </c>
      <c r="P32">
        <f t="shared" si="3"/>
        <v>3</v>
      </c>
    </row>
    <row r="33" spans="1:22" x14ac:dyDescent="0.4">
      <c r="A33" t="s">
        <v>111</v>
      </c>
      <c r="B33" t="s">
        <v>112</v>
      </c>
      <c r="C33" t="s">
        <v>37</v>
      </c>
      <c r="D33" s="1">
        <v>39037</v>
      </c>
      <c r="K33">
        <v>10.412147505422993</v>
      </c>
      <c r="L33">
        <v>81.560283687943269</v>
      </c>
      <c r="M33">
        <v>90.596330275229363</v>
      </c>
      <c r="N33">
        <f t="shared" si="1"/>
        <v>1</v>
      </c>
      <c r="O33">
        <f t="shared" si="2"/>
        <v>3</v>
      </c>
      <c r="P33">
        <f t="shared" si="3"/>
        <v>3</v>
      </c>
    </row>
    <row r="34" spans="1:22" x14ac:dyDescent="0.4">
      <c r="A34" t="s">
        <v>219</v>
      </c>
      <c r="B34" t="s">
        <v>220</v>
      </c>
      <c r="C34" t="s">
        <v>37</v>
      </c>
      <c r="D34" s="1">
        <v>39037</v>
      </c>
      <c r="K34">
        <v>63.123644251626899</v>
      </c>
      <c r="L34">
        <v>73.758865248226954</v>
      </c>
      <c r="M34">
        <v>31.192660550458715</v>
      </c>
      <c r="N34">
        <f t="shared" si="1"/>
        <v>3</v>
      </c>
      <c r="O34">
        <f t="shared" si="2"/>
        <v>3</v>
      </c>
      <c r="P34">
        <f t="shared" si="3"/>
        <v>2</v>
      </c>
      <c r="T34" t="s">
        <v>33</v>
      </c>
      <c r="U34" t="s">
        <v>34</v>
      </c>
      <c r="V34" t="s">
        <v>35</v>
      </c>
    </row>
    <row r="35" spans="1:22" x14ac:dyDescent="0.4">
      <c r="A35" t="s">
        <v>113</v>
      </c>
      <c r="B35" t="s">
        <v>114</v>
      </c>
      <c r="C35" t="s">
        <v>37</v>
      </c>
      <c r="D35" s="1">
        <v>39042</v>
      </c>
      <c r="K35">
        <v>29.284164859002168</v>
      </c>
      <c r="L35">
        <v>40.425531914893618</v>
      </c>
      <c r="M35">
        <v>74.311926605504581</v>
      </c>
      <c r="N35">
        <f t="shared" si="1"/>
        <v>1</v>
      </c>
      <c r="O35">
        <f t="shared" si="2"/>
        <v>2</v>
      </c>
      <c r="P35">
        <f t="shared" si="3"/>
        <v>3</v>
      </c>
      <c r="S35" t="s">
        <v>30</v>
      </c>
      <c r="T35">
        <f>COUNTIFS(N2:N762,"=1",O2:O762,"&gt;0",P2:P762,"&gt;0")</f>
        <v>37</v>
      </c>
      <c r="U35">
        <f>COUNTIFS(N2:N762,"&gt;0",O2:O762,"=1",P2:P762,"&gt;0")</f>
        <v>34</v>
      </c>
      <c r="V35">
        <f>COUNTIFS(N2:N762,"&gt;0",O2:O762,"&gt;0",P2:P762,"=1")</f>
        <v>40</v>
      </c>
    </row>
    <row r="36" spans="1:22" x14ac:dyDescent="0.4">
      <c r="A36" t="s">
        <v>221</v>
      </c>
      <c r="B36" t="s">
        <v>222</v>
      </c>
      <c r="C36" t="s">
        <v>37</v>
      </c>
      <c r="D36" s="1">
        <v>39045</v>
      </c>
      <c r="K36">
        <v>58.568329718004335</v>
      </c>
      <c r="L36">
        <v>73.28605200945627</v>
      </c>
      <c r="M36">
        <v>69.954128440366972</v>
      </c>
      <c r="N36">
        <f t="shared" si="1"/>
        <v>3</v>
      </c>
      <c r="O36">
        <f t="shared" si="2"/>
        <v>3</v>
      </c>
      <c r="P36">
        <f t="shared" si="3"/>
        <v>3</v>
      </c>
      <c r="S36" t="s">
        <v>31</v>
      </c>
      <c r="T36">
        <f>COUNTIFS(N2:N762,"=2",O2:O762,"&gt;0",P2:P762,"&gt;0")</f>
        <v>25</v>
      </c>
      <c r="U36">
        <f>COUNTIFS(N2:N762,"&gt;0",O2:O762,"=2",P2:P762,"&gt;0")</f>
        <v>33</v>
      </c>
      <c r="V36">
        <f>COUNTIFS(N2:N762,"&gt;0",O2:O762,"&gt;0",P2:P762,"=2")</f>
        <v>24</v>
      </c>
    </row>
    <row r="37" spans="1:22" x14ac:dyDescent="0.4">
      <c r="A37" t="s">
        <v>223</v>
      </c>
      <c r="B37" t="s">
        <v>224</v>
      </c>
      <c r="C37" t="s">
        <v>37</v>
      </c>
      <c r="D37" s="1">
        <v>39111</v>
      </c>
      <c r="K37">
        <v>9.1106290672451191</v>
      </c>
      <c r="L37">
        <v>12.293144208037825</v>
      </c>
      <c r="M37">
        <v>61.009174311926607</v>
      </c>
      <c r="N37">
        <f t="shared" si="1"/>
        <v>1</v>
      </c>
      <c r="O37">
        <f t="shared" si="2"/>
        <v>1</v>
      </c>
      <c r="P37">
        <f t="shared" si="3"/>
        <v>3</v>
      </c>
      <c r="S37" t="s">
        <v>32</v>
      </c>
      <c r="T37">
        <f>COUNTIFS(N2:N762,"=3",O2:O762,"&gt;0",P2:P762,"&gt;0")</f>
        <v>54</v>
      </c>
      <c r="U37">
        <f>COUNTIFS(N2:N762,"&gt;0",O2:O762,"=3",P2:P762,"&gt;0")</f>
        <v>49</v>
      </c>
      <c r="V37">
        <f>COUNTIFS(N2:N762,"&gt;0",O2:O762,"&gt;0",P2:P762,"=3")</f>
        <v>52</v>
      </c>
    </row>
    <row r="38" spans="1:22" x14ac:dyDescent="0.4">
      <c r="A38" t="s">
        <v>225</v>
      </c>
      <c r="B38" t="s">
        <v>226</v>
      </c>
      <c r="C38" t="s">
        <v>37</v>
      </c>
      <c r="D38" s="1">
        <v>39160</v>
      </c>
      <c r="K38">
        <v>50.759219088937094</v>
      </c>
      <c r="L38">
        <v>30.023640661938533</v>
      </c>
      <c r="M38">
        <v>30.73394495412844</v>
      </c>
      <c r="N38">
        <f t="shared" si="1"/>
        <v>3</v>
      </c>
      <c r="O38">
        <f t="shared" si="2"/>
        <v>2</v>
      </c>
      <c r="P38">
        <f t="shared" si="3"/>
        <v>2</v>
      </c>
    </row>
    <row r="39" spans="1:22" x14ac:dyDescent="0.4">
      <c r="A39" t="s">
        <v>115</v>
      </c>
      <c r="B39" t="s">
        <v>116</v>
      </c>
      <c r="C39" t="s">
        <v>37</v>
      </c>
      <c r="D39" s="1">
        <v>39196</v>
      </c>
      <c r="K39">
        <v>22.776572668112799</v>
      </c>
      <c r="L39">
        <v>40.66193853427896</v>
      </c>
      <c r="M39">
        <v>85.091743119266056</v>
      </c>
      <c r="N39">
        <f t="shared" si="1"/>
        <v>1</v>
      </c>
      <c r="O39">
        <f t="shared" si="2"/>
        <v>2</v>
      </c>
      <c r="P39">
        <f t="shared" si="3"/>
        <v>3</v>
      </c>
    </row>
    <row r="40" spans="1:22" x14ac:dyDescent="0.4">
      <c r="A40" t="s">
        <v>191</v>
      </c>
      <c r="B40" t="s">
        <v>192</v>
      </c>
      <c r="C40" t="s">
        <v>37</v>
      </c>
      <c r="D40" s="1">
        <v>39199</v>
      </c>
      <c r="K40">
        <v>45.553145336225597</v>
      </c>
      <c r="L40">
        <v>38.534278959810877</v>
      </c>
      <c r="M40">
        <v>33.715596330275233</v>
      </c>
      <c r="N40">
        <f t="shared" si="1"/>
        <v>2</v>
      </c>
      <c r="O40">
        <f t="shared" si="2"/>
        <v>2</v>
      </c>
      <c r="P40">
        <f t="shared" si="3"/>
        <v>2</v>
      </c>
      <c r="T40" t="s">
        <v>33</v>
      </c>
      <c r="U40" t="s">
        <v>34</v>
      </c>
      <c r="V40" t="s">
        <v>35</v>
      </c>
    </row>
    <row r="41" spans="1:22" x14ac:dyDescent="0.4">
      <c r="A41" t="s">
        <v>95</v>
      </c>
      <c r="B41" t="s">
        <v>96</v>
      </c>
      <c r="C41" t="s">
        <v>37</v>
      </c>
      <c r="D41" s="1">
        <v>39231</v>
      </c>
      <c r="K41">
        <v>40.780911062906725</v>
      </c>
      <c r="L41">
        <v>25.531914893617021</v>
      </c>
      <c r="M41">
        <v>11.926605504587156</v>
      </c>
      <c r="N41">
        <f t="shared" si="1"/>
        <v>2</v>
      </c>
      <c r="O41">
        <f t="shared" si="2"/>
        <v>1</v>
      </c>
      <c r="P41">
        <f t="shared" si="3"/>
        <v>1</v>
      </c>
      <c r="S41" t="s">
        <v>30</v>
      </c>
      <c r="T41" s="4">
        <f>T35/$T$30</f>
        <v>0.31896551724137934</v>
      </c>
      <c r="U41" s="4">
        <f t="shared" ref="U41:V41" si="5">U35/$T$30</f>
        <v>0.29310344827586204</v>
      </c>
      <c r="V41" s="4">
        <f t="shared" si="5"/>
        <v>0.34482758620689657</v>
      </c>
    </row>
    <row r="42" spans="1:22" x14ac:dyDescent="0.4">
      <c r="A42" t="s">
        <v>117</v>
      </c>
      <c r="B42" t="s">
        <v>118</v>
      </c>
      <c r="C42" t="s">
        <v>37</v>
      </c>
      <c r="D42" s="1">
        <v>39246</v>
      </c>
      <c r="K42">
        <v>7.809110629067245</v>
      </c>
      <c r="L42">
        <v>59.101654846335698</v>
      </c>
      <c r="M42">
        <v>86.697247706422019</v>
      </c>
      <c r="N42">
        <f t="shared" si="1"/>
        <v>1</v>
      </c>
      <c r="O42">
        <f t="shared" si="2"/>
        <v>3</v>
      </c>
      <c r="P42">
        <f t="shared" si="3"/>
        <v>3</v>
      </c>
      <c r="S42" t="s">
        <v>31</v>
      </c>
      <c r="T42" s="4">
        <f t="shared" ref="T42:V42" si="6">T36/$T$30</f>
        <v>0.21551724137931033</v>
      </c>
      <c r="U42" s="4">
        <f t="shared" si="6"/>
        <v>0.28448275862068967</v>
      </c>
      <c r="V42" s="4">
        <f t="shared" si="6"/>
        <v>0.20689655172413793</v>
      </c>
    </row>
    <row r="43" spans="1:22" x14ac:dyDescent="0.4">
      <c r="A43" t="s">
        <v>227</v>
      </c>
      <c r="B43" t="s">
        <v>228</v>
      </c>
      <c r="C43" t="s">
        <v>37</v>
      </c>
      <c r="D43" s="1">
        <v>39269</v>
      </c>
      <c r="K43">
        <v>87.85249457700651</v>
      </c>
      <c r="L43">
        <v>62.884160756501181</v>
      </c>
      <c r="M43">
        <v>51.605504587155963</v>
      </c>
      <c r="N43">
        <f t="shared" si="1"/>
        <v>3</v>
      </c>
      <c r="O43">
        <f t="shared" si="2"/>
        <v>3</v>
      </c>
      <c r="P43">
        <f t="shared" si="3"/>
        <v>3</v>
      </c>
      <c r="S43" t="s">
        <v>32</v>
      </c>
      <c r="T43" s="4">
        <f t="shared" ref="T43:V43" si="7">T37/$T$30</f>
        <v>0.46551724137931033</v>
      </c>
      <c r="U43" s="4">
        <f t="shared" si="7"/>
        <v>0.42241379310344829</v>
      </c>
      <c r="V43" s="4">
        <f t="shared" si="7"/>
        <v>0.44827586206896552</v>
      </c>
    </row>
    <row r="44" spans="1:22" x14ac:dyDescent="0.4">
      <c r="A44" t="s">
        <v>119</v>
      </c>
      <c r="B44" t="s">
        <v>120</v>
      </c>
      <c r="C44" t="s">
        <v>37</v>
      </c>
      <c r="D44" s="1">
        <v>39296</v>
      </c>
      <c r="K44">
        <v>9.3275488069414312</v>
      </c>
      <c r="L44">
        <v>63.120567375886523</v>
      </c>
      <c r="M44">
        <v>79.587155963302749</v>
      </c>
      <c r="N44">
        <f t="shared" si="1"/>
        <v>1</v>
      </c>
      <c r="O44">
        <f t="shared" si="2"/>
        <v>3</v>
      </c>
      <c r="P44">
        <f t="shared" si="3"/>
        <v>3</v>
      </c>
    </row>
    <row r="45" spans="1:22" x14ac:dyDescent="0.4">
      <c r="A45" t="s">
        <v>121</v>
      </c>
      <c r="B45" t="s">
        <v>122</v>
      </c>
      <c r="C45" t="s">
        <v>37</v>
      </c>
      <c r="D45" s="1">
        <v>39300</v>
      </c>
      <c r="K45">
        <v>23.427331887201735</v>
      </c>
      <c r="L45">
        <v>77.777777777777771</v>
      </c>
      <c r="M45">
        <v>80.275229357798167</v>
      </c>
      <c r="N45">
        <f t="shared" si="1"/>
        <v>1</v>
      </c>
      <c r="O45">
        <f t="shared" si="2"/>
        <v>3</v>
      </c>
      <c r="P45">
        <f t="shared" si="3"/>
        <v>3</v>
      </c>
    </row>
    <row r="46" spans="1:22" x14ac:dyDescent="0.4">
      <c r="A46" t="s">
        <v>229</v>
      </c>
      <c r="B46" t="s">
        <v>230</v>
      </c>
      <c r="C46" t="s">
        <v>37</v>
      </c>
      <c r="D46" s="1">
        <v>39408</v>
      </c>
      <c r="K46">
        <v>57.483731019522779</v>
      </c>
      <c r="L46">
        <v>43.735224586288417</v>
      </c>
      <c r="M46">
        <v>36.467889908256879</v>
      </c>
      <c r="N46">
        <f t="shared" si="1"/>
        <v>3</v>
      </c>
      <c r="O46">
        <f t="shared" si="2"/>
        <v>2</v>
      </c>
      <c r="P46">
        <f t="shared" si="3"/>
        <v>2</v>
      </c>
    </row>
    <row r="47" spans="1:22" x14ac:dyDescent="0.4">
      <c r="A47" t="s">
        <v>163</v>
      </c>
      <c r="B47" t="s">
        <v>164</v>
      </c>
      <c r="C47" t="s">
        <v>37</v>
      </c>
      <c r="D47" s="1">
        <v>39434</v>
      </c>
      <c r="K47">
        <v>92.407809110629074</v>
      </c>
      <c r="L47">
        <v>67.848699763593388</v>
      </c>
      <c r="M47">
        <v>6.4220183486238529</v>
      </c>
      <c r="N47">
        <f t="shared" si="1"/>
        <v>3</v>
      </c>
      <c r="O47">
        <f t="shared" si="2"/>
        <v>3</v>
      </c>
      <c r="P47">
        <f t="shared" si="3"/>
        <v>1</v>
      </c>
    </row>
    <row r="48" spans="1:22" x14ac:dyDescent="0.4">
      <c r="A48" t="s">
        <v>165</v>
      </c>
      <c r="B48" t="s">
        <v>166</v>
      </c>
      <c r="C48" t="s">
        <v>37</v>
      </c>
      <c r="D48" s="1">
        <v>39528</v>
      </c>
      <c r="K48">
        <v>64.425162689804779</v>
      </c>
      <c r="L48">
        <v>39.00709219858156</v>
      </c>
      <c r="M48">
        <v>11.697247706422019</v>
      </c>
      <c r="N48">
        <f t="shared" si="1"/>
        <v>3</v>
      </c>
      <c r="O48">
        <f t="shared" si="2"/>
        <v>2</v>
      </c>
      <c r="P48">
        <f t="shared" si="3"/>
        <v>1</v>
      </c>
    </row>
    <row r="49" spans="1:16" x14ac:dyDescent="0.4">
      <c r="A49" t="s">
        <v>231</v>
      </c>
      <c r="B49" t="s">
        <v>232</v>
      </c>
      <c r="C49" t="s">
        <v>37</v>
      </c>
      <c r="D49" s="1">
        <v>39554</v>
      </c>
      <c r="K49">
        <v>99.34924078091106</v>
      </c>
      <c r="L49">
        <v>8.7470449172576838</v>
      </c>
      <c r="M49">
        <v>0.45871559633027525</v>
      </c>
      <c r="N49">
        <f t="shared" si="1"/>
        <v>3</v>
      </c>
      <c r="O49">
        <f t="shared" si="2"/>
        <v>1</v>
      </c>
      <c r="P49">
        <f t="shared" si="3"/>
        <v>1</v>
      </c>
    </row>
    <row r="50" spans="1:16" x14ac:dyDescent="0.4">
      <c r="A50" t="s">
        <v>46</v>
      </c>
      <c r="B50" t="s">
        <v>47</v>
      </c>
      <c r="C50" t="s">
        <v>37</v>
      </c>
      <c r="D50" s="1">
        <v>39618</v>
      </c>
      <c r="K50">
        <v>5.2060737527114966</v>
      </c>
      <c r="L50">
        <v>30.49645390070922</v>
      </c>
      <c r="M50">
        <v>95.642201834862391</v>
      </c>
      <c r="N50">
        <f t="shared" si="1"/>
        <v>1</v>
      </c>
      <c r="O50">
        <f t="shared" si="2"/>
        <v>2</v>
      </c>
      <c r="P50">
        <f t="shared" si="3"/>
        <v>3</v>
      </c>
    </row>
    <row r="51" spans="1:16" x14ac:dyDescent="0.4">
      <c r="A51" t="s">
        <v>139</v>
      </c>
      <c r="B51" t="s">
        <v>140</v>
      </c>
      <c r="C51" t="s">
        <v>45</v>
      </c>
      <c r="D51" s="1">
        <v>39624</v>
      </c>
      <c r="K51">
        <v>87.964989059080963</v>
      </c>
      <c r="L51">
        <v>18.939393939393938</v>
      </c>
      <c r="M51">
        <v>40</v>
      </c>
      <c r="N51">
        <f t="shared" si="1"/>
        <v>3</v>
      </c>
      <c r="O51">
        <f t="shared" si="2"/>
        <v>1</v>
      </c>
      <c r="P51">
        <f t="shared" si="3"/>
        <v>2</v>
      </c>
    </row>
    <row r="52" spans="1:16" x14ac:dyDescent="0.4">
      <c r="A52" t="s">
        <v>141</v>
      </c>
      <c r="B52" t="s">
        <v>142</v>
      </c>
      <c r="C52" t="s">
        <v>45</v>
      </c>
      <c r="D52" s="1">
        <v>39654</v>
      </c>
      <c r="K52">
        <v>54.048140043763674</v>
      </c>
      <c r="L52">
        <v>23.484848484848484</v>
      </c>
      <c r="M52">
        <v>61.176470588235297</v>
      </c>
      <c r="N52">
        <f t="shared" si="1"/>
        <v>3</v>
      </c>
      <c r="O52">
        <f t="shared" si="2"/>
        <v>1</v>
      </c>
      <c r="P52">
        <f t="shared" si="3"/>
        <v>3</v>
      </c>
    </row>
    <row r="53" spans="1:16" x14ac:dyDescent="0.4">
      <c r="A53" t="s">
        <v>233</v>
      </c>
      <c r="B53" t="s">
        <v>234</v>
      </c>
      <c r="C53" t="s">
        <v>37</v>
      </c>
      <c r="D53" s="1">
        <v>39664</v>
      </c>
      <c r="K53">
        <v>41.214750542299349</v>
      </c>
      <c r="L53">
        <v>43.026004728132385</v>
      </c>
      <c r="M53">
        <v>73.394495412844037</v>
      </c>
      <c r="N53">
        <f t="shared" si="1"/>
        <v>2</v>
      </c>
      <c r="O53">
        <f t="shared" si="2"/>
        <v>2</v>
      </c>
      <c r="P53">
        <f t="shared" si="3"/>
        <v>3</v>
      </c>
    </row>
    <row r="54" spans="1:16" x14ac:dyDescent="0.4">
      <c r="A54" t="s">
        <v>52</v>
      </c>
      <c r="B54" t="s">
        <v>53</v>
      </c>
      <c r="C54" t="s">
        <v>37</v>
      </c>
      <c r="D54" s="1">
        <v>39731</v>
      </c>
      <c r="K54">
        <v>21.90889370932755</v>
      </c>
      <c r="L54">
        <v>83.687943262411352</v>
      </c>
      <c r="M54">
        <v>47.018348623853214</v>
      </c>
      <c r="N54">
        <f t="shared" si="1"/>
        <v>1</v>
      </c>
      <c r="O54">
        <f t="shared" si="2"/>
        <v>3</v>
      </c>
      <c r="P54">
        <f t="shared" si="3"/>
        <v>2</v>
      </c>
    </row>
    <row r="55" spans="1:16" x14ac:dyDescent="0.4">
      <c r="A55" t="s">
        <v>235</v>
      </c>
      <c r="B55" t="s">
        <v>236</v>
      </c>
      <c r="C55" t="s">
        <v>37</v>
      </c>
      <c r="D55" s="1">
        <v>39743</v>
      </c>
      <c r="K55">
        <v>6.7245119305856829</v>
      </c>
      <c r="L55">
        <v>25.059101654846337</v>
      </c>
      <c r="M55">
        <v>85.779816513761475</v>
      </c>
      <c r="N55">
        <f t="shared" si="1"/>
        <v>1</v>
      </c>
      <c r="O55">
        <f t="shared" si="2"/>
        <v>1</v>
      </c>
      <c r="P55">
        <f t="shared" si="3"/>
        <v>3</v>
      </c>
    </row>
    <row r="56" spans="1:16" x14ac:dyDescent="0.4">
      <c r="A56" t="s">
        <v>50</v>
      </c>
      <c r="B56" t="s">
        <v>51</v>
      </c>
      <c r="C56" t="s">
        <v>37</v>
      </c>
      <c r="D56" s="1">
        <v>39778</v>
      </c>
      <c r="K56">
        <v>11.93058568329718</v>
      </c>
      <c r="L56">
        <v>53.191489361702125</v>
      </c>
      <c r="M56">
        <v>76.834862385321102</v>
      </c>
      <c r="N56">
        <f t="shared" si="1"/>
        <v>1</v>
      </c>
      <c r="O56">
        <f t="shared" si="2"/>
        <v>3</v>
      </c>
      <c r="P56">
        <f t="shared" si="3"/>
        <v>3</v>
      </c>
    </row>
    <row r="57" spans="1:16" x14ac:dyDescent="0.4">
      <c r="A57" t="s">
        <v>237</v>
      </c>
      <c r="B57" t="s">
        <v>238</v>
      </c>
      <c r="C57" t="s">
        <v>37</v>
      </c>
      <c r="D57" s="1">
        <v>39898</v>
      </c>
      <c r="K57">
        <v>79.609544468546645</v>
      </c>
      <c r="L57">
        <v>94.799054373522452</v>
      </c>
      <c r="M57">
        <v>33.027522935779814</v>
      </c>
      <c r="N57">
        <f t="shared" si="1"/>
        <v>3</v>
      </c>
      <c r="O57">
        <f t="shared" si="2"/>
        <v>3</v>
      </c>
      <c r="P57">
        <f t="shared" si="3"/>
        <v>2</v>
      </c>
    </row>
    <row r="58" spans="1:16" x14ac:dyDescent="0.4">
      <c r="A58" t="s">
        <v>239</v>
      </c>
      <c r="B58" t="s">
        <v>240</v>
      </c>
      <c r="C58" t="s">
        <v>37</v>
      </c>
      <c r="D58" s="1">
        <v>39927</v>
      </c>
      <c r="K58">
        <v>86.334056399132322</v>
      </c>
      <c r="L58">
        <v>9.6926713947990546</v>
      </c>
      <c r="M58">
        <v>3.8990825688073394</v>
      </c>
      <c r="N58">
        <f t="shared" si="1"/>
        <v>3</v>
      </c>
      <c r="O58">
        <f t="shared" si="2"/>
        <v>1</v>
      </c>
      <c r="P58">
        <f t="shared" si="3"/>
        <v>1</v>
      </c>
    </row>
    <row r="59" spans="1:16" x14ac:dyDescent="0.4">
      <c r="A59" t="s">
        <v>241</v>
      </c>
      <c r="B59" t="s">
        <v>242</v>
      </c>
      <c r="C59" t="s">
        <v>45</v>
      </c>
      <c r="D59" s="1">
        <v>39968</v>
      </c>
      <c r="K59">
        <v>55.36105032822757</v>
      </c>
      <c r="L59">
        <v>31.060606060606062</v>
      </c>
      <c r="M59">
        <v>44.117647058823529</v>
      </c>
      <c r="N59">
        <f t="shared" si="1"/>
        <v>3</v>
      </c>
      <c r="O59">
        <f t="shared" si="2"/>
        <v>2</v>
      </c>
      <c r="P59">
        <f t="shared" si="3"/>
        <v>2</v>
      </c>
    </row>
    <row r="60" spans="1:16" x14ac:dyDescent="0.4">
      <c r="A60" t="s">
        <v>243</v>
      </c>
      <c r="B60" t="s">
        <v>244</v>
      </c>
      <c r="C60" t="s">
        <v>37</v>
      </c>
      <c r="D60" s="1">
        <v>40024</v>
      </c>
      <c r="K60">
        <v>77.874186550976134</v>
      </c>
      <c r="L60">
        <v>42.080378250591018</v>
      </c>
      <c r="M60">
        <v>32.568807339449542</v>
      </c>
      <c r="N60">
        <f t="shared" si="1"/>
        <v>3</v>
      </c>
      <c r="O60">
        <f t="shared" si="2"/>
        <v>2</v>
      </c>
      <c r="P60">
        <f t="shared" si="3"/>
        <v>2</v>
      </c>
    </row>
    <row r="61" spans="1:16" x14ac:dyDescent="0.4">
      <c r="A61" t="s">
        <v>167</v>
      </c>
      <c r="B61" t="s">
        <v>168</v>
      </c>
      <c r="C61" t="s">
        <v>37</v>
      </c>
      <c r="D61" s="1">
        <v>40028</v>
      </c>
      <c r="K61">
        <v>75.488069414316698</v>
      </c>
      <c r="L61">
        <v>59.810874704491724</v>
      </c>
      <c r="M61">
        <v>27.75229357798165</v>
      </c>
      <c r="N61">
        <f t="shared" si="1"/>
        <v>3</v>
      </c>
      <c r="O61">
        <f t="shared" si="2"/>
        <v>3</v>
      </c>
      <c r="P61">
        <f t="shared" si="3"/>
        <v>1</v>
      </c>
    </row>
    <row r="62" spans="1:16" x14ac:dyDescent="0.4">
      <c r="A62" t="s">
        <v>245</v>
      </c>
      <c r="B62" t="s">
        <v>246</v>
      </c>
      <c r="C62" t="s">
        <v>40</v>
      </c>
      <c r="D62" s="1">
        <v>40158</v>
      </c>
      <c r="K62">
        <v>89.908256880733944</v>
      </c>
      <c r="L62">
        <v>45</v>
      </c>
      <c r="M62">
        <v>31.03448275862069</v>
      </c>
      <c r="N62">
        <f t="shared" si="1"/>
        <v>3</v>
      </c>
      <c r="O62">
        <f t="shared" si="2"/>
        <v>2</v>
      </c>
      <c r="P62">
        <f t="shared" si="3"/>
        <v>2</v>
      </c>
    </row>
    <row r="63" spans="1:16" x14ac:dyDescent="0.4">
      <c r="A63" t="s">
        <v>247</v>
      </c>
      <c r="B63" t="s">
        <v>248</v>
      </c>
      <c r="C63" t="s">
        <v>37</v>
      </c>
      <c r="D63" s="1">
        <v>40169</v>
      </c>
      <c r="K63">
        <v>89.154013015184375</v>
      </c>
      <c r="L63">
        <v>21.276595744680851</v>
      </c>
      <c r="M63">
        <v>9.862385321100918</v>
      </c>
      <c r="N63">
        <f t="shared" si="1"/>
        <v>3</v>
      </c>
      <c r="O63">
        <f t="shared" si="2"/>
        <v>1</v>
      </c>
      <c r="P63">
        <f t="shared" si="3"/>
        <v>1</v>
      </c>
    </row>
    <row r="64" spans="1:16" x14ac:dyDescent="0.4">
      <c r="A64" t="s">
        <v>193</v>
      </c>
      <c r="B64" t="s">
        <v>194</v>
      </c>
      <c r="C64" t="s">
        <v>37</v>
      </c>
      <c r="D64" s="1">
        <v>40262</v>
      </c>
      <c r="K64">
        <v>34.924078091106288</v>
      </c>
      <c r="L64">
        <v>33.333333333333336</v>
      </c>
      <c r="M64">
        <v>38.532110091743121</v>
      </c>
      <c r="N64">
        <f t="shared" si="1"/>
        <v>2</v>
      </c>
      <c r="O64">
        <f t="shared" si="2"/>
        <v>2</v>
      </c>
      <c r="P64">
        <f t="shared" si="3"/>
        <v>2</v>
      </c>
    </row>
    <row r="65" spans="1:16" x14ac:dyDescent="0.4">
      <c r="A65" t="s">
        <v>123</v>
      </c>
      <c r="B65" t="s">
        <v>124</v>
      </c>
      <c r="C65" t="s">
        <v>37</v>
      </c>
      <c r="D65" s="1">
        <v>40282</v>
      </c>
      <c r="K65">
        <v>11.713665943600867</v>
      </c>
      <c r="L65">
        <v>92.198581560283685</v>
      </c>
      <c r="M65">
        <v>49.541284403669728</v>
      </c>
      <c r="N65">
        <f t="shared" si="1"/>
        <v>1</v>
      </c>
      <c r="O65">
        <f t="shared" si="2"/>
        <v>3</v>
      </c>
      <c r="P65">
        <f t="shared" si="3"/>
        <v>2</v>
      </c>
    </row>
    <row r="66" spans="1:16" x14ac:dyDescent="0.4">
      <c r="A66" t="s">
        <v>249</v>
      </c>
      <c r="B66" t="s">
        <v>250</v>
      </c>
      <c r="C66" t="s">
        <v>37</v>
      </c>
      <c r="D66" s="1">
        <v>40290</v>
      </c>
      <c r="K66">
        <v>1.5184381778741864</v>
      </c>
      <c r="L66">
        <v>5.9101654846335698</v>
      </c>
      <c r="M66">
        <v>69.266055045871553</v>
      </c>
      <c r="N66">
        <f t="shared" si="1"/>
        <v>1</v>
      </c>
      <c r="O66">
        <f t="shared" si="2"/>
        <v>1</v>
      </c>
      <c r="P66">
        <f t="shared" si="3"/>
        <v>3</v>
      </c>
    </row>
    <row r="67" spans="1:16" x14ac:dyDescent="0.4">
      <c r="A67" t="s">
        <v>251</v>
      </c>
      <c r="B67" t="s">
        <v>252</v>
      </c>
      <c r="C67" t="s">
        <v>37</v>
      </c>
      <c r="D67" s="1">
        <v>40330</v>
      </c>
      <c r="K67">
        <v>30.368763557483732</v>
      </c>
      <c r="L67">
        <v>34.042553191489361</v>
      </c>
      <c r="M67">
        <v>56.422018348623851</v>
      </c>
      <c r="N67">
        <f t="shared" ref="N67:N117" si="8">IF(AND(K67&gt;0,K67&lt;30),1,IF(AND(K67&gt;=30,K67&lt;50),2,IF(K67&gt;=50,3,0)))</f>
        <v>2</v>
      </c>
      <c r="O67">
        <f t="shared" ref="O67:O117" si="9">IF(AND(L67&gt;0,L67&lt;30),1,IF(AND(L67&gt;=30,L67&lt;50),2,IF(L67&gt;=50,3,0)))</f>
        <v>2</v>
      </c>
      <c r="P67">
        <f t="shared" ref="P67:P117" si="10">IF(AND(M67&gt;0,M67&lt;30),1,IF(AND(M67&gt;=30,M67&lt;50),2,IF(M67&gt;=50,3,0)))</f>
        <v>3</v>
      </c>
    </row>
    <row r="68" spans="1:16" x14ac:dyDescent="0.4">
      <c r="A68" t="s">
        <v>125</v>
      </c>
      <c r="B68" t="s">
        <v>126</v>
      </c>
      <c r="C68" t="s">
        <v>40</v>
      </c>
      <c r="D68" s="1">
        <v>40410</v>
      </c>
      <c r="K68">
        <v>15.596330275229358</v>
      </c>
      <c r="L68">
        <v>70</v>
      </c>
      <c r="M68">
        <v>96.551724137931032</v>
      </c>
      <c r="N68">
        <f t="shared" si="8"/>
        <v>1</v>
      </c>
      <c r="O68">
        <f t="shared" si="9"/>
        <v>3</v>
      </c>
      <c r="P68">
        <f t="shared" si="10"/>
        <v>3</v>
      </c>
    </row>
    <row r="69" spans="1:16" x14ac:dyDescent="0.4">
      <c r="A69" t="s">
        <v>253</v>
      </c>
      <c r="B69" t="s">
        <v>254</v>
      </c>
      <c r="C69" t="s">
        <v>37</v>
      </c>
      <c r="D69" s="1">
        <v>40442</v>
      </c>
      <c r="K69">
        <v>63.340563991323208</v>
      </c>
      <c r="L69">
        <v>34.515366430260045</v>
      </c>
      <c r="M69">
        <v>75.22935779816514</v>
      </c>
      <c r="N69">
        <f t="shared" si="8"/>
        <v>3</v>
      </c>
      <c r="O69">
        <f t="shared" si="9"/>
        <v>2</v>
      </c>
      <c r="P69">
        <f t="shared" si="10"/>
        <v>3</v>
      </c>
    </row>
    <row r="70" spans="1:16" x14ac:dyDescent="0.4">
      <c r="A70" t="s">
        <v>38</v>
      </c>
      <c r="B70" t="s">
        <v>39</v>
      </c>
      <c r="C70" t="s">
        <v>40</v>
      </c>
      <c r="D70" s="1">
        <v>40505</v>
      </c>
      <c r="K70">
        <v>20.183486238532112</v>
      </c>
      <c r="L70">
        <v>40</v>
      </c>
      <c r="M70">
        <v>24.137931034482758</v>
      </c>
      <c r="N70">
        <f t="shared" si="8"/>
        <v>1</v>
      </c>
      <c r="O70">
        <f t="shared" si="9"/>
        <v>2</v>
      </c>
      <c r="P70">
        <f t="shared" si="10"/>
        <v>1</v>
      </c>
    </row>
    <row r="71" spans="1:16" x14ac:dyDescent="0.4">
      <c r="A71" t="s">
        <v>169</v>
      </c>
      <c r="B71" t="s">
        <v>170</v>
      </c>
      <c r="C71" t="s">
        <v>37</v>
      </c>
      <c r="D71" s="1">
        <v>40532</v>
      </c>
      <c r="K71">
        <v>38.611713665943604</v>
      </c>
      <c r="L71">
        <v>45.153664302600475</v>
      </c>
      <c r="M71">
        <v>27.064220183486238</v>
      </c>
      <c r="N71">
        <f t="shared" si="8"/>
        <v>2</v>
      </c>
      <c r="O71">
        <f t="shared" si="9"/>
        <v>2</v>
      </c>
      <c r="P71">
        <f t="shared" si="10"/>
        <v>1</v>
      </c>
    </row>
    <row r="72" spans="1:16" x14ac:dyDescent="0.4">
      <c r="A72" t="s">
        <v>255</v>
      </c>
      <c r="B72" t="s">
        <v>256</v>
      </c>
      <c r="C72" t="s">
        <v>40</v>
      </c>
      <c r="D72" s="1">
        <v>40532</v>
      </c>
      <c r="K72">
        <v>55.963302752293579</v>
      </c>
      <c r="L72">
        <v>75</v>
      </c>
      <c r="M72">
        <v>72.41379310344827</v>
      </c>
      <c r="N72">
        <f t="shared" si="8"/>
        <v>3</v>
      </c>
      <c r="O72">
        <f t="shared" si="9"/>
        <v>3</v>
      </c>
      <c r="P72">
        <f t="shared" si="10"/>
        <v>3</v>
      </c>
    </row>
    <row r="73" spans="1:16" x14ac:dyDescent="0.4">
      <c r="A73" t="s">
        <v>171</v>
      </c>
      <c r="B73" t="s">
        <v>172</v>
      </c>
      <c r="C73" t="s">
        <v>37</v>
      </c>
      <c r="D73" s="1">
        <v>40540</v>
      </c>
      <c r="K73">
        <v>79.175704989154013</v>
      </c>
      <c r="L73">
        <v>90.543735224586285</v>
      </c>
      <c r="M73">
        <v>13.761467889908257</v>
      </c>
      <c r="N73">
        <f t="shared" si="8"/>
        <v>3</v>
      </c>
      <c r="O73">
        <f t="shared" si="9"/>
        <v>3</v>
      </c>
      <c r="P73">
        <f t="shared" si="10"/>
        <v>1</v>
      </c>
    </row>
    <row r="74" spans="1:16" x14ac:dyDescent="0.4">
      <c r="A74" t="s">
        <v>173</v>
      </c>
      <c r="B74" t="s">
        <v>174</v>
      </c>
      <c r="C74" t="s">
        <v>37</v>
      </c>
      <c r="D74" s="1">
        <v>40631</v>
      </c>
      <c r="K74">
        <v>96.095444685466376</v>
      </c>
      <c r="L74">
        <v>60.283687943262414</v>
      </c>
      <c r="M74">
        <v>1.1467889908256881</v>
      </c>
      <c r="N74">
        <f t="shared" si="8"/>
        <v>3</v>
      </c>
      <c r="O74">
        <f t="shared" si="9"/>
        <v>3</v>
      </c>
      <c r="P74">
        <f t="shared" si="10"/>
        <v>1</v>
      </c>
    </row>
    <row r="75" spans="1:16" x14ac:dyDescent="0.4">
      <c r="A75" t="s">
        <v>257</v>
      </c>
      <c r="B75" t="s">
        <v>258</v>
      </c>
      <c r="C75" t="s">
        <v>45</v>
      </c>
      <c r="D75" s="1">
        <v>40673</v>
      </c>
      <c r="K75">
        <v>81.181619256017512</v>
      </c>
      <c r="L75">
        <v>15.909090909090908</v>
      </c>
      <c r="M75">
        <v>5.882352941176471</v>
      </c>
      <c r="N75">
        <f t="shared" si="8"/>
        <v>3</v>
      </c>
      <c r="O75">
        <f t="shared" si="9"/>
        <v>1</v>
      </c>
      <c r="P75">
        <f t="shared" si="10"/>
        <v>1</v>
      </c>
    </row>
    <row r="76" spans="1:16" x14ac:dyDescent="0.4">
      <c r="A76" t="s">
        <v>175</v>
      </c>
      <c r="B76" t="s">
        <v>176</v>
      </c>
      <c r="C76" t="s">
        <v>37</v>
      </c>
      <c r="D76" s="1">
        <v>40694</v>
      </c>
      <c r="K76">
        <v>60.520607375271148</v>
      </c>
      <c r="L76">
        <v>69.030732860520089</v>
      </c>
      <c r="M76">
        <v>4.8165137614678901</v>
      </c>
      <c r="N76">
        <f t="shared" si="8"/>
        <v>3</v>
      </c>
      <c r="O76">
        <f t="shared" si="9"/>
        <v>3</v>
      </c>
      <c r="P76">
        <f t="shared" si="10"/>
        <v>1</v>
      </c>
    </row>
    <row r="77" spans="1:16" x14ac:dyDescent="0.4">
      <c r="A77" t="s">
        <v>63</v>
      </c>
      <c r="B77" t="s">
        <v>64</v>
      </c>
      <c r="C77" t="s">
        <v>37</v>
      </c>
      <c r="D77" s="1">
        <v>40708</v>
      </c>
      <c r="K77">
        <v>27.548806941431671</v>
      </c>
      <c r="L77">
        <v>8.5106382978723403</v>
      </c>
      <c r="M77">
        <v>28.211009174311926</v>
      </c>
      <c r="N77">
        <f t="shared" si="8"/>
        <v>1</v>
      </c>
      <c r="O77">
        <f t="shared" si="9"/>
        <v>1</v>
      </c>
      <c r="P77">
        <f t="shared" si="10"/>
        <v>1</v>
      </c>
    </row>
    <row r="78" spans="1:16" x14ac:dyDescent="0.4">
      <c r="A78" t="s">
        <v>127</v>
      </c>
      <c r="B78" t="s">
        <v>128</v>
      </c>
      <c r="C78" t="s">
        <v>37</v>
      </c>
      <c r="D78" s="1">
        <v>40709</v>
      </c>
      <c r="K78">
        <v>24.078091106290671</v>
      </c>
      <c r="L78">
        <v>42.553191489361701</v>
      </c>
      <c r="M78">
        <v>46.330275229357795</v>
      </c>
      <c r="N78">
        <f t="shared" si="8"/>
        <v>1</v>
      </c>
      <c r="O78">
        <f t="shared" si="9"/>
        <v>2</v>
      </c>
      <c r="P78">
        <f t="shared" si="10"/>
        <v>2</v>
      </c>
    </row>
    <row r="79" spans="1:16" x14ac:dyDescent="0.4">
      <c r="A79" t="s">
        <v>259</v>
      </c>
      <c r="B79" t="s">
        <v>260</v>
      </c>
      <c r="C79" t="s">
        <v>37</v>
      </c>
      <c r="D79" s="1">
        <v>40737</v>
      </c>
      <c r="K79">
        <v>77.657266811279825</v>
      </c>
      <c r="L79">
        <v>95.508274231678485</v>
      </c>
      <c r="M79">
        <v>51.834862385321102</v>
      </c>
      <c r="N79">
        <f t="shared" si="8"/>
        <v>3</v>
      </c>
      <c r="O79">
        <f t="shared" si="9"/>
        <v>3</v>
      </c>
      <c r="P79">
        <f t="shared" si="10"/>
        <v>3</v>
      </c>
    </row>
    <row r="80" spans="1:16" x14ac:dyDescent="0.4">
      <c r="A80" t="s">
        <v>261</v>
      </c>
      <c r="B80" t="s">
        <v>262</v>
      </c>
      <c r="C80" t="s">
        <v>37</v>
      </c>
      <c r="D80" s="1">
        <v>40753</v>
      </c>
      <c r="K80">
        <v>39.696312364425161</v>
      </c>
      <c r="L80">
        <v>86.761229314420802</v>
      </c>
      <c r="M80">
        <v>48.853211009174309</v>
      </c>
      <c r="N80">
        <f t="shared" si="8"/>
        <v>2</v>
      </c>
      <c r="O80">
        <f t="shared" si="9"/>
        <v>3</v>
      </c>
      <c r="P80">
        <f t="shared" si="10"/>
        <v>2</v>
      </c>
    </row>
    <row r="81" spans="1:16" x14ac:dyDescent="0.4">
      <c r="A81" t="s">
        <v>263</v>
      </c>
      <c r="B81" t="s">
        <v>264</v>
      </c>
      <c r="C81" t="s">
        <v>45</v>
      </c>
      <c r="D81" s="1">
        <v>40757</v>
      </c>
      <c r="K81">
        <v>73.522975929978116</v>
      </c>
      <c r="L81">
        <v>72.727272727272734</v>
      </c>
      <c r="M81">
        <v>42.352941176470587</v>
      </c>
      <c r="N81">
        <f t="shared" si="8"/>
        <v>3</v>
      </c>
      <c r="O81">
        <f t="shared" si="9"/>
        <v>3</v>
      </c>
      <c r="P81">
        <f t="shared" si="10"/>
        <v>2</v>
      </c>
    </row>
    <row r="82" spans="1:16" x14ac:dyDescent="0.4">
      <c r="A82" t="s">
        <v>67</v>
      </c>
      <c r="B82" t="s">
        <v>68</v>
      </c>
      <c r="C82" t="s">
        <v>37</v>
      </c>
      <c r="D82" s="1">
        <v>40771</v>
      </c>
      <c r="K82">
        <v>22.993492407809111</v>
      </c>
      <c r="L82">
        <v>31.205673758865249</v>
      </c>
      <c r="M82">
        <v>97.018348623853214</v>
      </c>
      <c r="N82">
        <f t="shared" si="8"/>
        <v>1</v>
      </c>
      <c r="O82">
        <f t="shared" si="9"/>
        <v>2</v>
      </c>
      <c r="P82">
        <f t="shared" si="10"/>
        <v>3</v>
      </c>
    </row>
    <row r="83" spans="1:16" x14ac:dyDescent="0.4">
      <c r="A83" t="s">
        <v>265</v>
      </c>
      <c r="B83" t="s">
        <v>266</v>
      </c>
      <c r="C83" t="s">
        <v>37</v>
      </c>
      <c r="D83" s="1">
        <v>40806</v>
      </c>
      <c r="K83">
        <v>73.535791757049893</v>
      </c>
      <c r="L83">
        <v>18.912529550827422</v>
      </c>
      <c r="M83">
        <v>9.6330275229357802</v>
      </c>
      <c r="N83">
        <f t="shared" si="8"/>
        <v>3</v>
      </c>
      <c r="O83">
        <f t="shared" si="9"/>
        <v>1</v>
      </c>
      <c r="P83">
        <f t="shared" si="10"/>
        <v>1</v>
      </c>
    </row>
    <row r="84" spans="1:16" x14ac:dyDescent="0.4">
      <c r="A84" t="s">
        <v>267</v>
      </c>
      <c r="B84" t="s">
        <v>268</v>
      </c>
      <c r="C84" t="s">
        <v>37</v>
      </c>
      <c r="D84" s="1">
        <v>40814</v>
      </c>
      <c r="K84">
        <v>89.804772234273315</v>
      </c>
      <c r="L84">
        <v>32.860520094562645</v>
      </c>
      <c r="M84">
        <v>68.348623853211009</v>
      </c>
      <c r="N84">
        <f t="shared" si="8"/>
        <v>3</v>
      </c>
      <c r="O84">
        <f t="shared" si="9"/>
        <v>2</v>
      </c>
      <c r="P84">
        <f t="shared" si="10"/>
        <v>3</v>
      </c>
    </row>
    <row r="85" spans="1:16" x14ac:dyDescent="0.4">
      <c r="A85" t="s">
        <v>269</v>
      </c>
      <c r="B85" t="s">
        <v>270</v>
      </c>
      <c r="C85" t="s">
        <v>37</v>
      </c>
      <c r="D85" s="1">
        <v>40814</v>
      </c>
      <c r="K85">
        <v>93.058568329718</v>
      </c>
      <c r="L85">
        <v>13.711583924349881</v>
      </c>
      <c r="M85">
        <v>11.467889908256881</v>
      </c>
      <c r="N85">
        <f t="shared" si="8"/>
        <v>3</v>
      </c>
      <c r="O85">
        <f t="shared" si="9"/>
        <v>1</v>
      </c>
      <c r="P85">
        <f t="shared" si="10"/>
        <v>1</v>
      </c>
    </row>
    <row r="86" spans="1:16" x14ac:dyDescent="0.4">
      <c r="A86" t="s">
        <v>271</v>
      </c>
      <c r="B86" t="s">
        <v>272</v>
      </c>
      <c r="C86" t="s">
        <v>37</v>
      </c>
      <c r="D86" s="1">
        <v>40840</v>
      </c>
      <c r="K86">
        <v>88.286334056399127</v>
      </c>
      <c r="L86">
        <v>27.659574468085108</v>
      </c>
      <c r="M86">
        <v>5.7339449541284404</v>
      </c>
      <c r="N86">
        <f t="shared" si="8"/>
        <v>3</v>
      </c>
      <c r="O86">
        <f t="shared" si="9"/>
        <v>1</v>
      </c>
      <c r="P86">
        <f t="shared" si="10"/>
        <v>1</v>
      </c>
    </row>
    <row r="87" spans="1:16" x14ac:dyDescent="0.4">
      <c r="A87" t="s">
        <v>43</v>
      </c>
      <c r="B87" t="s">
        <v>44</v>
      </c>
      <c r="C87" t="s">
        <v>37</v>
      </c>
      <c r="D87" s="1">
        <v>40869</v>
      </c>
      <c r="K87">
        <v>6.2906724511930587</v>
      </c>
      <c r="L87">
        <v>56.973995271867615</v>
      </c>
      <c r="M87">
        <v>94.954128440366972</v>
      </c>
      <c r="N87">
        <f t="shared" si="8"/>
        <v>1</v>
      </c>
      <c r="O87">
        <f t="shared" si="9"/>
        <v>3</v>
      </c>
      <c r="P87">
        <f t="shared" si="10"/>
        <v>3</v>
      </c>
    </row>
    <row r="88" spans="1:16" x14ac:dyDescent="0.4">
      <c r="A88" t="s">
        <v>177</v>
      </c>
      <c r="B88" t="s">
        <v>178</v>
      </c>
      <c r="C88" t="s">
        <v>37</v>
      </c>
      <c r="D88" s="1">
        <v>40897</v>
      </c>
      <c r="K88">
        <v>81.778741865509758</v>
      </c>
      <c r="L88">
        <v>62.64775413711584</v>
      </c>
      <c r="M88">
        <v>23.623853211009173</v>
      </c>
      <c r="N88">
        <f t="shared" si="8"/>
        <v>3</v>
      </c>
      <c r="O88">
        <f t="shared" si="9"/>
        <v>3</v>
      </c>
      <c r="P88">
        <f t="shared" si="10"/>
        <v>1</v>
      </c>
    </row>
    <row r="89" spans="1:16" x14ac:dyDescent="0.4">
      <c r="A89" t="s">
        <v>273</v>
      </c>
      <c r="B89" t="s">
        <v>274</v>
      </c>
      <c r="C89" t="s">
        <v>37</v>
      </c>
      <c r="D89" s="1">
        <v>40903</v>
      </c>
      <c r="K89">
        <v>28.633405639913232</v>
      </c>
      <c r="L89">
        <v>55.319148936170215</v>
      </c>
      <c r="M89">
        <v>25</v>
      </c>
      <c r="N89">
        <f t="shared" si="8"/>
        <v>1</v>
      </c>
      <c r="O89">
        <f t="shared" si="9"/>
        <v>3</v>
      </c>
      <c r="P89">
        <f t="shared" si="10"/>
        <v>1</v>
      </c>
    </row>
    <row r="90" spans="1:16" x14ac:dyDescent="0.4">
      <c r="A90" t="s">
        <v>275</v>
      </c>
      <c r="B90" t="s">
        <v>276</v>
      </c>
      <c r="C90" t="s">
        <v>37</v>
      </c>
      <c r="D90" s="1">
        <v>40977</v>
      </c>
      <c r="K90">
        <v>61.388286334056396</v>
      </c>
      <c r="L90">
        <v>2.3640661938534278</v>
      </c>
      <c r="M90">
        <v>23.165137614678898</v>
      </c>
      <c r="N90">
        <f t="shared" si="8"/>
        <v>3</v>
      </c>
      <c r="O90">
        <f t="shared" si="9"/>
        <v>1</v>
      </c>
      <c r="P90">
        <f t="shared" si="10"/>
        <v>1</v>
      </c>
    </row>
    <row r="91" spans="1:16" x14ac:dyDescent="0.4">
      <c r="A91" t="s">
        <v>84</v>
      </c>
      <c r="B91" t="s">
        <v>85</v>
      </c>
      <c r="C91" t="s">
        <v>37</v>
      </c>
      <c r="D91" s="1">
        <v>40997</v>
      </c>
      <c r="K91">
        <v>16.702819956616054</v>
      </c>
      <c r="L91">
        <v>9.2198581560283692</v>
      </c>
      <c r="M91">
        <v>20.183486238532112</v>
      </c>
      <c r="N91">
        <f t="shared" si="8"/>
        <v>1</v>
      </c>
      <c r="O91">
        <f t="shared" si="9"/>
        <v>1</v>
      </c>
      <c r="P91">
        <f t="shared" si="10"/>
        <v>1</v>
      </c>
    </row>
    <row r="92" spans="1:16" x14ac:dyDescent="0.4">
      <c r="A92" t="s">
        <v>143</v>
      </c>
      <c r="B92" t="s">
        <v>144</v>
      </c>
      <c r="C92" t="s">
        <v>37</v>
      </c>
      <c r="D92" s="1">
        <v>41023</v>
      </c>
      <c r="K92">
        <v>37.960954446854664</v>
      </c>
      <c r="L92">
        <v>19.148936170212767</v>
      </c>
      <c r="M92">
        <v>58.256880733944953</v>
      </c>
      <c r="N92">
        <f t="shared" si="8"/>
        <v>2</v>
      </c>
      <c r="O92">
        <f t="shared" si="9"/>
        <v>1</v>
      </c>
      <c r="P92">
        <f t="shared" si="10"/>
        <v>3</v>
      </c>
    </row>
    <row r="93" spans="1:16" x14ac:dyDescent="0.4">
      <c r="A93" t="s">
        <v>179</v>
      </c>
      <c r="B93" t="s">
        <v>180</v>
      </c>
      <c r="C93" t="s">
        <v>37</v>
      </c>
      <c r="D93" s="1">
        <v>41025</v>
      </c>
      <c r="K93">
        <v>34.05639913232104</v>
      </c>
      <c r="L93">
        <v>57.446808510638299</v>
      </c>
      <c r="M93">
        <v>24.082568807339449</v>
      </c>
      <c r="N93">
        <f t="shared" si="8"/>
        <v>2</v>
      </c>
      <c r="O93">
        <f t="shared" si="9"/>
        <v>3</v>
      </c>
      <c r="P93">
        <f t="shared" si="10"/>
        <v>1</v>
      </c>
    </row>
    <row r="94" spans="1:16" x14ac:dyDescent="0.4">
      <c r="A94" t="s">
        <v>277</v>
      </c>
      <c r="B94" t="s">
        <v>278</v>
      </c>
      <c r="C94" t="s">
        <v>37</v>
      </c>
      <c r="D94" s="1">
        <v>41036</v>
      </c>
      <c r="K94">
        <v>60.954446854663772</v>
      </c>
      <c r="L94">
        <v>24.349881796690308</v>
      </c>
      <c r="M94">
        <v>7.1100917431192663</v>
      </c>
      <c r="N94">
        <f t="shared" si="8"/>
        <v>3</v>
      </c>
      <c r="O94">
        <f t="shared" si="9"/>
        <v>1</v>
      </c>
      <c r="P94">
        <f t="shared" si="10"/>
        <v>1</v>
      </c>
    </row>
    <row r="95" spans="1:16" x14ac:dyDescent="0.4">
      <c r="A95" t="s">
        <v>181</v>
      </c>
      <c r="B95" t="s">
        <v>182</v>
      </c>
      <c r="C95" t="s">
        <v>37</v>
      </c>
      <c r="D95" s="1">
        <v>41051</v>
      </c>
      <c r="K95">
        <v>100</v>
      </c>
      <c r="L95">
        <v>87.234042553191486</v>
      </c>
      <c r="M95">
        <v>14.908256880733944</v>
      </c>
      <c r="N95">
        <f t="shared" si="8"/>
        <v>3</v>
      </c>
      <c r="O95">
        <f t="shared" si="9"/>
        <v>3</v>
      </c>
      <c r="P95">
        <f t="shared" si="10"/>
        <v>1</v>
      </c>
    </row>
    <row r="96" spans="1:16" x14ac:dyDescent="0.4">
      <c r="A96" t="s">
        <v>183</v>
      </c>
      <c r="B96" t="s">
        <v>184</v>
      </c>
      <c r="C96" t="s">
        <v>37</v>
      </c>
      <c r="D96" s="1">
        <v>41052</v>
      </c>
      <c r="K96">
        <v>36.659436008676792</v>
      </c>
      <c r="L96">
        <v>47.754137115839242</v>
      </c>
      <c r="M96">
        <v>18.348623853211009</v>
      </c>
      <c r="N96">
        <f t="shared" si="8"/>
        <v>2</v>
      </c>
      <c r="O96">
        <f t="shared" si="9"/>
        <v>2</v>
      </c>
      <c r="P96">
        <f t="shared" si="10"/>
        <v>1</v>
      </c>
    </row>
    <row r="97" spans="1:16" x14ac:dyDescent="0.4">
      <c r="A97" t="s">
        <v>97</v>
      </c>
      <c r="B97" t="s">
        <v>98</v>
      </c>
      <c r="C97" t="s">
        <v>37</v>
      </c>
      <c r="D97" s="1">
        <v>41073</v>
      </c>
      <c r="K97">
        <v>44.034707158351409</v>
      </c>
      <c r="L97">
        <v>14.893617021276595</v>
      </c>
      <c r="M97">
        <v>26.834862385321102</v>
      </c>
      <c r="N97">
        <f t="shared" si="8"/>
        <v>2</v>
      </c>
      <c r="O97">
        <f t="shared" si="9"/>
        <v>1</v>
      </c>
      <c r="P97">
        <f t="shared" si="10"/>
        <v>1</v>
      </c>
    </row>
    <row r="98" spans="1:16" x14ac:dyDescent="0.4">
      <c r="A98" t="s">
        <v>145</v>
      </c>
      <c r="B98" t="s">
        <v>146</v>
      </c>
      <c r="C98" t="s">
        <v>37</v>
      </c>
      <c r="D98" s="1">
        <v>41135</v>
      </c>
      <c r="K98">
        <v>37.52711496746204</v>
      </c>
      <c r="L98">
        <v>16.07565011820331</v>
      </c>
      <c r="M98">
        <v>81.192660550458712</v>
      </c>
      <c r="N98">
        <f t="shared" si="8"/>
        <v>2</v>
      </c>
      <c r="O98">
        <f t="shared" si="9"/>
        <v>1</v>
      </c>
      <c r="P98">
        <f t="shared" si="10"/>
        <v>3</v>
      </c>
    </row>
    <row r="99" spans="1:16" x14ac:dyDescent="0.4">
      <c r="A99" t="s">
        <v>129</v>
      </c>
      <c r="B99" t="s">
        <v>130</v>
      </c>
      <c r="C99" t="s">
        <v>37</v>
      </c>
      <c r="D99" s="1">
        <v>41142</v>
      </c>
      <c r="K99">
        <v>23.644251626898047</v>
      </c>
      <c r="L99">
        <v>60.047281323877066</v>
      </c>
      <c r="M99">
        <v>89.908256880733944</v>
      </c>
      <c r="N99">
        <f t="shared" si="8"/>
        <v>1</v>
      </c>
      <c r="O99">
        <f t="shared" si="9"/>
        <v>3</v>
      </c>
      <c r="P99">
        <f t="shared" si="10"/>
        <v>3</v>
      </c>
    </row>
    <row r="100" spans="1:16" x14ac:dyDescent="0.4">
      <c r="A100" t="s">
        <v>99</v>
      </c>
      <c r="B100" t="s">
        <v>100</v>
      </c>
      <c r="C100" t="s">
        <v>45</v>
      </c>
      <c r="D100" s="1">
        <v>41149</v>
      </c>
      <c r="K100">
        <v>40.919037199124723</v>
      </c>
      <c r="L100">
        <v>29.545454545454547</v>
      </c>
      <c r="M100">
        <v>25.294117647058822</v>
      </c>
      <c r="N100">
        <f t="shared" si="8"/>
        <v>2</v>
      </c>
      <c r="O100">
        <f t="shared" si="9"/>
        <v>1</v>
      </c>
      <c r="P100">
        <f t="shared" si="10"/>
        <v>1</v>
      </c>
    </row>
    <row r="101" spans="1:16" x14ac:dyDescent="0.4">
      <c r="A101" t="s">
        <v>185</v>
      </c>
      <c r="B101" t="s">
        <v>186</v>
      </c>
      <c r="C101" t="s">
        <v>37</v>
      </c>
      <c r="D101" s="1">
        <v>41241</v>
      </c>
      <c r="K101">
        <v>84.815618221258134</v>
      </c>
      <c r="L101">
        <v>58.392434988179666</v>
      </c>
      <c r="M101">
        <v>8.2568807339449535</v>
      </c>
      <c r="N101">
        <f t="shared" si="8"/>
        <v>3</v>
      </c>
      <c r="O101">
        <f t="shared" si="9"/>
        <v>3</v>
      </c>
      <c r="P101">
        <f t="shared" si="10"/>
        <v>1</v>
      </c>
    </row>
    <row r="102" spans="1:16" x14ac:dyDescent="0.4">
      <c r="A102" t="s">
        <v>131</v>
      </c>
      <c r="B102" t="s">
        <v>132</v>
      </c>
      <c r="C102" t="s">
        <v>37</v>
      </c>
      <c r="D102" s="1">
        <v>41352</v>
      </c>
      <c r="K102">
        <v>29.501084598698483</v>
      </c>
      <c r="L102">
        <v>30.260047281323878</v>
      </c>
      <c r="M102">
        <v>90.137614678899084</v>
      </c>
      <c r="N102">
        <f t="shared" si="8"/>
        <v>1</v>
      </c>
      <c r="O102">
        <f t="shared" si="9"/>
        <v>2</v>
      </c>
      <c r="P102">
        <f t="shared" si="10"/>
        <v>3</v>
      </c>
    </row>
    <row r="103" spans="1:16" x14ac:dyDescent="0.4">
      <c r="A103" t="s">
        <v>279</v>
      </c>
      <c r="B103" t="s">
        <v>280</v>
      </c>
      <c r="C103" t="s">
        <v>45</v>
      </c>
      <c r="D103" s="1">
        <v>41358</v>
      </c>
      <c r="K103">
        <v>48.796498905908095</v>
      </c>
      <c r="L103">
        <v>52.272727272727273</v>
      </c>
      <c r="M103">
        <v>55.882352941176471</v>
      </c>
      <c r="N103">
        <f t="shared" si="8"/>
        <v>2</v>
      </c>
      <c r="O103">
        <f t="shared" si="9"/>
        <v>3</v>
      </c>
      <c r="P103">
        <f t="shared" si="10"/>
        <v>3</v>
      </c>
    </row>
    <row r="104" spans="1:16" x14ac:dyDescent="0.4">
      <c r="A104" t="s">
        <v>281</v>
      </c>
      <c r="B104" t="s">
        <v>282</v>
      </c>
      <c r="C104" t="s">
        <v>45</v>
      </c>
      <c r="D104" s="1">
        <v>41376</v>
      </c>
      <c r="K104">
        <v>69.80306345733041</v>
      </c>
      <c r="L104">
        <v>70.454545454545453</v>
      </c>
      <c r="M104">
        <v>58.823529411764703</v>
      </c>
      <c r="N104">
        <f t="shared" si="8"/>
        <v>3</v>
      </c>
      <c r="O104">
        <f t="shared" si="9"/>
        <v>3</v>
      </c>
      <c r="P104">
        <f t="shared" si="10"/>
        <v>3</v>
      </c>
    </row>
    <row r="105" spans="1:16" x14ac:dyDescent="0.4">
      <c r="A105" t="s">
        <v>283</v>
      </c>
      <c r="B105" t="s">
        <v>284</v>
      </c>
      <c r="C105" t="s">
        <v>45</v>
      </c>
      <c r="D105" s="1">
        <v>41376</v>
      </c>
      <c r="K105">
        <v>72.866520787746168</v>
      </c>
      <c r="L105">
        <v>69.696969696969703</v>
      </c>
      <c r="M105">
        <v>54.117647058823529</v>
      </c>
      <c r="N105">
        <f t="shared" si="8"/>
        <v>3</v>
      </c>
      <c r="O105">
        <f t="shared" si="9"/>
        <v>3</v>
      </c>
      <c r="P105">
        <f t="shared" si="10"/>
        <v>3</v>
      </c>
    </row>
    <row r="106" spans="1:16" x14ac:dyDescent="0.4">
      <c r="A106" t="s">
        <v>285</v>
      </c>
      <c r="B106" t="s">
        <v>286</v>
      </c>
      <c r="C106" t="s">
        <v>45</v>
      </c>
      <c r="D106" s="1">
        <v>41404</v>
      </c>
      <c r="K106">
        <v>39.824945295404817</v>
      </c>
      <c r="L106">
        <v>76.515151515151516</v>
      </c>
      <c r="M106">
        <v>72.352941176470594</v>
      </c>
      <c r="N106">
        <f t="shared" si="8"/>
        <v>2</v>
      </c>
      <c r="O106">
        <f t="shared" si="9"/>
        <v>3</v>
      </c>
      <c r="P106">
        <f t="shared" si="10"/>
        <v>3</v>
      </c>
    </row>
    <row r="107" spans="1:16" x14ac:dyDescent="0.4">
      <c r="A107" t="s">
        <v>287</v>
      </c>
      <c r="B107" t="s">
        <v>288</v>
      </c>
      <c r="C107" t="s">
        <v>37</v>
      </c>
      <c r="D107" s="1">
        <v>41430</v>
      </c>
      <c r="K107">
        <v>56.399132321041215</v>
      </c>
      <c r="L107">
        <v>66.430260047281322</v>
      </c>
      <c r="M107">
        <v>68.577981651376149</v>
      </c>
      <c r="N107">
        <f t="shared" si="8"/>
        <v>3</v>
      </c>
      <c r="O107">
        <f t="shared" si="9"/>
        <v>3</v>
      </c>
      <c r="P107">
        <f t="shared" si="10"/>
        <v>3</v>
      </c>
    </row>
    <row r="108" spans="1:16" x14ac:dyDescent="0.4">
      <c r="A108" t="s">
        <v>61</v>
      </c>
      <c r="B108" t="s">
        <v>62</v>
      </c>
      <c r="C108" t="s">
        <v>37</v>
      </c>
      <c r="D108" s="1">
        <v>41439</v>
      </c>
      <c r="K108">
        <v>19.305856832971802</v>
      </c>
      <c r="L108">
        <v>56.737588652482266</v>
      </c>
      <c r="M108">
        <v>79.128440366972484</v>
      </c>
      <c r="N108">
        <f t="shared" si="8"/>
        <v>1</v>
      </c>
      <c r="O108">
        <f t="shared" si="9"/>
        <v>3</v>
      </c>
      <c r="P108">
        <f t="shared" si="10"/>
        <v>3</v>
      </c>
    </row>
    <row r="109" spans="1:16" x14ac:dyDescent="0.4">
      <c r="A109" t="s">
        <v>289</v>
      </c>
      <c r="B109" t="s">
        <v>290</v>
      </c>
      <c r="C109" t="s">
        <v>37</v>
      </c>
      <c r="D109" s="1">
        <v>41450</v>
      </c>
      <c r="K109">
        <v>79.392624728850322</v>
      </c>
      <c r="L109">
        <v>4.0189125295508275</v>
      </c>
      <c r="M109">
        <v>7.7981651376146788</v>
      </c>
      <c r="N109">
        <f t="shared" si="8"/>
        <v>3</v>
      </c>
      <c r="O109">
        <f t="shared" si="9"/>
        <v>1</v>
      </c>
      <c r="P109">
        <f t="shared" si="10"/>
        <v>1</v>
      </c>
    </row>
    <row r="110" spans="1:16" x14ac:dyDescent="0.4">
      <c r="A110" t="s">
        <v>187</v>
      </c>
      <c r="B110" t="s">
        <v>188</v>
      </c>
      <c r="C110" t="s">
        <v>37</v>
      </c>
      <c r="D110" s="1">
        <v>41472</v>
      </c>
      <c r="K110">
        <v>57.266811279826463</v>
      </c>
      <c r="L110">
        <v>44.917257683215134</v>
      </c>
      <c r="M110">
        <v>8.7155963302752291</v>
      </c>
      <c r="N110">
        <f t="shared" si="8"/>
        <v>3</v>
      </c>
      <c r="O110">
        <f t="shared" si="9"/>
        <v>2</v>
      </c>
      <c r="P110">
        <f t="shared" si="10"/>
        <v>1</v>
      </c>
    </row>
    <row r="111" spans="1:16" x14ac:dyDescent="0.4">
      <c r="A111" t="s">
        <v>92</v>
      </c>
      <c r="B111" t="s">
        <v>93</v>
      </c>
      <c r="C111" t="s">
        <v>37</v>
      </c>
      <c r="D111" s="1">
        <v>41488</v>
      </c>
      <c r="K111">
        <v>19.088937093275486</v>
      </c>
      <c r="L111">
        <v>7.3286052009456268</v>
      </c>
      <c r="M111">
        <v>46.559633027522935</v>
      </c>
      <c r="N111">
        <f t="shared" si="8"/>
        <v>1</v>
      </c>
      <c r="O111">
        <f t="shared" si="9"/>
        <v>1</v>
      </c>
      <c r="P111">
        <f t="shared" si="10"/>
        <v>2</v>
      </c>
    </row>
    <row r="112" spans="1:16" x14ac:dyDescent="0.4">
      <c r="A112" t="s">
        <v>291</v>
      </c>
      <c r="B112" t="s">
        <v>292</v>
      </c>
      <c r="C112" t="s">
        <v>45</v>
      </c>
      <c r="D112" s="1">
        <v>41507</v>
      </c>
      <c r="K112">
        <v>42.013129102844637</v>
      </c>
      <c r="L112">
        <v>91.666666666666671</v>
      </c>
      <c r="M112">
        <v>74.705882352941174</v>
      </c>
      <c r="N112">
        <f t="shared" si="8"/>
        <v>2</v>
      </c>
      <c r="O112">
        <f t="shared" si="9"/>
        <v>3</v>
      </c>
      <c r="P112">
        <f t="shared" si="10"/>
        <v>3</v>
      </c>
    </row>
    <row r="113" spans="1:16" x14ac:dyDescent="0.4">
      <c r="A113" t="s">
        <v>86</v>
      </c>
      <c r="B113" t="s">
        <v>87</v>
      </c>
      <c r="C113" t="s">
        <v>37</v>
      </c>
      <c r="D113" s="1">
        <v>41512</v>
      </c>
      <c r="K113">
        <v>21.691973969631235</v>
      </c>
      <c r="L113">
        <v>3.0732860520094563</v>
      </c>
      <c r="M113">
        <v>24.541284403669724</v>
      </c>
      <c r="N113">
        <f t="shared" si="8"/>
        <v>1</v>
      </c>
      <c r="O113">
        <f t="shared" si="9"/>
        <v>1</v>
      </c>
      <c r="P113">
        <f t="shared" si="10"/>
        <v>1</v>
      </c>
    </row>
    <row r="114" spans="1:16" x14ac:dyDescent="0.4">
      <c r="A114" t="s">
        <v>88</v>
      </c>
      <c r="B114" t="s">
        <v>89</v>
      </c>
      <c r="C114" t="s">
        <v>37</v>
      </c>
      <c r="D114" s="1">
        <v>41528</v>
      </c>
      <c r="K114">
        <v>28.850325379609544</v>
      </c>
      <c r="L114">
        <v>13.947990543735225</v>
      </c>
      <c r="M114">
        <v>13.990825688073395</v>
      </c>
      <c r="N114">
        <f t="shared" si="8"/>
        <v>1</v>
      </c>
      <c r="O114">
        <f t="shared" si="9"/>
        <v>1</v>
      </c>
      <c r="P114">
        <f t="shared" si="10"/>
        <v>1</v>
      </c>
    </row>
    <row r="115" spans="1:16" x14ac:dyDescent="0.4">
      <c r="A115" t="s">
        <v>189</v>
      </c>
      <c r="B115" t="s">
        <v>190</v>
      </c>
      <c r="C115" t="s">
        <v>45</v>
      </c>
      <c r="D115" s="1">
        <v>41606</v>
      </c>
      <c r="K115">
        <v>91.247264770240704</v>
      </c>
      <c r="L115">
        <v>62.878787878787875</v>
      </c>
      <c r="M115">
        <v>0.58823529411764708</v>
      </c>
      <c r="N115">
        <f t="shared" si="8"/>
        <v>3</v>
      </c>
      <c r="O115">
        <f t="shared" si="9"/>
        <v>3</v>
      </c>
      <c r="P115">
        <f t="shared" si="10"/>
        <v>1</v>
      </c>
    </row>
    <row r="116" spans="1:16" x14ac:dyDescent="0.4">
      <c r="A116" t="s">
        <v>293</v>
      </c>
      <c r="B116" t="s">
        <v>294</v>
      </c>
      <c r="C116" t="s">
        <v>45</v>
      </c>
      <c r="D116" s="1">
        <v>41625</v>
      </c>
      <c r="K116">
        <v>48.140043763676147</v>
      </c>
      <c r="L116">
        <v>74.242424242424249</v>
      </c>
      <c r="M116">
        <v>67.647058823529406</v>
      </c>
      <c r="N116">
        <f t="shared" si="8"/>
        <v>2</v>
      </c>
      <c r="O116">
        <f t="shared" si="9"/>
        <v>3</v>
      </c>
      <c r="P116">
        <f t="shared" si="10"/>
        <v>3</v>
      </c>
    </row>
    <row r="117" spans="1:16" x14ac:dyDescent="0.4">
      <c r="A117" t="s">
        <v>147</v>
      </c>
      <c r="B117" t="s">
        <v>148</v>
      </c>
      <c r="C117" t="s">
        <v>45</v>
      </c>
      <c r="D117" s="1">
        <v>41639</v>
      </c>
      <c r="K117">
        <v>44.201312910284464</v>
      </c>
      <c r="L117">
        <v>10.606060606060606</v>
      </c>
      <c r="M117">
        <v>94.705882352941174</v>
      </c>
      <c r="N117">
        <f t="shared" si="8"/>
        <v>2</v>
      </c>
      <c r="O117">
        <f t="shared" si="9"/>
        <v>1</v>
      </c>
      <c r="P117">
        <f t="shared" si="10"/>
        <v>3</v>
      </c>
    </row>
    <row r="118" spans="1:16" x14ac:dyDescent="0.4">
      <c r="D118" s="1"/>
    </row>
    <row r="119" spans="1:16" x14ac:dyDescent="0.4">
      <c r="D119" s="1"/>
    </row>
    <row r="120" spans="1:16" x14ac:dyDescent="0.4">
      <c r="D120" s="1"/>
    </row>
    <row r="121" spans="1:16" x14ac:dyDescent="0.4">
      <c r="D121" s="1"/>
    </row>
    <row r="122" spans="1:16" x14ac:dyDescent="0.4">
      <c r="D122" s="1"/>
    </row>
    <row r="123" spans="1:16" x14ac:dyDescent="0.4">
      <c r="D123" s="1"/>
    </row>
    <row r="124" spans="1:16" x14ac:dyDescent="0.4">
      <c r="D124" s="1"/>
    </row>
    <row r="125" spans="1:16" x14ac:dyDescent="0.4">
      <c r="D125" s="1"/>
    </row>
    <row r="126" spans="1:16" x14ac:dyDescent="0.4">
      <c r="D126" s="1"/>
    </row>
    <row r="127" spans="1:16" x14ac:dyDescent="0.4">
      <c r="D127" s="1"/>
    </row>
    <row r="128" spans="1:16" x14ac:dyDescent="0.4">
      <c r="D128" s="1"/>
    </row>
    <row r="129" spans="4:4" x14ac:dyDescent="0.4">
      <c r="D129" s="1"/>
    </row>
    <row r="130" spans="4:4" x14ac:dyDescent="0.4">
      <c r="D130" s="1"/>
    </row>
    <row r="131" spans="4:4" x14ac:dyDescent="0.4">
      <c r="D131" s="1"/>
    </row>
    <row r="132" spans="4:4" x14ac:dyDescent="0.4">
      <c r="D132" s="1"/>
    </row>
    <row r="133" spans="4:4" x14ac:dyDescent="0.4">
      <c r="D133" s="1"/>
    </row>
    <row r="134" spans="4:4" x14ac:dyDescent="0.4">
      <c r="D134" s="1"/>
    </row>
    <row r="135" spans="4:4" x14ac:dyDescent="0.4">
      <c r="D135" s="1"/>
    </row>
    <row r="136" spans="4:4" x14ac:dyDescent="0.4">
      <c r="D136" s="1"/>
    </row>
    <row r="137" spans="4:4" x14ac:dyDescent="0.4">
      <c r="D137" s="1"/>
    </row>
    <row r="138" spans="4:4" x14ac:dyDescent="0.4">
      <c r="D138" s="1"/>
    </row>
    <row r="139" spans="4:4" x14ac:dyDescent="0.4">
      <c r="D139" s="1"/>
    </row>
    <row r="140" spans="4:4" x14ac:dyDescent="0.4">
      <c r="D140" s="1"/>
    </row>
    <row r="141" spans="4:4" x14ac:dyDescent="0.4">
      <c r="D141" s="1"/>
    </row>
    <row r="142" spans="4:4" x14ac:dyDescent="0.4">
      <c r="D142" s="1"/>
    </row>
    <row r="143" spans="4:4" x14ac:dyDescent="0.4">
      <c r="D143" s="1"/>
    </row>
    <row r="144" spans="4:4" x14ac:dyDescent="0.4">
      <c r="D144" s="1"/>
    </row>
    <row r="145" spans="4:4" x14ac:dyDescent="0.4">
      <c r="D145" s="1"/>
    </row>
    <row r="146" spans="4:4" x14ac:dyDescent="0.4">
      <c r="D146" s="1"/>
    </row>
    <row r="147" spans="4:4" x14ac:dyDescent="0.4">
      <c r="D147" s="1"/>
    </row>
    <row r="148" spans="4:4" x14ac:dyDescent="0.4">
      <c r="D148" s="1"/>
    </row>
    <row r="149" spans="4:4" x14ac:dyDescent="0.4">
      <c r="D149" s="1"/>
    </row>
    <row r="150" spans="4:4" x14ac:dyDescent="0.4">
      <c r="D150" s="1"/>
    </row>
    <row r="151" spans="4:4" x14ac:dyDescent="0.4">
      <c r="D151" s="1"/>
    </row>
    <row r="152" spans="4:4" x14ac:dyDescent="0.4">
      <c r="D152" s="1"/>
    </row>
    <row r="153" spans="4:4" x14ac:dyDescent="0.4">
      <c r="D153" s="1"/>
    </row>
    <row r="154" spans="4:4" x14ac:dyDescent="0.4">
      <c r="D154" s="1"/>
    </row>
    <row r="155" spans="4:4" x14ac:dyDescent="0.4">
      <c r="D155" s="1"/>
    </row>
    <row r="156" spans="4:4" x14ac:dyDescent="0.4">
      <c r="D156" s="1"/>
    </row>
    <row r="157" spans="4:4" x14ac:dyDescent="0.4">
      <c r="D157" s="1"/>
    </row>
    <row r="158" spans="4:4" x14ac:dyDescent="0.4">
      <c r="D158" s="1"/>
    </row>
    <row r="159" spans="4:4" x14ac:dyDescent="0.4">
      <c r="D159" s="1"/>
    </row>
    <row r="160" spans="4:4" x14ac:dyDescent="0.4">
      <c r="D160" s="1"/>
    </row>
    <row r="161" spans="4:4" x14ac:dyDescent="0.4">
      <c r="D161" s="1"/>
    </row>
    <row r="162" spans="4:4" x14ac:dyDescent="0.4">
      <c r="D162" s="1"/>
    </row>
    <row r="163" spans="4:4" x14ac:dyDescent="0.4">
      <c r="D163" s="1"/>
    </row>
    <row r="164" spans="4:4" x14ac:dyDescent="0.4">
      <c r="D164" s="1"/>
    </row>
    <row r="165" spans="4:4" x14ac:dyDescent="0.4">
      <c r="D165" s="1"/>
    </row>
    <row r="166" spans="4:4" x14ac:dyDescent="0.4">
      <c r="D166" s="1"/>
    </row>
    <row r="167" spans="4:4" x14ac:dyDescent="0.4">
      <c r="D167" s="1"/>
    </row>
    <row r="168" spans="4:4" x14ac:dyDescent="0.4">
      <c r="D168" s="1"/>
    </row>
    <row r="169" spans="4:4" x14ac:dyDescent="0.4">
      <c r="D169" s="1"/>
    </row>
    <row r="170" spans="4:4" x14ac:dyDescent="0.4">
      <c r="D170" s="1"/>
    </row>
    <row r="171" spans="4:4" x14ac:dyDescent="0.4">
      <c r="D171" s="1"/>
    </row>
    <row r="172" spans="4:4" x14ac:dyDescent="0.4">
      <c r="D172" s="1"/>
    </row>
    <row r="173" spans="4:4" x14ac:dyDescent="0.4">
      <c r="D173" s="1"/>
    </row>
    <row r="174" spans="4:4" x14ac:dyDescent="0.4">
      <c r="D174" s="1"/>
    </row>
    <row r="175" spans="4:4" x14ac:dyDescent="0.4">
      <c r="D175" s="1"/>
    </row>
    <row r="176" spans="4:4" x14ac:dyDescent="0.4">
      <c r="D176" s="1"/>
    </row>
    <row r="177" spans="4:4" x14ac:dyDescent="0.4">
      <c r="D177" s="1"/>
    </row>
    <row r="178" spans="4:4" x14ac:dyDescent="0.4">
      <c r="D178" s="1"/>
    </row>
    <row r="179" spans="4:4" x14ac:dyDescent="0.4">
      <c r="D179" s="1"/>
    </row>
    <row r="180" spans="4:4" x14ac:dyDescent="0.4">
      <c r="D180" s="1"/>
    </row>
    <row r="181" spans="4:4" x14ac:dyDescent="0.4">
      <c r="D181" s="1"/>
    </row>
    <row r="182" spans="4:4" x14ac:dyDescent="0.4">
      <c r="D182" s="1"/>
    </row>
    <row r="183" spans="4:4" x14ac:dyDescent="0.4">
      <c r="D183" s="1"/>
    </row>
    <row r="184" spans="4:4" x14ac:dyDescent="0.4">
      <c r="D184" s="1"/>
    </row>
    <row r="185" spans="4:4" x14ac:dyDescent="0.4">
      <c r="D185" s="1"/>
    </row>
    <row r="186" spans="4:4" x14ac:dyDescent="0.4">
      <c r="D186" s="1"/>
    </row>
    <row r="187" spans="4:4" x14ac:dyDescent="0.4">
      <c r="D187" s="1"/>
    </row>
    <row r="188" spans="4:4" x14ac:dyDescent="0.4">
      <c r="D188" s="1"/>
    </row>
    <row r="189" spans="4:4" x14ac:dyDescent="0.4">
      <c r="D189" s="1"/>
    </row>
    <row r="190" spans="4:4" x14ac:dyDescent="0.4">
      <c r="D190" s="1"/>
    </row>
    <row r="191" spans="4:4" x14ac:dyDescent="0.4">
      <c r="D191" s="1"/>
    </row>
    <row r="192" spans="4:4" x14ac:dyDescent="0.4">
      <c r="D192" s="1"/>
    </row>
    <row r="193" spans="4:4" x14ac:dyDescent="0.4">
      <c r="D193" s="1"/>
    </row>
    <row r="194" spans="4:4" x14ac:dyDescent="0.4">
      <c r="D194" s="1"/>
    </row>
    <row r="195" spans="4:4" x14ac:dyDescent="0.4">
      <c r="D195" s="1"/>
    </row>
    <row r="196" spans="4:4" x14ac:dyDescent="0.4">
      <c r="D196" s="1"/>
    </row>
    <row r="197" spans="4:4" x14ac:dyDescent="0.4">
      <c r="D197" s="1"/>
    </row>
    <row r="198" spans="4:4" x14ac:dyDescent="0.4">
      <c r="D198" s="1"/>
    </row>
    <row r="199" spans="4:4" x14ac:dyDescent="0.4">
      <c r="D199" s="1"/>
    </row>
    <row r="200" spans="4:4" x14ac:dyDescent="0.4">
      <c r="D200" s="1"/>
    </row>
    <row r="201" spans="4:4" x14ac:dyDescent="0.4">
      <c r="D201" s="1"/>
    </row>
    <row r="202" spans="4:4" x14ac:dyDescent="0.4">
      <c r="D202" s="1"/>
    </row>
    <row r="203" spans="4:4" x14ac:dyDescent="0.4">
      <c r="D203" s="1"/>
    </row>
    <row r="204" spans="4:4" x14ac:dyDescent="0.4">
      <c r="D204" s="1"/>
    </row>
    <row r="205" spans="4:4" x14ac:dyDescent="0.4">
      <c r="D205" s="1"/>
    </row>
    <row r="206" spans="4:4" x14ac:dyDescent="0.4">
      <c r="D206" s="1"/>
    </row>
    <row r="207" spans="4:4" x14ac:dyDescent="0.4">
      <c r="D207" s="1"/>
    </row>
    <row r="208" spans="4:4" x14ac:dyDescent="0.4">
      <c r="D208" s="1"/>
    </row>
    <row r="209" spans="4:4" x14ac:dyDescent="0.4">
      <c r="D209" s="1"/>
    </row>
    <row r="210" spans="4:4" x14ac:dyDescent="0.4">
      <c r="D210" s="1"/>
    </row>
    <row r="211" spans="4:4" x14ac:dyDescent="0.4">
      <c r="D211" s="1"/>
    </row>
    <row r="212" spans="4:4" x14ac:dyDescent="0.4">
      <c r="D212" s="1"/>
    </row>
    <row r="213" spans="4:4" x14ac:dyDescent="0.4">
      <c r="D213" s="1"/>
    </row>
    <row r="214" spans="4:4" x14ac:dyDescent="0.4">
      <c r="D214" s="1"/>
    </row>
    <row r="215" spans="4:4" x14ac:dyDescent="0.4">
      <c r="D215" s="1"/>
    </row>
    <row r="216" spans="4:4" x14ac:dyDescent="0.4">
      <c r="D216" s="1"/>
    </row>
    <row r="217" spans="4:4" x14ac:dyDescent="0.4">
      <c r="D217" s="1"/>
    </row>
    <row r="218" spans="4:4" x14ac:dyDescent="0.4">
      <c r="D218" s="1"/>
    </row>
    <row r="219" spans="4:4" x14ac:dyDescent="0.4">
      <c r="D219" s="1"/>
    </row>
    <row r="220" spans="4:4" x14ac:dyDescent="0.4">
      <c r="D220" s="1"/>
    </row>
    <row r="221" spans="4:4" x14ac:dyDescent="0.4">
      <c r="D221" s="1"/>
    </row>
    <row r="222" spans="4:4" x14ac:dyDescent="0.4">
      <c r="D222" s="1"/>
    </row>
    <row r="223" spans="4:4" x14ac:dyDescent="0.4">
      <c r="D223" s="1"/>
    </row>
    <row r="224" spans="4:4" x14ac:dyDescent="0.4">
      <c r="D224" s="1"/>
    </row>
    <row r="225" spans="4:4" x14ac:dyDescent="0.4">
      <c r="D225" s="1"/>
    </row>
    <row r="226" spans="4:4" x14ac:dyDescent="0.4">
      <c r="D226" s="1"/>
    </row>
    <row r="227" spans="4:4" x14ac:dyDescent="0.4">
      <c r="D227" s="1"/>
    </row>
    <row r="228" spans="4:4" x14ac:dyDescent="0.4">
      <c r="D228" s="1"/>
    </row>
    <row r="229" spans="4:4" x14ac:dyDescent="0.4">
      <c r="D229" s="1"/>
    </row>
    <row r="230" spans="4:4" x14ac:dyDescent="0.4">
      <c r="D230" s="1"/>
    </row>
    <row r="231" spans="4:4" x14ac:dyDescent="0.4">
      <c r="D231" s="1"/>
    </row>
    <row r="232" spans="4:4" x14ac:dyDescent="0.4">
      <c r="D232" s="1"/>
    </row>
    <row r="233" spans="4:4" x14ac:dyDescent="0.4">
      <c r="D233" s="1"/>
    </row>
    <row r="234" spans="4:4" x14ac:dyDescent="0.4">
      <c r="D234" s="1"/>
    </row>
    <row r="235" spans="4:4" x14ac:dyDescent="0.4">
      <c r="D235" s="1"/>
    </row>
    <row r="236" spans="4:4" x14ac:dyDescent="0.4">
      <c r="D236" s="1"/>
    </row>
    <row r="237" spans="4:4" x14ac:dyDescent="0.4">
      <c r="D237" s="1"/>
    </row>
    <row r="238" spans="4:4" x14ac:dyDescent="0.4">
      <c r="D238" s="1"/>
    </row>
    <row r="239" spans="4:4" x14ac:dyDescent="0.4">
      <c r="D239" s="1"/>
    </row>
    <row r="240" spans="4:4" x14ac:dyDescent="0.4">
      <c r="D240" s="1"/>
    </row>
    <row r="241" spans="4:4" x14ac:dyDescent="0.4">
      <c r="D241" s="1"/>
    </row>
    <row r="242" spans="4:4" x14ac:dyDescent="0.4">
      <c r="D242" s="1"/>
    </row>
    <row r="243" spans="4:4" x14ac:dyDescent="0.4">
      <c r="D243" s="1"/>
    </row>
    <row r="244" spans="4:4" x14ac:dyDescent="0.4">
      <c r="D244" s="1"/>
    </row>
    <row r="245" spans="4:4" x14ac:dyDescent="0.4">
      <c r="D245" s="1"/>
    </row>
    <row r="246" spans="4:4" x14ac:dyDescent="0.4">
      <c r="D246" s="1"/>
    </row>
    <row r="247" spans="4:4" x14ac:dyDescent="0.4">
      <c r="D247" s="1"/>
    </row>
    <row r="248" spans="4:4" x14ac:dyDescent="0.4">
      <c r="D248" s="1"/>
    </row>
    <row r="249" spans="4:4" x14ac:dyDescent="0.4">
      <c r="D249" s="1"/>
    </row>
    <row r="250" spans="4:4" x14ac:dyDescent="0.4">
      <c r="D250" s="1"/>
    </row>
    <row r="251" spans="4:4" x14ac:dyDescent="0.4">
      <c r="D251" s="1"/>
    </row>
    <row r="252" spans="4:4" x14ac:dyDescent="0.4">
      <c r="D252" s="1"/>
    </row>
    <row r="253" spans="4:4" x14ac:dyDescent="0.4">
      <c r="D253" s="1"/>
    </row>
    <row r="254" spans="4:4" x14ac:dyDescent="0.4">
      <c r="D254" s="1"/>
    </row>
    <row r="255" spans="4:4" x14ac:dyDescent="0.4">
      <c r="D255" s="1"/>
    </row>
    <row r="256" spans="4:4" x14ac:dyDescent="0.4">
      <c r="D256" s="1"/>
    </row>
    <row r="257" spans="4:4" x14ac:dyDescent="0.4">
      <c r="D257" s="1"/>
    </row>
    <row r="258" spans="4:4" x14ac:dyDescent="0.4">
      <c r="D258" s="1"/>
    </row>
    <row r="259" spans="4:4" x14ac:dyDescent="0.4">
      <c r="D259" s="1"/>
    </row>
    <row r="260" spans="4:4" x14ac:dyDescent="0.4">
      <c r="D260" s="1"/>
    </row>
    <row r="261" spans="4:4" x14ac:dyDescent="0.4">
      <c r="D261" s="1"/>
    </row>
    <row r="262" spans="4:4" x14ac:dyDescent="0.4">
      <c r="D262" s="1"/>
    </row>
    <row r="263" spans="4:4" x14ac:dyDescent="0.4">
      <c r="D263" s="1"/>
    </row>
    <row r="264" spans="4:4" x14ac:dyDescent="0.4">
      <c r="D264" s="1"/>
    </row>
    <row r="265" spans="4:4" x14ac:dyDescent="0.4">
      <c r="D265" s="1"/>
    </row>
    <row r="266" spans="4:4" x14ac:dyDescent="0.4">
      <c r="D266" s="1"/>
    </row>
    <row r="267" spans="4:4" x14ac:dyDescent="0.4">
      <c r="D267" s="1"/>
    </row>
    <row r="268" spans="4:4" x14ac:dyDescent="0.4">
      <c r="D268" s="1"/>
    </row>
    <row r="269" spans="4:4" x14ac:dyDescent="0.4">
      <c r="D269" s="1"/>
    </row>
    <row r="270" spans="4:4" x14ac:dyDescent="0.4">
      <c r="D270" s="1"/>
    </row>
    <row r="271" spans="4:4" x14ac:dyDescent="0.4">
      <c r="D271" s="1"/>
    </row>
    <row r="272" spans="4:4" x14ac:dyDescent="0.4">
      <c r="D272" s="1"/>
    </row>
    <row r="273" spans="4:4" x14ac:dyDescent="0.4">
      <c r="D273" s="1"/>
    </row>
    <row r="274" spans="4:4" x14ac:dyDescent="0.4">
      <c r="D274" s="1"/>
    </row>
    <row r="275" spans="4:4" x14ac:dyDescent="0.4">
      <c r="D275" s="1"/>
    </row>
    <row r="276" spans="4:4" x14ac:dyDescent="0.4">
      <c r="D276" s="1"/>
    </row>
    <row r="277" spans="4:4" x14ac:dyDescent="0.4">
      <c r="D277" s="1"/>
    </row>
    <row r="278" spans="4:4" x14ac:dyDescent="0.4">
      <c r="D278" s="1"/>
    </row>
    <row r="279" spans="4:4" x14ac:dyDescent="0.4">
      <c r="D279" s="1"/>
    </row>
    <row r="280" spans="4:4" x14ac:dyDescent="0.4">
      <c r="D280" s="1"/>
    </row>
    <row r="281" spans="4:4" x14ac:dyDescent="0.4">
      <c r="D281" s="1"/>
    </row>
    <row r="282" spans="4:4" x14ac:dyDescent="0.4">
      <c r="D282" s="1"/>
    </row>
    <row r="283" spans="4:4" x14ac:dyDescent="0.4">
      <c r="D283" s="1"/>
    </row>
    <row r="284" spans="4:4" x14ac:dyDescent="0.4">
      <c r="D284" s="1"/>
    </row>
    <row r="285" spans="4:4" x14ac:dyDescent="0.4">
      <c r="D285" s="1"/>
    </row>
    <row r="286" spans="4:4" x14ac:dyDescent="0.4">
      <c r="D286" s="1"/>
    </row>
    <row r="287" spans="4:4" x14ac:dyDescent="0.4">
      <c r="D287" s="1"/>
    </row>
    <row r="288" spans="4:4" x14ac:dyDescent="0.4">
      <c r="D288" s="1"/>
    </row>
    <row r="289" spans="4:4" x14ac:dyDescent="0.4">
      <c r="D289" s="1"/>
    </row>
    <row r="290" spans="4:4" x14ac:dyDescent="0.4">
      <c r="D290" s="1"/>
    </row>
    <row r="291" spans="4:4" x14ac:dyDescent="0.4">
      <c r="D291" s="1"/>
    </row>
    <row r="292" spans="4:4" x14ac:dyDescent="0.4">
      <c r="D292" s="1"/>
    </row>
    <row r="293" spans="4:4" x14ac:dyDescent="0.4">
      <c r="D293" s="1"/>
    </row>
    <row r="294" spans="4:4" x14ac:dyDescent="0.4">
      <c r="D294" s="1"/>
    </row>
    <row r="295" spans="4:4" x14ac:dyDescent="0.4">
      <c r="D295" s="1"/>
    </row>
    <row r="296" spans="4:4" x14ac:dyDescent="0.4">
      <c r="D296" s="1"/>
    </row>
    <row r="297" spans="4:4" x14ac:dyDescent="0.4">
      <c r="D297" s="1"/>
    </row>
    <row r="298" spans="4:4" x14ac:dyDescent="0.4">
      <c r="D298" s="1"/>
    </row>
    <row r="299" spans="4:4" x14ac:dyDescent="0.4">
      <c r="D299" s="1"/>
    </row>
    <row r="300" spans="4:4" x14ac:dyDescent="0.4">
      <c r="D300" s="1"/>
    </row>
    <row r="301" spans="4:4" x14ac:dyDescent="0.4">
      <c r="D301" s="1"/>
    </row>
    <row r="302" spans="4:4" x14ac:dyDescent="0.4">
      <c r="D302" s="1"/>
    </row>
    <row r="303" spans="4:4" x14ac:dyDescent="0.4">
      <c r="D303" s="1"/>
    </row>
    <row r="304" spans="4:4" x14ac:dyDescent="0.4">
      <c r="D304" s="1"/>
    </row>
    <row r="305" spans="4:4" x14ac:dyDescent="0.4">
      <c r="D305" s="1"/>
    </row>
    <row r="306" spans="4:4" x14ac:dyDescent="0.4">
      <c r="D306" s="1"/>
    </row>
    <row r="307" spans="4:4" x14ac:dyDescent="0.4">
      <c r="D307" s="1"/>
    </row>
    <row r="308" spans="4:4" x14ac:dyDescent="0.4">
      <c r="D308" s="1"/>
    </row>
    <row r="309" spans="4:4" x14ac:dyDescent="0.4">
      <c r="D309" s="1"/>
    </row>
    <row r="310" spans="4:4" x14ac:dyDescent="0.4">
      <c r="D310" s="1"/>
    </row>
    <row r="311" spans="4:4" x14ac:dyDescent="0.4">
      <c r="D311" s="1"/>
    </row>
    <row r="312" spans="4:4" x14ac:dyDescent="0.4">
      <c r="D312" s="1"/>
    </row>
    <row r="313" spans="4:4" x14ac:dyDescent="0.4">
      <c r="D313" s="1"/>
    </row>
    <row r="314" spans="4:4" x14ac:dyDescent="0.4">
      <c r="D314" s="1"/>
    </row>
    <row r="315" spans="4:4" x14ac:dyDescent="0.4">
      <c r="D315" s="1"/>
    </row>
    <row r="316" spans="4:4" x14ac:dyDescent="0.4">
      <c r="D316" s="1"/>
    </row>
    <row r="317" spans="4:4" x14ac:dyDescent="0.4">
      <c r="D317" s="1"/>
    </row>
    <row r="318" spans="4:4" x14ac:dyDescent="0.4">
      <c r="D318" s="1"/>
    </row>
    <row r="319" spans="4:4" x14ac:dyDescent="0.4">
      <c r="D319" s="1"/>
    </row>
    <row r="320" spans="4:4" x14ac:dyDescent="0.4">
      <c r="D320" s="1"/>
    </row>
    <row r="321" spans="4:4" x14ac:dyDescent="0.4">
      <c r="D321" s="1"/>
    </row>
    <row r="322" spans="4:4" x14ac:dyDescent="0.4">
      <c r="D322" s="1"/>
    </row>
    <row r="323" spans="4:4" x14ac:dyDescent="0.4">
      <c r="D323" s="1"/>
    </row>
    <row r="324" spans="4:4" x14ac:dyDescent="0.4">
      <c r="D324" s="1"/>
    </row>
    <row r="325" spans="4:4" x14ac:dyDescent="0.4">
      <c r="D325" s="1"/>
    </row>
    <row r="326" spans="4:4" x14ac:dyDescent="0.4">
      <c r="D326" s="1"/>
    </row>
    <row r="327" spans="4:4" x14ac:dyDescent="0.4">
      <c r="D327" s="1"/>
    </row>
    <row r="328" spans="4:4" x14ac:dyDescent="0.4">
      <c r="D328" s="1"/>
    </row>
    <row r="329" spans="4:4" x14ac:dyDescent="0.4">
      <c r="D329" s="1"/>
    </row>
    <row r="330" spans="4:4" x14ac:dyDescent="0.4">
      <c r="D330" s="1"/>
    </row>
    <row r="331" spans="4:4" x14ac:dyDescent="0.4">
      <c r="D331" s="1"/>
    </row>
    <row r="332" spans="4:4" x14ac:dyDescent="0.4">
      <c r="D332" s="1"/>
    </row>
    <row r="333" spans="4:4" x14ac:dyDescent="0.4">
      <c r="D333" s="1"/>
    </row>
    <row r="334" spans="4:4" x14ac:dyDescent="0.4">
      <c r="D334" s="1"/>
    </row>
    <row r="335" spans="4:4" x14ac:dyDescent="0.4">
      <c r="D335" s="1"/>
    </row>
    <row r="336" spans="4:4" x14ac:dyDescent="0.4">
      <c r="D336" s="1"/>
    </row>
    <row r="337" spans="4:4" x14ac:dyDescent="0.4">
      <c r="D337" s="1"/>
    </row>
    <row r="338" spans="4:4" x14ac:dyDescent="0.4">
      <c r="D338" s="1"/>
    </row>
    <row r="339" spans="4:4" x14ac:dyDescent="0.4">
      <c r="D339" s="1"/>
    </row>
    <row r="340" spans="4:4" x14ac:dyDescent="0.4">
      <c r="D340" s="1"/>
    </row>
    <row r="341" spans="4:4" x14ac:dyDescent="0.4">
      <c r="D341" s="1"/>
    </row>
    <row r="342" spans="4:4" x14ac:dyDescent="0.4">
      <c r="D342" s="1"/>
    </row>
    <row r="343" spans="4:4" x14ac:dyDescent="0.4">
      <c r="D343" s="1"/>
    </row>
    <row r="344" spans="4:4" x14ac:dyDescent="0.4">
      <c r="D344" s="1"/>
    </row>
    <row r="345" spans="4:4" x14ac:dyDescent="0.4">
      <c r="D345" s="1"/>
    </row>
    <row r="346" spans="4:4" x14ac:dyDescent="0.4">
      <c r="D346" s="1"/>
    </row>
    <row r="347" spans="4:4" x14ac:dyDescent="0.4">
      <c r="D347" s="1"/>
    </row>
    <row r="348" spans="4:4" x14ac:dyDescent="0.4">
      <c r="D348" s="1"/>
    </row>
    <row r="349" spans="4:4" x14ac:dyDescent="0.4">
      <c r="D349" s="1"/>
    </row>
    <row r="350" spans="4:4" x14ac:dyDescent="0.4">
      <c r="D350" s="1"/>
    </row>
    <row r="351" spans="4:4" x14ac:dyDescent="0.4">
      <c r="D351" s="1"/>
    </row>
    <row r="352" spans="4:4" x14ac:dyDescent="0.4">
      <c r="D352" s="1"/>
    </row>
    <row r="353" spans="4:4" x14ac:dyDescent="0.4">
      <c r="D353" s="1"/>
    </row>
    <row r="354" spans="4:4" x14ac:dyDescent="0.4">
      <c r="D354" s="1"/>
    </row>
    <row r="355" spans="4:4" x14ac:dyDescent="0.4">
      <c r="D355" s="1"/>
    </row>
    <row r="356" spans="4:4" x14ac:dyDescent="0.4">
      <c r="D356" s="1"/>
    </row>
    <row r="357" spans="4:4" x14ac:dyDescent="0.4">
      <c r="D357" s="1"/>
    </row>
    <row r="358" spans="4:4" x14ac:dyDescent="0.4">
      <c r="D358" s="1"/>
    </row>
    <row r="359" spans="4:4" x14ac:dyDescent="0.4">
      <c r="D359" s="1"/>
    </row>
    <row r="360" spans="4:4" x14ac:dyDescent="0.4">
      <c r="D360" s="1"/>
    </row>
    <row r="361" spans="4:4" x14ac:dyDescent="0.4">
      <c r="D361" s="1"/>
    </row>
    <row r="362" spans="4:4" x14ac:dyDescent="0.4">
      <c r="D362" s="1"/>
    </row>
    <row r="363" spans="4:4" x14ac:dyDescent="0.4">
      <c r="D363" s="1"/>
    </row>
    <row r="364" spans="4:4" x14ac:dyDescent="0.4">
      <c r="D364" s="1"/>
    </row>
    <row r="365" spans="4:4" x14ac:dyDescent="0.4">
      <c r="D365" s="1"/>
    </row>
    <row r="366" spans="4:4" x14ac:dyDescent="0.4">
      <c r="D366" s="1"/>
    </row>
    <row r="367" spans="4:4" x14ac:dyDescent="0.4">
      <c r="D367" s="1"/>
    </row>
    <row r="368" spans="4:4" x14ac:dyDescent="0.4">
      <c r="D368" s="1"/>
    </row>
    <row r="369" spans="4:4" x14ac:dyDescent="0.4">
      <c r="D369" s="1"/>
    </row>
    <row r="370" spans="4:4" x14ac:dyDescent="0.4">
      <c r="D370" s="1"/>
    </row>
    <row r="371" spans="4:4" x14ac:dyDescent="0.4">
      <c r="D371" s="1"/>
    </row>
    <row r="372" spans="4:4" x14ac:dyDescent="0.4">
      <c r="D372" s="1"/>
    </row>
    <row r="373" spans="4:4" x14ac:dyDescent="0.4">
      <c r="D373" s="1"/>
    </row>
    <row r="374" spans="4:4" x14ac:dyDescent="0.4">
      <c r="D374" s="1"/>
    </row>
    <row r="375" spans="4:4" x14ac:dyDescent="0.4">
      <c r="D375" s="1"/>
    </row>
    <row r="376" spans="4:4" x14ac:dyDescent="0.4">
      <c r="D376" s="1"/>
    </row>
    <row r="377" spans="4:4" x14ac:dyDescent="0.4">
      <c r="D377" s="1"/>
    </row>
    <row r="378" spans="4:4" x14ac:dyDescent="0.4">
      <c r="D378" s="1"/>
    </row>
    <row r="379" spans="4:4" x14ac:dyDescent="0.4">
      <c r="D379" s="1"/>
    </row>
    <row r="380" spans="4:4" x14ac:dyDescent="0.4">
      <c r="D380" s="1"/>
    </row>
    <row r="381" spans="4:4" x14ac:dyDescent="0.4">
      <c r="D381" s="1"/>
    </row>
    <row r="382" spans="4:4" x14ac:dyDescent="0.4">
      <c r="D382" s="1"/>
    </row>
    <row r="383" spans="4:4" x14ac:dyDescent="0.4">
      <c r="D383" s="1"/>
    </row>
    <row r="384" spans="4:4" x14ac:dyDescent="0.4">
      <c r="D384" s="1"/>
    </row>
    <row r="385" spans="4:4" x14ac:dyDescent="0.4">
      <c r="D385" s="1"/>
    </row>
    <row r="386" spans="4:4" x14ac:dyDescent="0.4">
      <c r="D386" s="1"/>
    </row>
    <row r="387" spans="4:4" x14ac:dyDescent="0.4">
      <c r="D387" s="1"/>
    </row>
    <row r="388" spans="4:4" x14ac:dyDescent="0.4">
      <c r="D388" s="1"/>
    </row>
    <row r="389" spans="4:4" x14ac:dyDescent="0.4">
      <c r="D389" s="1"/>
    </row>
    <row r="390" spans="4:4" x14ac:dyDescent="0.4">
      <c r="D390" s="1"/>
    </row>
    <row r="391" spans="4:4" x14ac:dyDescent="0.4">
      <c r="D391" s="1"/>
    </row>
    <row r="392" spans="4:4" x14ac:dyDescent="0.4">
      <c r="D392" s="1"/>
    </row>
    <row r="393" spans="4:4" x14ac:dyDescent="0.4">
      <c r="D393" s="1"/>
    </row>
    <row r="394" spans="4:4" x14ac:dyDescent="0.4">
      <c r="D394" s="1"/>
    </row>
    <row r="395" spans="4:4" x14ac:dyDescent="0.4">
      <c r="D395" s="1"/>
    </row>
    <row r="396" spans="4:4" x14ac:dyDescent="0.4">
      <c r="D396" s="1"/>
    </row>
    <row r="397" spans="4:4" x14ac:dyDescent="0.4">
      <c r="D397" s="1"/>
    </row>
    <row r="398" spans="4:4" x14ac:dyDescent="0.4">
      <c r="D398" s="1"/>
    </row>
    <row r="399" spans="4:4" x14ac:dyDescent="0.4">
      <c r="D399" s="1"/>
    </row>
    <row r="400" spans="4:4" x14ac:dyDescent="0.4">
      <c r="D400" s="1"/>
    </row>
    <row r="401" spans="4:4" x14ac:dyDescent="0.4">
      <c r="D401" s="1"/>
    </row>
    <row r="402" spans="4:4" x14ac:dyDescent="0.4">
      <c r="D402" s="1"/>
    </row>
    <row r="403" spans="4:4" x14ac:dyDescent="0.4">
      <c r="D403" s="1"/>
    </row>
    <row r="404" spans="4:4" x14ac:dyDescent="0.4">
      <c r="D404" s="1"/>
    </row>
    <row r="405" spans="4:4" x14ac:dyDescent="0.4">
      <c r="D405" s="1"/>
    </row>
    <row r="406" spans="4:4" x14ac:dyDescent="0.4">
      <c r="D406" s="1"/>
    </row>
    <row r="407" spans="4:4" x14ac:dyDescent="0.4">
      <c r="D407" s="1"/>
    </row>
    <row r="408" spans="4:4" x14ac:dyDescent="0.4">
      <c r="D408" s="1"/>
    </row>
    <row r="409" spans="4:4" x14ac:dyDescent="0.4">
      <c r="D409" s="1"/>
    </row>
    <row r="410" spans="4:4" x14ac:dyDescent="0.4">
      <c r="D410" s="1"/>
    </row>
    <row r="411" spans="4:4" x14ac:dyDescent="0.4">
      <c r="D411" s="1"/>
    </row>
    <row r="412" spans="4:4" x14ac:dyDescent="0.4">
      <c r="D412" s="1"/>
    </row>
    <row r="413" spans="4:4" x14ac:dyDescent="0.4">
      <c r="D413" s="1"/>
    </row>
    <row r="414" spans="4:4" x14ac:dyDescent="0.4">
      <c r="D414" s="1"/>
    </row>
    <row r="415" spans="4:4" x14ac:dyDescent="0.4">
      <c r="D415" s="1"/>
    </row>
    <row r="416" spans="4:4" x14ac:dyDescent="0.4">
      <c r="D416" s="1"/>
    </row>
    <row r="417" spans="4:4" x14ac:dyDescent="0.4">
      <c r="D417" s="1"/>
    </row>
    <row r="418" spans="4:4" x14ac:dyDescent="0.4">
      <c r="D418" s="1"/>
    </row>
    <row r="419" spans="4:4" x14ac:dyDescent="0.4">
      <c r="D419" s="1"/>
    </row>
    <row r="420" spans="4:4" x14ac:dyDescent="0.4">
      <c r="D420" s="1"/>
    </row>
    <row r="421" spans="4:4" x14ac:dyDescent="0.4">
      <c r="D421" s="1"/>
    </row>
    <row r="422" spans="4:4" x14ac:dyDescent="0.4">
      <c r="D422" s="1"/>
    </row>
    <row r="423" spans="4:4" x14ac:dyDescent="0.4">
      <c r="D423" s="1"/>
    </row>
    <row r="424" spans="4:4" x14ac:dyDescent="0.4">
      <c r="D424" s="1"/>
    </row>
    <row r="425" spans="4:4" x14ac:dyDescent="0.4">
      <c r="D425" s="1"/>
    </row>
    <row r="426" spans="4:4" x14ac:dyDescent="0.4">
      <c r="D426" s="1"/>
    </row>
    <row r="427" spans="4:4" x14ac:dyDescent="0.4">
      <c r="D427" s="1"/>
    </row>
    <row r="428" spans="4:4" x14ac:dyDescent="0.4">
      <c r="D428" s="1"/>
    </row>
    <row r="429" spans="4:4" x14ac:dyDescent="0.4">
      <c r="D429" s="1"/>
    </row>
    <row r="430" spans="4:4" x14ac:dyDescent="0.4">
      <c r="D430" s="1"/>
    </row>
    <row r="431" spans="4:4" x14ac:dyDescent="0.4">
      <c r="D431" s="1"/>
    </row>
    <row r="432" spans="4:4" x14ac:dyDescent="0.4">
      <c r="D432" s="1"/>
    </row>
    <row r="433" spans="4:4" x14ac:dyDescent="0.4">
      <c r="D433" s="1"/>
    </row>
    <row r="434" spans="4:4" x14ac:dyDescent="0.4">
      <c r="D434" s="1"/>
    </row>
    <row r="435" spans="4:4" x14ac:dyDescent="0.4">
      <c r="D435" s="1"/>
    </row>
    <row r="436" spans="4:4" x14ac:dyDescent="0.4">
      <c r="D436" s="1"/>
    </row>
    <row r="437" spans="4:4" x14ac:dyDescent="0.4">
      <c r="D437" s="1"/>
    </row>
    <row r="438" spans="4:4" x14ac:dyDescent="0.4">
      <c r="D438" s="1"/>
    </row>
    <row r="439" spans="4:4" x14ac:dyDescent="0.4">
      <c r="D439" s="1"/>
    </row>
    <row r="440" spans="4:4" x14ac:dyDescent="0.4">
      <c r="D440" s="1"/>
    </row>
    <row r="441" spans="4:4" x14ac:dyDescent="0.4">
      <c r="D441" s="1"/>
    </row>
    <row r="442" spans="4:4" x14ac:dyDescent="0.4">
      <c r="D442" s="1"/>
    </row>
    <row r="443" spans="4:4" x14ac:dyDescent="0.4">
      <c r="D443" s="1"/>
    </row>
    <row r="444" spans="4:4" x14ac:dyDescent="0.4">
      <c r="D444" s="1"/>
    </row>
    <row r="445" spans="4:4" x14ac:dyDescent="0.4">
      <c r="D445" s="1"/>
    </row>
    <row r="446" spans="4:4" x14ac:dyDescent="0.4">
      <c r="D446" s="1"/>
    </row>
    <row r="447" spans="4:4" x14ac:dyDescent="0.4">
      <c r="D447" s="1"/>
    </row>
    <row r="448" spans="4:4" x14ac:dyDescent="0.4">
      <c r="D448" s="1"/>
    </row>
    <row r="449" spans="4:4" x14ac:dyDescent="0.4">
      <c r="D449" s="1"/>
    </row>
    <row r="450" spans="4:4" x14ac:dyDescent="0.4">
      <c r="D450" s="1"/>
    </row>
    <row r="451" spans="4:4" x14ac:dyDescent="0.4">
      <c r="D451" s="1"/>
    </row>
    <row r="452" spans="4:4" x14ac:dyDescent="0.4">
      <c r="D452" s="1"/>
    </row>
    <row r="453" spans="4:4" x14ac:dyDescent="0.4">
      <c r="D453" s="1"/>
    </row>
    <row r="454" spans="4:4" x14ac:dyDescent="0.4">
      <c r="D454" s="1"/>
    </row>
    <row r="455" spans="4:4" x14ac:dyDescent="0.4">
      <c r="D455" s="1"/>
    </row>
    <row r="456" spans="4:4" x14ac:dyDescent="0.4">
      <c r="D456" s="1"/>
    </row>
    <row r="457" spans="4:4" x14ac:dyDescent="0.4">
      <c r="D457" s="1"/>
    </row>
    <row r="458" spans="4:4" x14ac:dyDescent="0.4">
      <c r="D458" s="1"/>
    </row>
    <row r="459" spans="4:4" x14ac:dyDescent="0.4">
      <c r="D459" s="1"/>
    </row>
    <row r="460" spans="4:4" x14ac:dyDescent="0.4">
      <c r="D460" s="1"/>
    </row>
    <row r="461" spans="4:4" x14ac:dyDescent="0.4">
      <c r="D461" s="1"/>
    </row>
    <row r="462" spans="4:4" x14ac:dyDescent="0.4">
      <c r="D462" s="1"/>
    </row>
    <row r="463" spans="4:4" x14ac:dyDescent="0.4">
      <c r="D463" s="1"/>
    </row>
    <row r="464" spans="4:4" x14ac:dyDescent="0.4">
      <c r="D464" s="1"/>
    </row>
    <row r="465" spans="4:4" x14ac:dyDescent="0.4">
      <c r="D465" s="1"/>
    </row>
    <row r="466" spans="4:4" x14ac:dyDescent="0.4">
      <c r="D466" s="1"/>
    </row>
    <row r="467" spans="4:4" x14ac:dyDescent="0.4">
      <c r="D467" s="1"/>
    </row>
    <row r="468" spans="4:4" x14ac:dyDescent="0.4">
      <c r="D468" s="1"/>
    </row>
    <row r="469" spans="4:4" x14ac:dyDescent="0.4">
      <c r="D469" s="1"/>
    </row>
    <row r="470" spans="4:4" x14ac:dyDescent="0.4">
      <c r="D470" s="1"/>
    </row>
    <row r="471" spans="4:4" x14ac:dyDescent="0.4">
      <c r="D471" s="1"/>
    </row>
    <row r="472" spans="4:4" x14ac:dyDescent="0.4">
      <c r="D472" s="1"/>
    </row>
    <row r="473" spans="4:4" x14ac:dyDescent="0.4">
      <c r="D473" s="1"/>
    </row>
    <row r="474" spans="4:4" x14ac:dyDescent="0.4">
      <c r="D474" s="1"/>
    </row>
    <row r="475" spans="4:4" x14ac:dyDescent="0.4">
      <c r="D475" s="1"/>
    </row>
    <row r="476" spans="4:4" x14ac:dyDescent="0.4">
      <c r="D476" s="1"/>
    </row>
    <row r="477" spans="4:4" x14ac:dyDescent="0.4">
      <c r="D477" s="1"/>
    </row>
    <row r="478" spans="4:4" x14ac:dyDescent="0.4">
      <c r="D478" s="1"/>
    </row>
    <row r="479" spans="4:4" x14ac:dyDescent="0.4">
      <c r="D479" s="1"/>
    </row>
    <row r="480" spans="4:4" x14ac:dyDescent="0.4">
      <c r="D480" s="1"/>
    </row>
    <row r="481" spans="4:4" x14ac:dyDescent="0.4">
      <c r="D481" s="1"/>
    </row>
    <row r="482" spans="4:4" x14ac:dyDescent="0.4">
      <c r="D482" s="1"/>
    </row>
    <row r="483" spans="4:4" x14ac:dyDescent="0.4">
      <c r="D483" s="1"/>
    </row>
    <row r="484" spans="4:4" x14ac:dyDescent="0.4">
      <c r="D484" s="1"/>
    </row>
    <row r="485" spans="4:4" x14ac:dyDescent="0.4">
      <c r="D485" s="1"/>
    </row>
    <row r="486" spans="4:4" x14ac:dyDescent="0.4">
      <c r="D486" s="1"/>
    </row>
    <row r="487" spans="4:4" x14ac:dyDescent="0.4">
      <c r="D487" s="1"/>
    </row>
    <row r="488" spans="4:4" x14ac:dyDescent="0.4">
      <c r="D488" s="1"/>
    </row>
    <row r="489" spans="4:4" x14ac:dyDescent="0.4">
      <c r="D489" s="1"/>
    </row>
    <row r="490" spans="4:4" x14ac:dyDescent="0.4">
      <c r="D490" s="1"/>
    </row>
    <row r="491" spans="4:4" x14ac:dyDescent="0.4">
      <c r="D491" s="1"/>
    </row>
    <row r="492" spans="4:4" x14ac:dyDescent="0.4">
      <c r="D492" s="1"/>
    </row>
    <row r="493" spans="4:4" x14ac:dyDescent="0.4">
      <c r="D493" s="1"/>
    </row>
    <row r="494" spans="4:4" x14ac:dyDescent="0.4">
      <c r="D494" s="1"/>
    </row>
    <row r="495" spans="4:4" x14ac:dyDescent="0.4">
      <c r="D495" s="1"/>
    </row>
    <row r="496" spans="4:4" x14ac:dyDescent="0.4">
      <c r="D496" s="1"/>
    </row>
    <row r="497" spans="4:4" x14ac:dyDescent="0.4">
      <c r="D497" s="1"/>
    </row>
    <row r="498" spans="4:4" x14ac:dyDescent="0.4">
      <c r="D498" s="1"/>
    </row>
    <row r="499" spans="4:4" x14ac:dyDescent="0.4">
      <c r="D499" s="1"/>
    </row>
    <row r="500" spans="4:4" x14ac:dyDescent="0.4">
      <c r="D500" s="1"/>
    </row>
    <row r="501" spans="4:4" x14ac:dyDescent="0.4">
      <c r="D501" s="1"/>
    </row>
    <row r="502" spans="4:4" x14ac:dyDescent="0.4">
      <c r="D502" s="1"/>
    </row>
    <row r="503" spans="4:4" x14ac:dyDescent="0.4">
      <c r="D503" s="1"/>
    </row>
    <row r="504" spans="4:4" x14ac:dyDescent="0.4">
      <c r="D504" s="1"/>
    </row>
    <row r="505" spans="4:4" x14ac:dyDescent="0.4">
      <c r="D505" s="1"/>
    </row>
    <row r="506" spans="4:4" x14ac:dyDescent="0.4">
      <c r="D506" s="1"/>
    </row>
    <row r="507" spans="4:4" x14ac:dyDescent="0.4">
      <c r="D507" s="1"/>
    </row>
    <row r="508" spans="4:4" x14ac:dyDescent="0.4">
      <c r="D508" s="1"/>
    </row>
    <row r="509" spans="4:4" x14ac:dyDescent="0.4">
      <c r="D509" s="1"/>
    </row>
    <row r="510" spans="4:4" x14ac:dyDescent="0.4">
      <c r="D510" s="1"/>
    </row>
    <row r="511" spans="4:4" x14ac:dyDescent="0.4">
      <c r="D511" s="1"/>
    </row>
    <row r="512" spans="4:4" x14ac:dyDescent="0.4">
      <c r="D512" s="1"/>
    </row>
    <row r="513" spans="4:4" x14ac:dyDescent="0.4">
      <c r="D513" s="1"/>
    </row>
    <row r="514" spans="4:4" x14ac:dyDescent="0.4">
      <c r="D514" s="1"/>
    </row>
    <row r="515" spans="4:4" x14ac:dyDescent="0.4">
      <c r="D515" s="1"/>
    </row>
    <row r="516" spans="4:4" x14ac:dyDescent="0.4">
      <c r="D516" s="1"/>
    </row>
    <row r="517" spans="4:4" x14ac:dyDescent="0.4">
      <c r="D517" s="1"/>
    </row>
    <row r="518" spans="4:4" x14ac:dyDescent="0.4">
      <c r="D518" s="1"/>
    </row>
    <row r="519" spans="4:4" x14ac:dyDescent="0.4">
      <c r="D519" s="1"/>
    </row>
    <row r="520" spans="4:4" x14ac:dyDescent="0.4">
      <c r="D520" s="1"/>
    </row>
    <row r="521" spans="4:4" x14ac:dyDescent="0.4">
      <c r="D521" s="1"/>
    </row>
    <row r="522" spans="4:4" x14ac:dyDescent="0.4">
      <c r="D522" s="1"/>
    </row>
    <row r="523" spans="4:4" x14ac:dyDescent="0.4">
      <c r="D523" s="1"/>
    </row>
    <row r="524" spans="4:4" x14ac:dyDescent="0.4">
      <c r="D524" s="1"/>
    </row>
    <row r="525" spans="4:4" x14ac:dyDescent="0.4">
      <c r="D525" s="1"/>
    </row>
    <row r="526" spans="4:4" x14ac:dyDescent="0.4">
      <c r="D526" s="1"/>
    </row>
    <row r="527" spans="4:4" x14ac:dyDescent="0.4">
      <c r="D527" s="1"/>
    </row>
    <row r="528" spans="4:4" x14ac:dyDescent="0.4">
      <c r="D528" s="1"/>
    </row>
    <row r="529" spans="4:4" x14ac:dyDescent="0.4">
      <c r="D529" s="1"/>
    </row>
    <row r="530" spans="4:4" x14ac:dyDescent="0.4">
      <c r="D530" s="1"/>
    </row>
    <row r="531" spans="4:4" x14ac:dyDescent="0.4">
      <c r="D531" s="1"/>
    </row>
    <row r="532" spans="4:4" x14ac:dyDescent="0.4">
      <c r="D532" s="1"/>
    </row>
    <row r="533" spans="4:4" x14ac:dyDescent="0.4">
      <c r="D533" s="1"/>
    </row>
    <row r="534" spans="4:4" x14ac:dyDescent="0.4">
      <c r="D534" s="1"/>
    </row>
    <row r="535" spans="4:4" x14ac:dyDescent="0.4">
      <c r="D535" s="1"/>
    </row>
    <row r="536" spans="4:4" x14ac:dyDescent="0.4">
      <c r="D536" s="1"/>
    </row>
    <row r="537" spans="4:4" x14ac:dyDescent="0.4">
      <c r="D537" s="1"/>
    </row>
    <row r="538" spans="4:4" x14ac:dyDescent="0.4">
      <c r="D538" s="1"/>
    </row>
    <row r="539" spans="4:4" x14ac:dyDescent="0.4">
      <c r="D539" s="1"/>
    </row>
    <row r="540" spans="4:4" x14ac:dyDescent="0.4">
      <c r="D540" s="1"/>
    </row>
    <row r="541" spans="4:4" x14ac:dyDescent="0.4">
      <c r="D541" s="1"/>
    </row>
    <row r="542" spans="4:4" x14ac:dyDescent="0.4">
      <c r="D542" s="1"/>
    </row>
    <row r="543" spans="4:4" x14ac:dyDescent="0.4">
      <c r="D543" s="1"/>
    </row>
    <row r="544" spans="4:4" x14ac:dyDescent="0.4">
      <c r="D544" s="1"/>
    </row>
    <row r="545" spans="3:4" x14ac:dyDescent="0.4">
      <c r="D545" s="1"/>
    </row>
    <row r="546" spans="3:4" x14ac:dyDescent="0.4">
      <c r="D546" s="1"/>
    </row>
    <row r="547" spans="3:4" x14ac:dyDescent="0.4">
      <c r="D547" s="1"/>
    </row>
    <row r="548" spans="3:4" x14ac:dyDescent="0.4">
      <c r="D548" s="1"/>
    </row>
    <row r="549" spans="3:4" x14ac:dyDescent="0.4">
      <c r="D549" s="1"/>
    </row>
    <row r="550" spans="3:4" x14ac:dyDescent="0.4">
      <c r="D550" s="1"/>
    </row>
    <row r="551" spans="3:4" x14ac:dyDescent="0.4">
      <c r="D551" s="1"/>
    </row>
    <row r="552" spans="3:4" x14ac:dyDescent="0.4">
      <c r="D552" s="1"/>
    </row>
    <row r="553" spans="3:4" x14ac:dyDescent="0.4">
      <c r="D553" s="1"/>
    </row>
    <row r="554" spans="3:4" x14ac:dyDescent="0.4">
      <c r="D554" s="1"/>
    </row>
    <row r="555" spans="3:4" x14ac:dyDescent="0.4">
      <c r="D555" s="1"/>
    </row>
    <row r="556" spans="3:4" x14ac:dyDescent="0.4">
      <c r="D556" s="1"/>
    </row>
    <row r="557" spans="3:4" x14ac:dyDescent="0.4">
      <c r="D557" s="1"/>
    </row>
    <row r="558" spans="3:4" x14ac:dyDescent="0.4">
      <c r="D558" s="1"/>
    </row>
    <row r="559" spans="3:4" x14ac:dyDescent="0.4">
      <c r="D559" s="1"/>
    </row>
    <row r="560" spans="3:4" x14ac:dyDescent="0.4">
      <c r="C560" s="1"/>
    </row>
    <row r="561" spans="3:3" x14ac:dyDescent="0.4">
      <c r="C561" s="1"/>
    </row>
    <row r="562" spans="3:3" x14ac:dyDescent="0.4">
      <c r="C562" s="1"/>
    </row>
    <row r="563" spans="3:3" x14ac:dyDescent="0.4">
      <c r="C563" s="1"/>
    </row>
    <row r="564" spans="3:3" x14ac:dyDescent="0.4">
      <c r="C564" s="1"/>
    </row>
    <row r="565" spans="3:3" x14ac:dyDescent="0.4">
      <c r="C565" s="1"/>
    </row>
    <row r="566" spans="3:3" x14ac:dyDescent="0.4">
      <c r="C566" s="1"/>
    </row>
    <row r="567" spans="3:3" x14ac:dyDescent="0.4">
      <c r="C567" s="1"/>
    </row>
    <row r="568" spans="3:3" x14ac:dyDescent="0.4">
      <c r="C568" s="1"/>
    </row>
    <row r="569" spans="3:3" x14ac:dyDescent="0.4">
      <c r="C569" s="1"/>
    </row>
    <row r="570" spans="3:3" x14ac:dyDescent="0.4">
      <c r="C570" s="1"/>
    </row>
    <row r="571" spans="3:3" x14ac:dyDescent="0.4">
      <c r="C571" s="1"/>
    </row>
    <row r="572" spans="3:3" x14ac:dyDescent="0.4">
      <c r="C572" s="1"/>
    </row>
    <row r="573" spans="3:3" x14ac:dyDescent="0.4">
      <c r="C573" s="1"/>
    </row>
    <row r="574" spans="3:3" x14ac:dyDescent="0.4">
      <c r="C574" s="1"/>
    </row>
    <row r="575" spans="3:3" x14ac:dyDescent="0.4">
      <c r="C575" s="1"/>
    </row>
    <row r="576" spans="3:3" x14ac:dyDescent="0.4">
      <c r="C576" s="1"/>
    </row>
    <row r="577" spans="3:3" x14ac:dyDescent="0.4">
      <c r="C577" s="1"/>
    </row>
    <row r="578" spans="3:3" x14ac:dyDescent="0.4">
      <c r="C578" s="1"/>
    </row>
    <row r="579" spans="3:3" x14ac:dyDescent="0.4">
      <c r="C579" s="1"/>
    </row>
    <row r="580" spans="3:3" x14ac:dyDescent="0.4">
      <c r="C580" s="1"/>
    </row>
    <row r="581" spans="3:3" x14ac:dyDescent="0.4">
      <c r="C581" s="1"/>
    </row>
    <row r="582" spans="3:3" x14ac:dyDescent="0.4">
      <c r="C582" s="1"/>
    </row>
    <row r="583" spans="3:3" x14ac:dyDescent="0.4">
      <c r="C583" s="1"/>
    </row>
    <row r="584" spans="3:3" x14ac:dyDescent="0.4">
      <c r="C584" s="1"/>
    </row>
    <row r="585" spans="3:3" x14ac:dyDescent="0.4">
      <c r="C585" s="1"/>
    </row>
    <row r="586" spans="3:3" x14ac:dyDescent="0.4">
      <c r="C586" s="1"/>
    </row>
    <row r="587" spans="3:3" x14ac:dyDescent="0.4">
      <c r="C587" s="1"/>
    </row>
    <row r="588" spans="3:3" x14ac:dyDescent="0.4">
      <c r="C588" s="1"/>
    </row>
    <row r="589" spans="3:3" x14ac:dyDescent="0.4">
      <c r="C589" s="1"/>
    </row>
    <row r="590" spans="3:3" x14ac:dyDescent="0.4">
      <c r="C590" s="1"/>
    </row>
    <row r="591" spans="3:3" x14ac:dyDescent="0.4">
      <c r="C591" s="1"/>
    </row>
    <row r="592" spans="3:3" x14ac:dyDescent="0.4">
      <c r="C592" s="1"/>
    </row>
    <row r="593" spans="3:3" x14ac:dyDescent="0.4">
      <c r="C593" s="1"/>
    </row>
    <row r="594" spans="3:3" x14ac:dyDescent="0.4">
      <c r="C594" s="1"/>
    </row>
    <row r="595" spans="3:3" x14ac:dyDescent="0.4">
      <c r="C595" s="1"/>
    </row>
    <row r="596" spans="3:3" x14ac:dyDescent="0.4">
      <c r="C596" s="1"/>
    </row>
    <row r="597" spans="3:3" x14ac:dyDescent="0.4">
      <c r="C597" s="1"/>
    </row>
    <row r="598" spans="3:3" x14ac:dyDescent="0.4">
      <c r="C598" s="1"/>
    </row>
    <row r="599" spans="3:3" x14ac:dyDescent="0.4">
      <c r="C599" s="1"/>
    </row>
    <row r="600" spans="3:3" x14ac:dyDescent="0.4">
      <c r="C600" s="1"/>
    </row>
    <row r="601" spans="3:3" x14ac:dyDescent="0.4">
      <c r="C601" s="1"/>
    </row>
    <row r="602" spans="3:3" x14ac:dyDescent="0.4">
      <c r="C602" s="1"/>
    </row>
    <row r="603" spans="3:3" x14ac:dyDescent="0.4">
      <c r="C603" s="1"/>
    </row>
    <row r="604" spans="3:3" x14ac:dyDescent="0.4">
      <c r="C604" s="1"/>
    </row>
    <row r="605" spans="3:3" x14ac:dyDescent="0.4">
      <c r="C605" s="1"/>
    </row>
    <row r="606" spans="3:3" x14ac:dyDescent="0.4">
      <c r="C606" s="1"/>
    </row>
    <row r="607" spans="3:3" x14ac:dyDescent="0.4">
      <c r="C607" s="1"/>
    </row>
    <row r="608" spans="3:3" x14ac:dyDescent="0.4">
      <c r="C608" s="1"/>
    </row>
    <row r="609" spans="3:3" x14ac:dyDescent="0.4">
      <c r="C609" s="1"/>
    </row>
    <row r="610" spans="3:3" x14ac:dyDescent="0.4">
      <c r="C610" s="1"/>
    </row>
    <row r="611" spans="3:3" x14ac:dyDescent="0.4">
      <c r="C611" s="1"/>
    </row>
    <row r="612" spans="3:3" x14ac:dyDescent="0.4">
      <c r="C612" s="1"/>
    </row>
    <row r="613" spans="3:3" x14ac:dyDescent="0.4">
      <c r="C613" s="1"/>
    </row>
    <row r="614" spans="3:3" x14ac:dyDescent="0.4">
      <c r="C614" s="1"/>
    </row>
    <row r="615" spans="3:3" x14ac:dyDescent="0.4">
      <c r="C615" s="1"/>
    </row>
    <row r="616" spans="3:3" x14ac:dyDescent="0.4">
      <c r="C616" s="1"/>
    </row>
    <row r="617" spans="3:3" x14ac:dyDescent="0.4">
      <c r="C617" s="1"/>
    </row>
    <row r="618" spans="3:3" x14ac:dyDescent="0.4">
      <c r="C618" s="1"/>
    </row>
    <row r="619" spans="3:3" x14ac:dyDescent="0.4">
      <c r="C619" s="1"/>
    </row>
    <row r="620" spans="3:3" x14ac:dyDescent="0.4">
      <c r="C620" s="1"/>
    </row>
    <row r="621" spans="3:3" x14ac:dyDescent="0.4">
      <c r="C621" s="1"/>
    </row>
    <row r="622" spans="3:3" x14ac:dyDescent="0.4">
      <c r="C622" s="1"/>
    </row>
    <row r="623" spans="3:3" x14ac:dyDescent="0.4">
      <c r="C623" s="1"/>
    </row>
    <row r="624" spans="3:3" x14ac:dyDescent="0.4">
      <c r="C624" s="1"/>
    </row>
    <row r="625" spans="3:3" x14ac:dyDescent="0.4">
      <c r="C625" s="1"/>
    </row>
    <row r="626" spans="3:3" x14ac:dyDescent="0.4">
      <c r="C626" s="1"/>
    </row>
    <row r="627" spans="3:3" x14ac:dyDescent="0.4">
      <c r="C627" s="1"/>
    </row>
    <row r="628" spans="3:3" x14ac:dyDescent="0.4">
      <c r="C628" s="1"/>
    </row>
    <row r="629" spans="3:3" x14ac:dyDescent="0.4">
      <c r="C629" s="1"/>
    </row>
    <row r="630" spans="3:3" x14ac:dyDescent="0.4">
      <c r="C630" s="1"/>
    </row>
    <row r="631" spans="3:3" x14ac:dyDescent="0.4">
      <c r="C631" s="1"/>
    </row>
    <row r="632" spans="3:3" x14ac:dyDescent="0.4">
      <c r="C632" s="1"/>
    </row>
    <row r="633" spans="3:3" x14ac:dyDescent="0.4">
      <c r="C633" s="1"/>
    </row>
    <row r="634" spans="3:3" x14ac:dyDescent="0.4">
      <c r="C634" s="1"/>
    </row>
    <row r="635" spans="3:3" x14ac:dyDescent="0.4">
      <c r="C635" s="1"/>
    </row>
    <row r="636" spans="3:3" x14ac:dyDescent="0.4">
      <c r="C636" s="1"/>
    </row>
    <row r="637" spans="3:3" x14ac:dyDescent="0.4">
      <c r="C637" s="1"/>
    </row>
    <row r="638" spans="3:3" x14ac:dyDescent="0.4">
      <c r="C638" s="1"/>
    </row>
    <row r="639" spans="3:3" x14ac:dyDescent="0.4">
      <c r="C639" s="1"/>
    </row>
    <row r="640" spans="3:3" x14ac:dyDescent="0.4">
      <c r="C640" s="1"/>
    </row>
    <row r="641" spans="3:3" x14ac:dyDescent="0.4">
      <c r="C641" s="1"/>
    </row>
    <row r="642" spans="3:3" x14ac:dyDescent="0.4">
      <c r="C642" s="1"/>
    </row>
    <row r="643" spans="3:3" x14ac:dyDescent="0.4">
      <c r="C643" s="1"/>
    </row>
    <row r="644" spans="3:3" x14ac:dyDescent="0.4">
      <c r="C644" s="1"/>
    </row>
    <row r="645" spans="3:3" x14ac:dyDescent="0.4">
      <c r="C645" s="1"/>
    </row>
    <row r="646" spans="3:3" x14ac:dyDescent="0.4">
      <c r="C646" s="1"/>
    </row>
    <row r="647" spans="3:3" x14ac:dyDescent="0.4">
      <c r="C647" s="1"/>
    </row>
    <row r="648" spans="3:3" x14ac:dyDescent="0.4">
      <c r="C648" s="1"/>
    </row>
    <row r="649" spans="3:3" x14ac:dyDescent="0.4">
      <c r="C649" s="1"/>
    </row>
    <row r="650" spans="3:3" x14ac:dyDescent="0.4">
      <c r="C650" s="1"/>
    </row>
    <row r="651" spans="3:3" x14ac:dyDescent="0.4">
      <c r="C651" s="1"/>
    </row>
    <row r="652" spans="3:3" x14ac:dyDescent="0.4">
      <c r="C652" s="1"/>
    </row>
    <row r="653" spans="3:3" x14ac:dyDescent="0.4">
      <c r="C653" s="1"/>
    </row>
    <row r="654" spans="3:3" x14ac:dyDescent="0.4">
      <c r="C654" s="1"/>
    </row>
    <row r="655" spans="3:3" x14ac:dyDescent="0.4">
      <c r="C655" s="1"/>
    </row>
    <row r="656" spans="3:3" x14ac:dyDescent="0.4">
      <c r="C656" s="1"/>
    </row>
    <row r="657" spans="3:3" x14ac:dyDescent="0.4">
      <c r="C657" s="1"/>
    </row>
    <row r="658" spans="3:3" x14ac:dyDescent="0.4">
      <c r="C658" s="1"/>
    </row>
    <row r="659" spans="3:3" x14ac:dyDescent="0.4">
      <c r="C659" s="1"/>
    </row>
    <row r="660" spans="3:3" x14ac:dyDescent="0.4">
      <c r="C660" s="1"/>
    </row>
    <row r="661" spans="3:3" x14ac:dyDescent="0.4">
      <c r="C661" s="1"/>
    </row>
    <row r="662" spans="3:3" x14ac:dyDescent="0.4">
      <c r="C662" s="1"/>
    </row>
    <row r="663" spans="3:3" x14ac:dyDescent="0.4">
      <c r="C663" s="1"/>
    </row>
    <row r="664" spans="3:3" x14ac:dyDescent="0.4">
      <c r="C664" s="1"/>
    </row>
    <row r="665" spans="3:3" x14ac:dyDescent="0.4">
      <c r="C665" s="1"/>
    </row>
    <row r="666" spans="3:3" x14ac:dyDescent="0.4">
      <c r="C666" s="1"/>
    </row>
    <row r="667" spans="3:3" x14ac:dyDescent="0.4">
      <c r="C667" s="1"/>
    </row>
    <row r="668" spans="3:3" x14ac:dyDescent="0.4">
      <c r="C668" s="1"/>
    </row>
    <row r="669" spans="3:3" x14ac:dyDescent="0.4">
      <c r="C669" s="1"/>
    </row>
    <row r="670" spans="3:3" x14ac:dyDescent="0.4">
      <c r="C670" s="1"/>
    </row>
    <row r="671" spans="3:3" x14ac:dyDescent="0.4">
      <c r="C671" s="1"/>
    </row>
    <row r="672" spans="3:3" x14ac:dyDescent="0.4">
      <c r="C672" s="1"/>
    </row>
    <row r="673" spans="3:3" x14ac:dyDescent="0.4">
      <c r="C673" s="1"/>
    </row>
    <row r="674" spans="3:3" x14ac:dyDescent="0.4">
      <c r="C674" s="1"/>
    </row>
    <row r="675" spans="3:3" x14ac:dyDescent="0.4">
      <c r="C675" s="1"/>
    </row>
    <row r="676" spans="3:3" x14ac:dyDescent="0.4">
      <c r="C676" s="1"/>
    </row>
    <row r="677" spans="3:3" x14ac:dyDescent="0.4">
      <c r="C677" s="1"/>
    </row>
    <row r="678" spans="3:3" x14ac:dyDescent="0.4">
      <c r="C678" s="1"/>
    </row>
    <row r="679" spans="3:3" x14ac:dyDescent="0.4">
      <c r="C679" s="1"/>
    </row>
    <row r="680" spans="3:3" x14ac:dyDescent="0.4">
      <c r="C680" s="1"/>
    </row>
    <row r="681" spans="3:3" x14ac:dyDescent="0.4">
      <c r="C681" s="1"/>
    </row>
    <row r="682" spans="3:3" x14ac:dyDescent="0.4">
      <c r="C682" s="1"/>
    </row>
    <row r="683" spans="3:3" x14ac:dyDescent="0.4">
      <c r="C683" s="1"/>
    </row>
    <row r="684" spans="3:3" x14ac:dyDescent="0.4">
      <c r="C684" s="1"/>
    </row>
    <row r="685" spans="3:3" x14ac:dyDescent="0.4">
      <c r="C685" s="1"/>
    </row>
    <row r="686" spans="3:3" x14ac:dyDescent="0.4">
      <c r="C686" s="1"/>
    </row>
    <row r="687" spans="3:3" x14ac:dyDescent="0.4">
      <c r="C687" s="1"/>
    </row>
    <row r="688" spans="3:3" x14ac:dyDescent="0.4">
      <c r="C688" s="1"/>
    </row>
    <row r="689" spans="3:3" x14ac:dyDescent="0.4">
      <c r="C689" s="1"/>
    </row>
    <row r="690" spans="3:3" x14ac:dyDescent="0.4">
      <c r="C690" s="1"/>
    </row>
    <row r="691" spans="3:3" x14ac:dyDescent="0.4">
      <c r="C691" s="1"/>
    </row>
    <row r="692" spans="3:3" x14ac:dyDescent="0.4">
      <c r="C692" s="1"/>
    </row>
    <row r="693" spans="3:3" x14ac:dyDescent="0.4">
      <c r="C693" s="1"/>
    </row>
    <row r="694" spans="3:3" x14ac:dyDescent="0.4">
      <c r="C694" s="1"/>
    </row>
    <row r="695" spans="3:3" x14ac:dyDescent="0.4">
      <c r="C695" s="1"/>
    </row>
    <row r="696" spans="3:3" x14ac:dyDescent="0.4">
      <c r="C696" s="1"/>
    </row>
    <row r="697" spans="3:3" x14ac:dyDescent="0.4">
      <c r="C697" s="1"/>
    </row>
    <row r="698" spans="3:3" x14ac:dyDescent="0.4">
      <c r="C698" s="1"/>
    </row>
    <row r="699" spans="3:3" x14ac:dyDescent="0.4">
      <c r="C699" s="1"/>
    </row>
    <row r="700" spans="3:3" x14ac:dyDescent="0.4">
      <c r="C700" s="1"/>
    </row>
    <row r="701" spans="3:3" x14ac:dyDescent="0.4">
      <c r="C701" s="1"/>
    </row>
    <row r="702" spans="3:3" x14ac:dyDescent="0.4">
      <c r="C702" s="1"/>
    </row>
    <row r="703" spans="3:3" x14ac:dyDescent="0.4">
      <c r="C703" s="1"/>
    </row>
    <row r="704" spans="3:3" x14ac:dyDescent="0.4">
      <c r="C704" s="1"/>
    </row>
    <row r="705" spans="3:3" x14ac:dyDescent="0.4">
      <c r="C705" s="1"/>
    </row>
    <row r="706" spans="3:3" x14ac:dyDescent="0.4">
      <c r="C706" s="1"/>
    </row>
    <row r="707" spans="3:3" x14ac:dyDescent="0.4">
      <c r="C707" s="1"/>
    </row>
    <row r="708" spans="3:3" x14ac:dyDescent="0.4">
      <c r="C708" s="1"/>
    </row>
    <row r="709" spans="3:3" x14ac:dyDescent="0.4">
      <c r="C709" s="1"/>
    </row>
    <row r="710" spans="3:3" x14ac:dyDescent="0.4">
      <c r="C710" s="1"/>
    </row>
    <row r="711" spans="3:3" x14ac:dyDescent="0.4">
      <c r="C711" s="1"/>
    </row>
    <row r="712" spans="3:3" x14ac:dyDescent="0.4">
      <c r="C712" s="1"/>
    </row>
    <row r="713" spans="3:3" x14ac:dyDescent="0.4">
      <c r="C713" s="1"/>
    </row>
    <row r="714" spans="3:3" x14ac:dyDescent="0.4">
      <c r="C714" s="1"/>
    </row>
    <row r="715" spans="3:3" x14ac:dyDescent="0.4">
      <c r="C715" s="1"/>
    </row>
    <row r="716" spans="3:3" x14ac:dyDescent="0.4">
      <c r="C716" s="1"/>
    </row>
    <row r="717" spans="3:3" x14ac:dyDescent="0.4">
      <c r="C717" s="1"/>
    </row>
    <row r="718" spans="3:3" x14ac:dyDescent="0.4">
      <c r="C718" s="1"/>
    </row>
    <row r="719" spans="3:3" x14ac:dyDescent="0.4">
      <c r="C719" s="1"/>
    </row>
    <row r="720" spans="3:3" x14ac:dyDescent="0.4">
      <c r="C720" s="1"/>
    </row>
    <row r="721" spans="3:3" x14ac:dyDescent="0.4">
      <c r="C721" s="1"/>
    </row>
    <row r="722" spans="3:3" x14ac:dyDescent="0.4">
      <c r="C722" s="1"/>
    </row>
    <row r="723" spans="3:3" x14ac:dyDescent="0.4">
      <c r="C723" s="1"/>
    </row>
    <row r="724" spans="3:3" x14ac:dyDescent="0.4">
      <c r="C724" s="1"/>
    </row>
    <row r="725" spans="3:3" x14ac:dyDescent="0.4">
      <c r="C725" s="1"/>
    </row>
    <row r="726" spans="3:3" x14ac:dyDescent="0.4">
      <c r="C726" s="1"/>
    </row>
    <row r="727" spans="3:3" x14ac:dyDescent="0.4">
      <c r="C727" s="1"/>
    </row>
    <row r="728" spans="3:3" x14ac:dyDescent="0.4">
      <c r="C728" s="1"/>
    </row>
    <row r="729" spans="3:3" x14ac:dyDescent="0.4">
      <c r="C729" s="1"/>
    </row>
    <row r="730" spans="3:3" x14ac:dyDescent="0.4">
      <c r="C730" s="1"/>
    </row>
    <row r="731" spans="3:3" x14ac:dyDescent="0.4">
      <c r="C731" s="1"/>
    </row>
    <row r="732" spans="3:3" x14ac:dyDescent="0.4">
      <c r="C732" s="1"/>
    </row>
    <row r="733" spans="3:3" x14ac:dyDescent="0.4">
      <c r="C733" s="1"/>
    </row>
    <row r="734" spans="3:3" x14ac:dyDescent="0.4">
      <c r="C734" s="1"/>
    </row>
    <row r="735" spans="3:3" x14ac:dyDescent="0.4">
      <c r="C735" s="1"/>
    </row>
    <row r="736" spans="3:3" x14ac:dyDescent="0.4">
      <c r="C736" s="1"/>
    </row>
    <row r="737" spans="3:3" x14ac:dyDescent="0.4">
      <c r="C737" s="1"/>
    </row>
    <row r="738" spans="3:3" x14ac:dyDescent="0.4">
      <c r="C738" s="1"/>
    </row>
    <row r="739" spans="3:3" x14ac:dyDescent="0.4">
      <c r="C739" s="1"/>
    </row>
    <row r="740" spans="3:3" x14ac:dyDescent="0.4">
      <c r="C740" s="1"/>
    </row>
    <row r="741" spans="3:3" x14ac:dyDescent="0.4">
      <c r="C741" s="1"/>
    </row>
    <row r="742" spans="3:3" x14ac:dyDescent="0.4">
      <c r="C742" s="1"/>
    </row>
    <row r="743" spans="3:3" x14ac:dyDescent="0.4">
      <c r="C743" s="1"/>
    </row>
    <row r="744" spans="3:3" x14ac:dyDescent="0.4">
      <c r="C744" s="1"/>
    </row>
    <row r="745" spans="3:3" x14ac:dyDescent="0.4">
      <c r="C745" s="1"/>
    </row>
    <row r="746" spans="3:3" x14ac:dyDescent="0.4">
      <c r="C746" s="1"/>
    </row>
    <row r="747" spans="3:3" x14ac:dyDescent="0.4">
      <c r="C747" s="1"/>
    </row>
    <row r="748" spans="3:3" x14ac:dyDescent="0.4">
      <c r="C748" s="1"/>
    </row>
    <row r="749" spans="3:3" x14ac:dyDescent="0.4">
      <c r="C749" s="1"/>
    </row>
    <row r="750" spans="3:3" x14ac:dyDescent="0.4">
      <c r="C750" s="1"/>
    </row>
    <row r="751" spans="3:3" x14ac:dyDescent="0.4">
      <c r="C751" s="1"/>
    </row>
    <row r="752" spans="3:3" x14ac:dyDescent="0.4">
      <c r="C752" s="1"/>
    </row>
    <row r="753" spans="3:3" x14ac:dyDescent="0.4">
      <c r="C753" s="1"/>
    </row>
    <row r="754" spans="3:3" x14ac:dyDescent="0.4">
      <c r="C754" s="1"/>
    </row>
    <row r="755" spans="3:3" x14ac:dyDescent="0.4">
      <c r="C755" s="1"/>
    </row>
    <row r="756" spans="3:3" x14ac:dyDescent="0.4">
      <c r="C756" s="1"/>
    </row>
    <row r="757" spans="3:3" x14ac:dyDescent="0.4">
      <c r="C757" s="1"/>
    </row>
    <row r="758" spans="3:3" x14ac:dyDescent="0.4">
      <c r="C758" s="1"/>
    </row>
    <row r="759" spans="3:3" x14ac:dyDescent="0.4">
      <c r="C759" s="1"/>
    </row>
    <row r="760" spans="3:3" x14ac:dyDescent="0.4">
      <c r="C760" s="1"/>
    </row>
    <row r="761" spans="3:3" x14ac:dyDescent="0.4">
      <c r="C761" s="1"/>
    </row>
    <row r="762" spans="3:3" x14ac:dyDescent="0.4">
      <c r="C762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tegorize">
                <anchor moveWithCells="1">
                  <from>
                    <xdr:col>22</xdr:col>
                    <xdr:colOff>38100</xdr:colOff>
                    <xdr:row>0</xdr:row>
                    <xdr:rowOff>161925</xdr:rowOff>
                  </from>
                  <to>
                    <xdr:col>23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tegorize2">
                <anchor moveWithCells="1" sizeWithCells="1">
                  <from>
                    <xdr:col>22</xdr:col>
                    <xdr:colOff>33338</xdr:colOff>
                    <xdr:row>3</xdr:row>
                    <xdr:rowOff>166688</xdr:rowOff>
                  </from>
                  <to>
                    <xdr:col>23</xdr:col>
                    <xdr:colOff>400050</xdr:colOff>
                    <xdr:row>5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2:D559"/>
  <sheetViews>
    <sheetView workbookViewId="0">
      <selection activeCell="D18" sqref="D18"/>
    </sheetView>
  </sheetViews>
  <sheetFormatPr defaultRowHeight="13.9" x14ac:dyDescent="0.4"/>
  <cols>
    <col min="3" max="3" width="17.33203125" customWidth="1"/>
  </cols>
  <sheetData>
    <row r="2" spans="4:4" x14ac:dyDescent="0.4">
      <c r="D2" s="1"/>
    </row>
    <row r="3" spans="4:4" x14ac:dyDescent="0.4">
      <c r="D3" s="1"/>
    </row>
    <row r="4" spans="4:4" x14ac:dyDescent="0.4">
      <c r="D4" s="1"/>
    </row>
    <row r="5" spans="4:4" x14ac:dyDescent="0.4">
      <c r="D5" s="1"/>
    </row>
    <row r="6" spans="4:4" x14ac:dyDescent="0.4">
      <c r="D6" s="1"/>
    </row>
    <row r="7" spans="4:4" x14ac:dyDescent="0.4">
      <c r="D7" s="1"/>
    </row>
    <row r="8" spans="4:4" x14ac:dyDescent="0.4">
      <c r="D8" s="1"/>
    </row>
    <row r="9" spans="4:4" x14ac:dyDescent="0.4">
      <c r="D9" s="1"/>
    </row>
    <row r="10" spans="4:4" x14ac:dyDescent="0.4">
      <c r="D10" s="1"/>
    </row>
    <row r="11" spans="4:4" x14ac:dyDescent="0.4">
      <c r="D11" s="1"/>
    </row>
    <row r="12" spans="4:4" x14ac:dyDescent="0.4">
      <c r="D12" s="1"/>
    </row>
    <row r="13" spans="4:4" x14ac:dyDescent="0.4">
      <c r="D13" s="1"/>
    </row>
    <row r="14" spans="4:4" x14ac:dyDescent="0.4">
      <c r="D14" s="1"/>
    </row>
    <row r="15" spans="4:4" x14ac:dyDescent="0.4">
      <c r="D15" s="1"/>
    </row>
    <row r="16" spans="4:4" x14ac:dyDescent="0.4">
      <c r="D16" s="1"/>
    </row>
    <row r="17" spans="4:4" x14ac:dyDescent="0.4">
      <c r="D17" s="1"/>
    </row>
    <row r="18" spans="4:4" x14ac:dyDescent="0.4">
      <c r="D18" s="1"/>
    </row>
    <row r="19" spans="4:4" x14ac:dyDescent="0.4">
      <c r="D19" s="1"/>
    </row>
    <row r="20" spans="4:4" x14ac:dyDescent="0.4">
      <c r="D20" s="1"/>
    </row>
    <row r="21" spans="4:4" x14ac:dyDescent="0.4">
      <c r="D21" s="1"/>
    </row>
    <row r="22" spans="4:4" x14ac:dyDescent="0.4">
      <c r="D22" s="1"/>
    </row>
    <row r="23" spans="4:4" x14ac:dyDescent="0.4">
      <c r="D23" s="1"/>
    </row>
    <row r="24" spans="4:4" x14ac:dyDescent="0.4">
      <c r="D24" s="1"/>
    </row>
    <row r="25" spans="4:4" x14ac:dyDescent="0.4">
      <c r="D25" s="1"/>
    </row>
    <row r="26" spans="4:4" x14ac:dyDescent="0.4">
      <c r="D26" s="1"/>
    </row>
    <row r="27" spans="4:4" x14ac:dyDescent="0.4">
      <c r="D27" s="1"/>
    </row>
    <row r="28" spans="4:4" x14ac:dyDescent="0.4">
      <c r="D28" s="1"/>
    </row>
    <row r="29" spans="4:4" x14ac:dyDescent="0.4">
      <c r="D29" s="1"/>
    </row>
    <row r="30" spans="4:4" x14ac:dyDescent="0.4">
      <c r="D30" s="1"/>
    </row>
    <row r="31" spans="4:4" x14ac:dyDescent="0.4">
      <c r="D31" s="1"/>
    </row>
    <row r="32" spans="4:4" x14ac:dyDescent="0.4">
      <c r="D32" s="1"/>
    </row>
    <row r="33" spans="4:4" x14ac:dyDescent="0.4">
      <c r="D33" s="1"/>
    </row>
    <row r="34" spans="4:4" x14ac:dyDescent="0.4">
      <c r="D34" s="1"/>
    </row>
    <row r="35" spans="4:4" x14ac:dyDescent="0.4">
      <c r="D35" s="1"/>
    </row>
    <row r="36" spans="4:4" x14ac:dyDescent="0.4">
      <c r="D36" s="1"/>
    </row>
    <row r="37" spans="4:4" x14ac:dyDescent="0.4">
      <c r="D37" s="1"/>
    </row>
    <row r="38" spans="4:4" x14ac:dyDescent="0.4">
      <c r="D38" s="1"/>
    </row>
    <row r="39" spans="4:4" x14ac:dyDescent="0.4">
      <c r="D39" s="1"/>
    </row>
    <row r="40" spans="4:4" x14ac:dyDescent="0.4">
      <c r="D40" s="1"/>
    </row>
    <row r="41" spans="4:4" x14ac:dyDescent="0.4">
      <c r="D41" s="1"/>
    </row>
    <row r="42" spans="4:4" x14ac:dyDescent="0.4">
      <c r="D42" s="1"/>
    </row>
    <row r="43" spans="4:4" x14ac:dyDescent="0.4">
      <c r="D43" s="1"/>
    </row>
    <row r="44" spans="4:4" x14ac:dyDescent="0.4">
      <c r="D44" s="1"/>
    </row>
    <row r="45" spans="4:4" x14ac:dyDescent="0.4">
      <c r="D45" s="1"/>
    </row>
    <row r="46" spans="4:4" x14ac:dyDescent="0.4">
      <c r="D46" s="1"/>
    </row>
    <row r="47" spans="4:4" x14ac:dyDescent="0.4">
      <c r="D47" s="1"/>
    </row>
    <row r="48" spans="4:4" x14ac:dyDescent="0.4">
      <c r="D48" s="1"/>
    </row>
    <row r="49" spans="4:4" x14ac:dyDescent="0.4">
      <c r="D49" s="1"/>
    </row>
    <row r="50" spans="4:4" x14ac:dyDescent="0.4">
      <c r="D50" s="1"/>
    </row>
    <row r="51" spans="4:4" x14ac:dyDescent="0.4">
      <c r="D51" s="1"/>
    </row>
    <row r="52" spans="4:4" x14ac:dyDescent="0.4">
      <c r="D52" s="1"/>
    </row>
    <row r="53" spans="4:4" x14ac:dyDescent="0.4">
      <c r="D53" s="1"/>
    </row>
    <row r="54" spans="4:4" x14ac:dyDescent="0.4">
      <c r="D54" s="1"/>
    </row>
    <row r="55" spans="4:4" x14ac:dyDescent="0.4">
      <c r="D55" s="1"/>
    </row>
    <row r="56" spans="4:4" x14ac:dyDescent="0.4">
      <c r="D56" s="1"/>
    </row>
    <row r="57" spans="4:4" x14ac:dyDescent="0.4">
      <c r="D57" s="1"/>
    </row>
    <row r="58" spans="4:4" x14ac:dyDescent="0.4">
      <c r="D58" s="1"/>
    </row>
    <row r="59" spans="4:4" x14ac:dyDescent="0.4">
      <c r="D59" s="1"/>
    </row>
    <row r="60" spans="4:4" x14ac:dyDescent="0.4">
      <c r="D60" s="1"/>
    </row>
    <row r="61" spans="4:4" x14ac:dyDescent="0.4">
      <c r="D61" s="1"/>
    </row>
    <row r="62" spans="4:4" x14ac:dyDescent="0.4">
      <c r="D62" s="1"/>
    </row>
    <row r="63" spans="4:4" x14ac:dyDescent="0.4">
      <c r="D63" s="1"/>
    </row>
    <row r="64" spans="4:4" x14ac:dyDescent="0.4">
      <c r="D64" s="1"/>
    </row>
    <row r="65" spans="4:4" x14ac:dyDescent="0.4">
      <c r="D65" s="1"/>
    </row>
    <row r="66" spans="4:4" x14ac:dyDescent="0.4">
      <c r="D66" s="1"/>
    </row>
    <row r="67" spans="4:4" x14ac:dyDescent="0.4">
      <c r="D67" s="1"/>
    </row>
    <row r="68" spans="4:4" x14ac:dyDescent="0.4">
      <c r="D68" s="1"/>
    </row>
    <row r="69" spans="4:4" x14ac:dyDescent="0.4">
      <c r="D69" s="1"/>
    </row>
    <row r="70" spans="4:4" x14ac:dyDescent="0.4">
      <c r="D70" s="1"/>
    </row>
    <row r="71" spans="4:4" x14ac:dyDescent="0.4">
      <c r="D71" s="1"/>
    </row>
    <row r="72" spans="4:4" x14ac:dyDescent="0.4">
      <c r="D72" s="1"/>
    </row>
    <row r="73" spans="4:4" x14ac:dyDescent="0.4">
      <c r="D73" s="1"/>
    </row>
    <row r="74" spans="4:4" x14ac:dyDescent="0.4">
      <c r="D74" s="1"/>
    </row>
    <row r="75" spans="4:4" x14ac:dyDescent="0.4">
      <c r="D75" s="1"/>
    </row>
    <row r="76" spans="4:4" x14ac:dyDescent="0.4">
      <c r="D76" s="1"/>
    </row>
    <row r="77" spans="4:4" x14ac:dyDescent="0.4">
      <c r="D77" s="1"/>
    </row>
    <row r="78" spans="4:4" x14ac:dyDescent="0.4">
      <c r="D78" s="1"/>
    </row>
    <row r="79" spans="4:4" x14ac:dyDescent="0.4">
      <c r="D79" s="1"/>
    </row>
    <row r="80" spans="4:4" x14ac:dyDescent="0.4">
      <c r="D80" s="1"/>
    </row>
    <row r="81" spans="4:4" x14ac:dyDescent="0.4">
      <c r="D81" s="1"/>
    </row>
    <row r="82" spans="4:4" x14ac:dyDescent="0.4">
      <c r="D82" s="1"/>
    </row>
    <row r="83" spans="4:4" x14ac:dyDescent="0.4">
      <c r="D83" s="1"/>
    </row>
    <row r="84" spans="4:4" x14ac:dyDescent="0.4">
      <c r="D84" s="1"/>
    </row>
    <row r="85" spans="4:4" x14ac:dyDescent="0.4">
      <c r="D85" s="1"/>
    </row>
    <row r="86" spans="4:4" x14ac:dyDescent="0.4">
      <c r="D86" s="1"/>
    </row>
    <row r="87" spans="4:4" x14ac:dyDescent="0.4">
      <c r="D87" s="1"/>
    </row>
    <row r="88" spans="4:4" x14ac:dyDescent="0.4">
      <c r="D88" s="1"/>
    </row>
    <row r="89" spans="4:4" x14ac:dyDescent="0.4">
      <c r="D89" s="1"/>
    </row>
    <row r="90" spans="4:4" x14ac:dyDescent="0.4">
      <c r="D90" s="1"/>
    </row>
    <row r="91" spans="4:4" x14ac:dyDescent="0.4">
      <c r="D91" s="1"/>
    </row>
    <row r="92" spans="4:4" x14ac:dyDescent="0.4">
      <c r="D92" s="1"/>
    </row>
    <row r="93" spans="4:4" x14ac:dyDescent="0.4">
      <c r="D93" s="1"/>
    </row>
    <row r="94" spans="4:4" x14ac:dyDescent="0.4">
      <c r="D94" s="1"/>
    </row>
    <row r="95" spans="4:4" x14ac:dyDescent="0.4">
      <c r="D95" s="1"/>
    </row>
    <row r="96" spans="4:4" x14ac:dyDescent="0.4">
      <c r="D96" s="1"/>
    </row>
    <row r="97" spans="4:4" x14ac:dyDescent="0.4">
      <c r="D97" s="1"/>
    </row>
    <row r="98" spans="4:4" x14ac:dyDescent="0.4">
      <c r="D98" s="1"/>
    </row>
    <row r="99" spans="4:4" x14ac:dyDescent="0.4">
      <c r="D99" s="1"/>
    </row>
    <row r="100" spans="4:4" x14ac:dyDescent="0.4">
      <c r="D100" s="1"/>
    </row>
    <row r="101" spans="4:4" x14ac:dyDescent="0.4">
      <c r="D101" s="1"/>
    </row>
    <row r="102" spans="4:4" x14ac:dyDescent="0.4">
      <c r="D102" s="1"/>
    </row>
    <row r="103" spans="4:4" x14ac:dyDescent="0.4">
      <c r="D103" s="1"/>
    </row>
    <row r="104" spans="4:4" x14ac:dyDescent="0.4">
      <c r="D104" s="1"/>
    </row>
    <row r="105" spans="4:4" x14ac:dyDescent="0.4">
      <c r="D105" s="1"/>
    </row>
    <row r="106" spans="4:4" x14ac:dyDescent="0.4">
      <c r="D106" s="1"/>
    </row>
    <row r="107" spans="4:4" x14ac:dyDescent="0.4">
      <c r="D107" s="1"/>
    </row>
    <row r="108" spans="4:4" x14ac:dyDescent="0.4">
      <c r="D108" s="1"/>
    </row>
    <row r="109" spans="4:4" x14ac:dyDescent="0.4">
      <c r="D109" s="1"/>
    </row>
    <row r="110" spans="4:4" x14ac:dyDescent="0.4">
      <c r="D110" s="1"/>
    </row>
    <row r="111" spans="4:4" x14ac:dyDescent="0.4">
      <c r="D111" s="1"/>
    </row>
    <row r="112" spans="4:4" x14ac:dyDescent="0.4">
      <c r="D112" s="1"/>
    </row>
    <row r="113" spans="4:4" x14ac:dyDescent="0.4">
      <c r="D113" s="1"/>
    </row>
    <row r="114" spans="4:4" x14ac:dyDescent="0.4">
      <c r="D114" s="1"/>
    </row>
    <row r="115" spans="4:4" x14ac:dyDescent="0.4">
      <c r="D115" s="1"/>
    </row>
    <row r="116" spans="4:4" x14ac:dyDescent="0.4">
      <c r="D116" s="1"/>
    </row>
    <row r="117" spans="4:4" x14ac:dyDescent="0.4">
      <c r="D117" s="1"/>
    </row>
    <row r="118" spans="4:4" x14ac:dyDescent="0.4">
      <c r="D118" s="1"/>
    </row>
    <row r="119" spans="4:4" x14ac:dyDescent="0.4">
      <c r="D119" s="1"/>
    </row>
    <row r="120" spans="4:4" x14ac:dyDescent="0.4">
      <c r="D120" s="1"/>
    </row>
    <row r="121" spans="4:4" x14ac:dyDescent="0.4">
      <c r="D121" s="1"/>
    </row>
    <row r="122" spans="4:4" x14ac:dyDescent="0.4">
      <c r="D122" s="1"/>
    </row>
    <row r="123" spans="4:4" x14ac:dyDescent="0.4">
      <c r="D123" s="1"/>
    </row>
    <row r="124" spans="4:4" x14ac:dyDescent="0.4">
      <c r="D124" s="1"/>
    </row>
    <row r="125" spans="4:4" x14ac:dyDescent="0.4">
      <c r="D125" s="1"/>
    </row>
    <row r="126" spans="4:4" x14ac:dyDescent="0.4">
      <c r="D126" s="1"/>
    </row>
    <row r="127" spans="4:4" x14ac:dyDescent="0.4">
      <c r="D127" s="1"/>
    </row>
    <row r="128" spans="4:4" x14ac:dyDescent="0.4">
      <c r="D128" s="1"/>
    </row>
    <row r="129" spans="4:4" x14ac:dyDescent="0.4">
      <c r="D129" s="1"/>
    </row>
    <row r="130" spans="4:4" x14ac:dyDescent="0.4">
      <c r="D130" s="1"/>
    </row>
    <row r="131" spans="4:4" x14ac:dyDescent="0.4">
      <c r="D131" s="1"/>
    </row>
    <row r="132" spans="4:4" x14ac:dyDescent="0.4">
      <c r="D132" s="1"/>
    </row>
    <row r="133" spans="4:4" x14ac:dyDescent="0.4">
      <c r="D133" s="1"/>
    </row>
    <row r="134" spans="4:4" x14ac:dyDescent="0.4">
      <c r="D134" s="1"/>
    </row>
    <row r="135" spans="4:4" x14ac:dyDescent="0.4">
      <c r="D135" s="1"/>
    </row>
    <row r="136" spans="4:4" x14ac:dyDescent="0.4">
      <c r="D136" s="1"/>
    </row>
    <row r="137" spans="4:4" x14ac:dyDescent="0.4">
      <c r="D137" s="1"/>
    </row>
    <row r="138" spans="4:4" x14ac:dyDescent="0.4">
      <c r="D138" s="1"/>
    </row>
    <row r="139" spans="4:4" x14ac:dyDescent="0.4">
      <c r="D139" s="1"/>
    </row>
    <row r="140" spans="4:4" x14ac:dyDescent="0.4">
      <c r="D140" s="1"/>
    </row>
    <row r="141" spans="4:4" x14ac:dyDescent="0.4">
      <c r="D141" s="1"/>
    </row>
    <row r="142" spans="4:4" x14ac:dyDescent="0.4">
      <c r="D142" s="1"/>
    </row>
    <row r="143" spans="4:4" x14ac:dyDescent="0.4">
      <c r="D143" s="1"/>
    </row>
    <row r="144" spans="4:4" x14ac:dyDescent="0.4">
      <c r="D144" s="1"/>
    </row>
    <row r="145" spans="4:4" x14ac:dyDescent="0.4">
      <c r="D145" s="1"/>
    </row>
    <row r="146" spans="4:4" x14ac:dyDescent="0.4">
      <c r="D146" s="1"/>
    </row>
    <row r="147" spans="4:4" x14ac:dyDescent="0.4">
      <c r="D147" s="1"/>
    </row>
    <row r="148" spans="4:4" x14ac:dyDescent="0.4">
      <c r="D148" s="1"/>
    </row>
    <row r="149" spans="4:4" x14ac:dyDescent="0.4">
      <c r="D149" s="1"/>
    </row>
    <row r="150" spans="4:4" x14ac:dyDescent="0.4">
      <c r="D150" s="1"/>
    </row>
    <row r="151" spans="4:4" x14ac:dyDescent="0.4">
      <c r="D151" s="1"/>
    </row>
    <row r="152" spans="4:4" x14ac:dyDescent="0.4">
      <c r="D152" s="1"/>
    </row>
    <row r="153" spans="4:4" x14ac:dyDescent="0.4">
      <c r="D153" s="1"/>
    </row>
    <row r="154" spans="4:4" x14ac:dyDescent="0.4">
      <c r="D154" s="1"/>
    </row>
    <row r="155" spans="4:4" x14ac:dyDescent="0.4">
      <c r="D155" s="1"/>
    </row>
    <row r="156" spans="4:4" x14ac:dyDescent="0.4">
      <c r="D156" s="1"/>
    </row>
    <row r="157" spans="4:4" x14ac:dyDescent="0.4">
      <c r="D157" s="1"/>
    </row>
    <row r="158" spans="4:4" x14ac:dyDescent="0.4">
      <c r="D158" s="1"/>
    </row>
    <row r="159" spans="4:4" x14ac:dyDescent="0.4">
      <c r="D159" s="1"/>
    </row>
    <row r="160" spans="4:4" x14ac:dyDescent="0.4">
      <c r="D160" s="1"/>
    </row>
    <row r="161" spans="4:4" x14ac:dyDescent="0.4">
      <c r="D161" s="1"/>
    </row>
    <row r="162" spans="4:4" x14ac:dyDescent="0.4">
      <c r="D162" s="1"/>
    </row>
    <row r="163" spans="4:4" x14ac:dyDescent="0.4">
      <c r="D163" s="1"/>
    </row>
    <row r="164" spans="4:4" x14ac:dyDescent="0.4">
      <c r="D164" s="1"/>
    </row>
    <row r="165" spans="4:4" x14ac:dyDescent="0.4">
      <c r="D165" s="1"/>
    </row>
    <row r="166" spans="4:4" x14ac:dyDescent="0.4">
      <c r="D166" s="1"/>
    </row>
    <row r="167" spans="4:4" x14ac:dyDescent="0.4">
      <c r="D167" s="1"/>
    </row>
    <row r="168" spans="4:4" x14ac:dyDescent="0.4">
      <c r="D168" s="1"/>
    </row>
    <row r="169" spans="4:4" x14ac:dyDescent="0.4">
      <c r="D169" s="1"/>
    </row>
    <row r="170" spans="4:4" x14ac:dyDescent="0.4">
      <c r="D170" s="1"/>
    </row>
    <row r="171" spans="4:4" x14ac:dyDescent="0.4">
      <c r="D171" s="1"/>
    </row>
    <row r="172" spans="4:4" x14ac:dyDescent="0.4">
      <c r="D172" s="1"/>
    </row>
    <row r="173" spans="4:4" x14ac:dyDescent="0.4">
      <c r="D173" s="1"/>
    </row>
    <row r="174" spans="4:4" x14ac:dyDescent="0.4">
      <c r="D174" s="1"/>
    </row>
    <row r="175" spans="4:4" x14ac:dyDescent="0.4">
      <c r="D175" s="1"/>
    </row>
    <row r="176" spans="4:4" x14ac:dyDescent="0.4">
      <c r="D176" s="1"/>
    </row>
    <row r="177" spans="4:4" x14ac:dyDescent="0.4">
      <c r="D177" s="1"/>
    </row>
    <row r="178" spans="4:4" x14ac:dyDescent="0.4">
      <c r="D178" s="1"/>
    </row>
    <row r="179" spans="4:4" x14ac:dyDescent="0.4">
      <c r="D179" s="1"/>
    </row>
    <row r="180" spans="4:4" x14ac:dyDescent="0.4">
      <c r="D180" s="1"/>
    </row>
    <row r="181" spans="4:4" x14ac:dyDescent="0.4">
      <c r="D181" s="1"/>
    </row>
    <row r="182" spans="4:4" x14ac:dyDescent="0.4">
      <c r="D182" s="1"/>
    </row>
    <row r="183" spans="4:4" x14ac:dyDescent="0.4">
      <c r="D183" s="1"/>
    </row>
    <row r="184" spans="4:4" x14ac:dyDescent="0.4">
      <c r="D184" s="1"/>
    </row>
    <row r="185" spans="4:4" x14ac:dyDescent="0.4">
      <c r="D185" s="1"/>
    </row>
    <row r="186" spans="4:4" x14ac:dyDescent="0.4">
      <c r="D186" s="1"/>
    </row>
    <row r="187" spans="4:4" x14ac:dyDescent="0.4">
      <c r="D187" s="1"/>
    </row>
    <row r="188" spans="4:4" x14ac:dyDescent="0.4">
      <c r="D188" s="1"/>
    </row>
    <row r="189" spans="4:4" x14ac:dyDescent="0.4">
      <c r="D189" s="1"/>
    </row>
    <row r="190" spans="4:4" x14ac:dyDescent="0.4">
      <c r="D190" s="1"/>
    </row>
    <row r="191" spans="4:4" x14ac:dyDescent="0.4">
      <c r="D191" s="1"/>
    </row>
    <row r="192" spans="4:4" x14ac:dyDescent="0.4">
      <c r="D192" s="1"/>
    </row>
    <row r="193" spans="4:4" x14ac:dyDescent="0.4">
      <c r="D193" s="1"/>
    </row>
    <row r="194" spans="4:4" x14ac:dyDescent="0.4">
      <c r="D194" s="1"/>
    </row>
    <row r="195" spans="4:4" x14ac:dyDescent="0.4">
      <c r="D195" s="1"/>
    </row>
    <row r="196" spans="4:4" x14ac:dyDescent="0.4">
      <c r="D196" s="1"/>
    </row>
    <row r="197" spans="4:4" x14ac:dyDescent="0.4">
      <c r="D197" s="1"/>
    </row>
    <row r="198" spans="4:4" x14ac:dyDescent="0.4">
      <c r="D198" s="1"/>
    </row>
    <row r="199" spans="4:4" x14ac:dyDescent="0.4">
      <c r="D199" s="1"/>
    </row>
    <row r="200" spans="4:4" x14ac:dyDescent="0.4">
      <c r="D200" s="1"/>
    </row>
    <row r="201" spans="4:4" x14ac:dyDescent="0.4">
      <c r="D201" s="1"/>
    </row>
    <row r="202" spans="4:4" x14ac:dyDescent="0.4">
      <c r="D202" s="1"/>
    </row>
    <row r="203" spans="4:4" x14ac:dyDescent="0.4">
      <c r="D203" s="1"/>
    </row>
    <row r="204" spans="4:4" x14ac:dyDescent="0.4">
      <c r="D204" s="1"/>
    </row>
    <row r="205" spans="4:4" x14ac:dyDescent="0.4">
      <c r="D205" s="1"/>
    </row>
    <row r="206" spans="4:4" x14ac:dyDescent="0.4">
      <c r="D206" s="1"/>
    </row>
    <row r="207" spans="4:4" x14ac:dyDescent="0.4">
      <c r="D207" s="1"/>
    </row>
    <row r="208" spans="4:4" x14ac:dyDescent="0.4">
      <c r="D208" s="1"/>
    </row>
    <row r="209" spans="4:4" x14ac:dyDescent="0.4">
      <c r="D209" s="1"/>
    </row>
    <row r="210" spans="4:4" x14ac:dyDescent="0.4">
      <c r="D210" s="1"/>
    </row>
    <row r="211" spans="4:4" x14ac:dyDescent="0.4">
      <c r="D211" s="1"/>
    </row>
    <row r="212" spans="4:4" x14ac:dyDescent="0.4">
      <c r="D212" s="1"/>
    </row>
    <row r="213" spans="4:4" x14ac:dyDescent="0.4">
      <c r="D213" s="1"/>
    </row>
    <row r="214" spans="4:4" x14ac:dyDescent="0.4">
      <c r="D214" s="1"/>
    </row>
    <row r="215" spans="4:4" x14ac:dyDescent="0.4">
      <c r="D215" s="1"/>
    </row>
    <row r="216" spans="4:4" x14ac:dyDescent="0.4">
      <c r="D216" s="1"/>
    </row>
    <row r="217" spans="4:4" x14ac:dyDescent="0.4">
      <c r="D217" s="1"/>
    </row>
    <row r="218" spans="4:4" x14ac:dyDescent="0.4">
      <c r="D218" s="1"/>
    </row>
    <row r="219" spans="4:4" x14ac:dyDescent="0.4">
      <c r="D219" s="1"/>
    </row>
    <row r="220" spans="4:4" x14ac:dyDescent="0.4">
      <c r="D220" s="1"/>
    </row>
    <row r="221" spans="4:4" x14ac:dyDescent="0.4">
      <c r="D221" s="1"/>
    </row>
    <row r="222" spans="4:4" x14ac:dyDescent="0.4">
      <c r="D222" s="1"/>
    </row>
    <row r="223" spans="4:4" x14ac:dyDescent="0.4">
      <c r="D223" s="1"/>
    </row>
    <row r="224" spans="4:4" x14ac:dyDescent="0.4">
      <c r="D224" s="1"/>
    </row>
    <row r="225" spans="4:4" x14ac:dyDescent="0.4">
      <c r="D225" s="1"/>
    </row>
    <row r="226" spans="4:4" x14ac:dyDescent="0.4">
      <c r="D226" s="1"/>
    </row>
    <row r="227" spans="4:4" x14ac:dyDescent="0.4">
      <c r="D227" s="1"/>
    </row>
    <row r="228" spans="4:4" x14ac:dyDescent="0.4">
      <c r="D228" s="1"/>
    </row>
    <row r="229" spans="4:4" x14ac:dyDescent="0.4">
      <c r="D229" s="1"/>
    </row>
    <row r="230" spans="4:4" x14ac:dyDescent="0.4">
      <c r="D230" s="1"/>
    </row>
    <row r="231" spans="4:4" x14ac:dyDescent="0.4">
      <c r="D231" s="1"/>
    </row>
    <row r="232" spans="4:4" x14ac:dyDescent="0.4">
      <c r="D232" s="1"/>
    </row>
    <row r="233" spans="4:4" x14ac:dyDescent="0.4">
      <c r="D233" s="1"/>
    </row>
    <row r="234" spans="4:4" x14ac:dyDescent="0.4">
      <c r="D234" s="1"/>
    </row>
    <row r="235" spans="4:4" x14ac:dyDescent="0.4">
      <c r="D235" s="1"/>
    </row>
    <row r="236" spans="4:4" x14ac:dyDescent="0.4">
      <c r="D236" s="1"/>
    </row>
    <row r="237" spans="4:4" x14ac:dyDescent="0.4">
      <c r="D237" s="1"/>
    </row>
    <row r="238" spans="4:4" x14ac:dyDescent="0.4">
      <c r="D238" s="1"/>
    </row>
    <row r="239" spans="4:4" x14ac:dyDescent="0.4">
      <c r="D239" s="1"/>
    </row>
    <row r="240" spans="4:4" x14ac:dyDescent="0.4">
      <c r="D240" s="1"/>
    </row>
    <row r="241" spans="4:4" x14ac:dyDescent="0.4">
      <c r="D241" s="1"/>
    </row>
    <row r="242" spans="4:4" x14ac:dyDescent="0.4">
      <c r="D242" s="1"/>
    </row>
    <row r="243" spans="4:4" x14ac:dyDescent="0.4">
      <c r="D243" s="1"/>
    </row>
    <row r="244" spans="4:4" x14ac:dyDescent="0.4">
      <c r="D244" s="1"/>
    </row>
    <row r="245" spans="4:4" x14ac:dyDescent="0.4">
      <c r="D245" s="1"/>
    </row>
    <row r="246" spans="4:4" x14ac:dyDescent="0.4">
      <c r="D246" s="1"/>
    </row>
    <row r="247" spans="4:4" x14ac:dyDescent="0.4">
      <c r="D247" s="1"/>
    </row>
    <row r="248" spans="4:4" x14ac:dyDescent="0.4">
      <c r="D248" s="1"/>
    </row>
    <row r="249" spans="4:4" x14ac:dyDescent="0.4">
      <c r="D249" s="1"/>
    </row>
    <row r="250" spans="4:4" x14ac:dyDescent="0.4">
      <c r="D250" s="1"/>
    </row>
    <row r="251" spans="4:4" x14ac:dyDescent="0.4">
      <c r="D251" s="1"/>
    </row>
    <row r="252" spans="4:4" x14ac:dyDescent="0.4">
      <c r="D252" s="1"/>
    </row>
    <row r="253" spans="4:4" x14ac:dyDescent="0.4">
      <c r="D253" s="1"/>
    </row>
    <row r="254" spans="4:4" x14ac:dyDescent="0.4">
      <c r="D254" s="1"/>
    </row>
    <row r="255" spans="4:4" x14ac:dyDescent="0.4">
      <c r="D255" s="1"/>
    </row>
    <row r="256" spans="4:4" x14ac:dyDescent="0.4">
      <c r="D256" s="1"/>
    </row>
    <row r="257" spans="4:4" x14ac:dyDescent="0.4">
      <c r="D257" s="1"/>
    </row>
    <row r="258" spans="4:4" x14ac:dyDescent="0.4">
      <c r="D258" s="1"/>
    </row>
    <row r="259" spans="4:4" x14ac:dyDescent="0.4">
      <c r="D259" s="1"/>
    </row>
    <row r="260" spans="4:4" x14ac:dyDescent="0.4">
      <c r="D260" s="1"/>
    </row>
    <row r="261" spans="4:4" x14ac:dyDescent="0.4">
      <c r="D261" s="1"/>
    </row>
    <row r="262" spans="4:4" x14ac:dyDescent="0.4">
      <c r="D262" s="1"/>
    </row>
    <row r="263" spans="4:4" x14ac:dyDescent="0.4">
      <c r="D263" s="1"/>
    </row>
    <row r="264" spans="4:4" x14ac:dyDescent="0.4">
      <c r="D264" s="1"/>
    </row>
    <row r="265" spans="4:4" x14ac:dyDescent="0.4">
      <c r="D265" s="1"/>
    </row>
    <row r="266" spans="4:4" x14ac:dyDescent="0.4">
      <c r="D266" s="1"/>
    </row>
    <row r="267" spans="4:4" x14ac:dyDescent="0.4">
      <c r="D267" s="1"/>
    </row>
    <row r="268" spans="4:4" x14ac:dyDescent="0.4">
      <c r="D268" s="1"/>
    </row>
    <row r="269" spans="4:4" x14ac:dyDescent="0.4">
      <c r="D269" s="1"/>
    </row>
    <row r="270" spans="4:4" x14ac:dyDescent="0.4">
      <c r="D270" s="1"/>
    </row>
    <row r="271" spans="4:4" x14ac:dyDescent="0.4">
      <c r="D271" s="1"/>
    </row>
    <row r="272" spans="4:4" x14ac:dyDescent="0.4">
      <c r="D272" s="1"/>
    </row>
    <row r="273" spans="4:4" x14ac:dyDescent="0.4">
      <c r="D273" s="1"/>
    </row>
    <row r="274" spans="4:4" x14ac:dyDescent="0.4">
      <c r="D274" s="1"/>
    </row>
    <row r="275" spans="4:4" x14ac:dyDescent="0.4">
      <c r="D275" s="1"/>
    </row>
    <row r="276" spans="4:4" x14ac:dyDescent="0.4">
      <c r="D276" s="1"/>
    </row>
    <row r="277" spans="4:4" x14ac:dyDescent="0.4">
      <c r="D277" s="1"/>
    </row>
    <row r="278" spans="4:4" x14ac:dyDescent="0.4">
      <c r="D278" s="1"/>
    </row>
    <row r="279" spans="4:4" x14ac:dyDescent="0.4">
      <c r="D279" s="1"/>
    </row>
    <row r="280" spans="4:4" x14ac:dyDescent="0.4">
      <c r="D280" s="1"/>
    </row>
    <row r="281" spans="4:4" x14ac:dyDescent="0.4">
      <c r="D281" s="1"/>
    </row>
    <row r="282" spans="4:4" x14ac:dyDescent="0.4">
      <c r="D282" s="1"/>
    </row>
    <row r="283" spans="4:4" x14ac:dyDescent="0.4">
      <c r="D283" s="1"/>
    </row>
    <row r="284" spans="4:4" x14ac:dyDescent="0.4">
      <c r="D284" s="1"/>
    </row>
    <row r="285" spans="4:4" x14ac:dyDescent="0.4">
      <c r="D285" s="1"/>
    </row>
    <row r="286" spans="4:4" x14ac:dyDescent="0.4">
      <c r="D286" s="1"/>
    </row>
    <row r="287" spans="4:4" x14ac:dyDescent="0.4">
      <c r="D287" s="1"/>
    </row>
    <row r="288" spans="4:4" x14ac:dyDescent="0.4">
      <c r="D288" s="1"/>
    </row>
    <row r="289" spans="4:4" x14ac:dyDescent="0.4">
      <c r="D289" s="1"/>
    </row>
    <row r="290" spans="4:4" x14ac:dyDescent="0.4">
      <c r="D290" s="1"/>
    </row>
    <row r="291" spans="4:4" x14ac:dyDescent="0.4">
      <c r="D291" s="1"/>
    </row>
    <row r="292" spans="4:4" x14ac:dyDescent="0.4">
      <c r="D292" s="1"/>
    </row>
    <row r="293" spans="4:4" x14ac:dyDescent="0.4">
      <c r="D293" s="1"/>
    </row>
    <row r="294" spans="4:4" x14ac:dyDescent="0.4">
      <c r="D294" s="1"/>
    </row>
    <row r="295" spans="4:4" x14ac:dyDescent="0.4">
      <c r="D295" s="1"/>
    </row>
    <row r="296" spans="4:4" x14ac:dyDescent="0.4">
      <c r="D296" s="1"/>
    </row>
    <row r="297" spans="4:4" x14ac:dyDescent="0.4">
      <c r="D297" s="1"/>
    </row>
    <row r="298" spans="4:4" x14ac:dyDescent="0.4">
      <c r="D298" s="1"/>
    </row>
    <row r="299" spans="4:4" x14ac:dyDescent="0.4">
      <c r="D299" s="1"/>
    </row>
    <row r="300" spans="4:4" x14ac:dyDescent="0.4">
      <c r="D300" s="1"/>
    </row>
    <row r="301" spans="4:4" x14ac:dyDescent="0.4">
      <c r="D301" s="1"/>
    </row>
    <row r="302" spans="4:4" x14ac:dyDescent="0.4">
      <c r="D302" s="1"/>
    </row>
    <row r="303" spans="4:4" x14ac:dyDescent="0.4">
      <c r="D303" s="1"/>
    </row>
    <row r="304" spans="4:4" x14ac:dyDescent="0.4">
      <c r="D304" s="1"/>
    </row>
    <row r="305" spans="4:4" x14ac:dyDescent="0.4">
      <c r="D305" s="1"/>
    </row>
    <row r="306" spans="4:4" x14ac:dyDescent="0.4">
      <c r="D306" s="1"/>
    </row>
    <row r="307" spans="4:4" x14ac:dyDescent="0.4">
      <c r="D307" s="1"/>
    </row>
    <row r="308" spans="4:4" x14ac:dyDescent="0.4">
      <c r="D308" s="1"/>
    </row>
    <row r="309" spans="4:4" x14ac:dyDescent="0.4">
      <c r="D309" s="1"/>
    </row>
    <row r="310" spans="4:4" x14ac:dyDescent="0.4">
      <c r="D310" s="1"/>
    </row>
    <row r="311" spans="4:4" x14ac:dyDescent="0.4">
      <c r="D311" s="1"/>
    </row>
    <row r="312" spans="4:4" x14ac:dyDescent="0.4">
      <c r="D312" s="1"/>
    </row>
    <row r="313" spans="4:4" x14ac:dyDescent="0.4">
      <c r="D313" s="1"/>
    </row>
    <row r="314" spans="4:4" x14ac:dyDescent="0.4">
      <c r="D314" s="1"/>
    </row>
    <row r="315" spans="4:4" x14ac:dyDescent="0.4">
      <c r="D315" s="1"/>
    </row>
    <row r="316" spans="4:4" x14ac:dyDescent="0.4">
      <c r="D316" s="1"/>
    </row>
    <row r="317" spans="4:4" x14ac:dyDescent="0.4">
      <c r="D317" s="1"/>
    </row>
    <row r="318" spans="4:4" x14ac:dyDescent="0.4">
      <c r="D318" s="1"/>
    </row>
    <row r="319" spans="4:4" x14ac:dyDescent="0.4">
      <c r="D319" s="1"/>
    </row>
    <row r="320" spans="4:4" x14ac:dyDescent="0.4">
      <c r="D320" s="1"/>
    </row>
    <row r="321" spans="4:4" x14ac:dyDescent="0.4">
      <c r="D321" s="1"/>
    </row>
    <row r="322" spans="4:4" x14ac:dyDescent="0.4">
      <c r="D322" s="1"/>
    </row>
    <row r="323" spans="4:4" x14ac:dyDescent="0.4">
      <c r="D323" s="1"/>
    </row>
    <row r="324" spans="4:4" x14ac:dyDescent="0.4">
      <c r="D324" s="1"/>
    </row>
    <row r="325" spans="4:4" x14ac:dyDescent="0.4">
      <c r="D325" s="1"/>
    </row>
    <row r="326" spans="4:4" x14ac:dyDescent="0.4">
      <c r="D326" s="1"/>
    </row>
    <row r="327" spans="4:4" x14ac:dyDescent="0.4">
      <c r="D327" s="1"/>
    </row>
    <row r="328" spans="4:4" x14ac:dyDescent="0.4">
      <c r="D328" s="1"/>
    </row>
    <row r="329" spans="4:4" x14ac:dyDescent="0.4">
      <c r="D329" s="1"/>
    </row>
    <row r="330" spans="4:4" x14ac:dyDescent="0.4">
      <c r="D330" s="1"/>
    </row>
    <row r="331" spans="4:4" x14ac:dyDescent="0.4">
      <c r="D331" s="1"/>
    </row>
    <row r="332" spans="4:4" x14ac:dyDescent="0.4">
      <c r="D332" s="1"/>
    </row>
    <row r="333" spans="4:4" x14ac:dyDescent="0.4">
      <c r="D333" s="1"/>
    </row>
    <row r="334" spans="4:4" x14ac:dyDescent="0.4">
      <c r="D334" s="1"/>
    </row>
    <row r="335" spans="4:4" x14ac:dyDescent="0.4">
      <c r="D335" s="1"/>
    </row>
    <row r="336" spans="4:4" x14ac:dyDescent="0.4">
      <c r="D336" s="1"/>
    </row>
    <row r="337" spans="4:4" x14ac:dyDescent="0.4">
      <c r="D337" s="1"/>
    </row>
    <row r="338" spans="4:4" x14ac:dyDescent="0.4">
      <c r="D338" s="1"/>
    </row>
    <row r="339" spans="4:4" x14ac:dyDescent="0.4">
      <c r="D339" s="1"/>
    </row>
    <row r="340" spans="4:4" x14ac:dyDescent="0.4">
      <c r="D340" s="1"/>
    </row>
    <row r="341" spans="4:4" x14ac:dyDescent="0.4">
      <c r="D341" s="1"/>
    </row>
    <row r="342" spans="4:4" x14ac:dyDescent="0.4">
      <c r="D342" s="1"/>
    </row>
    <row r="343" spans="4:4" x14ac:dyDescent="0.4">
      <c r="D343" s="1"/>
    </row>
    <row r="344" spans="4:4" x14ac:dyDescent="0.4">
      <c r="D344" s="1"/>
    </row>
    <row r="345" spans="4:4" x14ac:dyDescent="0.4">
      <c r="D345" s="1"/>
    </row>
    <row r="346" spans="4:4" x14ac:dyDescent="0.4">
      <c r="D346" s="1"/>
    </row>
    <row r="347" spans="4:4" x14ac:dyDescent="0.4">
      <c r="D347" s="1"/>
    </row>
    <row r="348" spans="4:4" x14ac:dyDescent="0.4">
      <c r="D348" s="1"/>
    </row>
    <row r="349" spans="4:4" x14ac:dyDescent="0.4">
      <c r="D349" s="1"/>
    </row>
    <row r="350" spans="4:4" x14ac:dyDescent="0.4">
      <c r="D350" s="1"/>
    </row>
    <row r="351" spans="4:4" x14ac:dyDescent="0.4">
      <c r="D351" s="1"/>
    </row>
    <row r="352" spans="4:4" x14ac:dyDescent="0.4">
      <c r="D352" s="1"/>
    </row>
    <row r="353" spans="4:4" x14ac:dyDescent="0.4">
      <c r="D353" s="1"/>
    </row>
    <row r="354" spans="4:4" x14ac:dyDescent="0.4">
      <c r="D354" s="1"/>
    </row>
    <row r="355" spans="4:4" x14ac:dyDescent="0.4">
      <c r="D355" s="1"/>
    </row>
    <row r="356" spans="4:4" x14ac:dyDescent="0.4">
      <c r="D356" s="1"/>
    </row>
    <row r="357" spans="4:4" x14ac:dyDescent="0.4">
      <c r="D357" s="1"/>
    </row>
    <row r="358" spans="4:4" x14ac:dyDescent="0.4">
      <c r="D358" s="1"/>
    </row>
    <row r="359" spans="4:4" x14ac:dyDescent="0.4">
      <c r="D359" s="1"/>
    </row>
    <row r="360" spans="4:4" x14ac:dyDescent="0.4">
      <c r="D360" s="1"/>
    </row>
    <row r="361" spans="4:4" x14ac:dyDescent="0.4">
      <c r="D361" s="1"/>
    </row>
    <row r="362" spans="4:4" x14ac:dyDescent="0.4">
      <c r="D362" s="1"/>
    </row>
    <row r="363" spans="4:4" x14ac:dyDescent="0.4">
      <c r="D363" s="1"/>
    </row>
    <row r="364" spans="4:4" x14ac:dyDescent="0.4">
      <c r="D364" s="1"/>
    </row>
    <row r="365" spans="4:4" x14ac:dyDescent="0.4">
      <c r="D365" s="1"/>
    </row>
    <row r="366" spans="4:4" x14ac:dyDescent="0.4">
      <c r="D366" s="1"/>
    </row>
    <row r="367" spans="4:4" x14ac:dyDescent="0.4">
      <c r="D367" s="1"/>
    </row>
    <row r="368" spans="4:4" x14ac:dyDescent="0.4">
      <c r="D368" s="1"/>
    </row>
    <row r="369" spans="4:4" x14ac:dyDescent="0.4">
      <c r="D369" s="1"/>
    </row>
    <row r="370" spans="4:4" x14ac:dyDescent="0.4">
      <c r="D370" s="1"/>
    </row>
    <row r="371" spans="4:4" x14ac:dyDescent="0.4">
      <c r="D371" s="1"/>
    </row>
    <row r="372" spans="4:4" x14ac:dyDescent="0.4">
      <c r="D372" s="1"/>
    </row>
    <row r="373" spans="4:4" x14ac:dyDescent="0.4">
      <c r="D373" s="1"/>
    </row>
    <row r="374" spans="4:4" x14ac:dyDescent="0.4">
      <c r="D374" s="1"/>
    </row>
    <row r="375" spans="4:4" x14ac:dyDescent="0.4">
      <c r="D375" s="1"/>
    </row>
    <row r="376" spans="4:4" x14ac:dyDescent="0.4">
      <c r="D376" s="1"/>
    </row>
    <row r="377" spans="4:4" x14ac:dyDescent="0.4">
      <c r="D377" s="1"/>
    </row>
    <row r="378" spans="4:4" x14ac:dyDescent="0.4">
      <c r="D378" s="1"/>
    </row>
    <row r="379" spans="4:4" x14ac:dyDescent="0.4">
      <c r="D379" s="1"/>
    </row>
    <row r="380" spans="4:4" x14ac:dyDescent="0.4">
      <c r="D380" s="1"/>
    </row>
    <row r="381" spans="4:4" x14ac:dyDescent="0.4">
      <c r="D381" s="1"/>
    </row>
    <row r="382" spans="4:4" x14ac:dyDescent="0.4">
      <c r="D382" s="1"/>
    </row>
    <row r="383" spans="4:4" x14ac:dyDescent="0.4">
      <c r="D383" s="1"/>
    </row>
    <row r="384" spans="4:4" x14ac:dyDescent="0.4">
      <c r="D384" s="1"/>
    </row>
    <row r="385" spans="4:4" x14ac:dyDescent="0.4">
      <c r="D385" s="1"/>
    </row>
    <row r="386" spans="4:4" x14ac:dyDescent="0.4">
      <c r="D386" s="1"/>
    </row>
    <row r="387" spans="4:4" x14ac:dyDescent="0.4">
      <c r="D387" s="1"/>
    </row>
    <row r="388" spans="4:4" x14ac:dyDescent="0.4">
      <c r="D388" s="1"/>
    </row>
    <row r="389" spans="4:4" x14ac:dyDescent="0.4">
      <c r="D389" s="1"/>
    </row>
    <row r="390" spans="4:4" x14ac:dyDescent="0.4">
      <c r="D390" s="1"/>
    </row>
    <row r="391" spans="4:4" x14ac:dyDescent="0.4">
      <c r="D391" s="1"/>
    </row>
    <row r="392" spans="4:4" x14ac:dyDescent="0.4">
      <c r="D392" s="1"/>
    </row>
    <row r="393" spans="4:4" x14ac:dyDescent="0.4">
      <c r="D393" s="1"/>
    </row>
    <row r="394" spans="4:4" x14ac:dyDescent="0.4">
      <c r="D394" s="1"/>
    </row>
    <row r="395" spans="4:4" x14ac:dyDescent="0.4">
      <c r="D395" s="1"/>
    </row>
    <row r="396" spans="4:4" x14ac:dyDescent="0.4">
      <c r="D396" s="1"/>
    </row>
    <row r="397" spans="4:4" x14ac:dyDescent="0.4">
      <c r="D397" s="1"/>
    </row>
    <row r="398" spans="4:4" x14ac:dyDescent="0.4">
      <c r="D398" s="1"/>
    </row>
    <row r="399" spans="4:4" x14ac:dyDescent="0.4">
      <c r="D399" s="1"/>
    </row>
    <row r="400" spans="4:4" x14ac:dyDescent="0.4">
      <c r="D400" s="1"/>
    </row>
    <row r="401" spans="4:4" x14ac:dyDescent="0.4">
      <c r="D401" s="1"/>
    </row>
    <row r="402" spans="4:4" x14ac:dyDescent="0.4">
      <c r="D402" s="1"/>
    </row>
    <row r="403" spans="4:4" x14ac:dyDescent="0.4">
      <c r="D403" s="1"/>
    </row>
    <row r="404" spans="4:4" x14ac:dyDescent="0.4">
      <c r="D404" s="1"/>
    </row>
    <row r="405" spans="4:4" x14ac:dyDescent="0.4">
      <c r="D405" s="1"/>
    </row>
    <row r="406" spans="4:4" x14ac:dyDescent="0.4">
      <c r="D406" s="1"/>
    </row>
    <row r="407" spans="4:4" x14ac:dyDescent="0.4">
      <c r="D407" s="1"/>
    </row>
    <row r="408" spans="4:4" x14ac:dyDescent="0.4">
      <c r="D408" s="1"/>
    </row>
    <row r="409" spans="4:4" x14ac:dyDescent="0.4">
      <c r="D409" s="1"/>
    </row>
    <row r="410" spans="4:4" x14ac:dyDescent="0.4">
      <c r="D410" s="1"/>
    </row>
    <row r="411" spans="4:4" x14ac:dyDescent="0.4">
      <c r="D411" s="1"/>
    </row>
    <row r="412" spans="4:4" x14ac:dyDescent="0.4">
      <c r="D412" s="1"/>
    </row>
    <row r="413" spans="4:4" x14ac:dyDescent="0.4">
      <c r="D413" s="1"/>
    </row>
    <row r="414" spans="4:4" x14ac:dyDescent="0.4">
      <c r="D414" s="1"/>
    </row>
    <row r="415" spans="4:4" x14ac:dyDescent="0.4">
      <c r="D415" s="1"/>
    </row>
    <row r="416" spans="4:4" x14ac:dyDescent="0.4">
      <c r="D416" s="1"/>
    </row>
    <row r="417" spans="4:4" x14ac:dyDescent="0.4">
      <c r="D417" s="1"/>
    </row>
    <row r="418" spans="4:4" x14ac:dyDescent="0.4">
      <c r="D418" s="1"/>
    </row>
    <row r="419" spans="4:4" x14ac:dyDescent="0.4">
      <c r="D419" s="1"/>
    </row>
    <row r="420" spans="4:4" x14ac:dyDescent="0.4">
      <c r="D420" s="1"/>
    </row>
    <row r="421" spans="4:4" x14ac:dyDescent="0.4">
      <c r="D421" s="1"/>
    </row>
    <row r="422" spans="4:4" x14ac:dyDescent="0.4">
      <c r="D422" s="1"/>
    </row>
    <row r="423" spans="4:4" x14ac:dyDescent="0.4">
      <c r="D423" s="1"/>
    </row>
    <row r="424" spans="4:4" x14ac:dyDescent="0.4">
      <c r="D424" s="1"/>
    </row>
    <row r="425" spans="4:4" x14ac:dyDescent="0.4">
      <c r="D425" s="1"/>
    </row>
    <row r="426" spans="4:4" x14ac:dyDescent="0.4">
      <c r="D426" s="1"/>
    </row>
    <row r="427" spans="4:4" x14ac:dyDescent="0.4">
      <c r="D427" s="1"/>
    </row>
    <row r="428" spans="4:4" x14ac:dyDescent="0.4">
      <c r="D428" s="1"/>
    </row>
    <row r="429" spans="4:4" x14ac:dyDescent="0.4">
      <c r="D429" s="1"/>
    </row>
    <row r="430" spans="4:4" x14ac:dyDescent="0.4">
      <c r="D430" s="1"/>
    </row>
    <row r="431" spans="4:4" x14ac:dyDescent="0.4">
      <c r="D431" s="1"/>
    </row>
    <row r="432" spans="4:4" x14ac:dyDescent="0.4">
      <c r="D432" s="1"/>
    </row>
    <row r="433" spans="4:4" x14ac:dyDescent="0.4">
      <c r="D433" s="1"/>
    </row>
    <row r="434" spans="4:4" x14ac:dyDescent="0.4">
      <c r="D434" s="1"/>
    </row>
    <row r="435" spans="4:4" x14ac:dyDescent="0.4">
      <c r="D435" s="1"/>
    </row>
    <row r="436" spans="4:4" x14ac:dyDescent="0.4">
      <c r="D436" s="1"/>
    </row>
    <row r="437" spans="4:4" x14ac:dyDescent="0.4">
      <c r="D437" s="1"/>
    </row>
    <row r="438" spans="4:4" x14ac:dyDescent="0.4">
      <c r="D438" s="1"/>
    </row>
    <row r="439" spans="4:4" x14ac:dyDescent="0.4">
      <c r="D439" s="1"/>
    </row>
    <row r="440" spans="4:4" x14ac:dyDescent="0.4">
      <c r="D440" s="1"/>
    </row>
    <row r="441" spans="4:4" x14ac:dyDescent="0.4">
      <c r="D441" s="1"/>
    </row>
    <row r="442" spans="4:4" x14ac:dyDescent="0.4">
      <c r="D442" s="1"/>
    </row>
    <row r="443" spans="4:4" x14ac:dyDescent="0.4">
      <c r="D443" s="1"/>
    </row>
    <row r="444" spans="4:4" x14ac:dyDescent="0.4">
      <c r="D444" s="1"/>
    </row>
    <row r="445" spans="4:4" x14ac:dyDescent="0.4">
      <c r="D445" s="1"/>
    </row>
    <row r="446" spans="4:4" x14ac:dyDescent="0.4">
      <c r="D446" s="1"/>
    </row>
    <row r="447" spans="4:4" x14ac:dyDescent="0.4">
      <c r="D447" s="1"/>
    </row>
    <row r="448" spans="4:4" x14ac:dyDescent="0.4">
      <c r="D448" s="1"/>
    </row>
    <row r="449" spans="4:4" x14ac:dyDescent="0.4">
      <c r="D449" s="1"/>
    </row>
    <row r="450" spans="4:4" x14ac:dyDescent="0.4">
      <c r="D450" s="1"/>
    </row>
    <row r="451" spans="4:4" x14ac:dyDescent="0.4">
      <c r="D451" s="1"/>
    </row>
    <row r="452" spans="4:4" x14ac:dyDescent="0.4">
      <c r="D452" s="1"/>
    </row>
    <row r="453" spans="4:4" x14ac:dyDescent="0.4">
      <c r="D453" s="1"/>
    </row>
    <row r="454" spans="4:4" x14ac:dyDescent="0.4">
      <c r="D454" s="1"/>
    </row>
    <row r="455" spans="4:4" x14ac:dyDescent="0.4">
      <c r="D455" s="1"/>
    </row>
    <row r="456" spans="4:4" x14ac:dyDescent="0.4">
      <c r="D456" s="1"/>
    </row>
    <row r="457" spans="4:4" x14ac:dyDescent="0.4">
      <c r="D457" s="1"/>
    </row>
    <row r="458" spans="4:4" x14ac:dyDescent="0.4">
      <c r="D458" s="1"/>
    </row>
    <row r="459" spans="4:4" x14ac:dyDescent="0.4">
      <c r="D459" s="1"/>
    </row>
    <row r="460" spans="4:4" x14ac:dyDescent="0.4">
      <c r="D460" s="1"/>
    </row>
    <row r="461" spans="4:4" x14ac:dyDescent="0.4">
      <c r="D461" s="1"/>
    </row>
    <row r="462" spans="4:4" x14ac:dyDescent="0.4">
      <c r="D462" s="1"/>
    </row>
    <row r="463" spans="4:4" x14ac:dyDescent="0.4">
      <c r="D463" s="1"/>
    </row>
    <row r="464" spans="4:4" x14ac:dyDescent="0.4">
      <c r="D464" s="1"/>
    </row>
    <row r="465" spans="4:4" x14ac:dyDescent="0.4">
      <c r="D465" s="1"/>
    </row>
    <row r="466" spans="4:4" x14ac:dyDescent="0.4">
      <c r="D466" s="1"/>
    </row>
    <row r="467" spans="4:4" x14ac:dyDescent="0.4">
      <c r="D467" s="1"/>
    </row>
    <row r="468" spans="4:4" x14ac:dyDescent="0.4">
      <c r="D468" s="1"/>
    </row>
    <row r="469" spans="4:4" x14ac:dyDescent="0.4">
      <c r="D469" s="1"/>
    </row>
    <row r="470" spans="4:4" x14ac:dyDescent="0.4">
      <c r="D470" s="1"/>
    </row>
    <row r="471" spans="4:4" x14ac:dyDescent="0.4">
      <c r="D471" s="1"/>
    </row>
    <row r="472" spans="4:4" x14ac:dyDescent="0.4">
      <c r="D472" s="1"/>
    </row>
    <row r="473" spans="4:4" x14ac:dyDescent="0.4">
      <c r="D473" s="1"/>
    </row>
    <row r="474" spans="4:4" x14ac:dyDescent="0.4">
      <c r="D474" s="1"/>
    </row>
    <row r="475" spans="4:4" x14ac:dyDescent="0.4">
      <c r="D475" s="1"/>
    </row>
    <row r="476" spans="4:4" x14ac:dyDescent="0.4">
      <c r="D476" s="1"/>
    </row>
    <row r="477" spans="4:4" x14ac:dyDescent="0.4">
      <c r="D477" s="1"/>
    </row>
    <row r="478" spans="4:4" x14ac:dyDescent="0.4">
      <c r="D478" s="1"/>
    </row>
    <row r="479" spans="4:4" x14ac:dyDescent="0.4">
      <c r="D479" s="1"/>
    </row>
    <row r="480" spans="4:4" x14ac:dyDescent="0.4">
      <c r="D480" s="1"/>
    </row>
    <row r="481" spans="4:4" x14ac:dyDescent="0.4">
      <c r="D481" s="1"/>
    </row>
    <row r="482" spans="4:4" x14ac:dyDescent="0.4">
      <c r="D482" s="1"/>
    </row>
    <row r="483" spans="4:4" x14ac:dyDescent="0.4">
      <c r="D483" s="1"/>
    </row>
    <row r="484" spans="4:4" x14ac:dyDescent="0.4">
      <c r="D484" s="1"/>
    </row>
    <row r="485" spans="4:4" x14ac:dyDescent="0.4">
      <c r="D485" s="1"/>
    </row>
    <row r="486" spans="4:4" x14ac:dyDescent="0.4">
      <c r="D486" s="1"/>
    </row>
    <row r="487" spans="4:4" x14ac:dyDescent="0.4">
      <c r="D487" s="1"/>
    </row>
    <row r="488" spans="4:4" x14ac:dyDescent="0.4">
      <c r="D488" s="1"/>
    </row>
    <row r="489" spans="4:4" x14ac:dyDescent="0.4">
      <c r="D489" s="1"/>
    </row>
    <row r="490" spans="4:4" x14ac:dyDescent="0.4">
      <c r="D490" s="1"/>
    </row>
    <row r="491" spans="4:4" x14ac:dyDescent="0.4">
      <c r="D491" s="1"/>
    </row>
    <row r="492" spans="4:4" x14ac:dyDescent="0.4">
      <c r="D492" s="1"/>
    </row>
    <row r="493" spans="4:4" x14ac:dyDescent="0.4">
      <c r="D493" s="1"/>
    </row>
    <row r="494" spans="4:4" x14ac:dyDescent="0.4">
      <c r="D494" s="1"/>
    </row>
    <row r="495" spans="4:4" x14ac:dyDescent="0.4">
      <c r="D495" s="1"/>
    </row>
    <row r="496" spans="4:4" x14ac:dyDescent="0.4">
      <c r="D496" s="1"/>
    </row>
    <row r="497" spans="4:4" x14ac:dyDescent="0.4">
      <c r="D497" s="1"/>
    </row>
    <row r="498" spans="4:4" x14ac:dyDescent="0.4">
      <c r="D498" s="1"/>
    </row>
    <row r="499" spans="4:4" x14ac:dyDescent="0.4">
      <c r="D499" s="1"/>
    </row>
    <row r="500" spans="4:4" x14ac:dyDescent="0.4">
      <c r="D500" s="1"/>
    </row>
    <row r="501" spans="4:4" x14ac:dyDescent="0.4">
      <c r="D501" s="1"/>
    </row>
    <row r="502" spans="4:4" x14ac:dyDescent="0.4">
      <c r="D502" s="1"/>
    </row>
    <row r="503" spans="4:4" x14ac:dyDescent="0.4">
      <c r="D503" s="1"/>
    </row>
    <row r="504" spans="4:4" x14ac:dyDescent="0.4">
      <c r="D504" s="1"/>
    </row>
    <row r="505" spans="4:4" x14ac:dyDescent="0.4">
      <c r="D505" s="1"/>
    </row>
    <row r="506" spans="4:4" x14ac:dyDescent="0.4">
      <c r="D506" s="1"/>
    </row>
    <row r="507" spans="4:4" x14ac:dyDescent="0.4">
      <c r="D507" s="1"/>
    </row>
    <row r="508" spans="4:4" x14ac:dyDescent="0.4">
      <c r="D508" s="1"/>
    </row>
    <row r="509" spans="4:4" x14ac:dyDescent="0.4">
      <c r="D509" s="1"/>
    </row>
    <row r="510" spans="4:4" x14ac:dyDescent="0.4">
      <c r="D510" s="1"/>
    </row>
    <row r="511" spans="4:4" x14ac:dyDescent="0.4">
      <c r="D511" s="1"/>
    </row>
    <row r="512" spans="4:4" x14ac:dyDescent="0.4">
      <c r="D512" s="1"/>
    </row>
    <row r="513" spans="4:4" x14ac:dyDescent="0.4">
      <c r="D513" s="1"/>
    </row>
    <row r="514" spans="4:4" x14ac:dyDescent="0.4">
      <c r="D514" s="1"/>
    </row>
    <row r="515" spans="4:4" x14ac:dyDescent="0.4">
      <c r="D515" s="1"/>
    </row>
    <row r="516" spans="4:4" x14ac:dyDescent="0.4">
      <c r="D516" s="1"/>
    </row>
    <row r="517" spans="4:4" x14ac:dyDescent="0.4">
      <c r="D517" s="1"/>
    </row>
    <row r="518" spans="4:4" x14ac:dyDescent="0.4">
      <c r="D518" s="1"/>
    </row>
    <row r="519" spans="4:4" x14ac:dyDescent="0.4">
      <c r="D519" s="1"/>
    </row>
    <row r="520" spans="4:4" x14ac:dyDescent="0.4">
      <c r="D520" s="1"/>
    </row>
    <row r="521" spans="4:4" x14ac:dyDescent="0.4">
      <c r="D521" s="1"/>
    </row>
    <row r="522" spans="4:4" x14ac:dyDescent="0.4">
      <c r="D522" s="1"/>
    </row>
    <row r="523" spans="4:4" x14ac:dyDescent="0.4">
      <c r="D523" s="1"/>
    </row>
    <row r="524" spans="4:4" x14ac:dyDescent="0.4">
      <c r="D524" s="1"/>
    </row>
    <row r="525" spans="4:4" x14ac:dyDescent="0.4">
      <c r="D525" s="1"/>
    </row>
    <row r="526" spans="4:4" x14ac:dyDescent="0.4">
      <c r="D526" s="1"/>
    </row>
    <row r="527" spans="4:4" x14ac:dyDescent="0.4">
      <c r="D527" s="1"/>
    </row>
    <row r="528" spans="4:4" x14ac:dyDescent="0.4">
      <c r="D528" s="1"/>
    </row>
    <row r="529" spans="4:4" x14ac:dyDescent="0.4">
      <c r="D529" s="1"/>
    </row>
    <row r="530" spans="4:4" x14ac:dyDescent="0.4">
      <c r="D530" s="1"/>
    </row>
    <row r="531" spans="4:4" x14ac:dyDescent="0.4">
      <c r="D531" s="1"/>
    </row>
    <row r="532" spans="4:4" x14ac:dyDescent="0.4">
      <c r="D532" s="1"/>
    </row>
    <row r="533" spans="4:4" x14ac:dyDescent="0.4">
      <c r="D533" s="1"/>
    </row>
    <row r="534" spans="4:4" x14ac:dyDescent="0.4">
      <c r="D534" s="1"/>
    </row>
    <row r="535" spans="4:4" x14ac:dyDescent="0.4">
      <c r="D535" s="1"/>
    </row>
    <row r="536" spans="4:4" x14ac:dyDescent="0.4">
      <c r="D536" s="1"/>
    </row>
    <row r="537" spans="4:4" x14ac:dyDescent="0.4">
      <c r="D537" s="1"/>
    </row>
    <row r="538" spans="4:4" x14ac:dyDescent="0.4">
      <c r="D538" s="1"/>
    </row>
    <row r="539" spans="4:4" x14ac:dyDescent="0.4">
      <c r="D539" s="1"/>
    </row>
    <row r="540" spans="4:4" x14ac:dyDescent="0.4">
      <c r="D540" s="1"/>
    </row>
    <row r="541" spans="4:4" x14ac:dyDescent="0.4">
      <c r="D541" s="1"/>
    </row>
    <row r="542" spans="4:4" x14ac:dyDescent="0.4">
      <c r="D542" s="1"/>
    </row>
    <row r="543" spans="4:4" x14ac:dyDescent="0.4">
      <c r="D543" s="1"/>
    </row>
    <row r="544" spans="4:4" x14ac:dyDescent="0.4">
      <c r="D544" s="1"/>
    </row>
    <row r="545" spans="4:4" x14ac:dyDescent="0.4">
      <c r="D545" s="1"/>
    </row>
    <row r="546" spans="4:4" x14ac:dyDescent="0.4">
      <c r="D546" s="1"/>
    </row>
    <row r="547" spans="4:4" x14ac:dyDescent="0.4">
      <c r="D547" s="1"/>
    </row>
    <row r="548" spans="4:4" x14ac:dyDescent="0.4">
      <c r="D548" s="1"/>
    </row>
    <row r="549" spans="4:4" x14ac:dyDescent="0.4">
      <c r="D549" s="1"/>
    </row>
    <row r="550" spans="4:4" x14ac:dyDescent="0.4">
      <c r="D550" s="1"/>
    </row>
    <row r="551" spans="4:4" x14ac:dyDescent="0.4">
      <c r="D551" s="1"/>
    </row>
    <row r="552" spans="4:4" x14ac:dyDescent="0.4">
      <c r="D552" s="1"/>
    </row>
    <row r="553" spans="4:4" x14ac:dyDescent="0.4">
      <c r="D553" s="1"/>
    </row>
    <row r="554" spans="4:4" x14ac:dyDescent="0.4">
      <c r="D554" s="1"/>
    </row>
    <row r="555" spans="4:4" x14ac:dyDescent="0.4">
      <c r="D555" s="1"/>
    </row>
    <row r="556" spans="4:4" x14ac:dyDescent="0.4">
      <c r="D556" s="1"/>
    </row>
    <row r="557" spans="4:4" x14ac:dyDescent="0.4">
      <c r="D557" s="1"/>
    </row>
    <row r="558" spans="4:4" x14ac:dyDescent="0.4">
      <c r="D558" s="1"/>
    </row>
    <row r="559" spans="4:4" x14ac:dyDescent="0.4">
      <c r="D559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C23" sqref="C23"/>
    </sheetView>
  </sheetViews>
  <sheetFormatPr defaultRowHeight="13.9" x14ac:dyDescent="0.4"/>
  <cols>
    <col min="1" max="1" width="16.86328125" bestFit="1" customWidth="1"/>
    <col min="2" max="2" width="8.73046875" bestFit="1" customWidth="1"/>
    <col min="3" max="3" width="12.86328125" style="4" bestFit="1" customWidth="1"/>
    <col min="4" max="4" width="14.86328125" bestFit="1" customWidth="1"/>
    <col min="5" max="5" width="8.73046875" bestFit="1" customWidth="1"/>
    <col min="6" max="6" width="12.86328125" bestFit="1" customWidth="1"/>
    <col min="7" max="7" width="14.86328125" bestFit="1" customWidth="1"/>
    <col min="8" max="8" width="8.73046875" bestFit="1" customWidth="1"/>
    <col min="9" max="9" width="12.86328125" bestFit="1" customWidth="1"/>
  </cols>
  <sheetData>
    <row r="1" spans="1:9" x14ac:dyDescent="0.4">
      <c r="A1" t="s">
        <v>69</v>
      </c>
      <c r="B1" t="s">
        <v>71</v>
      </c>
      <c r="C1" t="s">
        <v>73</v>
      </c>
      <c r="D1" t="s">
        <v>74</v>
      </c>
      <c r="E1" t="s">
        <v>71</v>
      </c>
      <c r="F1" t="s">
        <v>72</v>
      </c>
      <c r="G1" t="s">
        <v>74</v>
      </c>
      <c r="H1" t="s">
        <v>70</v>
      </c>
      <c r="I1" t="s">
        <v>73</v>
      </c>
    </row>
    <row r="2" spans="1:9" x14ac:dyDescent="0.4">
      <c r="A2" s="2" t="str">
        <f>Sheet1!S3</f>
        <v>熊高震荡高牛高</v>
      </c>
      <c r="B2" s="2">
        <f>Sheet1!T3</f>
        <v>4</v>
      </c>
      <c r="C2" s="5">
        <f>Sheet1!U3</f>
        <v>3.4482758620689655E-2</v>
      </c>
      <c r="D2" s="2" t="str">
        <f>Sheet1!S12</f>
        <v>熊中震荡高牛高</v>
      </c>
      <c r="E2" s="2">
        <f>Sheet1!T12</f>
        <v>3</v>
      </c>
      <c r="F2" s="5">
        <f>Sheet1!U12</f>
        <v>2.5862068965517241E-2</v>
      </c>
      <c r="G2" t="str">
        <f>Sheet1!S21</f>
        <v>熊低震荡高牛高</v>
      </c>
      <c r="H2">
        <f>Sheet1!T21</f>
        <v>10</v>
      </c>
      <c r="I2" s="4">
        <f>Sheet1!U21</f>
        <v>8.6206896551724144E-2</v>
      </c>
    </row>
    <row r="3" spans="1:9" x14ac:dyDescent="0.4">
      <c r="A3" s="2" t="str">
        <f>Sheet1!S4</f>
        <v>熊高震荡高牛中</v>
      </c>
      <c r="B3" s="2">
        <f>Sheet1!T4</f>
        <v>2</v>
      </c>
      <c r="C3" s="5">
        <f>Sheet1!U4</f>
        <v>1.7241379310344827E-2</v>
      </c>
      <c r="D3" s="2" t="str">
        <f>Sheet1!S13</f>
        <v>熊中震荡高牛中</v>
      </c>
      <c r="E3" s="2">
        <f>Sheet1!T13</f>
        <v>1</v>
      </c>
      <c r="F3" s="5">
        <f>Sheet1!U13</f>
        <v>8.6206896551724137E-3</v>
      </c>
      <c r="G3" t="str">
        <f>Sheet1!S22</f>
        <v>熊低震荡高牛中</v>
      </c>
      <c r="H3">
        <f>Sheet1!T22</f>
        <v>2</v>
      </c>
      <c r="I3" s="4">
        <f>Sheet1!U22</f>
        <v>1.7241379310344827E-2</v>
      </c>
    </row>
    <row r="4" spans="1:9" x14ac:dyDescent="0.4">
      <c r="A4" t="str">
        <f>Sheet1!S5</f>
        <v>熊高震荡高牛低</v>
      </c>
      <c r="B4">
        <f>Sheet1!T5</f>
        <v>6</v>
      </c>
      <c r="C4" s="4">
        <f>Sheet1!U5</f>
        <v>5.1724137931034482E-2</v>
      </c>
      <c r="D4" t="str">
        <f>Sheet1!S14</f>
        <v>熊中震荡高牛低</v>
      </c>
      <c r="E4">
        <f>Sheet1!T14</f>
        <v>4</v>
      </c>
      <c r="F4" s="4">
        <f>Sheet1!U14</f>
        <v>3.4482758620689655E-2</v>
      </c>
      <c r="G4" t="str">
        <f>Sheet1!S23</f>
        <v>熊低震荡高牛低</v>
      </c>
      <c r="H4">
        <f>Sheet1!T23</f>
        <v>2</v>
      </c>
      <c r="I4" s="4">
        <f>Sheet1!U23</f>
        <v>1.7241379310344827E-2</v>
      </c>
    </row>
    <row r="5" spans="1:9" x14ac:dyDescent="0.4">
      <c r="A5" s="2" t="str">
        <f>Sheet1!S6</f>
        <v>熊高震荡中牛高</v>
      </c>
      <c r="B5" s="2">
        <f>Sheet1!T6</f>
        <v>1</v>
      </c>
      <c r="C5" s="5">
        <f>Sheet1!U6</f>
        <v>8.6206896551724137E-3</v>
      </c>
      <c r="D5" s="2" t="str">
        <f>Sheet1!S15</f>
        <v>熊中震荡中牛高</v>
      </c>
      <c r="E5" s="2">
        <f>Sheet1!T15</f>
        <v>2</v>
      </c>
      <c r="F5" s="5">
        <f>Sheet1!U15</f>
        <v>1.7241379310344827E-2</v>
      </c>
      <c r="G5" t="str">
        <f>Sheet1!S24</f>
        <v>熊低震荡中牛高</v>
      </c>
      <c r="H5">
        <f>Sheet1!T24</f>
        <v>2</v>
      </c>
      <c r="I5" s="4">
        <f>Sheet1!U24</f>
        <v>1.7241379310344827E-2</v>
      </c>
    </row>
    <row r="6" spans="1:9" x14ac:dyDescent="0.4">
      <c r="A6" s="2" t="str">
        <f>Sheet1!S7</f>
        <v>熊高震荡中牛中</v>
      </c>
      <c r="B6" s="2">
        <f>Sheet1!T7</f>
        <v>2</v>
      </c>
      <c r="C6" s="5">
        <f>Sheet1!U7</f>
        <v>1.7241379310344827E-2</v>
      </c>
      <c r="D6" s="6" t="str">
        <f>Sheet1!S16</f>
        <v>熊中震荡中牛中</v>
      </c>
      <c r="E6" s="6">
        <f>Sheet1!T16</f>
        <v>3</v>
      </c>
      <c r="F6" s="7">
        <f>Sheet1!U16</f>
        <v>2.5862068965517241E-2</v>
      </c>
      <c r="G6" t="str">
        <f>Sheet1!S25</f>
        <v>熊低震荡中牛中</v>
      </c>
      <c r="H6">
        <f>Sheet1!T25</f>
        <v>8</v>
      </c>
      <c r="I6" s="4">
        <f>Sheet1!U25</f>
        <v>6.8965517241379309E-2</v>
      </c>
    </row>
    <row r="7" spans="1:9" x14ac:dyDescent="0.4">
      <c r="A7" t="str">
        <f>Sheet1!S8</f>
        <v>熊高震荡中牛低</v>
      </c>
      <c r="B7">
        <f>Sheet1!T8</f>
        <v>8</v>
      </c>
      <c r="C7" s="4">
        <f>Sheet1!U8</f>
        <v>6.8965517241379309E-2</v>
      </c>
      <c r="D7" t="str">
        <f>Sheet1!S17</f>
        <v>熊中震荡中牛低</v>
      </c>
      <c r="E7">
        <f>Sheet1!T17</f>
        <v>4</v>
      </c>
      <c r="F7" s="4">
        <f>Sheet1!U17</f>
        <v>3.4482758620689655E-2</v>
      </c>
      <c r="G7" t="str">
        <f>Sheet1!S26</f>
        <v>熊低震荡中牛低</v>
      </c>
      <c r="H7">
        <f>Sheet1!T26</f>
        <v>3</v>
      </c>
      <c r="I7" s="4">
        <f>Sheet1!U26</f>
        <v>2.5862068965517241E-2</v>
      </c>
    </row>
    <row r="8" spans="1:9" x14ac:dyDescent="0.4">
      <c r="A8" t="str">
        <f>Sheet1!S9</f>
        <v>熊高震荡低牛高</v>
      </c>
      <c r="B8">
        <f>Sheet1!T9</f>
        <v>1</v>
      </c>
      <c r="C8" s="4">
        <f>Sheet1!U9</f>
        <v>8.6206896551724137E-3</v>
      </c>
      <c r="D8" t="str">
        <f>Sheet1!S18</f>
        <v>熊中震荡低牛高</v>
      </c>
      <c r="E8">
        <f>Sheet1!T18</f>
        <v>2</v>
      </c>
      <c r="F8" s="4">
        <f>Sheet1!U18</f>
        <v>1.7241379310344827E-2</v>
      </c>
      <c r="G8" t="str">
        <f>Sheet1!S27</f>
        <v>熊低震荡低牛高</v>
      </c>
      <c r="H8">
        <f>Sheet1!T27</f>
        <v>15</v>
      </c>
      <c r="I8" s="4">
        <f>Sheet1!U27</f>
        <v>0.12931034482758622</v>
      </c>
    </row>
    <row r="9" spans="1:9" x14ac:dyDescent="0.4">
      <c r="A9" t="str">
        <f>Sheet1!S10</f>
        <v>熊高震荡低牛中</v>
      </c>
      <c r="B9">
        <f>Sheet1!T10</f>
        <v>2</v>
      </c>
      <c r="C9" s="4">
        <f>Sheet1!U10</f>
        <v>1.7241379310344827E-2</v>
      </c>
      <c r="D9" t="str">
        <f>Sheet1!S19</f>
        <v>熊中震荡低牛中</v>
      </c>
      <c r="E9">
        <f>Sheet1!T19</f>
        <v>1</v>
      </c>
      <c r="F9" s="4">
        <f>Sheet1!U19</f>
        <v>8.6206896551724137E-3</v>
      </c>
      <c r="G9" t="str">
        <f>Sheet1!S28</f>
        <v>熊低震荡低牛中</v>
      </c>
      <c r="H9">
        <f>Sheet1!T28</f>
        <v>3</v>
      </c>
      <c r="I9" s="4">
        <f>Sheet1!U28</f>
        <v>2.5862068965517241E-2</v>
      </c>
    </row>
    <row r="10" spans="1:9" x14ac:dyDescent="0.4">
      <c r="A10" t="str">
        <f>Sheet1!S11</f>
        <v>熊高震荡低牛低</v>
      </c>
      <c r="B10">
        <f>Sheet1!T11</f>
        <v>11</v>
      </c>
      <c r="C10" s="4">
        <f>Sheet1!U11</f>
        <v>9.4827586206896547E-2</v>
      </c>
      <c r="D10" t="str">
        <f>Sheet1!S20</f>
        <v>熊中震荡低牛低</v>
      </c>
      <c r="E10">
        <f>Sheet1!T20</f>
        <v>5</v>
      </c>
      <c r="F10" s="4">
        <f>Sheet1!U20</f>
        <v>4.3103448275862072E-2</v>
      </c>
      <c r="G10" t="str">
        <f>Sheet1!S29</f>
        <v>熊低震荡低牛低</v>
      </c>
      <c r="H10">
        <f>Sheet1!T29</f>
        <v>9</v>
      </c>
      <c r="I10" s="4">
        <f>Sheet1!U29</f>
        <v>7.7586206896551727E-2</v>
      </c>
    </row>
    <row r="13" spans="1:9" x14ac:dyDescent="0.4">
      <c r="A13" t="s">
        <v>295</v>
      </c>
      <c r="B13">
        <f>SUM(B2:B3,B5:B6,E2:E3,E5)</f>
        <v>15</v>
      </c>
      <c r="C13" s="4">
        <f>SUM(C2:C3,C5:C6,F2:F3,F5)</f>
        <v>0.12931034482758619</v>
      </c>
    </row>
    <row r="14" spans="1:9" x14ac:dyDescent="0.4">
      <c r="A14" t="s">
        <v>75</v>
      </c>
      <c r="B14">
        <f>SUM(B2:B3,B5,E2)</f>
        <v>10</v>
      </c>
      <c r="C14" s="4">
        <f>SUM(C2:C3,C5,F2)</f>
        <v>8.620689655172413E-2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52"/>
  <sheetViews>
    <sheetView zoomScaleNormal="100" workbookViewId="0">
      <selection activeCell="A13" sqref="A13"/>
    </sheetView>
  </sheetViews>
  <sheetFormatPr defaultRowHeight="13.9" x14ac:dyDescent="0.4"/>
  <cols>
    <col min="1" max="1" width="24.6640625" customWidth="1"/>
    <col min="2" max="2" width="13.86328125" customWidth="1"/>
    <col min="3" max="3" width="14.86328125" bestFit="1" customWidth="1"/>
    <col min="4" max="4" width="21" bestFit="1" customWidth="1"/>
    <col min="5" max="5" width="14.86328125" bestFit="1" customWidth="1"/>
  </cols>
  <sheetData>
    <row r="1" spans="1:16" x14ac:dyDescent="0.4">
      <c r="A1" t="s">
        <v>54</v>
      </c>
      <c r="B1" t="s">
        <v>55</v>
      </c>
      <c r="C1" t="s">
        <v>56</v>
      </c>
      <c r="D1" t="s">
        <v>57</v>
      </c>
      <c r="K1" t="s">
        <v>58</v>
      </c>
      <c r="L1" t="s">
        <v>59</v>
      </c>
      <c r="M1" t="s">
        <v>60</v>
      </c>
      <c r="N1" t="s">
        <v>83</v>
      </c>
      <c r="O1" t="s">
        <v>59</v>
      </c>
      <c r="P1" t="s">
        <v>60</v>
      </c>
    </row>
    <row r="3" spans="1:16" x14ac:dyDescent="0.4">
      <c r="A3" t="s">
        <v>301</v>
      </c>
    </row>
    <row r="4" spans="1:16" x14ac:dyDescent="0.4">
      <c r="A4" t="s">
        <v>63</v>
      </c>
      <c r="B4" t="s">
        <v>64</v>
      </c>
      <c r="C4" t="s">
        <v>37</v>
      </c>
      <c r="D4">
        <v>40708</v>
      </c>
      <c r="K4">
        <v>27.548806941431671</v>
      </c>
      <c r="L4">
        <v>8.5106382978723403</v>
      </c>
      <c r="M4">
        <v>28.211009174311926</v>
      </c>
      <c r="N4">
        <v>1</v>
      </c>
      <c r="O4">
        <v>1</v>
      </c>
      <c r="P4">
        <v>1</v>
      </c>
    </row>
    <row r="5" spans="1:16" x14ac:dyDescent="0.4">
      <c r="A5" t="s">
        <v>84</v>
      </c>
      <c r="B5" t="s">
        <v>85</v>
      </c>
      <c r="C5" t="s">
        <v>37</v>
      </c>
      <c r="D5">
        <v>40997</v>
      </c>
      <c r="K5">
        <v>16.702819956616054</v>
      </c>
      <c r="L5">
        <v>9.2198581560283692</v>
      </c>
      <c r="M5">
        <v>20.183486238532112</v>
      </c>
      <c r="N5">
        <v>1</v>
      </c>
      <c r="O5">
        <v>1</v>
      </c>
      <c r="P5">
        <v>1</v>
      </c>
    </row>
    <row r="6" spans="1:16" x14ac:dyDescent="0.4">
      <c r="A6" t="s">
        <v>86</v>
      </c>
      <c r="B6" t="s">
        <v>87</v>
      </c>
      <c r="C6" t="s">
        <v>37</v>
      </c>
      <c r="D6">
        <v>41512</v>
      </c>
      <c r="K6">
        <v>21.691973969631235</v>
      </c>
      <c r="L6">
        <v>3.0732860520094563</v>
      </c>
      <c r="M6">
        <v>24.541284403669724</v>
      </c>
      <c r="N6">
        <v>1</v>
      </c>
      <c r="O6">
        <v>1</v>
      </c>
      <c r="P6">
        <v>1</v>
      </c>
    </row>
    <row r="7" spans="1:16" x14ac:dyDescent="0.4">
      <c r="A7" t="s">
        <v>88</v>
      </c>
      <c r="B7" t="s">
        <v>89</v>
      </c>
      <c r="C7" t="s">
        <v>37</v>
      </c>
      <c r="D7">
        <v>41528</v>
      </c>
      <c r="K7">
        <v>28.850325379609544</v>
      </c>
      <c r="L7">
        <v>13.947990543735225</v>
      </c>
      <c r="M7">
        <v>13.990825688073395</v>
      </c>
      <c r="N7">
        <v>1</v>
      </c>
      <c r="O7">
        <v>1</v>
      </c>
      <c r="P7">
        <v>1</v>
      </c>
    </row>
    <row r="10" spans="1:16" x14ac:dyDescent="0.4">
      <c r="A10" t="s">
        <v>302</v>
      </c>
    </row>
    <row r="11" spans="1:16" x14ac:dyDescent="0.4">
      <c r="A11" t="s">
        <v>90</v>
      </c>
      <c r="B11" t="s">
        <v>91</v>
      </c>
      <c r="C11" t="s">
        <v>37</v>
      </c>
      <c r="D11">
        <v>38968</v>
      </c>
      <c r="K11">
        <v>22.342733188720175</v>
      </c>
      <c r="L11">
        <v>25.768321513002363</v>
      </c>
      <c r="M11">
        <v>36.238532110091747</v>
      </c>
      <c r="N11">
        <v>1</v>
      </c>
      <c r="O11">
        <v>1</v>
      </c>
      <c r="P11">
        <v>2</v>
      </c>
    </row>
    <row r="12" spans="1:16" x14ac:dyDescent="0.4">
      <c r="A12" t="s">
        <v>92</v>
      </c>
      <c r="B12" t="s">
        <v>93</v>
      </c>
      <c r="C12" t="s">
        <v>37</v>
      </c>
      <c r="D12">
        <v>41488</v>
      </c>
      <c r="K12">
        <v>19.088937093275486</v>
      </c>
      <c r="L12">
        <v>7.3286052009456268</v>
      </c>
      <c r="M12">
        <v>46.559633027522935</v>
      </c>
      <c r="N12">
        <v>1</v>
      </c>
      <c r="O12">
        <v>1</v>
      </c>
      <c r="P12">
        <v>2</v>
      </c>
    </row>
    <row r="15" spans="1:16" x14ac:dyDescent="0.4">
      <c r="A15" t="s">
        <v>303</v>
      </c>
    </row>
    <row r="16" spans="1:16" x14ac:dyDescent="0.4">
      <c r="A16" t="s">
        <v>38</v>
      </c>
      <c r="B16" t="s">
        <v>39</v>
      </c>
      <c r="C16" t="s">
        <v>40</v>
      </c>
      <c r="D16">
        <v>40505</v>
      </c>
      <c r="K16">
        <v>20.183486238532112</v>
      </c>
      <c r="L16">
        <v>40</v>
      </c>
      <c r="M16">
        <v>24.137931034482758</v>
      </c>
      <c r="N16">
        <v>1</v>
      </c>
      <c r="O16">
        <v>2</v>
      </c>
      <c r="P16">
        <v>1</v>
      </c>
    </row>
    <row r="19" spans="1:16" x14ac:dyDescent="0.4">
      <c r="A19" t="s">
        <v>304</v>
      </c>
    </row>
    <row r="20" spans="1:16" x14ac:dyDescent="0.4">
      <c r="A20" t="s">
        <v>95</v>
      </c>
      <c r="B20" t="s">
        <v>96</v>
      </c>
      <c r="C20" t="s">
        <v>37</v>
      </c>
      <c r="D20">
        <v>39231</v>
      </c>
      <c r="K20">
        <v>40.780911062906725</v>
      </c>
      <c r="L20">
        <v>25.531914893617021</v>
      </c>
      <c r="M20">
        <v>11.926605504587156</v>
      </c>
      <c r="N20">
        <v>2</v>
      </c>
      <c r="O20">
        <v>1</v>
      </c>
      <c r="P20">
        <v>1</v>
      </c>
    </row>
    <row r="21" spans="1:16" x14ac:dyDescent="0.4">
      <c r="A21" t="s">
        <v>97</v>
      </c>
      <c r="B21" t="s">
        <v>98</v>
      </c>
      <c r="C21" t="s">
        <v>37</v>
      </c>
      <c r="D21">
        <v>41073</v>
      </c>
      <c r="K21">
        <v>44.034707158351409</v>
      </c>
      <c r="L21">
        <v>14.893617021276595</v>
      </c>
      <c r="M21">
        <v>26.834862385321102</v>
      </c>
      <c r="N21">
        <v>2</v>
      </c>
      <c r="O21">
        <v>1</v>
      </c>
      <c r="P21">
        <v>1</v>
      </c>
    </row>
    <row r="22" spans="1:16" x14ac:dyDescent="0.4">
      <c r="A22" t="s">
        <v>99</v>
      </c>
      <c r="B22" t="s">
        <v>100</v>
      </c>
      <c r="C22" t="s">
        <v>45</v>
      </c>
      <c r="D22">
        <v>41149</v>
      </c>
      <c r="K22">
        <v>40.919037199124723</v>
      </c>
      <c r="L22">
        <v>29.545454545454547</v>
      </c>
      <c r="M22">
        <v>25.294117647058822</v>
      </c>
      <c r="N22">
        <v>2</v>
      </c>
      <c r="O22">
        <v>1</v>
      </c>
      <c r="P22">
        <v>1</v>
      </c>
    </row>
    <row r="25" spans="1:16" x14ac:dyDescent="0.4">
      <c r="A25" t="s">
        <v>305</v>
      </c>
    </row>
    <row r="26" spans="1:16" x14ac:dyDescent="0.4">
      <c r="A26" t="s">
        <v>169</v>
      </c>
      <c r="B26" t="s">
        <v>170</v>
      </c>
      <c r="C26" t="s">
        <v>37</v>
      </c>
      <c r="D26">
        <v>40532</v>
      </c>
      <c r="K26">
        <v>38.611713665943604</v>
      </c>
      <c r="L26">
        <v>45.153664302600475</v>
      </c>
      <c r="M26">
        <v>27.064220183486238</v>
      </c>
      <c r="N26">
        <v>2</v>
      </c>
      <c r="O26">
        <v>2</v>
      </c>
      <c r="P26">
        <v>1</v>
      </c>
    </row>
    <row r="27" spans="1:16" x14ac:dyDescent="0.4">
      <c r="A27" t="s">
        <v>183</v>
      </c>
      <c r="B27" t="s">
        <v>184</v>
      </c>
      <c r="C27" t="s">
        <v>37</v>
      </c>
      <c r="D27">
        <v>41052</v>
      </c>
      <c r="K27">
        <v>36.659436008676792</v>
      </c>
      <c r="L27">
        <v>47.754137115839242</v>
      </c>
      <c r="M27">
        <v>18.348623853211009</v>
      </c>
      <c r="N27">
        <v>2</v>
      </c>
      <c r="O27">
        <v>2</v>
      </c>
      <c r="P27">
        <v>1</v>
      </c>
    </row>
    <row r="30" spans="1:16" x14ac:dyDescent="0.4">
      <c r="A30" t="s">
        <v>306</v>
      </c>
    </row>
    <row r="31" spans="1:16" x14ac:dyDescent="0.4">
      <c r="A31" t="s">
        <v>65</v>
      </c>
      <c r="B31" t="s">
        <v>66</v>
      </c>
      <c r="C31" t="s">
        <v>37</v>
      </c>
      <c r="D31">
        <v>38589</v>
      </c>
      <c r="K31">
        <v>38.177874186550973</v>
      </c>
      <c r="L31">
        <v>23.640661938534279</v>
      </c>
      <c r="M31">
        <v>41.743119266055047</v>
      </c>
      <c r="N31">
        <v>2</v>
      </c>
      <c r="O31">
        <v>1</v>
      </c>
      <c r="P31">
        <v>2</v>
      </c>
    </row>
    <row r="34" spans="1:16" x14ac:dyDescent="0.4">
      <c r="A34" t="s">
        <v>307</v>
      </c>
    </row>
    <row r="35" spans="1:16" x14ac:dyDescent="0.4">
      <c r="A35" t="s">
        <v>101</v>
      </c>
      <c r="B35" t="s">
        <v>102</v>
      </c>
      <c r="C35" t="s">
        <v>37</v>
      </c>
      <c r="D35">
        <v>37565</v>
      </c>
      <c r="K35">
        <v>12.79826464208243</v>
      </c>
      <c r="L35">
        <v>46.335697399527184</v>
      </c>
      <c r="M35">
        <v>49.77064220183486</v>
      </c>
      <c r="N35">
        <v>1</v>
      </c>
      <c r="O35">
        <v>2</v>
      </c>
      <c r="P35">
        <v>2</v>
      </c>
    </row>
    <row r="36" spans="1:16" x14ac:dyDescent="0.4">
      <c r="A36" t="s">
        <v>127</v>
      </c>
      <c r="B36" t="s">
        <v>128</v>
      </c>
      <c r="C36" t="s">
        <v>37</v>
      </c>
      <c r="D36">
        <v>40709</v>
      </c>
      <c r="K36">
        <v>24.078091106290671</v>
      </c>
      <c r="L36">
        <v>42.553191489361701</v>
      </c>
      <c r="M36">
        <v>46.330275229357795</v>
      </c>
      <c r="N36">
        <v>1</v>
      </c>
      <c r="O36">
        <v>2</v>
      </c>
      <c r="P36">
        <v>2</v>
      </c>
    </row>
    <row r="39" spans="1:16" x14ac:dyDescent="0.4">
      <c r="A39" t="s">
        <v>15</v>
      </c>
    </row>
    <row r="40" spans="1:16" x14ac:dyDescent="0.4">
      <c r="A40" t="s">
        <v>48</v>
      </c>
      <c r="B40" t="s">
        <v>49</v>
      </c>
      <c r="C40" t="s">
        <v>37</v>
      </c>
      <c r="D40">
        <v>38672</v>
      </c>
      <c r="K40">
        <v>31.670281995661604</v>
      </c>
      <c r="L40">
        <v>47.5177304964539</v>
      </c>
      <c r="M40">
        <v>30.275229357798164</v>
      </c>
      <c r="N40">
        <v>2</v>
      </c>
      <c r="O40">
        <v>2</v>
      </c>
      <c r="P40">
        <v>2</v>
      </c>
    </row>
    <row r="41" spans="1:16" x14ac:dyDescent="0.4">
      <c r="A41" t="s">
        <v>191</v>
      </c>
      <c r="B41" t="s">
        <v>192</v>
      </c>
      <c r="C41" t="s">
        <v>37</v>
      </c>
      <c r="D41">
        <v>39199</v>
      </c>
      <c r="K41">
        <v>45.553145336225597</v>
      </c>
      <c r="L41">
        <v>38.534278959810877</v>
      </c>
      <c r="M41">
        <v>33.715596330275233</v>
      </c>
      <c r="N41">
        <v>2</v>
      </c>
      <c r="O41">
        <v>2</v>
      </c>
      <c r="P41">
        <v>2</v>
      </c>
    </row>
    <row r="42" spans="1:16" x14ac:dyDescent="0.4">
      <c r="A42" t="s">
        <v>193</v>
      </c>
      <c r="B42" t="s">
        <v>194</v>
      </c>
      <c r="C42" t="s">
        <v>37</v>
      </c>
      <c r="D42">
        <v>40262</v>
      </c>
      <c r="K42">
        <v>34.924078091106288</v>
      </c>
      <c r="L42">
        <v>33.333333333333336</v>
      </c>
      <c r="M42">
        <v>38.532110091743121</v>
      </c>
      <c r="N42">
        <v>2</v>
      </c>
      <c r="O42">
        <v>2</v>
      </c>
      <c r="P42">
        <v>2</v>
      </c>
    </row>
    <row r="52" ht="17.25" customHeight="1" x14ac:dyDescent="0.4"/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75"/>
  <sheetViews>
    <sheetView workbookViewId="0">
      <selection activeCell="D22" sqref="D22"/>
    </sheetView>
  </sheetViews>
  <sheetFormatPr defaultRowHeight="13.9" x14ac:dyDescent="0.4"/>
  <cols>
    <col min="1" max="1" width="10.265625" customWidth="1"/>
    <col min="2" max="2" width="22.33203125" customWidth="1"/>
    <col min="3" max="3" width="17" customWidth="1"/>
    <col min="4" max="4" width="12.265625" customWidth="1"/>
  </cols>
  <sheetData>
    <row r="1" spans="1:16" ht="14.25" customHeight="1" x14ac:dyDescent="0.4">
      <c r="A1" t="s">
        <v>54</v>
      </c>
      <c r="B1" t="s">
        <v>55</v>
      </c>
      <c r="C1" t="s">
        <v>56</v>
      </c>
      <c r="D1" t="s">
        <v>57</v>
      </c>
      <c r="K1" t="s">
        <v>58</v>
      </c>
      <c r="L1" t="s">
        <v>59</v>
      </c>
      <c r="M1" t="s">
        <v>60</v>
      </c>
      <c r="N1" t="s">
        <v>83</v>
      </c>
      <c r="O1" t="s">
        <v>59</v>
      </c>
      <c r="P1" t="s">
        <v>60</v>
      </c>
    </row>
    <row r="2" spans="1:16" ht="14.25" customHeight="1" x14ac:dyDescent="0.4"/>
    <row r="3" spans="1:16" ht="13.5" customHeight="1" x14ac:dyDescent="0.4">
      <c r="A3" t="s">
        <v>296</v>
      </c>
    </row>
    <row r="4" spans="1:16" x14ac:dyDescent="0.4">
      <c r="A4" t="s">
        <v>63</v>
      </c>
      <c r="B4" t="s">
        <v>64</v>
      </c>
      <c r="C4" t="s">
        <v>37</v>
      </c>
      <c r="D4">
        <v>40708</v>
      </c>
      <c r="K4">
        <v>27.548806941431671</v>
      </c>
      <c r="L4">
        <v>8.5106382978723403</v>
      </c>
      <c r="M4">
        <v>28.211009174311926</v>
      </c>
      <c r="N4">
        <v>1</v>
      </c>
      <c r="O4">
        <v>1</v>
      </c>
      <c r="P4">
        <v>1</v>
      </c>
    </row>
    <row r="5" spans="1:16" x14ac:dyDescent="0.4">
      <c r="A5" t="s">
        <v>84</v>
      </c>
      <c r="B5" t="s">
        <v>85</v>
      </c>
      <c r="C5" t="s">
        <v>37</v>
      </c>
      <c r="D5">
        <v>40997</v>
      </c>
      <c r="K5">
        <v>16.702819956616054</v>
      </c>
      <c r="L5">
        <v>9.2198581560283692</v>
      </c>
      <c r="M5">
        <v>20.183486238532112</v>
      </c>
      <c r="N5">
        <v>1</v>
      </c>
      <c r="O5">
        <v>1</v>
      </c>
      <c r="P5">
        <v>1</v>
      </c>
    </row>
    <row r="6" spans="1:16" x14ac:dyDescent="0.4">
      <c r="A6" t="s">
        <v>86</v>
      </c>
      <c r="B6" t="s">
        <v>87</v>
      </c>
      <c r="C6" t="s">
        <v>37</v>
      </c>
      <c r="D6">
        <v>41512</v>
      </c>
      <c r="K6">
        <v>21.691973969631235</v>
      </c>
      <c r="L6">
        <v>3.0732860520094563</v>
      </c>
      <c r="M6">
        <v>24.541284403669724</v>
      </c>
      <c r="N6">
        <v>1</v>
      </c>
      <c r="O6">
        <v>1</v>
      </c>
      <c r="P6">
        <v>1</v>
      </c>
    </row>
    <row r="7" spans="1:16" x14ac:dyDescent="0.4">
      <c r="A7" t="s">
        <v>88</v>
      </c>
      <c r="B7" t="s">
        <v>89</v>
      </c>
      <c r="C7" t="s">
        <v>37</v>
      </c>
      <c r="D7">
        <v>41528</v>
      </c>
      <c r="K7">
        <v>28.850325379609544</v>
      </c>
      <c r="L7">
        <v>13.947990543735225</v>
      </c>
      <c r="M7">
        <v>13.990825688073395</v>
      </c>
      <c r="N7">
        <v>1</v>
      </c>
      <c r="O7">
        <v>1</v>
      </c>
      <c r="P7">
        <v>1</v>
      </c>
    </row>
    <row r="8" spans="1:16" x14ac:dyDescent="0.4">
      <c r="A8" t="s">
        <v>90</v>
      </c>
      <c r="B8" t="s">
        <v>91</v>
      </c>
      <c r="C8" t="s">
        <v>37</v>
      </c>
      <c r="D8">
        <v>38968</v>
      </c>
      <c r="K8">
        <v>22.342733188720175</v>
      </c>
      <c r="L8">
        <v>25.768321513002363</v>
      </c>
      <c r="M8">
        <v>36.238532110091747</v>
      </c>
      <c r="N8">
        <v>1</v>
      </c>
      <c r="O8">
        <v>1</v>
      </c>
      <c r="P8">
        <v>2</v>
      </c>
    </row>
    <row r="9" spans="1:16" x14ac:dyDescent="0.4">
      <c r="A9" t="s">
        <v>92</v>
      </c>
      <c r="B9" t="s">
        <v>93</v>
      </c>
      <c r="C9" t="s">
        <v>37</v>
      </c>
      <c r="D9">
        <v>41488</v>
      </c>
      <c r="K9">
        <v>19.088937093275486</v>
      </c>
      <c r="L9">
        <v>7.3286052009456268</v>
      </c>
      <c r="M9">
        <v>46.559633027522935</v>
      </c>
      <c r="N9">
        <v>1</v>
      </c>
      <c r="O9">
        <v>1</v>
      </c>
      <c r="P9">
        <v>2</v>
      </c>
    </row>
    <row r="10" spans="1:16" x14ac:dyDescent="0.4">
      <c r="A10" t="s">
        <v>38</v>
      </c>
      <c r="B10" t="s">
        <v>39</v>
      </c>
      <c r="C10" t="s">
        <v>40</v>
      </c>
      <c r="D10">
        <v>40505</v>
      </c>
      <c r="K10">
        <v>20.183486238532112</v>
      </c>
      <c r="L10">
        <v>40</v>
      </c>
      <c r="M10">
        <v>24.137931034482758</v>
      </c>
      <c r="N10">
        <v>1</v>
      </c>
      <c r="O10">
        <v>2</v>
      </c>
      <c r="P10">
        <v>1</v>
      </c>
    </row>
    <row r="11" spans="1:16" x14ac:dyDescent="0.4">
      <c r="A11" t="s">
        <v>95</v>
      </c>
      <c r="B11" t="s">
        <v>96</v>
      </c>
      <c r="C11" t="s">
        <v>37</v>
      </c>
      <c r="D11">
        <v>39231</v>
      </c>
      <c r="K11">
        <v>40.780911062906725</v>
      </c>
      <c r="L11">
        <v>25.531914893617021</v>
      </c>
      <c r="M11">
        <v>11.926605504587156</v>
      </c>
      <c r="N11">
        <v>2</v>
      </c>
      <c r="O11">
        <v>1</v>
      </c>
      <c r="P11">
        <v>1</v>
      </c>
    </row>
    <row r="12" spans="1:16" ht="15" customHeight="1" x14ac:dyDescent="0.4">
      <c r="A12" t="s">
        <v>97</v>
      </c>
      <c r="B12" t="s">
        <v>98</v>
      </c>
      <c r="C12" t="s">
        <v>37</v>
      </c>
      <c r="D12">
        <v>41073</v>
      </c>
      <c r="K12">
        <v>44.034707158351409</v>
      </c>
      <c r="L12">
        <v>14.893617021276595</v>
      </c>
      <c r="M12">
        <v>26.834862385321102</v>
      </c>
      <c r="N12">
        <v>2</v>
      </c>
      <c r="O12">
        <v>1</v>
      </c>
      <c r="P12">
        <v>1</v>
      </c>
    </row>
    <row r="13" spans="1:16" x14ac:dyDescent="0.4">
      <c r="A13" t="s">
        <v>99</v>
      </c>
      <c r="B13" t="s">
        <v>100</v>
      </c>
      <c r="C13" t="s">
        <v>45</v>
      </c>
      <c r="D13">
        <v>41149</v>
      </c>
      <c r="K13">
        <v>40.919037199124723</v>
      </c>
      <c r="L13">
        <v>29.545454545454547</v>
      </c>
      <c r="M13">
        <v>25.294117647058822</v>
      </c>
      <c r="N13">
        <v>2</v>
      </c>
      <c r="O13">
        <v>1</v>
      </c>
      <c r="P13">
        <v>1</v>
      </c>
    </row>
    <row r="16" spans="1:16" x14ac:dyDescent="0.4">
      <c r="A16" t="s">
        <v>297</v>
      </c>
    </row>
    <row r="17" spans="1:16" x14ac:dyDescent="0.4">
      <c r="A17" t="s">
        <v>101</v>
      </c>
      <c r="B17" t="s">
        <v>102</v>
      </c>
      <c r="C17" t="s">
        <v>37</v>
      </c>
      <c r="D17">
        <v>37565</v>
      </c>
      <c r="K17">
        <v>12.79826464208243</v>
      </c>
      <c r="L17">
        <v>46.335697399527184</v>
      </c>
      <c r="M17">
        <v>49.77064220183486</v>
      </c>
      <c r="N17">
        <v>1</v>
      </c>
      <c r="O17">
        <v>2</v>
      </c>
      <c r="P17">
        <v>2</v>
      </c>
    </row>
    <row r="18" spans="1:16" x14ac:dyDescent="0.4">
      <c r="A18" t="s">
        <v>103</v>
      </c>
      <c r="B18" t="s">
        <v>104</v>
      </c>
      <c r="C18" t="s">
        <v>37</v>
      </c>
      <c r="D18">
        <v>37817</v>
      </c>
      <c r="K18">
        <v>28.199566160520607</v>
      </c>
      <c r="L18">
        <v>30.969267139479907</v>
      </c>
      <c r="M18">
        <v>83.944954128440372</v>
      </c>
      <c r="N18">
        <v>1</v>
      </c>
      <c r="O18">
        <v>2</v>
      </c>
      <c r="P18">
        <v>3</v>
      </c>
    </row>
    <row r="19" spans="1:16" x14ac:dyDescent="0.4">
      <c r="A19" t="s">
        <v>105</v>
      </c>
      <c r="B19" t="s">
        <v>106</v>
      </c>
      <c r="C19" t="s">
        <v>37</v>
      </c>
      <c r="D19">
        <v>38106</v>
      </c>
      <c r="K19">
        <v>12.147505422993492</v>
      </c>
      <c r="L19">
        <v>79.196217494089836</v>
      </c>
      <c r="M19">
        <v>96.330275229357795</v>
      </c>
      <c r="N19">
        <v>1</v>
      </c>
      <c r="O19">
        <v>3</v>
      </c>
      <c r="P19">
        <v>3</v>
      </c>
    </row>
    <row r="20" spans="1:16" x14ac:dyDescent="0.4">
      <c r="A20" t="s">
        <v>107</v>
      </c>
      <c r="B20" t="s">
        <v>108</v>
      </c>
      <c r="C20" t="s">
        <v>37</v>
      </c>
      <c r="D20">
        <v>38160</v>
      </c>
      <c r="K20">
        <v>23.861171366594359</v>
      </c>
      <c r="L20">
        <v>41.843971631205676</v>
      </c>
      <c r="M20">
        <v>75.688073394495419</v>
      </c>
      <c r="N20">
        <v>1</v>
      </c>
      <c r="O20">
        <v>2</v>
      </c>
      <c r="P20">
        <v>3</v>
      </c>
    </row>
    <row r="21" spans="1:16" x14ac:dyDescent="0.4">
      <c r="A21" t="s">
        <v>41</v>
      </c>
      <c r="B21" t="s">
        <v>42</v>
      </c>
      <c r="C21" t="s">
        <v>37</v>
      </c>
      <c r="D21">
        <v>38714</v>
      </c>
      <c r="K21">
        <v>4.1214750542299345</v>
      </c>
      <c r="L21">
        <v>59.574468085106382</v>
      </c>
      <c r="M21">
        <v>91.972477064220186</v>
      </c>
      <c r="N21">
        <v>1</v>
      </c>
      <c r="O21">
        <v>3</v>
      </c>
      <c r="P21">
        <v>3</v>
      </c>
    </row>
    <row r="22" spans="1:16" x14ac:dyDescent="0.4">
      <c r="A22" t="s">
        <v>109</v>
      </c>
      <c r="B22" t="s">
        <v>110</v>
      </c>
      <c r="C22" t="s">
        <v>37</v>
      </c>
      <c r="D22">
        <v>38836</v>
      </c>
      <c r="K22">
        <v>28.416485900216919</v>
      </c>
      <c r="L22">
        <v>40.189125295508276</v>
      </c>
      <c r="M22">
        <v>55.73394495412844</v>
      </c>
      <c r="N22">
        <v>1</v>
      </c>
      <c r="O22">
        <v>2</v>
      </c>
      <c r="P22">
        <v>3</v>
      </c>
    </row>
    <row r="23" spans="1:16" x14ac:dyDescent="0.4">
      <c r="A23" t="s">
        <v>111</v>
      </c>
      <c r="B23" t="s">
        <v>112</v>
      </c>
      <c r="C23" t="s">
        <v>37</v>
      </c>
      <c r="D23">
        <v>39037</v>
      </c>
      <c r="K23">
        <v>10.412147505422993</v>
      </c>
      <c r="L23">
        <v>81.560283687943269</v>
      </c>
      <c r="M23">
        <v>90.596330275229363</v>
      </c>
      <c r="N23">
        <v>1</v>
      </c>
      <c r="O23">
        <v>3</v>
      </c>
      <c r="P23">
        <v>3</v>
      </c>
    </row>
    <row r="24" spans="1:16" x14ac:dyDescent="0.4">
      <c r="A24" t="s">
        <v>113</v>
      </c>
      <c r="B24" t="s">
        <v>114</v>
      </c>
      <c r="C24" t="s">
        <v>37</v>
      </c>
      <c r="D24">
        <v>39042</v>
      </c>
      <c r="K24">
        <v>29.284164859002168</v>
      </c>
      <c r="L24">
        <v>40.425531914893618</v>
      </c>
      <c r="M24">
        <v>74.311926605504581</v>
      </c>
      <c r="N24">
        <v>1</v>
      </c>
      <c r="O24">
        <v>2</v>
      </c>
      <c r="P24">
        <v>3</v>
      </c>
    </row>
    <row r="25" spans="1:16" x14ac:dyDescent="0.4">
      <c r="A25" t="s">
        <v>115</v>
      </c>
      <c r="B25" t="s">
        <v>116</v>
      </c>
      <c r="C25" t="s">
        <v>37</v>
      </c>
      <c r="D25">
        <v>39196</v>
      </c>
      <c r="K25">
        <v>22.776572668112799</v>
      </c>
      <c r="L25">
        <v>40.66193853427896</v>
      </c>
      <c r="M25">
        <v>85.091743119266056</v>
      </c>
      <c r="N25">
        <v>1</v>
      </c>
      <c r="O25">
        <v>2</v>
      </c>
      <c r="P25">
        <v>3</v>
      </c>
    </row>
    <row r="26" spans="1:16" x14ac:dyDescent="0.4">
      <c r="A26" t="s">
        <v>117</v>
      </c>
      <c r="B26" t="s">
        <v>118</v>
      </c>
      <c r="C26" t="s">
        <v>37</v>
      </c>
      <c r="D26">
        <v>39246</v>
      </c>
      <c r="K26">
        <v>7.809110629067245</v>
      </c>
      <c r="L26">
        <v>59.101654846335698</v>
      </c>
      <c r="M26">
        <v>86.697247706422019</v>
      </c>
      <c r="N26">
        <v>1</v>
      </c>
      <c r="O26">
        <v>3</v>
      </c>
      <c r="P26">
        <v>3</v>
      </c>
    </row>
    <row r="27" spans="1:16" x14ac:dyDescent="0.4">
      <c r="A27" t="s">
        <v>119</v>
      </c>
      <c r="B27" t="s">
        <v>120</v>
      </c>
      <c r="C27" t="s">
        <v>37</v>
      </c>
      <c r="D27">
        <v>39296</v>
      </c>
      <c r="K27">
        <v>9.3275488069414312</v>
      </c>
      <c r="L27">
        <v>63.120567375886523</v>
      </c>
      <c r="M27">
        <v>79.587155963302749</v>
      </c>
      <c r="N27">
        <v>1</v>
      </c>
      <c r="O27">
        <v>3</v>
      </c>
      <c r="P27">
        <v>3</v>
      </c>
    </row>
    <row r="28" spans="1:16" x14ac:dyDescent="0.4">
      <c r="A28" t="s">
        <v>121</v>
      </c>
      <c r="B28" t="s">
        <v>122</v>
      </c>
      <c r="C28" t="s">
        <v>37</v>
      </c>
      <c r="D28">
        <v>39300</v>
      </c>
      <c r="K28">
        <v>23.427331887201735</v>
      </c>
      <c r="L28">
        <v>77.777777777777771</v>
      </c>
      <c r="M28">
        <v>80.275229357798167</v>
      </c>
      <c r="N28">
        <v>1</v>
      </c>
      <c r="O28">
        <v>3</v>
      </c>
      <c r="P28">
        <v>3</v>
      </c>
    </row>
    <row r="29" spans="1:16" x14ac:dyDescent="0.4">
      <c r="A29" t="s">
        <v>46</v>
      </c>
      <c r="B29" t="s">
        <v>47</v>
      </c>
      <c r="C29" t="s">
        <v>37</v>
      </c>
      <c r="D29">
        <v>39618</v>
      </c>
      <c r="K29">
        <v>5.2060737527114966</v>
      </c>
      <c r="L29">
        <v>30.49645390070922</v>
      </c>
      <c r="M29">
        <v>95.642201834862391</v>
      </c>
      <c r="N29">
        <v>1</v>
      </c>
      <c r="O29">
        <v>2</v>
      </c>
      <c r="P29">
        <v>3</v>
      </c>
    </row>
    <row r="30" spans="1:16" x14ac:dyDescent="0.4">
      <c r="A30" t="s">
        <v>52</v>
      </c>
      <c r="B30" t="s">
        <v>53</v>
      </c>
      <c r="C30" t="s">
        <v>37</v>
      </c>
      <c r="D30">
        <v>39731</v>
      </c>
      <c r="K30">
        <v>21.90889370932755</v>
      </c>
      <c r="L30">
        <v>83.687943262411352</v>
      </c>
      <c r="M30">
        <v>47.018348623853214</v>
      </c>
      <c r="N30">
        <v>1</v>
      </c>
      <c r="O30">
        <v>3</v>
      </c>
      <c r="P30">
        <v>2</v>
      </c>
    </row>
    <row r="31" spans="1:16" x14ac:dyDescent="0.4">
      <c r="A31" t="s">
        <v>50</v>
      </c>
      <c r="B31" t="s">
        <v>51</v>
      </c>
      <c r="C31" t="s">
        <v>37</v>
      </c>
      <c r="D31">
        <v>39778</v>
      </c>
      <c r="K31">
        <v>11.93058568329718</v>
      </c>
      <c r="L31">
        <v>53.191489361702125</v>
      </c>
      <c r="M31">
        <v>76.834862385321102</v>
      </c>
      <c r="N31">
        <v>1</v>
      </c>
      <c r="O31">
        <v>3</v>
      </c>
      <c r="P31">
        <v>3</v>
      </c>
    </row>
    <row r="32" spans="1:16" x14ac:dyDescent="0.4">
      <c r="A32" t="s">
        <v>123</v>
      </c>
      <c r="B32" t="s">
        <v>124</v>
      </c>
      <c r="C32" t="s">
        <v>37</v>
      </c>
      <c r="D32">
        <v>40282</v>
      </c>
      <c r="K32">
        <v>11.713665943600867</v>
      </c>
      <c r="L32">
        <v>92.198581560283685</v>
      </c>
      <c r="M32">
        <v>49.541284403669728</v>
      </c>
      <c r="N32">
        <v>1</v>
      </c>
      <c r="O32">
        <v>3</v>
      </c>
      <c r="P32">
        <v>2</v>
      </c>
    </row>
    <row r="33" spans="1:16" x14ac:dyDescent="0.4">
      <c r="A33" t="s">
        <v>125</v>
      </c>
      <c r="B33" t="s">
        <v>126</v>
      </c>
      <c r="C33" t="s">
        <v>40</v>
      </c>
      <c r="D33">
        <v>40410</v>
      </c>
      <c r="K33">
        <v>15.596330275229358</v>
      </c>
      <c r="L33">
        <v>70</v>
      </c>
      <c r="M33">
        <v>96.551724137931032</v>
      </c>
      <c r="N33">
        <v>1</v>
      </c>
      <c r="O33">
        <v>3</v>
      </c>
      <c r="P33">
        <v>3</v>
      </c>
    </row>
    <row r="34" spans="1:16" x14ac:dyDescent="0.4">
      <c r="A34" t="s">
        <v>127</v>
      </c>
      <c r="B34" t="s">
        <v>128</v>
      </c>
      <c r="C34" t="s">
        <v>37</v>
      </c>
      <c r="D34">
        <v>40709</v>
      </c>
      <c r="K34">
        <v>24.078091106290671</v>
      </c>
      <c r="L34">
        <v>42.553191489361701</v>
      </c>
      <c r="M34">
        <v>46.330275229357795</v>
      </c>
      <c r="N34">
        <v>1</v>
      </c>
      <c r="O34">
        <v>2</v>
      </c>
      <c r="P34">
        <v>2</v>
      </c>
    </row>
    <row r="35" spans="1:16" x14ac:dyDescent="0.4">
      <c r="A35" t="s">
        <v>67</v>
      </c>
      <c r="B35" t="s">
        <v>68</v>
      </c>
      <c r="C35" t="s">
        <v>37</v>
      </c>
      <c r="D35">
        <v>40771</v>
      </c>
      <c r="K35">
        <v>22.993492407809111</v>
      </c>
      <c r="L35">
        <v>31.205673758865249</v>
      </c>
      <c r="M35">
        <v>97.018348623853214</v>
      </c>
      <c r="N35">
        <v>1</v>
      </c>
      <c r="O35">
        <v>2</v>
      </c>
      <c r="P35">
        <v>3</v>
      </c>
    </row>
    <row r="36" spans="1:16" x14ac:dyDescent="0.4">
      <c r="A36" t="s">
        <v>43</v>
      </c>
      <c r="B36" t="s">
        <v>44</v>
      </c>
      <c r="C36" t="s">
        <v>37</v>
      </c>
      <c r="D36">
        <v>40869</v>
      </c>
      <c r="K36">
        <v>6.2906724511930587</v>
      </c>
      <c r="L36">
        <v>56.973995271867615</v>
      </c>
      <c r="M36">
        <v>94.954128440366972</v>
      </c>
      <c r="N36">
        <v>1</v>
      </c>
      <c r="O36">
        <v>3</v>
      </c>
      <c r="P36">
        <v>3</v>
      </c>
    </row>
    <row r="37" spans="1:16" x14ac:dyDescent="0.4">
      <c r="A37" t="s">
        <v>129</v>
      </c>
      <c r="B37" t="s">
        <v>130</v>
      </c>
      <c r="C37" t="s">
        <v>37</v>
      </c>
      <c r="D37">
        <v>41142</v>
      </c>
      <c r="K37">
        <v>23.644251626898047</v>
      </c>
      <c r="L37">
        <v>60.047281323877066</v>
      </c>
      <c r="M37">
        <v>89.908256880733944</v>
      </c>
      <c r="N37">
        <v>1</v>
      </c>
      <c r="O37">
        <v>3</v>
      </c>
      <c r="P37">
        <v>3</v>
      </c>
    </row>
    <row r="38" spans="1:16" x14ac:dyDescent="0.4">
      <c r="A38" t="s">
        <v>131</v>
      </c>
      <c r="B38" t="s">
        <v>132</v>
      </c>
      <c r="C38" t="s">
        <v>37</v>
      </c>
      <c r="D38">
        <v>41352</v>
      </c>
      <c r="K38">
        <v>29.501084598698483</v>
      </c>
      <c r="L38">
        <v>30.260047281323878</v>
      </c>
      <c r="M38">
        <v>90.137614678899084</v>
      </c>
      <c r="N38">
        <v>1</v>
      </c>
      <c r="O38">
        <v>2</v>
      </c>
      <c r="P38">
        <v>3</v>
      </c>
    </row>
    <row r="39" spans="1:16" x14ac:dyDescent="0.4">
      <c r="A39" t="s">
        <v>61</v>
      </c>
      <c r="B39" t="s">
        <v>62</v>
      </c>
      <c r="C39" t="s">
        <v>37</v>
      </c>
      <c r="D39">
        <v>41439</v>
      </c>
      <c r="K39">
        <v>19.305856832971802</v>
      </c>
      <c r="L39">
        <v>56.737588652482266</v>
      </c>
      <c r="M39">
        <v>79.128440366972484</v>
      </c>
      <c r="N39">
        <v>1</v>
      </c>
      <c r="O39">
        <v>3</v>
      </c>
      <c r="P39">
        <v>3</v>
      </c>
    </row>
    <row r="42" spans="1:16" x14ac:dyDescent="0.4">
      <c r="A42" t="s">
        <v>298</v>
      </c>
    </row>
    <row r="43" spans="1:16" x14ac:dyDescent="0.4">
      <c r="A43" t="s">
        <v>65</v>
      </c>
      <c r="B43" t="s">
        <v>66</v>
      </c>
      <c r="C43" t="s">
        <v>37</v>
      </c>
      <c r="D43">
        <v>38589</v>
      </c>
      <c r="K43">
        <v>38.177874186550973</v>
      </c>
      <c r="L43">
        <v>23.640661938534279</v>
      </c>
      <c r="M43">
        <v>41.743119266055047</v>
      </c>
      <c r="N43">
        <v>2</v>
      </c>
      <c r="O43">
        <v>1</v>
      </c>
      <c r="P43">
        <v>2</v>
      </c>
    </row>
    <row r="44" spans="1:16" x14ac:dyDescent="0.4">
      <c r="A44" t="s">
        <v>133</v>
      </c>
      <c r="B44" t="s">
        <v>134</v>
      </c>
      <c r="C44" t="s">
        <v>37</v>
      </c>
      <c r="D44">
        <v>38673</v>
      </c>
      <c r="K44">
        <v>66.594360086767892</v>
      </c>
      <c r="L44">
        <v>6.1465721040189125</v>
      </c>
      <c r="M44">
        <v>33.256880733944953</v>
      </c>
      <c r="N44">
        <v>3</v>
      </c>
      <c r="O44">
        <v>1</v>
      </c>
      <c r="P44">
        <v>2</v>
      </c>
    </row>
    <row r="45" spans="1:16" x14ac:dyDescent="0.4">
      <c r="A45" t="s">
        <v>135</v>
      </c>
      <c r="B45" t="s">
        <v>136</v>
      </c>
      <c r="C45" t="s">
        <v>37</v>
      </c>
      <c r="D45">
        <v>38705</v>
      </c>
      <c r="K45">
        <v>47.288503253796094</v>
      </c>
      <c r="L45">
        <v>24.113475177304963</v>
      </c>
      <c r="M45">
        <v>65.366972477064223</v>
      </c>
      <c r="N45">
        <v>2</v>
      </c>
      <c r="O45">
        <v>1</v>
      </c>
      <c r="P45">
        <v>3</v>
      </c>
    </row>
    <row r="46" spans="1:16" x14ac:dyDescent="0.4">
      <c r="A46" t="s">
        <v>137</v>
      </c>
      <c r="B46" t="s">
        <v>138</v>
      </c>
      <c r="C46" t="s">
        <v>37</v>
      </c>
      <c r="D46">
        <v>38974</v>
      </c>
      <c r="K46">
        <v>67.245119305856832</v>
      </c>
      <c r="L46">
        <v>26.477541371158392</v>
      </c>
      <c r="M46">
        <v>58.715596330275233</v>
      </c>
      <c r="N46">
        <v>3</v>
      </c>
      <c r="O46">
        <v>1</v>
      </c>
      <c r="P46">
        <v>3</v>
      </c>
    </row>
    <row r="47" spans="1:16" x14ac:dyDescent="0.4">
      <c r="A47" t="s">
        <v>139</v>
      </c>
      <c r="B47" t="s">
        <v>140</v>
      </c>
      <c r="C47" t="s">
        <v>45</v>
      </c>
      <c r="D47">
        <v>39624</v>
      </c>
      <c r="K47">
        <v>87.964989059080963</v>
      </c>
      <c r="L47">
        <v>18.939393939393938</v>
      </c>
      <c r="M47">
        <v>40</v>
      </c>
      <c r="N47">
        <v>3</v>
      </c>
      <c r="O47">
        <v>1</v>
      </c>
      <c r="P47">
        <v>2</v>
      </c>
    </row>
    <row r="48" spans="1:16" x14ac:dyDescent="0.4">
      <c r="A48" t="s">
        <v>141</v>
      </c>
      <c r="B48" t="s">
        <v>142</v>
      </c>
      <c r="C48" t="s">
        <v>45</v>
      </c>
      <c r="D48">
        <v>39654</v>
      </c>
      <c r="K48">
        <v>54.048140043763674</v>
      </c>
      <c r="L48">
        <v>23.484848484848484</v>
      </c>
      <c r="M48">
        <v>61.176470588235297</v>
      </c>
      <c r="N48">
        <v>3</v>
      </c>
      <c r="O48">
        <v>1</v>
      </c>
      <c r="P48">
        <v>3</v>
      </c>
    </row>
    <row r="49" spans="1:16" x14ac:dyDescent="0.4">
      <c r="A49" t="s">
        <v>143</v>
      </c>
      <c r="B49" t="s">
        <v>144</v>
      </c>
      <c r="C49" t="s">
        <v>37</v>
      </c>
      <c r="D49">
        <v>41023</v>
      </c>
      <c r="K49">
        <v>37.960954446854664</v>
      </c>
      <c r="L49">
        <v>19.148936170212767</v>
      </c>
      <c r="M49">
        <v>58.256880733944953</v>
      </c>
      <c r="N49">
        <v>2</v>
      </c>
      <c r="O49">
        <v>1</v>
      </c>
      <c r="P49">
        <v>3</v>
      </c>
    </row>
    <row r="50" spans="1:16" x14ac:dyDescent="0.4">
      <c r="A50" t="s">
        <v>145</v>
      </c>
      <c r="B50" t="s">
        <v>146</v>
      </c>
      <c r="C50" t="s">
        <v>37</v>
      </c>
      <c r="D50">
        <v>41135</v>
      </c>
      <c r="K50">
        <v>37.52711496746204</v>
      </c>
      <c r="L50">
        <v>16.07565011820331</v>
      </c>
      <c r="M50">
        <v>81.192660550458712</v>
      </c>
      <c r="N50">
        <v>2</v>
      </c>
      <c r="O50">
        <v>1</v>
      </c>
      <c r="P50">
        <v>3</v>
      </c>
    </row>
    <row r="51" spans="1:16" x14ac:dyDescent="0.4">
      <c r="A51" t="s">
        <v>147</v>
      </c>
      <c r="B51" t="s">
        <v>148</v>
      </c>
      <c r="C51" t="s">
        <v>45</v>
      </c>
      <c r="D51">
        <v>41639</v>
      </c>
      <c r="K51">
        <v>44.201312910284464</v>
      </c>
      <c r="L51">
        <v>10.606060606060606</v>
      </c>
      <c r="M51">
        <v>94.705882352941174</v>
      </c>
      <c r="N51">
        <v>2</v>
      </c>
      <c r="O51">
        <v>1</v>
      </c>
      <c r="P51">
        <v>3</v>
      </c>
    </row>
    <row r="54" spans="1:16" x14ac:dyDescent="0.4">
      <c r="A54" t="s">
        <v>299</v>
      </c>
    </row>
    <row r="55" spans="1:16" x14ac:dyDescent="0.4">
      <c r="A55" t="s">
        <v>149</v>
      </c>
      <c r="B55" t="s">
        <v>150</v>
      </c>
      <c r="C55" t="s">
        <v>94</v>
      </c>
      <c r="D55">
        <v>37841</v>
      </c>
      <c r="K55">
        <v>61.111111111111114</v>
      </c>
      <c r="L55">
        <v>55.555555555555557</v>
      </c>
      <c r="M55">
        <v>11.111111111111111</v>
      </c>
      <c r="N55">
        <v>3</v>
      </c>
      <c r="O55">
        <v>3</v>
      </c>
      <c r="P55">
        <v>1</v>
      </c>
    </row>
    <row r="56" spans="1:16" x14ac:dyDescent="0.4">
      <c r="A56" t="s">
        <v>151</v>
      </c>
      <c r="B56" t="s">
        <v>152</v>
      </c>
      <c r="C56" t="s">
        <v>37</v>
      </c>
      <c r="D56">
        <v>38413</v>
      </c>
      <c r="K56">
        <v>77.006507592190886</v>
      </c>
      <c r="L56">
        <v>75.886524822695037</v>
      </c>
      <c r="M56">
        <v>15.36697247706422</v>
      </c>
      <c r="N56">
        <v>3</v>
      </c>
      <c r="O56">
        <v>3</v>
      </c>
      <c r="P56">
        <v>1</v>
      </c>
    </row>
    <row r="57" spans="1:16" x14ac:dyDescent="0.4">
      <c r="A57" t="s">
        <v>153</v>
      </c>
      <c r="B57" t="s">
        <v>154</v>
      </c>
      <c r="C57" t="s">
        <v>37</v>
      </c>
      <c r="D57">
        <v>38622</v>
      </c>
      <c r="K57">
        <v>47.939262472885034</v>
      </c>
      <c r="L57">
        <v>80.614657210401887</v>
      </c>
      <c r="M57">
        <v>26.605504587155963</v>
      </c>
      <c r="N57">
        <v>2</v>
      </c>
      <c r="O57">
        <v>3</v>
      </c>
      <c r="P57">
        <v>1</v>
      </c>
    </row>
    <row r="58" spans="1:16" x14ac:dyDescent="0.4">
      <c r="A58" t="s">
        <v>155</v>
      </c>
      <c r="B58" t="s">
        <v>156</v>
      </c>
      <c r="C58" t="s">
        <v>37</v>
      </c>
      <c r="D58">
        <v>38793</v>
      </c>
      <c r="K58">
        <v>75.921908893709329</v>
      </c>
      <c r="L58">
        <v>95.27186761229315</v>
      </c>
      <c r="M58">
        <v>13.532110091743119</v>
      </c>
      <c r="N58">
        <v>3</v>
      </c>
      <c r="O58">
        <v>3</v>
      </c>
      <c r="P58">
        <v>1</v>
      </c>
    </row>
    <row r="59" spans="1:16" x14ac:dyDescent="0.4">
      <c r="A59" t="s">
        <v>157</v>
      </c>
      <c r="B59" t="s">
        <v>158</v>
      </c>
      <c r="C59" t="s">
        <v>94</v>
      </c>
      <c r="D59">
        <v>38833</v>
      </c>
      <c r="K59">
        <v>100</v>
      </c>
      <c r="L59">
        <v>50</v>
      </c>
      <c r="M59">
        <v>5.5555555555555554</v>
      </c>
      <c r="N59">
        <v>3</v>
      </c>
      <c r="O59">
        <v>3</v>
      </c>
      <c r="P59">
        <v>1</v>
      </c>
    </row>
    <row r="60" spans="1:16" x14ac:dyDescent="0.4">
      <c r="A60" t="s">
        <v>159</v>
      </c>
      <c r="B60" t="s">
        <v>160</v>
      </c>
      <c r="C60" t="s">
        <v>37</v>
      </c>
      <c r="D60">
        <v>38881</v>
      </c>
      <c r="K60">
        <v>60.303687635574839</v>
      </c>
      <c r="L60">
        <v>86.288416075650119</v>
      </c>
      <c r="M60">
        <v>19.036697247706421</v>
      </c>
      <c r="N60">
        <v>3</v>
      </c>
      <c r="O60">
        <v>3</v>
      </c>
      <c r="P60">
        <v>1</v>
      </c>
    </row>
    <row r="61" spans="1:16" x14ac:dyDescent="0.4">
      <c r="A61" t="s">
        <v>161</v>
      </c>
      <c r="B61" t="s">
        <v>162</v>
      </c>
      <c r="C61" t="s">
        <v>94</v>
      </c>
      <c r="D61">
        <v>38923</v>
      </c>
      <c r="K61">
        <v>88.888888888888886</v>
      </c>
      <c r="L61">
        <v>94.444444444444443</v>
      </c>
      <c r="M61">
        <v>27.777777777777779</v>
      </c>
      <c r="N61">
        <v>3</v>
      </c>
      <c r="O61">
        <v>3</v>
      </c>
      <c r="P61">
        <v>1</v>
      </c>
    </row>
    <row r="62" spans="1:16" x14ac:dyDescent="0.4">
      <c r="A62" t="s">
        <v>163</v>
      </c>
      <c r="B62" t="s">
        <v>164</v>
      </c>
      <c r="C62" t="s">
        <v>37</v>
      </c>
      <c r="D62">
        <v>39434</v>
      </c>
      <c r="K62">
        <v>92.407809110629074</v>
      </c>
      <c r="L62">
        <v>67.848699763593388</v>
      </c>
      <c r="M62">
        <v>6.4220183486238529</v>
      </c>
      <c r="N62">
        <v>3</v>
      </c>
      <c r="O62">
        <v>3</v>
      </c>
      <c r="P62">
        <v>1</v>
      </c>
    </row>
    <row r="63" spans="1:16" x14ac:dyDescent="0.4">
      <c r="A63" t="s">
        <v>165</v>
      </c>
      <c r="B63" t="s">
        <v>166</v>
      </c>
      <c r="C63" t="s">
        <v>37</v>
      </c>
      <c r="D63">
        <v>39528</v>
      </c>
      <c r="K63">
        <v>64.425162689804779</v>
      </c>
      <c r="L63">
        <v>39.00709219858156</v>
      </c>
      <c r="M63">
        <v>11.697247706422019</v>
      </c>
      <c r="N63">
        <v>3</v>
      </c>
      <c r="O63">
        <v>2</v>
      </c>
      <c r="P63">
        <v>1</v>
      </c>
    </row>
    <row r="64" spans="1:16" x14ac:dyDescent="0.4">
      <c r="A64" t="s">
        <v>167</v>
      </c>
      <c r="B64" t="s">
        <v>168</v>
      </c>
      <c r="C64" t="s">
        <v>37</v>
      </c>
      <c r="D64">
        <v>40028</v>
      </c>
      <c r="K64">
        <v>75.488069414316698</v>
      </c>
      <c r="L64">
        <v>59.810874704491724</v>
      </c>
      <c r="M64">
        <v>27.75229357798165</v>
      </c>
      <c r="N64">
        <v>3</v>
      </c>
      <c r="O64">
        <v>3</v>
      </c>
      <c r="P64">
        <v>1</v>
      </c>
    </row>
    <row r="65" spans="1:16" x14ac:dyDescent="0.4">
      <c r="A65" t="s">
        <v>169</v>
      </c>
      <c r="B65" t="s">
        <v>170</v>
      </c>
      <c r="C65" t="s">
        <v>37</v>
      </c>
      <c r="D65">
        <v>40532</v>
      </c>
      <c r="K65">
        <v>38.611713665943604</v>
      </c>
      <c r="L65">
        <v>45.153664302600475</v>
      </c>
      <c r="M65">
        <v>27.064220183486238</v>
      </c>
      <c r="N65">
        <v>2</v>
      </c>
      <c r="O65">
        <v>2</v>
      </c>
      <c r="P65">
        <v>1</v>
      </c>
    </row>
    <row r="66" spans="1:16" x14ac:dyDescent="0.4">
      <c r="A66" t="s">
        <v>171</v>
      </c>
      <c r="B66" t="s">
        <v>172</v>
      </c>
      <c r="C66" t="s">
        <v>37</v>
      </c>
      <c r="D66">
        <v>40540</v>
      </c>
      <c r="K66">
        <v>79.175704989154013</v>
      </c>
      <c r="L66">
        <v>90.543735224586285</v>
      </c>
      <c r="M66">
        <v>13.761467889908257</v>
      </c>
      <c r="N66">
        <v>3</v>
      </c>
      <c r="O66">
        <v>3</v>
      </c>
      <c r="P66">
        <v>1</v>
      </c>
    </row>
    <row r="67" spans="1:16" x14ac:dyDescent="0.4">
      <c r="A67" t="s">
        <v>173</v>
      </c>
      <c r="B67" t="s">
        <v>174</v>
      </c>
      <c r="C67" t="s">
        <v>37</v>
      </c>
      <c r="D67">
        <v>40631</v>
      </c>
      <c r="K67">
        <v>96.095444685466376</v>
      </c>
      <c r="L67">
        <v>60.283687943262414</v>
      </c>
      <c r="M67">
        <v>1.1467889908256881</v>
      </c>
      <c r="N67">
        <v>3</v>
      </c>
      <c r="O67">
        <v>3</v>
      </c>
      <c r="P67">
        <v>1</v>
      </c>
    </row>
    <row r="68" spans="1:16" x14ac:dyDescent="0.4">
      <c r="A68" t="s">
        <v>175</v>
      </c>
      <c r="B68" t="s">
        <v>176</v>
      </c>
      <c r="C68" t="s">
        <v>37</v>
      </c>
      <c r="D68">
        <v>40694</v>
      </c>
      <c r="K68">
        <v>60.520607375271148</v>
      </c>
      <c r="L68">
        <v>69.030732860520089</v>
      </c>
      <c r="M68">
        <v>4.8165137614678901</v>
      </c>
      <c r="N68">
        <v>3</v>
      </c>
      <c r="O68">
        <v>3</v>
      </c>
      <c r="P68">
        <v>1</v>
      </c>
    </row>
    <row r="69" spans="1:16" x14ac:dyDescent="0.4">
      <c r="A69" t="s">
        <v>177</v>
      </c>
      <c r="B69" t="s">
        <v>178</v>
      </c>
      <c r="C69" t="s">
        <v>37</v>
      </c>
      <c r="D69">
        <v>40897</v>
      </c>
      <c r="K69">
        <v>81.778741865509758</v>
      </c>
      <c r="L69">
        <v>62.64775413711584</v>
      </c>
      <c r="M69">
        <v>23.623853211009173</v>
      </c>
      <c r="N69">
        <v>3</v>
      </c>
      <c r="O69">
        <v>3</v>
      </c>
      <c r="P69">
        <v>1</v>
      </c>
    </row>
    <row r="70" spans="1:16" x14ac:dyDescent="0.4">
      <c r="A70" t="s">
        <v>179</v>
      </c>
      <c r="B70" t="s">
        <v>180</v>
      </c>
      <c r="C70" t="s">
        <v>37</v>
      </c>
      <c r="D70">
        <v>41025</v>
      </c>
      <c r="K70">
        <v>34.05639913232104</v>
      </c>
      <c r="L70">
        <v>57.446808510638299</v>
      </c>
      <c r="M70">
        <v>24.082568807339449</v>
      </c>
      <c r="N70">
        <v>2</v>
      </c>
      <c r="O70">
        <v>3</v>
      </c>
      <c r="P70">
        <v>1</v>
      </c>
    </row>
    <row r="71" spans="1:16" x14ac:dyDescent="0.4">
      <c r="A71" t="s">
        <v>181</v>
      </c>
      <c r="B71" t="s">
        <v>182</v>
      </c>
      <c r="C71" t="s">
        <v>37</v>
      </c>
      <c r="D71">
        <v>41051</v>
      </c>
      <c r="K71">
        <v>100</v>
      </c>
      <c r="L71">
        <v>87.234042553191486</v>
      </c>
      <c r="M71">
        <v>14.908256880733944</v>
      </c>
      <c r="N71">
        <v>3</v>
      </c>
      <c r="O71">
        <v>3</v>
      </c>
      <c r="P71">
        <v>1</v>
      </c>
    </row>
    <row r="72" spans="1:16" x14ac:dyDescent="0.4">
      <c r="A72" t="s">
        <v>183</v>
      </c>
      <c r="B72" t="s">
        <v>184</v>
      </c>
      <c r="C72" t="s">
        <v>37</v>
      </c>
      <c r="D72">
        <v>41052</v>
      </c>
      <c r="K72">
        <v>36.659436008676792</v>
      </c>
      <c r="L72">
        <v>47.754137115839242</v>
      </c>
      <c r="M72">
        <v>18.348623853211009</v>
      </c>
      <c r="N72">
        <v>2</v>
      </c>
      <c r="O72">
        <v>2</v>
      </c>
      <c r="P72">
        <v>1</v>
      </c>
    </row>
    <row r="73" spans="1:16" x14ac:dyDescent="0.4">
      <c r="A73" t="s">
        <v>185</v>
      </c>
      <c r="B73" t="s">
        <v>186</v>
      </c>
      <c r="C73" t="s">
        <v>37</v>
      </c>
      <c r="D73">
        <v>41241</v>
      </c>
      <c r="K73">
        <v>84.815618221258134</v>
      </c>
      <c r="L73">
        <v>58.392434988179666</v>
      </c>
      <c r="M73">
        <v>8.2568807339449535</v>
      </c>
      <c r="N73">
        <v>3</v>
      </c>
      <c r="O73">
        <v>3</v>
      </c>
      <c r="P73">
        <v>1</v>
      </c>
    </row>
    <row r="74" spans="1:16" x14ac:dyDescent="0.4">
      <c r="A74" t="s">
        <v>187</v>
      </c>
      <c r="B74" t="s">
        <v>188</v>
      </c>
      <c r="C74" t="s">
        <v>37</v>
      </c>
      <c r="D74">
        <v>41472</v>
      </c>
      <c r="K74">
        <v>57.266811279826463</v>
      </c>
      <c r="L74">
        <v>44.917257683215134</v>
      </c>
      <c r="M74">
        <v>8.7155963302752291</v>
      </c>
      <c r="N74">
        <v>3</v>
      </c>
      <c r="O74">
        <v>2</v>
      </c>
      <c r="P74">
        <v>1</v>
      </c>
    </row>
    <row r="75" spans="1:16" x14ac:dyDescent="0.4">
      <c r="A75" t="s">
        <v>189</v>
      </c>
      <c r="B75" t="s">
        <v>190</v>
      </c>
      <c r="C75" t="s">
        <v>45</v>
      </c>
      <c r="D75">
        <v>41606</v>
      </c>
      <c r="K75">
        <v>91.247264770240704</v>
      </c>
      <c r="L75">
        <v>62.878787878787875</v>
      </c>
      <c r="M75">
        <v>0.58823529411764708</v>
      </c>
      <c r="N75">
        <v>3</v>
      </c>
      <c r="O75">
        <v>3</v>
      </c>
      <c r="P75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M608"/>
  <sheetViews>
    <sheetView tabSelected="1" topLeftCell="AA3" workbookViewId="0">
      <selection activeCell="O4" sqref="O4"/>
    </sheetView>
  </sheetViews>
  <sheetFormatPr defaultRowHeight="13.9" x14ac:dyDescent="0.4"/>
  <cols>
    <col min="16" max="16" width="10.59765625" bestFit="1" customWidth="1"/>
    <col min="17" max="18" width="9.86328125" bestFit="1" customWidth="1"/>
    <col min="19" max="19" width="10.1328125" bestFit="1" customWidth="1"/>
    <col min="20" max="20" width="9.86328125" bestFit="1" customWidth="1"/>
    <col min="21" max="22" width="10.9296875" bestFit="1" customWidth="1"/>
    <col min="23" max="24" width="9.86328125" bestFit="1" customWidth="1"/>
    <col min="25" max="26" width="10.1328125" bestFit="1" customWidth="1"/>
    <col min="28" max="28" width="9.53125" bestFit="1" customWidth="1"/>
  </cols>
  <sheetData>
    <row r="1" spans="1:39" x14ac:dyDescent="0.4">
      <c r="A1" s="8" t="s">
        <v>300</v>
      </c>
      <c r="B1" s="9" t="s">
        <v>311</v>
      </c>
      <c r="C1" s="9" t="s">
        <v>308</v>
      </c>
      <c r="D1" s="9" t="s">
        <v>310</v>
      </c>
      <c r="E1" s="9" t="s">
        <v>309</v>
      </c>
      <c r="Q1" s="13" t="s">
        <v>322</v>
      </c>
      <c r="R1" s="13" t="s">
        <v>323</v>
      </c>
      <c r="S1" s="13" t="s">
        <v>324</v>
      </c>
      <c r="T1" s="13" t="s">
        <v>325</v>
      </c>
      <c r="U1" s="13" t="s">
        <v>326</v>
      </c>
      <c r="V1" s="13" t="s">
        <v>327</v>
      </c>
      <c r="W1" s="13" t="s">
        <v>328</v>
      </c>
      <c r="X1" s="13" t="s">
        <v>329</v>
      </c>
      <c r="Y1" s="13" t="s">
        <v>330</v>
      </c>
      <c r="Z1" s="13" t="s">
        <v>331</v>
      </c>
      <c r="AC1" s="12" t="s">
        <v>312</v>
      </c>
      <c r="AD1" s="12" t="s">
        <v>313</v>
      </c>
      <c r="AE1" s="12" t="s">
        <v>314</v>
      </c>
      <c r="AF1" s="12" t="s">
        <v>315</v>
      </c>
      <c r="AG1" s="12" t="s">
        <v>316</v>
      </c>
      <c r="AH1" s="12" t="s">
        <v>317</v>
      </c>
      <c r="AI1" s="12" t="s">
        <v>318</v>
      </c>
      <c r="AJ1" s="12" t="s">
        <v>319</v>
      </c>
      <c r="AK1" s="12" t="s">
        <v>320</v>
      </c>
      <c r="AL1" s="12" t="s">
        <v>321</v>
      </c>
      <c r="AM1" s="12"/>
    </row>
    <row r="2" spans="1:39" x14ac:dyDescent="0.4">
      <c r="A2" s="10">
        <v>42397</v>
      </c>
      <c r="B2" s="11">
        <v>1</v>
      </c>
      <c r="C2" s="11">
        <v>1</v>
      </c>
      <c r="D2" s="11">
        <v>1</v>
      </c>
      <c r="E2" s="11">
        <v>1</v>
      </c>
      <c r="Q2" s="13" t="s">
        <v>312</v>
      </c>
      <c r="R2" s="13" t="s">
        <v>313</v>
      </c>
      <c r="S2" s="13" t="s">
        <v>314</v>
      </c>
      <c r="T2" s="13" t="s">
        <v>315</v>
      </c>
      <c r="U2" s="13" t="s">
        <v>316</v>
      </c>
      <c r="V2" s="13" t="s">
        <v>317</v>
      </c>
      <c r="W2" s="13" t="s">
        <v>318</v>
      </c>
      <c r="X2" s="13" t="s">
        <v>319</v>
      </c>
      <c r="Y2" s="13" t="s">
        <v>320</v>
      </c>
      <c r="Z2" s="13" t="s">
        <v>321</v>
      </c>
      <c r="AC2" s="12" t="s">
        <v>322</v>
      </c>
      <c r="AD2" s="12" t="s">
        <v>323</v>
      </c>
      <c r="AE2" s="12" t="s">
        <v>324</v>
      </c>
      <c r="AF2" s="12" t="s">
        <v>325</v>
      </c>
      <c r="AG2" s="12" t="s">
        <v>326</v>
      </c>
      <c r="AH2" s="12" t="s">
        <v>327</v>
      </c>
      <c r="AI2" s="12" t="s">
        <v>328</v>
      </c>
      <c r="AJ2" s="12" t="s">
        <v>329</v>
      </c>
      <c r="AK2" s="12" t="s">
        <v>330</v>
      </c>
      <c r="AL2" s="12" t="s">
        <v>331</v>
      </c>
    </row>
    <row r="3" spans="1:39" x14ac:dyDescent="0.4">
      <c r="A3" s="10">
        <v>42398</v>
      </c>
      <c r="B3" s="11">
        <v>1.031396030553585</v>
      </c>
      <c r="C3" s="11">
        <v>1.0310847632254221</v>
      </c>
      <c r="D3" s="11">
        <v>1.0299544478121381</v>
      </c>
      <c r="E3" s="11">
        <v>1.033868225181841</v>
      </c>
      <c r="P3" s="1">
        <f>A2</f>
        <v>42397</v>
      </c>
      <c r="Q3" s="14">
        <f>[1]!i_dq_close(Q$2,$P3)</f>
        <v>1684.4429</v>
      </c>
      <c r="R3" s="14">
        <f>[1]!i_dq_close(R$2,$P3)</f>
        <v>2551.3090999999999</v>
      </c>
      <c r="S3" s="14">
        <f>[1]!i_dq_close(S$2,$P3)</f>
        <v>3378.9036000000001</v>
      </c>
      <c r="T3" s="14">
        <f>[1]!i_dq_close(T$2,$P3)</f>
        <v>4836.5590000000002</v>
      </c>
      <c r="U3" s="14">
        <f>[1]!i_dq_close(U$2,$P3)</f>
        <v>6706.7275</v>
      </c>
      <c r="V3" s="14">
        <f>[1]!i_dq_close(V$2,$P3)</f>
        <v>8096.7914000000001</v>
      </c>
      <c r="W3" s="14">
        <f>[1]!i_dq_close(W$2,$P3)</f>
        <v>4665.7956000000004</v>
      </c>
      <c r="X3" s="14">
        <f>[1]!i_dq_close(X$2,$P3)</f>
        <v>5413.4108999999999</v>
      </c>
      <c r="Y3" s="14">
        <f>[1]!i_dq_close(Y$2,$P3)</f>
        <v>5034.6746000000003</v>
      </c>
      <c r="Z3" s="14">
        <f>[1]!i_dq_close(Z$2,$P3)</f>
        <v>2249.9989</v>
      </c>
      <c r="AB3" s="1">
        <v>42397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</row>
    <row r="4" spans="1:39" x14ac:dyDescent="0.4">
      <c r="A4" s="10">
        <v>42401</v>
      </c>
      <c r="B4" s="11">
        <v>1.024010468564837</v>
      </c>
      <c r="C4" s="11">
        <v>1.0237264903940031</v>
      </c>
      <c r="D4" s="11">
        <v>1.0237248211160439</v>
      </c>
      <c r="E4" s="11">
        <v>1.026760495348024</v>
      </c>
      <c r="P4" s="1">
        <f>A3</f>
        <v>42398</v>
      </c>
      <c r="Q4" s="14">
        <f>[1]!i_dq_close(Q$2,$P4)</f>
        <v>1724.4656</v>
      </c>
      <c r="R4" s="14">
        <f>[1]!i_dq_close(R$2,$P4)</f>
        <v>2641.4722000000002</v>
      </c>
      <c r="S4" s="14">
        <f>[1]!i_dq_close(S$2,$P4)</f>
        <v>3508.3582999999999</v>
      </c>
      <c r="T4" s="14">
        <f>[1]!i_dq_close(T$2,$P4)</f>
        <v>5005.8145000000004</v>
      </c>
      <c r="U4" s="14">
        <f>[1]!i_dq_close(U$2,$P4)</f>
        <v>6925.5538999999999</v>
      </c>
      <c r="V4" s="14">
        <f>[1]!i_dq_close(V$2,$P4)</f>
        <v>8371.1347000000005</v>
      </c>
      <c r="W4" s="14">
        <f>[1]!i_dq_close(W$2,$P4)</f>
        <v>4817.5690000000004</v>
      </c>
      <c r="X4" s="14">
        <f>[1]!i_dq_close(X$2,$P4)</f>
        <v>5649.6373999999996</v>
      </c>
      <c r="Y4" s="14">
        <f>[1]!i_dq_close(Y$2,$P4)</f>
        <v>5220.8582999999999</v>
      </c>
      <c r="Z4" s="14">
        <f>[1]!i_dq_close(Z$2,$P4)</f>
        <v>2314.3231999999998</v>
      </c>
      <c r="AB4" s="1">
        <v>42398</v>
      </c>
      <c r="AC4">
        <v>1.0237601998856714</v>
      </c>
      <c r="AD4">
        <v>1.0353399358784086</v>
      </c>
      <c r="AE4">
        <v>1.0383126349032272</v>
      </c>
      <c r="AF4">
        <v>1.0349950243551251</v>
      </c>
      <c r="AG4">
        <v>1.0326278949010528</v>
      </c>
      <c r="AH4">
        <v>1.0338829650471173</v>
      </c>
      <c r="AI4">
        <v>1.032528943188167</v>
      </c>
      <c r="AJ4">
        <v>1.0436372749757459</v>
      </c>
      <c r="AK4">
        <v>1.0369802846841383</v>
      </c>
      <c r="AL4">
        <v>1.0285885917544226</v>
      </c>
    </row>
    <row r="5" spans="1:39" x14ac:dyDescent="0.4">
      <c r="A5" s="10">
        <v>42402</v>
      </c>
      <c r="B5" s="11">
        <v>1.0535436023695961</v>
      </c>
      <c r="C5" s="11">
        <v>1.052657520507799</v>
      </c>
      <c r="D5" s="11">
        <v>1.0553865432070451</v>
      </c>
      <c r="E5" s="11">
        <v>1.0637857404320981</v>
      </c>
      <c r="P5" s="1">
        <f>A4</f>
        <v>42401</v>
      </c>
      <c r="Q5" s="14">
        <f>[1]!i_dq_close(Q$2,$P5)</f>
        <v>1665.9848999999999</v>
      </c>
      <c r="R5" s="14">
        <f>[1]!i_dq_close(R$2,$P5)</f>
        <v>2591.0706</v>
      </c>
      <c r="S5" s="14">
        <f>[1]!i_dq_close(S$2,$P5)</f>
        <v>3448.9059999999999</v>
      </c>
      <c r="T5" s="14">
        <f>[1]!i_dq_close(T$2,$P5)</f>
        <v>4950.5887000000002</v>
      </c>
      <c r="U5" s="14">
        <f>[1]!i_dq_close(U$2,$P5)</f>
        <v>6885.8495999999996</v>
      </c>
      <c r="V5" s="14">
        <f>[1]!i_dq_close(V$2,$P5)</f>
        <v>8295.2011999999995</v>
      </c>
      <c r="W5" s="14">
        <f>[1]!i_dq_close(W$2,$P5)</f>
        <v>4743.5304999999998</v>
      </c>
      <c r="X5" s="14">
        <f>[1]!i_dq_close(X$2,$P5)</f>
        <v>5599.5672000000004</v>
      </c>
      <c r="Y5" s="14">
        <f>[1]!i_dq_close(Y$2,$P5)</f>
        <v>5153.75</v>
      </c>
      <c r="Z5" s="14">
        <f>[1]!i_dq_close(Z$2,$P5)</f>
        <v>2282.7964000000002</v>
      </c>
      <c r="AB5" s="1">
        <v>42401</v>
      </c>
      <c r="AC5">
        <v>0.98904207438554304</v>
      </c>
      <c r="AD5">
        <v>1.0155847443181227</v>
      </c>
      <c r="AE5">
        <v>1.0207174895430577</v>
      </c>
      <c r="AF5">
        <v>1.0235766171776257</v>
      </c>
      <c r="AG5">
        <v>1.0267078243450325</v>
      </c>
      <c r="AH5">
        <v>1.0245047439409145</v>
      </c>
      <c r="AI5">
        <v>1.0166605883892554</v>
      </c>
      <c r="AJ5">
        <v>1.0343879863248513</v>
      </c>
      <c r="AK5">
        <v>1.0236510617786498</v>
      </c>
      <c r="AL5">
        <v>1.0145766737930406</v>
      </c>
    </row>
    <row r="6" spans="1:39" x14ac:dyDescent="0.4">
      <c r="A6" s="10">
        <v>42403</v>
      </c>
      <c r="B6" s="11">
        <v>1.057994125243523</v>
      </c>
      <c r="C6" s="11">
        <v>1.0554693602765319</v>
      </c>
      <c r="D6" s="11">
        <v>1.0592102617426691</v>
      </c>
      <c r="E6" s="11">
        <v>1.0699163847177811</v>
      </c>
      <c r="P6" s="1">
        <f>A5</f>
        <v>42402</v>
      </c>
      <c r="Q6" s="14">
        <f>[1]!i_dq_close(Q$2,$P6)</f>
        <v>1696.0350000000001</v>
      </c>
      <c r="R6" s="14">
        <f>[1]!i_dq_close(R$2,$P6)</f>
        <v>2669.1482999999998</v>
      </c>
      <c r="S6" s="14">
        <f>[1]!i_dq_close(S$2,$P6)</f>
        <v>3561.3824</v>
      </c>
      <c r="T6" s="14">
        <f>[1]!i_dq_close(T$2,$P6)</f>
        <v>5106.7819</v>
      </c>
      <c r="U6" s="14">
        <f>[1]!i_dq_close(U$2,$P6)</f>
        <v>7052.4979000000003</v>
      </c>
      <c r="V6" s="14">
        <f>[1]!i_dq_close(V$2,$P6)</f>
        <v>8554.9739000000009</v>
      </c>
      <c r="W6" s="14">
        <f>[1]!i_dq_close(W$2,$P6)</f>
        <v>4829.884</v>
      </c>
      <c r="X6" s="14">
        <f>[1]!i_dq_close(X$2,$P6)</f>
        <v>5843.0397999999996</v>
      </c>
      <c r="Y6" s="14">
        <f>[1]!i_dq_close(Y$2,$P6)</f>
        <v>5331.4323999999997</v>
      </c>
      <c r="Z6" s="14">
        <f>[1]!i_dq_close(Z$2,$P6)</f>
        <v>2330.377</v>
      </c>
      <c r="AB6" s="1">
        <v>42402</v>
      </c>
      <c r="AC6">
        <v>1.0068818598718901</v>
      </c>
      <c r="AD6">
        <v>1.0461877394628507</v>
      </c>
      <c r="AE6">
        <v>1.0540053288291504</v>
      </c>
      <c r="AF6">
        <v>1.0558708991247703</v>
      </c>
      <c r="AG6">
        <v>1.0515557550235939</v>
      </c>
      <c r="AH6">
        <v>1.0565881566369613</v>
      </c>
      <c r="AI6">
        <v>1.0351683644264227</v>
      </c>
      <c r="AJ6">
        <v>1.07936380739175</v>
      </c>
      <c r="AK6">
        <v>1.0589427964222353</v>
      </c>
      <c r="AL6">
        <v>1.0357236174648796</v>
      </c>
    </row>
    <row r="7" spans="1:39" x14ac:dyDescent="0.4">
      <c r="A7" s="10">
        <v>42404</v>
      </c>
      <c r="B7" s="11">
        <v>1.0772993576746881</v>
      </c>
      <c r="C7" s="11">
        <v>1.0730058919867971</v>
      </c>
      <c r="D7" s="11">
        <v>1.078590170999034</v>
      </c>
      <c r="E7" s="11">
        <v>1.091593217037341</v>
      </c>
      <c r="P7" s="1">
        <f>A6</f>
        <v>42403</v>
      </c>
      <c r="Q7" s="14">
        <f>[1]!i_dq_close(Q$2,$P7)</f>
        <v>1673.5261</v>
      </c>
      <c r="R7" s="14">
        <f>[1]!i_dq_close(R$2,$P7)</f>
        <v>2677.6552000000001</v>
      </c>
      <c r="S7" s="14">
        <f>[1]!i_dq_close(S$2,$P7)</f>
        <v>3570.9477999999999</v>
      </c>
      <c r="T7" s="14">
        <f>[1]!i_dq_close(T$2,$P7)</f>
        <v>5119.7945</v>
      </c>
      <c r="U7" s="14">
        <f>[1]!i_dq_close(U$2,$P7)</f>
        <v>7043.6842999999999</v>
      </c>
      <c r="V7" s="14">
        <f>[1]!i_dq_close(V$2,$P7)</f>
        <v>8574.8417000000009</v>
      </c>
      <c r="W7" s="14">
        <f>[1]!i_dq_close(W$2,$P7)</f>
        <v>4807.3711000000003</v>
      </c>
      <c r="X7" s="14">
        <f>[1]!i_dq_close(X$2,$P7)</f>
        <v>5874.1197000000002</v>
      </c>
      <c r="Y7" s="14">
        <f>[1]!i_dq_close(Y$2,$P7)</f>
        <v>5364.6399000000001</v>
      </c>
      <c r="Z7" s="14">
        <f>[1]!i_dq_close(Z$2,$P7)</f>
        <v>2330.0987</v>
      </c>
      <c r="AB7" s="1">
        <v>42403</v>
      </c>
      <c r="AC7">
        <v>0.993519044189625</v>
      </c>
      <c r="AD7">
        <v>1.0495220669263479</v>
      </c>
      <c r="AE7">
        <v>1.0568362471187398</v>
      </c>
      <c r="AF7">
        <v>1.0585613656320536</v>
      </c>
      <c r="AG7">
        <v>1.0502416118740474</v>
      </c>
      <c r="AH7">
        <v>1.0590419434542924</v>
      </c>
      <c r="AI7">
        <v>1.030343270931114</v>
      </c>
      <c r="AJ7">
        <v>1.0851050859634543</v>
      </c>
      <c r="AK7">
        <v>1.0655385553616514</v>
      </c>
      <c r="AL7">
        <v>1.0355999285155206</v>
      </c>
    </row>
    <row r="8" spans="1:39" x14ac:dyDescent="0.4">
      <c r="A8" s="10">
        <v>42405</v>
      </c>
      <c r="B8" s="11">
        <v>1.0687035275785779</v>
      </c>
      <c r="C8" s="11">
        <v>1.065035031049026</v>
      </c>
      <c r="D8" s="11">
        <v>1.069061159330247</v>
      </c>
      <c r="E8" s="11">
        <v>1.079845682188485</v>
      </c>
      <c r="P8" s="1">
        <f>A7</f>
        <v>42404</v>
      </c>
      <c r="Q8" s="14">
        <f>[1]!i_dq_close(Q$2,$P8)</f>
        <v>1699.183</v>
      </c>
      <c r="R8" s="14">
        <f>[1]!i_dq_close(R$2,$P8)</f>
        <v>2749.192</v>
      </c>
      <c r="S8" s="14">
        <f>[1]!i_dq_close(S$2,$P8)</f>
        <v>3638.5345000000002</v>
      </c>
      <c r="T8" s="14">
        <f>[1]!i_dq_close(T$2,$P8)</f>
        <v>5217.0246999999999</v>
      </c>
      <c r="U8" s="14">
        <f>[1]!i_dq_close(U$2,$P8)</f>
        <v>7141.5312999999996</v>
      </c>
      <c r="V8" s="14">
        <f>[1]!i_dq_close(V$2,$P8)</f>
        <v>8745.4310000000005</v>
      </c>
      <c r="W8" s="14">
        <f>[1]!i_dq_close(W$2,$P8)</f>
        <v>4860.4378999999999</v>
      </c>
      <c r="X8" s="14">
        <f>[1]!i_dq_close(X$2,$P8)</f>
        <v>5984.8532999999998</v>
      </c>
      <c r="Y8" s="14">
        <f>[1]!i_dq_close(Y$2,$P8)</f>
        <v>5392.2119000000002</v>
      </c>
      <c r="Z8" s="14">
        <f>[1]!i_dq_close(Z$2,$P8)</f>
        <v>2365.6648</v>
      </c>
      <c r="AB8" s="1">
        <v>42404</v>
      </c>
      <c r="AC8">
        <v>1.0087507270207854</v>
      </c>
      <c r="AD8">
        <v>1.077561319402655</v>
      </c>
      <c r="AE8">
        <v>1.07683880060976</v>
      </c>
      <c r="AF8">
        <v>1.0786645422913272</v>
      </c>
      <c r="AG8">
        <v>1.0648309924624193</v>
      </c>
      <c r="AH8">
        <v>1.0801106966890615</v>
      </c>
      <c r="AI8">
        <v>1.0417168510339372</v>
      </c>
      <c r="AJ8">
        <v>1.1055605071471666</v>
      </c>
      <c r="AK8">
        <v>1.0710149768169723</v>
      </c>
      <c r="AL8">
        <v>1.0514070917990226</v>
      </c>
    </row>
    <row r="9" spans="1:39" x14ac:dyDescent="0.4">
      <c r="A9" s="10">
        <v>42415</v>
      </c>
      <c r="B9" s="11">
        <v>1.071184678911034</v>
      </c>
      <c r="C9" s="11">
        <v>1.0685566522182881</v>
      </c>
      <c r="D9" s="11">
        <v>1.074955135269535</v>
      </c>
      <c r="E9" s="11">
        <v>1.085920366543367</v>
      </c>
      <c r="P9" s="1">
        <f>A8</f>
        <v>42405</v>
      </c>
      <c r="Q9" s="14">
        <f>[1]!i_dq_close(Q$2,$P9)</f>
        <v>1703.4619</v>
      </c>
      <c r="R9" s="14">
        <f>[1]!i_dq_close(R$2,$P9)</f>
        <v>2726.6208999999999</v>
      </c>
      <c r="S9" s="14">
        <f>[1]!i_dq_close(S$2,$P9)</f>
        <v>3607.7559000000001</v>
      </c>
      <c r="T9" s="14">
        <f>[1]!i_dq_close(T$2,$P9)</f>
        <v>5181.0504000000001</v>
      </c>
      <c r="U9" s="14">
        <f>[1]!i_dq_close(U$2,$P9)</f>
        <v>7095.5626000000002</v>
      </c>
      <c r="V9" s="14">
        <f>[1]!i_dq_close(V$2,$P9)</f>
        <v>8691.5046999999995</v>
      </c>
      <c r="W9" s="14">
        <f>[1]!i_dq_close(W$2,$P9)</f>
        <v>4814.4234999999999</v>
      </c>
      <c r="X9" s="14">
        <f>[1]!i_dq_close(X$2,$P9)</f>
        <v>5891.1750000000002</v>
      </c>
      <c r="Y9" s="14">
        <f>[1]!i_dq_close(Y$2,$P9)</f>
        <v>5311.8341</v>
      </c>
      <c r="Z9" s="14">
        <f>[1]!i_dq_close(Z$2,$P9)</f>
        <v>2348.3883000000001</v>
      </c>
      <c r="AB9" s="1">
        <v>42405</v>
      </c>
      <c r="AC9">
        <v>1.0112909734132276</v>
      </c>
      <c r="AD9">
        <v>1.0687144493781644</v>
      </c>
      <c r="AE9">
        <v>1.067729751153599</v>
      </c>
      <c r="AF9">
        <v>1.0712265476343821</v>
      </c>
      <c r="AG9">
        <v>1.0579768747127418</v>
      </c>
      <c r="AH9">
        <v>1.0734504905239377</v>
      </c>
      <c r="AI9">
        <v>1.0318547816368122</v>
      </c>
      <c r="AJ9">
        <v>1.0882556504255017</v>
      </c>
      <c r="AK9">
        <v>1.0550501317403909</v>
      </c>
      <c r="AL9">
        <v>1.0437286436006703</v>
      </c>
    </row>
    <row r="10" spans="1:39" x14ac:dyDescent="0.4">
      <c r="A10" s="10">
        <v>42416</v>
      </c>
      <c r="B10" s="11">
        <v>1.1061556952584679</v>
      </c>
      <c r="C10" s="11">
        <v>1.1025652158559509</v>
      </c>
      <c r="D10" s="11">
        <v>1.111347315738203</v>
      </c>
      <c r="E10" s="11">
        <v>1.127710726854972</v>
      </c>
      <c r="P10" s="1">
        <f>A9</f>
        <v>42415</v>
      </c>
      <c r="Q10" s="14">
        <f>[1]!i_dq_close(Q$2,$P10)</f>
        <v>1698.896</v>
      </c>
      <c r="R10" s="14">
        <f>[1]!i_dq_close(R$2,$P10)</f>
        <v>2748.6765999999998</v>
      </c>
      <c r="S10" s="14">
        <f>[1]!i_dq_close(S$2,$P10)</f>
        <v>3586.6033000000002</v>
      </c>
      <c r="T10" s="14">
        <f>[1]!i_dq_close(T$2,$P10)</f>
        <v>5179.1648999999998</v>
      </c>
      <c r="U10" s="14">
        <f>[1]!i_dq_close(U$2,$P10)</f>
        <v>7041.0871999999999</v>
      </c>
      <c r="V10" s="14">
        <f>[1]!i_dq_close(V$2,$P10)</f>
        <v>8754.3752999999997</v>
      </c>
      <c r="W10" s="14">
        <f>[1]!i_dq_close(W$2,$P10)</f>
        <v>4765.5153</v>
      </c>
      <c r="X10" s="14">
        <f>[1]!i_dq_close(X$2,$P10)</f>
        <v>5917.2602999999999</v>
      </c>
      <c r="Y10" s="14">
        <f>[1]!i_dq_close(Y$2,$P10)</f>
        <v>5318.8513000000003</v>
      </c>
      <c r="Z10" s="14">
        <f>[1]!i_dq_close(Z$2,$P10)</f>
        <v>2324.3407000000002</v>
      </c>
      <c r="AB10" s="1">
        <v>42415</v>
      </c>
      <c r="AC10">
        <v>1.0085803442788117</v>
      </c>
      <c r="AD10">
        <v>1.0773593054640067</v>
      </c>
      <c r="AE10">
        <v>1.0614695547987816</v>
      </c>
      <c r="AF10">
        <v>1.0708367043594422</v>
      </c>
      <c r="AG10">
        <v>1.0498543738358237</v>
      </c>
      <c r="AH10">
        <v>1.0812153688435149</v>
      </c>
      <c r="AI10">
        <v>1.0213724964719844</v>
      </c>
      <c r="AJ10">
        <v>1.0930742944342171</v>
      </c>
      <c r="AK10">
        <v>1.0564439060272137</v>
      </c>
      <c r="AL10">
        <v>1.033040816153288</v>
      </c>
    </row>
    <row r="11" spans="1:39" x14ac:dyDescent="0.4">
      <c r="A11" s="10">
        <v>42417</v>
      </c>
      <c r="B11" s="11">
        <v>1.1162953858579869</v>
      </c>
      <c r="C11" s="11">
        <v>1.1115483076487001</v>
      </c>
      <c r="D11" s="11">
        <v>1.1223591690272481</v>
      </c>
      <c r="E11" s="11">
        <v>1.1389421589818209</v>
      </c>
      <c r="P11" s="1">
        <f>A10</f>
        <v>42416</v>
      </c>
      <c r="Q11" s="14">
        <f>[1]!i_dq_close(Q$2,$P11)</f>
        <v>1757.2996000000001</v>
      </c>
      <c r="R11" s="14">
        <f>[1]!i_dq_close(R$2,$P11)</f>
        <v>2845.1594</v>
      </c>
      <c r="S11" s="14">
        <f>[1]!i_dq_close(S$2,$P11)</f>
        <v>3737.6336999999999</v>
      </c>
      <c r="T11" s="14">
        <f>[1]!i_dq_close(T$2,$P11)</f>
        <v>5374.6152000000002</v>
      </c>
      <c r="U11" s="14">
        <f>[1]!i_dq_close(U$2,$P11)</f>
        <v>7279.6698999999999</v>
      </c>
      <c r="V11" s="14">
        <f>[1]!i_dq_close(V$2,$P11)</f>
        <v>9043.1404999999995</v>
      </c>
      <c r="W11" s="14">
        <f>[1]!i_dq_close(W$2,$P11)</f>
        <v>4903.5834000000004</v>
      </c>
      <c r="X11" s="14">
        <f>[1]!i_dq_close(X$2,$P11)</f>
        <v>6201.5438000000004</v>
      </c>
      <c r="Y11" s="14">
        <f>[1]!i_dq_close(Y$2,$P11)</f>
        <v>5521.3058000000001</v>
      </c>
      <c r="Z11" s="14">
        <f>[1]!i_dq_close(Z$2,$P11)</f>
        <v>2407.5315000000001</v>
      </c>
      <c r="AB11" s="1">
        <v>42416</v>
      </c>
      <c r="AC11">
        <v>1.0432526979691623</v>
      </c>
      <c r="AD11">
        <v>1.1151762834224987</v>
      </c>
      <c r="AE11">
        <v>1.1061676041897139</v>
      </c>
      <c r="AF11">
        <v>1.1112477279818151</v>
      </c>
      <c r="AG11">
        <v>1.0854280123950169</v>
      </c>
      <c r="AH11">
        <v>1.1168795209420856</v>
      </c>
      <c r="AI11">
        <v>1.05096404137378</v>
      </c>
      <c r="AJ11">
        <v>1.1455889668378951</v>
      </c>
      <c r="AK11">
        <v>1.0966559387969184</v>
      </c>
      <c r="AL11">
        <v>1.0700145231182112</v>
      </c>
    </row>
    <row r="12" spans="1:39" x14ac:dyDescent="0.4">
      <c r="A12" s="10">
        <v>42418</v>
      </c>
      <c r="B12" s="11">
        <v>1.1108588283362071</v>
      </c>
      <c r="C12" s="11">
        <v>1.1064760705251711</v>
      </c>
      <c r="D12" s="11">
        <v>1.116900031999426</v>
      </c>
      <c r="E12" s="11">
        <v>1.132780316501989</v>
      </c>
      <c r="P12" s="1">
        <f>A11</f>
        <v>42417</v>
      </c>
      <c r="Q12" s="14">
        <f>[1]!i_dq_close(Q$2,$P12)</f>
        <v>1773.7356</v>
      </c>
      <c r="R12" s="14">
        <f>[1]!i_dq_close(R$2,$P12)</f>
        <v>2877.0032000000001</v>
      </c>
      <c r="S12" s="14">
        <f>[1]!i_dq_close(S$2,$P12)</f>
        <v>3808.1158999999998</v>
      </c>
      <c r="T12" s="14">
        <f>[1]!i_dq_close(T$2,$P12)</f>
        <v>5449.1311999999998</v>
      </c>
      <c r="U12" s="14">
        <f>[1]!i_dq_close(U$2,$P12)</f>
        <v>7341.1921000000002</v>
      </c>
      <c r="V12" s="14">
        <f>[1]!i_dq_close(V$2,$P12)</f>
        <v>9083.3179</v>
      </c>
      <c r="W12" s="14">
        <f>[1]!i_dq_close(W$2,$P12)</f>
        <v>4932.1147000000001</v>
      </c>
      <c r="X12" s="14">
        <f>[1]!i_dq_close(X$2,$P12)</f>
        <v>6294.6462000000001</v>
      </c>
      <c r="Y12" s="14">
        <f>[1]!i_dq_close(Y$2,$P12)</f>
        <v>5614.2403999999997</v>
      </c>
      <c r="Z12" s="14">
        <f>[1]!i_dq_close(Z$2,$P12)</f>
        <v>2430.4713999999999</v>
      </c>
      <c r="AB12" s="1">
        <v>42417</v>
      </c>
      <c r="AC12">
        <v>1.0530102267046273</v>
      </c>
      <c r="AD12">
        <v>1.1276576405422614</v>
      </c>
      <c r="AE12">
        <v>1.1270270924568548</v>
      </c>
      <c r="AF12">
        <v>1.1266545492363476</v>
      </c>
      <c r="AG12">
        <v>1.0946012194471895</v>
      </c>
      <c r="AH12">
        <v>1.1218416594010314</v>
      </c>
      <c r="AI12">
        <v>1.0570790327806043</v>
      </c>
      <c r="AJ12">
        <v>1.1627874396159361</v>
      </c>
      <c r="AK12">
        <v>1.11511484774011</v>
      </c>
      <c r="AL12">
        <v>1.080210039213797</v>
      </c>
    </row>
    <row r="13" spans="1:39" x14ac:dyDescent="0.4">
      <c r="A13" s="10">
        <v>42419</v>
      </c>
      <c r="B13" s="11">
        <v>1.1141750980135381</v>
      </c>
      <c r="C13" s="11">
        <v>1.108526966021234</v>
      </c>
      <c r="D13" s="11">
        <v>1.120757915900795</v>
      </c>
      <c r="E13" s="11">
        <v>1.136523697330766</v>
      </c>
      <c r="P13" s="1">
        <f>A12</f>
        <v>42418</v>
      </c>
      <c r="Q13" s="14">
        <f>[1]!i_dq_close(Q$2,$P13)</f>
        <v>1779.0718999999999</v>
      </c>
      <c r="R13" s="14">
        <f>[1]!i_dq_close(R$2,$P13)</f>
        <v>2875.7550000000001</v>
      </c>
      <c r="S13" s="14">
        <f>[1]!i_dq_close(S$2,$P13)</f>
        <v>3795.9081999999999</v>
      </c>
      <c r="T13" s="14">
        <f>[1]!i_dq_close(T$2,$P13)</f>
        <v>5427.2682000000004</v>
      </c>
      <c r="U13" s="14">
        <f>[1]!i_dq_close(U$2,$P13)</f>
        <v>7313.0001000000002</v>
      </c>
      <c r="V13" s="14">
        <f>[1]!i_dq_close(V$2,$P13)</f>
        <v>9039.2268999999997</v>
      </c>
      <c r="W13" s="14">
        <f>[1]!i_dq_close(W$2,$P13)</f>
        <v>4924.6511</v>
      </c>
      <c r="X13" s="14">
        <f>[1]!i_dq_close(X$2,$P13)</f>
        <v>6260.5792000000001</v>
      </c>
      <c r="Y13" s="14">
        <f>[1]!i_dq_close(Y$2,$P13)</f>
        <v>5572.4250000000002</v>
      </c>
      <c r="Z13" s="14">
        <f>[1]!i_dq_close(Z$2,$P13)</f>
        <v>2429.9162000000001</v>
      </c>
      <c r="AB13" s="1">
        <v>42418</v>
      </c>
      <c r="AC13">
        <v>1.0561782177359647</v>
      </c>
      <c r="AD13">
        <v>1.127168401508073</v>
      </c>
      <c r="AE13">
        <v>1.1234141749412441</v>
      </c>
      <c r="AF13">
        <v>1.1221341867224199</v>
      </c>
      <c r="AG13">
        <v>1.0903976790468974</v>
      </c>
      <c r="AH13">
        <v>1.116396168981209</v>
      </c>
      <c r="AI13">
        <v>1.0554793913389604</v>
      </c>
      <c r="AJ13">
        <v>1.1564943647636281</v>
      </c>
      <c r="AK13">
        <v>1.1068093655943523</v>
      </c>
      <c r="AL13">
        <v>1.0799632835376054</v>
      </c>
    </row>
    <row r="14" spans="1:39" x14ac:dyDescent="0.4">
      <c r="A14" s="10">
        <v>42422</v>
      </c>
      <c r="B14" s="11">
        <v>1.133264193352888</v>
      </c>
      <c r="C14" s="11">
        <v>1.1279554042224591</v>
      </c>
      <c r="D14" s="11">
        <v>1.138709948724951</v>
      </c>
      <c r="E14" s="11">
        <v>1.153811130991744</v>
      </c>
      <c r="P14" s="1">
        <f>A13</f>
        <v>42419</v>
      </c>
      <c r="Q14" s="14">
        <f>[1]!i_dq_close(Q$2,$P14)</f>
        <v>1776.5017</v>
      </c>
      <c r="R14" s="14">
        <f>[1]!i_dq_close(R$2,$P14)</f>
        <v>2880.0320000000002</v>
      </c>
      <c r="S14" s="14">
        <f>[1]!i_dq_close(S$2,$P14)</f>
        <v>3810.2871</v>
      </c>
      <c r="T14" s="14">
        <f>[1]!i_dq_close(T$2,$P14)</f>
        <v>5440.5060999999996</v>
      </c>
      <c r="U14" s="14">
        <f>[1]!i_dq_close(U$2,$P14)</f>
        <v>7336.5740999999998</v>
      </c>
      <c r="V14" s="14">
        <f>[1]!i_dq_close(V$2,$P14)</f>
        <v>9070.8024000000005</v>
      </c>
      <c r="W14" s="14">
        <f>[1]!i_dq_close(W$2,$P14)</f>
        <v>4915.72</v>
      </c>
      <c r="X14" s="14">
        <f>[1]!i_dq_close(X$2,$P14)</f>
        <v>6325.8945999999996</v>
      </c>
      <c r="Y14" s="14">
        <f>[1]!i_dq_close(Y$2,$P14)</f>
        <v>5625.17</v>
      </c>
      <c r="Z14" s="14">
        <f>[1]!i_dq_close(Z$2,$P14)</f>
        <v>2428.2972</v>
      </c>
      <c r="AB14" s="1">
        <v>42419</v>
      </c>
      <c r="AC14">
        <v>1.0546523720097607</v>
      </c>
      <c r="AD14">
        <v>1.1288447957952255</v>
      </c>
      <c r="AE14">
        <v>1.1276696677585001</v>
      </c>
      <c r="AF14">
        <v>1.124871235934473</v>
      </c>
      <c r="AG14">
        <v>1.0939126571043776</v>
      </c>
      <c r="AH14">
        <v>1.1202959236420491</v>
      </c>
      <c r="AI14">
        <v>1.0535652269036389</v>
      </c>
      <c r="AJ14">
        <v>1.1685598445889263</v>
      </c>
      <c r="AK14">
        <v>1.1172857129634555</v>
      </c>
      <c r="AL14">
        <v>1.0792437276302669</v>
      </c>
    </row>
    <row r="15" spans="1:39" x14ac:dyDescent="0.4">
      <c r="A15" s="10">
        <v>42423</v>
      </c>
      <c r="B15" s="11">
        <v>1.1269257217256929</v>
      </c>
      <c r="C15" s="11">
        <v>1.123206761127379</v>
      </c>
      <c r="D15" s="11">
        <v>1.132415439666006</v>
      </c>
      <c r="E15" s="11">
        <v>1.1458708067358601</v>
      </c>
      <c r="P15" s="1">
        <f>A14</f>
        <v>42422</v>
      </c>
      <c r="Q15" s="14">
        <f>[1]!i_dq_close(Q$2,$P15)</f>
        <v>1835.6106</v>
      </c>
      <c r="R15" s="14">
        <f>[1]!i_dq_close(R$2,$P15)</f>
        <v>2963.6460000000002</v>
      </c>
      <c r="S15" s="14">
        <f>[1]!i_dq_close(S$2,$P15)</f>
        <v>3883.9023000000002</v>
      </c>
      <c r="T15" s="14">
        <f>[1]!i_dq_close(T$2,$P15)</f>
        <v>5552.9832999999999</v>
      </c>
      <c r="U15" s="14">
        <f>[1]!i_dq_close(U$2,$P15)</f>
        <v>7471.7475000000004</v>
      </c>
      <c r="V15" s="14">
        <f>[1]!i_dq_close(V$2,$P15)</f>
        <v>9202.5182000000004</v>
      </c>
      <c r="W15" s="14">
        <f>[1]!i_dq_close(W$2,$P15)</f>
        <v>5040.8675000000003</v>
      </c>
      <c r="X15" s="14">
        <f>[1]!i_dq_close(X$2,$P15)</f>
        <v>6430.6641</v>
      </c>
      <c r="Y15" s="14">
        <f>[1]!i_dq_close(Y$2,$P15)</f>
        <v>5727.1283999999996</v>
      </c>
      <c r="Z15" s="14">
        <f>[1]!i_dq_close(Z$2,$P15)</f>
        <v>2473.4032999999999</v>
      </c>
      <c r="AB15" s="1">
        <v>42422</v>
      </c>
      <c r="AC15">
        <v>1.0897434398043413</v>
      </c>
      <c r="AD15">
        <v>1.1616177749689367</v>
      </c>
      <c r="AE15">
        <v>1.149456379874229</v>
      </c>
      <c r="AF15">
        <v>1.1481268604394157</v>
      </c>
      <c r="AG15">
        <v>1.1140675538107072</v>
      </c>
      <c r="AH15">
        <v>1.1365635775178795</v>
      </c>
      <c r="AI15">
        <v>1.0803875549113211</v>
      </c>
      <c r="AJ15">
        <v>1.1879135389482443</v>
      </c>
      <c r="AK15">
        <v>1.1375369522391774</v>
      </c>
      <c r="AL15">
        <v>1.0992908929866587</v>
      </c>
    </row>
    <row r="16" spans="1:39" x14ac:dyDescent="0.4">
      <c r="A16" s="10">
        <v>42424</v>
      </c>
      <c r="B16" s="11">
        <v>1.126552233100899</v>
      </c>
      <c r="C16" s="11">
        <v>1.122667905431999</v>
      </c>
      <c r="D16" s="11">
        <v>1.127878311834013</v>
      </c>
      <c r="E16" s="11">
        <v>1.137954834816598</v>
      </c>
      <c r="P16" s="1">
        <f>A15</f>
        <v>42423</v>
      </c>
      <c r="Q16" s="14">
        <f>[1]!i_dq_close(Q$2,$P16)</f>
        <v>1847.8518999999999</v>
      </c>
      <c r="R16" s="14">
        <f>[1]!i_dq_close(R$2,$P16)</f>
        <v>2969.9018999999998</v>
      </c>
      <c r="S16" s="14">
        <f>[1]!i_dq_close(S$2,$P16)</f>
        <v>3852.3139000000001</v>
      </c>
      <c r="T16" s="14">
        <f>[1]!i_dq_close(T$2,$P16)</f>
        <v>5501.3813</v>
      </c>
      <c r="U16" s="14">
        <f>[1]!i_dq_close(U$2,$P16)</f>
        <v>7475.9036999999998</v>
      </c>
      <c r="V16" s="14">
        <f>[1]!i_dq_close(V$2,$P16)</f>
        <v>9157.8557999999994</v>
      </c>
      <c r="W16" s="14">
        <f>[1]!i_dq_close(W$2,$P16)</f>
        <v>4976.9881999999998</v>
      </c>
      <c r="X16" s="14">
        <f>[1]!i_dq_close(X$2,$P16)</f>
        <v>6363.9337999999998</v>
      </c>
      <c r="Y16" s="14">
        <f>[1]!i_dq_close(Y$2,$P16)</f>
        <v>5662.8393999999998</v>
      </c>
      <c r="Z16" s="14">
        <f>[1]!i_dq_close(Z$2,$P16)</f>
        <v>2464.2674000000002</v>
      </c>
      <c r="AB16" s="1">
        <v>42423</v>
      </c>
      <c r="AC16">
        <v>1.0970107090005841</v>
      </c>
      <c r="AD16">
        <v>1.1640698102789662</v>
      </c>
      <c r="AE16">
        <v>1.1401076668775043</v>
      </c>
      <c r="AF16">
        <v>1.1374577049509786</v>
      </c>
      <c r="AG16">
        <v>1.1146872599192379</v>
      </c>
      <c r="AH16">
        <v>1.1310475159332867</v>
      </c>
      <c r="AI16">
        <v>1.0666965779641095</v>
      </c>
      <c r="AJ16">
        <v>1.1755866897153511</v>
      </c>
      <c r="AK16">
        <v>1.1247677059407175</v>
      </c>
      <c r="AL16">
        <v>1.0952304910015733</v>
      </c>
    </row>
    <row r="17" spans="1:38" x14ac:dyDescent="0.4">
      <c r="A17" s="10">
        <v>42425</v>
      </c>
      <c r="B17" s="11">
        <v>1.054614271618852</v>
      </c>
      <c r="C17" s="11">
        <v>1.0536752932764359</v>
      </c>
      <c r="D17" s="11">
        <v>1.0581451225059011</v>
      </c>
      <c r="E17" s="11">
        <v>1.0616047028179401</v>
      </c>
      <c r="P17" s="1">
        <f>A16</f>
        <v>42424</v>
      </c>
      <c r="Q17" s="14">
        <f>[1]!i_dq_close(Q$2,$P17)</f>
        <v>1858.6845000000001</v>
      </c>
      <c r="R17" s="14">
        <f>[1]!i_dq_close(R$2,$P17)</f>
        <v>2987.6628000000001</v>
      </c>
      <c r="S17" s="14">
        <f>[1]!i_dq_close(S$2,$P17)</f>
        <v>3888.3164000000002</v>
      </c>
      <c r="T17" s="14">
        <f>[1]!i_dq_close(T$2,$P17)</f>
        <v>5546.0034999999998</v>
      </c>
      <c r="U17" s="14">
        <f>[1]!i_dq_close(U$2,$P17)</f>
        <v>7542.6355000000003</v>
      </c>
      <c r="V17" s="14">
        <f>[1]!i_dq_close(V$2,$P17)</f>
        <v>9148.5044999999991</v>
      </c>
      <c r="W17" s="14">
        <f>[1]!i_dq_close(W$2,$P17)</f>
        <v>4997.3657999999996</v>
      </c>
      <c r="X17" s="14">
        <f>[1]!i_dq_close(X$2,$P17)</f>
        <v>6321.6473999999998</v>
      </c>
      <c r="Y17" s="14">
        <f>[1]!i_dq_close(Y$2,$P17)</f>
        <v>5661.2048000000004</v>
      </c>
      <c r="Z17" s="14">
        <f>[1]!i_dq_close(Z$2,$P17)</f>
        <v>2510.8741</v>
      </c>
      <c r="AB17" s="1">
        <v>42424</v>
      </c>
      <c r="AC17">
        <v>1.103441677957739</v>
      </c>
      <c r="AD17">
        <v>1.1710312952672022</v>
      </c>
      <c r="AE17">
        <v>1.1507627503785547</v>
      </c>
      <c r="AF17">
        <v>1.1466837270050876</v>
      </c>
      <c r="AG17">
        <v>1.1246372392496937</v>
      </c>
      <c r="AH17">
        <v>1.1298925769533841</v>
      </c>
      <c r="AI17">
        <v>1.0710640217501168</v>
      </c>
      <c r="AJ17">
        <v>1.1677752745500993</v>
      </c>
      <c r="AK17">
        <v>1.1244430374904468</v>
      </c>
      <c r="AL17">
        <v>1.115944590017355</v>
      </c>
    </row>
    <row r="18" spans="1:38" x14ac:dyDescent="0.4">
      <c r="A18" s="10">
        <v>42426</v>
      </c>
      <c r="B18" s="11">
        <v>1.055889864706657</v>
      </c>
      <c r="C18" s="11">
        <v>1.0596133007869031</v>
      </c>
      <c r="D18" s="11">
        <v>1.0587670879326121</v>
      </c>
      <c r="E18" s="11">
        <v>1.0598274065633679</v>
      </c>
      <c r="P18" s="1">
        <f>A17</f>
        <v>42425</v>
      </c>
      <c r="Q18" s="14">
        <f>[1]!i_dq_close(Q$2,$P18)</f>
        <v>1728.8812</v>
      </c>
      <c r="R18" s="14">
        <f>[1]!i_dq_close(R$2,$P18)</f>
        <v>2760.6777000000002</v>
      </c>
      <c r="S18" s="14">
        <f>[1]!i_dq_close(S$2,$P18)</f>
        <v>3570.8620999999998</v>
      </c>
      <c r="T18" s="14">
        <f>[1]!i_dq_close(T$2,$P18)</f>
        <v>5143.1325999999999</v>
      </c>
      <c r="U18" s="14">
        <f>[1]!i_dq_close(U$2,$P18)</f>
        <v>7041.5010000000002</v>
      </c>
      <c r="V18" s="14">
        <f>[1]!i_dq_close(V$2,$P18)</f>
        <v>8519.4634000000005</v>
      </c>
      <c r="W18" s="14">
        <f>[1]!i_dq_close(W$2,$P18)</f>
        <v>4726.1819999999998</v>
      </c>
      <c r="X18" s="14">
        <f>[1]!i_dq_close(X$2,$P18)</f>
        <v>5826.2497999999996</v>
      </c>
      <c r="Y18" s="14">
        <f>[1]!i_dq_close(Y$2,$P18)</f>
        <v>5234.2992999999997</v>
      </c>
      <c r="Z18" s="14">
        <f>[1]!i_dq_close(Z$2,$P18)</f>
        <v>2351.7465000000002</v>
      </c>
      <c r="AB18" s="1">
        <v>42425</v>
      </c>
      <c r="AC18">
        <v>1.0263816007060851</v>
      </c>
      <c r="AD18">
        <v>1.0820632043369423</v>
      </c>
      <c r="AE18">
        <v>1.0568108838618537</v>
      </c>
      <c r="AF18">
        <v>1.0633867177057077</v>
      </c>
      <c r="AG18">
        <v>1.0499160730773689</v>
      </c>
      <c r="AH18">
        <v>1.0522024069929725</v>
      </c>
      <c r="AI18">
        <v>1.0129423586408284</v>
      </c>
      <c r="AJ18">
        <v>1.0762622508481667</v>
      </c>
      <c r="AK18">
        <v>1.0396499706257083</v>
      </c>
      <c r="AL18">
        <v>1.0452211776636868</v>
      </c>
    </row>
    <row r="19" spans="1:38" x14ac:dyDescent="0.4">
      <c r="A19" s="10">
        <v>42429</v>
      </c>
      <c r="B19" s="11">
        <v>1.0113916360571691</v>
      </c>
      <c r="C19" s="11">
        <v>1.020899899205792</v>
      </c>
      <c r="D19" s="11">
        <v>1.013126655783227</v>
      </c>
      <c r="E19" s="11">
        <v>1.0073762865385449</v>
      </c>
      <c r="P19" s="1">
        <f>A18</f>
        <v>42426</v>
      </c>
      <c r="Q19" s="14">
        <f>[1]!i_dq_close(Q$2,$P19)</f>
        <v>1786.3071</v>
      </c>
      <c r="R19" s="14">
        <f>[1]!i_dq_close(R$2,$P19)</f>
        <v>2789.3388</v>
      </c>
      <c r="S19" s="14">
        <f>[1]!i_dq_close(S$2,$P19)</f>
        <v>3572.3265000000001</v>
      </c>
      <c r="T19" s="14">
        <f>[1]!i_dq_close(T$2,$P19)</f>
        <v>5150.4440000000004</v>
      </c>
      <c r="U19" s="14">
        <f>[1]!i_dq_close(U$2,$P19)</f>
        <v>7106.0231999999996</v>
      </c>
      <c r="V19" s="14">
        <f>[1]!i_dq_close(V$2,$P19)</f>
        <v>8543.5701000000008</v>
      </c>
      <c r="W19" s="14">
        <f>[1]!i_dq_close(W$2,$P19)</f>
        <v>4768.5771999999997</v>
      </c>
      <c r="X19" s="14">
        <f>[1]!i_dq_close(X$2,$P19)</f>
        <v>5784.5147999999999</v>
      </c>
      <c r="Y19" s="14">
        <f>[1]!i_dq_close(Y$2,$P19)</f>
        <v>5207.7554</v>
      </c>
      <c r="Z19" s="14">
        <f>[1]!i_dq_close(Z$2,$P19)</f>
        <v>2380.6060000000002</v>
      </c>
      <c r="AB19" s="1">
        <v>42426</v>
      </c>
      <c r="AC19">
        <v>1.0604735251043536</v>
      </c>
      <c r="AD19">
        <v>1.0932970842302094</v>
      </c>
      <c r="AE19">
        <v>1.0572442788838368</v>
      </c>
      <c r="AF19">
        <v>1.0648984122803009</v>
      </c>
      <c r="AG19">
        <v>1.0595365921755431</v>
      </c>
      <c r="AH19">
        <v>1.0551797221798256</v>
      </c>
      <c r="AI19">
        <v>1.0220287403931709</v>
      </c>
      <c r="AJ19">
        <v>1.0685526938293193</v>
      </c>
      <c r="AK19">
        <v>1.0343777530329368</v>
      </c>
      <c r="AL19">
        <v>1.0580476283788407</v>
      </c>
    </row>
    <row r="20" spans="1:38" x14ac:dyDescent="0.4">
      <c r="A20" s="10">
        <v>42430</v>
      </c>
      <c r="B20" s="11">
        <v>1.0302934361934319</v>
      </c>
      <c r="C20" s="11">
        <v>1.038875623964082</v>
      </c>
      <c r="D20" s="11">
        <v>1.0287017373493179</v>
      </c>
      <c r="E20" s="11">
        <v>1.024084574692034</v>
      </c>
      <c r="P20" s="1">
        <f>A19</f>
        <v>42429</v>
      </c>
      <c r="Q20" s="14">
        <f>[1]!i_dq_close(Q$2,$P20)</f>
        <v>1758.2773999999999</v>
      </c>
      <c r="R20" s="14">
        <f>[1]!i_dq_close(R$2,$P20)</f>
        <v>2663.5356000000002</v>
      </c>
      <c r="S20" s="14">
        <f>[1]!i_dq_close(S$2,$P20)</f>
        <v>3373.5846999999999</v>
      </c>
      <c r="T20" s="14">
        <f>[1]!i_dq_close(T$2,$P20)</f>
        <v>4875.5092000000004</v>
      </c>
      <c r="U20" s="14">
        <f>[1]!i_dq_close(U$2,$P20)</f>
        <v>6867.0113000000001</v>
      </c>
      <c r="V20" s="14">
        <f>[1]!i_dq_close(V$2,$P20)</f>
        <v>8137.1850999999997</v>
      </c>
      <c r="W20" s="14">
        <f>[1]!i_dq_close(W$2,$P20)</f>
        <v>4715.7954</v>
      </c>
      <c r="X20" s="14">
        <f>[1]!i_dq_close(X$2,$P20)</f>
        <v>5404.6625000000004</v>
      </c>
      <c r="Y20" s="14">
        <f>[1]!i_dq_close(Y$2,$P20)</f>
        <v>4928.3498</v>
      </c>
      <c r="Z20" s="14">
        <f>[1]!i_dq_close(Z$2,$P20)</f>
        <v>2277.1255000000001</v>
      </c>
      <c r="AB20" s="1">
        <v>42429</v>
      </c>
      <c r="AC20">
        <v>1.0438331866280537</v>
      </c>
      <c r="AD20">
        <v>1.0439878100227056</v>
      </c>
      <c r="AE20">
        <v>0.99842585032612352</v>
      </c>
      <c r="AF20">
        <v>1.0080532874715269</v>
      </c>
      <c r="AG20">
        <v>1.0238989581729689</v>
      </c>
      <c r="AH20">
        <v>1.0049888527448045</v>
      </c>
      <c r="AI20">
        <v>1.0107162431204657</v>
      </c>
      <c r="AJ20">
        <v>0.99838393941239534</v>
      </c>
      <c r="AK20">
        <v>0.97888149514171174</v>
      </c>
      <c r="AL20">
        <v>1.0120562725608444</v>
      </c>
    </row>
    <row r="21" spans="1:38" x14ac:dyDescent="0.4">
      <c r="A21" s="10">
        <v>42431</v>
      </c>
      <c r="B21" s="11">
        <v>1.070668219455136</v>
      </c>
      <c r="C21" s="11">
        <v>1.08052153493847</v>
      </c>
      <c r="D21" s="11">
        <v>1.067265235477949</v>
      </c>
      <c r="E21" s="11">
        <v>1.0646535529448491</v>
      </c>
      <c r="P21" s="1">
        <f>A20</f>
        <v>42430</v>
      </c>
      <c r="Q21" s="14">
        <f>[1]!i_dq_close(Q$2,$P21)</f>
        <v>1788.3438000000001</v>
      </c>
      <c r="R21" s="14">
        <f>[1]!i_dq_close(R$2,$P21)</f>
        <v>2738.4232000000002</v>
      </c>
      <c r="S21" s="14">
        <f>[1]!i_dq_close(S$2,$P21)</f>
        <v>3443.2968000000001</v>
      </c>
      <c r="T21" s="14">
        <f>[1]!i_dq_close(T$2,$P21)</f>
        <v>4978.7491</v>
      </c>
      <c r="U21" s="14">
        <f>[1]!i_dq_close(U$2,$P21)</f>
        <v>6996.6044000000002</v>
      </c>
      <c r="V21" s="14">
        <f>[1]!i_dq_close(V$2,$P21)</f>
        <v>8274.625</v>
      </c>
      <c r="W21" s="14">
        <f>[1]!i_dq_close(W$2,$P21)</f>
        <v>4800.8667999999998</v>
      </c>
      <c r="X21" s="14">
        <f>[1]!i_dq_close(X$2,$P21)</f>
        <v>5522.0240000000003</v>
      </c>
      <c r="Y21" s="14">
        <f>[1]!i_dq_close(Y$2,$P21)</f>
        <v>5023.76</v>
      </c>
      <c r="Z21" s="14">
        <f>[1]!i_dq_close(Z$2,$P21)</f>
        <v>2315.2323000000001</v>
      </c>
      <c r="AB21" s="1">
        <v>42430</v>
      </c>
      <c r="AC21">
        <v>1.0616826489042757</v>
      </c>
      <c r="AD21">
        <v>1.0733404274691767</v>
      </c>
      <c r="AE21">
        <v>1.0190574244260771</v>
      </c>
      <c r="AF21">
        <v>1.0293990210808965</v>
      </c>
      <c r="AG21">
        <v>1.043221809742531</v>
      </c>
      <c r="AH21">
        <v>1.0219634656760455</v>
      </c>
      <c r="AI21">
        <v>1.0289492321523899</v>
      </c>
      <c r="AJ21">
        <v>1.0200637088161921</v>
      </c>
      <c r="AK21">
        <v>0.99783211411518036</v>
      </c>
      <c r="AL21">
        <v>1.0289926363964002</v>
      </c>
    </row>
    <row r="22" spans="1:38" x14ac:dyDescent="0.4">
      <c r="A22" s="10">
        <v>42432</v>
      </c>
      <c r="B22" s="11">
        <v>1.07037493326954</v>
      </c>
      <c r="C22" s="11">
        <v>1.0800818456015591</v>
      </c>
      <c r="D22" s="11">
        <v>1.0659700941992161</v>
      </c>
      <c r="E22" s="11">
        <v>1.0624336291967389</v>
      </c>
      <c r="P22" s="1">
        <f>A21</f>
        <v>42431</v>
      </c>
      <c r="Q22" s="14">
        <f>[1]!i_dq_close(Q$2,$P22)</f>
        <v>1877.8064999999999</v>
      </c>
      <c r="R22" s="14">
        <f>[1]!i_dq_close(R$2,$P22)</f>
        <v>2895.4398000000001</v>
      </c>
      <c r="S22" s="14">
        <f>[1]!i_dq_close(S$2,$P22)</f>
        <v>3618.1424000000002</v>
      </c>
      <c r="T22" s="14">
        <f>[1]!i_dq_close(T$2,$P22)</f>
        <v>5209.4925000000003</v>
      </c>
      <c r="U22" s="14">
        <f>[1]!i_dq_close(U$2,$P22)</f>
        <v>7259.3406999999997</v>
      </c>
      <c r="V22" s="14">
        <f>[1]!i_dq_close(V$2,$P22)</f>
        <v>8616.0416999999998</v>
      </c>
      <c r="W22" s="14">
        <f>[1]!i_dq_close(W$2,$P22)</f>
        <v>4996.7826999999997</v>
      </c>
      <c r="X22" s="14">
        <f>[1]!i_dq_close(X$2,$P22)</f>
        <v>5765.2344000000003</v>
      </c>
      <c r="Y22" s="14">
        <f>[1]!i_dq_close(Y$2,$P22)</f>
        <v>5245.7031999999999</v>
      </c>
      <c r="Z22" s="14">
        <f>[1]!i_dq_close(Z$2,$P22)</f>
        <v>2410.9027000000001</v>
      </c>
      <c r="AB22" s="1">
        <v>42431</v>
      </c>
      <c r="AC22">
        <v>1.114793799184288</v>
      </c>
      <c r="AD22">
        <v>1.1348839699587949</v>
      </c>
      <c r="AE22">
        <v>1.0708036772638321</v>
      </c>
      <c r="AF22">
        <v>1.077107195425508</v>
      </c>
      <c r="AG22">
        <v>1.0823968470464918</v>
      </c>
      <c r="AH22">
        <v>1.0641303788559997</v>
      </c>
      <c r="AI22">
        <v>1.0709390484229526</v>
      </c>
      <c r="AJ22">
        <v>1.06499109461652</v>
      </c>
      <c r="AK22">
        <v>1.0419150425332353</v>
      </c>
      <c r="AL22">
        <v>1.0715128349618304</v>
      </c>
    </row>
    <row r="23" spans="1:38" x14ac:dyDescent="0.4">
      <c r="A23" s="10">
        <v>42433</v>
      </c>
      <c r="B23" s="11">
        <v>1.0483398464723219</v>
      </c>
      <c r="C23" s="11">
        <v>1.0627052460347111</v>
      </c>
      <c r="D23" s="11">
        <v>1.040009997473734</v>
      </c>
      <c r="E23" s="11">
        <v>1.0306130182500051</v>
      </c>
      <c r="P23" s="1">
        <f>A22</f>
        <v>42432</v>
      </c>
      <c r="Q23" s="14">
        <f>[1]!i_dq_close(Q$2,$P23)</f>
        <v>1877.2137</v>
      </c>
      <c r="R23" s="14">
        <f>[1]!i_dq_close(R$2,$P23)</f>
        <v>2911.5115999999998</v>
      </c>
      <c r="S23" s="14">
        <f>[1]!i_dq_close(S$2,$P23)</f>
        <v>3630.2799</v>
      </c>
      <c r="T23" s="14">
        <f>[1]!i_dq_close(T$2,$P23)</f>
        <v>5216.8909999999996</v>
      </c>
      <c r="U23" s="14">
        <f>[1]!i_dq_close(U$2,$P23)</f>
        <v>7314.8233</v>
      </c>
      <c r="V23" s="14">
        <f>[1]!i_dq_close(V$2,$P23)</f>
        <v>8627.5139999999992</v>
      </c>
      <c r="W23" s="14">
        <f>[1]!i_dq_close(W$2,$P23)</f>
        <v>5010.9543000000003</v>
      </c>
      <c r="X23" s="14">
        <f>[1]!i_dq_close(X$2,$P23)</f>
        <v>5760.4512000000004</v>
      </c>
      <c r="Y23" s="14">
        <f>[1]!i_dq_close(Y$2,$P23)</f>
        <v>5256.2232999999997</v>
      </c>
      <c r="Z23" s="14">
        <f>[1]!i_dq_close(Z$2,$P23)</f>
        <v>2414.4648000000002</v>
      </c>
      <c r="AB23" s="1">
        <v>42432</v>
      </c>
      <c r="AC23">
        <v>1.1144418727402394</v>
      </c>
      <c r="AD23">
        <v>1.1411834026696333</v>
      </c>
      <c r="AE23">
        <v>1.0743958188093912</v>
      </c>
      <c r="AF23">
        <v>1.0786368986711419</v>
      </c>
      <c r="AG23">
        <v>1.0906695254876539</v>
      </c>
      <c r="AH23">
        <v>1.0655472734545193</v>
      </c>
      <c r="AI23">
        <v>1.0739763867924261</v>
      </c>
      <c r="AJ23">
        <v>1.0641075112181122</v>
      </c>
      <c r="AK23">
        <v>1.0440045718148299</v>
      </c>
      <c r="AL23">
        <v>1.0730959912913736</v>
      </c>
    </row>
    <row r="24" spans="1:38" x14ac:dyDescent="0.4">
      <c r="A24" s="10">
        <v>42436</v>
      </c>
      <c r="B24" s="11">
        <v>1.063901349464307</v>
      </c>
      <c r="C24" s="11">
        <v>1.0767904328398969</v>
      </c>
      <c r="D24" s="11">
        <v>1.0550413345673511</v>
      </c>
      <c r="E24" s="11">
        <v>1.04685224553861</v>
      </c>
      <c r="P24" s="1">
        <f>A23</f>
        <v>42433</v>
      </c>
      <c r="Q24" s="14">
        <f>[1]!i_dq_close(Q$2,$P24)</f>
        <v>1880.6264000000001</v>
      </c>
      <c r="R24" s="14">
        <f>[1]!i_dq_close(R$2,$P24)</f>
        <v>2852.5029</v>
      </c>
      <c r="S24" s="14">
        <f>[1]!i_dq_close(S$2,$P24)</f>
        <v>3557.9520000000002</v>
      </c>
      <c r="T24" s="14">
        <f>[1]!i_dq_close(T$2,$P24)</f>
        <v>5096.9717000000001</v>
      </c>
      <c r="U24" s="14">
        <f>[1]!i_dq_close(U$2,$P24)</f>
        <v>7328.4933000000001</v>
      </c>
      <c r="V24" s="14">
        <f>[1]!i_dq_close(V$2,$P24)</f>
        <v>8395.7194</v>
      </c>
      <c r="W24" s="14">
        <f>[1]!i_dq_close(W$2,$P24)</f>
        <v>5115.7362999999996</v>
      </c>
      <c r="X24" s="14">
        <f>[1]!i_dq_close(X$2,$P24)</f>
        <v>5521.6975000000002</v>
      </c>
      <c r="Y24" s="14">
        <f>[1]!i_dq_close(Y$2,$P24)</f>
        <v>5122.4722000000002</v>
      </c>
      <c r="Z24" s="14">
        <f>[1]!i_dq_close(Z$2,$P24)</f>
        <v>2397.0828000000001</v>
      </c>
      <c r="AB24" s="1">
        <v>42433</v>
      </c>
      <c r="AC24">
        <v>1.1164678838326905</v>
      </c>
      <c r="AD24">
        <v>1.1180546096903743</v>
      </c>
      <c r="AE24">
        <v>1.0529900882641341</v>
      </c>
      <c r="AF24">
        <v>1.053842556247117</v>
      </c>
      <c r="AG24">
        <v>1.0927077773772678</v>
      </c>
      <c r="AH24">
        <v>1.0369193159650871</v>
      </c>
      <c r="AI24">
        <v>1.0964338643553093</v>
      </c>
      <c r="AJ24">
        <v>1.0200033956409997</v>
      </c>
      <c r="AK24">
        <v>1.0174385848094334</v>
      </c>
      <c r="AL24">
        <v>1.0653706541812087</v>
      </c>
    </row>
    <row r="25" spans="1:38" x14ac:dyDescent="0.4">
      <c r="A25" s="10">
        <v>42437</v>
      </c>
      <c r="B25" s="11">
        <v>1.070613420818139</v>
      </c>
      <c r="C25" s="11">
        <v>1.079296468546745</v>
      </c>
      <c r="D25" s="11">
        <v>1.058004053471467</v>
      </c>
      <c r="E25" s="11">
        <v>1.052352425836758</v>
      </c>
      <c r="P25" s="1">
        <f>A24</f>
        <v>42436</v>
      </c>
      <c r="Q25" s="14">
        <f>[1]!i_dq_close(Q$2,$P25)</f>
        <v>1909.6566</v>
      </c>
      <c r="R25" s="14">
        <f>[1]!i_dq_close(R$2,$P25)</f>
        <v>2939.2231999999999</v>
      </c>
      <c r="S25" s="14">
        <f>[1]!i_dq_close(S$2,$P25)</f>
        <v>3622.7822999999999</v>
      </c>
      <c r="T25" s="14">
        <f>[1]!i_dq_close(T$2,$P25)</f>
        <v>5180.5133999999998</v>
      </c>
      <c r="U25" s="14">
        <f>[1]!i_dq_close(U$2,$P25)</f>
        <v>7400.8657999999996</v>
      </c>
      <c r="V25" s="14">
        <f>[1]!i_dq_close(V$2,$P25)</f>
        <v>8525.7381999999998</v>
      </c>
      <c r="W25" s="14">
        <f>[1]!i_dq_close(W$2,$P25)</f>
        <v>5096.6531000000004</v>
      </c>
      <c r="X25" s="14">
        <f>[1]!i_dq_close(X$2,$P25)</f>
        <v>5655.4917999999998</v>
      </c>
      <c r="Y25" s="14">
        <f>[1]!i_dq_close(Y$2,$P25)</f>
        <v>5234.0083999999997</v>
      </c>
      <c r="Z25" s="14">
        <f>[1]!i_dq_close(Z$2,$P25)</f>
        <v>2421.6208000000001</v>
      </c>
      <c r="AB25" s="1">
        <v>42436</v>
      </c>
      <c r="AC25">
        <v>1.1337021872335358</v>
      </c>
      <c r="AD25">
        <v>1.1520451206794191</v>
      </c>
      <c r="AE25">
        <v>1.0721768741789495</v>
      </c>
      <c r="AF25">
        <v>1.0711155182847971</v>
      </c>
      <c r="AG25">
        <v>1.1034988077270174</v>
      </c>
      <c r="AH25">
        <v>1.052977380644881</v>
      </c>
      <c r="AI25">
        <v>1.0923438437808977</v>
      </c>
      <c r="AJ25">
        <v>1.0447187373121816</v>
      </c>
      <c r="AK25">
        <v>1.039592191320567</v>
      </c>
      <c r="AL25">
        <v>1.0762764372907028</v>
      </c>
    </row>
    <row r="26" spans="1:38" x14ac:dyDescent="0.4">
      <c r="A26" s="10">
        <v>42438</v>
      </c>
      <c r="B26" s="11">
        <v>1.0522487946456529</v>
      </c>
      <c r="C26" s="11">
        <v>1.0601691179645061</v>
      </c>
      <c r="D26" s="11">
        <v>1.0391058528549559</v>
      </c>
      <c r="E26" s="11">
        <v>1.0340652739611511</v>
      </c>
      <c r="P26" s="1">
        <f>A25</f>
        <v>42437</v>
      </c>
      <c r="Q26" s="14">
        <f>[1]!i_dq_close(Q$2,$P26)</f>
        <v>1911.8178</v>
      </c>
      <c r="R26" s="14">
        <f>[1]!i_dq_close(R$2,$P26)</f>
        <v>2951.4755</v>
      </c>
      <c r="S26" s="14">
        <f>[1]!i_dq_close(S$2,$P26)</f>
        <v>3638.1459</v>
      </c>
      <c r="T26" s="14">
        <f>[1]!i_dq_close(T$2,$P26)</f>
        <v>5210.2317000000003</v>
      </c>
      <c r="U26" s="14">
        <f>[1]!i_dq_close(U$2,$P26)</f>
        <v>7355.9246000000003</v>
      </c>
      <c r="V26" s="14">
        <f>[1]!i_dq_close(V$2,$P26)</f>
        <v>8583.7638999999999</v>
      </c>
      <c r="W26" s="14">
        <f>[1]!i_dq_close(W$2,$P26)</f>
        <v>5101.8353999999999</v>
      </c>
      <c r="X26" s="14">
        <f>[1]!i_dq_close(X$2,$P26)</f>
        <v>5719.6032999999998</v>
      </c>
      <c r="Y26" s="14">
        <f>[1]!i_dq_close(Y$2,$P26)</f>
        <v>5276.6529</v>
      </c>
      <c r="Z26" s="14">
        <f>[1]!i_dq_close(Z$2,$P26)</f>
        <v>2414.1640000000002</v>
      </c>
      <c r="AB26" s="1">
        <v>42437</v>
      </c>
      <c r="AC26">
        <v>1.1349852227107253</v>
      </c>
      <c r="AD26">
        <v>1.1568474788099961</v>
      </c>
      <c r="AE26">
        <v>1.0767237928895041</v>
      </c>
      <c r="AF26">
        <v>1.077260031357004</v>
      </c>
      <c r="AG26">
        <v>1.0967978943530956</v>
      </c>
      <c r="AH26">
        <v>1.0601438861324746</v>
      </c>
      <c r="AI26">
        <v>1.0934545439581622</v>
      </c>
      <c r="AJ26">
        <v>1.0565618250038991</v>
      </c>
      <c r="AK26">
        <v>1.0480623514377672</v>
      </c>
      <c r="AL26">
        <v>1.0729623023371258</v>
      </c>
    </row>
    <row r="27" spans="1:38" x14ac:dyDescent="0.4">
      <c r="A27" s="10">
        <v>42439</v>
      </c>
      <c r="B27" s="11">
        <v>1.0380229911475249</v>
      </c>
      <c r="C27" s="11">
        <v>1.0455324829909269</v>
      </c>
      <c r="D27" s="11">
        <v>1.0252355304643881</v>
      </c>
      <c r="E27" s="11">
        <v>1.018673895606639</v>
      </c>
      <c r="P27" s="1">
        <f>A26</f>
        <v>42438</v>
      </c>
      <c r="Q27" s="14">
        <f>[1]!i_dq_close(Q$2,$P27)</f>
        <v>1836.8380999999999</v>
      </c>
      <c r="R27" s="14">
        <f>[1]!i_dq_close(R$2,$P27)</f>
        <v>2823.7069999999999</v>
      </c>
      <c r="S27" s="14">
        <f>[1]!i_dq_close(S$2,$P27)</f>
        <v>3572.4335999999998</v>
      </c>
      <c r="T27" s="14">
        <f>[1]!i_dq_close(T$2,$P27)</f>
        <v>5120.1971999999996</v>
      </c>
      <c r="U27" s="14">
        <f>[1]!i_dq_close(U$2,$P27)</f>
        <v>7234.2536</v>
      </c>
      <c r="V27" s="14">
        <f>[1]!i_dq_close(V$2,$P27)</f>
        <v>8489.5526000000009</v>
      </c>
      <c r="W27" s="14">
        <f>[1]!i_dq_close(W$2,$P27)</f>
        <v>5075.1167999999998</v>
      </c>
      <c r="X27" s="14">
        <f>[1]!i_dq_close(X$2,$P27)</f>
        <v>5615.8222999999998</v>
      </c>
      <c r="Y27" s="14">
        <f>[1]!i_dq_close(Y$2,$P27)</f>
        <v>5212.5717999999997</v>
      </c>
      <c r="Z27" s="14">
        <f>[1]!i_dq_close(Z$2,$P27)</f>
        <v>2374.6460000000002</v>
      </c>
      <c r="AB27" s="1">
        <v>42438</v>
      </c>
      <c r="AC27">
        <v>1.0904721673854305</v>
      </c>
      <c r="AD27">
        <v>1.1067678941763661</v>
      </c>
      <c r="AE27">
        <v>1.0572759755560945</v>
      </c>
      <c r="AF27">
        <v>1.0586446273063141</v>
      </c>
      <c r="AG27">
        <v>1.0786562597034097</v>
      </c>
      <c r="AH27">
        <v>1.0485082522936184</v>
      </c>
      <c r="AI27">
        <v>1.0877280607834598</v>
      </c>
      <c r="AJ27">
        <v>1.0373907327079124</v>
      </c>
      <c r="AK27">
        <v>1.0353343987712731</v>
      </c>
      <c r="AL27">
        <v>1.0553987381949388</v>
      </c>
    </row>
    <row r="28" spans="1:38" x14ac:dyDescent="0.4">
      <c r="A28" s="10">
        <v>42440</v>
      </c>
      <c r="B28" s="11">
        <v>1.038971210671545</v>
      </c>
      <c r="C28" s="11">
        <v>1.0448107753465949</v>
      </c>
      <c r="D28" s="11">
        <v>1.0236661307824499</v>
      </c>
      <c r="E28" s="11">
        <v>1.0164996951211189</v>
      </c>
      <c r="P28" s="1">
        <f>A27</f>
        <v>42439</v>
      </c>
      <c r="Q28" s="14">
        <f>[1]!i_dq_close(Q$2,$P28)</f>
        <v>1796.1554000000001</v>
      </c>
      <c r="R28" s="14">
        <f>[1]!i_dq_close(R$2,$P28)</f>
        <v>2770.4113000000002</v>
      </c>
      <c r="S28" s="14">
        <f>[1]!i_dq_close(S$2,$P28)</f>
        <v>3510.9351000000001</v>
      </c>
      <c r="T28" s="14">
        <f>[1]!i_dq_close(T$2,$P28)</f>
        <v>5034.6764000000003</v>
      </c>
      <c r="U28" s="14">
        <f>[1]!i_dq_close(U$2,$P28)</f>
        <v>7214.3190999999997</v>
      </c>
      <c r="V28" s="14">
        <f>[1]!i_dq_close(V$2,$P28)</f>
        <v>8348.2626999999993</v>
      </c>
      <c r="W28" s="14">
        <f>[1]!i_dq_close(W$2,$P28)</f>
        <v>4954.9246000000003</v>
      </c>
      <c r="X28" s="14">
        <f>[1]!i_dq_close(X$2,$P28)</f>
        <v>5515.0704999999998</v>
      </c>
      <c r="Y28" s="14">
        <f>[1]!i_dq_close(Y$2,$P28)</f>
        <v>5138.8816999999999</v>
      </c>
      <c r="Z28" s="14">
        <f>[1]!i_dq_close(Z$2,$P28)</f>
        <v>2340.7060999999999</v>
      </c>
      <c r="AB28" s="1">
        <v>42439</v>
      </c>
      <c r="AC28">
        <v>1.0663201465600289</v>
      </c>
      <c r="AD28">
        <v>1.0858783437882928</v>
      </c>
      <c r="AE28">
        <v>1.0390752491429469</v>
      </c>
      <c r="AF28">
        <v>1.040962469391979</v>
      </c>
      <c r="AG28">
        <v>1.0756839457097369</v>
      </c>
      <c r="AH28">
        <v>1.0310581423648879</v>
      </c>
      <c r="AI28">
        <v>1.0619677810146677</v>
      </c>
      <c r="AJ28">
        <v>1.0187792136746907</v>
      </c>
      <c r="AK28">
        <v>1.0206978818452337</v>
      </c>
      <c r="AL28">
        <v>1.0403143308203395</v>
      </c>
    </row>
    <row r="29" spans="1:38" x14ac:dyDescent="0.4">
      <c r="A29" s="10">
        <v>42443</v>
      </c>
      <c r="B29" s="11">
        <v>1.068645089054937</v>
      </c>
      <c r="C29" s="11">
        <v>1.072777297345729</v>
      </c>
      <c r="D29" s="11">
        <v>1.051817088848491</v>
      </c>
      <c r="E29" s="11">
        <v>1.051482121604135</v>
      </c>
      <c r="P29" s="1">
        <f>A28</f>
        <v>42440</v>
      </c>
      <c r="Q29" s="14">
        <f>[1]!i_dq_close(Q$2,$P29)</f>
        <v>1802.8713</v>
      </c>
      <c r="R29" s="14">
        <f>[1]!i_dq_close(R$2,$P29)</f>
        <v>2770.6808000000001</v>
      </c>
      <c r="S29" s="14">
        <f>[1]!i_dq_close(S$2,$P29)</f>
        <v>3504.3701000000001</v>
      </c>
      <c r="T29" s="14">
        <f>[1]!i_dq_close(T$2,$P29)</f>
        <v>5031.7856000000002</v>
      </c>
      <c r="U29" s="14">
        <f>[1]!i_dq_close(U$2,$P29)</f>
        <v>7185.9921999999997</v>
      </c>
      <c r="V29" s="14">
        <f>[1]!i_dq_close(V$2,$P29)</f>
        <v>8328.3796000000002</v>
      </c>
      <c r="W29" s="14">
        <f>[1]!i_dq_close(W$2,$P29)</f>
        <v>4968.4969000000001</v>
      </c>
      <c r="X29" s="14">
        <f>[1]!i_dq_close(X$2,$P29)</f>
        <v>5491.3984</v>
      </c>
      <c r="Y29" s="14">
        <f>[1]!i_dq_close(Y$2,$P29)</f>
        <v>5132.6316999999999</v>
      </c>
      <c r="Z29" s="14">
        <f>[1]!i_dq_close(Z$2,$P29)</f>
        <v>2346.4418999999998</v>
      </c>
      <c r="AB29" s="1">
        <v>42440</v>
      </c>
      <c r="AC29">
        <v>1.0703071620890205</v>
      </c>
      <c r="AD29">
        <v>1.08598397583421</v>
      </c>
      <c r="AE29">
        <v>1.0371323112029593</v>
      </c>
      <c r="AF29">
        <v>1.0403647717313074</v>
      </c>
      <c r="AG29">
        <v>1.0714602911777764</v>
      </c>
      <c r="AH29">
        <v>1.0286024659101383</v>
      </c>
      <c r="AI29">
        <v>1.0648766739803175</v>
      </c>
      <c r="AJ29">
        <v>1.0144063514557893</v>
      </c>
      <c r="AK29">
        <v>1.0194564907928707</v>
      </c>
      <c r="AL29">
        <v>1.0428635765110816</v>
      </c>
    </row>
    <row r="30" spans="1:38" x14ac:dyDescent="0.4">
      <c r="A30" s="10">
        <v>42444</v>
      </c>
      <c r="B30" s="11">
        <v>1.064507764338867</v>
      </c>
      <c r="C30" s="11">
        <v>1.0683586119453321</v>
      </c>
      <c r="D30" s="11">
        <v>1.0462629872601561</v>
      </c>
      <c r="E30" s="11">
        <v>1.0443643308370141</v>
      </c>
      <c r="P30" s="1">
        <f>A29</f>
        <v>42443</v>
      </c>
      <c r="Q30" s="14">
        <f>[1]!i_dq_close(Q$2,$P30)</f>
        <v>1837.4428</v>
      </c>
      <c r="R30" s="14">
        <f>[1]!i_dq_close(R$2,$P30)</f>
        <v>2857.8973999999998</v>
      </c>
      <c r="S30" s="14">
        <f>[1]!i_dq_close(S$2,$P30)</f>
        <v>3620.9059999999999</v>
      </c>
      <c r="T30" s="14">
        <f>[1]!i_dq_close(T$2,$P30)</f>
        <v>5192.4267</v>
      </c>
      <c r="U30" s="14">
        <f>[1]!i_dq_close(U$2,$P30)</f>
        <v>7306.7996999999996</v>
      </c>
      <c r="V30" s="14">
        <f>[1]!i_dq_close(V$2,$P30)</f>
        <v>8591.2515000000003</v>
      </c>
      <c r="W30" s="14">
        <f>[1]!i_dq_close(W$2,$P30)</f>
        <v>5009.1578</v>
      </c>
      <c r="X30" s="14">
        <f>[1]!i_dq_close(X$2,$P30)</f>
        <v>5730.3001999999997</v>
      </c>
      <c r="Y30" s="14">
        <f>[1]!i_dq_close(Y$2,$P30)</f>
        <v>5290.5896000000002</v>
      </c>
      <c r="Z30" s="14">
        <f>[1]!i_dq_close(Z$2,$P30)</f>
        <v>2397.9697000000001</v>
      </c>
      <c r="AB30" s="1">
        <v>42443</v>
      </c>
      <c r="AC30">
        <v>1.0908311584797561</v>
      </c>
      <c r="AD30">
        <v>1.1201690144091125</v>
      </c>
      <c r="AE30">
        <v>1.0716215757087595</v>
      </c>
      <c r="AF30">
        <v>1.0735786951012072</v>
      </c>
      <c r="AG30">
        <v>1.0894731745102213</v>
      </c>
      <c r="AH30">
        <v>1.0610686475138782</v>
      </c>
      <c r="AI30">
        <v>1.073591350636963</v>
      </c>
      <c r="AJ30">
        <v>1.0585378250152782</v>
      </c>
      <c r="AK30">
        <v>1.0508304945864824</v>
      </c>
      <c r="AL30">
        <v>1.0657648321516957</v>
      </c>
    </row>
    <row r="31" spans="1:38" x14ac:dyDescent="0.4">
      <c r="A31" s="10">
        <v>42445</v>
      </c>
      <c r="B31" s="11">
        <v>1.0582946115996339</v>
      </c>
      <c r="C31" s="11">
        <v>1.0615066985397339</v>
      </c>
      <c r="D31" s="11">
        <v>1.0385833762142369</v>
      </c>
      <c r="E31" s="11">
        <v>1.03587962071456</v>
      </c>
      <c r="P31" s="1">
        <f>A30</f>
        <v>42444</v>
      </c>
      <c r="Q31" s="14">
        <f>[1]!i_dq_close(Q$2,$P31)</f>
        <v>1815.9949999999999</v>
      </c>
      <c r="R31" s="14">
        <f>[1]!i_dq_close(R$2,$P31)</f>
        <v>2825.6046999999999</v>
      </c>
      <c r="S31" s="14">
        <f>[1]!i_dq_close(S$2,$P31)</f>
        <v>3603.8175999999999</v>
      </c>
      <c r="T31" s="14">
        <f>[1]!i_dq_close(T$2,$P31)</f>
        <v>5170.6634000000004</v>
      </c>
      <c r="U31" s="14">
        <f>[1]!i_dq_close(U$2,$P31)</f>
        <v>7339.0944</v>
      </c>
      <c r="V31" s="14">
        <f>[1]!i_dq_close(V$2,$P31)</f>
        <v>8574.8271999999997</v>
      </c>
      <c r="W31" s="14">
        <f>[1]!i_dq_close(W$2,$P31)</f>
        <v>5028.1423000000004</v>
      </c>
      <c r="X31" s="14">
        <f>[1]!i_dq_close(X$2,$P31)</f>
        <v>5671.1342999999997</v>
      </c>
      <c r="Y31" s="14">
        <f>[1]!i_dq_close(Y$2,$P31)</f>
        <v>5276.3328000000001</v>
      </c>
      <c r="Z31" s="14">
        <f>[1]!i_dq_close(Z$2,$P31)</f>
        <v>2417.8373000000001</v>
      </c>
      <c r="AB31" s="1">
        <v>42444</v>
      </c>
      <c r="AC31">
        <v>1.0780982840083211</v>
      </c>
      <c r="AD31">
        <v>1.1075117084009931</v>
      </c>
      <c r="AE31">
        <v>1.066564195557399</v>
      </c>
      <c r="AF31">
        <v>1.0690789464162436</v>
      </c>
      <c r="AG31">
        <v>1.0942884439542235</v>
      </c>
      <c r="AH31">
        <v>1.0590401526214446</v>
      </c>
      <c r="AI31">
        <v>1.0776602172628393</v>
      </c>
      <c r="AJ31">
        <v>1.04760832029211</v>
      </c>
      <c r="AK31">
        <v>1.0479987723536293</v>
      </c>
      <c r="AL31">
        <v>1.074594880913053</v>
      </c>
    </row>
    <row r="32" spans="1:38" x14ac:dyDescent="0.4">
      <c r="A32" s="10">
        <v>42446</v>
      </c>
      <c r="B32" s="11">
        <v>1.0887093696305929</v>
      </c>
      <c r="C32" s="11">
        <v>1.0902274456168579</v>
      </c>
      <c r="D32" s="11">
        <v>1.0684032330461399</v>
      </c>
      <c r="E32" s="11">
        <v>1.073573309346141</v>
      </c>
      <c r="P32" s="1">
        <f>A31</f>
        <v>42445</v>
      </c>
      <c r="Q32" s="14">
        <f>[1]!i_dq_close(Q$2,$P32)</f>
        <v>1812.5030999999999</v>
      </c>
      <c r="R32" s="14">
        <f>[1]!i_dq_close(R$2,$P32)</f>
        <v>2796.5680000000002</v>
      </c>
      <c r="S32" s="14">
        <f>[1]!i_dq_close(S$2,$P32)</f>
        <v>3575.1552999999999</v>
      </c>
      <c r="T32" s="14">
        <f>[1]!i_dq_close(T$2,$P32)</f>
        <v>5124.6238000000003</v>
      </c>
      <c r="U32" s="14">
        <f>[1]!i_dq_close(U$2,$P32)</f>
        <v>7265.8262000000004</v>
      </c>
      <c r="V32" s="14">
        <f>[1]!i_dq_close(V$2,$P32)</f>
        <v>8510.4789000000001</v>
      </c>
      <c r="W32" s="14">
        <f>[1]!i_dq_close(W$2,$P32)</f>
        <v>5093.3858</v>
      </c>
      <c r="X32" s="14">
        <f>[1]!i_dq_close(X$2,$P32)</f>
        <v>5614.4794000000002</v>
      </c>
      <c r="Y32" s="14">
        <f>[1]!i_dq_close(Y$2,$P32)</f>
        <v>5236.7092000000002</v>
      </c>
      <c r="Z32" s="14">
        <f>[1]!i_dq_close(Z$2,$P32)</f>
        <v>2413.1896000000002</v>
      </c>
      <c r="AB32" s="1">
        <v>42445</v>
      </c>
      <c r="AC32">
        <v>1.0760252544031026</v>
      </c>
      <c r="AD32">
        <v>1.0961306099680357</v>
      </c>
      <c r="AE32">
        <v>1.0580814735288688</v>
      </c>
      <c r="AF32">
        <v>1.059559864771628</v>
      </c>
      <c r="AG32">
        <v>1.0833638611379395</v>
      </c>
      <c r="AH32">
        <v>1.0510927699088308</v>
      </c>
      <c r="AI32">
        <v>1.091643577356882</v>
      </c>
      <c r="AJ32">
        <v>1.0371426636023511</v>
      </c>
      <c r="AK32">
        <v>1.0401286311532427</v>
      </c>
      <c r="AL32">
        <v>1.0725292354587375</v>
      </c>
    </row>
    <row r="33" spans="1:38" x14ac:dyDescent="0.4">
      <c r="A33" s="10">
        <v>42447</v>
      </c>
      <c r="B33" s="11">
        <v>1.120168181651551</v>
      </c>
      <c r="C33" s="11">
        <v>1.118944329134856</v>
      </c>
      <c r="D33" s="11">
        <v>1.0991385143722849</v>
      </c>
      <c r="E33" s="11">
        <v>1.110791271998504</v>
      </c>
      <c r="P33" s="1">
        <f>A32</f>
        <v>42446</v>
      </c>
      <c r="Q33" s="14">
        <f>[1]!i_dq_close(Q$2,$P33)</f>
        <v>1846.7361000000001</v>
      </c>
      <c r="R33" s="14">
        <f>[1]!i_dq_close(R$2,$P33)</f>
        <v>2882.085</v>
      </c>
      <c r="S33" s="14">
        <f>[1]!i_dq_close(S$2,$P33)</f>
        <v>3673.8368999999998</v>
      </c>
      <c r="T33" s="14">
        <f>[1]!i_dq_close(T$2,$P33)</f>
        <v>5279.1857</v>
      </c>
      <c r="U33" s="14">
        <f>[1]!i_dq_close(U$2,$P33)</f>
        <v>7389.3851000000004</v>
      </c>
      <c r="V33" s="14">
        <f>[1]!i_dq_close(V$2,$P33)</f>
        <v>8759.3526999999995</v>
      </c>
      <c r="W33" s="14">
        <f>[1]!i_dq_close(W$2,$P33)</f>
        <v>5112.0573000000004</v>
      </c>
      <c r="X33" s="14">
        <f>[1]!i_dq_close(X$2,$P33)</f>
        <v>5879.6130000000003</v>
      </c>
      <c r="Y33" s="14">
        <f>[1]!i_dq_close(Y$2,$P33)</f>
        <v>5388.8275999999996</v>
      </c>
      <c r="Z33" s="14">
        <f>[1]!i_dq_close(Z$2,$P33)</f>
        <v>2444.415</v>
      </c>
      <c r="AB33" s="1">
        <v>42446</v>
      </c>
      <c r="AC33">
        <v>1.0963482941452038</v>
      </c>
      <c r="AD33">
        <v>1.1296494807312842</v>
      </c>
      <c r="AE33">
        <v>1.0872866867228765</v>
      </c>
      <c r="AF33">
        <v>1.0915168614711408</v>
      </c>
      <c r="AG33">
        <v>1.101786989258174</v>
      </c>
      <c r="AH33">
        <v>1.0818301061825553</v>
      </c>
      <c r="AI33">
        <v>1.0956453600324882</v>
      </c>
      <c r="AJ33">
        <v>1.0861198435906649</v>
      </c>
      <c r="AK33">
        <v>1.0703427784588102</v>
      </c>
      <c r="AL33">
        <v>1.0864071977990744</v>
      </c>
    </row>
    <row r="34" spans="1:38" x14ac:dyDescent="0.4">
      <c r="A34" s="10">
        <v>42450</v>
      </c>
      <c r="B34" s="11">
        <v>1.1432594022039779</v>
      </c>
      <c r="C34" s="11">
        <v>1.1388385567787009</v>
      </c>
      <c r="D34" s="11">
        <v>1.1196351405908529</v>
      </c>
      <c r="E34" s="11">
        <v>1.1347625684862519</v>
      </c>
      <c r="P34" s="1">
        <f>A33</f>
        <v>42447</v>
      </c>
      <c r="Q34" s="14">
        <f>[1]!i_dq_close(Q$2,$P34)</f>
        <v>1880.479</v>
      </c>
      <c r="R34" s="14">
        <f>[1]!i_dq_close(R$2,$P34)</f>
        <v>2976.4870000000001</v>
      </c>
      <c r="S34" s="14">
        <f>[1]!i_dq_close(S$2,$P34)</f>
        <v>3782.7840000000001</v>
      </c>
      <c r="T34" s="14">
        <f>[1]!i_dq_close(T$2,$P34)</f>
        <v>5455.7780000000002</v>
      </c>
      <c r="U34" s="14">
        <f>[1]!i_dq_close(U$2,$P34)</f>
        <v>7543.83</v>
      </c>
      <c r="V34" s="14">
        <f>[1]!i_dq_close(V$2,$P34)</f>
        <v>9000.5830000000005</v>
      </c>
      <c r="W34" s="14">
        <f>[1]!i_dq_close(W$2,$P34)</f>
        <v>5182.134</v>
      </c>
      <c r="X34" s="14">
        <f>[1]!i_dq_close(X$2,$P34)</f>
        <v>6126.5640000000003</v>
      </c>
      <c r="Y34" s="14">
        <f>[1]!i_dq_close(Y$2,$P34)</f>
        <v>5520.107</v>
      </c>
      <c r="Z34" s="14">
        <f>[1]!i_dq_close(Z$2,$P34)</f>
        <v>2485.9279999999999</v>
      </c>
      <c r="AB34" s="1">
        <v>42447</v>
      </c>
      <c r="AC34">
        <v>1.1163803771561507</v>
      </c>
      <c r="AD34">
        <v>1.1666508773868287</v>
      </c>
      <c r="AE34">
        <v>1.1195300155944077</v>
      </c>
      <c r="AF34">
        <v>1.1280288320684189</v>
      </c>
      <c r="AG34">
        <v>1.12481534399601</v>
      </c>
      <c r="AH34">
        <v>1.1116234265341207</v>
      </c>
      <c r="AI34">
        <v>1.1106645991950439</v>
      </c>
      <c r="AJ34">
        <v>1.1317382170269026</v>
      </c>
      <c r="AK34">
        <v>1.0964178300619467</v>
      </c>
      <c r="AL34">
        <v>1.1048574290414097</v>
      </c>
    </row>
    <row r="35" spans="1:38" x14ac:dyDescent="0.4">
      <c r="A35" s="10">
        <v>42451</v>
      </c>
      <c r="B35" s="11">
        <v>1.1413245301627171</v>
      </c>
      <c r="C35" s="11">
        <v>1.134748582735996</v>
      </c>
      <c r="D35" s="11">
        <v>1.117340515049603</v>
      </c>
      <c r="E35" s="11">
        <v>1.1316019811526219</v>
      </c>
      <c r="P35" s="1">
        <f>A34</f>
        <v>42450</v>
      </c>
      <c r="Q35" s="14">
        <f>[1]!i_dq_close(Q$2,$P35)</f>
        <v>1909.5488</v>
      </c>
      <c r="R35" s="14">
        <f>[1]!i_dq_close(R$2,$P35)</f>
        <v>3044.2021</v>
      </c>
      <c r="S35" s="14">
        <f>[1]!i_dq_close(S$2,$P35)</f>
        <v>3882.9686000000002</v>
      </c>
      <c r="T35" s="14">
        <f>[1]!i_dq_close(T$2,$P35)</f>
        <v>5580.3982999999998</v>
      </c>
      <c r="U35" s="14">
        <f>[1]!i_dq_close(U$2,$P35)</f>
        <v>7701.7299000000003</v>
      </c>
      <c r="V35" s="14">
        <f>[1]!i_dq_close(V$2,$P35)</f>
        <v>9180.6692999999996</v>
      </c>
      <c r="W35" s="14">
        <f>[1]!i_dq_close(W$2,$P35)</f>
        <v>5352.9317000000001</v>
      </c>
      <c r="X35" s="14">
        <f>[1]!i_dq_close(X$2,$P35)</f>
        <v>6300.1489000000001</v>
      </c>
      <c r="Y35" s="14">
        <f>[1]!i_dq_close(Y$2,$P35)</f>
        <v>5635.4328999999998</v>
      </c>
      <c r="Z35" s="14">
        <f>[1]!i_dq_close(Z$2,$P35)</f>
        <v>2531.9776999999999</v>
      </c>
      <c r="AB35" s="1">
        <v>42450</v>
      </c>
      <c r="AC35">
        <v>1.1336381898133798</v>
      </c>
      <c r="AD35">
        <v>1.1931921929804585</v>
      </c>
      <c r="AE35">
        <v>1.1491800476343865</v>
      </c>
      <c r="AF35">
        <v>1.1537951465080856</v>
      </c>
      <c r="AG35">
        <v>1.1483588531068245</v>
      </c>
      <c r="AH35">
        <v>1.1338651135312687</v>
      </c>
      <c r="AI35">
        <v>1.1472709391727318</v>
      </c>
      <c r="AJ35">
        <v>1.1638039336714676</v>
      </c>
      <c r="AK35">
        <v>1.119324156520463</v>
      </c>
      <c r="AL35">
        <v>1.1253239723806086</v>
      </c>
    </row>
    <row r="36" spans="1:38" x14ac:dyDescent="0.4">
      <c r="A36" s="10">
        <v>42452</v>
      </c>
      <c r="B36" s="11">
        <v>1.149065589213166</v>
      </c>
      <c r="C36" s="11">
        <v>1.140218625088127</v>
      </c>
      <c r="D36" s="11">
        <v>1.124421154630828</v>
      </c>
      <c r="E36" s="11">
        <v>1.1417387802636769</v>
      </c>
      <c r="P36" s="1">
        <f>A35</f>
        <v>42451</v>
      </c>
      <c r="Q36" s="14">
        <f>[1]!i_dq_close(Q$2,$P36)</f>
        <v>1892.3124</v>
      </c>
      <c r="R36" s="14">
        <f>[1]!i_dq_close(R$2,$P36)</f>
        <v>3030.1424999999999</v>
      </c>
      <c r="S36" s="14">
        <f>[1]!i_dq_close(S$2,$P36)</f>
        <v>3876.0531000000001</v>
      </c>
      <c r="T36" s="14">
        <f>[1]!i_dq_close(T$2,$P36)</f>
        <v>5572.5267000000003</v>
      </c>
      <c r="U36" s="14">
        <f>[1]!i_dq_close(U$2,$P36)</f>
        <v>7708.1395000000002</v>
      </c>
      <c r="V36" s="14">
        <f>[1]!i_dq_close(V$2,$P36)</f>
        <v>9150.2211000000007</v>
      </c>
      <c r="W36" s="14">
        <f>[1]!i_dq_close(W$2,$P36)</f>
        <v>5282.6097</v>
      </c>
      <c r="X36" s="14">
        <f>[1]!i_dq_close(X$2,$P36)</f>
        <v>6273.3090000000002</v>
      </c>
      <c r="Y36" s="14">
        <f>[1]!i_dq_close(Y$2,$P36)</f>
        <v>5648.4287999999997</v>
      </c>
      <c r="Z36" s="14">
        <f>[1]!i_dq_close(Z$2,$P36)</f>
        <v>2524.9236000000001</v>
      </c>
      <c r="AB36" s="1">
        <v>42451</v>
      </c>
      <c r="AC36">
        <v>1.1234054891382783</v>
      </c>
      <c r="AD36">
        <v>1.187681453415425</v>
      </c>
      <c r="AE36">
        <v>1.147133377821137</v>
      </c>
      <c r="AF36">
        <v>1.1521676257851916</v>
      </c>
      <c r="AG36">
        <v>1.1493145502035085</v>
      </c>
      <c r="AH36">
        <v>1.1301045868614079</v>
      </c>
      <c r="AI36">
        <v>1.1321991259111306</v>
      </c>
      <c r="AJ36">
        <v>1.1588458951083873</v>
      </c>
      <c r="AK36">
        <v>1.1219054355568481</v>
      </c>
      <c r="AL36">
        <v>1.1221888152923096</v>
      </c>
    </row>
    <row r="37" spans="1:38" x14ac:dyDescent="0.4">
      <c r="A37" s="10">
        <v>42453</v>
      </c>
      <c r="B37" s="11">
        <v>1.1357034452361079</v>
      </c>
      <c r="C37" s="11">
        <v>1.127548728159631</v>
      </c>
      <c r="D37" s="11">
        <v>1.1113463816092961</v>
      </c>
      <c r="E37" s="11">
        <v>1.126839114748545</v>
      </c>
      <c r="P37" s="1">
        <f>A36</f>
        <v>42452</v>
      </c>
      <c r="Q37" s="14">
        <f>[1]!i_dq_close(Q$2,$P37)</f>
        <v>1898.934</v>
      </c>
      <c r="R37" s="14">
        <f>[1]!i_dq_close(R$2,$P37)</f>
        <v>3049.4690999999998</v>
      </c>
      <c r="S37" s="14">
        <f>[1]!i_dq_close(S$2,$P37)</f>
        <v>3898.5810000000001</v>
      </c>
      <c r="T37" s="14">
        <f>[1]!i_dq_close(T$2,$P37)</f>
        <v>5620.1913000000004</v>
      </c>
      <c r="U37" s="14">
        <f>[1]!i_dq_close(U$2,$P37)</f>
        <v>7736.5711000000001</v>
      </c>
      <c r="V37" s="14">
        <f>[1]!i_dq_close(V$2,$P37)</f>
        <v>9157.8803000000007</v>
      </c>
      <c r="W37" s="14">
        <f>[1]!i_dq_close(W$2,$P37)</f>
        <v>5308.8289999999997</v>
      </c>
      <c r="X37" s="14">
        <f>[1]!i_dq_close(X$2,$P37)</f>
        <v>6385.1032999999998</v>
      </c>
      <c r="Y37" s="14">
        <f>[1]!i_dq_close(Y$2,$P37)</f>
        <v>5676.6414999999997</v>
      </c>
      <c r="Z37" s="14">
        <f>[1]!i_dq_close(Z$2,$P37)</f>
        <v>2525.8312999999998</v>
      </c>
      <c r="AB37" s="1">
        <v>42452</v>
      </c>
      <c r="AC37">
        <v>1.1273365217663358</v>
      </c>
      <c r="AD37">
        <v>1.1952566233546535</v>
      </c>
      <c r="AE37">
        <v>1.1538005996974876</v>
      </c>
      <c r="AF37">
        <v>1.1620226900984771</v>
      </c>
      <c r="AG37">
        <v>1.1535538159258745</v>
      </c>
      <c r="AH37">
        <v>1.131050541823271</v>
      </c>
      <c r="AI37">
        <v>1.1378185962539806</v>
      </c>
      <c r="AJ37">
        <v>1.1794972556027477</v>
      </c>
      <c r="AK37">
        <v>1.1275091144917289</v>
      </c>
      <c r="AL37">
        <v>1.1225922377117605</v>
      </c>
    </row>
    <row r="38" spans="1:38" x14ac:dyDescent="0.4">
      <c r="A38" s="10">
        <v>42454</v>
      </c>
      <c r="B38" s="11">
        <v>1.1401112483050611</v>
      </c>
      <c r="C38" s="11">
        <v>1.131547866500153</v>
      </c>
      <c r="D38" s="11">
        <v>1.1160611246882861</v>
      </c>
      <c r="E38" s="11">
        <v>1.130719610494737</v>
      </c>
      <c r="P38" s="1">
        <f>A37</f>
        <v>42453</v>
      </c>
      <c r="Q38" s="14">
        <f>[1]!i_dq_close(Q$2,$P38)</f>
        <v>1847.6311000000001</v>
      </c>
      <c r="R38" s="14">
        <f>[1]!i_dq_close(R$2,$P38)</f>
        <v>2990.9650999999999</v>
      </c>
      <c r="S38" s="14">
        <f>[1]!i_dq_close(S$2,$P38)</f>
        <v>3838.7669999999998</v>
      </c>
      <c r="T38" s="14">
        <f>[1]!i_dq_close(T$2,$P38)</f>
        <v>5562.1890999999996</v>
      </c>
      <c r="U38" s="14">
        <f>[1]!i_dq_close(U$2,$P38)</f>
        <v>7700.0036</v>
      </c>
      <c r="V38" s="14">
        <f>[1]!i_dq_close(V$2,$P38)</f>
        <v>9015.2958999999992</v>
      </c>
      <c r="W38" s="14">
        <f>[1]!i_dq_close(W$2,$P38)</f>
        <v>5200.7539999999999</v>
      </c>
      <c r="X38" s="14">
        <f>[1]!i_dq_close(X$2,$P38)</f>
        <v>6278.6230999999998</v>
      </c>
      <c r="Y38" s="14">
        <f>[1]!i_dq_close(Y$2,$P38)</f>
        <v>5570.2304999999997</v>
      </c>
      <c r="Z38" s="14">
        <f>[1]!i_dq_close(Z$2,$P38)</f>
        <v>2488.7887999999998</v>
      </c>
      <c r="AB38" s="1">
        <v>42453</v>
      </c>
      <c r="AC38">
        <v>1.0968796270862016</v>
      </c>
      <c r="AD38">
        <v>1.1723256503886572</v>
      </c>
      <c r="AE38">
        <v>1.1360984077793754</v>
      </c>
      <c r="AF38">
        <v>1.1500302384401802</v>
      </c>
      <c r="AG38">
        <v>1.1481014548451536</v>
      </c>
      <c r="AH38">
        <v>1.1134405537482415</v>
      </c>
      <c r="AI38">
        <v>1.1146553440960851</v>
      </c>
      <c r="AJ38">
        <v>1.1598275497616484</v>
      </c>
      <c r="AK38">
        <v>1.1063734883680465</v>
      </c>
      <c r="AL38">
        <v>1.1061288963296825</v>
      </c>
    </row>
    <row r="39" spans="1:38" x14ac:dyDescent="0.4">
      <c r="A39" s="10">
        <v>42457</v>
      </c>
      <c r="B39" s="11">
        <v>1.134428797711001</v>
      </c>
      <c r="C39" s="11">
        <v>1.1271679709072051</v>
      </c>
      <c r="D39" s="11">
        <v>1.1113800894537289</v>
      </c>
      <c r="E39" s="11">
        <v>1.125220464677791</v>
      </c>
      <c r="P39" s="1">
        <f>A38</f>
        <v>42454</v>
      </c>
      <c r="Q39" s="14">
        <f>[1]!i_dq_close(Q$2,$P39)</f>
        <v>1853.2555</v>
      </c>
      <c r="R39" s="14">
        <f>[1]!i_dq_close(R$2,$P39)</f>
        <v>2998.6952999999999</v>
      </c>
      <c r="S39" s="14">
        <f>[1]!i_dq_close(S$2,$P39)</f>
        <v>3872.8292999999999</v>
      </c>
      <c r="T39" s="14">
        <f>[1]!i_dq_close(T$2,$P39)</f>
        <v>5605.7911000000004</v>
      </c>
      <c r="U39" s="14">
        <f>[1]!i_dq_close(U$2,$P39)</f>
        <v>7774.0700999999999</v>
      </c>
      <c r="V39" s="14">
        <f>[1]!i_dq_close(V$2,$P39)</f>
        <v>9090.8736000000008</v>
      </c>
      <c r="W39" s="14">
        <f>[1]!i_dq_close(W$2,$P39)</f>
        <v>5236.4516000000003</v>
      </c>
      <c r="X39" s="14">
        <f>[1]!i_dq_close(X$2,$P39)</f>
        <v>6290.2307000000001</v>
      </c>
      <c r="Y39" s="14">
        <f>[1]!i_dq_close(Y$2,$P39)</f>
        <v>5583.1122999999998</v>
      </c>
      <c r="Z39" s="14">
        <f>[1]!i_dq_close(Z$2,$P39)</f>
        <v>2509.1889999999999</v>
      </c>
      <c r="AB39" s="1">
        <v>42454</v>
      </c>
      <c r="AC39">
        <v>1.1002186538944121</v>
      </c>
      <c r="AD39">
        <v>1.1753555459038656</v>
      </c>
      <c r="AE39">
        <v>1.1461792813503173</v>
      </c>
      <c r="AF39">
        <v>1.1590453254059343</v>
      </c>
      <c r="AG39">
        <v>1.1591450673968786</v>
      </c>
      <c r="AH39">
        <v>1.1227748315215333</v>
      </c>
      <c r="AI39">
        <v>1.1223062579080831</v>
      </c>
      <c r="AJ39">
        <v>1.1619717801211062</v>
      </c>
      <c r="AK39">
        <v>1.1089321045693796</v>
      </c>
      <c r="AL39">
        <v>1.1151956563178764</v>
      </c>
    </row>
    <row r="40" spans="1:38" x14ac:dyDescent="0.4">
      <c r="A40" s="10">
        <v>42458</v>
      </c>
      <c r="B40" s="11">
        <v>1.1161679659144359</v>
      </c>
      <c r="C40" s="11">
        <v>1.111198177258768</v>
      </c>
      <c r="D40" s="11">
        <v>1.0948276283667939</v>
      </c>
      <c r="E40" s="11">
        <v>1.103972503302143</v>
      </c>
      <c r="P40" s="1">
        <f>A39</f>
        <v>42457</v>
      </c>
      <c r="Q40" s="14">
        <f>[1]!i_dq_close(Q$2,$P40)</f>
        <v>1841.2469000000001</v>
      </c>
      <c r="R40" s="14">
        <f>[1]!i_dq_close(R$2,$P40)</f>
        <v>2986.4054000000001</v>
      </c>
      <c r="S40" s="14">
        <f>[1]!i_dq_close(S$2,$P40)</f>
        <v>3848.0608999999999</v>
      </c>
      <c r="T40" s="14">
        <f>[1]!i_dq_close(T$2,$P40)</f>
        <v>5565.2267000000002</v>
      </c>
      <c r="U40" s="14">
        <f>[1]!i_dq_close(U$2,$P40)</f>
        <v>7828.6961000000001</v>
      </c>
      <c r="V40" s="14">
        <f>[1]!i_dq_close(V$2,$P40)</f>
        <v>9066.2052999999996</v>
      </c>
      <c r="W40" s="14">
        <f>[1]!i_dq_close(W$2,$P40)</f>
        <v>5160.0156999999999</v>
      </c>
      <c r="X40" s="14">
        <f>[1]!i_dq_close(X$2,$P40)</f>
        <v>6226.2017999999998</v>
      </c>
      <c r="Y40" s="14">
        <f>[1]!i_dq_close(Y$2,$P40)</f>
        <v>5580.8267999999998</v>
      </c>
      <c r="Z40" s="14">
        <f>[1]!i_dq_close(Z$2,$P40)</f>
        <v>2502.6084999999998</v>
      </c>
      <c r="AB40" s="1">
        <v>42457</v>
      </c>
      <c r="AC40">
        <v>1.0930895312628288</v>
      </c>
      <c r="AD40">
        <v>1.170538450241094</v>
      </c>
      <c r="AE40">
        <v>1.1388489745608605</v>
      </c>
      <c r="AF40">
        <v>1.150658288258243</v>
      </c>
      <c r="AG40">
        <v>1.167290023338506</v>
      </c>
      <c r="AH40">
        <v>1.1197281555259038</v>
      </c>
      <c r="AI40">
        <v>1.1059240786287337</v>
      </c>
      <c r="AJ40">
        <v>1.1501439508314435</v>
      </c>
      <c r="AK40">
        <v>1.1084781526893515</v>
      </c>
      <c r="AL40">
        <v>1.1122709882213719</v>
      </c>
    </row>
    <row r="41" spans="1:38" x14ac:dyDescent="0.4">
      <c r="A41" s="10">
        <v>42459</v>
      </c>
      <c r="B41" s="11">
        <v>1.150961060384623</v>
      </c>
      <c r="C41" s="11">
        <v>1.1420820141066359</v>
      </c>
      <c r="D41" s="11">
        <v>1.1259133728573949</v>
      </c>
      <c r="E41" s="11">
        <v>1.140182201054492</v>
      </c>
      <c r="P41" s="1">
        <f>A40</f>
        <v>42458</v>
      </c>
      <c r="Q41" s="14">
        <f>[1]!i_dq_close(Q$2,$P41)</f>
        <v>1818.6169</v>
      </c>
      <c r="R41" s="14">
        <f>[1]!i_dq_close(R$2,$P41)</f>
        <v>2941.7356</v>
      </c>
      <c r="S41" s="14">
        <f>[1]!i_dq_close(S$2,$P41)</f>
        <v>3765.9342000000001</v>
      </c>
      <c r="T41" s="14">
        <f>[1]!i_dq_close(T$2,$P41)</f>
        <v>5457.9004000000004</v>
      </c>
      <c r="U41" s="14">
        <f>[1]!i_dq_close(U$2,$P41)</f>
        <v>7686.9299000000001</v>
      </c>
      <c r="V41" s="14">
        <f>[1]!i_dq_close(V$2,$P41)</f>
        <v>8876.0262999999995</v>
      </c>
      <c r="W41" s="14">
        <f>[1]!i_dq_close(W$2,$P41)</f>
        <v>5128.1516000000001</v>
      </c>
      <c r="X41" s="14">
        <f>[1]!i_dq_close(X$2,$P41)</f>
        <v>6113.9915000000001</v>
      </c>
      <c r="Y41" s="14">
        <f>[1]!i_dq_close(Y$2,$P41)</f>
        <v>5485.9049999999997</v>
      </c>
      <c r="Z41" s="14">
        <f>[1]!i_dq_close(Z$2,$P41)</f>
        <v>2476.6891999999998</v>
      </c>
      <c r="AB41" s="1">
        <v>42458</v>
      </c>
      <c r="AC41">
        <v>1.0796548223748041</v>
      </c>
      <c r="AD41">
        <v>1.1530298700380914</v>
      </c>
      <c r="AE41">
        <v>1.1145432500649026</v>
      </c>
      <c r="AF41">
        <v>1.1284676564474867</v>
      </c>
      <c r="AG41">
        <v>1.1461521136798833</v>
      </c>
      <c r="AH41">
        <v>1.096239962412765</v>
      </c>
      <c r="AI41">
        <v>1.0990947824632522</v>
      </c>
      <c r="AJ41">
        <v>1.1294157441475576</v>
      </c>
      <c r="AK41">
        <v>1.0896245409782788</v>
      </c>
      <c r="AL41">
        <v>1.1007512937006323</v>
      </c>
    </row>
    <row r="42" spans="1:38" x14ac:dyDescent="0.4">
      <c r="A42" s="10">
        <v>42460</v>
      </c>
      <c r="B42" s="11">
        <v>1.1556875902098931</v>
      </c>
      <c r="C42" s="11">
        <v>1.1448191518388089</v>
      </c>
      <c r="D42" s="11">
        <v>1.1293696480508479</v>
      </c>
      <c r="E42" s="11">
        <v>1.1448389771675189</v>
      </c>
      <c r="P42" s="1">
        <f>A41</f>
        <v>42459</v>
      </c>
      <c r="Q42" s="14">
        <f>[1]!i_dq_close(Q$2,$P42)</f>
        <v>1872.1286</v>
      </c>
      <c r="R42" s="14">
        <f>[1]!i_dq_close(R$2,$P42)</f>
        <v>3042.9785999999999</v>
      </c>
      <c r="S42" s="14">
        <f>[1]!i_dq_close(S$2,$P42)</f>
        <v>3898.9888000000001</v>
      </c>
      <c r="T42" s="14">
        <f>[1]!i_dq_close(T$2,$P42)</f>
        <v>5633.6536999999998</v>
      </c>
      <c r="U42" s="14">
        <f>[1]!i_dq_close(U$2,$P42)</f>
        <v>7877.5119000000004</v>
      </c>
      <c r="V42" s="14">
        <f>[1]!i_dq_close(V$2,$P42)</f>
        <v>9197.2991000000002</v>
      </c>
      <c r="W42" s="14">
        <f>[1]!i_dq_close(W$2,$P42)</f>
        <v>5256.7212</v>
      </c>
      <c r="X42" s="14">
        <f>[1]!i_dq_close(X$2,$P42)</f>
        <v>6364.7276000000002</v>
      </c>
      <c r="Y42" s="14">
        <f>[1]!i_dq_close(Y$2,$P42)</f>
        <v>5675.6220000000003</v>
      </c>
      <c r="Z42" s="14">
        <f>[1]!i_dq_close(Z$2,$P42)</f>
        <v>2539.8780999999999</v>
      </c>
      <c r="AB42" s="1">
        <v>42459</v>
      </c>
      <c r="AC42">
        <v>1.1114230111332357</v>
      </c>
      <c r="AD42">
        <v>1.1927126352506641</v>
      </c>
      <c r="AE42">
        <v>1.1539212897343387</v>
      </c>
      <c r="AF42">
        <v>1.1648061566084482</v>
      </c>
      <c r="AG42">
        <v>1.1745686551302406</v>
      </c>
      <c r="AH42">
        <v>1.135918988847854</v>
      </c>
      <c r="AI42">
        <v>1.1266505545163614</v>
      </c>
      <c r="AJ42">
        <v>1.1757333255452675</v>
      </c>
      <c r="AK42">
        <v>1.1273066187832674</v>
      </c>
      <c r="AL42">
        <v>1.1288352629861285</v>
      </c>
    </row>
    <row r="43" spans="1:38" x14ac:dyDescent="0.4">
      <c r="A43" s="10">
        <v>42461</v>
      </c>
      <c r="B43" s="11">
        <v>1.151169017059742</v>
      </c>
      <c r="C43" s="11">
        <v>1.1420380421926939</v>
      </c>
      <c r="D43" s="11">
        <v>1.1235826336423871</v>
      </c>
      <c r="E43" s="11">
        <v>1.1374965940330219</v>
      </c>
      <c r="P43" s="1">
        <f>A42</f>
        <v>42460</v>
      </c>
      <c r="Q43" s="14">
        <f>[1]!i_dq_close(Q$2,$P43)</f>
        <v>1872.6652999999999</v>
      </c>
      <c r="R43" s="14">
        <f>[1]!i_dq_close(R$2,$P43)</f>
        <v>3047.6702</v>
      </c>
      <c r="S43" s="14">
        <f>[1]!i_dq_close(S$2,$P43)</f>
        <v>3922.8465000000001</v>
      </c>
      <c r="T43" s="14">
        <f>[1]!i_dq_close(T$2,$P43)</f>
        <v>5656.3429999999998</v>
      </c>
      <c r="U43" s="14">
        <f>[1]!i_dq_close(U$2,$P43)</f>
        <v>7887.1620999999996</v>
      </c>
      <c r="V43" s="14">
        <f>[1]!i_dq_close(V$2,$P43)</f>
        <v>9190.6291000000001</v>
      </c>
      <c r="W43" s="14">
        <f>[1]!i_dq_close(W$2,$P43)</f>
        <v>5247.7521999999999</v>
      </c>
      <c r="X43" s="14">
        <f>[1]!i_dq_close(X$2,$P43)</f>
        <v>6362.1437999999998</v>
      </c>
      <c r="Y43" s="14">
        <f>[1]!i_dq_close(Y$2,$P43)</f>
        <v>5673.5950999999995</v>
      </c>
      <c r="Z43" s="14">
        <f>[1]!i_dq_close(Z$2,$P43)</f>
        <v>2540.3941</v>
      </c>
      <c r="AB43" s="1">
        <v>42460</v>
      </c>
      <c r="AC43">
        <v>1.1117416327974072</v>
      </c>
      <c r="AD43">
        <v>1.1945515343476023</v>
      </c>
      <c r="AE43">
        <v>1.1609820712257077</v>
      </c>
      <c r="AF43">
        <v>1.1694973637249126</v>
      </c>
      <c r="AG43">
        <v>1.1760075386990152</v>
      </c>
      <c r="AH43">
        <v>1.1350952057379173</v>
      </c>
      <c r="AI43">
        <v>1.1247282671362628</v>
      </c>
      <c r="AJ43">
        <v>1.1752560294286916</v>
      </c>
      <c r="AK43">
        <v>1.1269040306994218</v>
      </c>
      <c r="AL43">
        <v>1.1290645964315804</v>
      </c>
    </row>
    <row r="44" spans="1:38" x14ac:dyDescent="0.4">
      <c r="A44" s="10">
        <v>42465</v>
      </c>
      <c r="B44" s="11">
        <v>1.1766625175114691</v>
      </c>
      <c r="C44" s="11">
        <v>1.1639878108552399</v>
      </c>
      <c r="D44" s="11">
        <v>1.146246655566477</v>
      </c>
      <c r="E44" s="11">
        <v>1.1638791382679541</v>
      </c>
      <c r="P44" s="1">
        <f>A43</f>
        <v>42461</v>
      </c>
      <c r="Q44" s="14">
        <f>[1]!i_dq_close(Q$2,$P44)</f>
        <v>1898.9598000000001</v>
      </c>
      <c r="R44" s="14">
        <f>[1]!i_dq_close(R$2,$P44)</f>
        <v>3058.0176999999999</v>
      </c>
      <c r="S44" s="14">
        <f>[1]!i_dq_close(S$2,$P44)</f>
        <v>3911.1561000000002</v>
      </c>
      <c r="T44" s="14">
        <f>[1]!i_dq_close(T$2,$P44)</f>
        <v>5632.3972999999996</v>
      </c>
      <c r="U44" s="14">
        <f>[1]!i_dq_close(U$2,$P44)</f>
        <v>7838.5223999999998</v>
      </c>
      <c r="V44" s="14">
        <f>[1]!i_dq_close(V$2,$P44)</f>
        <v>9128.4483999999993</v>
      </c>
      <c r="W44" s="14">
        <f>[1]!i_dq_close(W$2,$P44)</f>
        <v>5257.9444000000003</v>
      </c>
      <c r="X44" s="14">
        <f>[1]!i_dq_close(X$2,$P44)</f>
        <v>6297.0401000000002</v>
      </c>
      <c r="Y44" s="14">
        <f>[1]!i_dq_close(Y$2,$P44)</f>
        <v>5663.0496999999996</v>
      </c>
      <c r="Z44" s="14">
        <f>[1]!i_dq_close(Z$2,$P44)</f>
        <v>2541.3094999999998</v>
      </c>
      <c r="AB44" s="1">
        <v>42461</v>
      </c>
      <c r="AC44">
        <v>1.127351838403071</v>
      </c>
      <c r="AD44">
        <v>1.1986072953684836</v>
      </c>
      <c r="AE44">
        <v>1.1575222507087801</v>
      </c>
      <c r="AF44">
        <v>1.1645463851469608</v>
      </c>
      <c r="AG44">
        <v>1.168755164124381</v>
      </c>
      <c r="AH44">
        <v>1.1274155340101759</v>
      </c>
      <c r="AI44">
        <v>1.1269127177367135</v>
      </c>
      <c r="AJ44">
        <v>1.1632296561858995</v>
      </c>
      <c r="AK44">
        <v>1.1248094762668475</v>
      </c>
      <c r="AL44">
        <v>1.1294714410749267</v>
      </c>
    </row>
    <row r="45" spans="1:38" x14ac:dyDescent="0.4">
      <c r="A45" s="10">
        <v>42466</v>
      </c>
      <c r="B45" s="11">
        <v>1.182483703604942</v>
      </c>
      <c r="C45" s="11">
        <v>1.1673763145927061</v>
      </c>
      <c r="D45" s="11">
        <v>1.150217462841296</v>
      </c>
      <c r="E45" s="11">
        <v>1.1680602383535319</v>
      </c>
      <c r="P45" s="1">
        <f>A44</f>
        <v>42465</v>
      </c>
      <c r="Q45" s="14">
        <f>[1]!i_dq_close(Q$2,$P45)</f>
        <v>1918.3061</v>
      </c>
      <c r="R45" s="14">
        <f>[1]!i_dq_close(R$2,$P45)</f>
        <v>3121.1925999999999</v>
      </c>
      <c r="S45" s="14">
        <f>[1]!i_dq_close(S$2,$P45)</f>
        <v>4012.0927999999999</v>
      </c>
      <c r="T45" s="14">
        <f>[1]!i_dq_close(T$2,$P45)</f>
        <v>5768.3303999999998</v>
      </c>
      <c r="U45" s="14">
        <f>[1]!i_dq_close(U$2,$P45)</f>
        <v>7986.3194000000003</v>
      </c>
      <c r="V45" s="14">
        <f>[1]!i_dq_close(V$2,$P45)</f>
        <v>9345.3639999999996</v>
      </c>
      <c r="W45" s="14">
        <f>[1]!i_dq_close(W$2,$P45)</f>
        <v>5309.1705000000002</v>
      </c>
      <c r="X45" s="14">
        <f>[1]!i_dq_close(X$2,$P45)</f>
        <v>6497.0520999999999</v>
      </c>
      <c r="Y45" s="14">
        <f>[1]!i_dq_close(Y$2,$P45)</f>
        <v>5788.433</v>
      </c>
      <c r="Z45" s="14">
        <f>[1]!i_dq_close(Z$2,$P45)</f>
        <v>2579.5677999999998</v>
      </c>
      <c r="AB45" s="1">
        <v>42465</v>
      </c>
      <c r="AC45">
        <v>1.1388371193823192</v>
      </c>
      <c r="AD45">
        <v>1.2233690539495978</v>
      </c>
      <c r="AE45">
        <v>1.1873948697441383</v>
      </c>
      <c r="AF45">
        <v>1.1926517178845537</v>
      </c>
      <c r="AG45">
        <v>1.1907922902786792</v>
      </c>
      <c r="AH45">
        <v>1.1542058499864527</v>
      </c>
      <c r="AI45">
        <v>1.1378917884872624</v>
      </c>
      <c r="AJ45">
        <v>1.2001771563285544</v>
      </c>
      <c r="AK45">
        <v>1.1497134293445697</v>
      </c>
      <c r="AL45">
        <v>1.1464751382767342</v>
      </c>
    </row>
    <row r="46" spans="1:38" x14ac:dyDescent="0.4">
      <c r="A46" s="10">
        <v>42467</v>
      </c>
      <c r="B46" s="11">
        <v>1.1654171729869069</v>
      </c>
      <c r="C46" s="11">
        <v>1.1532193972438129</v>
      </c>
      <c r="D46" s="11">
        <v>1.1343511357102309</v>
      </c>
      <c r="E46" s="11">
        <v>1.151362641204934</v>
      </c>
      <c r="P46" s="1">
        <f>A45</f>
        <v>42466</v>
      </c>
      <c r="Q46" s="14">
        <f>[1]!i_dq_close(Q$2,$P46)</f>
        <v>1925.9069</v>
      </c>
      <c r="R46" s="14">
        <f>[1]!i_dq_close(R$2,$P46)</f>
        <v>3134.4715000000001</v>
      </c>
      <c r="S46" s="14">
        <f>[1]!i_dq_close(S$2,$P46)</f>
        <v>4032.1963999999998</v>
      </c>
      <c r="T46" s="14">
        <f>[1]!i_dq_close(T$2,$P46)</f>
        <v>5784.3105999999998</v>
      </c>
      <c r="U46" s="14">
        <f>[1]!i_dq_close(U$2,$P46)</f>
        <v>8053.9413000000004</v>
      </c>
      <c r="V46" s="14">
        <f>[1]!i_dq_close(V$2,$P46)</f>
        <v>9413.1067000000003</v>
      </c>
      <c r="W46" s="14">
        <f>[1]!i_dq_close(W$2,$P46)</f>
        <v>5276.7668999999996</v>
      </c>
      <c r="X46" s="14">
        <f>[1]!i_dq_close(X$2,$P46)</f>
        <v>6522.9110000000001</v>
      </c>
      <c r="Y46" s="14">
        <f>[1]!i_dq_close(Y$2,$P46)</f>
        <v>5804.915</v>
      </c>
      <c r="Z46" s="14">
        <f>[1]!i_dq_close(Z$2,$P46)</f>
        <v>2575.9243999999999</v>
      </c>
      <c r="AB46" s="1">
        <v>42466</v>
      </c>
      <c r="AC46">
        <v>1.1433494718045949</v>
      </c>
      <c r="AD46">
        <v>1.2285737937437686</v>
      </c>
      <c r="AE46">
        <v>1.193344610364143</v>
      </c>
      <c r="AF46">
        <v>1.1959557611103264</v>
      </c>
      <c r="AG46">
        <v>1.2008749870931836</v>
      </c>
      <c r="AH46">
        <v>1.1625724604934247</v>
      </c>
      <c r="AI46">
        <v>1.1309468635959963</v>
      </c>
      <c r="AJ46">
        <v>1.204953978276432</v>
      </c>
      <c r="AK46">
        <v>1.1529871265165776</v>
      </c>
      <c r="AL46">
        <v>1.1448558485961926</v>
      </c>
    </row>
    <row r="47" spans="1:38" x14ac:dyDescent="0.4">
      <c r="A47" s="10">
        <v>42468</v>
      </c>
      <c r="B47" s="11">
        <v>1.158719405769534</v>
      </c>
      <c r="C47" s="11">
        <v>1.145650111235504</v>
      </c>
      <c r="D47" s="11">
        <v>1.1262727882151551</v>
      </c>
      <c r="E47" s="11">
        <v>1.1428513276144989</v>
      </c>
      <c r="P47" s="1">
        <f>A46</f>
        <v>42467</v>
      </c>
      <c r="Q47" s="14">
        <f>[1]!i_dq_close(Q$2,$P47)</f>
        <v>1908.6443999999999</v>
      </c>
      <c r="R47" s="14">
        <f>[1]!i_dq_close(R$2,$P47)</f>
        <v>3096.1478000000002</v>
      </c>
      <c r="S47" s="14">
        <f>[1]!i_dq_close(S$2,$P47)</f>
        <v>3959.8492999999999</v>
      </c>
      <c r="T47" s="14">
        <f>[1]!i_dq_close(T$2,$P47)</f>
        <v>5705.6268</v>
      </c>
      <c r="U47" s="14">
        <f>[1]!i_dq_close(U$2,$P47)</f>
        <v>7919.1764999999996</v>
      </c>
      <c r="V47" s="14">
        <f>[1]!i_dq_close(V$2,$P47)</f>
        <v>9278.1034999999993</v>
      </c>
      <c r="W47" s="14">
        <f>[1]!i_dq_close(W$2,$P47)</f>
        <v>5204.4345000000003</v>
      </c>
      <c r="X47" s="14">
        <f>[1]!i_dq_close(X$2,$P47)</f>
        <v>6389.0132000000003</v>
      </c>
      <c r="Y47" s="14">
        <f>[1]!i_dq_close(Y$2,$P47)</f>
        <v>5714.4804000000004</v>
      </c>
      <c r="Z47" s="14">
        <f>[1]!i_dq_close(Z$2,$P47)</f>
        <v>2542.1635000000001</v>
      </c>
      <c r="AB47" s="1">
        <v>42467</v>
      </c>
      <c r="AC47">
        <v>1.1331012763923312</v>
      </c>
      <c r="AD47">
        <v>1.2135526032498376</v>
      </c>
      <c r="AE47">
        <v>1.1719331975022904</v>
      </c>
      <c r="AF47">
        <v>1.1796872115071892</v>
      </c>
      <c r="AG47">
        <v>1.1807810142875195</v>
      </c>
      <c r="AH47">
        <v>1.1458987939345948</v>
      </c>
      <c r="AI47">
        <v>1.1154441699074857</v>
      </c>
      <c r="AJ47">
        <v>1.1802195174210774</v>
      </c>
      <c r="AK47">
        <v>1.1350247739943313</v>
      </c>
      <c r="AL47">
        <v>1.1298509968160428</v>
      </c>
    </row>
    <row r="48" spans="1:38" x14ac:dyDescent="0.4">
      <c r="A48" s="10">
        <v>42471</v>
      </c>
      <c r="B48" s="11">
        <v>1.180656170927606</v>
      </c>
      <c r="C48" s="11">
        <v>1.167055072883709</v>
      </c>
      <c r="D48" s="11">
        <v>1.145878638632257</v>
      </c>
      <c r="E48" s="11">
        <v>1.165839324030435</v>
      </c>
      <c r="P48" s="1">
        <f>A47</f>
        <v>42468</v>
      </c>
      <c r="Q48" s="14">
        <f>[1]!i_dq_close(Q$2,$P48)</f>
        <v>1896.3269</v>
      </c>
      <c r="R48" s="14">
        <f>[1]!i_dq_close(R$2,$P48)</f>
        <v>3076.2029000000002</v>
      </c>
      <c r="S48" s="14">
        <f>[1]!i_dq_close(S$2,$P48)</f>
        <v>3920.3926999999999</v>
      </c>
      <c r="T48" s="14">
        <f>[1]!i_dq_close(T$2,$P48)</f>
        <v>5662.3941000000004</v>
      </c>
      <c r="U48" s="14">
        <f>[1]!i_dq_close(U$2,$P48)</f>
        <v>7842.3626999999997</v>
      </c>
      <c r="V48" s="14">
        <f>[1]!i_dq_close(V$2,$P48)</f>
        <v>9204.2060000000001</v>
      </c>
      <c r="W48" s="14">
        <f>[1]!i_dq_close(W$2,$P48)</f>
        <v>5168.7078000000001</v>
      </c>
      <c r="X48" s="14">
        <f>[1]!i_dq_close(X$2,$P48)</f>
        <v>6337.8602000000001</v>
      </c>
      <c r="Y48" s="14">
        <f>[1]!i_dq_close(Y$2,$P48)</f>
        <v>5659.6704</v>
      </c>
      <c r="Z48" s="14">
        <f>[1]!i_dq_close(Z$2,$P48)</f>
        <v>2521.7271000000001</v>
      </c>
      <c r="AB48" s="1">
        <v>42468</v>
      </c>
      <c r="AC48">
        <v>1.1257887696875923</v>
      </c>
      <c r="AD48">
        <v>1.2057350871362471</v>
      </c>
      <c r="AE48">
        <v>1.1602558593266763</v>
      </c>
      <c r="AF48">
        <v>1.1707484804796138</v>
      </c>
      <c r="AG48">
        <v>1.1693277682744676</v>
      </c>
      <c r="AH48">
        <v>1.1367720304613504</v>
      </c>
      <c r="AI48">
        <v>1.107787019217044</v>
      </c>
      <c r="AJ48">
        <v>1.1707702070057162</v>
      </c>
      <c r="AK48">
        <v>1.1241382710215273</v>
      </c>
      <c r="AL48">
        <v>1.1207681479310945</v>
      </c>
    </row>
    <row r="49" spans="1:38" x14ac:dyDescent="0.4">
      <c r="A49" s="10">
        <v>42472</v>
      </c>
      <c r="B49" s="11">
        <v>1.1724696004587869</v>
      </c>
      <c r="C49" s="11">
        <v>1.1609282112946679</v>
      </c>
      <c r="D49" s="11">
        <v>1.137834023778409</v>
      </c>
      <c r="E49" s="11">
        <v>1.1561837418929719</v>
      </c>
      <c r="P49" s="1">
        <f>A48</f>
        <v>42471</v>
      </c>
      <c r="Q49" s="14">
        <f>[1]!i_dq_close(Q$2,$P49)</f>
        <v>1930.9132</v>
      </c>
      <c r="R49" s="14">
        <f>[1]!i_dq_close(R$2,$P49)</f>
        <v>3146.9067</v>
      </c>
      <c r="S49" s="14">
        <f>[1]!i_dq_close(S$2,$P49)</f>
        <v>3992.7381999999998</v>
      </c>
      <c r="T49" s="14">
        <f>[1]!i_dq_close(T$2,$P49)</f>
        <v>5776.2136</v>
      </c>
      <c r="U49" s="14">
        <f>[1]!i_dq_close(U$2,$P49)</f>
        <v>7935.0519000000004</v>
      </c>
      <c r="V49" s="14">
        <f>[1]!i_dq_close(V$2,$P49)</f>
        <v>9449.8449000000001</v>
      </c>
      <c r="W49" s="14">
        <f>[1]!i_dq_close(W$2,$P49)</f>
        <v>5241.8215</v>
      </c>
      <c r="X49" s="14">
        <f>[1]!i_dq_close(X$2,$P49)</f>
        <v>6457.4975999999997</v>
      </c>
      <c r="Y49" s="14">
        <f>[1]!i_dq_close(Y$2,$P49)</f>
        <v>5756.6755000000003</v>
      </c>
      <c r="Z49" s="14">
        <f>[1]!i_dq_close(Z$2,$P49)</f>
        <v>2557.6190000000001</v>
      </c>
      <c r="AB49" s="1">
        <v>42471</v>
      </c>
      <c r="AC49">
        <v>1.146321552366067</v>
      </c>
      <c r="AD49">
        <v>1.2334478405615377</v>
      </c>
      <c r="AE49">
        <v>1.1816667986621459</v>
      </c>
      <c r="AF49">
        <v>1.1942816370068059</v>
      </c>
      <c r="AG49">
        <v>1.1831481001725508</v>
      </c>
      <c r="AH49">
        <v>1.1671098381020413</v>
      </c>
      <c r="AI49">
        <v>1.1234571655903656</v>
      </c>
      <c r="AJ49">
        <v>1.192870395262255</v>
      </c>
      <c r="AK49">
        <v>1.1434056731293021</v>
      </c>
      <c r="AL49">
        <v>1.1367201112853877</v>
      </c>
    </row>
    <row r="50" spans="1:38" x14ac:dyDescent="0.4">
      <c r="A50" s="10">
        <v>42473</v>
      </c>
      <c r="B50" s="11">
        <v>1.186429351345071</v>
      </c>
      <c r="C50" s="11">
        <v>1.1752087789101671</v>
      </c>
      <c r="D50" s="11">
        <v>1.151293890842445</v>
      </c>
      <c r="E50" s="11">
        <v>1.170692330002286</v>
      </c>
      <c r="P50" s="1">
        <f>A49</f>
        <v>42472</v>
      </c>
      <c r="Q50" s="14">
        <f>[1]!i_dq_close(Q$2,$P50)</f>
        <v>1948.7565</v>
      </c>
      <c r="R50" s="14">
        <f>[1]!i_dq_close(R$2,$P50)</f>
        <v>3129.7901999999999</v>
      </c>
      <c r="S50" s="14">
        <f>[1]!i_dq_close(S$2,$P50)</f>
        <v>3960.9616000000001</v>
      </c>
      <c r="T50" s="14">
        <f>[1]!i_dq_close(T$2,$P50)</f>
        <v>5745.7714999999998</v>
      </c>
      <c r="U50" s="14">
        <f>[1]!i_dq_close(U$2,$P50)</f>
        <v>7878.8675999999996</v>
      </c>
      <c r="V50" s="14">
        <f>[1]!i_dq_close(V$2,$P50)</f>
        <v>9369.2921000000006</v>
      </c>
      <c r="W50" s="14">
        <f>[1]!i_dq_close(W$2,$P50)</f>
        <v>5227.7497999999996</v>
      </c>
      <c r="X50" s="14">
        <f>[1]!i_dq_close(X$2,$P50)</f>
        <v>6401.6445999999996</v>
      </c>
      <c r="Y50" s="14">
        <f>[1]!i_dq_close(Y$2,$P50)</f>
        <v>5734.5621000000001</v>
      </c>
      <c r="Z50" s="14">
        <f>[1]!i_dq_close(Z$2,$P50)</f>
        <v>2541.2552000000001</v>
      </c>
      <c r="AB50" s="1">
        <v>42472</v>
      </c>
      <c r="AC50">
        <v>1.1569145502052933</v>
      </c>
      <c r="AD50">
        <v>1.2267389317899584</v>
      </c>
      <c r="AE50">
        <v>1.1722623871246283</v>
      </c>
      <c r="AF50">
        <v>1.1879874720850092</v>
      </c>
      <c r="AG50">
        <v>1.1747707954438285</v>
      </c>
      <c r="AH50">
        <v>1.1571611070528507</v>
      </c>
      <c r="AI50">
        <v>1.1204412383602915</v>
      </c>
      <c r="AJ50">
        <v>1.182552870686391</v>
      </c>
      <c r="AK50">
        <v>1.1390134528257299</v>
      </c>
      <c r="AL50">
        <v>1.1294473077297948</v>
      </c>
    </row>
    <row r="51" spans="1:38" x14ac:dyDescent="0.4">
      <c r="A51" s="10">
        <v>42474</v>
      </c>
      <c r="B51" s="11">
        <v>1.196080332045075</v>
      </c>
      <c r="C51" s="11">
        <v>1.1822635158392589</v>
      </c>
      <c r="D51" s="11">
        <v>1.1592591862269279</v>
      </c>
      <c r="E51" s="11">
        <v>1.1817465960973661</v>
      </c>
      <c r="P51" s="1">
        <f>A50</f>
        <v>42473</v>
      </c>
      <c r="Q51" s="14">
        <f>[1]!i_dq_close(Q$2,$P51)</f>
        <v>1998.5317</v>
      </c>
      <c r="R51" s="14">
        <f>[1]!i_dq_close(R$2,$P51)</f>
        <v>3200.4569000000001</v>
      </c>
      <c r="S51" s="14">
        <f>[1]!i_dq_close(S$2,$P51)</f>
        <v>4018.7510000000002</v>
      </c>
      <c r="T51" s="14">
        <f>[1]!i_dq_close(T$2,$P51)</f>
        <v>5805.8679000000002</v>
      </c>
      <c r="U51" s="14">
        <f>[1]!i_dq_close(U$2,$P51)</f>
        <v>7936.8572999999997</v>
      </c>
      <c r="V51" s="14">
        <f>[1]!i_dq_close(V$2,$P51)</f>
        <v>9463.5640999999996</v>
      </c>
      <c r="W51" s="14">
        <f>[1]!i_dq_close(W$2,$P51)</f>
        <v>5296.6932999999999</v>
      </c>
      <c r="X51" s="14">
        <f>[1]!i_dq_close(X$2,$P51)</f>
        <v>6486.8186999999998</v>
      </c>
      <c r="Y51" s="14">
        <f>[1]!i_dq_close(Y$2,$P51)</f>
        <v>5800.3806000000004</v>
      </c>
      <c r="Z51" s="14">
        <f>[1]!i_dq_close(Z$2,$P51)</f>
        <v>2576.7037999999998</v>
      </c>
      <c r="AB51" s="1">
        <v>42473</v>
      </c>
      <c r="AC51">
        <v>1.1864644981435701</v>
      </c>
      <c r="AD51">
        <v>1.2544371436608759</v>
      </c>
      <c r="AE51">
        <v>1.1893653905959318</v>
      </c>
      <c r="AF51">
        <v>1.2004129175308313</v>
      </c>
      <c r="AG51">
        <v>1.1834172925618343</v>
      </c>
      <c r="AH51">
        <v>1.1688042376885244</v>
      </c>
      <c r="AI51">
        <v>1.1352176036172694</v>
      </c>
      <c r="AJ51">
        <v>1.1982867770115142</v>
      </c>
      <c r="AK51">
        <v>1.152086492342524</v>
      </c>
      <c r="AL51">
        <v>1.1452022487655438</v>
      </c>
    </row>
    <row r="52" spans="1:38" x14ac:dyDescent="0.4">
      <c r="A52" s="10">
        <v>42475</v>
      </c>
      <c r="B52" s="11">
        <v>1.1958908515585089</v>
      </c>
      <c r="C52" s="11">
        <v>1.1798907607476059</v>
      </c>
      <c r="D52" s="11">
        <v>1.159110292289071</v>
      </c>
      <c r="E52" s="11">
        <v>1.179770865536429</v>
      </c>
      <c r="P52" s="1">
        <f>A51</f>
        <v>42474</v>
      </c>
      <c r="Q52" s="14">
        <f>[1]!i_dq_close(Q$2,$P52)</f>
        <v>2001.3235999999999</v>
      </c>
      <c r="R52" s="14">
        <f>[1]!i_dq_close(R$2,$P52)</f>
        <v>3216.5846999999999</v>
      </c>
      <c r="S52" s="14">
        <f>[1]!i_dq_close(S$2,$P52)</f>
        <v>4055.8557999999998</v>
      </c>
      <c r="T52" s="14">
        <f>[1]!i_dq_close(T$2,$P52)</f>
        <v>5866.4069</v>
      </c>
      <c r="U52" s="14">
        <f>[1]!i_dq_close(U$2,$P52)</f>
        <v>8009.4714999999997</v>
      </c>
      <c r="V52" s="14">
        <f>[1]!i_dq_close(V$2,$P52)</f>
        <v>9518.2981999999993</v>
      </c>
      <c r="W52" s="14">
        <f>[1]!i_dq_close(W$2,$P52)</f>
        <v>5321.0448999999999</v>
      </c>
      <c r="X52" s="14">
        <f>[1]!i_dq_close(X$2,$P52)</f>
        <v>6569.6061</v>
      </c>
      <c r="Y52" s="14">
        <f>[1]!i_dq_close(Y$2,$P52)</f>
        <v>5880.8258999999998</v>
      </c>
      <c r="Z52" s="14">
        <f>[1]!i_dq_close(Z$2,$P52)</f>
        <v>2588.3616000000002</v>
      </c>
      <c r="AB52" s="1">
        <v>42474</v>
      </c>
      <c r="AC52">
        <v>1.1881219600854382</v>
      </c>
      <c r="AD52">
        <v>1.2607585258877492</v>
      </c>
      <c r="AE52">
        <v>1.2003467041794267</v>
      </c>
      <c r="AF52">
        <v>1.2129298743176709</v>
      </c>
      <c r="AG52">
        <v>1.1942443613520901</v>
      </c>
      <c r="AH52">
        <v>1.1755642117691212</v>
      </c>
      <c r="AI52">
        <v>1.1404367778134128</v>
      </c>
      <c r="AJ52">
        <v>1.2135797967968771</v>
      </c>
      <c r="AK52">
        <v>1.168064744442471</v>
      </c>
      <c r="AL52">
        <v>1.1503834957430423</v>
      </c>
    </row>
    <row r="53" spans="1:38" x14ac:dyDescent="0.4">
      <c r="A53" s="10">
        <v>42478</v>
      </c>
      <c r="B53" s="11">
        <v>1.182855658860698</v>
      </c>
      <c r="C53" s="11">
        <v>1.166235254747209</v>
      </c>
      <c r="D53" s="11">
        <v>1.1455872094905239</v>
      </c>
      <c r="E53" s="11">
        <v>1.1643943011721649</v>
      </c>
      <c r="P53" s="1">
        <f>A52</f>
        <v>42475</v>
      </c>
      <c r="Q53" s="14">
        <f>[1]!i_dq_close(Q$2,$P53)</f>
        <v>1995.9937</v>
      </c>
      <c r="R53" s="14">
        <f>[1]!i_dq_close(R$2,$P53)</f>
        <v>3206.1030999999998</v>
      </c>
      <c r="S53" s="14">
        <f>[1]!i_dq_close(S$2,$P53)</f>
        <v>4050.8276000000001</v>
      </c>
      <c r="T53" s="14">
        <f>[1]!i_dq_close(T$2,$P53)</f>
        <v>5858.3236999999999</v>
      </c>
      <c r="U53" s="14">
        <f>[1]!i_dq_close(U$2,$P53)</f>
        <v>8006.6637000000001</v>
      </c>
      <c r="V53" s="14">
        <f>[1]!i_dq_close(V$2,$P53)</f>
        <v>9494.3564000000006</v>
      </c>
      <c r="W53" s="14">
        <f>[1]!i_dq_close(W$2,$P53)</f>
        <v>5331.4607999999998</v>
      </c>
      <c r="X53" s="14">
        <f>[1]!i_dq_close(X$2,$P53)</f>
        <v>6555.7190000000001</v>
      </c>
      <c r="Y53" s="14">
        <f>[1]!i_dq_close(Y$2,$P53)</f>
        <v>5883.3211000000001</v>
      </c>
      <c r="Z53" s="14">
        <f>[1]!i_dq_close(Z$2,$P53)</f>
        <v>2573.9331999999999</v>
      </c>
      <c r="AB53" s="1">
        <v>42475</v>
      </c>
      <c r="AC53">
        <v>1.18495776852988</v>
      </c>
      <c r="AD53">
        <v>1.2566502036150775</v>
      </c>
      <c r="AE53">
        <v>1.1988585883302501</v>
      </c>
      <c r="AF53">
        <v>1.2112586034823518</v>
      </c>
      <c r="AG53">
        <v>1.1938257070978358</v>
      </c>
      <c r="AH53">
        <v>1.1726072626744466</v>
      </c>
      <c r="AI53">
        <v>1.142669173077363</v>
      </c>
      <c r="AJ53">
        <v>1.2110144825695754</v>
      </c>
      <c r="AK53">
        <v>1.1685603474750881</v>
      </c>
      <c r="AL53">
        <v>1.1439708703857587</v>
      </c>
    </row>
    <row r="54" spans="1:38" x14ac:dyDescent="0.4">
      <c r="A54" s="10">
        <v>42479</v>
      </c>
      <c r="B54" s="11">
        <v>1.1857481328229</v>
      </c>
      <c r="C54" s="11">
        <v>1.168748829311125</v>
      </c>
      <c r="D54" s="11">
        <v>1.148367581542777</v>
      </c>
      <c r="E54" s="11">
        <v>1.1674956167830051</v>
      </c>
      <c r="P54" s="1">
        <f>A53</f>
        <v>42478</v>
      </c>
      <c r="Q54" s="14">
        <f>[1]!i_dq_close(Q$2,$P54)</f>
        <v>1972.5871999999999</v>
      </c>
      <c r="R54" s="14">
        <f>[1]!i_dq_close(R$2,$P54)</f>
        <v>3167.3013000000001</v>
      </c>
      <c r="S54" s="14">
        <f>[1]!i_dq_close(S$2,$P54)</f>
        <v>3983.3362000000002</v>
      </c>
      <c r="T54" s="14">
        <f>[1]!i_dq_close(T$2,$P54)</f>
        <v>5792.9735000000001</v>
      </c>
      <c r="U54" s="14">
        <f>[1]!i_dq_close(U$2,$P54)</f>
        <v>7924.4665999999997</v>
      </c>
      <c r="V54" s="14">
        <f>[1]!i_dq_close(V$2,$P54)</f>
        <v>9335.8531999999996</v>
      </c>
      <c r="W54" s="14">
        <f>[1]!i_dq_close(W$2,$P54)</f>
        <v>5267.4880000000003</v>
      </c>
      <c r="X54" s="14">
        <f>[1]!i_dq_close(X$2,$P54)</f>
        <v>6420.1439</v>
      </c>
      <c r="Y54" s="14">
        <f>[1]!i_dq_close(Y$2,$P54)</f>
        <v>5791.0127000000002</v>
      </c>
      <c r="Z54" s="14">
        <f>[1]!i_dq_close(Z$2,$P54)</f>
        <v>2542.634</v>
      </c>
      <c r="AB54" s="1">
        <v>42478</v>
      </c>
      <c r="AC54">
        <v>1.1710620763695818</v>
      </c>
      <c r="AD54">
        <v>1.2414416191279998</v>
      </c>
      <c r="AE54">
        <v>1.1788842392544139</v>
      </c>
      <c r="AF54">
        <v>1.1977468898859704</v>
      </c>
      <c r="AG54">
        <v>1.1815697894390371</v>
      </c>
      <c r="AH54">
        <v>1.1530312118452255</v>
      </c>
      <c r="AI54">
        <v>1.1289581566753588</v>
      </c>
      <c r="AJ54">
        <v>1.1859701800947717</v>
      </c>
      <c r="AK54">
        <v>1.1502258159842147</v>
      </c>
      <c r="AL54">
        <v>1.1300601080293862</v>
      </c>
    </row>
    <row r="55" spans="1:38" x14ac:dyDescent="0.4">
      <c r="A55" s="10">
        <v>42480</v>
      </c>
      <c r="B55" s="11">
        <v>1.145973098174605</v>
      </c>
      <c r="C55" s="11">
        <v>1.133692987214052</v>
      </c>
      <c r="D55" s="11">
        <v>1.1103644108949831</v>
      </c>
      <c r="E55" s="11">
        <v>1.1222751782964231</v>
      </c>
      <c r="P55" s="1">
        <f>A54</f>
        <v>42479</v>
      </c>
      <c r="Q55" s="14">
        <f>[1]!i_dq_close(Q$2,$P55)</f>
        <v>1966.6259</v>
      </c>
      <c r="R55" s="14">
        <f>[1]!i_dq_close(R$2,$P55)</f>
        <v>3179.0124000000001</v>
      </c>
      <c r="S55" s="14">
        <f>[1]!i_dq_close(S$2,$P55)</f>
        <v>3996.8694999999998</v>
      </c>
      <c r="T55" s="14">
        <f>[1]!i_dq_close(T$2,$P55)</f>
        <v>5813.1451999999999</v>
      </c>
      <c r="U55" s="14">
        <f>[1]!i_dq_close(U$2,$P55)</f>
        <v>7934.0459000000001</v>
      </c>
      <c r="V55" s="14">
        <f>[1]!i_dq_close(V$2,$P55)</f>
        <v>9350.2183000000005</v>
      </c>
      <c r="W55" s="14">
        <f>[1]!i_dq_close(W$2,$P55)</f>
        <v>5286.5865000000003</v>
      </c>
      <c r="X55" s="14">
        <f>[1]!i_dq_close(X$2,$P55)</f>
        <v>6455.7273999999998</v>
      </c>
      <c r="Y55" s="14">
        <f>[1]!i_dq_close(Y$2,$P55)</f>
        <v>5811.6728000000003</v>
      </c>
      <c r="Z55" s="14">
        <f>[1]!i_dq_close(Z$2,$P55)</f>
        <v>2553.0300000000002</v>
      </c>
      <c r="AB55" s="1">
        <v>42479</v>
      </c>
      <c r="AC55">
        <v>1.1675230427816816</v>
      </c>
      <c r="AD55">
        <v>1.2460318508643269</v>
      </c>
      <c r="AE55">
        <v>1.1828894733782875</v>
      </c>
      <c r="AF55">
        <v>1.2019175616383466</v>
      </c>
      <c r="AG55">
        <v>1.1829981015331248</v>
      </c>
      <c r="AH55">
        <v>1.1548053837721446</v>
      </c>
      <c r="AI55">
        <v>1.1330514564332823</v>
      </c>
      <c r="AJ55">
        <v>1.1925433925586546</v>
      </c>
      <c r="AK55">
        <v>1.1543293781091633</v>
      </c>
      <c r="AL55">
        <v>1.1346805547327157</v>
      </c>
    </row>
    <row r="56" spans="1:38" x14ac:dyDescent="0.4">
      <c r="A56" s="10">
        <v>42481</v>
      </c>
      <c r="B56" s="11">
        <v>1.137720213036904</v>
      </c>
      <c r="C56" s="11">
        <v>1.126842404354963</v>
      </c>
      <c r="D56" s="11">
        <v>1.1013091720126409</v>
      </c>
      <c r="E56" s="11">
        <v>1.110854865254745</v>
      </c>
      <c r="P56" s="1">
        <f>A55</f>
        <v>42480</v>
      </c>
      <c r="Q56" s="14">
        <f>[1]!i_dq_close(Q$2,$P56)</f>
        <v>1912.6002000000001</v>
      </c>
      <c r="R56" s="14">
        <f>[1]!i_dq_close(R$2,$P56)</f>
        <v>3063.7361999999998</v>
      </c>
      <c r="S56" s="14">
        <f>[1]!i_dq_close(S$2,$P56)</f>
        <v>3826.1523000000002</v>
      </c>
      <c r="T56" s="14">
        <f>[1]!i_dq_close(T$2,$P56)</f>
        <v>5569.4764999999998</v>
      </c>
      <c r="U56" s="14">
        <f>[1]!i_dq_close(U$2,$P56)</f>
        <v>7670.7178000000004</v>
      </c>
      <c r="V56" s="14">
        <f>[1]!i_dq_close(V$2,$P56)</f>
        <v>8941.5967999999993</v>
      </c>
      <c r="W56" s="14">
        <f>[1]!i_dq_close(W$2,$P56)</f>
        <v>5240.1719999999996</v>
      </c>
      <c r="X56" s="14">
        <f>[1]!i_dq_close(X$2,$P56)</f>
        <v>6144.3499000000002</v>
      </c>
      <c r="Y56" s="14">
        <f>[1]!i_dq_close(Y$2,$P56)</f>
        <v>5581.9827999999998</v>
      </c>
      <c r="Z56" s="14">
        <f>[1]!i_dq_close(Z$2,$P56)</f>
        <v>2478.1858999999999</v>
      </c>
      <c r="AB56" s="1">
        <v>42480</v>
      </c>
      <c r="AC56">
        <v>1.1354497086247328</v>
      </c>
      <c r="AD56">
        <v>1.2008486937157086</v>
      </c>
      <c r="AE56">
        <v>1.1323650369901053</v>
      </c>
      <c r="AF56">
        <v>1.1515369708092054</v>
      </c>
      <c r="AG56">
        <v>1.1437348244728893</v>
      </c>
      <c r="AH56">
        <v>1.104338293808582</v>
      </c>
      <c r="AI56">
        <v>1.1231036353157002</v>
      </c>
      <c r="AJ56">
        <v>1.1350237426093039</v>
      </c>
      <c r="AK56">
        <v>1.1087077603783966</v>
      </c>
      <c r="AL56">
        <v>1.1014164940258415</v>
      </c>
    </row>
    <row r="57" spans="1:38" x14ac:dyDescent="0.4">
      <c r="A57" s="10">
        <v>42482</v>
      </c>
      <c r="B57" s="11">
        <v>1.146045288110654</v>
      </c>
      <c r="C57" s="11">
        <v>1.1336580433479919</v>
      </c>
      <c r="D57" s="11">
        <v>1.1087626916011271</v>
      </c>
      <c r="E57" s="11">
        <v>1.1201410078089391</v>
      </c>
      <c r="P57" s="1">
        <f>A56</f>
        <v>42481</v>
      </c>
      <c r="Q57" s="14">
        <f>[1]!i_dq_close(Q$2,$P57)</f>
        <v>1934.7609</v>
      </c>
      <c r="R57" s="14">
        <f>[1]!i_dq_close(R$2,$P57)</f>
        <v>3064.0657000000001</v>
      </c>
      <c r="S57" s="14">
        <f>[1]!i_dq_close(S$2,$P57)</f>
        <v>3775.6907000000001</v>
      </c>
      <c r="T57" s="14">
        <f>[1]!i_dq_close(T$2,$P57)</f>
        <v>5493.9404000000004</v>
      </c>
      <c r="U57" s="14">
        <f>[1]!i_dq_close(U$2,$P57)</f>
        <v>7640.3744999999999</v>
      </c>
      <c r="V57" s="14">
        <f>[1]!i_dq_close(V$2,$P57)</f>
        <v>8853.2919000000002</v>
      </c>
      <c r="W57" s="14">
        <f>[1]!i_dq_close(W$2,$P57)</f>
        <v>5210.6929</v>
      </c>
      <c r="X57" s="14">
        <f>[1]!i_dq_close(X$2,$P57)</f>
        <v>6032.0595000000003</v>
      </c>
      <c r="Y57" s="14">
        <f>[1]!i_dq_close(Y$2,$P57)</f>
        <v>5510.5511999999999</v>
      </c>
      <c r="Z57" s="14">
        <f>[1]!i_dq_close(Z$2,$P57)</f>
        <v>2449.1062999999999</v>
      </c>
      <c r="AB57" s="1">
        <v>42481</v>
      </c>
      <c r="AC57">
        <v>1.1486058090778857</v>
      </c>
      <c r="AD57">
        <v>1.2009778431002345</v>
      </c>
      <c r="AE57">
        <v>1.1174307251618543</v>
      </c>
      <c r="AF57">
        <v>1.1359192351421745</v>
      </c>
      <c r="AG57">
        <v>1.1392105166044095</v>
      </c>
      <c r="AH57">
        <v>1.0934321341167317</v>
      </c>
      <c r="AI57">
        <v>1.1167855059917327</v>
      </c>
      <c r="AJ57">
        <v>1.1142807393394063</v>
      </c>
      <c r="AK57">
        <v>1.0945198325230392</v>
      </c>
      <c r="AL57">
        <v>1.0884922210406414</v>
      </c>
    </row>
    <row r="58" spans="1:38" x14ac:dyDescent="0.4">
      <c r="A58" s="10">
        <v>42485</v>
      </c>
      <c r="B58" s="11">
        <v>1.142394777839995</v>
      </c>
      <c r="C58" s="11">
        <v>1.1312332075626459</v>
      </c>
      <c r="D58" s="11">
        <v>1.105304373040529</v>
      </c>
      <c r="E58" s="11">
        <v>1.1154763940947769</v>
      </c>
      <c r="P58" s="1">
        <f>A57</f>
        <v>42482</v>
      </c>
      <c r="Q58" s="14">
        <f>[1]!i_dq_close(Q$2,$P58)</f>
        <v>1933.3181</v>
      </c>
      <c r="R58" s="14">
        <f>[1]!i_dq_close(R$2,$P58)</f>
        <v>3049.8897000000002</v>
      </c>
      <c r="S58" s="14">
        <f>[1]!i_dq_close(S$2,$P58)</f>
        <v>3801.4515000000001</v>
      </c>
      <c r="T58" s="14">
        <f>[1]!i_dq_close(T$2,$P58)</f>
        <v>5549.8487999999998</v>
      </c>
      <c r="U58" s="14">
        <f>[1]!i_dq_close(U$2,$P58)</f>
        <v>7723.9468999999999</v>
      </c>
      <c r="V58" s="14">
        <f>[1]!i_dq_close(V$2,$P58)</f>
        <v>8957.8960999999999</v>
      </c>
      <c r="W58" s="14">
        <f>[1]!i_dq_close(W$2,$P58)</f>
        <v>5242.5162</v>
      </c>
      <c r="X58" s="14">
        <f>[1]!i_dq_close(X$2,$P58)</f>
        <v>6102.3131000000003</v>
      </c>
      <c r="Y58" s="14">
        <f>[1]!i_dq_close(Y$2,$P58)</f>
        <v>5565.0654000000004</v>
      </c>
      <c r="Z58" s="14">
        <f>[1]!i_dq_close(Z$2,$P58)</f>
        <v>2460.6592999999998</v>
      </c>
      <c r="AB58" s="1">
        <v>42482</v>
      </c>
      <c r="AC58">
        <v>1.1477492647569116</v>
      </c>
      <c r="AD58">
        <v>1.1954214798983001</v>
      </c>
      <c r="AE58">
        <v>1.1250547366903276</v>
      </c>
      <c r="AF58">
        <v>1.1474787757163718</v>
      </c>
      <c r="AG58">
        <v>1.1516714970154966</v>
      </c>
      <c r="AH58">
        <v>1.1063513504868114</v>
      </c>
      <c r="AI58">
        <v>1.1236060576678497</v>
      </c>
      <c r="AJ58">
        <v>1.1272584351577672</v>
      </c>
      <c r="AK58">
        <v>1.1053475829401169</v>
      </c>
      <c r="AL58">
        <v>1.0936268902175907</v>
      </c>
    </row>
    <row r="59" spans="1:38" x14ac:dyDescent="0.4">
      <c r="A59" s="10">
        <v>42486</v>
      </c>
      <c r="B59" s="11">
        <v>1.152281025984504</v>
      </c>
      <c r="C59" s="11">
        <v>1.1396776838137279</v>
      </c>
      <c r="D59" s="11">
        <v>1.114806740683925</v>
      </c>
      <c r="E59" s="11">
        <v>1.1267210408492629</v>
      </c>
      <c r="P59" s="1">
        <f>A58</f>
        <v>42485</v>
      </c>
      <c r="Q59" s="14">
        <f>[1]!i_dq_close(Q$2,$P59)</f>
        <v>1949.777</v>
      </c>
      <c r="R59" s="14">
        <f>[1]!i_dq_close(R$2,$P59)</f>
        <v>3033.0497999999998</v>
      </c>
      <c r="S59" s="14">
        <f>[1]!i_dq_close(S$2,$P59)</f>
        <v>3780.87</v>
      </c>
      <c r="T59" s="14">
        <f>[1]!i_dq_close(T$2,$P59)</f>
        <v>5526.8649999999998</v>
      </c>
      <c r="U59" s="14">
        <f>[1]!i_dq_close(U$2,$P59)</f>
        <v>7704.1538</v>
      </c>
      <c r="V59" s="14">
        <f>[1]!i_dq_close(V$2,$P59)</f>
        <v>8918.4189000000006</v>
      </c>
      <c r="W59" s="14">
        <f>[1]!i_dq_close(W$2,$P59)</f>
        <v>5212.2313999999997</v>
      </c>
      <c r="X59" s="14">
        <f>[1]!i_dq_close(X$2,$P59)</f>
        <v>6059.0693000000001</v>
      </c>
      <c r="Y59" s="14">
        <f>[1]!i_dq_close(Y$2,$P59)</f>
        <v>5542.3392999999996</v>
      </c>
      <c r="Z59" s="14">
        <f>[1]!i_dq_close(Z$2,$P59)</f>
        <v>2460.2163999999998</v>
      </c>
      <c r="AB59" s="1">
        <v>42485</v>
      </c>
      <c r="AC59">
        <v>1.1575203884916492</v>
      </c>
      <c r="AD59">
        <v>1.1888209860577066</v>
      </c>
      <c r="AE59">
        <v>1.1189635596588194</v>
      </c>
      <c r="AF59">
        <v>1.1427266782024161</v>
      </c>
      <c r="AG59">
        <v>1.1487202663295921</v>
      </c>
      <c r="AH59">
        <v>1.1014756907285521</v>
      </c>
      <c r="AI59">
        <v>1.1171152461115097</v>
      </c>
      <c r="AJ59">
        <v>1.1192701629207567</v>
      </c>
      <c r="AK59">
        <v>1.1008336665888991</v>
      </c>
      <c r="AL59">
        <v>1.093430045676911</v>
      </c>
    </row>
    <row r="60" spans="1:38" x14ac:dyDescent="0.4">
      <c r="A60" s="10">
        <v>42487</v>
      </c>
      <c r="B60" s="11">
        <v>1.1510173753753881</v>
      </c>
      <c r="C60" s="11">
        <v>1.137834300170036</v>
      </c>
      <c r="D60" s="11">
        <v>1.1137236785688409</v>
      </c>
      <c r="E60" s="11">
        <v>1.126143836570433</v>
      </c>
      <c r="P60" s="1">
        <f>A59</f>
        <v>42486</v>
      </c>
      <c r="Q60" s="14">
        <f>[1]!i_dq_close(Q$2,$P60)</f>
        <v>1954.1969999999999</v>
      </c>
      <c r="R60" s="14">
        <f>[1]!i_dq_close(R$2,$P60)</f>
        <v>3055.4189000000001</v>
      </c>
      <c r="S60" s="14">
        <f>[1]!i_dq_close(S$2,$P60)</f>
        <v>3824.1120999999998</v>
      </c>
      <c r="T60" s="14">
        <f>[1]!i_dq_close(T$2,$P60)</f>
        <v>5584.6322</v>
      </c>
      <c r="U60" s="14">
        <f>[1]!i_dq_close(U$2,$P60)</f>
        <v>7773.2267000000002</v>
      </c>
      <c r="V60" s="14">
        <f>[1]!i_dq_close(V$2,$P60)</f>
        <v>9014.2945999999993</v>
      </c>
      <c r="W60" s="14">
        <f>[1]!i_dq_close(W$2,$P60)</f>
        <v>5241.9696999999996</v>
      </c>
      <c r="X60" s="14">
        <f>[1]!i_dq_close(X$2,$P60)</f>
        <v>6139.0721999999996</v>
      </c>
      <c r="Y60" s="14">
        <f>[1]!i_dq_close(Y$2,$P60)</f>
        <v>5617.3522999999996</v>
      </c>
      <c r="Z60" s="14">
        <f>[1]!i_dq_close(Z$2,$P60)</f>
        <v>2470.5502999999999</v>
      </c>
      <c r="AB60" s="1">
        <v>42486</v>
      </c>
      <c r="AC60">
        <v>1.1601444014516609</v>
      </c>
      <c r="AD60">
        <v>1.1975886810422149</v>
      </c>
      <c r="AE60">
        <v>1.131761231661063</v>
      </c>
      <c r="AF60">
        <v>1.1546705415978591</v>
      </c>
      <c r="AG60">
        <v>1.1590193130703461</v>
      </c>
      <c r="AH60">
        <v>1.1133168874771802</v>
      </c>
      <c r="AI60">
        <v>1.1234889286620269</v>
      </c>
      <c r="AJ60">
        <v>1.134048811997626</v>
      </c>
      <c r="AK60">
        <v>1.1157329413106458</v>
      </c>
      <c r="AL60">
        <v>1.0980228923667472</v>
      </c>
    </row>
    <row r="61" spans="1:38" x14ac:dyDescent="0.4">
      <c r="A61" s="10">
        <v>42488</v>
      </c>
      <c r="B61" s="11">
        <v>1.14946287894702</v>
      </c>
      <c r="C61" s="11">
        <v>1.135301993306471</v>
      </c>
      <c r="D61" s="11">
        <v>1.1116243260882921</v>
      </c>
      <c r="E61" s="11">
        <v>1.1251027561210121</v>
      </c>
      <c r="P61" s="1">
        <f>A60</f>
        <v>42487</v>
      </c>
      <c r="Q61" s="14">
        <f>[1]!i_dq_close(Q$2,$P61)</f>
        <v>1936.3735999999999</v>
      </c>
      <c r="R61" s="14">
        <f>[1]!i_dq_close(R$2,$P61)</f>
        <v>3046.2696000000001</v>
      </c>
      <c r="S61" s="14">
        <f>[1]!i_dq_close(S$2,$P61)</f>
        <v>3806.5057000000002</v>
      </c>
      <c r="T61" s="14">
        <f>[1]!i_dq_close(T$2,$P61)</f>
        <v>5563.6718000000001</v>
      </c>
      <c r="U61" s="14">
        <f>[1]!i_dq_close(U$2,$P61)</f>
        <v>7783.8846000000003</v>
      </c>
      <c r="V61" s="14">
        <f>[1]!i_dq_close(V$2,$P61)</f>
        <v>8974.3004999999994</v>
      </c>
      <c r="W61" s="14">
        <f>[1]!i_dq_close(W$2,$P61)</f>
        <v>5219.7941000000001</v>
      </c>
      <c r="X61" s="14">
        <f>[1]!i_dq_close(X$2,$P61)</f>
        <v>6108.5883999999996</v>
      </c>
      <c r="Y61" s="14">
        <f>[1]!i_dq_close(Y$2,$P61)</f>
        <v>5604.1782000000003</v>
      </c>
      <c r="Z61" s="14">
        <f>[1]!i_dq_close(Z$2,$P61)</f>
        <v>2463.2516000000001</v>
      </c>
      <c r="AB61" s="1">
        <v>42487</v>
      </c>
      <c r="AC61">
        <v>1.1495632176074355</v>
      </c>
      <c r="AD61">
        <v>1.194002561273348</v>
      </c>
      <c r="AE61">
        <v>1.1265505473432269</v>
      </c>
      <c r="AF61">
        <v>1.1503367993650031</v>
      </c>
      <c r="AG61">
        <v>1.1606084487553729</v>
      </c>
      <c r="AH61">
        <v>1.1083773876155436</v>
      </c>
      <c r="AI61">
        <v>1.1187361272319774</v>
      </c>
      <c r="AJ61">
        <v>1.1284176488431721</v>
      </c>
      <c r="AK61">
        <v>1.1131162677325761</v>
      </c>
      <c r="AL61">
        <v>1.0947790241141895</v>
      </c>
    </row>
    <row r="62" spans="1:38" x14ac:dyDescent="0.4">
      <c r="A62" s="10">
        <v>42489</v>
      </c>
      <c r="B62" s="11">
        <v>1.150163309973814</v>
      </c>
      <c r="C62" s="11">
        <v>1.138191558168365</v>
      </c>
      <c r="D62" s="11">
        <v>1.113565141440253</v>
      </c>
      <c r="E62" s="11">
        <v>1.1275417249185671</v>
      </c>
      <c r="P62" s="1">
        <f>A61</f>
        <v>42488</v>
      </c>
      <c r="Q62" s="14">
        <f>[1]!i_dq_close(Q$2,$P62)</f>
        <v>1941.2882999999999</v>
      </c>
      <c r="R62" s="14">
        <f>[1]!i_dq_close(R$2,$P62)</f>
        <v>3025.3382999999999</v>
      </c>
      <c r="S62" s="14">
        <f>[1]!i_dq_close(S$2,$P62)</f>
        <v>3787.5268000000001</v>
      </c>
      <c r="T62" s="14">
        <f>[1]!i_dq_close(T$2,$P62)</f>
        <v>5550.4259000000002</v>
      </c>
      <c r="U62" s="14">
        <f>[1]!i_dq_close(U$2,$P62)</f>
        <v>7764.4597000000003</v>
      </c>
      <c r="V62" s="14">
        <f>[1]!i_dq_close(V$2,$P62)</f>
        <v>8958.5318000000007</v>
      </c>
      <c r="W62" s="14">
        <f>[1]!i_dq_close(W$2,$P62)</f>
        <v>5215.5505000000003</v>
      </c>
      <c r="X62" s="14">
        <f>[1]!i_dq_close(X$2,$P62)</f>
        <v>6119.7744000000002</v>
      </c>
      <c r="Y62" s="14">
        <f>[1]!i_dq_close(Y$2,$P62)</f>
        <v>5590.3756999999996</v>
      </c>
      <c r="Z62" s="14">
        <f>[1]!i_dq_close(Z$2,$P62)</f>
        <v>2455.1104999999998</v>
      </c>
      <c r="AB62" s="1">
        <v>42488</v>
      </c>
      <c r="AC62">
        <v>1.1524809181718181</v>
      </c>
      <c r="AD62">
        <v>1.1857984201130314</v>
      </c>
      <c r="AE62">
        <v>1.120933666175028</v>
      </c>
      <c r="AF62">
        <v>1.147598096084427</v>
      </c>
      <c r="AG62">
        <v>1.1577121181679142</v>
      </c>
      <c r="AH62">
        <v>1.1064298630689684</v>
      </c>
      <c r="AI62">
        <v>1.1178266146078066</v>
      </c>
      <c r="AJ62">
        <v>1.1304839985451687</v>
      </c>
      <c r="AK62">
        <v>1.1103747797325372</v>
      </c>
      <c r="AL62">
        <v>1.0911607556785916</v>
      </c>
    </row>
    <row r="63" spans="1:38" x14ac:dyDescent="0.4">
      <c r="A63" s="10">
        <v>42493</v>
      </c>
      <c r="B63" s="11">
        <v>1.1783521945147211</v>
      </c>
      <c r="C63" s="11">
        <v>1.165535882160875</v>
      </c>
      <c r="D63" s="11">
        <v>1.1397054905762201</v>
      </c>
      <c r="E63" s="11">
        <v>1.1597984180245799</v>
      </c>
      <c r="P63" s="1">
        <f>A62</f>
        <v>42489</v>
      </c>
      <c r="Q63" s="14">
        <f>[1]!i_dq_close(Q$2,$P63)</f>
        <v>1935.8163</v>
      </c>
      <c r="R63" s="14">
        <f>[1]!i_dq_close(R$2,$P63)</f>
        <v>3033.4340999999999</v>
      </c>
      <c r="S63" s="14">
        <f>[1]!i_dq_close(S$2,$P63)</f>
        <v>3778.6990999999998</v>
      </c>
      <c r="T63" s="14">
        <f>[1]!i_dq_close(T$2,$P63)</f>
        <v>5560.5410000000002</v>
      </c>
      <c r="U63" s="14">
        <f>[1]!i_dq_close(U$2,$P63)</f>
        <v>7856.4174999999996</v>
      </c>
      <c r="V63" s="14">
        <f>[1]!i_dq_close(V$2,$P63)</f>
        <v>8956.7716</v>
      </c>
      <c r="W63" s="14">
        <f>[1]!i_dq_close(W$2,$P63)</f>
        <v>5188.6234000000004</v>
      </c>
      <c r="X63" s="14">
        <f>[1]!i_dq_close(X$2,$P63)</f>
        <v>6089.7006000000001</v>
      </c>
      <c r="Y63" s="14">
        <f>[1]!i_dq_close(Y$2,$P63)</f>
        <v>5562.1325999999999</v>
      </c>
      <c r="Z63" s="14">
        <f>[1]!i_dq_close(Z$2,$P63)</f>
        <v>2449.6741999999999</v>
      </c>
      <c r="AB63" s="1">
        <v>42489</v>
      </c>
      <c r="AC63">
        <v>1.1492323663805997</v>
      </c>
      <c r="AD63">
        <v>1.188971614611495</v>
      </c>
      <c r="AE63">
        <v>1.118321073143371</v>
      </c>
      <c r="AF63">
        <v>1.149689479648651</v>
      </c>
      <c r="AG63">
        <v>1.1714233953891819</v>
      </c>
      <c r="AH63">
        <v>1.1062124683118302</v>
      </c>
      <c r="AI63">
        <v>1.1120554445205444</v>
      </c>
      <c r="AJ63">
        <v>1.1249285732217371</v>
      </c>
      <c r="AK63">
        <v>1.1047650626715775</v>
      </c>
      <c r="AL63">
        <v>1.088744621164037</v>
      </c>
    </row>
    <row r="64" spans="1:38" x14ac:dyDescent="0.4">
      <c r="A64" s="10">
        <v>42494</v>
      </c>
      <c r="B64" s="11">
        <v>1.1782584611399309</v>
      </c>
      <c r="C64" s="11">
        <v>1.1650852118461601</v>
      </c>
      <c r="D64" s="11">
        <v>1.1395558817860429</v>
      </c>
      <c r="E64" s="11">
        <v>1.1611779306335439</v>
      </c>
      <c r="P64" s="1">
        <f>A63</f>
        <v>42493</v>
      </c>
      <c r="Q64" s="14">
        <f>[1]!i_dq_close(Q$2,$P64)</f>
        <v>1956.7737</v>
      </c>
      <c r="R64" s="14">
        <f>[1]!i_dq_close(R$2,$P64)</f>
        <v>3118.1219000000001</v>
      </c>
      <c r="S64" s="14">
        <f>[1]!i_dq_close(S$2,$P64)</f>
        <v>3879.6019000000001</v>
      </c>
      <c r="T64" s="14">
        <f>[1]!i_dq_close(T$2,$P64)</f>
        <v>5710.8828000000003</v>
      </c>
      <c r="U64" s="14">
        <f>[1]!i_dq_close(U$2,$P64)</f>
        <v>8167.7772000000004</v>
      </c>
      <c r="V64" s="14">
        <f>[1]!i_dq_close(V$2,$P64)</f>
        <v>9212.9958999999999</v>
      </c>
      <c r="W64" s="14">
        <f>[1]!i_dq_close(W$2,$P64)</f>
        <v>5248.8018000000002</v>
      </c>
      <c r="X64" s="14">
        <f>[1]!i_dq_close(X$2,$P64)</f>
        <v>6298.6368000000002</v>
      </c>
      <c r="Y64" s="14">
        <f>[1]!i_dq_close(Y$2,$P64)</f>
        <v>5741.4690000000001</v>
      </c>
      <c r="Z64" s="14">
        <f>[1]!i_dq_close(Z$2,$P64)</f>
        <v>2494.6279</v>
      </c>
      <c r="AB64" s="1">
        <v>42493</v>
      </c>
      <c r="AC64">
        <v>1.1616741060204534</v>
      </c>
      <c r="AD64">
        <v>1.2221654757551721</v>
      </c>
      <c r="AE64">
        <v>1.1481836593384906</v>
      </c>
      <c r="AF64">
        <v>1.1807739345265922</v>
      </c>
      <c r="AG64">
        <v>1.2178483768723272</v>
      </c>
      <c r="AH64">
        <v>1.137857633333619</v>
      </c>
      <c r="AI64">
        <v>1.1249532234116728</v>
      </c>
      <c r="AJ64">
        <v>1.1635246088561282</v>
      </c>
      <c r="AK64">
        <v>1.1403853190432605</v>
      </c>
      <c r="AL64">
        <v>1.1087240531539815</v>
      </c>
    </row>
    <row r="65" spans="1:38" x14ac:dyDescent="0.4">
      <c r="A65" s="10">
        <v>42495</v>
      </c>
      <c r="B65" s="11">
        <v>1.182282277910838</v>
      </c>
      <c r="C65" s="11">
        <v>1.1679411732478211</v>
      </c>
      <c r="D65" s="11">
        <v>1.143069143261793</v>
      </c>
      <c r="E65" s="11">
        <v>1.1663507947104621</v>
      </c>
      <c r="P65" s="1">
        <f>A64</f>
        <v>42494</v>
      </c>
      <c r="Q65" s="14">
        <f>[1]!i_dq_close(Q$2,$P65)</f>
        <v>1939.5128</v>
      </c>
      <c r="R65" s="14">
        <f>[1]!i_dq_close(R$2,$P65)</f>
        <v>3111.4474</v>
      </c>
      <c r="S65" s="14">
        <f>[1]!i_dq_close(S$2,$P65)</f>
        <v>3888.8742999999999</v>
      </c>
      <c r="T65" s="14">
        <f>[1]!i_dq_close(T$2,$P65)</f>
        <v>5707.34</v>
      </c>
      <c r="U65" s="14">
        <f>[1]!i_dq_close(U$2,$P65)</f>
        <v>8138.4036999999998</v>
      </c>
      <c r="V65" s="14">
        <f>[1]!i_dq_close(V$2,$P65)</f>
        <v>9221.0874000000003</v>
      </c>
      <c r="W65" s="14">
        <f>[1]!i_dq_close(W$2,$P65)</f>
        <v>5243.4040000000005</v>
      </c>
      <c r="X65" s="14">
        <f>[1]!i_dq_close(X$2,$P65)</f>
        <v>6312.7855</v>
      </c>
      <c r="Y65" s="14">
        <f>[1]!i_dq_close(Y$2,$P65)</f>
        <v>5743.8451999999997</v>
      </c>
      <c r="Z65" s="14">
        <f>[1]!i_dq_close(Z$2,$P65)</f>
        <v>2487.7174</v>
      </c>
      <c r="AB65" s="1">
        <v>42494</v>
      </c>
      <c r="AC65">
        <v>1.1514268604771345</v>
      </c>
      <c r="AD65">
        <v>1.2195493678127829</v>
      </c>
      <c r="AE65">
        <v>1.150927863109205</v>
      </c>
      <c r="AF65">
        <v>1.1800414302813218</v>
      </c>
      <c r="AG65">
        <v>1.213468670077918</v>
      </c>
      <c r="AH65">
        <v>1.1388569798154859</v>
      </c>
      <c r="AI65">
        <v>1.1237963360418104</v>
      </c>
      <c r="AJ65">
        <v>1.1661382475141504</v>
      </c>
      <c r="AK65">
        <v>1.1408572859902404</v>
      </c>
      <c r="AL65">
        <v>1.1056527183191067</v>
      </c>
    </row>
    <row r="66" spans="1:38" x14ac:dyDescent="0.4">
      <c r="A66" s="10">
        <v>42496</v>
      </c>
      <c r="B66" s="11">
        <v>1.145786155653064</v>
      </c>
      <c r="C66" s="11">
        <v>1.134554776053877</v>
      </c>
      <c r="D66" s="11">
        <v>1.109421688667702</v>
      </c>
      <c r="E66" s="11">
        <v>1.129086534372715</v>
      </c>
      <c r="P66" s="1">
        <f>A65</f>
        <v>42495</v>
      </c>
      <c r="Q66" s="14">
        <f>[1]!i_dq_close(Q$2,$P66)</f>
        <v>1942.5155999999999</v>
      </c>
      <c r="R66" s="14">
        <f>[1]!i_dq_close(R$2,$P66)</f>
        <v>3131.4146000000001</v>
      </c>
      <c r="S66" s="14">
        <f>[1]!i_dq_close(S$2,$P66)</f>
        <v>3910.2512000000002</v>
      </c>
      <c r="T66" s="14">
        <f>[1]!i_dq_close(T$2,$P66)</f>
        <v>5733.4184999999998</v>
      </c>
      <c r="U66" s="14">
        <f>[1]!i_dq_close(U$2,$P66)</f>
        <v>8174.4041999999999</v>
      </c>
      <c r="V66" s="14">
        <f>[1]!i_dq_close(V$2,$P66)</f>
        <v>9241.1697999999997</v>
      </c>
      <c r="W66" s="14">
        <f>[1]!i_dq_close(W$2,$P66)</f>
        <v>5250.7543999999998</v>
      </c>
      <c r="X66" s="14">
        <f>[1]!i_dq_close(X$2,$P66)</f>
        <v>6354.3998000000001</v>
      </c>
      <c r="Y66" s="14">
        <f>[1]!i_dq_close(Y$2,$P66)</f>
        <v>5757.8458000000001</v>
      </c>
      <c r="Z66" s="14">
        <f>[1]!i_dq_close(Z$2,$P66)</f>
        <v>2489.5770000000002</v>
      </c>
      <c r="AB66" s="1">
        <v>42495</v>
      </c>
      <c r="AC66">
        <v>1.1532095270192892</v>
      </c>
      <c r="AD66">
        <v>1.2273756245372229</v>
      </c>
      <c r="AE66">
        <v>1.1572544419438306</v>
      </c>
      <c r="AF66">
        <v>1.1854333835274209</v>
      </c>
      <c r="AG66">
        <v>1.2188364891819445</v>
      </c>
      <c r="AH66">
        <v>1.1413372709589629</v>
      </c>
      <c r="AI66">
        <v>1.1253717158119827</v>
      </c>
      <c r="AJ66">
        <v>1.1738255080544506</v>
      </c>
      <c r="AK66">
        <v>1.1436381211210749</v>
      </c>
      <c r="AL66">
        <v>1.1064792076120571</v>
      </c>
    </row>
    <row r="67" spans="1:38" x14ac:dyDescent="0.4">
      <c r="A67" s="10">
        <v>42499</v>
      </c>
      <c r="B67" s="11">
        <v>1.1141906230745291</v>
      </c>
      <c r="C67" s="11">
        <v>1.104936408244573</v>
      </c>
      <c r="D67" s="11">
        <v>1.078606573827094</v>
      </c>
      <c r="E67" s="11">
        <v>1.0947218972638659</v>
      </c>
      <c r="P67" s="1">
        <f>A66</f>
        <v>42496</v>
      </c>
      <c r="Q67" s="14">
        <f>[1]!i_dq_close(Q$2,$P67)</f>
        <v>1867.6386</v>
      </c>
      <c r="R67" s="14">
        <f>[1]!i_dq_close(R$2,$P67)</f>
        <v>3006.3885</v>
      </c>
      <c r="S67" s="14">
        <f>[1]!i_dq_close(S$2,$P67)</f>
        <v>3765.7748999999999</v>
      </c>
      <c r="T67" s="14">
        <f>[1]!i_dq_close(T$2,$P67)</f>
        <v>5538.1369000000004</v>
      </c>
      <c r="U67" s="14">
        <f>[1]!i_dq_close(U$2,$P67)</f>
        <v>7881.9475000000002</v>
      </c>
      <c r="V67" s="14">
        <f>[1]!i_dq_close(V$2,$P67)</f>
        <v>8936.3683000000001</v>
      </c>
      <c r="W67" s="14">
        <f>[1]!i_dq_close(W$2,$P67)</f>
        <v>5131.0982000000004</v>
      </c>
      <c r="X67" s="14">
        <f>[1]!i_dq_close(X$2,$P67)</f>
        <v>6097.5279</v>
      </c>
      <c r="Y67" s="14">
        <f>[1]!i_dq_close(Y$2,$P67)</f>
        <v>5519.1288999999997</v>
      </c>
      <c r="Z67" s="14">
        <f>[1]!i_dq_close(Z$2,$P67)</f>
        <v>2426.5315000000001</v>
      </c>
      <c r="AB67" s="1">
        <v>42496</v>
      </c>
      <c r="AC67">
        <v>1.1087574414068888</v>
      </c>
      <c r="AD67">
        <v>1.1783709390602652</v>
      </c>
      <c r="AE67">
        <v>1.1144961045944015</v>
      </c>
      <c r="AF67">
        <v>1.1450572400750203</v>
      </c>
      <c r="AG67">
        <v>1.1752300209006554</v>
      </c>
      <c r="AH67">
        <v>1.1036925441848484</v>
      </c>
      <c r="AI67">
        <v>1.0997263146289562</v>
      </c>
      <c r="AJ67">
        <v>1.1263744823065251</v>
      </c>
      <c r="AK67">
        <v>1.0962235573278161</v>
      </c>
      <c r="AL67">
        <v>1.0784589716910529</v>
      </c>
    </row>
    <row r="68" spans="1:38" x14ac:dyDescent="0.4">
      <c r="A68" s="10">
        <v>42500</v>
      </c>
      <c r="B68" s="11">
        <v>1.114974674404994</v>
      </c>
      <c r="C68" s="11">
        <v>1.1063547320363529</v>
      </c>
      <c r="D68" s="11">
        <v>1.0784408404216519</v>
      </c>
      <c r="E68" s="11">
        <v>1.094078743961215</v>
      </c>
      <c r="P68" s="1">
        <f>A67</f>
        <v>42499</v>
      </c>
      <c r="Q68" s="14">
        <f>[1]!i_dq_close(Q$2,$P68)</f>
        <v>1784.9312</v>
      </c>
      <c r="R68" s="14">
        <f>[1]!i_dq_close(R$2,$P68)</f>
        <v>2871.4449</v>
      </c>
      <c r="S68" s="14">
        <f>[1]!i_dq_close(S$2,$P68)</f>
        <v>3626.4209000000001</v>
      </c>
      <c r="T68" s="14">
        <f>[1]!i_dq_close(T$2,$P68)</f>
        <v>5356.5294999999996</v>
      </c>
      <c r="U68" s="14">
        <f>[1]!i_dq_close(U$2,$P68)</f>
        <v>7744.5002999999997</v>
      </c>
      <c r="V68" s="14">
        <f>[1]!i_dq_close(V$2,$P68)</f>
        <v>8673.0421000000006</v>
      </c>
      <c r="W68" s="14">
        <f>[1]!i_dq_close(W$2,$P68)</f>
        <v>5039.0291999999999</v>
      </c>
      <c r="X68" s="14">
        <f>[1]!i_dq_close(X$2,$P68)</f>
        <v>5878.5003999999999</v>
      </c>
      <c r="Y68" s="14">
        <f>[1]!i_dq_close(Y$2,$P68)</f>
        <v>5335.8092999999999</v>
      </c>
      <c r="Z68" s="14">
        <f>[1]!i_dq_close(Z$2,$P68)</f>
        <v>2358.9857000000002</v>
      </c>
      <c r="AB68" s="1">
        <v>42499</v>
      </c>
      <c r="AC68">
        <v>1.0596566971786339</v>
      </c>
      <c r="AD68">
        <v>1.1254790334891214</v>
      </c>
      <c r="AE68">
        <v>1.0732537323645457</v>
      </c>
      <c r="AF68">
        <v>1.1075083545967286</v>
      </c>
      <c r="AG68">
        <v>1.1547360914842597</v>
      </c>
      <c r="AH68">
        <v>1.0711702539354047</v>
      </c>
      <c r="AI68">
        <v>1.079993559940774</v>
      </c>
      <c r="AJ68">
        <v>1.085914316978968</v>
      </c>
      <c r="AK68">
        <v>1.0598121475417694</v>
      </c>
      <c r="AL68">
        <v>1.0484386014588718</v>
      </c>
    </row>
    <row r="69" spans="1:38" x14ac:dyDescent="0.4">
      <c r="A69" s="10">
        <v>42501</v>
      </c>
      <c r="B69" s="11">
        <v>1.112962089441206</v>
      </c>
      <c r="C69" s="11">
        <v>1.108589928200814</v>
      </c>
      <c r="D69" s="11">
        <v>1.0752133466441729</v>
      </c>
      <c r="E69" s="11">
        <v>1.087346433094621</v>
      </c>
      <c r="P69" s="1">
        <f>A68</f>
        <v>42500</v>
      </c>
      <c r="Q69" s="14">
        <f>[1]!i_dq_close(Q$2,$P69)</f>
        <v>1782.1066000000001</v>
      </c>
      <c r="R69" s="14">
        <f>[1]!i_dq_close(R$2,$P69)</f>
        <v>2855.4803000000002</v>
      </c>
      <c r="S69" s="14">
        <f>[1]!i_dq_close(S$2,$P69)</f>
        <v>3635.3631999999998</v>
      </c>
      <c r="T69" s="14">
        <f>[1]!i_dq_close(T$2,$P69)</f>
        <v>5347.5753000000004</v>
      </c>
      <c r="U69" s="14">
        <f>[1]!i_dq_close(U$2,$P69)</f>
        <v>7836.9675999999999</v>
      </c>
      <c r="V69" s="14">
        <f>[1]!i_dq_close(V$2,$P69)</f>
        <v>8665.2124999999996</v>
      </c>
      <c r="W69" s="14">
        <f>[1]!i_dq_close(W$2,$P69)</f>
        <v>5027.7966999999999</v>
      </c>
      <c r="X69" s="14">
        <f>[1]!i_dq_close(X$2,$P69)</f>
        <v>5864.1226999999999</v>
      </c>
      <c r="Y69" s="14">
        <f>[1]!i_dq_close(Y$2,$P69)</f>
        <v>5345.7858999999999</v>
      </c>
      <c r="Z69" s="14">
        <f>[1]!i_dq_close(Z$2,$P69)</f>
        <v>2363.5039999999999</v>
      </c>
      <c r="AB69" s="1">
        <v>42500</v>
      </c>
      <c r="AC69">
        <v>1.0579798222902066</v>
      </c>
      <c r="AD69">
        <v>1.1192216184232637</v>
      </c>
      <c r="AE69">
        <v>1.0759002417233803</v>
      </c>
      <c r="AF69">
        <v>1.1056569970510026</v>
      </c>
      <c r="AG69">
        <v>1.1685233372013399</v>
      </c>
      <c r="AH69">
        <v>1.0702032535999384</v>
      </c>
      <c r="AI69">
        <v>1.0775861462941068</v>
      </c>
      <c r="AJ69">
        <v>1.0832583759714232</v>
      </c>
      <c r="AK69">
        <v>1.0617937254574505</v>
      </c>
      <c r="AL69">
        <v>1.0504467357739597</v>
      </c>
    </row>
    <row r="70" spans="1:38" x14ac:dyDescent="0.4">
      <c r="A70" s="10">
        <v>42502</v>
      </c>
      <c r="B70" s="11">
        <v>1.114349164033184</v>
      </c>
      <c r="C70" s="11">
        <v>1.111796033273045</v>
      </c>
      <c r="D70" s="11">
        <v>1.077476271080684</v>
      </c>
      <c r="E70" s="11">
        <v>1.090834075382771</v>
      </c>
      <c r="P70" s="1">
        <f>A69</f>
        <v>42501</v>
      </c>
      <c r="Q70" s="14">
        <f>[1]!i_dq_close(Q$2,$P70)</f>
        <v>1781.9883</v>
      </c>
      <c r="R70" s="14">
        <f>[1]!i_dq_close(R$2,$P70)</f>
        <v>2839.6320000000001</v>
      </c>
      <c r="S70" s="14">
        <f>[1]!i_dq_close(S$2,$P70)</f>
        <v>3618.4449</v>
      </c>
      <c r="T70" s="14">
        <f>[1]!i_dq_close(T$2,$P70)</f>
        <v>5328.5070999999998</v>
      </c>
      <c r="U70" s="14">
        <f>[1]!i_dq_close(U$2,$P70)</f>
        <v>8011.9130999999998</v>
      </c>
      <c r="V70" s="14">
        <f>[1]!i_dq_close(V$2,$P70)</f>
        <v>8781.0162</v>
      </c>
      <c r="W70" s="14">
        <f>[1]!i_dq_close(W$2,$P70)</f>
        <v>5030.8293999999996</v>
      </c>
      <c r="X70" s="14">
        <f>[1]!i_dq_close(X$2,$P70)</f>
        <v>5787.6759000000002</v>
      </c>
      <c r="Y70" s="14">
        <f>[1]!i_dq_close(Y$2,$P70)</f>
        <v>5284.7044999999998</v>
      </c>
      <c r="Z70" s="14">
        <f>[1]!i_dq_close(Z$2,$P70)</f>
        <v>2366.0108</v>
      </c>
      <c r="AB70" s="1">
        <v>42501</v>
      </c>
      <c r="AC70">
        <v>1.0579095913551002</v>
      </c>
      <c r="AD70">
        <v>1.1130097877987424</v>
      </c>
      <c r="AE70">
        <v>1.070893203345606</v>
      </c>
      <c r="AF70">
        <v>1.1017144833754742</v>
      </c>
      <c r="AG70">
        <v>1.1946084137159292</v>
      </c>
      <c r="AH70">
        <v>1.0845056722098583</v>
      </c>
      <c r="AI70">
        <v>1.0782361319042779</v>
      </c>
      <c r="AJ70">
        <v>1.0691366325065035</v>
      </c>
      <c r="AK70">
        <v>1.0496615809093202</v>
      </c>
      <c r="AL70">
        <v>1.0515608696519807</v>
      </c>
    </row>
    <row r="71" spans="1:38" x14ac:dyDescent="0.4">
      <c r="A71" s="10">
        <v>42503</v>
      </c>
      <c r="B71" s="11">
        <v>1.112093972539286</v>
      </c>
      <c r="C71" s="11">
        <v>1.1091934111531609</v>
      </c>
      <c r="D71" s="11">
        <v>1.074875151615108</v>
      </c>
      <c r="E71" s="11">
        <v>1.089064076942093</v>
      </c>
      <c r="P71" s="1">
        <f>A70</f>
        <v>42502</v>
      </c>
      <c r="Q71" s="14">
        <f>[1]!i_dq_close(Q$2,$P71)</f>
        <v>1780.3775000000001</v>
      </c>
      <c r="R71" s="14">
        <f>[1]!i_dq_close(R$2,$P71)</f>
        <v>2856.3090000000002</v>
      </c>
      <c r="S71" s="14">
        <f>[1]!i_dq_close(S$2,$P71)</f>
        <v>3605.732</v>
      </c>
      <c r="T71" s="14">
        <f>[1]!i_dq_close(T$2,$P71)</f>
        <v>5323.8190999999997</v>
      </c>
      <c r="U71" s="14">
        <f>[1]!i_dq_close(U$2,$P71)</f>
        <v>7949.8975</v>
      </c>
      <c r="V71" s="14">
        <f>[1]!i_dq_close(V$2,$P71)</f>
        <v>8753.8513999999996</v>
      </c>
      <c r="W71" s="14">
        <f>[1]!i_dq_close(W$2,$P71)</f>
        <v>5050.4350999999997</v>
      </c>
      <c r="X71" s="14">
        <f>[1]!i_dq_close(X$2,$P71)</f>
        <v>5808.4769999999999</v>
      </c>
      <c r="Y71" s="14">
        <f>[1]!i_dq_close(Y$2,$P71)</f>
        <v>5286.2543999999998</v>
      </c>
      <c r="Z71" s="14">
        <f>[1]!i_dq_close(Z$2,$P71)</f>
        <v>2397.7053000000001</v>
      </c>
      <c r="AB71" s="1">
        <v>42502</v>
      </c>
      <c r="AC71">
        <v>1.0569533107949223</v>
      </c>
      <c r="AD71">
        <v>1.1195464320650133</v>
      </c>
      <c r="AE71">
        <v>1.0671307698745829</v>
      </c>
      <c r="AF71">
        <v>1.1007451992211816</v>
      </c>
      <c r="AG71">
        <v>1.1853616387425909</v>
      </c>
      <c r="AH71">
        <v>1.0811506642001423</v>
      </c>
      <c r="AI71">
        <v>1.0824381376672392</v>
      </c>
      <c r="AJ71">
        <v>1.0729791451818298</v>
      </c>
      <c r="AK71">
        <v>1.0499694260280494</v>
      </c>
      <c r="AL71">
        <v>1.0656473209831347</v>
      </c>
    </row>
    <row r="72" spans="1:38" x14ac:dyDescent="0.4">
      <c r="A72" s="10">
        <v>42506</v>
      </c>
      <c r="B72" s="11">
        <v>1.12761858226748</v>
      </c>
      <c r="C72" s="11">
        <v>1.1246666533453831</v>
      </c>
      <c r="D72" s="11">
        <v>1.090512065754915</v>
      </c>
      <c r="E72" s="11">
        <v>1.1085776903995439</v>
      </c>
      <c r="P72" s="1">
        <f>A71</f>
        <v>42503</v>
      </c>
      <c r="Q72" s="14">
        <f>[1]!i_dq_close(Q$2,$P72)</f>
        <v>1770.8952999999999</v>
      </c>
      <c r="R72" s="14">
        <f>[1]!i_dq_close(R$2,$P72)</f>
        <v>2860.4764</v>
      </c>
      <c r="S72" s="14">
        <f>[1]!i_dq_close(S$2,$P72)</f>
        <v>3595.5814999999998</v>
      </c>
      <c r="T72" s="14">
        <f>[1]!i_dq_close(T$2,$P72)</f>
        <v>5297.6445000000003</v>
      </c>
      <c r="U72" s="14">
        <f>[1]!i_dq_close(U$2,$P72)</f>
        <v>7894.2645000000002</v>
      </c>
      <c r="V72" s="14">
        <f>[1]!i_dq_close(V$2,$P72)</f>
        <v>8723.1072999999997</v>
      </c>
      <c r="W72" s="14">
        <f>[1]!i_dq_close(W$2,$P72)</f>
        <v>5031.5436</v>
      </c>
      <c r="X72" s="14">
        <f>[1]!i_dq_close(X$2,$P72)</f>
        <v>5776.4323999999997</v>
      </c>
      <c r="Y72" s="14">
        <f>[1]!i_dq_close(Y$2,$P72)</f>
        <v>5276.2758000000003</v>
      </c>
      <c r="Z72" s="14">
        <f>[1]!i_dq_close(Z$2,$P72)</f>
        <v>2379.7139999999999</v>
      </c>
      <c r="AB72" s="1">
        <v>42503</v>
      </c>
      <c r="AC72">
        <v>1.051324031227179</v>
      </c>
      <c r="AD72">
        <v>1.1211798680136404</v>
      </c>
      <c r="AE72">
        <v>1.0641266889058332</v>
      </c>
      <c r="AF72">
        <v>1.0953333764769539</v>
      </c>
      <c r="AG72">
        <v>1.1770665350575225</v>
      </c>
      <c r="AH72">
        <v>1.0773535921896171</v>
      </c>
      <c r="AI72">
        <v>1.0783892033332965</v>
      </c>
      <c r="AJ72">
        <v>1.0670596610355219</v>
      </c>
      <c r="AK72">
        <v>1.0479874508672318</v>
      </c>
      <c r="AL72">
        <v>1.0576511837405786</v>
      </c>
    </row>
    <row r="73" spans="1:38" x14ac:dyDescent="0.4">
      <c r="A73" s="10">
        <v>42507</v>
      </c>
      <c r="B73" s="11">
        <v>1.1255326202150251</v>
      </c>
      <c r="C73" s="11">
        <v>1.119749192013181</v>
      </c>
      <c r="D73" s="11">
        <v>1.087409513905367</v>
      </c>
      <c r="E73" s="11">
        <v>1.104209465727336</v>
      </c>
      <c r="P73" s="1">
        <f>A72</f>
        <v>42506</v>
      </c>
      <c r="Q73" s="14">
        <f>[1]!i_dq_close(Q$2,$P73)</f>
        <v>1783.9561000000001</v>
      </c>
      <c r="R73" s="14">
        <f>[1]!i_dq_close(R$2,$P73)</f>
        <v>2918.1262000000002</v>
      </c>
      <c r="S73" s="14">
        <f>[1]!i_dq_close(S$2,$P73)</f>
        <v>3642.2698999999998</v>
      </c>
      <c r="T73" s="14">
        <f>[1]!i_dq_close(T$2,$P73)</f>
        <v>5373.9061000000002</v>
      </c>
      <c r="U73" s="14">
        <f>[1]!i_dq_close(U$2,$P73)</f>
        <v>8031.4616999999998</v>
      </c>
      <c r="V73" s="14">
        <f>[1]!i_dq_close(V$2,$P73)</f>
        <v>8847.9881999999998</v>
      </c>
      <c r="W73" s="14">
        <f>[1]!i_dq_close(W$2,$P73)</f>
        <v>5047.3681999999999</v>
      </c>
      <c r="X73" s="14">
        <f>[1]!i_dq_close(X$2,$P73)</f>
        <v>5895.3335999999999</v>
      </c>
      <c r="Y73" s="14">
        <f>[1]!i_dq_close(Y$2,$P73)</f>
        <v>5354.6486000000004</v>
      </c>
      <c r="Z73" s="14">
        <f>[1]!i_dq_close(Z$2,$P73)</f>
        <v>2391.8105</v>
      </c>
      <c r="AB73" s="1">
        <v>42506</v>
      </c>
      <c r="AC73">
        <v>1.059077811423587</v>
      </c>
      <c r="AD73">
        <v>1.1437760324689785</v>
      </c>
      <c r="AE73">
        <v>1.0779443071415236</v>
      </c>
      <c r="AF73">
        <v>1.1111011154831358</v>
      </c>
      <c r="AG73">
        <v>1.1975231884700848</v>
      </c>
      <c r="AH73">
        <v>1.0927770968633328</v>
      </c>
      <c r="AI73">
        <v>1.0817808221174541</v>
      </c>
      <c r="AJ73">
        <v>1.0890238537037711</v>
      </c>
      <c r="AK73">
        <v>1.0635540576942153</v>
      </c>
      <c r="AL73">
        <v>1.0630274085911775</v>
      </c>
    </row>
    <row r="74" spans="1:38" x14ac:dyDescent="0.4">
      <c r="A74" s="10">
        <v>42508</v>
      </c>
      <c r="B74" s="11">
        <v>1.102676961467751</v>
      </c>
      <c r="C74" s="11">
        <v>1.09920874920722</v>
      </c>
      <c r="D74" s="11">
        <v>1.065425383407536</v>
      </c>
      <c r="E74" s="11">
        <v>1.0793738614571771</v>
      </c>
      <c r="P74" s="1">
        <f>A73</f>
        <v>42507</v>
      </c>
      <c r="Q74" s="14">
        <f>[1]!i_dq_close(Q$2,$P74)</f>
        <v>1805.3778</v>
      </c>
      <c r="R74" s="14">
        <f>[1]!i_dq_close(R$2,$P74)</f>
        <v>2910.9776000000002</v>
      </c>
      <c r="S74" s="14">
        <f>[1]!i_dq_close(S$2,$P74)</f>
        <v>3627.9124000000002</v>
      </c>
      <c r="T74" s="14">
        <f>[1]!i_dq_close(T$2,$P74)</f>
        <v>5345.5438000000004</v>
      </c>
      <c r="U74" s="14">
        <f>[1]!i_dq_close(U$2,$P74)</f>
        <v>7939.8353999999999</v>
      </c>
      <c r="V74" s="14">
        <f>[1]!i_dq_close(V$2,$P74)</f>
        <v>8885.1198000000004</v>
      </c>
      <c r="W74" s="14">
        <f>[1]!i_dq_close(W$2,$P74)</f>
        <v>5033.8869000000004</v>
      </c>
      <c r="X74" s="14">
        <f>[1]!i_dq_close(X$2,$P74)</f>
        <v>5931.8703999999998</v>
      </c>
      <c r="Y74" s="14">
        <f>[1]!i_dq_close(Y$2,$P74)</f>
        <v>5339.2016000000003</v>
      </c>
      <c r="Z74" s="14">
        <f>[1]!i_dq_close(Z$2,$P74)</f>
        <v>2377.2456999999999</v>
      </c>
      <c r="AB74" s="1">
        <v>42507</v>
      </c>
      <c r="AC74">
        <v>1.07179519115786</v>
      </c>
      <c r="AD74">
        <v>1.1409740983560166</v>
      </c>
      <c r="AE74">
        <v>1.0736951477396395</v>
      </c>
      <c r="AF74">
        <v>1.1052369670255238</v>
      </c>
      <c r="AG74">
        <v>1.1838613392299002</v>
      </c>
      <c r="AH74">
        <v>1.097363061619693</v>
      </c>
      <c r="AI74">
        <v>1.078891432792298</v>
      </c>
      <c r="AJ74">
        <v>1.0957731658611025</v>
      </c>
      <c r="AK74">
        <v>1.0604859348804787</v>
      </c>
      <c r="AL74">
        <v>1.0565541609820341</v>
      </c>
    </row>
    <row r="75" spans="1:38" x14ac:dyDescent="0.4">
      <c r="A75" s="10">
        <v>42509</v>
      </c>
      <c r="B75" s="11">
        <v>1.1061580054945639</v>
      </c>
      <c r="C75" s="11">
        <v>1.101697281438635</v>
      </c>
      <c r="D75" s="11">
        <v>1.0688591915324579</v>
      </c>
      <c r="E75" s="11">
        <v>1.0857772569801349</v>
      </c>
      <c r="P75" s="1">
        <f>A74</f>
        <v>42508</v>
      </c>
      <c r="Q75" s="14">
        <f>[1]!i_dq_close(Q$2,$P75)</f>
        <v>1769.8279</v>
      </c>
      <c r="R75" s="14">
        <f>[1]!i_dq_close(R$2,$P75)</f>
        <v>2824.6947</v>
      </c>
      <c r="S75" s="14">
        <f>[1]!i_dq_close(S$2,$P75)</f>
        <v>3535.4513000000002</v>
      </c>
      <c r="T75" s="14">
        <f>[1]!i_dq_close(T$2,$P75)</f>
        <v>5226.3683000000001</v>
      </c>
      <c r="U75" s="14">
        <f>[1]!i_dq_close(U$2,$P75)</f>
        <v>7764.7583000000004</v>
      </c>
      <c r="V75" s="14">
        <f>[1]!i_dq_close(V$2,$P75)</f>
        <v>8669.8001999999997</v>
      </c>
      <c r="W75" s="14">
        <f>[1]!i_dq_close(W$2,$P75)</f>
        <v>5050.0005000000001</v>
      </c>
      <c r="X75" s="14">
        <f>[1]!i_dq_close(X$2,$P75)</f>
        <v>5767.3791000000001</v>
      </c>
      <c r="Y75" s="14">
        <f>[1]!i_dq_close(Y$2,$P75)</f>
        <v>5220.4736000000003</v>
      </c>
      <c r="Z75" s="14">
        <f>[1]!i_dq_close(Z$2,$P75)</f>
        <v>2342.3004999999998</v>
      </c>
      <c r="AB75" s="1">
        <v>42508</v>
      </c>
      <c r="AC75">
        <v>1.050690349907379</v>
      </c>
      <c r="AD75">
        <v>1.1071550287654288</v>
      </c>
      <c r="AE75">
        <v>1.0463309163362933</v>
      </c>
      <c r="AF75">
        <v>1.0805964116223952</v>
      </c>
      <c r="AG75">
        <v>1.1577566406268931</v>
      </c>
      <c r="AH75">
        <v>1.0707698607623755</v>
      </c>
      <c r="AI75">
        <v>1.0823449917094525</v>
      </c>
      <c r="AJ75">
        <v>1.0653872773633348</v>
      </c>
      <c r="AK75">
        <v>1.0369038745820831</v>
      </c>
      <c r="AL75">
        <v>1.0410229533889994</v>
      </c>
    </row>
    <row r="76" spans="1:38" x14ac:dyDescent="0.4">
      <c r="A76" s="10">
        <v>42510</v>
      </c>
      <c r="B76" s="11">
        <v>1.1164210293449821</v>
      </c>
      <c r="C76" s="11">
        <v>1.109218240362553</v>
      </c>
      <c r="D76" s="11">
        <v>1.0761706761888301</v>
      </c>
      <c r="E76" s="11">
        <v>1.094010950143907</v>
      </c>
      <c r="P76" s="1">
        <f>A75</f>
        <v>42509</v>
      </c>
      <c r="Q76" s="14">
        <f>[1]!i_dq_close(Q$2,$P76)</f>
        <v>1761.4032999999999</v>
      </c>
      <c r="R76" s="14">
        <f>[1]!i_dq_close(R$2,$P76)</f>
        <v>2857.0913</v>
      </c>
      <c r="S76" s="14">
        <f>[1]!i_dq_close(S$2,$P76)</f>
        <v>3543.2471</v>
      </c>
      <c r="T76" s="14">
        <f>[1]!i_dq_close(T$2,$P76)</f>
        <v>5243.7781999999997</v>
      </c>
      <c r="U76" s="14">
        <f>[1]!i_dq_close(U$2,$P76)</f>
        <v>7755.3362999999999</v>
      </c>
      <c r="V76" s="14">
        <f>[1]!i_dq_close(V$2,$P76)</f>
        <v>8669.2314000000006</v>
      </c>
      <c r="W76" s="14">
        <f>[1]!i_dq_close(W$2,$P76)</f>
        <v>5029.5604999999996</v>
      </c>
      <c r="X76" s="14">
        <f>[1]!i_dq_close(X$2,$P76)</f>
        <v>5826.8244000000004</v>
      </c>
      <c r="Y76" s="14">
        <f>[1]!i_dq_close(Y$2,$P76)</f>
        <v>5236.7784000000001</v>
      </c>
      <c r="Z76" s="14">
        <f>[1]!i_dq_close(Z$2,$P76)</f>
        <v>2340.36</v>
      </c>
      <c r="AB76" s="1">
        <v>42509</v>
      </c>
      <c r="AC76">
        <v>1.0456889337121489</v>
      </c>
      <c r="AD76">
        <v>1.1198530589649056</v>
      </c>
      <c r="AE76">
        <v>1.0486381144463548</v>
      </c>
      <c r="AF76">
        <v>1.0841960575690277</v>
      </c>
      <c r="AG76">
        <v>1.1563517825944174</v>
      </c>
      <c r="AH76">
        <v>1.0706996107124609</v>
      </c>
      <c r="AI76">
        <v>1.0779641739985351</v>
      </c>
      <c r="AJ76">
        <v>1.0763683946474487</v>
      </c>
      <c r="AK76">
        <v>1.0401423758349746</v>
      </c>
      <c r="AL76">
        <v>1.0401605085229153</v>
      </c>
    </row>
    <row r="77" spans="1:38" x14ac:dyDescent="0.4">
      <c r="A77" s="10">
        <v>42513</v>
      </c>
      <c r="B77" s="11">
        <v>1.1317905472039269</v>
      </c>
      <c r="C77" s="11">
        <v>1.1222386938969231</v>
      </c>
      <c r="D77" s="11">
        <v>1.0898574248771129</v>
      </c>
      <c r="E77" s="11">
        <v>1.11100483248078</v>
      </c>
      <c r="P77" s="1">
        <f>A76</f>
        <v>42510</v>
      </c>
      <c r="Q77" s="14">
        <f>[1]!i_dq_close(Q$2,$P77)</f>
        <v>1769.7597000000001</v>
      </c>
      <c r="R77" s="14">
        <f>[1]!i_dq_close(R$2,$P77)</f>
        <v>2873.4634000000001</v>
      </c>
      <c r="S77" s="14">
        <f>[1]!i_dq_close(S$2,$P77)</f>
        <v>3581.3478</v>
      </c>
      <c r="T77" s="14">
        <f>[1]!i_dq_close(T$2,$P77)</f>
        <v>5286.3630999999996</v>
      </c>
      <c r="U77" s="14">
        <f>[1]!i_dq_close(U$2,$P77)</f>
        <v>7815.4821000000002</v>
      </c>
      <c r="V77" s="14">
        <f>[1]!i_dq_close(V$2,$P77)</f>
        <v>8739.1784000000007</v>
      </c>
      <c r="W77" s="14">
        <f>[1]!i_dq_close(W$2,$P77)</f>
        <v>5054.9054999999998</v>
      </c>
      <c r="X77" s="14">
        <f>[1]!i_dq_close(X$2,$P77)</f>
        <v>5917.8639999999996</v>
      </c>
      <c r="Y77" s="14">
        <f>[1]!i_dq_close(Y$2,$P77)</f>
        <v>5292.442</v>
      </c>
      <c r="Z77" s="14">
        <f>[1]!i_dq_close(Z$2,$P77)</f>
        <v>2355.3679999999999</v>
      </c>
      <c r="AB77" s="1">
        <v>42510</v>
      </c>
      <c r="AC77">
        <v>1.0506498617436069</v>
      </c>
      <c r="AD77">
        <v>1.1262701959554804</v>
      </c>
      <c r="AE77">
        <v>1.0599141686078288</v>
      </c>
      <c r="AF77">
        <v>1.0930008503979791</v>
      </c>
      <c r="AG77">
        <v>1.1653197628798844</v>
      </c>
      <c r="AH77">
        <v>1.0793384648639954</v>
      </c>
      <c r="AI77">
        <v>1.0833962593646407</v>
      </c>
      <c r="AJ77">
        <v>1.0931858137722374</v>
      </c>
      <c r="AK77">
        <v>1.0511984230321458</v>
      </c>
      <c r="AL77">
        <v>1.0468307340061365</v>
      </c>
    </row>
    <row r="78" spans="1:38" x14ac:dyDescent="0.4">
      <c r="A78" s="10">
        <v>42514</v>
      </c>
      <c r="B78" s="11">
        <v>1.1225336236173249</v>
      </c>
      <c r="C78" s="11">
        <v>1.112786524144082</v>
      </c>
      <c r="D78" s="11">
        <v>1.08101563383462</v>
      </c>
      <c r="E78" s="11">
        <v>1.1014371548891091</v>
      </c>
      <c r="P78" s="1">
        <f>A77</f>
        <v>42513</v>
      </c>
      <c r="Q78" s="14">
        <f>[1]!i_dq_close(Q$2,$P78)</f>
        <v>1777.5255999999999</v>
      </c>
      <c r="R78" s="14">
        <f>[1]!i_dq_close(R$2,$P78)</f>
        <v>2909.3004000000001</v>
      </c>
      <c r="S78" s="14">
        <f>[1]!i_dq_close(S$2,$P78)</f>
        <v>3626.5518000000002</v>
      </c>
      <c r="T78" s="14">
        <f>[1]!i_dq_close(T$2,$P78)</f>
        <v>5350.5816999999997</v>
      </c>
      <c r="U78" s="14">
        <f>[1]!i_dq_close(U$2,$P78)</f>
        <v>7898.8818000000001</v>
      </c>
      <c r="V78" s="14">
        <f>[1]!i_dq_close(V$2,$P78)</f>
        <v>8807.4361000000008</v>
      </c>
      <c r="W78" s="14">
        <f>[1]!i_dq_close(W$2,$P78)</f>
        <v>5057.2511000000004</v>
      </c>
      <c r="X78" s="14">
        <f>[1]!i_dq_close(X$2,$P78)</f>
        <v>6015.1777000000002</v>
      </c>
      <c r="Y78" s="14">
        <f>[1]!i_dq_close(Y$2,$P78)</f>
        <v>5381.1893</v>
      </c>
      <c r="Z78" s="14">
        <f>[1]!i_dq_close(Z$2,$P78)</f>
        <v>2364.8708000000001</v>
      </c>
      <c r="AB78" s="1">
        <v>42513</v>
      </c>
      <c r="AC78">
        <v>1.055260228767624</v>
      </c>
      <c r="AD78">
        <v>1.1403167103507765</v>
      </c>
      <c r="AE78">
        <v>1.0732924727417497</v>
      </c>
      <c r="AF78">
        <v>1.1062785960018269</v>
      </c>
      <c r="AG78">
        <v>1.1777549930275235</v>
      </c>
      <c r="AH78">
        <v>1.0877686808134888</v>
      </c>
      <c r="AI78">
        <v>1.0838989817727978</v>
      </c>
      <c r="AJ78">
        <v>1.1111622249107305</v>
      </c>
      <c r="AK78">
        <v>1.068825639694768</v>
      </c>
      <c r="AL78">
        <v>1.0510542027376102</v>
      </c>
    </row>
    <row r="79" spans="1:38" x14ac:dyDescent="0.4">
      <c r="A79" s="10">
        <v>42515</v>
      </c>
      <c r="B79" s="11">
        <v>1.1192653448892469</v>
      </c>
      <c r="C79" s="11">
        <v>1.107566063216366</v>
      </c>
      <c r="D79" s="11">
        <v>1.075733403634241</v>
      </c>
      <c r="E79" s="11">
        <v>1.0952967806776801</v>
      </c>
      <c r="P79" s="1">
        <f>A78</f>
        <v>42514</v>
      </c>
      <c r="Q79" s="14">
        <f>[1]!i_dq_close(Q$2,$P79)</f>
        <v>1762.8862999999999</v>
      </c>
      <c r="R79" s="14">
        <f>[1]!i_dq_close(R$2,$P79)</f>
        <v>2883.5358000000001</v>
      </c>
      <c r="S79" s="14">
        <f>[1]!i_dq_close(S$2,$P79)</f>
        <v>3589.4546999999998</v>
      </c>
      <c r="T79" s="14">
        <f>[1]!i_dq_close(T$2,$P79)</f>
        <v>5314.4363000000003</v>
      </c>
      <c r="U79" s="14">
        <f>[1]!i_dq_close(U$2,$P79)</f>
        <v>7806.9093999999996</v>
      </c>
      <c r="V79" s="14">
        <f>[1]!i_dq_close(V$2,$P79)</f>
        <v>8720.9850000000006</v>
      </c>
      <c r="W79" s="14">
        <f>[1]!i_dq_close(W$2,$P79)</f>
        <v>5013.0838999999996</v>
      </c>
      <c r="X79" s="14">
        <f>[1]!i_dq_close(X$2,$P79)</f>
        <v>5952.5874999999996</v>
      </c>
      <c r="Y79" s="14">
        <f>[1]!i_dq_close(Y$2,$P79)</f>
        <v>5302.8599000000004</v>
      </c>
      <c r="Z79" s="14">
        <f>[1]!i_dq_close(Z$2,$P79)</f>
        <v>2349.8094999999998</v>
      </c>
      <c r="AB79" s="1">
        <v>42514</v>
      </c>
      <c r="AC79">
        <v>1.0465693434903611</v>
      </c>
      <c r="AD79">
        <v>1.1302181299788412</v>
      </c>
      <c r="AE79">
        <v>1.0623134380039725</v>
      </c>
      <c r="AF79">
        <v>1.098805224954353</v>
      </c>
      <c r="AG79">
        <v>1.1640415388876317</v>
      </c>
      <c r="AH79">
        <v>1.0770914760135726</v>
      </c>
      <c r="AI79">
        <v>1.074432814845125</v>
      </c>
      <c r="AJ79">
        <v>1.09960016151739</v>
      </c>
      <c r="AK79">
        <v>1.0532676530872522</v>
      </c>
      <c r="AL79">
        <v>1.0443602883539187</v>
      </c>
    </row>
    <row r="80" spans="1:38" x14ac:dyDescent="0.4">
      <c r="A80" s="10">
        <v>42516</v>
      </c>
      <c r="B80" s="11">
        <v>1.124504812872938</v>
      </c>
      <c r="C80" s="11">
        <v>1.112574400717975</v>
      </c>
      <c r="D80" s="11">
        <v>1.080172389462265</v>
      </c>
      <c r="E80" s="11">
        <v>1.1010948925575059</v>
      </c>
      <c r="P80" s="1">
        <f>A79</f>
        <v>42515</v>
      </c>
      <c r="Q80" s="14">
        <f>[1]!i_dq_close(Q$2,$P80)</f>
        <v>1765.4641999999999</v>
      </c>
      <c r="R80" s="14">
        <f>[1]!i_dq_close(R$2,$P80)</f>
        <v>2863.1786999999999</v>
      </c>
      <c r="S80" s="14">
        <f>[1]!i_dq_close(S$2,$P80)</f>
        <v>3578.3877000000002</v>
      </c>
      <c r="T80" s="14">
        <f>[1]!i_dq_close(T$2,$P80)</f>
        <v>5295.2867999999999</v>
      </c>
      <c r="U80" s="14">
        <f>[1]!i_dq_close(U$2,$P80)</f>
        <v>7753.3240999999998</v>
      </c>
      <c r="V80" s="14">
        <f>[1]!i_dq_close(V$2,$P80)</f>
        <v>8676.3094000000001</v>
      </c>
      <c r="W80" s="14">
        <f>[1]!i_dq_close(W$2,$P80)</f>
        <v>5026.8465999999999</v>
      </c>
      <c r="X80" s="14">
        <f>[1]!i_dq_close(X$2,$P80)</f>
        <v>5937.0924000000005</v>
      </c>
      <c r="Y80" s="14">
        <f>[1]!i_dq_close(Y$2,$P80)</f>
        <v>5296.8824999999997</v>
      </c>
      <c r="Z80" s="14">
        <f>[1]!i_dq_close(Z$2,$P80)</f>
        <v>2343.9292999999998</v>
      </c>
      <c r="AB80" s="1">
        <v>42515</v>
      </c>
      <c r="AC80">
        <v>1.0480997604608622</v>
      </c>
      <c r="AD80">
        <v>1.1222390497490093</v>
      </c>
      <c r="AE80">
        <v>1.0590381152039969</v>
      </c>
      <c r="AF80">
        <v>1.0948459018074626</v>
      </c>
      <c r="AG80">
        <v>1.1560517554947625</v>
      </c>
      <c r="AH80">
        <v>1.07157378415356</v>
      </c>
      <c r="AI80">
        <v>1.0773825154278083</v>
      </c>
      <c r="AJ80">
        <v>1.0967378072113463</v>
      </c>
      <c r="AK80">
        <v>1.0520804065470288</v>
      </c>
      <c r="AL80">
        <v>1.0417468648540227</v>
      </c>
    </row>
    <row r="81" spans="1:38" x14ac:dyDescent="0.4">
      <c r="A81" s="10">
        <v>42517</v>
      </c>
      <c r="B81" s="11">
        <v>1.1235231189141679</v>
      </c>
      <c r="C81" s="11">
        <v>1.1104877560878299</v>
      </c>
      <c r="D81" s="11">
        <v>1.078649006526522</v>
      </c>
      <c r="E81" s="11">
        <v>1.0983544016155491</v>
      </c>
      <c r="P81" s="1">
        <f>A80</f>
        <v>42516</v>
      </c>
      <c r="Q81" s="14">
        <f>[1]!i_dq_close(Q$2,$P81)</f>
        <v>1778.6256000000001</v>
      </c>
      <c r="R81" s="14">
        <f>[1]!i_dq_close(R$2,$P81)</f>
        <v>2885.3989000000001</v>
      </c>
      <c r="S81" s="14">
        <f>[1]!i_dq_close(S$2,$P81)</f>
        <v>3582.6484</v>
      </c>
      <c r="T81" s="14">
        <f>[1]!i_dq_close(T$2,$P81)</f>
        <v>5312.7829000000002</v>
      </c>
      <c r="U81" s="14">
        <f>[1]!i_dq_close(U$2,$P81)</f>
        <v>7735.9242000000004</v>
      </c>
      <c r="V81" s="14">
        <f>[1]!i_dq_close(V$2,$P81)</f>
        <v>8706.5094000000008</v>
      </c>
      <c r="W81" s="14">
        <f>[1]!i_dq_close(W$2,$P81)</f>
        <v>5036.7864</v>
      </c>
      <c r="X81" s="14">
        <f>[1]!i_dq_close(X$2,$P81)</f>
        <v>5986.2272000000003</v>
      </c>
      <c r="Y81" s="14">
        <f>[1]!i_dq_close(Y$2,$P81)</f>
        <v>5333.7533000000003</v>
      </c>
      <c r="Z81" s="14">
        <f>[1]!i_dq_close(Z$2,$P81)</f>
        <v>2342.1415000000002</v>
      </c>
      <c r="AB81" s="1">
        <v>42516</v>
      </c>
      <c r="AC81">
        <v>1.0559132636671744</v>
      </c>
      <c r="AD81">
        <v>1.1309483825382036</v>
      </c>
      <c r="AE81">
        <v>1.0602990863663586</v>
      </c>
      <c r="AF81">
        <v>1.0984633703424274</v>
      </c>
      <c r="AG81">
        <v>1.1534573605383551</v>
      </c>
      <c r="AH81">
        <v>1.0753036567052969</v>
      </c>
      <c r="AI81">
        <v>1.0795128702166035</v>
      </c>
      <c r="AJ81">
        <v>1.1058143027716592</v>
      </c>
      <c r="AK81">
        <v>1.0594037795411841</v>
      </c>
      <c r="AL81">
        <v>1.0409522866877847</v>
      </c>
    </row>
    <row r="82" spans="1:38" x14ac:dyDescent="0.4">
      <c r="A82" s="10">
        <v>42520</v>
      </c>
      <c r="B82" s="11">
        <v>1.12018305804262</v>
      </c>
      <c r="C82" s="11">
        <v>1.1074805793356439</v>
      </c>
      <c r="D82" s="11">
        <v>1.0748445945860561</v>
      </c>
      <c r="E82" s="11">
        <v>1.0934700358681271</v>
      </c>
      <c r="P82" s="1">
        <f>A81</f>
        <v>42517</v>
      </c>
      <c r="Q82" s="14">
        <f>[1]!i_dq_close(Q$2,$P82)</f>
        <v>1767.6343999999999</v>
      </c>
      <c r="R82" s="14">
        <f>[1]!i_dq_close(R$2,$P82)</f>
        <v>2874.7586999999999</v>
      </c>
      <c r="S82" s="14">
        <f>[1]!i_dq_close(S$2,$P82)</f>
        <v>3581.3479000000002</v>
      </c>
      <c r="T82" s="14">
        <f>[1]!i_dq_close(T$2,$P82)</f>
        <v>5310.6127999999999</v>
      </c>
      <c r="U82" s="14">
        <f>[1]!i_dq_close(U$2,$P82)</f>
        <v>7728.7219999999998</v>
      </c>
      <c r="V82" s="14">
        <f>[1]!i_dq_close(V$2,$P82)</f>
        <v>8682.0697999999993</v>
      </c>
      <c r="W82" s="14">
        <f>[1]!i_dq_close(W$2,$P82)</f>
        <v>5034.0676000000003</v>
      </c>
      <c r="X82" s="14">
        <f>[1]!i_dq_close(X$2,$P82)</f>
        <v>5993.5496000000003</v>
      </c>
      <c r="Y82" s="14">
        <f>[1]!i_dq_close(Y$2,$P82)</f>
        <v>5335.5299000000005</v>
      </c>
      <c r="Z82" s="14">
        <f>[1]!i_dq_close(Z$2,$P82)</f>
        <v>2341.1855999999998</v>
      </c>
      <c r="AB82" s="1">
        <v>42517</v>
      </c>
      <c r="AC82">
        <v>1.0493881389508661</v>
      </c>
      <c r="AD82">
        <v>1.1267778961004764</v>
      </c>
      <c r="AE82">
        <v>1.0599141982032279</v>
      </c>
      <c r="AF82">
        <v>1.0980146835797928</v>
      </c>
      <c r="AG82">
        <v>1.1523834835991174</v>
      </c>
      <c r="AH82">
        <v>1.0722852264663751</v>
      </c>
      <c r="AI82">
        <v>1.0789301614498501</v>
      </c>
      <c r="AJ82">
        <v>1.107166943488439</v>
      </c>
      <c r="AK82">
        <v>1.0597566523961648</v>
      </c>
      <c r="AL82">
        <v>1.0405274420356383</v>
      </c>
    </row>
    <row r="83" spans="1:38" x14ac:dyDescent="0.4">
      <c r="A83" s="10">
        <v>42521</v>
      </c>
      <c r="B83" s="11">
        <v>1.1573022451544319</v>
      </c>
      <c r="C83" s="11">
        <v>1.1431189987915891</v>
      </c>
      <c r="D83" s="11">
        <v>1.1079267598292111</v>
      </c>
      <c r="E83" s="11">
        <v>1.132211357032324</v>
      </c>
      <c r="P83" s="1">
        <f>A82</f>
        <v>42520</v>
      </c>
      <c r="Q83" s="14">
        <f>[1]!i_dq_close(Q$2,$P83)</f>
        <v>1757.3773000000001</v>
      </c>
      <c r="R83" s="14">
        <f>[1]!i_dq_close(R$2,$P83)</f>
        <v>2856.2534999999998</v>
      </c>
      <c r="S83" s="14">
        <f>[1]!i_dq_close(S$2,$P83)</f>
        <v>3568.5664999999999</v>
      </c>
      <c r="T83" s="14">
        <f>[1]!i_dq_close(T$2,$P83)</f>
        <v>5290.0183999999999</v>
      </c>
      <c r="U83" s="14">
        <f>[1]!i_dq_close(U$2,$P83)</f>
        <v>7702.6893</v>
      </c>
      <c r="V83" s="14">
        <f>[1]!i_dq_close(V$2,$P83)</f>
        <v>8634.8060000000005</v>
      </c>
      <c r="W83" s="14">
        <f>[1]!i_dq_close(W$2,$P83)</f>
        <v>5057.9552000000003</v>
      </c>
      <c r="X83" s="14">
        <f>[1]!i_dq_close(X$2,$P83)</f>
        <v>5976.7798000000003</v>
      </c>
      <c r="Y83" s="14">
        <f>[1]!i_dq_close(Y$2,$P83)</f>
        <v>5344.5585000000001</v>
      </c>
      <c r="Z83" s="14">
        <f>[1]!i_dq_close(Z$2,$P83)</f>
        <v>2336.7662999999998</v>
      </c>
      <c r="AB83" s="1">
        <v>42520</v>
      </c>
      <c r="AC83">
        <v>1.0432988259797944</v>
      </c>
      <c r="AD83">
        <v>1.1195246785268003</v>
      </c>
      <c r="AE83">
        <v>1.0561314918839353</v>
      </c>
      <c r="AF83">
        <v>1.0937566149818496</v>
      </c>
      <c r="AG83">
        <v>1.1485019034991357</v>
      </c>
      <c r="AH83">
        <v>1.0664478771183361</v>
      </c>
      <c r="AI83">
        <v>1.0840498885120471</v>
      </c>
      <c r="AJ83">
        <v>1.1040691184184819</v>
      </c>
      <c r="AK83">
        <v>1.0615499361170233</v>
      </c>
      <c r="AL83">
        <v>1.0385633077420615</v>
      </c>
    </row>
    <row r="84" spans="1:38" x14ac:dyDescent="0.4">
      <c r="A84" s="10">
        <v>42522</v>
      </c>
      <c r="B84" s="11">
        <v>1.161862356974082</v>
      </c>
      <c r="C84" s="11">
        <v>1.1489360388742491</v>
      </c>
      <c r="D84" s="11">
        <v>1.114547809245684</v>
      </c>
      <c r="E84" s="11">
        <v>1.141278951547537</v>
      </c>
      <c r="P84" s="1">
        <f>A83</f>
        <v>42521</v>
      </c>
      <c r="Q84" s="14">
        <f>[1]!i_dq_close(Q$2,$P84)</f>
        <v>1812.6157000000001</v>
      </c>
      <c r="R84" s="14">
        <f>[1]!i_dq_close(R$2,$P84)</f>
        <v>2973.9859999999999</v>
      </c>
      <c r="S84" s="14">
        <f>[1]!i_dq_close(S$2,$P84)</f>
        <v>3700.1641</v>
      </c>
      <c r="T84" s="14">
        <f>[1]!i_dq_close(T$2,$P84)</f>
        <v>5475.16</v>
      </c>
      <c r="U84" s="14">
        <f>[1]!i_dq_close(U$2,$P84)</f>
        <v>7958.3530000000001</v>
      </c>
      <c r="V84" s="14">
        <f>[1]!i_dq_close(V$2,$P84)</f>
        <v>8941.0226999999995</v>
      </c>
      <c r="W84" s="14">
        <f>[1]!i_dq_close(W$2,$P84)</f>
        <v>5235.6695</v>
      </c>
      <c r="X84" s="14">
        <f>[1]!i_dq_close(X$2,$P84)</f>
        <v>6276.0562</v>
      </c>
      <c r="Y84" s="14">
        <f>[1]!i_dq_close(Y$2,$P84)</f>
        <v>5558.0981000000002</v>
      </c>
      <c r="Z84" s="14">
        <f>[1]!i_dq_close(Z$2,$P84)</f>
        <v>2405.1547</v>
      </c>
      <c r="AB84" s="1">
        <v>42521</v>
      </c>
      <c r="AC84">
        <v>1.076092101430093</v>
      </c>
      <c r="AD84">
        <v>1.1656705963224918</v>
      </c>
      <c r="AE84">
        <v>1.0950783265909094</v>
      </c>
      <c r="AF84">
        <v>1.1320362265817494</v>
      </c>
      <c r="AG84">
        <v>1.1866223877442463</v>
      </c>
      <c r="AH84">
        <v>1.1042673891783847</v>
      </c>
      <c r="AI84">
        <v>1.1221386337626962</v>
      </c>
      <c r="AJ84">
        <v>1.159353375521522</v>
      </c>
      <c r="AK84">
        <v>1.1039637199194561</v>
      </c>
      <c r="AL84">
        <v>1.0689581670462149</v>
      </c>
    </row>
    <row r="85" spans="1:38" x14ac:dyDescent="0.4">
      <c r="A85" s="10">
        <v>42523</v>
      </c>
      <c r="B85" s="11">
        <v>1.169449471857809</v>
      </c>
      <c r="C85" s="11">
        <v>1.1551052934493951</v>
      </c>
      <c r="D85" s="11">
        <v>1.12148123558625</v>
      </c>
      <c r="E85" s="11">
        <v>1.1494356689508141</v>
      </c>
      <c r="P85" s="1">
        <f>A84</f>
        <v>42522</v>
      </c>
      <c r="Q85" s="14">
        <f>[1]!i_dq_close(Q$2,$P85)</f>
        <v>1819.9054000000001</v>
      </c>
      <c r="R85" s="14">
        <f>[1]!i_dq_close(R$2,$P85)</f>
        <v>3003.4587000000001</v>
      </c>
      <c r="S85" s="14">
        <f>[1]!i_dq_close(S$2,$P85)</f>
        <v>3713.9776999999999</v>
      </c>
      <c r="T85" s="14">
        <f>[1]!i_dq_close(T$2,$P85)</f>
        <v>5503.2623000000003</v>
      </c>
      <c r="U85" s="14">
        <f>[1]!i_dq_close(U$2,$P85)</f>
        <v>7979.1589000000004</v>
      </c>
      <c r="V85" s="14">
        <f>[1]!i_dq_close(V$2,$P85)</f>
        <v>8955.3639999999996</v>
      </c>
      <c r="W85" s="14">
        <f>[1]!i_dq_close(W$2,$P85)</f>
        <v>5194.4429</v>
      </c>
      <c r="X85" s="14">
        <f>[1]!i_dq_close(X$2,$P85)</f>
        <v>6330.9975999999997</v>
      </c>
      <c r="Y85" s="14">
        <f>[1]!i_dq_close(Y$2,$P85)</f>
        <v>5579.2268000000004</v>
      </c>
      <c r="Z85" s="14">
        <f>[1]!i_dq_close(Z$2,$P85)</f>
        <v>2402.1568000000002</v>
      </c>
      <c r="AB85" s="1">
        <v>42522</v>
      </c>
      <c r="AC85">
        <v>1.0804197637094139</v>
      </c>
      <c r="AD85">
        <v>1.1772225874160054</v>
      </c>
      <c r="AE85">
        <v>1.099166516617994</v>
      </c>
      <c r="AF85">
        <v>1.1378466178123745</v>
      </c>
      <c r="AG85">
        <v>1.1897246309768812</v>
      </c>
      <c r="AH85">
        <v>1.1060386216693194</v>
      </c>
      <c r="AI85">
        <v>1.1133027130464095</v>
      </c>
      <c r="AJ85">
        <v>1.1695025034955318</v>
      </c>
      <c r="AK85">
        <v>1.1081603565799467</v>
      </c>
      <c r="AL85">
        <v>1.0676257663948192</v>
      </c>
    </row>
    <row r="86" spans="1:38" x14ac:dyDescent="0.4">
      <c r="A86" s="10">
        <v>42524</v>
      </c>
      <c r="B86" s="11">
        <v>1.175500634844368</v>
      </c>
      <c r="C86" s="11">
        <v>1.161592642123694</v>
      </c>
      <c r="D86" s="11">
        <v>1.1262134084479769</v>
      </c>
      <c r="E86" s="11">
        <v>1.155306531591767</v>
      </c>
      <c r="P86" s="1">
        <f>A85</f>
        <v>42523</v>
      </c>
      <c r="Q86" s="14">
        <f>[1]!i_dq_close(Q$2,$P86)</f>
        <v>1824.8298</v>
      </c>
      <c r="R86" s="14">
        <f>[1]!i_dq_close(R$2,$P86)</f>
        <v>3033.9508000000001</v>
      </c>
      <c r="S86" s="14">
        <f>[1]!i_dq_close(S$2,$P86)</f>
        <v>3738.5</v>
      </c>
      <c r="T86" s="14">
        <f>[1]!i_dq_close(T$2,$P86)</f>
        <v>5531.9811</v>
      </c>
      <c r="U86" s="14">
        <f>[1]!i_dq_close(U$2,$P86)</f>
        <v>8031.8576999999996</v>
      </c>
      <c r="V86" s="14">
        <f>[1]!i_dq_close(V$2,$P86)</f>
        <v>8990.6767999999993</v>
      </c>
      <c r="W86" s="14">
        <f>[1]!i_dq_close(W$2,$P86)</f>
        <v>5200.5030999999999</v>
      </c>
      <c r="X86" s="14">
        <f>[1]!i_dq_close(X$2,$P86)</f>
        <v>6410.4525999999996</v>
      </c>
      <c r="Y86" s="14">
        <f>[1]!i_dq_close(Y$2,$P86)</f>
        <v>5623.3832000000002</v>
      </c>
      <c r="Z86" s="14">
        <f>[1]!i_dq_close(Z$2,$P86)</f>
        <v>2408.1788000000001</v>
      </c>
      <c r="AB86" s="1">
        <v>42523</v>
      </c>
      <c r="AC86">
        <v>1.0833432228542743</v>
      </c>
      <c r="AD86">
        <v>1.1891741380924796</v>
      </c>
      <c r="AE86">
        <v>1.1064239891306753</v>
      </c>
      <c r="AF86">
        <v>1.1437844756985287</v>
      </c>
      <c r="AG86">
        <v>1.1975822336601569</v>
      </c>
      <c r="AH86">
        <v>1.1103999542337226</v>
      </c>
      <c r="AI86">
        <v>1.1146015697730092</v>
      </c>
      <c r="AJ86">
        <v>1.1841799409684566</v>
      </c>
      <c r="AK86">
        <v>1.1169308141582774</v>
      </c>
      <c r="AL86">
        <v>1.0703022121477481</v>
      </c>
    </row>
    <row r="87" spans="1:38" x14ac:dyDescent="0.4">
      <c r="A87" s="10">
        <v>42527</v>
      </c>
      <c r="B87" s="11">
        <v>1.1785457922960849</v>
      </c>
      <c r="C87" s="11">
        <v>1.1664522737624921</v>
      </c>
      <c r="D87" s="11">
        <v>1.1308140077465629</v>
      </c>
      <c r="E87" s="11">
        <v>1.162473711984904</v>
      </c>
      <c r="P87" s="1">
        <f>A86</f>
        <v>42524</v>
      </c>
      <c r="Q87" s="14">
        <f>[1]!i_dq_close(Q$2,$P87)</f>
        <v>1822.3968</v>
      </c>
      <c r="R87" s="14">
        <f>[1]!i_dq_close(R$2,$P87)</f>
        <v>3036.0275000000001</v>
      </c>
      <c r="S87" s="14">
        <f>[1]!i_dq_close(S$2,$P87)</f>
        <v>3747.4965000000002</v>
      </c>
      <c r="T87" s="14">
        <f>[1]!i_dq_close(T$2,$P87)</f>
        <v>5569.9223000000002</v>
      </c>
      <c r="U87" s="14">
        <f>[1]!i_dq_close(U$2,$P87)</f>
        <v>8215.9595000000008</v>
      </c>
      <c r="V87" s="14">
        <f>[1]!i_dq_close(V$2,$P87)</f>
        <v>9089.2199000000001</v>
      </c>
      <c r="W87" s="14">
        <f>[1]!i_dq_close(W$2,$P87)</f>
        <v>5214.8738000000003</v>
      </c>
      <c r="X87" s="14">
        <f>[1]!i_dq_close(X$2,$P87)</f>
        <v>6443.5276000000003</v>
      </c>
      <c r="Y87" s="14">
        <f>[1]!i_dq_close(Y$2,$P87)</f>
        <v>5639.9189999999999</v>
      </c>
      <c r="Z87" s="14">
        <f>[1]!i_dq_close(Z$2,$P87)</f>
        <v>2422.7654000000002</v>
      </c>
      <c r="AB87" s="1">
        <v>42524</v>
      </c>
      <c r="AC87">
        <v>1.0818988283900868</v>
      </c>
      <c r="AD87">
        <v>1.1899881123772891</v>
      </c>
      <c r="AE87">
        <v>1.1090865391957321</v>
      </c>
      <c r="AF87">
        <v>1.151629143777632</v>
      </c>
      <c r="AG87">
        <v>1.2250325512703477</v>
      </c>
      <c r="AH87">
        <v>1.1225705901228973</v>
      </c>
      <c r="AI87">
        <v>1.1176815803932774</v>
      </c>
      <c r="AJ87">
        <v>1.1902897672149735</v>
      </c>
      <c r="AK87">
        <v>1.1202151972244641</v>
      </c>
      <c r="AL87">
        <v>1.0767851486505171</v>
      </c>
    </row>
    <row r="88" spans="1:38" x14ac:dyDescent="0.4">
      <c r="A88" s="10">
        <v>42528</v>
      </c>
      <c r="B88" s="11">
        <v>1.180349374414883</v>
      </c>
      <c r="C88" s="11">
        <v>1.1677806188673201</v>
      </c>
      <c r="D88" s="11">
        <v>1.1321746917560951</v>
      </c>
      <c r="E88" s="11">
        <v>1.1649845938391781</v>
      </c>
      <c r="P88" s="1">
        <f>A87</f>
        <v>42527</v>
      </c>
      <c r="Q88" s="14">
        <f>[1]!i_dq_close(Q$2,$P88)</f>
        <v>1821.0733</v>
      </c>
      <c r="R88" s="14">
        <f>[1]!i_dq_close(R$2,$P88)</f>
        <v>3053.5034999999998</v>
      </c>
      <c r="S88" s="14">
        <f>[1]!i_dq_close(S$2,$P88)</f>
        <v>3753.0511000000001</v>
      </c>
      <c r="T88" s="14">
        <f>[1]!i_dq_close(T$2,$P88)</f>
        <v>5592.7717000000002</v>
      </c>
      <c r="U88" s="14">
        <f>[1]!i_dq_close(U$2,$P88)</f>
        <v>8170.0036</v>
      </c>
      <c r="V88" s="14">
        <f>[1]!i_dq_close(V$2,$P88)</f>
        <v>9074.0687999999991</v>
      </c>
      <c r="W88" s="14">
        <f>[1]!i_dq_close(W$2,$P88)</f>
        <v>5186.9368000000004</v>
      </c>
      <c r="X88" s="14">
        <f>[1]!i_dq_close(X$2,$P88)</f>
        <v>6461.5057999999999</v>
      </c>
      <c r="Y88" s="14">
        <f>[1]!i_dq_close(Y$2,$P88)</f>
        <v>5653.2538999999997</v>
      </c>
      <c r="Z88" s="14">
        <f>[1]!i_dq_close(Z$2,$P88)</f>
        <v>2418.8153000000002</v>
      </c>
      <c r="AB88" s="1">
        <v>42527</v>
      </c>
      <c r="AC88">
        <v>1.0811131086723094</v>
      </c>
      <c r="AD88">
        <v>1.1968379292026983</v>
      </c>
      <c r="AE88">
        <v>1.1107304452248949</v>
      </c>
      <c r="AF88">
        <v>1.1563534529404067</v>
      </c>
      <c r="AG88">
        <v>1.2181803420520665</v>
      </c>
      <c r="AH88">
        <v>1.120699342705062</v>
      </c>
      <c r="AI88">
        <v>1.1116939627616778</v>
      </c>
      <c r="AJ88">
        <v>1.1936108156873886</v>
      </c>
      <c r="AK88">
        <v>1.1228638093115291</v>
      </c>
      <c r="AL88">
        <v>1.0750295477922234</v>
      </c>
    </row>
    <row r="89" spans="1:38" x14ac:dyDescent="0.4">
      <c r="A89" s="10">
        <v>42529</v>
      </c>
      <c r="B89" s="11">
        <v>1.1768701115176221</v>
      </c>
      <c r="C89" s="11">
        <v>1.16278229400657</v>
      </c>
      <c r="D89" s="11">
        <v>1.128471536362381</v>
      </c>
      <c r="E89" s="11">
        <v>1.1603745089755151</v>
      </c>
      <c r="P89" s="1">
        <f>A88</f>
        <v>42528</v>
      </c>
      <c r="Q89" s="14">
        <f>[1]!i_dq_close(Q$2,$P89)</f>
        <v>1818.2653</v>
      </c>
      <c r="R89" s="14">
        <f>[1]!i_dq_close(R$2,$P89)</f>
        <v>3048.8764999999999</v>
      </c>
      <c r="S89" s="14">
        <f>[1]!i_dq_close(S$2,$P89)</f>
        <v>3760.431</v>
      </c>
      <c r="T89" s="14">
        <f>[1]!i_dq_close(T$2,$P89)</f>
        <v>5586.2004999999999</v>
      </c>
      <c r="U89" s="14">
        <f>[1]!i_dq_close(U$2,$P89)</f>
        <v>8199.3963999999996</v>
      </c>
      <c r="V89" s="14">
        <f>[1]!i_dq_close(V$2,$P89)</f>
        <v>9076.6946000000007</v>
      </c>
      <c r="W89" s="14">
        <f>[1]!i_dq_close(W$2,$P89)</f>
        <v>5191.3987999999999</v>
      </c>
      <c r="X89" s="14">
        <f>[1]!i_dq_close(X$2,$P89)</f>
        <v>6451.6814000000004</v>
      </c>
      <c r="Y89" s="14">
        <f>[1]!i_dq_close(Y$2,$P89)</f>
        <v>5667.8715000000002</v>
      </c>
      <c r="Z89" s="14">
        <f>[1]!i_dq_close(Z$2,$P89)</f>
        <v>2409.5369999999998</v>
      </c>
      <c r="AB89" s="1">
        <v>42528</v>
      </c>
      <c r="AC89">
        <v>1.0794460886741841</v>
      </c>
      <c r="AD89">
        <v>1.1950243504403288</v>
      </c>
      <c r="AE89">
        <v>1.1129145560707916</v>
      </c>
      <c r="AF89">
        <v>1.1549948010558746</v>
      </c>
      <c r="AG89">
        <v>1.2225629265539713</v>
      </c>
      <c r="AH89">
        <v>1.1210236440079215</v>
      </c>
      <c r="AI89">
        <v>1.1126502841230335</v>
      </c>
      <c r="AJ89">
        <v>1.1917959894749539</v>
      </c>
      <c r="AK89">
        <v>1.1257671945670531</v>
      </c>
      <c r="AL89">
        <v>1.0709058568873078</v>
      </c>
    </row>
    <row r="90" spans="1:38" x14ac:dyDescent="0.4">
      <c r="A90" s="10">
        <v>42534</v>
      </c>
      <c r="B90" s="11">
        <v>1.1348144062772689</v>
      </c>
      <c r="C90" s="11">
        <v>1.1251589200766889</v>
      </c>
      <c r="D90" s="11">
        <v>1.088699287428442</v>
      </c>
      <c r="E90" s="11">
        <v>1.115743577961408</v>
      </c>
      <c r="P90" s="1">
        <f>A89</f>
        <v>42529</v>
      </c>
      <c r="Q90" s="14">
        <f>[1]!i_dq_close(Q$2,$P90)</f>
        <v>1821.4644000000001</v>
      </c>
      <c r="R90" s="14">
        <f>[1]!i_dq_close(R$2,$P90)</f>
        <v>3040.4668000000001</v>
      </c>
      <c r="S90" s="14">
        <f>[1]!i_dq_close(S$2,$P90)</f>
        <v>3756.3180000000002</v>
      </c>
      <c r="T90" s="14">
        <f>[1]!i_dq_close(T$2,$P90)</f>
        <v>5553.6621999999998</v>
      </c>
      <c r="U90" s="14">
        <f>[1]!i_dq_close(U$2,$P90)</f>
        <v>8117.2557999999999</v>
      </c>
      <c r="V90" s="14">
        <f>[1]!i_dq_close(V$2,$P90)</f>
        <v>9021.5418000000009</v>
      </c>
      <c r="W90" s="14">
        <f>[1]!i_dq_close(W$2,$P90)</f>
        <v>5182.0878000000002</v>
      </c>
      <c r="X90" s="14">
        <f>[1]!i_dq_close(X$2,$P90)</f>
        <v>6435.3411999999998</v>
      </c>
      <c r="Y90" s="14">
        <f>[1]!i_dq_close(Y$2,$P90)</f>
        <v>5702.4766</v>
      </c>
      <c r="Z90" s="14">
        <f>[1]!i_dq_close(Z$2,$P90)</f>
        <v>2412.8831</v>
      </c>
      <c r="AB90" s="1">
        <v>42529</v>
      </c>
      <c r="AC90">
        <v>1.0813452922625042</v>
      </c>
      <c r="AD90">
        <v>1.1917281210653778</v>
      </c>
      <c r="AE90">
        <v>1.1116972973126549</v>
      </c>
      <c r="AF90">
        <v>1.1482672288294218</v>
      </c>
      <c r="AG90">
        <v>1.2103154332720392</v>
      </c>
      <c r="AH90">
        <v>1.1142119580850263</v>
      </c>
      <c r="AI90">
        <v>1.1106546973467932</v>
      </c>
      <c r="AJ90">
        <v>1.1887775228737947</v>
      </c>
      <c r="AK90">
        <v>1.1326405484080342</v>
      </c>
      <c r="AL90">
        <v>1.0723930131699175</v>
      </c>
    </row>
    <row r="91" spans="1:38" x14ac:dyDescent="0.4">
      <c r="A91" s="10">
        <v>42535</v>
      </c>
      <c r="B91" s="11">
        <v>1.1386223358817451</v>
      </c>
      <c r="C91" s="11">
        <v>1.130740767313239</v>
      </c>
      <c r="D91" s="11">
        <v>1.0947753046367801</v>
      </c>
      <c r="E91" s="11">
        <v>1.120768560435933</v>
      </c>
      <c r="P91" s="1">
        <f>A90</f>
        <v>42534</v>
      </c>
      <c r="Q91" s="14">
        <f>[1]!i_dq_close(Q$2,$P91)</f>
        <v>1746.9148</v>
      </c>
      <c r="R91" s="14">
        <f>[1]!i_dq_close(R$2,$P91)</f>
        <v>2922.9996000000001</v>
      </c>
      <c r="S91" s="14">
        <f>[1]!i_dq_close(S$2,$P91)</f>
        <v>3595.6669000000002</v>
      </c>
      <c r="T91" s="14">
        <f>[1]!i_dq_close(T$2,$P91)</f>
        <v>5303.2789000000002</v>
      </c>
      <c r="U91" s="14">
        <f>[1]!i_dq_close(U$2,$P91)</f>
        <v>7858.5560999999998</v>
      </c>
      <c r="V91" s="14">
        <f>[1]!i_dq_close(V$2,$P91)</f>
        <v>8661.8402999999998</v>
      </c>
      <c r="W91" s="14">
        <f>[1]!i_dq_close(W$2,$P91)</f>
        <v>5045.0209999999997</v>
      </c>
      <c r="X91" s="14">
        <f>[1]!i_dq_close(X$2,$P91)</f>
        <v>6043.6184999999996</v>
      </c>
      <c r="Y91" s="14">
        <f>[1]!i_dq_close(Y$2,$P91)</f>
        <v>5455.6772000000001</v>
      </c>
      <c r="Z91" s="14">
        <f>[1]!i_dq_close(Z$2,$P91)</f>
        <v>2342.1217999999999</v>
      </c>
      <c r="AB91" s="1">
        <v>42534</v>
      </c>
      <c r="AC91">
        <v>1.0370875735829335</v>
      </c>
      <c r="AD91">
        <v>1.1456861891019008</v>
      </c>
      <c r="AE91">
        <v>1.0641519633765224</v>
      </c>
      <c r="AF91">
        <v>1.0964983369374797</v>
      </c>
      <c r="AG91">
        <v>1.171742269236375</v>
      </c>
      <c r="AH91">
        <v>1.0697867676324229</v>
      </c>
      <c r="AI91">
        <v>1.0812777567881455</v>
      </c>
      <c r="AJ91">
        <v>1.1164159919949914</v>
      </c>
      <c r="AK91">
        <v>1.0836206177058592</v>
      </c>
      <c r="AL91">
        <v>1.0409435311279485</v>
      </c>
    </row>
    <row r="92" spans="1:38" x14ac:dyDescent="0.4">
      <c r="A92" s="10">
        <v>42536</v>
      </c>
      <c r="B92" s="11">
        <v>1.1686924703768899</v>
      </c>
      <c r="C92" s="11">
        <v>1.1605608453755529</v>
      </c>
      <c r="D92" s="11">
        <v>1.1237465510444069</v>
      </c>
      <c r="E92" s="11">
        <v>1.1566000715520659</v>
      </c>
      <c r="P92" s="1">
        <f>A91</f>
        <v>42535</v>
      </c>
      <c r="Q92" s="14">
        <f>[1]!i_dq_close(Q$2,$P92)</f>
        <v>1743.2862</v>
      </c>
      <c r="R92" s="14">
        <f>[1]!i_dq_close(R$2,$P92)</f>
        <v>2933.7433999999998</v>
      </c>
      <c r="S92" s="14">
        <f>[1]!i_dq_close(S$2,$P92)</f>
        <v>3598.8730999999998</v>
      </c>
      <c r="T92" s="14">
        <f>[1]!i_dq_close(T$2,$P92)</f>
        <v>5302.9531999999999</v>
      </c>
      <c r="U92" s="14">
        <f>[1]!i_dq_close(U$2,$P92)</f>
        <v>7960.5330000000004</v>
      </c>
      <c r="V92" s="14">
        <f>[1]!i_dq_close(V$2,$P92)</f>
        <v>8689.8754000000008</v>
      </c>
      <c r="W92" s="14">
        <f>[1]!i_dq_close(W$2,$P92)</f>
        <v>5075.4531999999999</v>
      </c>
      <c r="X92" s="14">
        <f>[1]!i_dq_close(X$2,$P92)</f>
        <v>6056.0605999999998</v>
      </c>
      <c r="Y92" s="14">
        <f>[1]!i_dq_close(Y$2,$P92)</f>
        <v>5499.5680000000002</v>
      </c>
      <c r="Z92" s="14">
        <f>[1]!i_dq_close(Z$2,$P92)</f>
        <v>2344.7855</v>
      </c>
      <c r="AB92" s="1">
        <v>42535</v>
      </c>
      <c r="AC92">
        <v>1.0349333895497437</v>
      </c>
      <c r="AD92">
        <v>1.1498972821442921</v>
      </c>
      <c r="AE92">
        <v>1.0651008510571298</v>
      </c>
      <c r="AF92">
        <v>1.0964309956727498</v>
      </c>
      <c r="AG92">
        <v>1.1869474344976743</v>
      </c>
      <c r="AH92">
        <v>1.0732492626647143</v>
      </c>
      <c r="AI92">
        <v>1.0878001599555711</v>
      </c>
      <c r="AJ92">
        <v>1.1187143765495429</v>
      </c>
      <c r="AK92">
        <v>1.0923383211300288</v>
      </c>
      <c r="AL92">
        <v>1.0421273983733947</v>
      </c>
    </row>
    <row r="93" spans="1:38" x14ac:dyDescent="0.4">
      <c r="A93" s="10">
        <v>42537</v>
      </c>
      <c r="B93" s="11">
        <v>1.166875868045969</v>
      </c>
      <c r="C93" s="11">
        <v>1.158547180573593</v>
      </c>
      <c r="D93" s="11">
        <v>1.1217785701776639</v>
      </c>
      <c r="E93" s="11">
        <v>1.1574704228041921</v>
      </c>
      <c r="P93" s="1">
        <f>A92</f>
        <v>42536</v>
      </c>
      <c r="Q93" s="14">
        <f>[1]!i_dq_close(Q$2,$P93)</f>
        <v>1770.9987000000001</v>
      </c>
      <c r="R93" s="14">
        <f>[1]!i_dq_close(R$2,$P93)</f>
        <v>3045.1898000000001</v>
      </c>
      <c r="S93" s="14">
        <f>[1]!i_dq_close(S$2,$P93)</f>
        <v>3697.7631000000001</v>
      </c>
      <c r="T93" s="14">
        <f>[1]!i_dq_close(T$2,$P93)</f>
        <v>5455.8037999999997</v>
      </c>
      <c r="U93" s="14">
        <f>[1]!i_dq_close(U$2,$P93)</f>
        <v>8128.6516000000001</v>
      </c>
      <c r="V93" s="14">
        <f>[1]!i_dq_close(V$2,$P93)</f>
        <v>8877.9460999999992</v>
      </c>
      <c r="W93" s="14">
        <f>[1]!i_dq_close(W$2,$P93)</f>
        <v>5115.0149000000001</v>
      </c>
      <c r="X93" s="14">
        <f>[1]!i_dq_close(X$2,$P93)</f>
        <v>6293.4206000000004</v>
      </c>
      <c r="Y93" s="14">
        <f>[1]!i_dq_close(Y$2,$P93)</f>
        <v>5658.4578000000001</v>
      </c>
      <c r="Z93" s="14">
        <f>[1]!i_dq_close(Z$2,$P93)</f>
        <v>2379.8467000000001</v>
      </c>
      <c r="AB93" s="1">
        <v>42536</v>
      </c>
      <c r="AC93">
        <v>1.0513854165077368</v>
      </c>
      <c r="AD93">
        <v>1.1935793275695212</v>
      </c>
      <c r="AE93">
        <v>1.094367741062515</v>
      </c>
      <c r="AF93">
        <v>1.1280341664394045</v>
      </c>
      <c r="AG93">
        <v>1.2120145928099808</v>
      </c>
      <c r="AH93">
        <v>1.0964770686817991</v>
      </c>
      <c r="AI93">
        <v>1.0962792497811091</v>
      </c>
      <c r="AJ93">
        <v>1.1625610389191037</v>
      </c>
      <c r="AK93">
        <v>1.1238974212951121</v>
      </c>
      <c r="AL93">
        <v>1.05771016154719</v>
      </c>
    </row>
    <row r="94" spans="1:38" x14ac:dyDescent="0.4">
      <c r="A94" s="10">
        <v>42538</v>
      </c>
      <c r="B94" s="11">
        <v>1.1734289714120629</v>
      </c>
      <c r="C94" s="11">
        <v>1.16588451244959</v>
      </c>
      <c r="D94" s="11">
        <v>1.127032809512861</v>
      </c>
      <c r="E94" s="11">
        <v>1.1623984177697031</v>
      </c>
      <c r="P94" s="1">
        <f>A93</f>
        <v>42537</v>
      </c>
      <c r="Q94" s="14">
        <f>[1]!i_dq_close(Q$2,$P94)</f>
        <v>1756.1205</v>
      </c>
      <c r="R94" s="14">
        <f>[1]!i_dq_close(R$2,$P94)</f>
        <v>3066.3710000000001</v>
      </c>
      <c r="S94" s="14">
        <f>[1]!i_dq_close(S$2,$P94)</f>
        <v>3690.4378000000002</v>
      </c>
      <c r="T94" s="14">
        <f>[1]!i_dq_close(T$2,$P94)</f>
        <v>5421.8244999999997</v>
      </c>
      <c r="U94" s="14">
        <f>[1]!i_dq_close(U$2,$P94)</f>
        <v>8095.5114999999996</v>
      </c>
      <c r="V94" s="14">
        <f>[1]!i_dq_close(V$2,$P94)</f>
        <v>8797.3631000000005</v>
      </c>
      <c r="W94" s="14">
        <f>[1]!i_dq_close(W$2,$P94)</f>
        <v>5083.5888000000004</v>
      </c>
      <c r="X94" s="14">
        <f>[1]!i_dq_close(X$2,$P94)</f>
        <v>6271.3010999999997</v>
      </c>
      <c r="Y94" s="14">
        <f>[1]!i_dq_close(Y$2,$P94)</f>
        <v>5624.393</v>
      </c>
      <c r="Z94" s="14">
        <f>[1]!i_dq_close(Z$2,$P94)</f>
        <v>2369.7183</v>
      </c>
      <c r="AB94" s="1">
        <v>42537</v>
      </c>
      <c r="AC94">
        <v>1.0425527039236533</v>
      </c>
      <c r="AD94">
        <v>1.2018814184451425</v>
      </c>
      <c r="AE94">
        <v>1.092199789304436</v>
      </c>
      <c r="AF94">
        <v>1.1210086551203033</v>
      </c>
      <c r="AG94">
        <v>1.2070732708314151</v>
      </c>
      <c r="AH94">
        <v>1.0865246077600568</v>
      </c>
      <c r="AI94">
        <v>1.0895438282808616</v>
      </c>
      <c r="AJ94">
        <v>1.1584749829354353</v>
      </c>
      <c r="AK94">
        <v>1.1171313832278256</v>
      </c>
      <c r="AL94">
        <v>1.0532086482353391</v>
      </c>
    </row>
    <row r="95" spans="1:38" x14ac:dyDescent="0.4">
      <c r="A95" s="10">
        <v>42541</v>
      </c>
      <c r="B95" s="11">
        <v>1.177802306172689</v>
      </c>
      <c r="C95" s="11">
        <v>1.1693535565882349</v>
      </c>
      <c r="D95" s="11">
        <v>1.132715283735334</v>
      </c>
      <c r="E95" s="11">
        <v>1.170407224519139</v>
      </c>
      <c r="P95" s="1">
        <f>A94</f>
        <v>42538</v>
      </c>
      <c r="Q95" s="14">
        <f>[1]!i_dq_close(Q$2,$P95)</f>
        <v>1784.0956000000001</v>
      </c>
      <c r="R95" s="14">
        <f>[1]!i_dq_close(R$2,$P95)</f>
        <v>3080.0286999999998</v>
      </c>
      <c r="S95" s="14">
        <f>[1]!i_dq_close(S$2,$P95)</f>
        <v>3702.54</v>
      </c>
      <c r="T95" s="14">
        <f>[1]!i_dq_close(T$2,$P95)</f>
        <v>5442.9637000000002</v>
      </c>
      <c r="U95" s="14">
        <f>[1]!i_dq_close(U$2,$P95)</f>
        <v>8179.0379999999996</v>
      </c>
      <c r="V95" s="14">
        <f>[1]!i_dq_close(V$2,$P95)</f>
        <v>8938.2986000000001</v>
      </c>
      <c r="W95" s="14">
        <f>[1]!i_dq_close(W$2,$P95)</f>
        <v>5104.8931000000002</v>
      </c>
      <c r="X95" s="14">
        <f>[1]!i_dq_close(X$2,$P95)</f>
        <v>6312.0068000000001</v>
      </c>
      <c r="Y95" s="14">
        <f>[1]!i_dq_close(Y$2,$P95)</f>
        <v>5679.4497000000001</v>
      </c>
      <c r="Z95" s="14">
        <f>[1]!i_dq_close(Z$2,$P95)</f>
        <v>2379.9414000000002</v>
      </c>
      <c r="AB95" s="1">
        <v>42538</v>
      </c>
      <c r="AC95">
        <v>1.0591606281222119</v>
      </c>
      <c r="AD95">
        <v>1.2072346310370625</v>
      </c>
      <c r="AE95">
        <v>1.0957814836741717</v>
      </c>
      <c r="AF95">
        <v>1.1253793657846416</v>
      </c>
      <c r="AG95">
        <v>1.2195274073681985</v>
      </c>
      <c r="AH95">
        <v>1.1039309472638754</v>
      </c>
      <c r="AI95">
        <v>1.0941098877113262</v>
      </c>
      <c r="AJ95">
        <v>1.1659944010531327</v>
      </c>
      <c r="AK95">
        <v>1.1280668863882484</v>
      </c>
      <c r="AL95">
        <v>1.0577522504566559</v>
      </c>
    </row>
    <row r="96" spans="1:38" x14ac:dyDescent="0.4">
      <c r="A96" s="10">
        <v>42542</v>
      </c>
      <c r="B96" s="11">
        <v>1.1690525893972299</v>
      </c>
      <c r="C96" s="11">
        <v>1.1608082480253299</v>
      </c>
      <c r="D96" s="11">
        <v>1.1231880216512651</v>
      </c>
      <c r="E96" s="11">
        <v>1.1579990505347879</v>
      </c>
      <c r="P96" s="1">
        <f>A95</f>
        <v>42541</v>
      </c>
      <c r="Q96" s="14">
        <f>[1]!i_dq_close(Q$2,$P96)</f>
        <v>1779.1582000000001</v>
      </c>
      <c r="R96" s="14">
        <f>[1]!i_dq_close(R$2,$P96)</f>
        <v>3082.4092000000001</v>
      </c>
      <c r="S96" s="14">
        <f>[1]!i_dq_close(S$2,$P96)</f>
        <v>3706.6819999999998</v>
      </c>
      <c r="T96" s="14">
        <f>[1]!i_dq_close(T$2,$P96)</f>
        <v>5449.0771999999997</v>
      </c>
      <c r="U96" s="14">
        <f>[1]!i_dq_close(U$2,$P96)</f>
        <v>8155.2946000000002</v>
      </c>
      <c r="V96" s="14">
        <f>[1]!i_dq_close(V$2,$P96)</f>
        <v>8950.0455000000002</v>
      </c>
      <c r="W96" s="14">
        <f>[1]!i_dq_close(W$2,$P96)</f>
        <v>5115.8458000000001</v>
      </c>
      <c r="X96" s="14">
        <f>[1]!i_dq_close(X$2,$P96)</f>
        <v>6378.9040999999997</v>
      </c>
      <c r="Y96" s="14">
        <f>[1]!i_dq_close(Y$2,$P96)</f>
        <v>5712.9300999999996</v>
      </c>
      <c r="Z96" s="14">
        <f>[1]!i_dq_close(Z$2,$P96)</f>
        <v>2381.9650999999999</v>
      </c>
      <c r="AB96" s="1">
        <v>42541</v>
      </c>
      <c r="AC96">
        <v>1.056229451292175</v>
      </c>
      <c r="AD96">
        <v>1.2081676814463602</v>
      </c>
      <c r="AE96">
        <v>1.0970073250979993</v>
      </c>
      <c r="AF96">
        <v>1.1266433842738193</v>
      </c>
      <c r="AG96">
        <v>1.2159871710905208</v>
      </c>
      <c r="AH96">
        <v>1.1053817565313588</v>
      </c>
      <c r="AI96">
        <v>1.0964573330216179</v>
      </c>
      <c r="AJ96">
        <v>1.1783520995976862</v>
      </c>
      <c r="AK96">
        <v>1.1347168494265745</v>
      </c>
      <c r="AL96">
        <v>1.0586516731185958</v>
      </c>
    </row>
    <row r="97" spans="1:38" x14ac:dyDescent="0.4">
      <c r="A97" s="10">
        <v>42543</v>
      </c>
      <c r="B97" s="11">
        <v>1.18374715754807</v>
      </c>
      <c r="C97" s="11">
        <v>1.174404097433138</v>
      </c>
      <c r="D97" s="11">
        <v>1.1363750686805529</v>
      </c>
      <c r="E97" s="11">
        <v>1.173452405945967</v>
      </c>
      <c r="P97" s="1">
        <f>A96</f>
        <v>42542</v>
      </c>
      <c r="Q97" s="14">
        <f>[1]!i_dq_close(Q$2,$P97)</f>
        <v>1775.0727999999999</v>
      </c>
      <c r="R97" s="14">
        <f>[1]!i_dq_close(R$2,$P97)</f>
        <v>3046.2837</v>
      </c>
      <c r="S97" s="14">
        <f>[1]!i_dq_close(S$2,$P97)</f>
        <v>3680.1662000000001</v>
      </c>
      <c r="T97" s="14">
        <f>[1]!i_dq_close(T$2,$P97)</f>
        <v>5398.8953000000001</v>
      </c>
      <c r="U97" s="14">
        <f>[1]!i_dq_close(U$2,$P97)</f>
        <v>8081.1338999999998</v>
      </c>
      <c r="V97" s="14">
        <f>[1]!i_dq_close(V$2,$P97)</f>
        <v>8866.9156999999996</v>
      </c>
      <c r="W97" s="14">
        <f>[1]!i_dq_close(W$2,$P97)</f>
        <v>5127.4273999999996</v>
      </c>
      <c r="X97" s="14">
        <f>[1]!i_dq_close(X$2,$P97)</f>
        <v>6272.2195000000002</v>
      </c>
      <c r="Y97" s="14">
        <f>[1]!i_dq_close(Y$2,$P97)</f>
        <v>5647.6073999999999</v>
      </c>
      <c r="Z97" s="14">
        <f>[1]!i_dq_close(Z$2,$P97)</f>
        <v>2381.0654</v>
      </c>
      <c r="AB97" s="1">
        <v>42542</v>
      </c>
      <c r="AC97">
        <v>1.0538040796752446</v>
      </c>
      <c r="AD97">
        <v>1.1940080878479209</v>
      </c>
      <c r="AE97">
        <v>1.0891598683075776</v>
      </c>
      <c r="AF97">
        <v>1.116267846624015</v>
      </c>
      <c r="AG97">
        <v>1.2049295129405511</v>
      </c>
      <c r="AH97">
        <v>1.0951147512581341</v>
      </c>
      <c r="AI97">
        <v>1.0989395677770366</v>
      </c>
      <c r="AJ97">
        <v>1.158644635676926</v>
      </c>
      <c r="AK97">
        <v>1.1217422869791822</v>
      </c>
      <c r="AL97">
        <v>1.0582518062564386</v>
      </c>
    </row>
    <row r="98" spans="1:38" x14ac:dyDescent="0.4">
      <c r="A98" s="10">
        <v>42544</v>
      </c>
      <c r="B98" s="11">
        <v>1.1788028769476651</v>
      </c>
      <c r="C98" s="11">
        <v>1.169400319245284</v>
      </c>
      <c r="D98" s="11">
        <v>1.1311162690222589</v>
      </c>
      <c r="E98" s="11">
        <v>1.1670836880147279</v>
      </c>
      <c r="P98" s="1">
        <f>A97</f>
        <v>42543</v>
      </c>
      <c r="Q98" s="14">
        <f>[1]!i_dq_close(Q$2,$P98)</f>
        <v>1815.5064</v>
      </c>
      <c r="R98" s="14">
        <f>[1]!i_dq_close(R$2,$P98)</f>
        <v>3090.2837</v>
      </c>
      <c r="S98" s="14">
        <f>[1]!i_dq_close(S$2,$P98)</f>
        <v>3727.4639000000002</v>
      </c>
      <c r="T98" s="14">
        <f>[1]!i_dq_close(T$2,$P98)</f>
        <v>5459.4396999999999</v>
      </c>
      <c r="U98" s="14">
        <f>[1]!i_dq_close(U$2,$P98)</f>
        <v>8159.7470000000003</v>
      </c>
      <c r="V98" s="14">
        <f>[1]!i_dq_close(V$2,$P98)</f>
        <v>9002.4387999999999</v>
      </c>
      <c r="W98" s="14">
        <f>[1]!i_dq_close(W$2,$P98)</f>
        <v>5165.3374999999996</v>
      </c>
      <c r="X98" s="14">
        <f>[1]!i_dq_close(X$2,$P98)</f>
        <v>6424.1117999999997</v>
      </c>
      <c r="Y98" s="14">
        <f>[1]!i_dq_close(Y$2,$P98)</f>
        <v>5748.9425000000001</v>
      </c>
      <c r="Z98" s="14">
        <f>[1]!i_dq_close(Z$2,$P98)</f>
        <v>2401.5724</v>
      </c>
      <c r="AB98" s="1">
        <v>42543</v>
      </c>
      <c r="AC98">
        <v>1.0778082177793025</v>
      </c>
      <c r="AD98">
        <v>1.2112541361609224</v>
      </c>
      <c r="AE98">
        <v>1.1031578113089702</v>
      </c>
      <c r="AF98">
        <v>1.1287859199071075</v>
      </c>
      <c r="AG98">
        <v>1.2166510418083931</v>
      </c>
      <c r="AH98">
        <v>1.1118526284374821</v>
      </c>
      <c r="AI98">
        <v>1.1070646772438979</v>
      </c>
      <c r="AJ98">
        <v>1.1867031560452947</v>
      </c>
      <c r="AK98">
        <v>1.1418697248080343</v>
      </c>
      <c r="AL98">
        <v>1.0673660329345049</v>
      </c>
    </row>
    <row r="99" spans="1:38" x14ac:dyDescent="0.4">
      <c r="A99" s="10">
        <v>42545</v>
      </c>
      <c r="B99" s="11">
        <v>1.1720554374293419</v>
      </c>
      <c r="C99" s="11">
        <v>1.1627862779618761</v>
      </c>
      <c r="D99" s="11">
        <v>1.1248944075863829</v>
      </c>
      <c r="E99" s="11">
        <v>1.1639327107503219</v>
      </c>
      <c r="P99" s="1">
        <f>A98</f>
        <v>42544</v>
      </c>
      <c r="Q99" s="14">
        <f>[1]!i_dq_close(Q$2,$P99)</f>
        <v>1809.5617999999999</v>
      </c>
      <c r="R99" s="14">
        <f>[1]!i_dq_close(R$2,$P99)</f>
        <v>3057.1631000000002</v>
      </c>
      <c r="S99" s="14">
        <f>[1]!i_dq_close(S$2,$P99)</f>
        <v>3718.1909999999998</v>
      </c>
      <c r="T99" s="14">
        <f>[1]!i_dq_close(T$2,$P99)</f>
        <v>5422.3014000000003</v>
      </c>
      <c r="U99" s="14">
        <f>[1]!i_dq_close(U$2,$P99)</f>
        <v>8100.1310000000003</v>
      </c>
      <c r="V99" s="14">
        <f>[1]!i_dq_close(V$2,$P99)</f>
        <v>8968.1749</v>
      </c>
      <c r="W99" s="14">
        <f>[1]!i_dq_close(W$2,$P99)</f>
        <v>5142.5416999999998</v>
      </c>
      <c r="X99" s="14">
        <f>[1]!i_dq_close(X$2,$P99)</f>
        <v>6416.5079999999998</v>
      </c>
      <c r="Y99" s="14">
        <f>[1]!i_dq_close(Y$2,$P99)</f>
        <v>5816.4174999999996</v>
      </c>
      <c r="Z99" s="14">
        <f>[1]!i_dq_close(Z$2,$P99)</f>
        <v>2381.2321999999999</v>
      </c>
      <c r="AB99" s="1">
        <v>42544</v>
      </c>
      <c r="AC99">
        <v>1.0742790984485138</v>
      </c>
      <c r="AD99">
        <v>1.198272330075568</v>
      </c>
      <c r="AE99">
        <v>1.1004134595612611</v>
      </c>
      <c r="AF99">
        <v>1.121107258280112</v>
      </c>
      <c r="AG99">
        <v>1.2077620568302501</v>
      </c>
      <c r="AH99">
        <v>1.1076208410161092</v>
      </c>
      <c r="AI99">
        <v>1.1021789510024826</v>
      </c>
      <c r="AJ99">
        <v>1.185298533314735</v>
      </c>
      <c r="AK99">
        <v>1.1552717826093466</v>
      </c>
      <c r="AL99">
        <v>1.058325939626015</v>
      </c>
    </row>
    <row r="100" spans="1:38" x14ac:dyDescent="0.4">
      <c r="A100" s="10">
        <v>42548</v>
      </c>
      <c r="B100" s="11">
        <v>1.1954658339751441</v>
      </c>
      <c r="C100" s="11">
        <v>1.185448589097698</v>
      </c>
      <c r="D100" s="11">
        <v>1.1466918246554201</v>
      </c>
      <c r="E100" s="11">
        <v>1.1913846159893109</v>
      </c>
      <c r="P100" s="1">
        <f>A99</f>
        <v>42545</v>
      </c>
      <c r="Q100" s="14">
        <f>[1]!i_dq_close(Q$2,$P100)</f>
        <v>1782.3340000000001</v>
      </c>
      <c r="R100" s="14">
        <f>[1]!i_dq_close(R$2,$P100)</f>
        <v>3038.3137000000002</v>
      </c>
      <c r="S100" s="14">
        <f>[1]!i_dq_close(S$2,$P100)</f>
        <v>3669.1885000000002</v>
      </c>
      <c r="T100" s="14">
        <f>[1]!i_dq_close(T$2,$P100)</f>
        <v>5367.4916999999996</v>
      </c>
      <c r="U100" s="14">
        <f>[1]!i_dq_close(U$2,$P100)</f>
        <v>7991.2552999999998</v>
      </c>
      <c r="V100" s="14">
        <f>[1]!i_dq_close(V$2,$P100)</f>
        <v>8883.2963999999993</v>
      </c>
      <c r="W100" s="14">
        <f>[1]!i_dq_close(W$2,$P100)</f>
        <v>5072.1351000000004</v>
      </c>
      <c r="X100" s="14">
        <f>[1]!i_dq_close(X$2,$P100)</f>
        <v>6362.2163</v>
      </c>
      <c r="Y100" s="14">
        <f>[1]!i_dq_close(Y$2,$P100)</f>
        <v>5780.1693999999998</v>
      </c>
      <c r="Z100" s="14">
        <f>[1]!i_dq_close(Z$2,$P100)</f>
        <v>2347.5639999999999</v>
      </c>
      <c r="AB100" s="1">
        <v>42545</v>
      </c>
      <c r="AC100">
        <v>1.0581148224139862</v>
      </c>
      <c r="AD100">
        <v>1.190884201369407</v>
      </c>
      <c r="AE100">
        <v>1.0859109741988495</v>
      </c>
      <c r="AF100">
        <v>1.1097748833416483</v>
      </c>
      <c r="AG100">
        <v>1.1915282527879656</v>
      </c>
      <c r="AH100">
        <v>1.0971378613014533</v>
      </c>
      <c r="AI100">
        <v>1.087089005784994</v>
      </c>
      <c r="AJ100">
        <v>1.1752694220939335</v>
      </c>
      <c r="AK100">
        <v>1.1480720918885203</v>
      </c>
      <c r="AL100">
        <v>1.0433622878660074</v>
      </c>
    </row>
    <row r="101" spans="1:38" x14ac:dyDescent="0.4">
      <c r="A101" s="10">
        <v>42549</v>
      </c>
      <c r="B101" s="11">
        <v>1.2053385784112809</v>
      </c>
      <c r="C101" s="11">
        <v>1.191892609648316</v>
      </c>
      <c r="D101" s="11">
        <v>1.153777679072616</v>
      </c>
      <c r="E101" s="11">
        <v>1.1982870951495199</v>
      </c>
      <c r="P101" s="1">
        <f>A100</f>
        <v>42548</v>
      </c>
      <c r="Q101" s="14">
        <f>[1]!i_dq_close(Q$2,$P101)</f>
        <v>1823.6267</v>
      </c>
      <c r="R101" s="14">
        <f>[1]!i_dq_close(R$2,$P101)</f>
        <v>3094.7233999999999</v>
      </c>
      <c r="S101" s="14">
        <f>[1]!i_dq_close(S$2,$P101)</f>
        <v>3745.7516000000001</v>
      </c>
      <c r="T101" s="14">
        <f>[1]!i_dq_close(T$2,$P101)</f>
        <v>5466.8014000000003</v>
      </c>
      <c r="U101" s="14">
        <f>[1]!i_dq_close(U$2,$P101)</f>
        <v>8183.3370000000004</v>
      </c>
      <c r="V101" s="14">
        <f>[1]!i_dq_close(V$2,$P101)</f>
        <v>9065.1890000000003</v>
      </c>
      <c r="W101" s="14">
        <f>[1]!i_dq_close(W$2,$P101)</f>
        <v>5121.7170999999998</v>
      </c>
      <c r="X101" s="14">
        <f>[1]!i_dq_close(X$2,$P101)</f>
        <v>6574.7275</v>
      </c>
      <c r="Y101" s="14">
        <f>[1]!i_dq_close(Y$2,$P101)</f>
        <v>5950.7560000000003</v>
      </c>
      <c r="Z101" s="14">
        <f>[1]!i_dq_close(Z$2,$P101)</f>
        <v>2371.2766000000001</v>
      </c>
      <c r="AB101" s="1">
        <v>42548</v>
      </c>
      <c r="AC101">
        <v>1.0826289807745932</v>
      </c>
      <c r="AD101">
        <v>1.2129943016312683</v>
      </c>
      <c r="AE101">
        <v>1.1085701290797405</v>
      </c>
      <c r="AF101">
        <v>1.130308014437537</v>
      </c>
      <c r="AG101">
        <v>1.220168405530119</v>
      </c>
      <c r="AH101">
        <v>1.1196026366691378</v>
      </c>
      <c r="AI101">
        <v>1.097715703619764</v>
      </c>
      <c r="AJ101">
        <v>1.2145258546695579</v>
      </c>
      <c r="AK101">
        <v>1.1819544405114086</v>
      </c>
      <c r="AL101">
        <v>1.0539012263517107</v>
      </c>
    </row>
    <row r="102" spans="1:38" x14ac:dyDescent="0.4">
      <c r="A102" s="10">
        <v>42550</v>
      </c>
      <c r="B102" s="11">
        <v>1.2054381388906961</v>
      </c>
      <c r="C102" s="11">
        <v>1.19251900297521</v>
      </c>
      <c r="D102" s="11">
        <v>1.1538942358278299</v>
      </c>
      <c r="E102" s="11">
        <v>1.1988219968463001</v>
      </c>
      <c r="P102" s="1">
        <f>A101</f>
        <v>42549</v>
      </c>
      <c r="Q102" s="14">
        <f>[1]!i_dq_close(Q$2,$P102)</f>
        <v>1831.2532000000001</v>
      </c>
      <c r="R102" s="14">
        <f>[1]!i_dq_close(R$2,$P102)</f>
        <v>3107.0837999999999</v>
      </c>
      <c r="S102" s="14">
        <f>[1]!i_dq_close(S$2,$P102)</f>
        <v>3773.2656999999999</v>
      </c>
      <c r="T102" s="14">
        <f>[1]!i_dq_close(T$2,$P102)</f>
        <v>5525.0469000000003</v>
      </c>
      <c r="U102" s="14">
        <f>[1]!i_dq_close(U$2,$P102)</f>
        <v>8227.1612000000005</v>
      </c>
      <c r="V102" s="14">
        <f>[1]!i_dq_close(V$2,$P102)</f>
        <v>9266.9184000000005</v>
      </c>
      <c r="W102" s="14">
        <f>[1]!i_dq_close(W$2,$P102)</f>
        <v>5150.6916000000001</v>
      </c>
      <c r="X102" s="14">
        <f>[1]!i_dq_close(X$2,$P102)</f>
        <v>6646.2793000000001</v>
      </c>
      <c r="Y102" s="14">
        <f>[1]!i_dq_close(Y$2,$P102)</f>
        <v>5952.0268999999998</v>
      </c>
      <c r="Z102" s="14">
        <f>[1]!i_dq_close(Z$2,$P102)</f>
        <v>2382.3607000000002</v>
      </c>
      <c r="AB102" s="1">
        <v>42549</v>
      </c>
      <c r="AC102">
        <v>1.0871565904667948</v>
      </c>
      <c r="AD102">
        <v>1.2178390301669053</v>
      </c>
      <c r="AE102">
        <v>1.1167130367377156</v>
      </c>
      <c r="AF102">
        <v>1.14235077045478</v>
      </c>
      <c r="AG102">
        <v>1.226702769718913</v>
      </c>
      <c r="AH102">
        <v>1.1445173701770308</v>
      </c>
      <c r="AI102">
        <v>1.1039256841855651</v>
      </c>
      <c r="AJ102">
        <v>1.2277433623226348</v>
      </c>
      <c r="AK102">
        <v>1.1822068699335602</v>
      </c>
      <c r="AL102">
        <v>1.0588274954267756</v>
      </c>
    </row>
    <row r="103" spans="1:38" x14ac:dyDescent="0.4">
      <c r="A103" s="10">
        <v>42551</v>
      </c>
      <c r="B103" s="11">
        <v>1.2064797861220979</v>
      </c>
      <c r="C103" s="11">
        <v>1.1923393664322841</v>
      </c>
      <c r="D103" s="11">
        <v>1.1539077896294381</v>
      </c>
      <c r="E103" s="11">
        <v>1.1956488974635</v>
      </c>
      <c r="P103" s="1">
        <f>A102</f>
        <v>42550</v>
      </c>
      <c r="Q103" s="14">
        <f>[1]!i_dq_close(Q$2,$P103)</f>
        <v>1837.9331999999999</v>
      </c>
      <c r="R103" s="14">
        <f>[1]!i_dq_close(R$2,$P103)</f>
        <v>3129.4902999999999</v>
      </c>
      <c r="S103" s="14">
        <f>[1]!i_dq_close(S$2,$P103)</f>
        <v>3802.2044999999998</v>
      </c>
      <c r="T103" s="14">
        <f>[1]!i_dq_close(T$2,$P103)</f>
        <v>5537.0293000000001</v>
      </c>
      <c r="U103" s="14">
        <f>[1]!i_dq_close(U$2,$P103)</f>
        <v>8229.2157000000007</v>
      </c>
      <c r="V103" s="14">
        <f>[1]!i_dq_close(V$2,$P103)</f>
        <v>9246.7494999999999</v>
      </c>
      <c r="W103" s="14">
        <f>[1]!i_dq_close(W$2,$P103)</f>
        <v>5179.2981</v>
      </c>
      <c r="X103" s="14">
        <f>[1]!i_dq_close(X$2,$P103)</f>
        <v>6620.8459999999995</v>
      </c>
      <c r="Y103" s="14">
        <f>[1]!i_dq_close(Y$2,$P103)</f>
        <v>5931.5933999999997</v>
      </c>
      <c r="Z103" s="14">
        <f>[1]!i_dq_close(Z$2,$P103)</f>
        <v>2397.7633999999998</v>
      </c>
      <c r="AB103" s="1">
        <v>42550</v>
      </c>
      <c r="AC103">
        <v>1.0911222933113376</v>
      </c>
      <c r="AD103">
        <v>1.2266213842924796</v>
      </c>
      <c r="AE103">
        <v>1.1252775900442971</v>
      </c>
      <c r="AF103">
        <v>1.1448282342880547</v>
      </c>
      <c r="AG103">
        <v>1.2270091039184163</v>
      </c>
      <c r="AH103">
        <v>1.1420263957893246</v>
      </c>
      <c r="AI103">
        <v>1.1100567928865122</v>
      </c>
      <c r="AJ103">
        <v>1.2230451599378869</v>
      </c>
      <c r="AK103">
        <v>1.1781483156826063</v>
      </c>
      <c r="AL103">
        <v>1.0656731432179811</v>
      </c>
    </row>
    <row r="104" spans="1:38" x14ac:dyDescent="0.4">
      <c r="A104" s="10">
        <v>42552</v>
      </c>
      <c r="B104" s="11">
        <v>1.20524419493875</v>
      </c>
      <c r="C104" s="11">
        <v>1.1919791827770509</v>
      </c>
      <c r="D104" s="11">
        <v>1.152340600494647</v>
      </c>
      <c r="E104" s="11">
        <v>1.1930445746345619</v>
      </c>
      <c r="P104" s="1">
        <f>A103</f>
        <v>42551</v>
      </c>
      <c r="Q104" s="14">
        <f>[1]!i_dq_close(Q$2,$P104)</f>
        <v>1839.6578999999999</v>
      </c>
      <c r="R104" s="14">
        <f>[1]!i_dq_close(R$2,$P104)</f>
        <v>3113.6446000000001</v>
      </c>
      <c r="S104" s="14">
        <f>[1]!i_dq_close(S$2,$P104)</f>
        <v>3792.5938000000001</v>
      </c>
      <c r="T104" s="14">
        <f>[1]!i_dq_close(T$2,$P104)</f>
        <v>5557.1504000000004</v>
      </c>
      <c r="U104" s="14">
        <f>[1]!i_dq_close(U$2,$P104)</f>
        <v>8279.4717000000001</v>
      </c>
      <c r="V104" s="14">
        <f>[1]!i_dq_close(V$2,$P104)</f>
        <v>9282.1491000000005</v>
      </c>
      <c r="W104" s="14">
        <f>[1]!i_dq_close(W$2,$P104)</f>
        <v>5176.4661999999998</v>
      </c>
      <c r="X104" s="14">
        <f>[1]!i_dq_close(X$2,$P104)</f>
        <v>6639.5608000000002</v>
      </c>
      <c r="Y104" s="14">
        <f>[1]!i_dq_close(Y$2,$P104)</f>
        <v>5916.0946999999996</v>
      </c>
      <c r="Z104" s="14">
        <f>[1]!i_dq_close(Z$2,$P104)</f>
        <v>2397.8959</v>
      </c>
      <c r="AB104" s="1">
        <v>42551</v>
      </c>
      <c r="AC104">
        <v>1.0921461926670235</v>
      </c>
      <c r="AD104">
        <v>1.2204105727526313</v>
      </c>
      <c r="AE104">
        <v>1.1224332650389908</v>
      </c>
      <c r="AF104">
        <v>1.1489884440570248</v>
      </c>
      <c r="AG104">
        <v>1.2345024753130345</v>
      </c>
      <c r="AH104">
        <v>1.1463984486496714</v>
      </c>
      <c r="AI104">
        <v>1.1094498438808591</v>
      </c>
      <c r="AJ104">
        <v>1.2265022778891586</v>
      </c>
      <c r="AK104">
        <v>1.1750699240820845</v>
      </c>
      <c r="AL104">
        <v>1.06573203213566</v>
      </c>
    </row>
    <row r="105" spans="1:38" x14ac:dyDescent="0.4">
      <c r="A105" s="10">
        <v>42555</v>
      </c>
      <c r="B105" s="11">
        <v>1.2247194013013021</v>
      </c>
      <c r="C105" s="11">
        <v>1.2126000625907409</v>
      </c>
      <c r="D105" s="11">
        <v>1.170815128055555</v>
      </c>
      <c r="E105" s="11">
        <v>1.212169366024233</v>
      </c>
      <c r="P105" s="1">
        <f>A104</f>
        <v>42552</v>
      </c>
      <c r="Q105" s="14">
        <f>[1]!i_dq_close(Q$2,$P105)</f>
        <v>1836.7074</v>
      </c>
      <c r="R105" s="14">
        <f>[1]!i_dq_close(R$2,$P105)</f>
        <v>3120.3171000000002</v>
      </c>
      <c r="S105" s="14">
        <f>[1]!i_dq_close(S$2,$P105)</f>
        <v>3788.2781</v>
      </c>
      <c r="T105" s="14">
        <f>[1]!i_dq_close(T$2,$P105)</f>
        <v>5546.1337999999996</v>
      </c>
      <c r="U105" s="14">
        <f>[1]!i_dq_close(U$2,$P105)</f>
        <v>8266.7144000000008</v>
      </c>
      <c r="V105" s="14">
        <f>[1]!i_dq_close(V$2,$P105)</f>
        <v>9241.3894</v>
      </c>
      <c r="W105" s="14">
        <f>[1]!i_dq_close(W$2,$P105)</f>
        <v>5189.0150999999996</v>
      </c>
      <c r="X105" s="14">
        <f>[1]!i_dq_close(X$2,$P105)</f>
        <v>6593.0177000000003</v>
      </c>
      <c r="Y105" s="14">
        <f>[1]!i_dq_close(Y$2,$P105)</f>
        <v>5880.6953000000003</v>
      </c>
      <c r="Z105" s="14">
        <f>[1]!i_dq_close(Z$2,$P105)</f>
        <v>2399.3519000000001</v>
      </c>
      <c r="AB105" s="1">
        <v>42552</v>
      </c>
      <c r="AC105">
        <v>1.090394574966002</v>
      </c>
      <c r="AD105">
        <v>1.2230258967837335</v>
      </c>
      <c r="AE105">
        <v>1.1211560164072156</v>
      </c>
      <c r="AF105">
        <v>1.1467106676461507</v>
      </c>
      <c r="AG105">
        <v>1.232600310658216</v>
      </c>
      <c r="AH105">
        <v>1.1413643928136767</v>
      </c>
      <c r="AI105">
        <v>1.1121393959049555</v>
      </c>
      <c r="AJ105">
        <v>1.2179045377841169</v>
      </c>
      <c r="AK105">
        <v>1.1680388043350409</v>
      </c>
      <c r="AL105">
        <v>1.0663791435631369</v>
      </c>
    </row>
    <row r="106" spans="1:38" x14ac:dyDescent="0.4">
      <c r="A106" s="10">
        <v>42556</v>
      </c>
      <c r="B106" s="11">
        <v>1.227307191171497</v>
      </c>
      <c r="C106" s="11">
        <v>1.216067392636458</v>
      </c>
      <c r="D106" s="11">
        <v>1.172768858761134</v>
      </c>
      <c r="E106" s="11">
        <v>1.2163472399738191</v>
      </c>
      <c r="P106" s="1">
        <f>A105</f>
        <v>42555</v>
      </c>
      <c r="Q106" s="14">
        <f>[1]!i_dq_close(Q$2,$P106)</f>
        <v>1890.2644</v>
      </c>
      <c r="R106" s="14">
        <f>[1]!i_dq_close(R$2,$P106)</f>
        <v>3203.6017000000002</v>
      </c>
      <c r="S106" s="14">
        <f>[1]!i_dq_close(S$2,$P106)</f>
        <v>3870.098</v>
      </c>
      <c r="T106" s="14">
        <f>[1]!i_dq_close(T$2,$P106)</f>
        <v>5636.8182999999999</v>
      </c>
      <c r="U106" s="14">
        <f>[1]!i_dq_close(U$2,$P106)</f>
        <v>8385.4977999999992</v>
      </c>
      <c r="V106" s="14">
        <f>[1]!i_dq_close(V$2,$P106)</f>
        <v>9386.6880999999994</v>
      </c>
      <c r="W106" s="14">
        <f>[1]!i_dq_close(W$2,$P106)</f>
        <v>5246.6360999999997</v>
      </c>
      <c r="X106" s="14">
        <f>[1]!i_dq_close(X$2,$P106)</f>
        <v>6706.5099</v>
      </c>
      <c r="Y106" s="14">
        <f>[1]!i_dq_close(Y$2,$P106)</f>
        <v>5983.5063</v>
      </c>
      <c r="Z106" s="14">
        <f>[1]!i_dq_close(Z$2,$P106)</f>
        <v>2436.5708</v>
      </c>
      <c r="AB106" s="1">
        <v>42555</v>
      </c>
      <c r="AC106">
        <v>1.1221896568889334</v>
      </c>
      <c r="AD106">
        <v>1.2556697657684834</v>
      </c>
      <c r="AE106">
        <v>1.1453709422192453</v>
      </c>
      <c r="AF106">
        <v>1.1654604647643085</v>
      </c>
      <c r="AG106">
        <v>1.2503113925532234</v>
      </c>
      <c r="AH106">
        <v>1.159309612447222</v>
      </c>
      <c r="AI106">
        <v>1.1244890582004921</v>
      </c>
      <c r="AJ106">
        <v>1.2388695452621192</v>
      </c>
      <c r="AK106">
        <v>1.1884593892125619</v>
      </c>
      <c r="AL106">
        <v>1.0829208849835437</v>
      </c>
    </row>
    <row r="107" spans="1:38" x14ac:dyDescent="0.4">
      <c r="A107" s="10">
        <v>42557</v>
      </c>
      <c r="B107" s="11">
        <v>1.23382529923371</v>
      </c>
      <c r="C107" s="11">
        <v>1.225832072871369</v>
      </c>
      <c r="D107" s="11">
        <v>1.180244546451412</v>
      </c>
      <c r="E107" s="11">
        <v>1.223167648088203</v>
      </c>
      <c r="P107" s="1">
        <f>A106</f>
        <v>42556</v>
      </c>
      <c r="Q107" s="14">
        <f>[1]!i_dq_close(Q$2,$P107)</f>
        <v>1899.6097</v>
      </c>
      <c r="R107" s="14">
        <f>[1]!i_dq_close(R$2,$P107)</f>
        <v>3227.4380000000001</v>
      </c>
      <c r="S107" s="14">
        <f>[1]!i_dq_close(S$2,$P107)</f>
        <v>3912.6343999999999</v>
      </c>
      <c r="T107" s="14">
        <f>[1]!i_dq_close(T$2,$P107)</f>
        <v>5651.78</v>
      </c>
      <c r="U107" s="14">
        <f>[1]!i_dq_close(U$2,$P107)</f>
        <v>8434.4956999999995</v>
      </c>
      <c r="V107" s="14">
        <f>[1]!i_dq_close(V$2,$P107)</f>
        <v>9391.8305</v>
      </c>
      <c r="W107" s="14">
        <f>[1]!i_dq_close(W$2,$P107)</f>
        <v>5219.1655000000001</v>
      </c>
      <c r="X107" s="14">
        <f>[1]!i_dq_close(X$2,$P107)</f>
        <v>6705.0457999999999</v>
      </c>
      <c r="Y107" s="14">
        <f>[1]!i_dq_close(Y$2,$P107)</f>
        <v>6002.2071999999998</v>
      </c>
      <c r="Z107" s="14">
        <f>[1]!i_dq_close(Z$2,$P107)</f>
        <v>2457.3962000000001</v>
      </c>
      <c r="AB107" s="1">
        <v>42556</v>
      </c>
      <c r="AC107">
        <v>1.1277376632950871</v>
      </c>
      <c r="AD107">
        <v>1.2650125380731014</v>
      </c>
      <c r="AE107">
        <v>1.1579597594912148</v>
      </c>
      <c r="AF107">
        <v>1.1685539243912872</v>
      </c>
      <c r="AG107">
        <v>1.2576171761861503</v>
      </c>
      <c r="AH107">
        <v>1.1599447282290118</v>
      </c>
      <c r="AI107">
        <v>1.1186014020845663</v>
      </c>
      <c r="AJ107">
        <v>1.2385990873148018</v>
      </c>
      <c r="AK107">
        <v>1.192173810001544</v>
      </c>
      <c r="AL107">
        <v>1.0921766228419045</v>
      </c>
    </row>
    <row r="108" spans="1:38" x14ac:dyDescent="0.4">
      <c r="A108" s="10">
        <v>42558</v>
      </c>
      <c r="B108" s="11">
        <v>1.2362242236147409</v>
      </c>
      <c r="C108" s="11">
        <v>1.2287252643879509</v>
      </c>
      <c r="D108" s="11">
        <v>1.1826207366763559</v>
      </c>
      <c r="E108" s="11">
        <v>1.225124149191023</v>
      </c>
      <c r="P108" s="1">
        <f>A107</f>
        <v>42557</v>
      </c>
      <c r="Q108" s="14">
        <f>[1]!i_dq_close(Q$2,$P108)</f>
        <v>1896.8524</v>
      </c>
      <c r="R108" s="14">
        <f>[1]!i_dq_close(R$2,$P108)</f>
        <v>3257.3353000000002</v>
      </c>
      <c r="S108" s="14">
        <f>[1]!i_dq_close(S$2,$P108)</f>
        <v>3913.9785000000002</v>
      </c>
      <c r="T108" s="14">
        <f>[1]!i_dq_close(T$2,$P108)</f>
        <v>5669.3531000000003</v>
      </c>
      <c r="U108" s="14">
        <f>[1]!i_dq_close(U$2,$P108)</f>
        <v>8670.6303000000007</v>
      </c>
      <c r="V108" s="14">
        <f>[1]!i_dq_close(V$2,$P108)</f>
        <v>9506.4773999999998</v>
      </c>
      <c r="W108" s="14">
        <f>[1]!i_dq_close(W$2,$P108)</f>
        <v>5208.0882000000001</v>
      </c>
      <c r="X108" s="14">
        <f>[1]!i_dq_close(X$2,$P108)</f>
        <v>6705.4179000000004</v>
      </c>
      <c r="Y108" s="14">
        <f>[1]!i_dq_close(Y$2,$P108)</f>
        <v>5997.3462</v>
      </c>
      <c r="Z108" s="14">
        <f>[1]!i_dq_close(Z$2,$P108)</f>
        <v>2460.9450000000002</v>
      </c>
      <c r="AB108" s="1">
        <v>42557</v>
      </c>
      <c r="AC108">
        <v>1.1261007422691502</v>
      </c>
      <c r="AD108">
        <v>1.2767309535328355</v>
      </c>
      <c r="AE108">
        <v>1.1583575512482807</v>
      </c>
      <c r="AF108">
        <v>1.1721873133357827</v>
      </c>
      <c r="AG108">
        <v>1.2928257932054046</v>
      </c>
      <c r="AH108">
        <v>1.1741042754294002</v>
      </c>
      <c r="AI108">
        <v>1.1162272517895984</v>
      </c>
      <c r="AJ108">
        <v>1.2386678240146154</v>
      </c>
      <c r="AK108">
        <v>1.191208305696658</v>
      </c>
      <c r="AL108">
        <v>1.0937538680574466</v>
      </c>
    </row>
    <row r="109" spans="1:38" x14ac:dyDescent="0.4">
      <c r="A109" s="10">
        <v>42559</v>
      </c>
      <c r="B109" s="11">
        <v>1.234264271470779</v>
      </c>
      <c r="C109" s="11">
        <v>1.22426780526862</v>
      </c>
      <c r="D109" s="11">
        <v>1.179192139578914</v>
      </c>
      <c r="E109" s="11">
        <v>1.2207475592765631</v>
      </c>
      <c r="P109" s="1">
        <f>A108</f>
        <v>42558</v>
      </c>
      <c r="Q109" s="14">
        <f>[1]!i_dq_close(Q$2,$P109)</f>
        <v>1907.454</v>
      </c>
      <c r="R109" s="14">
        <f>[1]!i_dq_close(R$2,$P109)</f>
        <v>3297.6949</v>
      </c>
      <c r="S109" s="14">
        <f>[1]!i_dq_close(S$2,$P109)</f>
        <v>3904.8912999999998</v>
      </c>
      <c r="T109" s="14">
        <f>[1]!i_dq_close(T$2,$P109)</f>
        <v>5652.2435999999998</v>
      </c>
      <c r="U109" s="14">
        <f>[1]!i_dq_close(U$2,$P109)</f>
        <v>8685.5514000000003</v>
      </c>
      <c r="V109" s="14">
        <f>[1]!i_dq_close(V$2,$P109)</f>
        <v>9608.2530999999999</v>
      </c>
      <c r="W109" s="14">
        <f>[1]!i_dq_close(W$2,$P109)</f>
        <v>5193.3356000000003</v>
      </c>
      <c r="X109" s="14">
        <f>[1]!i_dq_close(X$2,$P109)</f>
        <v>6671.6471000000001</v>
      </c>
      <c r="Y109" s="14">
        <f>[1]!i_dq_close(Y$2,$P109)</f>
        <v>5978.3720000000003</v>
      </c>
      <c r="Z109" s="14">
        <f>[1]!i_dq_close(Z$2,$P109)</f>
        <v>2450.3407000000002</v>
      </c>
      <c r="AB109" s="1">
        <v>42558</v>
      </c>
      <c r="AC109">
        <v>1.1323945738973995</v>
      </c>
      <c r="AD109">
        <v>1.292550126521322</v>
      </c>
      <c r="AE109">
        <v>1.1556681581563912</v>
      </c>
      <c r="AF109">
        <v>1.1686497776621767</v>
      </c>
      <c r="AG109">
        <v>1.2950505891286026</v>
      </c>
      <c r="AH109">
        <v>1.186674155888467</v>
      </c>
      <c r="AI109">
        <v>1.1130653901769723</v>
      </c>
      <c r="AJ109">
        <v>1.2324294651270606</v>
      </c>
      <c r="AK109">
        <v>1.1874396013597384</v>
      </c>
      <c r="AL109">
        <v>1.0890408435310792</v>
      </c>
    </row>
    <row r="110" spans="1:38" x14ac:dyDescent="0.4">
      <c r="A110" s="10">
        <v>42562</v>
      </c>
      <c r="B110" s="11">
        <v>1.2316626629117919</v>
      </c>
      <c r="C110" s="11">
        <v>1.226141720002575</v>
      </c>
      <c r="D110" s="11">
        <v>1.176376562561013</v>
      </c>
      <c r="E110" s="11">
        <v>1.2162208752490029</v>
      </c>
      <c r="P110" s="1">
        <f>A109</f>
        <v>42559</v>
      </c>
      <c r="Q110" s="14">
        <f>[1]!i_dq_close(Q$2,$P110)</f>
        <v>1882.9883</v>
      </c>
      <c r="R110" s="14">
        <f>[1]!i_dq_close(R$2,$P110)</f>
        <v>3274.8024</v>
      </c>
      <c r="S110" s="14">
        <f>[1]!i_dq_close(S$2,$P110)</f>
        <v>3900.6880999999998</v>
      </c>
      <c r="T110" s="14">
        <f>[1]!i_dq_close(T$2,$P110)</f>
        <v>5618.9431000000004</v>
      </c>
      <c r="U110" s="14">
        <f>[1]!i_dq_close(U$2,$P110)</f>
        <v>8628.9105</v>
      </c>
      <c r="V110" s="14">
        <f>[1]!i_dq_close(V$2,$P110)</f>
        <v>9570.7304999999997</v>
      </c>
      <c r="W110" s="14">
        <f>[1]!i_dq_close(W$2,$P110)</f>
        <v>5165.7493999999997</v>
      </c>
      <c r="X110" s="14">
        <f>[1]!i_dq_close(X$2,$P110)</f>
        <v>6677.5091000000002</v>
      </c>
      <c r="Y110" s="14">
        <f>[1]!i_dq_close(Y$2,$P110)</f>
        <v>5998.0396000000001</v>
      </c>
      <c r="Z110" s="14">
        <f>[1]!i_dq_close(Z$2,$P110)</f>
        <v>2430.2294999999999</v>
      </c>
      <c r="AB110" s="1">
        <v>42559</v>
      </c>
      <c r="AC110">
        <v>1.1178700684956433</v>
      </c>
      <c r="AD110">
        <v>1.2835772819530178</v>
      </c>
      <c r="AE110">
        <v>1.1544242043484163</v>
      </c>
      <c r="AF110">
        <v>1.1617646140572255</v>
      </c>
      <c r="AG110">
        <v>1.2866052035064792</v>
      </c>
      <c r="AH110">
        <v>1.1820399003980762</v>
      </c>
      <c r="AI110">
        <v>1.1071529580078474</v>
      </c>
      <c r="AJ110">
        <v>1.2335123313842664</v>
      </c>
      <c r="AK110">
        <v>1.1913460305855714</v>
      </c>
      <c r="AL110">
        <v>1.0801025280501249</v>
      </c>
    </row>
    <row r="111" spans="1:38" x14ac:dyDescent="0.4">
      <c r="A111" s="10">
        <v>42563</v>
      </c>
      <c r="B111" s="11">
        <v>1.2447383472828799</v>
      </c>
      <c r="C111" s="11">
        <v>1.2432222480028401</v>
      </c>
      <c r="D111" s="11">
        <v>1.1849621267917729</v>
      </c>
      <c r="E111" s="11">
        <v>1.224893497796824</v>
      </c>
      <c r="P111" s="1">
        <f>A110</f>
        <v>42562</v>
      </c>
      <c r="Q111" s="14">
        <f>[1]!i_dq_close(Q$2,$P111)</f>
        <v>1913.1175000000001</v>
      </c>
      <c r="R111" s="14">
        <f>[1]!i_dq_close(R$2,$P111)</f>
        <v>3295.6426000000001</v>
      </c>
      <c r="S111" s="14">
        <f>[1]!i_dq_close(S$2,$P111)</f>
        <v>3893.5628000000002</v>
      </c>
      <c r="T111" s="14">
        <f>[1]!i_dq_close(T$2,$P111)</f>
        <v>5614.9318000000003</v>
      </c>
      <c r="U111" s="14">
        <f>[1]!i_dq_close(U$2,$P111)</f>
        <v>8727.8778000000002</v>
      </c>
      <c r="V111" s="14">
        <f>[1]!i_dq_close(V$2,$P111)</f>
        <v>9592.8477999999996</v>
      </c>
      <c r="W111" s="14">
        <f>[1]!i_dq_close(W$2,$P111)</f>
        <v>5151.9862000000003</v>
      </c>
      <c r="X111" s="14">
        <f>[1]!i_dq_close(X$2,$P111)</f>
        <v>6622.7811000000002</v>
      </c>
      <c r="Y111" s="14">
        <f>[1]!i_dq_close(Y$2,$P111)</f>
        <v>5993.2714999999998</v>
      </c>
      <c r="Z111" s="14">
        <f>[1]!i_dq_close(Z$2,$P111)</f>
        <v>2427.1444999999999</v>
      </c>
      <c r="AB111" s="1">
        <v>42562</v>
      </c>
      <c r="AC111">
        <v>1.1357568131279487</v>
      </c>
      <c r="AD111">
        <v>1.2917457159542136</v>
      </c>
      <c r="AE111">
        <v>1.1523154433882044</v>
      </c>
      <c r="AF111">
        <v>1.1609352434240956</v>
      </c>
      <c r="AG111">
        <v>1.3013616253232296</v>
      </c>
      <c r="AH111">
        <v>1.1847715133182262</v>
      </c>
      <c r="AI111">
        <v>1.1042031502623046</v>
      </c>
      <c r="AJ111">
        <v>1.2234026240276719</v>
      </c>
      <c r="AK111">
        <v>1.1903989783172877</v>
      </c>
      <c r="AL111">
        <v>1.0787314162686923</v>
      </c>
    </row>
    <row r="112" spans="1:38" x14ac:dyDescent="0.4">
      <c r="A112" s="10">
        <v>42564</v>
      </c>
      <c r="B112" s="11">
        <v>1.252012128390362</v>
      </c>
      <c r="C112" s="11">
        <v>1.248012893170918</v>
      </c>
      <c r="D112" s="11">
        <v>1.1901069008379941</v>
      </c>
      <c r="E112" s="11">
        <v>1.230415280147432</v>
      </c>
      <c r="P112" s="1">
        <f>A111</f>
        <v>42563</v>
      </c>
      <c r="Q112" s="14">
        <f>[1]!i_dq_close(Q$2,$P112)</f>
        <v>1979.5925</v>
      </c>
      <c r="R112" s="14">
        <f>[1]!i_dq_close(R$2,$P112)</f>
        <v>3328.2348999999999</v>
      </c>
      <c r="S112" s="14">
        <f>[1]!i_dq_close(S$2,$P112)</f>
        <v>3941.3090000000002</v>
      </c>
      <c r="T112" s="14">
        <f>[1]!i_dq_close(T$2,$P112)</f>
        <v>5719.7042000000001</v>
      </c>
      <c r="U112" s="14">
        <f>[1]!i_dq_close(U$2,$P112)</f>
        <v>8920.2975000000006</v>
      </c>
      <c r="V112" s="14">
        <f>[1]!i_dq_close(V$2,$P112)</f>
        <v>9806.0532999999996</v>
      </c>
      <c r="W112" s="14">
        <f>[1]!i_dq_close(W$2,$P112)</f>
        <v>5238.5288</v>
      </c>
      <c r="X112" s="14">
        <f>[1]!i_dq_close(X$2,$P112)</f>
        <v>6695.8573999999999</v>
      </c>
      <c r="Y112" s="14">
        <f>[1]!i_dq_close(Y$2,$P112)</f>
        <v>6046.5491000000002</v>
      </c>
      <c r="Z112" s="14">
        <f>[1]!i_dq_close(Z$2,$P112)</f>
        <v>2466.2168999999999</v>
      </c>
      <c r="AB112" s="1">
        <v>42563</v>
      </c>
      <c r="AC112">
        <v>1.1752208994439646</v>
      </c>
      <c r="AD112">
        <v>1.3045204518731188</v>
      </c>
      <c r="AE112">
        <v>1.1664461217538138</v>
      </c>
      <c r="AF112">
        <v>1.1825978345348418</v>
      </c>
      <c r="AG112">
        <v>1.3300521752225658</v>
      </c>
      <c r="AH112">
        <v>1.2111036107463506</v>
      </c>
      <c r="AI112">
        <v>1.1227514552930693</v>
      </c>
      <c r="AJ112">
        <v>1.2369017471036607</v>
      </c>
      <c r="AK112">
        <v>1.200981112066309</v>
      </c>
      <c r="AL112">
        <v>1.0960969358696131</v>
      </c>
    </row>
    <row r="113" spans="1:38" x14ac:dyDescent="0.4">
      <c r="A113" s="10">
        <v>42565</v>
      </c>
      <c r="B113" s="11">
        <v>1.2503371655321041</v>
      </c>
      <c r="C113" s="11">
        <v>1.245376681613378</v>
      </c>
      <c r="D113" s="11">
        <v>1.1896040118971949</v>
      </c>
      <c r="E113" s="11">
        <v>1.229254895951307</v>
      </c>
      <c r="P113" s="1">
        <f>A112</f>
        <v>42564</v>
      </c>
      <c r="Q113" s="14">
        <f>[1]!i_dq_close(Q$2,$P113)</f>
        <v>1982.4450999999999</v>
      </c>
      <c r="R113" s="14">
        <f>[1]!i_dq_close(R$2,$P113)</f>
        <v>3352.95</v>
      </c>
      <c r="S113" s="14">
        <f>[1]!i_dq_close(S$2,$P113)</f>
        <v>3963.375</v>
      </c>
      <c r="T113" s="14">
        <f>[1]!i_dq_close(T$2,$P113)</f>
        <v>5783.4162999999999</v>
      </c>
      <c r="U113" s="14">
        <f>[1]!i_dq_close(U$2,$P113)</f>
        <v>8860.8580000000002</v>
      </c>
      <c r="V113" s="14">
        <f>[1]!i_dq_close(V$2,$P113)</f>
        <v>9816.4037000000008</v>
      </c>
      <c r="W113" s="14">
        <f>[1]!i_dq_close(W$2,$P113)</f>
        <v>5249.0047999999997</v>
      </c>
      <c r="X113" s="14">
        <f>[1]!i_dq_close(X$2,$P113)</f>
        <v>6772.7460000000001</v>
      </c>
      <c r="Y113" s="14">
        <f>[1]!i_dq_close(Y$2,$P113)</f>
        <v>6145.8477000000003</v>
      </c>
      <c r="Z113" s="14">
        <f>[1]!i_dq_close(Z$2,$P113)</f>
        <v>2484.6819</v>
      </c>
      <c r="AB113" s="1">
        <v>42564</v>
      </c>
      <c r="AC113">
        <v>1.176914397038926</v>
      </c>
      <c r="AD113">
        <v>1.3142076747972247</v>
      </c>
      <c r="AE113">
        <v>1.1729766424824903</v>
      </c>
      <c r="AF113">
        <v>1.1957708569253471</v>
      </c>
      <c r="AG113">
        <v>1.321189507103129</v>
      </c>
      <c r="AH113">
        <v>1.2123819442847448</v>
      </c>
      <c r="AI113">
        <v>1.1249967315327742</v>
      </c>
      <c r="AJ113">
        <v>1.2511051026996676</v>
      </c>
      <c r="AK113">
        <v>1.2207040550346591</v>
      </c>
      <c r="AL113">
        <v>1.10430360654843</v>
      </c>
    </row>
    <row r="114" spans="1:38" x14ac:dyDescent="0.4">
      <c r="A114" s="10">
        <v>42566</v>
      </c>
      <c r="B114" s="11">
        <v>1.2488186502273271</v>
      </c>
      <c r="C114" s="11">
        <v>1.2448272729772869</v>
      </c>
      <c r="D114" s="11">
        <v>1.18684057856477</v>
      </c>
      <c r="E114" s="11">
        <v>1.224863491542129</v>
      </c>
      <c r="P114" s="1">
        <f>A113</f>
        <v>42565</v>
      </c>
      <c r="Q114" s="14">
        <f>[1]!i_dq_close(Q$2,$P114)</f>
        <v>1968.9865</v>
      </c>
      <c r="R114" s="14">
        <f>[1]!i_dq_close(R$2,$P114)</f>
        <v>3335.8431999999998</v>
      </c>
      <c r="S114" s="14">
        <f>[1]!i_dq_close(S$2,$P114)</f>
        <v>3966.6493999999998</v>
      </c>
      <c r="T114" s="14">
        <f>[1]!i_dq_close(T$2,$P114)</f>
        <v>5792.0875999999998</v>
      </c>
      <c r="U114" s="14">
        <f>[1]!i_dq_close(U$2,$P114)</f>
        <v>8856.8768999999993</v>
      </c>
      <c r="V114" s="14">
        <f>[1]!i_dq_close(V$2,$P114)</f>
        <v>9807.1569999999992</v>
      </c>
      <c r="W114" s="14">
        <f>[1]!i_dq_close(W$2,$P114)</f>
        <v>5245.6446999999998</v>
      </c>
      <c r="X114" s="14">
        <f>[1]!i_dq_close(X$2,$P114)</f>
        <v>6786.1328000000003</v>
      </c>
      <c r="Y114" s="14">
        <f>[1]!i_dq_close(Y$2,$P114)</f>
        <v>6197.7367999999997</v>
      </c>
      <c r="Z114" s="14">
        <f>[1]!i_dq_close(Z$2,$P114)</f>
        <v>2484.2042000000001</v>
      </c>
      <c r="AB114" s="1">
        <v>42565</v>
      </c>
      <c r="AC114">
        <v>1.1689244556761169</v>
      </c>
      <c r="AD114">
        <v>1.3075025679953871</v>
      </c>
      <c r="AE114">
        <v>1.1739457142251704</v>
      </c>
      <c r="AF114">
        <v>1.1975637224729399</v>
      </c>
      <c r="AG114">
        <v>1.3205959091076831</v>
      </c>
      <c r="AH114">
        <v>1.211239924002488</v>
      </c>
      <c r="AI114">
        <v>1.1242765756819693</v>
      </c>
      <c r="AJ114">
        <v>1.25357799830048</v>
      </c>
      <c r="AK114">
        <v>1.2310104013474872</v>
      </c>
      <c r="AL114">
        <v>1.1040912953335222</v>
      </c>
    </row>
    <row r="115" spans="1:38" x14ac:dyDescent="0.4">
      <c r="A115" s="10">
        <v>42569</v>
      </c>
      <c r="B115" s="11">
        <v>1.245429975768273</v>
      </c>
      <c r="C115" s="11">
        <v>1.240931304029125</v>
      </c>
      <c r="D115" s="11">
        <v>1.1833030873650741</v>
      </c>
      <c r="E115" s="11">
        <v>1.219310396924064</v>
      </c>
      <c r="P115" s="1">
        <f>A114</f>
        <v>42566</v>
      </c>
      <c r="Q115" s="14">
        <f>[1]!i_dq_close(Q$2,$P115)</f>
        <v>1968.1858999999999</v>
      </c>
      <c r="R115" s="14">
        <f>[1]!i_dq_close(R$2,$P115)</f>
        <v>3330.6116000000002</v>
      </c>
      <c r="S115" s="14">
        <f>[1]!i_dq_close(S$2,$P115)</f>
        <v>3951.1912000000002</v>
      </c>
      <c r="T115" s="14">
        <f>[1]!i_dq_close(T$2,$P115)</f>
        <v>5793.8189000000002</v>
      </c>
      <c r="U115" s="14">
        <f>[1]!i_dq_close(U$2,$P115)</f>
        <v>8856.7716999999993</v>
      </c>
      <c r="V115" s="14">
        <f>[1]!i_dq_close(V$2,$P115)</f>
        <v>9816.8534999999993</v>
      </c>
      <c r="W115" s="14">
        <f>[1]!i_dq_close(W$2,$P115)</f>
        <v>5236.8792000000003</v>
      </c>
      <c r="X115" s="14">
        <f>[1]!i_dq_close(X$2,$P115)</f>
        <v>6731.0738000000001</v>
      </c>
      <c r="Y115" s="14">
        <f>[1]!i_dq_close(Y$2,$P115)</f>
        <v>6169.8950999999997</v>
      </c>
      <c r="Z115" s="14">
        <f>[1]!i_dq_close(Z$2,$P115)</f>
        <v>2483.4585000000002</v>
      </c>
      <c r="AB115" s="1">
        <v>42566</v>
      </c>
      <c r="AC115">
        <v>1.1684491650028623</v>
      </c>
      <c r="AD115">
        <v>1.3054520128509715</v>
      </c>
      <c r="AE115">
        <v>1.169370798267225</v>
      </c>
      <c r="AF115">
        <v>1.1979216835771052</v>
      </c>
      <c r="AG115">
        <v>1.3205802233652701</v>
      </c>
      <c r="AH115">
        <v>1.2124374971547369</v>
      </c>
      <c r="AI115">
        <v>1.1223979035858322</v>
      </c>
      <c r="AJ115">
        <v>1.243407146499816</v>
      </c>
      <c r="AK115">
        <v>1.2254804113854745</v>
      </c>
      <c r="AL115">
        <v>1.1037598729492712</v>
      </c>
    </row>
    <row r="116" spans="1:38" x14ac:dyDescent="0.4">
      <c r="A116" s="10">
        <v>42570</v>
      </c>
      <c r="B116" s="11">
        <v>1.246032853167262</v>
      </c>
      <c r="C116" s="11">
        <v>1.238583531018717</v>
      </c>
      <c r="D116" s="11">
        <v>1.183975974015429</v>
      </c>
      <c r="E116" s="11">
        <v>1.221681858582941</v>
      </c>
      <c r="P116" s="1">
        <f>A115</f>
        <v>42569</v>
      </c>
      <c r="Q116" s="14">
        <f>[1]!i_dq_close(Q$2,$P116)</f>
        <v>1940.7067999999999</v>
      </c>
      <c r="R116" s="14">
        <f>[1]!i_dq_close(R$2,$P116)</f>
        <v>3311.5747999999999</v>
      </c>
      <c r="S116" s="14">
        <f>[1]!i_dq_close(S$2,$P116)</f>
        <v>3925.0988000000002</v>
      </c>
      <c r="T116" s="14">
        <f>[1]!i_dq_close(T$2,$P116)</f>
        <v>5780.1822000000002</v>
      </c>
      <c r="U116" s="14">
        <f>[1]!i_dq_close(U$2,$P116)</f>
        <v>8821.8142000000007</v>
      </c>
      <c r="V116" s="14">
        <f>[1]!i_dq_close(V$2,$P116)</f>
        <v>9795.1666999999998</v>
      </c>
      <c r="W116" s="14">
        <f>[1]!i_dq_close(W$2,$P116)</f>
        <v>5220.7883000000002</v>
      </c>
      <c r="X116" s="14">
        <f>[1]!i_dq_close(X$2,$P116)</f>
        <v>6690.6211999999996</v>
      </c>
      <c r="Y116" s="14">
        <f>[1]!i_dq_close(Y$2,$P116)</f>
        <v>6205.6338999999998</v>
      </c>
      <c r="Z116" s="14">
        <f>[1]!i_dq_close(Z$2,$P116)</f>
        <v>2474.3191000000002</v>
      </c>
      <c r="AB116" s="1">
        <v>42569</v>
      </c>
      <c r="AC116">
        <v>1.1521357001771921</v>
      </c>
      <c r="AD116">
        <v>1.2979904316572226</v>
      </c>
      <c r="AE116">
        <v>1.1616486483958879</v>
      </c>
      <c r="AF116">
        <v>1.195102179049196</v>
      </c>
      <c r="AG116">
        <v>1.3153679197492369</v>
      </c>
      <c r="AH116">
        <v>1.2097590534443063</v>
      </c>
      <c r="AI116">
        <v>1.1189492098625151</v>
      </c>
      <c r="AJ116">
        <v>1.2359344826382936</v>
      </c>
      <c r="AK116">
        <v>1.2325789436322259</v>
      </c>
      <c r="AL116">
        <v>1.0996979154078699</v>
      </c>
    </row>
    <row r="117" spans="1:38" x14ac:dyDescent="0.4">
      <c r="A117" s="10">
        <v>42571</v>
      </c>
      <c r="B117" s="11">
        <v>1.2463136052046231</v>
      </c>
      <c r="C117" s="11">
        <v>1.2366265276106869</v>
      </c>
      <c r="D117" s="11">
        <v>1.1841830713469781</v>
      </c>
      <c r="E117" s="11">
        <v>1.221505686542838</v>
      </c>
      <c r="P117" s="1">
        <f>A116</f>
        <v>42570</v>
      </c>
      <c r="Q117" s="14">
        <f>[1]!i_dq_close(Q$2,$P117)</f>
        <v>1946.3843999999999</v>
      </c>
      <c r="R117" s="14">
        <f>[1]!i_dq_close(R$2,$P117)</f>
        <v>3315.0643</v>
      </c>
      <c r="S117" s="14">
        <f>[1]!i_dq_close(S$2,$P117)</f>
        <v>3935.6514000000002</v>
      </c>
      <c r="T117" s="14">
        <f>[1]!i_dq_close(T$2,$P117)</f>
        <v>5782.8332</v>
      </c>
      <c r="U117" s="14">
        <f>[1]!i_dq_close(U$2,$P117)</f>
        <v>8721.1962000000003</v>
      </c>
      <c r="V117" s="14">
        <f>[1]!i_dq_close(V$2,$P117)</f>
        <v>9775.0756999999994</v>
      </c>
      <c r="W117" s="14">
        <f>[1]!i_dq_close(W$2,$P117)</f>
        <v>5202.9301999999998</v>
      </c>
      <c r="X117" s="14">
        <f>[1]!i_dq_close(X$2,$P117)</f>
        <v>6748.1635999999999</v>
      </c>
      <c r="Y117" s="14">
        <f>[1]!i_dq_close(Y$2,$P117)</f>
        <v>6256.0189</v>
      </c>
      <c r="Z117" s="14">
        <f>[1]!i_dq_close(Z$2,$P117)</f>
        <v>2485.6021999999998</v>
      </c>
      <c r="AB117" s="1">
        <v>42570</v>
      </c>
      <c r="AC117">
        <v>1.1555063101278173</v>
      </c>
      <c r="AD117">
        <v>1.2993581608751366</v>
      </c>
      <c r="AE117">
        <v>1.1647717324637494</v>
      </c>
      <c r="AF117">
        <v>1.1956502960059001</v>
      </c>
      <c r="AG117">
        <v>1.3003653719343748</v>
      </c>
      <c r="AH117">
        <v>1.2072777001516921</v>
      </c>
      <c r="AI117">
        <v>1.1151217597273226</v>
      </c>
      <c r="AJ117">
        <v>1.2465640840232541</v>
      </c>
      <c r="AK117">
        <v>1.2425865417399566</v>
      </c>
      <c r="AL117">
        <v>1.1047126289706184</v>
      </c>
    </row>
    <row r="118" spans="1:38" x14ac:dyDescent="0.4">
      <c r="A118" s="10">
        <v>42572</v>
      </c>
      <c r="B118" s="11">
        <v>1.247531454148685</v>
      </c>
      <c r="C118" s="11">
        <v>1.2392823389756991</v>
      </c>
      <c r="D118" s="11">
        <v>1.185329060039862</v>
      </c>
      <c r="E118" s="11">
        <v>1.220347399503904</v>
      </c>
      <c r="P118" s="1">
        <f>A117</f>
        <v>42571</v>
      </c>
      <c r="Q118" s="14">
        <f>[1]!i_dq_close(Q$2,$P118)</f>
        <v>1938.1515999999999</v>
      </c>
      <c r="R118" s="14">
        <f>[1]!i_dq_close(R$2,$P118)</f>
        <v>3301.1417999999999</v>
      </c>
      <c r="S118" s="14">
        <f>[1]!i_dq_close(S$2,$P118)</f>
        <v>3931.4998000000001</v>
      </c>
      <c r="T118" s="14">
        <f>[1]!i_dq_close(T$2,$P118)</f>
        <v>5789.0475999999999</v>
      </c>
      <c r="U118" s="14">
        <f>[1]!i_dq_close(U$2,$P118)</f>
        <v>8726.2533000000003</v>
      </c>
      <c r="V118" s="14">
        <f>[1]!i_dq_close(V$2,$P118)</f>
        <v>9778.7402999999995</v>
      </c>
      <c r="W118" s="14">
        <f>[1]!i_dq_close(W$2,$P118)</f>
        <v>5177.0632999999998</v>
      </c>
      <c r="X118" s="14">
        <f>[1]!i_dq_close(X$2,$P118)</f>
        <v>6751.6205</v>
      </c>
      <c r="Y118" s="14">
        <f>[1]!i_dq_close(Y$2,$P118)</f>
        <v>6234.2368999999999</v>
      </c>
      <c r="Z118" s="14">
        <f>[1]!i_dq_close(Z$2,$P118)</f>
        <v>2470.7058999999999</v>
      </c>
      <c r="AB118" s="1">
        <v>42571</v>
      </c>
      <c r="AC118">
        <v>1.1506187594723454</v>
      </c>
      <c r="AD118">
        <v>1.2939011584288238</v>
      </c>
      <c r="AE118">
        <v>1.1635430498816244</v>
      </c>
      <c r="AF118">
        <v>1.1969351764343203</v>
      </c>
      <c r="AG118">
        <v>1.3011194058503197</v>
      </c>
      <c r="AH118">
        <v>1.2077302991898742</v>
      </c>
      <c r="AI118">
        <v>1.1095778177680993</v>
      </c>
      <c r="AJ118">
        <v>1.2472026647746248</v>
      </c>
      <c r="AK118">
        <v>1.2382601449555448</v>
      </c>
      <c r="AL118">
        <v>1.0980920479561123</v>
      </c>
    </row>
    <row r="119" spans="1:38" x14ac:dyDescent="0.4">
      <c r="A119" s="10">
        <v>42573</v>
      </c>
      <c r="B119" s="11">
        <v>1.236005995888491</v>
      </c>
      <c r="C119" s="11">
        <v>1.226894863549651</v>
      </c>
      <c r="D119" s="11">
        <v>1.1760547780410131</v>
      </c>
      <c r="E119" s="11">
        <v>1.2091486440643791</v>
      </c>
      <c r="P119" s="1">
        <f>A118</f>
        <v>42572</v>
      </c>
      <c r="Q119" s="14">
        <f>[1]!i_dq_close(Q$2,$P119)</f>
        <v>1942.6697999999999</v>
      </c>
      <c r="R119" s="14">
        <f>[1]!i_dq_close(R$2,$P119)</f>
        <v>3302.3615</v>
      </c>
      <c r="S119" s="14">
        <f>[1]!i_dq_close(S$2,$P119)</f>
        <v>3941.9023000000002</v>
      </c>
      <c r="T119" s="14">
        <f>[1]!i_dq_close(T$2,$P119)</f>
        <v>5802.5532999999996</v>
      </c>
      <c r="U119" s="14">
        <f>[1]!i_dq_close(U$2,$P119)</f>
        <v>8765.7518</v>
      </c>
      <c r="V119" s="14">
        <f>[1]!i_dq_close(V$2,$P119)</f>
        <v>9806.4917000000005</v>
      </c>
      <c r="W119" s="14">
        <f>[1]!i_dq_close(W$2,$P119)</f>
        <v>5204.4958999999999</v>
      </c>
      <c r="X119" s="14">
        <f>[1]!i_dq_close(X$2,$P119)</f>
        <v>6771.4188999999997</v>
      </c>
      <c r="Y119" s="14">
        <f>[1]!i_dq_close(Y$2,$P119)</f>
        <v>6321.1129000000001</v>
      </c>
      <c r="Z119" s="14">
        <f>[1]!i_dq_close(Z$2,$P119)</f>
        <v>2479.2148000000002</v>
      </c>
      <c r="AB119" s="1">
        <v>42572</v>
      </c>
      <c r="AC119">
        <v>1.1533010706388445</v>
      </c>
      <c r="AD119">
        <v>1.2943792267271732</v>
      </c>
      <c r="AE119">
        <v>1.1666217112556867</v>
      </c>
      <c r="AF119">
        <v>1.1997275955901705</v>
      </c>
      <c r="AG119">
        <v>1.3070087907999841</v>
      </c>
      <c r="AH119">
        <v>1.2111577556512079</v>
      </c>
      <c r="AI119">
        <v>1.1154573295066761</v>
      </c>
      <c r="AJ119">
        <v>1.2508599522714967</v>
      </c>
      <c r="AK119">
        <v>1.255515679205961</v>
      </c>
      <c r="AL119">
        <v>1.1018737831382941</v>
      </c>
    </row>
    <row r="120" spans="1:38" x14ac:dyDescent="0.4">
      <c r="A120" s="10">
        <v>42576</v>
      </c>
      <c r="B120" s="11">
        <v>1.236317631446654</v>
      </c>
      <c r="C120" s="11">
        <v>1.2270387698263541</v>
      </c>
      <c r="D120" s="11">
        <v>1.1760504892876891</v>
      </c>
      <c r="E120" s="11">
        <v>1.2065161097788879</v>
      </c>
      <c r="P120" s="1">
        <f>A119</f>
        <v>42573</v>
      </c>
      <c r="Q120" s="14">
        <f>[1]!i_dq_close(Q$2,$P120)</f>
        <v>1923.6142</v>
      </c>
      <c r="R120" s="14">
        <f>[1]!i_dq_close(R$2,$P120)</f>
        <v>3263.7008000000001</v>
      </c>
      <c r="S120" s="14">
        <f>[1]!i_dq_close(S$2,$P120)</f>
        <v>3910.6350000000002</v>
      </c>
      <c r="T120" s="14">
        <f>[1]!i_dq_close(T$2,$P120)</f>
        <v>5754.7871999999998</v>
      </c>
      <c r="U120" s="14">
        <f>[1]!i_dq_close(U$2,$P120)</f>
        <v>8627.2901000000002</v>
      </c>
      <c r="V120" s="14">
        <f>[1]!i_dq_close(V$2,$P120)</f>
        <v>9716.5573000000004</v>
      </c>
      <c r="W120" s="14">
        <f>[1]!i_dq_close(W$2,$P120)</f>
        <v>5166.3534</v>
      </c>
      <c r="X120" s="14">
        <f>[1]!i_dq_close(X$2,$P120)</f>
        <v>6741.5303999999996</v>
      </c>
      <c r="Y120" s="14">
        <f>[1]!i_dq_close(Y$2,$P120)</f>
        <v>6289.7426999999998</v>
      </c>
      <c r="Z120" s="14">
        <f>[1]!i_dq_close(Z$2,$P120)</f>
        <v>2453.7543000000001</v>
      </c>
      <c r="AB120" s="1">
        <v>42573</v>
      </c>
      <c r="AC120">
        <v>1.1419883689735044</v>
      </c>
      <c r="AD120">
        <v>1.2792259471813903</v>
      </c>
      <c r="AE120">
        <v>1.1573680290849375</v>
      </c>
      <c r="AF120">
        <v>1.1898515452825034</v>
      </c>
      <c r="AG120">
        <v>1.2863635953600321</v>
      </c>
      <c r="AH120">
        <v>1.2000503433989913</v>
      </c>
      <c r="AI120">
        <v>1.1072824107425536</v>
      </c>
      <c r="AJ120">
        <v>1.2453387567531591</v>
      </c>
      <c r="AK120">
        <v>1.2492848495114262</v>
      </c>
      <c r="AL120">
        <v>1.0905579998283554</v>
      </c>
    </row>
    <row r="121" spans="1:38" x14ac:dyDescent="0.4">
      <c r="A121" s="10">
        <v>42577</v>
      </c>
      <c r="B121" s="11">
        <v>1.251424920403353</v>
      </c>
      <c r="C121" s="11">
        <v>1.243237718726083</v>
      </c>
      <c r="D121" s="11">
        <v>1.1879569616379391</v>
      </c>
      <c r="E121" s="11">
        <v>1.2204271546368719</v>
      </c>
      <c r="P121" s="1">
        <f>A120</f>
        <v>42576</v>
      </c>
      <c r="Q121" s="14">
        <f>[1]!i_dq_close(Q$2,$P121)</f>
        <v>1926.2298000000001</v>
      </c>
      <c r="R121" s="14">
        <f>[1]!i_dq_close(R$2,$P121)</f>
        <v>3265.1604000000002</v>
      </c>
      <c r="S121" s="14">
        <f>[1]!i_dq_close(S$2,$P121)</f>
        <v>3916.1736999999998</v>
      </c>
      <c r="T121" s="14">
        <f>[1]!i_dq_close(T$2,$P121)</f>
        <v>5752.0137000000004</v>
      </c>
      <c r="U121" s="14">
        <f>[1]!i_dq_close(U$2,$P121)</f>
        <v>8662.0612000000001</v>
      </c>
      <c r="V121" s="14">
        <f>[1]!i_dq_close(V$2,$P121)</f>
        <v>9754.5095999999994</v>
      </c>
      <c r="W121" s="14">
        <f>[1]!i_dq_close(W$2,$P121)</f>
        <v>5175.0068000000001</v>
      </c>
      <c r="X121" s="14">
        <f>[1]!i_dq_close(X$2,$P121)</f>
        <v>6748.6597000000002</v>
      </c>
      <c r="Y121" s="14">
        <f>[1]!i_dq_close(Y$2,$P121)</f>
        <v>6265.3494000000001</v>
      </c>
      <c r="Z121" s="14">
        <f>[1]!i_dq_close(Z$2,$P121)</f>
        <v>2462.6484999999998</v>
      </c>
      <c r="AB121" s="1">
        <v>42576</v>
      </c>
      <c r="AC121">
        <v>1.1435411672310174</v>
      </c>
      <c r="AD121">
        <v>1.2797980456386098</v>
      </c>
      <c r="AE121">
        <v>1.1590072294456699</v>
      </c>
      <c r="AF121">
        <v>1.1892781004015458</v>
      </c>
      <c r="AG121">
        <v>1.2915481059876073</v>
      </c>
      <c r="AH121">
        <v>1.2047376692945306</v>
      </c>
      <c r="AI121">
        <v>1.1091370569255112</v>
      </c>
      <c r="AJ121">
        <v>1.2466557267987917</v>
      </c>
      <c r="AK121">
        <v>1.2444397896142085</v>
      </c>
      <c r="AL121">
        <v>1.0945109795387009</v>
      </c>
    </row>
    <row r="122" spans="1:38" x14ac:dyDescent="0.4">
      <c r="A122" s="10">
        <v>42578</v>
      </c>
      <c r="B122" s="11">
        <v>1.213610560525336</v>
      </c>
      <c r="C122" s="11">
        <v>1.211457975487108</v>
      </c>
      <c r="D122" s="11">
        <v>1.152647850056566</v>
      </c>
      <c r="E122" s="11">
        <v>1.1779520479088841</v>
      </c>
      <c r="P122" s="1">
        <f>A121</f>
        <v>42577</v>
      </c>
      <c r="Q122" s="14">
        <f>[1]!i_dq_close(Q$2,$P122)</f>
        <v>1954.2469000000001</v>
      </c>
      <c r="R122" s="14">
        <f>[1]!i_dq_close(R$2,$P122)</f>
        <v>3310.6601000000001</v>
      </c>
      <c r="S122" s="14">
        <f>[1]!i_dq_close(S$2,$P122)</f>
        <v>3963.5066999999999</v>
      </c>
      <c r="T122" s="14">
        <f>[1]!i_dq_close(T$2,$P122)</f>
        <v>5833.9549999999999</v>
      </c>
      <c r="U122" s="14">
        <f>[1]!i_dq_close(U$2,$P122)</f>
        <v>8830.8624</v>
      </c>
      <c r="V122" s="14">
        <f>[1]!i_dq_close(V$2,$P122)</f>
        <v>9915.3369000000002</v>
      </c>
      <c r="W122" s="14">
        <f>[1]!i_dq_close(W$2,$P122)</f>
        <v>5218.4881999999998</v>
      </c>
      <c r="X122" s="14">
        <f>[1]!i_dq_close(X$2,$P122)</f>
        <v>6822.7718999999997</v>
      </c>
      <c r="Y122" s="14">
        <f>[1]!i_dq_close(Y$2,$P122)</f>
        <v>6330.9615999999996</v>
      </c>
      <c r="Z122" s="14">
        <f>[1]!i_dq_close(Z$2,$P122)</f>
        <v>2487.1325000000002</v>
      </c>
      <c r="AB122" s="1">
        <v>42577</v>
      </c>
      <c r="AC122">
        <v>1.1601740254893771</v>
      </c>
      <c r="AD122">
        <v>1.2976319098301339</v>
      </c>
      <c r="AE122">
        <v>1.1730156196228858</v>
      </c>
      <c r="AF122">
        <v>1.206220166031263</v>
      </c>
      <c r="AG122">
        <v>1.3167170427007806</v>
      </c>
      <c r="AH122">
        <v>1.2246007597528077</v>
      </c>
      <c r="AI122">
        <v>1.1184562392746051</v>
      </c>
      <c r="AJ122">
        <v>1.2603462079702836</v>
      </c>
      <c r="AK122">
        <v>1.2574718532951463</v>
      </c>
      <c r="AL122">
        <v>1.1053927626364617</v>
      </c>
    </row>
    <row r="123" spans="1:38" x14ac:dyDescent="0.4">
      <c r="A123" s="10">
        <v>42579</v>
      </c>
      <c r="B123" s="11">
        <v>1.2156372589068269</v>
      </c>
      <c r="C123" s="11">
        <v>1.217400698315845</v>
      </c>
      <c r="D123" s="11">
        <v>1.152948606488621</v>
      </c>
      <c r="E123" s="11">
        <v>1.177002129067044</v>
      </c>
      <c r="P123" s="1">
        <f>A122</f>
        <v>42578</v>
      </c>
      <c r="Q123" s="14">
        <f>[1]!i_dq_close(Q$2,$P123)</f>
        <v>1893.125</v>
      </c>
      <c r="R123" s="14">
        <f>[1]!i_dq_close(R$2,$P123)</f>
        <v>3173.7860999999998</v>
      </c>
      <c r="S123" s="14">
        <f>[1]!i_dq_close(S$2,$P123)</f>
        <v>3825.1302000000001</v>
      </c>
      <c r="T123" s="14">
        <f>[1]!i_dq_close(T$2,$P123)</f>
        <v>5613.2458999999999</v>
      </c>
      <c r="U123" s="14">
        <f>[1]!i_dq_close(U$2,$P123)</f>
        <v>8593.6787999999997</v>
      </c>
      <c r="V123" s="14">
        <f>[1]!i_dq_close(V$2,$P123)</f>
        <v>9654.7333999999992</v>
      </c>
      <c r="W123" s="14">
        <f>[1]!i_dq_close(W$2,$P123)</f>
        <v>5163.0950000000003</v>
      </c>
      <c r="X123" s="14">
        <f>[1]!i_dq_close(X$2,$P123)</f>
        <v>6487.4186</v>
      </c>
      <c r="Y123" s="14">
        <f>[1]!i_dq_close(Y$2,$P123)</f>
        <v>6048.4171999999999</v>
      </c>
      <c r="Z123" s="14">
        <f>[1]!i_dq_close(Z$2,$P123)</f>
        <v>2446.2244000000001</v>
      </c>
      <c r="AB123" s="1">
        <v>42578</v>
      </c>
      <c r="AC123">
        <v>1.1238879038286189</v>
      </c>
      <c r="AD123">
        <v>1.2439833730848213</v>
      </c>
      <c r="AE123">
        <v>1.1320625424176054</v>
      </c>
      <c r="AF123">
        <v>1.1605866691587965</v>
      </c>
      <c r="AG123">
        <v>1.2813520155694413</v>
      </c>
      <c r="AH123">
        <v>1.1924147385098742</v>
      </c>
      <c r="AI123">
        <v>1.1065840518174435</v>
      </c>
      <c r="AJ123">
        <v>1.1983975943891494</v>
      </c>
      <c r="AK123">
        <v>1.2013521588862961</v>
      </c>
      <c r="AL123">
        <v>1.0872113759700059</v>
      </c>
    </row>
    <row r="124" spans="1:38" x14ac:dyDescent="0.4">
      <c r="A124" s="10">
        <v>42580</v>
      </c>
      <c r="B124" s="11">
        <v>1.210789816347366</v>
      </c>
      <c r="C124" s="11">
        <v>1.212980188661259</v>
      </c>
      <c r="D124" s="11">
        <v>1.147592848619815</v>
      </c>
      <c r="E124" s="11">
        <v>1.1699816329568651</v>
      </c>
      <c r="P124" s="1">
        <f>A123</f>
        <v>42579</v>
      </c>
      <c r="Q124" s="14">
        <f>[1]!i_dq_close(Q$2,$P124)</f>
        <v>1896.8780999999999</v>
      </c>
      <c r="R124" s="14">
        <f>[1]!i_dq_close(R$2,$P124)</f>
        <v>3188.7555000000002</v>
      </c>
      <c r="S124" s="14">
        <f>[1]!i_dq_close(S$2,$P124)</f>
        <v>3836.4650000000001</v>
      </c>
      <c r="T124" s="14">
        <f>[1]!i_dq_close(T$2,$P124)</f>
        <v>5641.7884999999997</v>
      </c>
      <c r="U124" s="14">
        <f>[1]!i_dq_close(U$2,$P124)</f>
        <v>8690.2471000000005</v>
      </c>
      <c r="V124" s="14">
        <f>[1]!i_dq_close(V$2,$P124)</f>
        <v>9714.1985999999997</v>
      </c>
      <c r="W124" s="14">
        <f>[1]!i_dq_close(W$2,$P124)</f>
        <v>5122.3715000000002</v>
      </c>
      <c r="X124" s="14">
        <f>[1]!i_dq_close(X$2,$P124)</f>
        <v>6403.7097000000003</v>
      </c>
      <c r="Y124" s="14">
        <f>[1]!i_dq_close(Y$2,$P124)</f>
        <v>6051.8204999999998</v>
      </c>
      <c r="Z124" s="14">
        <f>[1]!i_dq_close(Z$2,$P124)</f>
        <v>2472.3834999999999</v>
      </c>
      <c r="AB124" s="1">
        <v>42579</v>
      </c>
      <c r="AC124">
        <v>1.1261159995390759</v>
      </c>
      <c r="AD124">
        <v>1.2498507138942907</v>
      </c>
      <c r="AE124">
        <v>1.1354171216959252</v>
      </c>
      <c r="AF124">
        <v>1.1664880961857385</v>
      </c>
      <c r="AG124">
        <v>1.2957507368534058</v>
      </c>
      <c r="AH124">
        <v>1.1997590304722436</v>
      </c>
      <c r="AI124">
        <v>1.0978559583707439</v>
      </c>
      <c r="AJ124">
        <v>1.1829343492104027</v>
      </c>
      <c r="AK124">
        <v>1.2020281310732572</v>
      </c>
      <c r="AL124">
        <v>1.0988376483206279</v>
      </c>
    </row>
    <row r="125" spans="1:38" x14ac:dyDescent="0.4">
      <c r="A125" s="10">
        <v>42583</v>
      </c>
      <c r="B125" s="11">
        <v>1.197798043199197</v>
      </c>
      <c r="C125" s="11">
        <v>1.2008325648454079</v>
      </c>
      <c r="D125" s="11">
        <v>1.135920792087362</v>
      </c>
      <c r="E125" s="11">
        <v>1.157605330373324</v>
      </c>
      <c r="P125" s="1">
        <f>A124</f>
        <v>42580</v>
      </c>
      <c r="Q125" s="14">
        <f>[1]!i_dq_close(Q$2,$P125)</f>
        <v>1889.6049</v>
      </c>
      <c r="R125" s="14">
        <f>[1]!i_dq_close(R$2,$P125)</f>
        <v>3156.7356</v>
      </c>
      <c r="S125" s="14">
        <f>[1]!i_dq_close(S$2,$P125)</f>
        <v>3802.8224</v>
      </c>
      <c r="T125" s="14">
        <f>[1]!i_dq_close(T$2,$P125)</f>
        <v>5611.2170999999998</v>
      </c>
      <c r="U125" s="14">
        <f>[1]!i_dq_close(U$2,$P125)</f>
        <v>8662.7397000000001</v>
      </c>
      <c r="V125" s="14">
        <f>[1]!i_dq_close(V$2,$P125)</f>
        <v>9740.4063999999998</v>
      </c>
      <c r="W125" s="14">
        <f>[1]!i_dq_close(W$2,$P125)</f>
        <v>5100.5738000000001</v>
      </c>
      <c r="X125" s="14">
        <f>[1]!i_dq_close(X$2,$P125)</f>
        <v>6345.1397999999999</v>
      </c>
      <c r="Y125" s="14">
        <f>[1]!i_dq_close(Y$2,$P125)</f>
        <v>5965.3306000000002</v>
      </c>
      <c r="Z125" s="14">
        <f>[1]!i_dq_close(Z$2,$P125)</f>
        <v>2460.6462999999999</v>
      </c>
      <c r="AB125" s="1">
        <v>42580</v>
      </c>
      <c r="AC125">
        <v>1.1217981327832485</v>
      </c>
      <c r="AD125">
        <v>1.2373003333857118</v>
      </c>
      <c r="AE125">
        <v>1.1254604600143077</v>
      </c>
      <c r="AF125">
        <v>1.160167197381444</v>
      </c>
      <c r="AG125">
        <v>1.2916492730620113</v>
      </c>
      <c r="AH125">
        <v>1.2029958435140122</v>
      </c>
      <c r="AI125">
        <v>1.0931841506301734</v>
      </c>
      <c r="AJ125">
        <v>1.172114941431843</v>
      </c>
      <c r="AK125">
        <v>1.184849284996492</v>
      </c>
      <c r="AL125">
        <v>1.0936211124369881</v>
      </c>
    </row>
    <row r="126" spans="1:38" x14ac:dyDescent="0.4">
      <c r="A126" s="10">
        <v>42584</v>
      </c>
      <c r="B126" s="11">
        <v>1.2052356342162249</v>
      </c>
      <c r="C126" s="11">
        <v>1.2075282655295081</v>
      </c>
      <c r="D126" s="11">
        <v>1.142814015377162</v>
      </c>
      <c r="E126" s="11">
        <v>1.1651354243701231</v>
      </c>
      <c r="P126" s="1">
        <f>A125</f>
        <v>42583</v>
      </c>
      <c r="Q126" s="14">
        <f>[1]!i_dq_close(Q$2,$P126)</f>
        <v>1883.7428</v>
      </c>
      <c r="R126" s="14">
        <f>[1]!i_dq_close(R$2,$P126)</f>
        <v>3123.0497999999998</v>
      </c>
      <c r="S126" s="14">
        <f>[1]!i_dq_close(S$2,$P126)</f>
        <v>3746.1001999999999</v>
      </c>
      <c r="T126" s="14">
        <f>[1]!i_dq_close(T$2,$P126)</f>
        <v>5522.2532000000001</v>
      </c>
      <c r="U126" s="14">
        <f>[1]!i_dq_close(U$2,$P126)</f>
        <v>8485.7865000000002</v>
      </c>
      <c r="V126" s="14">
        <f>[1]!i_dq_close(V$2,$P126)</f>
        <v>9549.6432999999997</v>
      </c>
      <c r="W126" s="14">
        <f>[1]!i_dq_close(W$2,$P126)</f>
        <v>5085.7456000000002</v>
      </c>
      <c r="X126" s="14">
        <f>[1]!i_dq_close(X$2,$P126)</f>
        <v>6246.3805000000002</v>
      </c>
      <c r="Y126" s="14">
        <f>[1]!i_dq_close(Y$2,$P126)</f>
        <v>5867.0954000000002</v>
      </c>
      <c r="Z126" s="14">
        <f>[1]!i_dq_close(Z$2,$P126)</f>
        <v>2446.0014999999999</v>
      </c>
      <c r="AB126" s="1">
        <v>42583</v>
      </c>
      <c r="AC126">
        <v>1.1183179910699259</v>
      </c>
      <c r="AD126">
        <v>1.2240969939706638</v>
      </c>
      <c r="AE126">
        <v>1.1086732986404229</v>
      </c>
      <c r="AF126">
        <v>1.1417731490508025</v>
      </c>
      <c r="AG126">
        <v>1.2652648404158362</v>
      </c>
      <c r="AH126">
        <v>1.1794355107135401</v>
      </c>
      <c r="AI126">
        <v>1.0900060859931369</v>
      </c>
      <c r="AJ126">
        <v>1.1538714897847493</v>
      </c>
      <c r="AK126">
        <v>1.1653375572673554</v>
      </c>
      <c r="AL126">
        <v>1.0871123092549067</v>
      </c>
    </row>
    <row r="127" spans="1:38" x14ac:dyDescent="0.4">
      <c r="A127" s="10">
        <v>42585</v>
      </c>
      <c r="B127" s="11">
        <v>1.2098677212482729</v>
      </c>
      <c r="C127" s="11">
        <v>1.2109490793780819</v>
      </c>
      <c r="D127" s="11">
        <v>1.1453307914431179</v>
      </c>
      <c r="E127" s="11">
        <v>1.16828545197346</v>
      </c>
      <c r="P127" s="1">
        <f>A126</f>
        <v>42584</v>
      </c>
      <c r="Q127" s="14">
        <f>[1]!i_dq_close(Q$2,$P127)</f>
        <v>1894.981</v>
      </c>
      <c r="R127" s="14">
        <f>[1]!i_dq_close(R$2,$P127)</f>
        <v>3146.8634999999999</v>
      </c>
      <c r="S127" s="14">
        <f>[1]!i_dq_close(S$2,$P127)</f>
        <v>3785.7363</v>
      </c>
      <c r="T127" s="14">
        <f>[1]!i_dq_close(T$2,$P127)</f>
        <v>5560.2521999999999</v>
      </c>
      <c r="U127" s="14">
        <f>[1]!i_dq_close(U$2,$P127)</f>
        <v>8510.8819000000003</v>
      </c>
      <c r="V127" s="14">
        <f>[1]!i_dq_close(V$2,$P127)</f>
        <v>9623.1337999999996</v>
      </c>
      <c r="W127" s="14">
        <f>[1]!i_dq_close(W$2,$P127)</f>
        <v>5103.8441999999995</v>
      </c>
      <c r="X127" s="14">
        <f>[1]!i_dq_close(X$2,$P127)</f>
        <v>6292.6891999999998</v>
      </c>
      <c r="Y127" s="14">
        <f>[1]!i_dq_close(Y$2,$P127)</f>
        <v>5950.2007999999996</v>
      </c>
      <c r="Z127" s="14">
        <f>[1]!i_dq_close(Z$2,$P127)</f>
        <v>2457.6383000000001</v>
      </c>
      <c r="AB127" s="1">
        <v>42584</v>
      </c>
      <c r="AC127">
        <v>1.1249897518045877</v>
      </c>
      <c r="AD127">
        <v>1.2334309080777395</v>
      </c>
      <c r="AE127">
        <v>1.1204037605571227</v>
      </c>
      <c r="AF127">
        <v>1.149629767774982</v>
      </c>
      <c r="AG127">
        <v>1.2690066653222456</v>
      </c>
      <c r="AH127">
        <v>1.1885120073613358</v>
      </c>
      <c r="AI127">
        <v>1.0938850814639198</v>
      </c>
      <c r="AJ127">
        <v>1.1624259300176161</v>
      </c>
      <c r="AK127">
        <v>1.1818441652614449</v>
      </c>
      <c r="AL127">
        <v>1.0922842228945089</v>
      </c>
    </row>
    <row r="128" spans="1:38" x14ac:dyDescent="0.4">
      <c r="A128" s="10">
        <v>42586</v>
      </c>
      <c r="B128" s="11">
        <v>1.2149199702031359</v>
      </c>
      <c r="C128" s="11">
        <v>1.214368958314616</v>
      </c>
      <c r="D128" s="11">
        <v>1.1492542791212981</v>
      </c>
      <c r="E128" s="11">
        <v>1.1744204701755441</v>
      </c>
      <c r="P128" s="1">
        <f>A127</f>
        <v>42585</v>
      </c>
      <c r="Q128" s="14">
        <f>[1]!i_dq_close(Q$2,$P128)</f>
        <v>1895.9257</v>
      </c>
      <c r="R128" s="14">
        <f>[1]!i_dq_close(R$2,$P128)</f>
        <v>3162.8501999999999</v>
      </c>
      <c r="S128" s="14">
        <f>[1]!i_dq_close(S$2,$P128)</f>
        <v>3803.2017999999998</v>
      </c>
      <c r="T128" s="14">
        <f>[1]!i_dq_close(T$2,$P128)</f>
        <v>5575.6655000000001</v>
      </c>
      <c r="U128" s="14">
        <f>[1]!i_dq_close(U$2,$P128)</f>
        <v>8552.3564000000006</v>
      </c>
      <c r="V128" s="14">
        <f>[1]!i_dq_close(V$2,$P128)</f>
        <v>9648.5429999999997</v>
      </c>
      <c r="W128" s="14">
        <f>[1]!i_dq_close(W$2,$P128)</f>
        <v>5107.5796</v>
      </c>
      <c r="X128" s="14">
        <f>[1]!i_dq_close(X$2,$P128)</f>
        <v>6314.6707999999999</v>
      </c>
      <c r="Y128" s="14">
        <f>[1]!i_dq_close(Y$2,$P128)</f>
        <v>5953.7903999999999</v>
      </c>
      <c r="Z128" s="14">
        <f>[1]!i_dq_close(Z$2,$P128)</f>
        <v>2461.7847000000002</v>
      </c>
      <c r="AB128" s="1">
        <v>42585</v>
      </c>
      <c r="AC128">
        <v>1.1255505900496834</v>
      </c>
      <c r="AD128">
        <v>1.239696985363318</v>
      </c>
      <c r="AE128">
        <v>1.1255727449578614</v>
      </c>
      <c r="AF128">
        <v>1.1528165995700661</v>
      </c>
      <c r="AG128">
        <v>1.2751906798062096</v>
      </c>
      <c r="AH128">
        <v>1.1916501887401965</v>
      </c>
      <c r="AI128">
        <v>1.0946856737573329</v>
      </c>
      <c r="AJ128">
        <v>1.1664865122283623</v>
      </c>
      <c r="AK128">
        <v>1.182557140832895</v>
      </c>
      <c r="AL128">
        <v>1.0941270682399</v>
      </c>
    </row>
    <row r="129" spans="1:38" x14ac:dyDescent="0.4">
      <c r="A129" s="10">
        <v>42587</v>
      </c>
      <c r="B129" s="11">
        <v>1.210174737511468</v>
      </c>
      <c r="C129" s="11">
        <v>1.21017691844086</v>
      </c>
      <c r="D129" s="11">
        <v>1.145127807494134</v>
      </c>
      <c r="E129" s="11">
        <v>1.1681246810160091</v>
      </c>
      <c r="P129" s="1">
        <f>A128</f>
        <v>42586</v>
      </c>
      <c r="Q129" s="14">
        <f>[1]!i_dq_close(Q$2,$P129)</f>
        <v>1899.2737999999999</v>
      </c>
      <c r="R129" s="14">
        <f>[1]!i_dq_close(R$2,$P129)</f>
        <v>3179.4151000000002</v>
      </c>
      <c r="S129" s="14">
        <f>[1]!i_dq_close(S$2,$P129)</f>
        <v>3820.8002999999999</v>
      </c>
      <c r="T129" s="14">
        <f>[1]!i_dq_close(T$2,$P129)</f>
        <v>5599.7754999999997</v>
      </c>
      <c r="U129" s="14">
        <f>[1]!i_dq_close(U$2,$P129)</f>
        <v>8548.5274000000009</v>
      </c>
      <c r="V129" s="14">
        <f>[1]!i_dq_close(V$2,$P129)</f>
        <v>9651.6296000000002</v>
      </c>
      <c r="W129" s="14">
        <f>[1]!i_dq_close(W$2,$P129)</f>
        <v>5133.6642000000002</v>
      </c>
      <c r="X129" s="14">
        <f>[1]!i_dq_close(X$2,$P129)</f>
        <v>6387.8690999999999</v>
      </c>
      <c r="Y129" s="14">
        <f>[1]!i_dq_close(Y$2,$P129)</f>
        <v>5997.2574999999997</v>
      </c>
      <c r="Z129" s="14">
        <f>[1]!i_dq_close(Z$2,$P129)</f>
        <v>2464.8564000000001</v>
      </c>
      <c r="AB129" s="1">
        <v>42586</v>
      </c>
      <c r="AC129">
        <v>1.1275382501834879</v>
      </c>
      <c r="AD129">
        <v>1.2461896914019552</v>
      </c>
      <c r="AE129">
        <v>1.1307810912391818</v>
      </c>
      <c r="AF129">
        <v>1.1578015485803026</v>
      </c>
      <c r="AG129">
        <v>1.2746197605314964</v>
      </c>
      <c r="AH129">
        <v>1.1920314014758981</v>
      </c>
      <c r="AI129">
        <v>1.1002762744257377</v>
      </c>
      <c r="AJ129">
        <v>1.1800081719272408</v>
      </c>
      <c r="AK129">
        <v>1.1911906878748428</v>
      </c>
      <c r="AL129">
        <v>1.0954922689073314</v>
      </c>
    </row>
    <row r="130" spans="1:38" x14ac:dyDescent="0.4">
      <c r="A130" s="10">
        <v>42590</v>
      </c>
      <c r="B130" s="11">
        <v>1.2195016221882331</v>
      </c>
      <c r="C130" s="11">
        <v>1.2206650589087411</v>
      </c>
      <c r="D130" s="11">
        <v>1.153768050189458</v>
      </c>
      <c r="E130" s="11">
        <v>1.1761777118440671</v>
      </c>
      <c r="P130" s="1">
        <f>A129</f>
        <v>42587</v>
      </c>
      <c r="Q130" s="14">
        <f>[1]!i_dq_close(Q$2,$P130)</f>
        <v>1894.2759000000001</v>
      </c>
      <c r="R130" s="14">
        <f>[1]!i_dq_close(R$2,$P130)</f>
        <v>3169.1091000000001</v>
      </c>
      <c r="S130" s="14">
        <f>[1]!i_dq_close(S$2,$P130)</f>
        <v>3800.9315000000001</v>
      </c>
      <c r="T130" s="14">
        <f>[1]!i_dq_close(T$2,$P130)</f>
        <v>5569.0897999999997</v>
      </c>
      <c r="U130" s="14">
        <f>[1]!i_dq_close(U$2,$P130)</f>
        <v>8537.2330000000002</v>
      </c>
      <c r="V130" s="14">
        <f>[1]!i_dq_close(V$2,$P130)</f>
        <v>9617.8055000000004</v>
      </c>
      <c r="W130" s="14">
        <f>[1]!i_dq_close(W$2,$P130)</f>
        <v>5165.9642000000003</v>
      </c>
      <c r="X130" s="14">
        <f>[1]!i_dq_close(X$2,$P130)</f>
        <v>6337.6048000000001</v>
      </c>
      <c r="Y130" s="14">
        <f>[1]!i_dq_close(Y$2,$P130)</f>
        <v>5955.5794999999998</v>
      </c>
      <c r="Z130" s="14">
        <f>[1]!i_dq_close(Z$2,$P130)</f>
        <v>2455.4665</v>
      </c>
      <c r="AB130" s="1">
        <v>42587</v>
      </c>
      <c r="AC130">
        <v>1.124571156433976</v>
      </c>
      <c r="AD130">
        <v>1.2421501965402781</v>
      </c>
      <c r="AE130">
        <v>1.1249008406158731</v>
      </c>
      <c r="AF130">
        <v>1.1514570172719902</v>
      </c>
      <c r="AG130">
        <v>1.2729357201407094</v>
      </c>
      <c r="AH130">
        <v>1.1878539318673815</v>
      </c>
      <c r="AI130">
        <v>1.1071989951724417</v>
      </c>
      <c r="AJ130">
        <v>1.1707230278787817</v>
      </c>
      <c r="AK130">
        <v>1.1829124964699802</v>
      </c>
      <c r="AL130">
        <v>1.0913189779781669</v>
      </c>
    </row>
    <row r="131" spans="1:38" x14ac:dyDescent="0.4">
      <c r="A131" s="10">
        <v>42591</v>
      </c>
      <c r="B131" s="11">
        <v>1.2284528967450179</v>
      </c>
      <c r="C131" s="11">
        <v>1.2294706041035659</v>
      </c>
      <c r="D131" s="11">
        <v>1.162162465981905</v>
      </c>
      <c r="E131" s="11">
        <v>1.1849680073086839</v>
      </c>
      <c r="P131" s="1">
        <f>A130</f>
        <v>42590</v>
      </c>
      <c r="Q131" s="14">
        <f>[1]!i_dq_close(Q$2,$P131)</f>
        <v>1951.0613000000001</v>
      </c>
      <c r="R131" s="14">
        <f>[1]!i_dq_close(R$2,$P131)</f>
        <v>3193.2049000000002</v>
      </c>
      <c r="S131" s="14">
        <f>[1]!i_dq_close(S$2,$P131)</f>
        <v>3855.7631000000001</v>
      </c>
      <c r="T131" s="14">
        <f>[1]!i_dq_close(T$2,$P131)</f>
        <v>5627.6139000000003</v>
      </c>
      <c r="U131" s="14">
        <f>[1]!i_dq_close(U$2,$P131)</f>
        <v>8607.4994999999999</v>
      </c>
      <c r="V131" s="14">
        <f>[1]!i_dq_close(V$2,$P131)</f>
        <v>9712.0156999999999</v>
      </c>
      <c r="W131" s="14">
        <f>[1]!i_dq_close(W$2,$P131)</f>
        <v>5204.8670000000002</v>
      </c>
      <c r="X131" s="14">
        <f>[1]!i_dq_close(X$2,$P131)</f>
        <v>6413.8948</v>
      </c>
      <c r="Y131" s="14">
        <f>[1]!i_dq_close(Y$2,$P131)</f>
        <v>6049.7383</v>
      </c>
      <c r="Z131" s="14">
        <f>[1]!i_dq_close(Z$2,$P131)</f>
        <v>2482.5947999999999</v>
      </c>
      <c r="AB131" s="1">
        <v>42590</v>
      </c>
      <c r="AC131">
        <v>1.1582828364202788</v>
      </c>
      <c r="AD131">
        <v>1.2515946813343786</v>
      </c>
      <c r="AE131">
        <v>1.1411284713775203</v>
      </c>
      <c r="AF131">
        <v>1.1635573762255356</v>
      </c>
      <c r="AG131">
        <v>1.283412737434166</v>
      </c>
      <c r="AH131">
        <v>1.1994894298499525</v>
      </c>
      <c r="AI131">
        <v>1.1155368657812614</v>
      </c>
      <c r="AJ131">
        <v>1.1848158062414955</v>
      </c>
      <c r="AK131">
        <v>1.2016145591613805</v>
      </c>
      <c r="AL131">
        <v>1.1033760060949362</v>
      </c>
    </row>
    <row r="132" spans="1:38" x14ac:dyDescent="0.4">
      <c r="A132" s="10">
        <v>42592</v>
      </c>
      <c r="B132" s="11">
        <v>1.225041858467518</v>
      </c>
      <c r="C132" s="11">
        <v>1.22640104814145</v>
      </c>
      <c r="D132" s="11">
        <v>1.159858384868693</v>
      </c>
      <c r="E132" s="11">
        <v>1.182748930226561</v>
      </c>
      <c r="P132" s="1">
        <f>A131</f>
        <v>42591</v>
      </c>
      <c r="Q132" s="14">
        <f>[1]!i_dq_close(Q$2,$P132)</f>
        <v>1959.6423</v>
      </c>
      <c r="R132" s="14">
        <f>[1]!i_dq_close(R$2,$P132)</f>
        <v>3221.703</v>
      </c>
      <c r="S132" s="14">
        <f>[1]!i_dq_close(S$2,$P132)</f>
        <v>3894.8919000000001</v>
      </c>
      <c r="T132" s="14">
        <f>[1]!i_dq_close(T$2,$P132)</f>
        <v>5678.2566999999999</v>
      </c>
      <c r="U132" s="14">
        <f>[1]!i_dq_close(U$2,$P132)</f>
        <v>8707.6929</v>
      </c>
      <c r="V132" s="14">
        <f>[1]!i_dq_close(V$2,$P132)</f>
        <v>9804.9969000000001</v>
      </c>
      <c r="W132" s="14">
        <f>[1]!i_dq_close(W$2,$P132)</f>
        <v>5229.3281999999999</v>
      </c>
      <c r="X132" s="14">
        <f>[1]!i_dq_close(X$2,$P132)</f>
        <v>6483.3968000000004</v>
      </c>
      <c r="Y132" s="14">
        <f>[1]!i_dq_close(Y$2,$P132)</f>
        <v>6104.8563000000004</v>
      </c>
      <c r="Z132" s="14">
        <f>[1]!i_dq_close(Z$2,$P132)</f>
        <v>2501.1320999999998</v>
      </c>
      <c r="AB132" s="1">
        <v>42591</v>
      </c>
      <c r="AC132">
        <v>1.1633771023048629</v>
      </c>
      <c r="AD132">
        <v>1.262764672457759</v>
      </c>
      <c r="AE132">
        <v>1.1527087958354301</v>
      </c>
      <c r="AF132">
        <v>1.1740282088981029</v>
      </c>
      <c r="AG132">
        <v>1.2983519756841171</v>
      </c>
      <c r="AH132">
        <v>1.2109731393104681</v>
      </c>
      <c r="AI132">
        <v>1.1207795300762853</v>
      </c>
      <c r="AJ132">
        <v>1.197654661684743</v>
      </c>
      <c r="AK132">
        <v>1.2125622378852448</v>
      </c>
      <c r="AL132">
        <v>1.1116148101227961</v>
      </c>
    </row>
    <row r="133" spans="1:38" x14ac:dyDescent="0.4">
      <c r="A133" s="10">
        <v>42593</v>
      </c>
      <c r="B133" s="11">
        <v>1.2117030836921241</v>
      </c>
      <c r="C133" s="11">
        <v>1.213355056456157</v>
      </c>
      <c r="D133" s="11">
        <v>1.147722647865111</v>
      </c>
      <c r="E133" s="11">
        <v>1.1665423693428529</v>
      </c>
      <c r="P133" s="1">
        <f>A132</f>
        <v>42592</v>
      </c>
      <c r="Q133" s="14">
        <f>[1]!i_dq_close(Q$2,$P133)</f>
        <v>1964.2239999999999</v>
      </c>
      <c r="R133" s="14">
        <f>[1]!i_dq_close(R$2,$P133)</f>
        <v>3233.7851000000001</v>
      </c>
      <c r="S133" s="14">
        <f>[1]!i_dq_close(S$2,$P133)</f>
        <v>3873.3977</v>
      </c>
      <c r="T133" s="14">
        <f>[1]!i_dq_close(T$2,$P133)</f>
        <v>5650.152</v>
      </c>
      <c r="U133" s="14">
        <f>[1]!i_dq_close(U$2,$P133)</f>
        <v>8639.3971999999994</v>
      </c>
      <c r="V133" s="14">
        <f>[1]!i_dq_close(V$2,$P133)</f>
        <v>9786.0159000000003</v>
      </c>
      <c r="W133" s="14">
        <f>[1]!i_dq_close(W$2,$P133)</f>
        <v>5207.6126000000004</v>
      </c>
      <c r="X133" s="14">
        <f>[1]!i_dq_close(X$2,$P133)</f>
        <v>6447.4697999999999</v>
      </c>
      <c r="Y133" s="14">
        <f>[1]!i_dq_close(Y$2,$P133)</f>
        <v>6078.9470000000001</v>
      </c>
      <c r="Z133" s="14">
        <f>[1]!i_dq_close(Z$2,$P133)</f>
        <v>2496.1916999999999</v>
      </c>
      <c r="AB133" s="1">
        <v>42592</v>
      </c>
      <c r="AC133">
        <v>1.1660971113951086</v>
      </c>
      <c r="AD133">
        <v>1.2675003197378163</v>
      </c>
      <c r="AE133">
        <v>1.1463475015978555</v>
      </c>
      <c r="AF133">
        <v>1.1682173214469211</v>
      </c>
      <c r="AG133">
        <v>1.2881688125840807</v>
      </c>
      <c r="AH133">
        <v>1.2086288773599874</v>
      </c>
      <c r="AI133">
        <v>1.1161253184773032</v>
      </c>
      <c r="AJ133">
        <v>1.1910179956965765</v>
      </c>
      <c r="AK133">
        <v>1.207416066174366</v>
      </c>
      <c r="AL133">
        <v>1.1094190757159925</v>
      </c>
    </row>
    <row r="134" spans="1:38" x14ac:dyDescent="0.4">
      <c r="A134" s="10">
        <v>42594</v>
      </c>
      <c r="B134" s="11">
        <v>1.222234483854586</v>
      </c>
      <c r="C134" s="11">
        <v>1.2232829428788701</v>
      </c>
      <c r="D134" s="11">
        <v>1.1555343014774619</v>
      </c>
      <c r="E134" s="11">
        <v>1.1744500533516249</v>
      </c>
      <c r="P134" s="1">
        <f>A133</f>
        <v>42593</v>
      </c>
      <c r="Q134" s="14">
        <f>[1]!i_dq_close(Q$2,$P134)</f>
        <v>1939.5337999999999</v>
      </c>
      <c r="R134" s="14">
        <f>[1]!i_dq_close(R$2,$P134)</f>
        <v>3177.2321000000002</v>
      </c>
      <c r="S134" s="14">
        <f>[1]!i_dq_close(S$2,$P134)</f>
        <v>3820.5711999999999</v>
      </c>
      <c r="T134" s="14">
        <f>[1]!i_dq_close(T$2,$P134)</f>
        <v>5588.1881000000003</v>
      </c>
      <c r="U134" s="14">
        <f>[1]!i_dq_close(U$2,$P134)</f>
        <v>8587.7847999999994</v>
      </c>
      <c r="V134" s="14">
        <f>[1]!i_dq_close(V$2,$P134)</f>
        <v>9677.5316999999995</v>
      </c>
      <c r="W134" s="14">
        <f>[1]!i_dq_close(W$2,$P134)</f>
        <v>5224.3822</v>
      </c>
      <c r="X134" s="14">
        <f>[1]!i_dq_close(X$2,$P134)</f>
        <v>6335.3137999999999</v>
      </c>
      <c r="Y134" s="14">
        <f>[1]!i_dq_close(Y$2,$P134)</f>
        <v>6012.3729999999996</v>
      </c>
      <c r="Z134" s="14">
        <f>[1]!i_dq_close(Z$2,$P134)</f>
        <v>2477.5079999999998</v>
      </c>
      <c r="AB134" s="1">
        <v>42593</v>
      </c>
      <c r="AC134">
        <v>1.1514393275070351</v>
      </c>
      <c r="AD134">
        <v>1.2453340522322442</v>
      </c>
      <c r="AE134">
        <v>1.1307132881802251</v>
      </c>
      <c r="AF134">
        <v>1.1554057543803353</v>
      </c>
      <c r="AG134">
        <v>1.2804731965030633</v>
      </c>
      <c r="AH134">
        <v>1.195230458821009</v>
      </c>
      <c r="AI134">
        <v>1.1197194750665889</v>
      </c>
      <c r="AJ134">
        <v>1.1702998196571408</v>
      </c>
      <c r="AK134">
        <v>1.1941929673071621</v>
      </c>
      <c r="AL134">
        <v>1.1011152049896558</v>
      </c>
    </row>
    <row r="135" spans="1:38" x14ac:dyDescent="0.4">
      <c r="A135" s="10">
        <v>42597</v>
      </c>
      <c r="B135" s="11">
        <v>1.2459745381225109</v>
      </c>
      <c r="C135" s="11">
        <v>1.245525711534246</v>
      </c>
      <c r="D135" s="11">
        <v>1.175385138288018</v>
      </c>
      <c r="E135" s="11">
        <v>1.197048970530423</v>
      </c>
      <c r="P135" s="1">
        <f>A134</f>
        <v>42594</v>
      </c>
      <c r="Q135" s="14">
        <f>[1]!i_dq_close(Q$2,$P135)</f>
        <v>1960.6891000000001</v>
      </c>
      <c r="R135" s="14">
        <f>[1]!i_dq_close(R$2,$P135)</f>
        <v>3202.6970000000001</v>
      </c>
      <c r="S135" s="14">
        <f>[1]!i_dq_close(S$2,$P135)</f>
        <v>3864.7420999999999</v>
      </c>
      <c r="T135" s="14">
        <f>[1]!i_dq_close(T$2,$P135)</f>
        <v>5642.5317999999997</v>
      </c>
      <c r="U135" s="14">
        <f>[1]!i_dq_close(U$2,$P135)</f>
        <v>8640.4421999999995</v>
      </c>
      <c r="V135" s="14">
        <f>[1]!i_dq_close(V$2,$P135)</f>
        <v>9756.7764999999999</v>
      </c>
      <c r="W135" s="14">
        <f>[1]!i_dq_close(W$2,$P135)</f>
        <v>5383.3985000000002</v>
      </c>
      <c r="X135" s="14">
        <f>[1]!i_dq_close(X$2,$P135)</f>
        <v>6392.1656999999996</v>
      </c>
      <c r="Y135" s="14">
        <f>[1]!i_dq_close(Y$2,$P135)</f>
        <v>6071.02</v>
      </c>
      <c r="Z135" s="14">
        <f>[1]!i_dq_close(Z$2,$P135)</f>
        <v>2516.8420999999998</v>
      </c>
      <c r="AB135" s="1">
        <v>42594</v>
      </c>
      <c r="AC135">
        <v>1.1639985540619988</v>
      </c>
      <c r="AD135">
        <v>1.2553151634978295</v>
      </c>
      <c r="AE135">
        <v>1.1437858422477634</v>
      </c>
      <c r="AF135">
        <v>1.1666417798273523</v>
      </c>
      <c r="AG135">
        <v>1.2883246262801045</v>
      </c>
      <c r="AH135">
        <v>1.2050176443967668</v>
      </c>
      <c r="AI135">
        <v>1.1538007580100593</v>
      </c>
      <c r="AJ135">
        <v>1.1808018674510741</v>
      </c>
      <c r="AK135">
        <v>1.205841585074833</v>
      </c>
      <c r="AL135">
        <v>1.1185970357585506</v>
      </c>
    </row>
    <row r="136" spans="1:38" x14ac:dyDescent="0.4">
      <c r="A136" s="10">
        <v>42598</v>
      </c>
      <c r="B136" s="11">
        <v>1.249397577192032</v>
      </c>
      <c r="C136" s="11">
        <v>1.248294953284415</v>
      </c>
      <c r="D136" s="11">
        <v>1.1779555924436891</v>
      </c>
      <c r="E136" s="11">
        <v>1.202234284025002</v>
      </c>
      <c r="P136" s="1">
        <f>A135</f>
        <v>42597</v>
      </c>
      <c r="Q136" s="14">
        <f>[1]!i_dq_close(Q$2,$P136)</f>
        <v>1997.4282000000001</v>
      </c>
      <c r="R136" s="14">
        <f>[1]!i_dq_close(R$2,$P136)</f>
        <v>3260.7627000000002</v>
      </c>
      <c r="S136" s="14">
        <f>[1]!i_dq_close(S$2,$P136)</f>
        <v>3956.8330999999998</v>
      </c>
      <c r="T136" s="14">
        <f>[1]!i_dq_close(T$2,$P136)</f>
        <v>5764.7610999999997</v>
      </c>
      <c r="U136" s="14">
        <f>[1]!i_dq_close(U$2,$P136)</f>
        <v>8784.2957999999999</v>
      </c>
      <c r="V136" s="14">
        <f>[1]!i_dq_close(V$2,$P136)</f>
        <v>9942.4958999999999</v>
      </c>
      <c r="W136" s="14">
        <f>[1]!i_dq_close(W$2,$P136)</f>
        <v>5594.9556000000002</v>
      </c>
      <c r="X136" s="14">
        <f>[1]!i_dq_close(X$2,$P136)</f>
        <v>6580.4528</v>
      </c>
      <c r="Y136" s="14">
        <f>[1]!i_dq_close(Y$2,$P136)</f>
        <v>6199.6884</v>
      </c>
      <c r="Z136" s="14">
        <f>[1]!i_dq_close(Z$2,$P136)</f>
        <v>2565.875</v>
      </c>
      <c r="AB136" s="1">
        <v>42597</v>
      </c>
      <c r="AC136">
        <v>1.185809385405703</v>
      </c>
      <c r="AD136">
        <v>1.2780743423052896</v>
      </c>
      <c r="AE136">
        <v>1.1710405410796567</v>
      </c>
      <c r="AF136">
        <v>1.1919137345373021</v>
      </c>
      <c r="AG136">
        <v>1.3097737756603351</v>
      </c>
      <c r="AH136">
        <v>1.2279550514293847</v>
      </c>
      <c r="AI136">
        <v>1.1991428857277846</v>
      </c>
      <c r="AJ136">
        <v>1.2155834688255422</v>
      </c>
      <c r="AK136">
        <v>1.2313980331519339</v>
      </c>
      <c r="AL136">
        <v>1.1403894464126183</v>
      </c>
    </row>
    <row r="137" spans="1:38" x14ac:dyDescent="0.4">
      <c r="A137" s="10">
        <v>42599</v>
      </c>
      <c r="B137" s="11">
        <v>1.2510027338501</v>
      </c>
      <c r="C137" s="11">
        <v>1.2503090724053341</v>
      </c>
      <c r="D137" s="11">
        <v>1.179838750201361</v>
      </c>
      <c r="E137" s="11">
        <v>1.204604588984004</v>
      </c>
      <c r="P137" s="1">
        <f>A136</f>
        <v>42598</v>
      </c>
      <c r="Q137" s="14">
        <f>[1]!i_dq_close(Q$2,$P137)</f>
        <v>2020.2802999999999</v>
      </c>
      <c r="R137" s="14">
        <f>[1]!i_dq_close(R$2,$P137)</f>
        <v>3285.1278000000002</v>
      </c>
      <c r="S137" s="14">
        <f>[1]!i_dq_close(S$2,$P137)</f>
        <v>3980.9461000000001</v>
      </c>
      <c r="T137" s="14">
        <f>[1]!i_dq_close(T$2,$P137)</f>
        <v>5782.8522999999996</v>
      </c>
      <c r="U137" s="14">
        <f>[1]!i_dq_close(U$2,$P137)</f>
        <v>8768.1306999999997</v>
      </c>
      <c r="V137" s="14">
        <f>[1]!i_dq_close(V$2,$P137)</f>
        <v>9978.9177999999993</v>
      </c>
      <c r="W137" s="14">
        <f>[1]!i_dq_close(W$2,$P137)</f>
        <v>5547.6868999999997</v>
      </c>
      <c r="X137" s="14">
        <f>[1]!i_dq_close(X$2,$P137)</f>
        <v>6598.4974000000002</v>
      </c>
      <c r="Y137" s="14">
        <f>[1]!i_dq_close(Y$2,$P137)</f>
        <v>6215.1768000000002</v>
      </c>
      <c r="Z137" s="14">
        <f>[1]!i_dq_close(Z$2,$P137)</f>
        <v>2561.0491999999999</v>
      </c>
      <c r="AB137" s="1">
        <v>42598</v>
      </c>
      <c r="AC137">
        <v>1.1993759479766277</v>
      </c>
      <c r="AD137">
        <v>1.2876243807541785</v>
      </c>
      <c r="AE137">
        <v>1.1781768796245031</v>
      </c>
      <c r="AF137">
        <v>1.1956542450944978</v>
      </c>
      <c r="AG137">
        <v>1.3073634943420618</v>
      </c>
      <c r="AH137">
        <v>1.2324533641807789</v>
      </c>
      <c r="AI137">
        <v>1.1890119875804246</v>
      </c>
      <c r="AJ137">
        <v>1.2189167831320546</v>
      </c>
      <c r="AK137">
        <v>1.2344743789400014</v>
      </c>
      <c r="AL137">
        <v>1.1382446453640487</v>
      </c>
    </row>
    <row r="138" spans="1:38" x14ac:dyDescent="0.4">
      <c r="A138" s="10">
        <v>42600</v>
      </c>
      <c r="B138" s="11">
        <v>1.248273925168683</v>
      </c>
      <c r="C138" s="11">
        <v>1.246127248011484</v>
      </c>
      <c r="D138" s="11">
        <v>1.1768631348362699</v>
      </c>
      <c r="E138" s="11">
        <v>1.200692968480038</v>
      </c>
      <c r="P138" s="1">
        <f>A137</f>
        <v>42599</v>
      </c>
      <c r="Q138" s="14">
        <f>[1]!i_dq_close(Q$2,$P138)</f>
        <v>2011.6913</v>
      </c>
      <c r="R138" s="14">
        <f>[1]!i_dq_close(R$2,$P138)</f>
        <v>3295.6138999999998</v>
      </c>
      <c r="S138" s="14">
        <f>[1]!i_dq_close(S$2,$P138)</f>
        <v>3995.6143999999999</v>
      </c>
      <c r="T138" s="14">
        <f>[1]!i_dq_close(T$2,$P138)</f>
        <v>5814.2250999999997</v>
      </c>
      <c r="U138" s="14">
        <f>[1]!i_dq_close(U$2,$P138)</f>
        <v>8779.3340000000007</v>
      </c>
      <c r="V138" s="14">
        <f>[1]!i_dq_close(V$2,$P138)</f>
        <v>9993.0967000000001</v>
      </c>
      <c r="W138" s="14">
        <f>[1]!i_dq_close(W$2,$P138)</f>
        <v>5510.6127999999999</v>
      </c>
      <c r="X138" s="14">
        <f>[1]!i_dq_close(X$2,$P138)</f>
        <v>6626.3276999999998</v>
      </c>
      <c r="Y138" s="14">
        <f>[1]!i_dq_close(Y$2,$P138)</f>
        <v>6236.0780999999997</v>
      </c>
      <c r="Z138" s="14">
        <f>[1]!i_dq_close(Z$2,$P138)</f>
        <v>2567.8789999999999</v>
      </c>
      <c r="AB138" s="1">
        <v>42599</v>
      </c>
      <c r="AC138">
        <v>1.1942769327473195</v>
      </c>
      <c r="AD138">
        <v>1.2917344668272457</v>
      </c>
      <c r="AE138">
        <v>1.1825180215262725</v>
      </c>
      <c r="AF138">
        <v>1.2021408402130522</v>
      </c>
      <c r="AG138">
        <v>1.3090339513570517</v>
      </c>
      <c r="AH138">
        <v>1.2342045393438197</v>
      </c>
      <c r="AI138">
        <v>1.1810660544152425</v>
      </c>
      <c r="AJ138">
        <v>1.2240577747386587</v>
      </c>
      <c r="AK138">
        <v>1.2386258488284425</v>
      </c>
      <c r="AL138">
        <v>1.1412801135147221</v>
      </c>
    </row>
    <row r="139" spans="1:38" x14ac:dyDescent="0.4">
      <c r="A139" s="10">
        <v>42601</v>
      </c>
      <c r="B139" s="11">
        <v>1.249360104374877</v>
      </c>
      <c r="C139" s="11">
        <v>1.246742010089096</v>
      </c>
      <c r="D139" s="11">
        <v>1.1778176874539581</v>
      </c>
      <c r="E139" s="11">
        <v>1.201168463894198</v>
      </c>
      <c r="P139" s="1">
        <f>A138</f>
        <v>42600</v>
      </c>
      <c r="Q139" s="14">
        <f>[1]!i_dq_close(Q$2,$P139)</f>
        <v>1997.854</v>
      </c>
      <c r="R139" s="14">
        <f>[1]!i_dq_close(R$2,$P139)</f>
        <v>3291.2559000000001</v>
      </c>
      <c r="S139" s="14">
        <f>[1]!i_dq_close(S$2,$P139)</f>
        <v>3995.8254999999999</v>
      </c>
      <c r="T139" s="14">
        <f>[1]!i_dq_close(T$2,$P139)</f>
        <v>5805.4996000000001</v>
      </c>
      <c r="U139" s="14">
        <f>[1]!i_dq_close(U$2,$P139)</f>
        <v>8728.6936999999998</v>
      </c>
      <c r="V139" s="14">
        <f>[1]!i_dq_close(V$2,$P139)</f>
        <v>9949.7916000000005</v>
      </c>
      <c r="W139" s="14">
        <f>[1]!i_dq_close(W$2,$P139)</f>
        <v>5514.1139000000003</v>
      </c>
      <c r="X139" s="14">
        <f>[1]!i_dq_close(X$2,$P139)</f>
        <v>6608.6243000000004</v>
      </c>
      <c r="Y139" s="14">
        <f>[1]!i_dq_close(Y$2,$P139)</f>
        <v>6251.4844000000003</v>
      </c>
      <c r="Z139" s="14">
        <f>[1]!i_dq_close(Z$2,$P139)</f>
        <v>2567.0626000000002</v>
      </c>
      <c r="AB139" s="1">
        <v>42600</v>
      </c>
      <c r="AC139">
        <v>1.1860621692786382</v>
      </c>
      <c r="AD139">
        <v>1.2900263241329717</v>
      </c>
      <c r="AE139">
        <v>1.1825804974134213</v>
      </c>
      <c r="AF139">
        <v>1.2003367683512183</v>
      </c>
      <c r="AG139">
        <v>1.3014832792893405</v>
      </c>
      <c r="AH139">
        <v>1.228856112064342</v>
      </c>
      <c r="AI139">
        <v>1.1818164301925271</v>
      </c>
      <c r="AJ139">
        <v>1.2207874890856707</v>
      </c>
      <c r="AK139">
        <v>1.2416858877036463</v>
      </c>
      <c r="AL139">
        <v>1.140917268892887</v>
      </c>
    </row>
    <row r="140" spans="1:38" x14ac:dyDescent="0.4">
      <c r="A140" s="10">
        <v>42604</v>
      </c>
      <c r="B140" s="11">
        <v>1.238156979485072</v>
      </c>
      <c r="C140" s="11">
        <v>1.236224124718317</v>
      </c>
      <c r="D140" s="11">
        <v>1.1685430488355391</v>
      </c>
      <c r="E140" s="11">
        <v>1.18932630570767</v>
      </c>
      <c r="P140" s="1">
        <f>A139</f>
        <v>42601</v>
      </c>
      <c r="Q140" s="14">
        <f>[1]!i_dq_close(Q$2,$P140)</f>
        <v>1995.6832999999999</v>
      </c>
      <c r="R140" s="14">
        <f>[1]!i_dq_close(R$2,$P140)</f>
        <v>3299.2772</v>
      </c>
      <c r="S140" s="14">
        <f>[1]!i_dq_close(S$2,$P140)</f>
        <v>4018.4627999999998</v>
      </c>
      <c r="T140" s="14">
        <f>[1]!i_dq_close(T$2,$P140)</f>
        <v>5806.9339</v>
      </c>
      <c r="U140" s="14">
        <f>[1]!i_dq_close(U$2,$P140)</f>
        <v>8723.6532000000007</v>
      </c>
      <c r="V140" s="14">
        <f>[1]!i_dq_close(V$2,$P140)</f>
        <v>9974.1636999999992</v>
      </c>
      <c r="W140" s="14">
        <f>[1]!i_dq_close(W$2,$P140)</f>
        <v>5498.9449000000004</v>
      </c>
      <c r="X140" s="14">
        <f>[1]!i_dq_close(X$2,$P140)</f>
        <v>6611.7964000000002</v>
      </c>
      <c r="Y140" s="14">
        <f>[1]!i_dq_close(Y$2,$P140)</f>
        <v>6241.7079999999996</v>
      </c>
      <c r="Z140" s="14">
        <f>[1]!i_dq_close(Z$2,$P140)</f>
        <v>2570.5583000000001</v>
      </c>
      <c r="AB140" s="1">
        <v>42601</v>
      </c>
      <c r="AC140">
        <v>1.1847734939545886</v>
      </c>
      <c r="AD140">
        <v>1.2931703179359961</v>
      </c>
      <c r="AE140">
        <v>1.1892800966562052</v>
      </c>
      <c r="AF140">
        <v>1.2006333221614789</v>
      </c>
      <c r="AG140">
        <v>1.3007317205000501</v>
      </c>
      <c r="AH140">
        <v>1.2318662056675931</v>
      </c>
      <c r="AI140">
        <v>1.1785653233502127</v>
      </c>
      <c r="AJ140">
        <v>1.2213734597534431</v>
      </c>
      <c r="AK140">
        <v>1.2397440740261545</v>
      </c>
      <c r="AL140">
        <v>1.1424709140968914</v>
      </c>
    </row>
    <row r="141" spans="1:38" x14ac:dyDescent="0.4">
      <c r="A141" s="10">
        <v>42605</v>
      </c>
      <c r="B141" s="11">
        <v>1.2415359876309779</v>
      </c>
      <c r="C141" s="11">
        <v>1.2377394346463471</v>
      </c>
      <c r="D141" s="11">
        <v>1.1700279065353181</v>
      </c>
      <c r="E141" s="11">
        <v>1.1907874639019671</v>
      </c>
      <c r="P141" s="1">
        <f>A140</f>
        <v>42604</v>
      </c>
      <c r="Q141" s="14">
        <f>[1]!i_dq_close(Q$2,$P141)</f>
        <v>1976.4195999999999</v>
      </c>
      <c r="R141" s="14">
        <f>[1]!i_dq_close(R$2,$P141)</f>
        <v>3255.5713000000001</v>
      </c>
      <c r="S141" s="14">
        <f>[1]!i_dq_close(S$2,$P141)</f>
        <v>3959.4340000000002</v>
      </c>
      <c r="T141" s="14">
        <f>[1]!i_dq_close(T$2,$P141)</f>
        <v>5738.0205999999998</v>
      </c>
      <c r="U141" s="14">
        <f>[1]!i_dq_close(U$2,$P141)</f>
        <v>8703.6879000000008</v>
      </c>
      <c r="V141" s="14">
        <f>[1]!i_dq_close(V$2,$P141)</f>
        <v>9939.9634000000005</v>
      </c>
      <c r="W141" s="14">
        <f>[1]!i_dq_close(W$2,$P141)</f>
        <v>5459.8315000000002</v>
      </c>
      <c r="X141" s="14">
        <f>[1]!i_dq_close(X$2,$P141)</f>
        <v>6524.0796</v>
      </c>
      <c r="Y141" s="14">
        <f>[1]!i_dq_close(Y$2,$P141)</f>
        <v>6155.0973000000004</v>
      </c>
      <c r="Z141" s="14">
        <f>[1]!i_dq_close(Z$2,$P141)</f>
        <v>2552.2426999999998</v>
      </c>
      <c r="AB141" s="1">
        <v>42604</v>
      </c>
      <c r="AC141">
        <v>1.1733372499596157</v>
      </c>
      <c r="AD141">
        <v>1.2760395437777414</v>
      </c>
      <c r="AE141">
        <v>1.1718102878105194</v>
      </c>
      <c r="AF141">
        <v>1.1863849071209509</v>
      </c>
      <c r="AG141">
        <v>1.2977548141027051</v>
      </c>
      <c r="AH141">
        <v>1.2276422732096075</v>
      </c>
      <c r="AI141">
        <v>1.1701823157448217</v>
      </c>
      <c r="AJ141">
        <v>1.2051698495674881</v>
      </c>
      <c r="AK141">
        <v>1.2225412343431292</v>
      </c>
      <c r="AL141">
        <v>1.1343306434505367</v>
      </c>
    </row>
    <row r="142" spans="1:38" x14ac:dyDescent="0.4">
      <c r="A142" s="10">
        <v>42606</v>
      </c>
      <c r="B142" s="11">
        <v>1.243331533196411</v>
      </c>
      <c r="C142" s="11">
        <v>1.2387211776529881</v>
      </c>
      <c r="D142" s="11">
        <v>1.1709397753968429</v>
      </c>
      <c r="E142" s="11">
        <v>1.193613341720525</v>
      </c>
      <c r="P142" s="1">
        <f>A141</f>
        <v>42605</v>
      </c>
      <c r="Q142" s="14">
        <f>[1]!i_dq_close(Q$2,$P142)</f>
        <v>1971.8140000000001</v>
      </c>
      <c r="R142" s="14">
        <f>[1]!i_dq_close(R$2,$P142)</f>
        <v>3269.0790000000002</v>
      </c>
      <c r="S142" s="14">
        <f>[1]!i_dq_close(S$2,$P142)</f>
        <v>3962.5052000000001</v>
      </c>
      <c r="T142" s="14">
        <f>[1]!i_dq_close(T$2,$P142)</f>
        <v>5737.1445999999996</v>
      </c>
      <c r="U142" s="14">
        <f>[1]!i_dq_close(U$2,$P142)</f>
        <v>8712.3551000000007</v>
      </c>
      <c r="V142" s="14">
        <f>[1]!i_dq_close(V$2,$P142)</f>
        <v>9991.1260999999995</v>
      </c>
      <c r="W142" s="14">
        <f>[1]!i_dq_close(W$2,$P142)</f>
        <v>5471.5523999999996</v>
      </c>
      <c r="X142" s="14">
        <f>[1]!i_dq_close(X$2,$P142)</f>
        <v>6533.0778</v>
      </c>
      <c r="Y142" s="14">
        <f>[1]!i_dq_close(Y$2,$P142)</f>
        <v>6133.1949999999997</v>
      </c>
      <c r="Z142" s="14">
        <f>[1]!i_dq_close(Z$2,$P142)</f>
        <v>2551.4996000000001</v>
      </c>
      <c r="AB142" s="1">
        <v>42605</v>
      </c>
      <c r="AC142">
        <v>1.170603052202007</v>
      </c>
      <c r="AD142">
        <v>1.28133396302314</v>
      </c>
      <c r="AE142">
        <v>1.1727192217025664</v>
      </c>
      <c r="AF142">
        <v>1.1862037866177171</v>
      </c>
      <c r="AG142">
        <v>1.2990471284244067</v>
      </c>
      <c r="AH142">
        <v>1.233961158984533</v>
      </c>
      <c r="AI142">
        <v>1.1726944060729962</v>
      </c>
      <c r="AJ142">
        <v>1.2068320548140914</v>
      </c>
      <c r="AK142">
        <v>1.2181909432637412</v>
      </c>
      <c r="AL142">
        <v>1.1340003766224063</v>
      </c>
    </row>
    <row r="143" spans="1:38" x14ac:dyDescent="0.4">
      <c r="A143" s="10">
        <v>42607</v>
      </c>
      <c r="B143" s="11">
        <v>1.238538021534775</v>
      </c>
      <c r="C143" s="11">
        <v>1.233330622053757</v>
      </c>
      <c r="D143" s="11">
        <v>1.167153280516392</v>
      </c>
      <c r="E143" s="11">
        <v>1.189283668746604</v>
      </c>
      <c r="P143" s="1">
        <f>A142</f>
        <v>42606</v>
      </c>
      <c r="Q143" s="14">
        <f>[1]!i_dq_close(Q$2,$P143)</f>
        <v>1967.787</v>
      </c>
      <c r="R143" s="14">
        <f>[1]!i_dq_close(R$2,$P143)</f>
        <v>3268.9695999999999</v>
      </c>
      <c r="S143" s="14">
        <f>[1]!i_dq_close(S$2,$P143)</f>
        <v>3968.3492000000001</v>
      </c>
      <c r="T143" s="14">
        <f>[1]!i_dq_close(T$2,$P143)</f>
        <v>5741.018</v>
      </c>
      <c r="U143" s="14">
        <f>[1]!i_dq_close(U$2,$P143)</f>
        <v>8697.3251999999993</v>
      </c>
      <c r="V143" s="14">
        <f>[1]!i_dq_close(V$2,$P143)</f>
        <v>9989.6636999999992</v>
      </c>
      <c r="W143" s="14">
        <f>[1]!i_dq_close(W$2,$P143)</f>
        <v>5433.5808999999999</v>
      </c>
      <c r="X143" s="14">
        <f>[1]!i_dq_close(X$2,$P143)</f>
        <v>6572.6980000000003</v>
      </c>
      <c r="Y143" s="14">
        <f>[1]!i_dq_close(Y$2,$P143)</f>
        <v>6184.0672000000004</v>
      </c>
      <c r="Z143" s="14">
        <f>[1]!i_dq_close(Z$2,$P143)</f>
        <v>2553.5554999999999</v>
      </c>
      <c r="AB143" s="1">
        <v>42606</v>
      </c>
      <c r="AC143">
        <v>1.1682123508015618</v>
      </c>
      <c r="AD143">
        <v>1.2812910830757434</v>
      </c>
      <c r="AE143">
        <v>1.174448776816243</v>
      </c>
      <c r="AF143">
        <v>1.1870046452446874</v>
      </c>
      <c r="AG143">
        <v>1.2968061099843402</v>
      </c>
      <c r="AH143">
        <v>1.2337805442289151</v>
      </c>
      <c r="AI143">
        <v>1.1645561370069446</v>
      </c>
      <c r="AJ143">
        <v>1.2141509524059961</v>
      </c>
      <c r="AK143">
        <v>1.228295310286786</v>
      </c>
      <c r="AL143">
        <v>1.1349141104024538</v>
      </c>
    </row>
    <row r="144" spans="1:38" x14ac:dyDescent="0.4">
      <c r="A144" s="10">
        <v>42608</v>
      </c>
      <c r="B144" s="11">
        <v>1.2436669226159309</v>
      </c>
      <c r="C144" s="11">
        <v>1.237929236060803</v>
      </c>
      <c r="D144" s="11">
        <v>1.171054313073731</v>
      </c>
      <c r="E144" s="11">
        <v>1.193548934997918</v>
      </c>
      <c r="P144" s="1">
        <f>A143</f>
        <v>42607</v>
      </c>
      <c r="Q144" s="14">
        <f>[1]!i_dq_close(Q$2,$P144)</f>
        <v>1955.1488999999999</v>
      </c>
      <c r="R144" s="14">
        <f>[1]!i_dq_close(R$2,$P144)</f>
        <v>3253.6496000000002</v>
      </c>
      <c r="S144" s="14">
        <f>[1]!i_dq_close(S$2,$P144)</f>
        <v>3928.0032000000001</v>
      </c>
      <c r="T144" s="14">
        <f>[1]!i_dq_close(T$2,$P144)</f>
        <v>5691.2363999999998</v>
      </c>
      <c r="U144" s="14">
        <f>[1]!i_dq_close(U$2,$P144)</f>
        <v>8640.7376999999997</v>
      </c>
      <c r="V144" s="14">
        <f>[1]!i_dq_close(V$2,$P144)</f>
        <v>9965.2306000000008</v>
      </c>
      <c r="W144" s="14">
        <f>[1]!i_dq_close(W$2,$P144)</f>
        <v>5410.2537000000002</v>
      </c>
      <c r="X144" s="14">
        <f>[1]!i_dq_close(X$2,$P144)</f>
        <v>6522.6111000000001</v>
      </c>
      <c r="Y144" s="14">
        <f>[1]!i_dq_close(Y$2,$P144)</f>
        <v>6155.1662999999999</v>
      </c>
      <c r="Z144" s="14">
        <f>[1]!i_dq_close(Z$2,$P144)</f>
        <v>2528.8089</v>
      </c>
      <c r="AB144" s="1">
        <v>42607</v>
      </c>
      <c r="AC144">
        <v>1.1607095141070083</v>
      </c>
      <c r="AD144">
        <v>1.2752863226176712</v>
      </c>
      <c r="AE144">
        <v>1.1625082171625138</v>
      </c>
      <c r="AF144">
        <v>1.1767118730485868</v>
      </c>
      <c r="AG144">
        <v>1.2883686865166357</v>
      </c>
      <c r="AH144">
        <v>1.2307629167771323</v>
      </c>
      <c r="AI144">
        <v>1.1595565180780742</v>
      </c>
      <c r="AJ144">
        <v>1.2048985788239353</v>
      </c>
      <c r="AK144">
        <v>1.2225549393003472</v>
      </c>
      <c r="AL144">
        <v>1.1239156161365234</v>
      </c>
    </row>
    <row r="145" spans="1:38" x14ac:dyDescent="0.4">
      <c r="A145" s="10">
        <v>42611</v>
      </c>
      <c r="B145" s="11">
        <v>1.2454960491687961</v>
      </c>
      <c r="C145" s="11">
        <v>1.2393574812895309</v>
      </c>
      <c r="D145" s="11">
        <v>1.172015835782322</v>
      </c>
      <c r="E145" s="11">
        <v>1.1929549673598461</v>
      </c>
      <c r="P145" s="1">
        <f>A144</f>
        <v>42608</v>
      </c>
      <c r="Q145" s="14">
        <f>[1]!i_dq_close(Q$2,$P145)</f>
        <v>1956.2829999999999</v>
      </c>
      <c r="R145" s="14">
        <f>[1]!i_dq_close(R$2,$P145)</f>
        <v>3261.7582000000002</v>
      </c>
      <c r="S145" s="14">
        <f>[1]!i_dq_close(S$2,$P145)</f>
        <v>3943.8975999999998</v>
      </c>
      <c r="T145" s="14">
        <f>[1]!i_dq_close(T$2,$P145)</f>
        <v>5700.4260999999997</v>
      </c>
      <c r="U145" s="14">
        <f>[1]!i_dq_close(U$2,$P145)</f>
        <v>8638.9833999999992</v>
      </c>
      <c r="V145" s="14">
        <f>[1]!i_dq_close(V$2,$P145)</f>
        <v>10019.716899999999</v>
      </c>
      <c r="W145" s="14">
        <f>[1]!i_dq_close(W$2,$P145)</f>
        <v>5394.3387000000002</v>
      </c>
      <c r="X145" s="14">
        <f>[1]!i_dq_close(X$2,$P145)</f>
        <v>6544.4503000000004</v>
      </c>
      <c r="Y145" s="14">
        <f>[1]!i_dq_close(Y$2,$P145)</f>
        <v>6199.3116</v>
      </c>
      <c r="Z145" s="14">
        <f>[1]!i_dq_close(Z$2,$P145)</f>
        <v>2535.8054999999999</v>
      </c>
      <c r="AB145" s="1">
        <v>42608</v>
      </c>
      <c r="AC145">
        <v>1.1613827930884448</v>
      </c>
      <c r="AD145">
        <v>1.2784645341483711</v>
      </c>
      <c r="AE145">
        <v>1.1672122282506077</v>
      </c>
      <c r="AF145">
        <v>1.1786119222364495</v>
      </c>
      <c r="AG145">
        <v>1.2881071133425355</v>
      </c>
      <c r="AH145">
        <v>1.2374922861418907</v>
      </c>
      <c r="AI145">
        <v>1.1561455242488548</v>
      </c>
      <c r="AJ145">
        <v>1.2089328559928825</v>
      </c>
      <c r="AK145">
        <v>1.2313231921681691</v>
      </c>
      <c r="AL145">
        <v>1.127025217656773</v>
      </c>
    </row>
    <row r="146" spans="1:38" x14ac:dyDescent="0.4">
      <c r="A146" s="10">
        <v>42612</v>
      </c>
      <c r="B146" s="11">
        <v>1.2453882299856509</v>
      </c>
      <c r="C146" s="11">
        <v>1.238986196372776</v>
      </c>
      <c r="D146" s="11">
        <v>1.1721611765363631</v>
      </c>
      <c r="E146" s="11">
        <v>1.193102220817831</v>
      </c>
      <c r="P146" s="1">
        <f>A145</f>
        <v>42611</v>
      </c>
      <c r="Q146" s="14">
        <f>[1]!i_dq_close(Q$2,$P146)</f>
        <v>1960.3611000000001</v>
      </c>
      <c r="R146" s="14">
        <f>[1]!i_dq_close(R$2,$P146)</f>
        <v>3262.3525</v>
      </c>
      <c r="S146" s="14">
        <f>[1]!i_dq_close(S$2,$P146)</f>
        <v>3967.5104000000001</v>
      </c>
      <c r="T146" s="14">
        <f>[1]!i_dq_close(T$2,$P146)</f>
        <v>5701.7383</v>
      </c>
      <c r="U146" s="14">
        <f>[1]!i_dq_close(U$2,$P146)</f>
        <v>8612.5190000000002</v>
      </c>
      <c r="V146" s="14">
        <f>[1]!i_dq_close(V$2,$P146)</f>
        <v>10056.096100000001</v>
      </c>
      <c r="W146" s="14">
        <f>[1]!i_dq_close(W$2,$P146)</f>
        <v>5391.1084000000001</v>
      </c>
      <c r="X146" s="14">
        <f>[1]!i_dq_close(X$2,$P146)</f>
        <v>6552.2862999999998</v>
      </c>
      <c r="Y146" s="14">
        <f>[1]!i_dq_close(Y$2,$P146)</f>
        <v>6208.8334999999997</v>
      </c>
      <c r="Z146" s="14">
        <f>[1]!i_dq_close(Z$2,$P146)</f>
        <v>2540.0500000000002</v>
      </c>
      <c r="AB146" s="1">
        <v>42611</v>
      </c>
      <c r="AC146">
        <v>1.1638038309283147</v>
      </c>
      <c r="AD146">
        <v>1.2786974733872898</v>
      </c>
      <c r="AE146">
        <v>1.1742005306099883</v>
      </c>
      <c r="AF146">
        <v>1.1788832308258825</v>
      </c>
      <c r="AG146">
        <v>1.2841611650391342</v>
      </c>
      <c r="AH146">
        <v>1.2419853251993129</v>
      </c>
      <c r="AI146">
        <v>1.1554531878764684</v>
      </c>
      <c r="AJ146">
        <v>1.2103803721974993</v>
      </c>
      <c r="AK146">
        <v>1.2332144564020084</v>
      </c>
      <c r="AL146">
        <v>1.1289116630234797</v>
      </c>
    </row>
    <row r="147" spans="1:38" x14ac:dyDescent="0.4">
      <c r="A147" s="10">
        <v>42613</v>
      </c>
      <c r="B147" s="11">
        <v>1.2458137923476971</v>
      </c>
      <c r="C147" s="11">
        <v>1.2398843183466079</v>
      </c>
      <c r="D147" s="11">
        <v>1.172070138614846</v>
      </c>
      <c r="E147" s="11">
        <v>1.1925427496801571</v>
      </c>
      <c r="P147" s="1">
        <f>A146</f>
        <v>42612</v>
      </c>
      <c r="Q147" s="14">
        <f>[1]!i_dq_close(Q$2,$P147)</f>
        <v>1973.3030000000001</v>
      </c>
      <c r="R147" s="14">
        <f>[1]!i_dq_close(R$2,$P147)</f>
        <v>3262.8746000000001</v>
      </c>
      <c r="S147" s="14">
        <f>[1]!i_dq_close(S$2,$P147)</f>
        <v>3965.7024999999999</v>
      </c>
      <c r="T147" s="14">
        <f>[1]!i_dq_close(T$2,$P147)</f>
        <v>5706.6490999999996</v>
      </c>
      <c r="U147" s="14">
        <f>[1]!i_dq_close(U$2,$P147)</f>
        <v>8613.2608</v>
      </c>
      <c r="V147" s="14">
        <f>[1]!i_dq_close(V$2,$P147)</f>
        <v>10022.6217</v>
      </c>
      <c r="W147" s="14">
        <f>[1]!i_dq_close(W$2,$P147)</f>
        <v>5409.0698000000002</v>
      </c>
      <c r="X147" s="14">
        <f>[1]!i_dq_close(X$2,$P147)</f>
        <v>6551.4862999999996</v>
      </c>
      <c r="Y147" s="14">
        <f>[1]!i_dq_close(Y$2,$P147)</f>
        <v>6222.8013000000001</v>
      </c>
      <c r="Z147" s="14">
        <f>[1]!i_dq_close(Z$2,$P147)</f>
        <v>2538.7411000000002</v>
      </c>
      <c r="AB147" s="1">
        <v>42612</v>
      </c>
      <c r="AC147">
        <v>1.1714870239887623</v>
      </c>
      <c r="AD147">
        <v>1.2789021134287493</v>
      </c>
      <c r="AE147">
        <v>1.1736654753926687</v>
      </c>
      <c r="AF147">
        <v>1.1798985807885316</v>
      </c>
      <c r="AG147">
        <v>1.2842717703977089</v>
      </c>
      <c r="AH147">
        <v>1.2378510455388538</v>
      </c>
      <c r="AI147">
        <v>1.159302777858507</v>
      </c>
      <c r="AJ147">
        <v>1.2102325910637968</v>
      </c>
      <c r="AK147">
        <v>1.2359887767126001</v>
      </c>
      <c r="AL147">
        <v>1.1283299294057434</v>
      </c>
    </row>
    <row r="148" spans="1:38" x14ac:dyDescent="0.4">
      <c r="A148" s="10">
        <v>42614</v>
      </c>
      <c r="B148" s="11">
        <v>1.238129039406662</v>
      </c>
      <c r="C148" s="11">
        <v>1.232934082934428</v>
      </c>
      <c r="D148" s="11">
        <v>1.1654048349151309</v>
      </c>
      <c r="E148" s="11">
        <v>1.1862132443608151</v>
      </c>
      <c r="P148" s="1">
        <f>A147</f>
        <v>42613</v>
      </c>
      <c r="Q148" s="14">
        <f>[1]!i_dq_close(Q$2,$P148)</f>
        <v>1979.9839999999999</v>
      </c>
      <c r="R148" s="14">
        <f>[1]!i_dq_close(R$2,$P148)</f>
        <v>3265.8011000000001</v>
      </c>
      <c r="S148" s="14">
        <f>[1]!i_dq_close(S$2,$P148)</f>
        <v>3965.3627999999999</v>
      </c>
      <c r="T148" s="14">
        <f>[1]!i_dq_close(T$2,$P148)</f>
        <v>5711.1842999999999</v>
      </c>
      <c r="U148" s="14">
        <f>[1]!i_dq_close(U$2,$P148)</f>
        <v>8643.5303999999996</v>
      </c>
      <c r="V148" s="14">
        <f>[1]!i_dq_close(V$2,$P148)</f>
        <v>10033.1993</v>
      </c>
      <c r="W148" s="14">
        <f>[1]!i_dq_close(W$2,$P148)</f>
        <v>5464.0221000000001</v>
      </c>
      <c r="X148" s="14">
        <f>[1]!i_dq_close(X$2,$P148)</f>
        <v>6539.1016</v>
      </c>
      <c r="Y148" s="14">
        <f>[1]!i_dq_close(Y$2,$P148)</f>
        <v>6202.9834000000001</v>
      </c>
      <c r="Z148" s="14">
        <f>[1]!i_dq_close(Z$2,$P148)</f>
        <v>2537.6947</v>
      </c>
      <c r="AB148" s="1">
        <v>42613</v>
      </c>
      <c r="AC148">
        <v>1.1754533205013955</v>
      </c>
      <c r="AD148">
        <v>1.2800491716193856</v>
      </c>
      <c r="AE148">
        <v>1.1735649398224914</v>
      </c>
      <c r="AF148">
        <v>1.1808362722340406</v>
      </c>
      <c r="AG148">
        <v>1.2887850893002586</v>
      </c>
      <c r="AH148">
        <v>1.2391574395753855</v>
      </c>
      <c r="AI148">
        <v>1.1710804691058476</v>
      </c>
      <c r="AJ148">
        <v>1.2079448098055885</v>
      </c>
      <c r="AK148">
        <v>1.2320524945147397</v>
      </c>
      <c r="AL148">
        <v>1.1278648625117105</v>
      </c>
    </row>
    <row r="149" spans="1:38" x14ac:dyDescent="0.4">
      <c r="A149" s="10">
        <v>42615</v>
      </c>
      <c r="B149" s="11">
        <v>1.2353623139644729</v>
      </c>
      <c r="C149" s="11">
        <v>1.229280750203966</v>
      </c>
      <c r="D149" s="11">
        <v>1.160943053838829</v>
      </c>
      <c r="E149" s="11">
        <v>1.1801559918781981</v>
      </c>
      <c r="P149" s="1">
        <f>A148</f>
        <v>42614</v>
      </c>
      <c r="Q149" s="14">
        <f>[1]!i_dq_close(Q$2,$P149)</f>
        <v>1953.9448</v>
      </c>
      <c r="R149" s="14">
        <f>[1]!i_dq_close(R$2,$P149)</f>
        <v>3245.8993</v>
      </c>
      <c r="S149" s="14">
        <f>[1]!i_dq_close(S$2,$P149)</f>
        <v>3932.9069</v>
      </c>
      <c r="T149" s="14">
        <f>[1]!i_dq_close(T$2,$P149)</f>
        <v>5683.8249999999998</v>
      </c>
      <c r="U149" s="14">
        <f>[1]!i_dq_close(U$2,$P149)</f>
        <v>8581.1466</v>
      </c>
      <c r="V149" s="14">
        <f>[1]!i_dq_close(V$2,$P149)</f>
        <v>9961.2379999999994</v>
      </c>
      <c r="W149" s="14">
        <f>[1]!i_dq_close(W$2,$P149)</f>
        <v>5400.8564999999999</v>
      </c>
      <c r="X149" s="14">
        <f>[1]!i_dq_close(X$2,$P149)</f>
        <v>6501.7815000000001</v>
      </c>
      <c r="Y149" s="14">
        <f>[1]!i_dq_close(Y$2,$P149)</f>
        <v>6192.0936000000002</v>
      </c>
      <c r="Z149" s="14">
        <f>[1]!i_dq_close(Z$2,$P149)</f>
        <v>2522.8353999999999</v>
      </c>
      <c r="AB149" s="1">
        <v>42614</v>
      </c>
      <c r="AC149">
        <v>1.1599946783592368</v>
      </c>
      <c r="AD149">
        <v>1.2722485487940289</v>
      </c>
      <c r="AE149">
        <v>1.1639594867400183</v>
      </c>
      <c r="AF149">
        <v>1.1751795026174601</v>
      </c>
      <c r="AG149">
        <v>1.2794834142284743</v>
      </c>
      <c r="AH149">
        <v>1.2302698078648784</v>
      </c>
      <c r="AI149">
        <v>1.1575424564247949</v>
      </c>
      <c r="AJ149">
        <v>1.2010508014457206</v>
      </c>
      <c r="AK149">
        <v>1.2298895344696159</v>
      </c>
      <c r="AL149">
        <v>1.1212607259496883</v>
      </c>
    </row>
    <row r="150" spans="1:38" x14ac:dyDescent="0.4">
      <c r="A150" s="10">
        <v>42618</v>
      </c>
      <c r="B150" s="11">
        <v>1.2412994586406401</v>
      </c>
      <c r="C150" s="11">
        <v>1.23609301409271</v>
      </c>
      <c r="D150" s="11">
        <v>1.167020641837474</v>
      </c>
      <c r="E150" s="11">
        <v>1.1851416648715689</v>
      </c>
      <c r="P150" s="1">
        <f>A149</f>
        <v>42615</v>
      </c>
      <c r="Q150" s="14">
        <f>[1]!i_dq_close(Q$2,$P150)</f>
        <v>1955.6228000000001</v>
      </c>
      <c r="R150" s="14">
        <f>[1]!i_dq_close(R$2,$P150)</f>
        <v>3237.5738000000001</v>
      </c>
      <c r="S150" s="14">
        <f>[1]!i_dq_close(S$2,$P150)</f>
        <v>3927.7274000000002</v>
      </c>
      <c r="T150" s="14">
        <f>[1]!i_dq_close(T$2,$P150)</f>
        <v>5694.0672000000004</v>
      </c>
      <c r="U150" s="14">
        <f>[1]!i_dq_close(U$2,$P150)</f>
        <v>8543.2687999999998</v>
      </c>
      <c r="V150" s="14">
        <f>[1]!i_dq_close(V$2,$P150)</f>
        <v>9932.7337000000007</v>
      </c>
      <c r="W150" s="14">
        <f>[1]!i_dq_close(W$2,$P150)</f>
        <v>5426.3319000000001</v>
      </c>
      <c r="X150" s="14">
        <f>[1]!i_dq_close(X$2,$P150)</f>
        <v>6461.4416000000001</v>
      </c>
      <c r="Y150" s="14">
        <f>[1]!i_dq_close(Y$2,$P150)</f>
        <v>6173.5655999999999</v>
      </c>
      <c r="Z150" s="14">
        <f>[1]!i_dq_close(Z$2,$P150)</f>
        <v>2532.3427999999999</v>
      </c>
      <c r="AB150" s="1">
        <v>42615</v>
      </c>
      <c r="AC150">
        <v>1.1609908534150966</v>
      </c>
      <c r="AD150">
        <v>1.2689853220842586</v>
      </c>
      <c r="AE150">
        <v>1.1624265930522553</v>
      </c>
      <c r="AF150">
        <v>1.1772971651953383</v>
      </c>
      <c r="AG150">
        <v>1.2738356821564616</v>
      </c>
      <c r="AH150">
        <v>1.2267493639517502</v>
      </c>
      <c r="AI150">
        <v>1.1630024898647511</v>
      </c>
      <c r="AJ150">
        <v>1.1935989562514089</v>
      </c>
      <c r="AK150">
        <v>1.2262094555227063</v>
      </c>
      <c r="AL150">
        <v>1.1254862391266056</v>
      </c>
    </row>
    <row r="151" spans="1:38" x14ac:dyDescent="0.4">
      <c r="A151" s="10">
        <v>42619</v>
      </c>
      <c r="B151" s="11">
        <v>1.2566235395477861</v>
      </c>
      <c r="C151" s="11">
        <v>1.2512448682997841</v>
      </c>
      <c r="D151" s="11">
        <v>1.181584647932975</v>
      </c>
      <c r="E151" s="11">
        <v>1.202357318516547</v>
      </c>
      <c r="P151" s="1">
        <f>A150</f>
        <v>42618</v>
      </c>
      <c r="Q151" s="14">
        <f>[1]!i_dq_close(Q$2,$P151)</f>
        <v>1977.4671000000001</v>
      </c>
      <c r="R151" s="14">
        <f>[1]!i_dq_close(R$2,$P151)</f>
        <v>3268.1021000000001</v>
      </c>
      <c r="S151" s="14">
        <f>[1]!i_dq_close(S$2,$P151)</f>
        <v>3938.4681</v>
      </c>
      <c r="T151" s="14">
        <f>[1]!i_dq_close(T$2,$P151)</f>
        <v>5730.1954999999998</v>
      </c>
      <c r="U151" s="14">
        <f>[1]!i_dq_close(U$2,$P151)</f>
        <v>8568.8621000000003</v>
      </c>
      <c r="V151" s="14">
        <f>[1]!i_dq_close(V$2,$P151)</f>
        <v>9930.3845000000001</v>
      </c>
      <c r="W151" s="14">
        <f>[1]!i_dq_close(W$2,$P151)</f>
        <v>5424.0749999999998</v>
      </c>
      <c r="X151" s="14">
        <f>[1]!i_dq_close(X$2,$P151)</f>
        <v>6486.5069999999996</v>
      </c>
      <c r="Y151" s="14">
        <f>[1]!i_dq_close(Y$2,$P151)</f>
        <v>6209.0420000000004</v>
      </c>
      <c r="Z151" s="14">
        <f>[1]!i_dq_close(Z$2,$P151)</f>
        <v>2535.1134000000002</v>
      </c>
      <c r="AB151" s="1">
        <v>42618</v>
      </c>
      <c r="AC151">
        <v>1.173959117284415</v>
      </c>
      <c r="AD151">
        <v>1.2809510615550268</v>
      </c>
      <c r="AE151">
        <v>1.1656053460655107</v>
      </c>
      <c r="AF151">
        <v>1.1847670006713449</v>
      </c>
      <c r="AG151">
        <v>1.2776517459521055</v>
      </c>
      <c r="AH151">
        <v>1.2264592243292818</v>
      </c>
      <c r="AI151">
        <v>1.1625187781479325</v>
      </c>
      <c r="AJ151">
        <v>1.1982291977872952</v>
      </c>
      <c r="AK151">
        <v>1.2332558692075155</v>
      </c>
      <c r="AL151">
        <v>1.1267176175063909</v>
      </c>
    </row>
    <row r="152" spans="1:38" x14ac:dyDescent="0.4">
      <c r="A152" s="10">
        <v>42620</v>
      </c>
      <c r="B152" s="11">
        <v>1.257336846468659</v>
      </c>
      <c r="C152" s="11">
        <v>1.2507461511044671</v>
      </c>
      <c r="D152" s="11">
        <v>1.1801639174925971</v>
      </c>
      <c r="E152" s="11">
        <v>1.200775116518751</v>
      </c>
      <c r="P152" s="1">
        <f>A151</f>
        <v>42619</v>
      </c>
      <c r="Q152" s="14">
        <f>[1]!i_dq_close(Q$2,$P152)</f>
        <v>1996.6333</v>
      </c>
      <c r="R152" s="14">
        <f>[1]!i_dq_close(R$2,$P152)</f>
        <v>3305.6080999999999</v>
      </c>
      <c r="S152" s="14">
        <f>[1]!i_dq_close(S$2,$P152)</f>
        <v>3998.7586999999999</v>
      </c>
      <c r="T152" s="14">
        <f>[1]!i_dq_close(T$2,$P152)</f>
        <v>5822.1103000000003</v>
      </c>
      <c r="U152" s="14">
        <f>[1]!i_dq_close(U$2,$P152)</f>
        <v>8653.2957999999999</v>
      </c>
      <c r="V152" s="14">
        <f>[1]!i_dq_close(V$2,$P152)</f>
        <v>10033.699699999999</v>
      </c>
      <c r="W152" s="14">
        <f>[1]!i_dq_close(W$2,$P152)</f>
        <v>5432.3198000000002</v>
      </c>
      <c r="X152" s="14">
        <f>[1]!i_dq_close(X$2,$P152)</f>
        <v>6613.0324000000001</v>
      </c>
      <c r="Y152" s="14">
        <f>[1]!i_dq_close(Y$2,$P152)</f>
        <v>6341.5807999999997</v>
      </c>
      <c r="Z152" s="14">
        <f>[1]!i_dq_close(Z$2,$P152)</f>
        <v>2565.9483</v>
      </c>
      <c r="AB152" s="1">
        <v>42619</v>
      </c>
      <c r="AC152">
        <v>1.1853374786405642</v>
      </c>
      <c r="AD152">
        <v>1.2956517499192866</v>
      </c>
      <c r="AE152">
        <v>1.18344858965494</v>
      </c>
      <c r="AF152">
        <v>1.203771172852435</v>
      </c>
      <c r="AG152">
        <v>1.2902411496515998</v>
      </c>
      <c r="AH152">
        <v>1.2392192418344876</v>
      </c>
      <c r="AI152">
        <v>1.1642858508418157</v>
      </c>
      <c r="AJ152">
        <v>1.2216017816050135</v>
      </c>
      <c r="AK152">
        <v>1.2595810660732671</v>
      </c>
      <c r="AL152">
        <v>1.140422024206323</v>
      </c>
    </row>
    <row r="153" spans="1:38" x14ac:dyDescent="0.4">
      <c r="A153" s="10">
        <v>42621</v>
      </c>
      <c r="B153" s="11">
        <v>1.2605342333898359</v>
      </c>
      <c r="C153" s="11">
        <v>1.254329380571223</v>
      </c>
      <c r="D153" s="11">
        <v>1.1829929230145331</v>
      </c>
      <c r="E153" s="11">
        <v>1.2041584643616059</v>
      </c>
      <c r="P153" s="1">
        <f>A152</f>
        <v>42620</v>
      </c>
      <c r="Q153" s="14">
        <f>[1]!i_dq_close(Q$2,$P153)</f>
        <v>1984.9146000000001</v>
      </c>
      <c r="R153" s="14">
        <f>[1]!i_dq_close(R$2,$P153)</f>
        <v>3304.4319</v>
      </c>
      <c r="S153" s="14">
        <f>[1]!i_dq_close(S$2,$P153)</f>
        <v>4019.2345</v>
      </c>
      <c r="T153" s="14">
        <f>[1]!i_dq_close(T$2,$P153)</f>
        <v>5809.1352999999999</v>
      </c>
      <c r="U153" s="14">
        <f>[1]!i_dq_close(U$2,$P153)</f>
        <v>8615.5632999999998</v>
      </c>
      <c r="V153" s="14">
        <f>[1]!i_dq_close(V$2,$P153)</f>
        <v>10049.2637</v>
      </c>
      <c r="W153" s="14">
        <f>[1]!i_dq_close(W$2,$P153)</f>
        <v>5434.6185999999998</v>
      </c>
      <c r="X153" s="14">
        <f>[1]!i_dq_close(X$2,$P153)</f>
        <v>6580.1534000000001</v>
      </c>
      <c r="Y153" s="14">
        <f>[1]!i_dq_close(Y$2,$P153)</f>
        <v>6328.3654999999999</v>
      </c>
      <c r="Z153" s="14">
        <f>[1]!i_dq_close(Z$2,$P153)</f>
        <v>2573.3537000000001</v>
      </c>
      <c r="AB153" s="1">
        <v>42620</v>
      </c>
      <c r="AC153">
        <v>1.1783804603884169</v>
      </c>
      <c r="AD153">
        <v>1.2951907316914286</v>
      </c>
      <c r="AE153">
        <v>1.1895084843497754</v>
      </c>
      <c r="AF153">
        <v>1.2010884804672082</v>
      </c>
      <c r="AG153">
        <v>1.2846150823930151</v>
      </c>
      <c r="AH153">
        <v>1.2411414847614821</v>
      </c>
      <c r="AI153">
        <v>1.16477854280629</v>
      </c>
      <c r="AJ153">
        <v>1.2155281617362541</v>
      </c>
      <c r="AK153">
        <v>1.2569562092453799</v>
      </c>
      <c r="AL153">
        <v>1.1437133147042873</v>
      </c>
    </row>
    <row r="154" spans="1:38" x14ac:dyDescent="0.4">
      <c r="A154" s="10">
        <v>42622</v>
      </c>
      <c r="B154" s="11">
        <v>1.2534963310472851</v>
      </c>
      <c r="C154" s="11">
        <v>1.2460137987961</v>
      </c>
      <c r="D154" s="11">
        <v>1.1766581005699459</v>
      </c>
      <c r="E154" s="11">
        <v>1.196866726669773</v>
      </c>
      <c r="P154" s="1">
        <f>A153</f>
        <v>42621</v>
      </c>
      <c r="Q154" s="14">
        <f>[1]!i_dq_close(Q$2,$P154)</f>
        <v>1998.7164</v>
      </c>
      <c r="R154" s="14">
        <f>[1]!i_dq_close(R$2,$P154)</f>
        <v>3317.3110999999999</v>
      </c>
      <c r="S154" s="14">
        <f>[1]!i_dq_close(S$2,$P154)</f>
        <v>4029.1145999999999</v>
      </c>
      <c r="T154" s="14">
        <f>[1]!i_dq_close(T$2,$P154)</f>
        <v>5821.2035999999998</v>
      </c>
      <c r="U154" s="14">
        <f>[1]!i_dq_close(U$2,$P154)</f>
        <v>8606.1252000000004</v>
      </c>
      <c r="V154" s="14">
        <f>[1]!i_dq_close(V$2,$P154)</f>
        <v>10084.405000000001</v>
      </c>
      <c r="W154" s="14">
        <f>[1]!i_dq_close(W$2,$P154)</f>
        <v>5439.2933999999996</v>
      </c>
      <c r="X154" s="14">
        <f>[1]!i_dq_close(X$2,$P154)</f>
        <v>6586.2948999999999</v>
      </c>
      <c r="Y154" s="14">
        <f>[1]!i_dq_close(Y$2,$P154)</f>
        <v>6376.0861000000004</v>
      </c>
      <c r="Z154" s="14">
        <f>[1]!i_dq_close(Z$2,$P154)</f>
        <v>2574.9971</v>
      </c>
      <c r="AB154" s="1">
        <v>42621</v>
      </c>
      <c r="AC154">
        <v>1.1865741486398855</v>
      </c>
      <c r="AD154">
        <v>1.3002388068149013</v>
      </c>
      <c r="AE154">
        <v>1.1924325393598088</v>
      </c>
      <c r="AF154">
        <v>1.2035837048612452</v>
      </c>
      <c r="AG154">
        <v>1.2832078237858926</v>
      </c>
      <c r="AH154">
        <v>1.2454816360959973</v>
      </c>
      <c r="AI154">
        <v>1.1657804726808005</v>
      </c>
      <c r="AJ154">
        <v>1.2166626590270471</v>
      </c>
      <c r="AK154">
        <v>1.2664345973819242</v>
      </c>
      <c r="AL154">
        <v>1.1444437150613718</v>
      </c>
    </row>
    <row r="155" spans="1:38" x14ac:dyDescent="0.4">
      <c r="A155" s="10">
        <v>42625</v>
      </c>
      <c r="B155" s="11">
        <v>1.2264344209532609</v>
      </c>
      <c r="C155" s="11">
        <v>1.2212367966678721</v>
      </c>
      <c r="D155" s="11">
        <v>1.152998622714414</v>
      </c>
      <c r="E155" s="11">
        <v>1.1700554671279499</v>
      </c>
      <c r="P155" s="1">
        <f>A154</f>
        <v>42622</v>
      </c>
      <c r="Q155" s="14">
        <f>[1]!i_dq_close(Q$2,$P155)</f>
        <v>1986.5198</v>
      </c>
      <c r="R155" s="14">
        <f>[1]!i_dq_close(R$2,$P155)</f>
        <v>3295.7537000000002</v>
      </c>
      <c r="S155" s="14">
        <f>[1]!i_dq_close(S$2,$P155)</f>
        <v>4004.5430000000001</v>
      </c>
      <c r="T155" s="14">
        <f>[1]!i_dq_close(T$2,$P155)</f>
        <v>5777.6175000000003</v>
      </c>
      <c r="U155" s="14">
        <f>[1]!i_dq_close(U$2,$P155)</f>
        <v>8554.0871000000006</v>
      </c>
      <c r="V155" s="14">
        <f>[1]!i_dq_close(V$2,$P155)</f>
        <v>10012.228499999999</v>
      </c>
      <c r="W155" s="14">
        <f>[1]!i_dq_close(W$2,$P155)</f>
        <v>5409.8137999999999</v>
      </c>
      <c r="X155" s="14">
        <f>[1]!i_dq_close(X$2,$P155)</f>
        <v>6523.7819</v>
      </c>
      <c r="Y155" s="14">
        <f>[1]!i_dq_close(Y$2,$P155)</f>
        <v>6342.2206999999999</v>
      </c>
      <c r="Z155" s="14">
        <f>[1]!i_dq_close(Z$2,$P155)</f>
        <v>2552.5596999999998</v>
      </c>
      <c r="AB155" s="1">
        <v>42622</v>
      </c>
      <c r="AC155">
        <v>1.1793334164072882</v>
      </c>
      <c r="AD155">
        <v>1.2917892622262039</v>
      </c>
      <c r="AE155">
        <v>1.1851604763154533</v>
      </c>
      <c r="AF155">
        <v>1.1945719053566803</v>
      </c>
      <c r="AG155">
        <v>1.2754487341255478</v>
      </c>
      <c r="AH155">
        <v>1.2365674259559163</v>
      </c>
      <c r="AI155">
        <v>1.1594622361939728</v>
      </c>
      <c r="AJ155">
        <v>1.2051148565131089</v>
      </c>
      <c r="AK155">
        <v>1.2597081646547723</v>
      </c>
      <c r="AL155">
        <v>1.1344715324083046</v>
      </c>
    </row>
    <row r="156" spans="1:38" x14ac:dyDescent="0.4">
      <c r="A156" s="10">
        <v>42626</v>
      </c>
      <c r="B156" s="11">
        <v>1.231396071338779</v>
      </c>
      <c r="C156" s="11">
        <v>1.2234922008893709</v>
      </c>
      <c r="D156" s="11">
        <v>1.15683814949049</v>
      </c>
      <c r="E156" s="11">
        <v>1.174928046356313</v>
      </c>
      <c r="P156" s="1">
        <f>A155</f>
        <v>42625</v>
      </c>
      <c r="Q156" s="14">
        <f>[1]!i_dq_close(Q$2,$P156)</f>
        <v>1934.2452000000001</v>
      </c>
      <c r="R156" s="14">
        <f>[1]!i_dq_close(R$2,$P156)</f>
        <v>3193.4686999999999</v>
      </c>
      <c r="S156" s="14">
        <f>[1]!i_dq_close(S$2,$P156)</f>
        <v>3907.0924</v>
      </c>
      <c r="T156" s="14">
        <f>[1]!i_dq_close(T$2,$P156)</f>
        <v>5629.1468999999997</v>
      </c>
      <c r="U156" s="14">
        <f>[1]!i_dq_close(U$2,$P156)</f>
        <v>8341.6473999999998</v>
      </c>
      <c r="V156" s="14">
        <f>[1]!i_dq_close(V$2,$P156)</f>
        <v>9769.9915999999994</v>
      </c>
      <c r="W156" s="14">
        <f>[1]!i_dq_close(W$2,$P156)</f>
        <v>5334.3877000000002</v>
      </c>
      <c r="X156" s="14">
        <f>[1]!i_dq_close(X$2,$P156)</f>
        <v>6320.9605000000001</v>
      </c>
      <c r="Y156" s="14">
        <f>[1]!i_dq_close(Y$2,$P156)</f>
        <v>6181.8937999999998</v>
      </c>
      <c r="Z156" s="14">
        <f>[1]!i_dq_close(Z$2,$P156)</f>
        <v>2516.4937</v>
      </c>
      <c r="AB156" s="1">
        <v>42625</v>
      </c>
      <c r="AC156">
        <v>1.1482996544436146</v>
      </c>
      <c r="AD156">
        <v>1.2516980792331278</v>
      </c>
      <c r="AE156">
        <v>1.1563195824823176</v>
      </c>
      <c r="AF156">
        <v>1.1638743371061946</v>
      </c>
      <c r="AG156">
        <v>1.2437731218392278</v>
      </c>
      <c r="AH156">
        <v>1.2066497847530071</v>
      </c>
      <c r="AI156">
        <v>1.1432964830263888</v>
      </c>
      <c r="AJ156">
        <v>1.167648385974174</v>
      </c>
      <c r="AK156">
        <v>1.2278636239966729</v>
      </c>
      <c r="AL156">
        <v>1.1184421912384046</v>
      </c>
    </row>
    <row r="157" spans="1:38" x14ac:dyDescent="0.4">
      <c r="A157" s="10">
        <v>42627</v>
      </c>
      <c r="B157" s="11">
        <v>1.2270269802486811</v>
      </c>
      <c r="C157" s="11">
        <v>1.2173829102157969</v>
      </c>
      <c r="D157" s="11">
        <v>1.151315691463543</v>
      </c>
      <c r="E157" s="11">
        <v>1.1685590527559251</v>
      </c>
      <c r="P157" s="1">
        <f>A156</f>
        <v>42626</v>
      </c>
      <c r="Q157" s="14">
        <f>[1]!i_dq_close(Q$2,$P157)</f>
        <v>1940.242</v>
      </c>
      <c r="R157" s="14">
        <f>[1]!i_dq_close(R$2,$P157)</f>
        <v>3212.7538</v>
      </c>
      <c r="S157" s="14">
        <f>[1]!i_dq_close(S$2,$P157)</f>
        <v>3920.7651000000001</v>
      </c>
      <c r="T157" s="14">
        <f>[1]!i_dq_close(T$2,$P157)</f>
        <v>5651.9533000000001</v>
      </c>
      <c r="U157" s="14">
        <f>[1]!i_dq_close(U$2,$P157)</f>
        <v>8377.9459000000006</v>
      </c>
      <c r="V157" s="14">
        <f>[1]!i_dq_close(V$2,$P157)</f>
        <v>9799.2613999999994</v>
      </c>
      <c r="W157" s="14">
        <f>[1]!i_dq_close(W$2,$P157)</f>
        <v>5326.7561999999998</v>
      </c>
      <c r="X157" s="14">
        <f>[1]!i_dq_close(X$2,$P157)</f>
        <v>6376.4984999999997</v>
      </c>
      <c r="Y157" s="14">
        <f>[1]!i_dq_close(Y$2,$P157)</f>
        <v>6170.8657999999996</v>
      </c>
      <c r="Z157" s="14">
        <f>[1]!i_dq_close(Z$2,$P157)</f>
        <v>2525.2800000000002</v>
      </c>
      <c r="AB157" s="1">
        <v>42626</v>
      </c>
      <c r="AC157">
        <v>1.1518597632487275</v>
      </c>
      <c r="AD157">
        <v>1.2592569830131519</v>
      </c>
      <c r="AE157">
        <v>1.1603660725923048</v>
      </c>
      <c r="AF157">
        <v>1.1685897556506599</v>
      </c>
      <c r="AG157">
        <v>1.249185373939824</v>
      </c>
      <c r="AH157">
        <v>1.210264772289922</v>
      </c>
      <c r="AI157">
        <v>1.1416608562964052</v>
      </c>
      <c r="AJ157">
        <v>1.1779077217286424</v>
      </c>
      <c r="AK157">
        <v>1.225673214312599</v>
      </c>
      <c r="AL157">
        <v>1.1223472153697498</v>
      </c>
    </row>
    <row r="158" spans="1:38" x14ac:dyDescent="0.4">
      <c r="A158" s="10">
        <v>42632</v>
      </c>
      <c r="B158" s="11">
        <v>1.2381977112709111</v>
      </c>
      <c r="C158" s="11">
        <v>1.227513249654931</v>
      </c>
      <c r="D158" s="11">
        <v>1.1616668337114491</v>
      </c>
      <c r="E158" s="11">
        <v>1.1789551771359099</v>
      </c>
      <c r="P158" s="1">
        <f>A157</f>
        <v>42627</v>
      </c>
      <c r="Q158" s="14">
        <f>[1]!i_dq_close(Q$2,$P158)</f>
        <v>1925.1451999999999</v>
      </c>
      <c r="R158" s="14">
        <f>[1]!i_dq_close(R$2,$P158)</f>
        <v>3195.9176000000002</v>
      </c>
      <c r="S158" s="14">
        <f>[1]!i_dq_close(S$2,$P158)</f>
        <v>3888.6559999999999</v>
      </c>
      <c r="T158" s="14">
        <f>[1]!i_dq_close(T$2,$P158)</f>
        <v>5609.8581000000004</v>
      </c>
      <c r="U158" s="14">
        <f>[1]!i_dq_close(U$2,$P158)</f>
        <v>8352.0846000000001</v>
      </c>
      <c r="V158" s="14">
        <f>[1]!i_dq_close(V$2,$P158)</f>
        <v>9761.1183999999994</v>
      </c>
      <c r="W158" s="14">
        <f>[1]!i_dq_close(W$2,$P158)</f>
        <v>5285.6669000000002</v>
      </c>
      <c r="X158" s="14">
        <f>[1]!i_dq_close(X$2,$P158)</f>
        <v>6372.5667999999996</v>
      </c>
      <c r="Y158" s="14">
        <f>[1]!i_dq_close(Y$2,$P158)</f>
        <v>6127.6976999999997</v>
      </c>
      <c r="Z158" s="14">
        <f>[1]!i_dq_close(Z$2,$P158)</f>
        <v>2510.9726999999998</v>
      </c>
      <c r="AB158" s="1">
        <v>42627</v>
      </c>
      <c r="AC158">
        <v>1.1428972748200605</v>
      </c>
      <c r="AD158">
        <v>1.2526579394084394</v>
      </c>
      <c r="AE158">
        <v>1.150863256353333</v>
      </c>
      <c r="AF158">
        <v>1.1598862124911533</v>
      </c>
      <c r="AG158">
        <v>1.2453293502680705</v>
      </c>
      <c r="AH158">
        <v>1.2055538938547927</v>
      </c>
      <c r="AI158">
        <v>1.1328543625014349</v>
      </c>
      <c r="AJ158">
        <v>1.1771814328744192</v>
      </c>
      <c r="AK158">
        <v>1.2170990554185963</v>
      </c>
      <c r="AL158">
        <v>1.1159884122610015</v>
      </c>
    </row>
    <row r="159" spans="1:38" x14ac:dyDescent="0.4">
      <c r="A159" s="10">
        <v>42633</v>
      </c>
      <c r="B159" s="11">
        <v>1.2396056952831469</v>
      </c>
      <c r="C159" s="11">
        <v>1.2289281720262379</v>
      </c>
      <c r="D159" s="11">
        <v>1.1631152888266709</v>
      </c>
      <c r="E159" s="11">
        <v>1.179405665223908</v>
      </c>
      <c r="P159" s="1">
        <f>A158</f>
        <v>42632</v>
      </c>
      <c r="Q159" s="14">
        <f>[1]!i_dq_close(Q$2,$P159)</f>
        <v>1941.9938999999999</v>
      </c>
      <c r="R159" s="14">
        <f>[1]!i_dq_close(R$2,$P159)</f>
        <v>3225.1345000000001</v>
      </c>
      <c r="S159" s="14">
        <f>[1]!i_dq_close(S$2,$P159)</f>
        <v>3928.7932999999998</v>
      </c>
      <c r="T159" s="14">
        <f>[1]!i_dq_close(T$2,$P159)</f>
        <v>5681.32</v>
      </c>
      <c r="U159" s="14">
        <f>[1]!i_dq_close(U$2,$P159)</f>
        <v>8419.0257999999994</v>
      </c>
      <c r="V159" s="14">
        <f>[1]!i_dq_close(V$2,$P159)</f>
        <v>9856.1499000000003</v>
      </c>
      <c r="W159" s="14">
        <f>[1]!i_dq_close(W$2,$P159)</f>
        <v>5324.0783000000001</v>
      </c>
      <c r="X159" s="14">
        <f>[1]!i_dq_close(X$2,$P159)</f>
        <v>6430.2848999999997</v>
      </c>
      <c r="Y159" s="14">
        <f>[1]!i_dq_close(Y$2,$P159)</f>
        <v>6216.5230000000001</v>
      </c>
      <c r="Z159" s="14">
        <f>[1]!i_dq_close(Z$2,$P159)</f>
        <v>2527.0731000000001</v>
      </c>
      <c r="AB159" s="1">
        <v>42632</v>
      </c>
      <c r="AC159">
        <v>1.1528998103764752</v>
      </c>
      <c r="AD159">
        <v>1.2641096682483515</v>
      </c>
      <c r="AE159">
        <v>1.1627420504094879</v>
      </c>
      <c r="AF159">
        <v>1.1746615724112948</v>
      </c>
      <c r="AG159">
        <v>1.2553105519793371</v>
      </c>
      <c r="AH159">
        <v>1.2172908270799714</v>
      </c>
      <c r="AI159">
        <v>1.141086913451588</v>
      </c>
      <c r="AJ159">
        <v>1.1878434906908693</v>
      </c>
      <c r="AK159">
        <v>1.2347417646415519</v>
      </c>
      <c r="AL159">
        <v>1.1231441490926952</v>
      </c>
    </row>
    <row r="160" spans="1:38" x14ac:dyDescent="0.4">
      <c r="A160" s="10">
        <v>42634</v>
      </c>
      <c r="B160" s="11">
        <v>1.242743440838471</v>
      </c>
      <c r="C160" s="11">
        <v>1.231303771433478</v>
      </c>
      <c r="D160" s="11">
        <v>1.1653158092943461</v>
      </c>
      <c r="E160" s="11">
        <v>1.1815352468027269</v>
      </c>
      <c r="P160" s="1">
        <f>A159</f>
        <v>42633</v>
      </c>
      <c r="Q160" s="14">
        <f>[1]!i_dq_close(Q$2,$P160)</f>
        <v>1951.2861</v>
      </c>
      <c r="R160" s="14">
        <f>[1]!i_dq_close(R$2,$P160)</f>
        <v>3227.8553000000002</v>
      </c>
      <c r="S160" s="14">
        <f>[1]!i_dq_close(S$2,$P160)</f>
        <v>3923.8072000000002</v>
      </c>
      <c r="T160" s="14">
        <f>[1]!i_dq_close(T$2,$P160)</f>
        <v>5671.4669999999996</v>
      </c>
      <c r="U160" s="14">
        <f>[1]!i_dq_close(U$2,$P160)</f>
        <v>8408.4375999999993</v>
      </c>
      <c r="V160" s="14">
        <f>[1]!i_dq_close(V$2,$P160)</f>
        <v>9856.5274000000009</v>
      </c>
      <c r="W160" s="14">
        <f>[1]!i_dq_close(W$2,$P160)</f>
        <v>5321.0307000000003</v>
      </c>
      <c r="X160" s="14">
        <f>[1]!i_dq_close(X$2,$P160)</f>
        <v>6416.3145000000004</v>
      </c>
      <c r="Y160" s="14">
        <f>[1]!i_dq_close(Y$2,$P160)</f>
        <v>6173.9004999999997</v>
      </c>
      <c r="Z160" s="14">
        <f>[1]!i_dq_close(Z$2,$P160)</f>
        <v>2523.0717</v>
      </c>
      <c r="AB160" s="1">
        <v>42633</v>
      </c>
      <c r="AC160">
        <v>1.1584162930070232</v>
      </c>
      <c r="AD160">
        <v>1.2651761011631246</v>
      </c>
      <c r="AE160">
        <v>1.1612663942232622</v>
      </c>
      <c r="AF160">
        <v>1.1726243802670451</v>
      </c>
      <c r="AG160">
        <v>1.2537318088441791</v>
      </c>
      <c r="AH160">
        <v>1.2173374504868684</v>
      </c>
      <c r="AI160">
        <v>1.140433734388193</v>
      </c>
      <c r="AJ160">
        <v>1.1852627887530209</v>
      </c>
      <c r="AK160">
        <v>1.2262759742208562</v>
      </c>
      <c r="AL160">
        <v>1.1213657482232546</v>
      </c>
    </row>
    <row r="161" spans="1:38" x14ac:dyDescent="0.4">
      <c r="A161" s="10">
        <v>42635</v>
      </c>
      <c r="B161" s="11">
        <v>1.2497215717994361</v>
      </c>
      <c r="C161" s="11">
        <v>1.2380369254178309</v>
      </c>
      <c r="D161" s="11">
        <v>1.170287948381282</v>
      </c>
      <c r="E161" s="11">
        <v>1.1881270804666999</v>
      </c>
      <c r="P161" s="1">
        <f>A160</f>
        <v>42634</v>
      </c>
      <c r="Q161" s="14">
        <f>[1]!i_dq_close(Q$2,$P161)</f>
        <v>1946.4105</v>
      </c>
      <c r="R161" s="14">
        <f>[1]!i_dq_close(R$2,$P161)</f>
        <v>3232.1368000000002</v>
      </c>
      <c r="S161" s="14">
        <f>[1]!i_dq_close(S$2,$P161)</f>
        <v>3928.2323000000001</v>
      </c>
      <c r="T161" s="14">
        <f>[1]!i_dq_close(T$2,$P161)</f>
        <v>5679.0612000000001</v>
      </c>
      <c r="U161" s="14">
        <f>[1]!i_dq_close(U$2,$P161)</f>
        <v>8399.7337000000007</v>
      </c>
      <c r="V161" s="14">
        <f>[1]!i_dq_close(V$2,$P161)</f>
        <v>9876.2008000000005</v>
      </c>
      <c r="W161" s="14">
        <f>[1]!i_dq_close(W$2,$P161)</f>
        <v>5348.3265000000001</v>
      </c>
      <c r="X161" s="14">
        <f>[1]!i_dq_close(X$2,$P161)</f>
        <v>6436.7788</v>
      </c>
      <c r="Y161" s="14">
        <f>[1]!i_dq_close(Y$2,$P161)</f>
        <v>6180.8742000000002</v>
      </c>
      <c r="Z161" s="14">
        <f>[1]!i_dq_close(Z$2,$P161)</f>
        <v>2522.3238000000001</v>
      </c>
      <c r="AB161" s="1">
        <v>42634</v>
      </c>
      <c r="AC161">
        <v>1.1555218048649794</v>
      </c>
      <c r="AD161">
        <v>1.2668542592506726</v>
      </c>
      <c r="AE161">
        <v>1.1625760202214706</v>
      </c>
      <c r="AF161">
        <v>1.1741945461639152</v>
      </c>
      <c r="AG161">
        <v>1.2524340224051149</v>
      </c>
      <c r="AH161">
        <v>1.219767227793469</v>
      </c>
      <c r="AI161">
        <v>1.1462839263683131</v>
      </c>
      <c r="AJ161">
        <v>1.1890430855710583</v>
      </c>
      <c r="AK161">
        <v>1.2276611084259546</v>
      </c>
      <c r="AL161">
        <v>1.1210333480607479</v>
      </c>
    </row>
    <row r="162" spans="1:38" x14ac:dyDescent="0.4">
      <c r="A162" s="10">
        <v>42636</v>
      </c>
      <c r="B162" s="11">
        <v>1.2475973691276869</v>
      </c>
      <c r="C162" s="11">
        <v>1.235424508764422</v>
      </c>
      <c r="D162" s="11">
        <v>1.167094492665528</v>
      </c>
      <c r="E162" s="11">
        <v>1.1844017066414241</v>
      </c>
      <c r="P162" s="1">
        <f>A161</f>
        <v>42635</v>
      </c>
      <c r="Q162" s="14">
        <f>[1]!i_dq_close(Q$2,$P162)</f>
        <v>1955.2897</v>
      </c>
      <c r="R162" s="14">
        <f>[1]!i_dq_close(R$2,$P162)</f>
        <v>3244.2437</v>
      </c>
      <c r="S162" s="14">
        <f>[1]!i_dq_close(S$2,$P162)</f>
        <v>3948.1383999999998</v>
      </c>
      <c r="T162" s="14">
        <f>[1]!i_dq_close(T$2,$P162)</f>
        <v>5712.0343000000003</v>
      </c>
      <c r="U162" s="14">
        <f>[1]!i_dq_close(U$2,$P162)</f>
        <v>8465.3670999999995</v>
      </c>
      <c r="V162" s="14">
        <f>[1]!i_dq_close(V$2,$P162)</f>
        <v>9926.7913000000008</v>
      </c>
      <c r="W162" s="14">
        <f>[1]!i_dq_close(W$2,$P162)</f>
        <v>5411.0069000000003</v>
      </c>
      <c r="X162" s="14">
        <f>[1]!i_dq_close(X$2,$P162)</f>
        <v>6459.9430000000002</v>
      </c>
      <c r="Y162" s="14">
        <f>[1]!i_dq_close(Y$2,$P162)</f>
        <v>6221.7170999999998</v>
      </c>
      <c r="Z162" s="14">
        <f>[1]!i_dq_close(Z$2,$P162)</f>
        <v>2532.3303000000001</v>
      </c>
      <c r="AB162" s="1">
        <v>42635</v>
      </c>
      <c r="AC162">
        <v>1.1607931025741507</v>
      </c>
      <c r="AD162">
        <v>1.271599627030688</v>
      </c>
      <c r="AE162">
        <v>1.1684673099285814</v>
      </c>
      <c r="AF162">
        <v>1.1810120170145759</v>
      </c>
      <c r="AG162">
        <v>1.2622202258851281</v>
      </c>
      <c r="AH162">
        <v>1.2260154435990533</v>
      </c>
      <c r="AI162">
        <v>1.1597179482101616</v>
      </c>
      <c r="AJ162">
        <v>1.1933221252427006</v>
      </c>
      <c r="AK162">
        <v>1.2357734301239647</v>
      </c>
      <c r="AL162">
        <v>1.1254806835683342</v>
      </c>
    </row>
    <row r="163" spans="1:38" x14ac:dyDescent="0.4">
      <c r="A163" s="10">
        <v>42639</v>
      </c>
      <c r="B163" s="11">
        <v>1.2276887735273461</v>
      </c>
      <c r="C163" s="11">
        <v>1.2161763139025059</v>
      </c>
      <c r="D163" s="11">
        <v>1.148589007079702</v>
      </c>
      <c r="E163" s="11">
        <v>1.164249186486477</v>
      </c>
      <c r="P163" s="1">
        <f>A162</f>
        <v>42636</v>
      </c>
      <c r="Q163" s="14">
        <f>[1]!i_dq_close(Q$2,$P163)</f>
        <v>1953.7075</v>
      </c>
      <c r="R163" s="14">
        <f>[1]!i_dq_close(R$2,$P163)</f>
        <v>3221.5981000000002</v>
      </c>
      <c r="S163" s="14">
        <f>[1]!i_dq_close(S$2,$P163)</f>
        <v>3944.6887000000002</v>
      </c>
      <c r="T163" s="14">
        <f>[1]!i_dq_close(T$2,$P163)</f>
        <v>5690.2268000000004</v>
      </c>
      <c r="U163" s="14">
        <f>[1]!i_dq_close(U$2,$P163)</f>
        <v>8445.3642999999993</v>
      </c>
      <c r="V163" s="14">
        <f>[1]!i_dq_close(V$2,$P163)</f>
        <v>9918.1314999999995</v>
      </c>
      <c r="W163" s="14">
        <f>[1]!i_dq_close(W$2,$P163)</f>
        <v>5375.1117999999997</v>
      </c>
      <c r="X163" s="14">
        <f>[1]!i_dq_close(X$2,$P163)</f>
        <v>6431.5666000000001</v>
      </c>
      <c r="Y163" s="14">
        <f>[1]!i_dq_close(Y$2,$P163)</f>
        <v>6197.9647000000004</v>
      </c>
      <c r="Z163" s="14">
        <f>[1]!i_dq_close(Z$2,$P163)</f>
        <v>2519.9924999999998</v>
      </c>
      <c r="AB163" s="1">
        <v>42636</v>
      </c>
      <c r="AC163">
        <v>1.159853800921361</v>
      </c>
      <c r="AD163">
        <v>1.2627235563107584</v>
      </c>
      <c r="AE163">
        <v>1.167446357451571</v>
      </c>
      <c r="AF163">
        <v>1.1765031296010242</v>
      </c>
      <c r="AG163">
        <v>1.2592377280872078</v>
      </c>
      <c r="AH163">
        <v>1.2249459088201284</v>
      </c>
      <c r="AI163">
        <v>1.1520247050685202</v>
      </c>
      <c r="AJ163">
        <v>1.1880802545397025</v>
      </c>
      <c r="AK163">
        <v>1.2310556674308206</v>
      </c>
      <c r="AL163">
        <v>1.1199972142208603</v>
      </c>
    </row>
    <row r="164" spans="1:38" x14ac:dyDescent="0.4">
      <c r="A164" s="10">
        <v>42640</v>
      </c>
      <c r="B164" s="11">
        <v>1.232955812991114</v>
      </c>
      <c r="C164" s="11">
        <v>1.220104311412233</v>
      </c>
      <c r="D164" s="11">
        <v>1.152824262141388</v>
      </c>
      <c r="E164" s="11">
        <v>1.168913370795603</v>
      </c>
      <c r="P164" s="1">
        <f>A163</f>
        <v>42639</v>
      </c>
      <c r="Q164" s="14">
        <f>[1]!i_dq_close(Q$2,$P164)</f>
        <v>1929.4703999999999</v>
      </c>
      <c r="R164" s="14">
        <f>[1]!i_dq_close(R$2,$P164)</f>
        <v>3149.4521</v>
      </c>
      <c r="S164" s="14">
        <f>[1]!i_dq_close(S$2,$P164)</f>
        <v>3857.4884000000002</v>
      </c>
      <c r="T164" s="14">
        <f>[1]!i_dq_close(T$2,$P164)</f>
        <v>5584.3037999999997</v>
      </c>
      <c r="U164" s="14">
        <f>[1]!i_dq_close(U$2,$P164)</f>
        <v>8270.7103000000006</v>
      </c>
      <c r="V164" s="14">
        <f>[1]!i_dq_close(V$2,$P164)</f>
        <v>9738.1178</v>
      </c>
      <c r="W164" s="14">
        <f>[1]!i_dq_close(W$2,$P164)</f>
        <v>5301.0802000000003</v>
      </c>
      <c r="X164" s="14">
        <f>[1]!i_dq_close(X$2,$P164)</f>
        <v>6287.5605999999998</v>
      </c>
      <c r="Y164" s="14">
        <f>[1]!i_dq_close(Y$2,$P164)</f>
        <v>6064.3711999999996</v>
      </c>
      <c r="Z164" s="14">
        <f>[1]!i_dq_close(Z$2,$P164)</f>
        <v>2482.5596999999998</v>
      </c>
      <c r="AB164" s="1">
        <v>42639</v>
      </c>
      <c r="AC164">
        <v>1.145465008045093</v>
      </c>
      <c r="AD164">
        <v>1.2344455244564447</v>
      </c>
      <c r="AE164">
        <v>1.1416390807953207</v>
      </c>
      <c r="AF164">
        <v>1.1546026420850029</v>
      </c>
      <c r="AG164">
        <v>1.2331961153930886</v>
      </c>
      <c r="AH164">
        <v>1.2027131883377902</v>
      </c>
      <c r="AI164">
        <v>1.1361578291170749</v>
      </c>
      <c r="AJ164">
        <v>1.1614785421147322</v>
      </c>
      <c r="AK164">
        <v>1.2045209833422004</v>
      </c>
      <c r="AL164">
        <v>1.1033604060873095</v>
      </c>
    </row>
    <row r="165" spans="1:38" x14ac:dyDescent="0.4">
      <c r="A165" s="10">
        <v>42641</v>
      </c>
      <c r="B165" s="11">
        <v>1.233273143792716</v>
      </c>
      <c r="C165" s="11">
        <v>1.2182897807372559</v>
      </c>
      <c r="D165" s="11">
        <v>1.1522906262100401</v>
      </c>
      <c r="E165" s="11">
        <v>1.1691290876641021</v>
      </c>
      <c r="P165" s="1">
        <f>A164</f>
        <v>42640</v>
      </c>
      <c r="Q165" s="14">
        <f>[1]!i_dq_close(Q$2,$P165)</f>
        <v>1932.9631999999999</v>
      </c>
      <c r="R165" s="14">
        <f>[1]!i_dq_close(R$2,$P165)</f>
        <v>3168.5396999999998</v>
      </c>
      <c r="S165" s="14">
        <f>[1]!i_dq_close(S$2,$P165)</f>
        <v>3874.7984999999999</v>
      </c>
      <c r="T165" s="14">
        <f>[1]!i_dq_close(T$2,$P165)</f>
        <v>5629.2114000000001</v>
      </c>
      <c r="U165" s="14">
        <f>[1]!i_dq_close(U$2,$P165)</f>
        <v>8323.6686000000009</v>
      </c>
      <c r="V165" s="14">
        <f>[1]!i_dq_close(V$2,$P165)</f>
        <v>9803.9791999999998</v>
      </c>
      <c r="W165" s="14">
        <f>[1]!i_dq_close(W$2,$P165)</f>
        <v>5343.9165000000003</v>
      </c>
      <c r="X165" s="14">
        <f>[1]!i_dq_close(X$2,$P165)</f>
        <v>6338.6566999999995</v>
      </c>
      <c r="Y165" s="14">
        <f>[1]!i_dq_close(Y$2,$P165)</f>
        <v>6124.5218000000004</v>
      </c>
      <c r="Z165" s="14">
        <f>[1]!i_dq_close(Z$2,$P165)</f>
        <v>2487.2662999999998</v>
      </c>
      <c r="AB165" s="1">
        <v>42640</v>
      </c>
      <c r="AC165">
        <v>1.1475385719515929</v>
      </c>
      <c r="AD165">
        <v>1.2419270169968821</v>
      </c>
      <c r="AE165">
        <v>1.1467620739461166</v>
      </c>
      <c r="AF165">
        <v>1.1638876730336589</v>
      </c>
      <c r="AG165">
        <v>1.2410924105683436</v>
      </c>
      <c r="AH165">
        <v>1.2108474475457032</v>
      </c>
      <c r="AI165">
        <v>1.1453387499443823</v>
      </c>
      <c r="AJ165">
        <v>1.1709173415969587</v>
      </c>
      <c r="AK165">
        <v>1.2164682500036845</v>
      </c>
      <c r="AL165">
        <v>1.1054522293322009</v>
      </c>
    </row>
    <row r="166" spans="1:38" x14ac:dyDescent="0.4">
      <c r="A166" s="10">
        <v>42642</v>
      </c>
      <c r="B166" s="11">
        <v>1.2380256939668079</v>
      </c>
      <c r="C166" s="11">
        <v>1.223295345228953</v>
      </c>
      <c r="D166" s="11">
        <v>1.156334960795419</v>
      </c>
      <c r="E166" s="11">
        <v>1.1731391122363379</v>
      </c>
      <c r="P166" s="1">
        <f>A165</f>
        <v>42641</v>
      </c>
      <c r="Q166" s="14">
        <f>[1]!i_dq_close(Q$2,$P166)</f>
        <v>1925.9073000000001</v>
      </c>
      <c r="R166" s="14">
        <f>[1]!i_dq_close(R$2,$P166)</f>
        <v>3162.9212000000002</v>
      </c>
      <c r="S166" s="14">
        <f>[1]!i_dq_close(S$2,$P166)</f>
        <v>3863.5187000000001</v>
      </c>
      <c r="T166" s="14">
        <f>[1]!i_dq_close(T$2,$P166)</f>
        <v>5627.8096999999998</v>
      </c>
      <c r="U166" s="14">
        <f>[1]!i_dq_close(U$2,$P166)</f>
        <v>8300.9678999999996</v>
      </c>
      <c r="V166" s="14">
        <f>[1]!i_dq_close(V$2,$P166)</f>
        <v>9797.7939999999999</v>
      </c>
      <c r="W166" s="14">
        <f>[1]!i_dq_close(W$2,$P166)</f>
        <v>5327.6288999999997</v>
      </c>
      <c r="X166" s="14">
        <f>[1]!i_dq_close(X$2,$P166)</f>
        <v>6327.7358999999997</v>
      </c>
      <c r="Y166" s="14">
        <f>[1]!i_dq_close(Y$2,$P166)</f>
        <v>6120.9951000000001</v>
      </c>
      <c r="Z166" s="14">
        <f>[1]!i_dq_close(Z$2,$P166)</f>
        <v>2480.7903999999999</v>
      </c>
      <c r="AB166" s="1">
        <v>42641</v>
      </c>
      <c r="AC166">
        <v>1.143349709271831</v>
      </c>
      <c r="AD166">
        <v>1.2397248142140049</v>
      </c>
      <c r="AE166">
        <v>1.1434237721372105</v>
      </c>
      <c r="AF166">
        <v>1.1635978595526282</v>
      </c>
      <c r="AG166">
        <v>1.2377076450474542</v>
      </c>
      <c r="AH166">
        <v>1.2100835400057361</v>
      </c>
      <c r="AI166">
        <v>1.141847898351998</v>
      </c>
      <c r="AJ166">
        <v>1.1688999813407845</v>
      </c>
      <c r="AK166">
        <v>1.2157677677917853</v>
      </c>
      <c r="AL166">
        <v>1.1025740501473134</v>
      </c>
    </row>
    <row r="167" spans="1:38" x14ac:dyDescent="0.4">
      <c r="A167" s="10">
        <v>42643</v>
      </c>
      <c r="B167" s="11">
        <v>1.2439010576328311</v>
      </c>
      <c r="C167" s="11">
        <v>1.228381554519119</v>
      </c>
      <c r="D167" s="11">
        <v>1.1604134004181039</v>
      </c>
      <c r="E167" s="11">
        <v>1.178402739032077</v>
      </c>
      <c r="P167" s="1">
        <f>A166</f>
        <v>42642</v>
      </c>
      <c r="Q167" s="14">
        <f>[1]!i_dq_close(Q$2,$P167)</f>
        <v>1960.5488</v>
      </c>
      <c r="R167" s="14">
        <f>[1]!i_dq_close(R$2,$P167)</f>
        <v>3172.2676999999999</v>
      </c>
      <c r="S167" s="14">
        <f>[1]!i_dq_close(S$2,$P167)</f>
        <v>3870.3040999999998</v>
      </c>
      <c r="T167" s="14">
        <f>[1]!i_dq_close(T$2,$P167)</f>
        <v>5642.8576000000003</v>
      </c>
      <c r="U167" s="14">
        <f>[1]!i_dq_close(U$2,$P167)</f>
        <v>8347.8238999999994</v>
      </c>
      <c r="V167" s="14">
        <f>[1]!i_dq_close(V$2,$P167)</f>
        <v>9837.0578000000005</v>
      </c>
      <c r="W167" s="14">
        <f>[1]!i_dq_close(W$2,$P167)</f>
        <v>5351.7006000000001</v>
      </c>
      <c r="X167" s="14">
        <f>[1]!i_dq_close(X$2,$P167)</f>
        <v>6342.3508000000002</v>
      </c>
      <c r="Y167" s="14">
        <f>[1]!i_dq_close(Y$2,$P167)</f>
        <v>6146.7608</v>
      </c>
      <c r="Z167" s="14">
        <f>[1]!i_dq_close(Z$2,$P167)</f>
        <v>2480.7559000000001</v>
      </c>
      <c r="AB167" s="1">
        <v>42642</v>
      </c>
      <c r="AC167">
        <v>1.1639152624289015</v>
      </c>
      <c r="AD167">
        <v>1.2433882276357655</v>
      </c>
      <c r="AE167">
        <v>1.1454319383364473</v>
      </c>
      <c r="AF167">
        <v>1.1667091417679387</v>
      </c>
      <c r="AG167">
        <v>1.2446940627899374</v>
      </c>
      <c r="AH167">
        <v>1.214932843644706</v>
      </c>
      <c r="AI167">
        <v>1.1470070827791941</v>
      </c>
      <c r="AJ167">
        <v>1.1715997394544724</v>
      </c>
      <c r="AK167">
        <v>1.2208854173018451</v>
      </c>
      <c r="AL167">
        <v>1.1025587168064839</v>
      </c>
    </row>
    <row r="168" spans="1:38" x14ac:dyDescent="0.4">
      <c r="A168" s="10">
        <v>42653</v>
      </c>
      <c r="B168" s="11">
        <v>1.264355581374605</v>
      </c>
      <c r="C168" s="11">
        <v>1.245286327596409</v>
      </c>
      <c r="D168" s="11">
        <v>1.176195865969794</v>
      </c>
      <c r="E168" s="11">
        <v>1.197786529184858</v>
      </c>
      <c r="P168" s="1">
        <f>A167</f>
        <v>42643</v>
      </c>
      <c r="Q168" s="14">
        <f>[1]!i_dq_close(Q$2,$P168)</f>
        <v>1969.1962000000001</v>
      </c>
      <c r="R168" s="14">
        <f>[1]!i_dq_close(R$2,$P168)</f>
        <v>3187.4973</v>
      </c>
      <c r="S168" s="14">
        <f>[1]!i_dq_close(S$2,$P168)</f>
        <v>3886.2136</v>
      </c>
      <c r="T168" s="14">
        <f>[1]!i_dq_close(T$2,$P168)</f>
        <v>5674.8032999999996</v>
      </c>
      <c r="U168" s="14">
        <f>[1]!i_dq_close(U$2,$P168)</f>
        <v>8420.8081999999995</v>
      </c>
      <c r="V168" s="14">
        <f>[1]!i_dq_close(V$2,$P168)</f>
        <v>9894.2688999999991</v>
      </c>
      <c r="W168" s="14">
        <f>[1]!i_dq_close(W$2,$P168)</f>
        <v>5358.5726000000004</v>
      </c>
      <c r="X168" s="14">
        <f>[1]!i_dq_close(X$2,$P168)</f>
        <v>6355.9407000000001</v>
      </c>
      <c r="Y168" s="14">
        <f>[1]!i_dq_close(Y$2,$P168)</f>
        <v>6189.6104999999998</v>
      </c>
      <c r="Z168" s="14">
        <f>[1]!i_dq_close(Z$2,$P168)</f>
        <v>2484.6089000000002</v>
      </c>
      <c r="AB168" s="1">
        <v>42643</v>
      </c>
      <c r="AC168">
        <v>1.169048947874695</v>
      </c>
      <c r="AD168">
        <v>1.2493575553036675</v>
      </c>
      <c r="AE168">
        <v>1.1501404183297801</v>
      </c>
      <c r="AF168">
        <v>1.1733141888685736</v>
      </c>
      <c r="AG168">
        <v>1.2555763149762682</v>
      </c>
      <c r="AH168">
        <v>1.2219987413779734</v>
      </c>
      <c r="AI168">
        <v>1.1484799291250565</v>
      </c>
      <c r="AJ168">
        <v>1.1741101529906035</v>
      </c>
      <c r="AK168">
        <v>1.2293963347700763</v>
      </c>
      <c r="AL168">
        <v>1.1042711620881238</v>
      </c>
    </row>
    <row r="169" spans="1:38" x14ac:dyDescent="0.4">
      <c r="A169" s="10">
        <v>42654</v>
      </c>
      <c r="B169" s="11">
        <v>1.272283944643416</v>
      </c>
      <c r="C169" s="11">
        <v>1.2515449100685201</v>
      </c>
      <c r="D169" s="11">
        <v>1.1814846422194321</v>
      </c>
      <c r="E169" s="11">
        <v>1.204080966476091</v>
      </c>
      <c r="P169" s="1">
        <f>A168</f>
        <v>42653</v>
      </c>
      <c r="Q169" s="14">
        <f>[1]!i_dq_close(Q$2,$P169)</f>
        <v>2000.0867000000001</v>
      </c>
      <c r="R169" s="14">
        <f>[1]!i_dq_close(R$2,$P169)</f>
        <v>3244.7656000000002</v>
      </c>
      <c r="S169" s="14">
        <f>[1]!i_dq_close(S$2,$P169)</f>
        <v>3963.5151999999998</v>
      </c>
      <c r="T169" s="14">
        <f>[1]!i_dq_close(T$2,$P169)</f>
        <v>5764.3489</v>
      </c>
      <c r="U169" s="14">
        <f>[1]!i_dq_close(U$2,$P169)</f>
        <v>8562.1301000000003</v>
      </c>
      <c r="V169" s="14">
        <f>[1]!i_dq_close(V$2,$P169)</f>
        <v>10120.019200000001</v>
      </c>
      <c r="W169" s="14">
        <f>[1]!i_dq_close(W$2,$P169)</f>
        <v>5387.0367999999999</v>
      </c>
      <c r="X169" s="14">
        <f>[1]!i_dq_close(X$2,$P169)</f>
        <v>6530.6823999999997</v>
      </c>
      <c r="Y169" s="14">
        <f>[1]!i_dq_close(Y$2,$P169)</f>
        <v>6361.1229000000003</v>
      </c>
      <c r="Z169" s="14">
        <f>[1]!i_dq_close(Z$2,$P169)</f>
        <v>2521.1997999999999</v>
      </c>
      <c r="AB169" s="1">
        <v>42653</v>
      </c>
      <c r="AC169">
        <v>1.1873876520242983</v>
      </c>
      <c r="AD169">
        <v>1.2718041886810187</v>
      </c>
      <c r="AE169">
        <v>1.1730181352317952</v>
      </c>
      <c r="AF169">
        <v>1.1918285086566709</v>
      </c>
      <c r="AG169">
        <v>1.2766479777208781</v>
      </c>
      <c r="AH169">
        <v>1.2498801932824897</v>
      </c>
      <c r="AI169">
        <v>1.1545805392760882</v>
      </c>
      <c r="AJ169">
        <v>1.2063895611545024</v>
      </c>
      <c r="AK169">
        <v>1.2634625681667688</v>
      </c>
      <c r="AL169">
        <v>1.1205337922609651</v>
      </c>
    </row>
    <row r="170" spans="1:38" x14ac:dyDescent="0.4">
      <c r="A170" s="10">
        <v>42655</v>
      </c>
      <c r="B170" s="11">
        <v>1.2707824823452849</v>
      </c>
      <c r="C170" s="11">
        <v>1.2502015753763389</v>
      </c>
      <c r="D170" s="11">
        <v>1.181589394438237</v>
      </c>
      <c r="E170" s="11">
        <v>1.2034635987363089</v>
      </c>
      <c r="P170" s="1">
        <f>A169</f>
        <v>42654</v>
      </c>
      <c r="Q170" s="14">
        <f>[1]!i_dq_close(Q$2,$P170)</f>
        <v>2021.7184</v>
      </c>
      <c r="R170" s="14">
        <f>[1]!i_dq_close(R$2,$P170)</f>
        <v>3274.0255999999999</v>
      </c>
      <c r="S170" s="14">
        <f>[1]!i_dq_close(S$2,$P170)</f>
        <v>3994.4623999999999</v>
      </c>
      <c r="T170" s="14">
        <f>[1]!i_dq_close(T$2,$P170)</f>
        <v>5784.9103999999998</v>
      </c>
      <c r="U170" s="14">
        <f>[1]!i_dq_close(U$2,$P170)</f>
        <v>8604.0406000000003</v>
      </c>
      <c r="V170" s="14">
        <f>[1]!i_dq_close(V$2,$P170)</f>
        <v>10151.8156</v>
      </c>
      <c r="W170" s="14">
        <f>[1]!i_dq_close(W$2,$P170)</f>
        <v>5399.4489999999996</v>
      </c>
      <c r="X170" s="14">
        <f>[1]!i_dq_close(X$2,$P170)</f>
        <v>6547.8002999999999</v>
      </c>
      <c r="Y170" s="14">
        <f>[1]!i_dq_close(Y$2,$P170)</f>
        <v>6469.6265000000003</v>
      </c>
      <c r="Z170" s="14">
        <f>[1]!i_dq_close(Z$2,$P170)</f>
        <v>2534.5095999999999</v>
      </c>
      <c r="AB170" s="1">
        <v>42654</v>
      </c>
      <c r="AC170">
        <v>1.2002297020575765</v>
      </c>
      <c r="AD170">
        <v>1.2832728108091647</v>
      </c>
      <c r="AE170">
        <v>1.182177082530558</v>
      </c>
      <c r="AF170">
        <v>1.1960797748978147</v>
      </c>
      <c r="AG170">
        <v>1.2828970015555277</v>
      </c>
      <c r="AH170">
        <v>1.2538072303554715</v>
      </c>
      <c r="AI170">
        <v>1.1572407929742998</v>
      </c>
      <c r="AJ170">
        <v>1.209551689490262</v>
      </c>
      <c r="AK170">
        <v>1.2850138318770392</v>
      </c>
      <c r="AL170">
        <v>1.1264492618196391</v>
      </c>
    </row>
    <row r="171" spans="1:38" x14ac:dyDescent="0.4">
      <c r="A171" s="10">
        <v>42656</v>
      </c>
      <c r="B171" s="11">
        <v>1.2716110131063241</v>
      </c>
      <c r="C171" s="11">
        <v>1.251355177823023</v>
      </c>
      <c r="D171" s="11">
        <v>1.1823039123247541</v>
      </c>
      <c r="E171" s="11">
        <v>1.20380630955256</v>
      </c>
      <c r="P171" s="1">
        <f>A170</f>
        <v>42655</v>
      </c>
      <c r="Q171" s="14">
        <f>[1]!i_dq_close(Q$2,$P171)</f>
        <v>2016.8046999999999</v>
      </c>
      <c r="R171" s="14">
        <f>[1]!i_dq_close(R$2,$P171)</f>
        <v>3269.7383</v>
      </c>
      <c r="S171" s="14">
        <f>[1]!i_dq_close(S$2,$P171)</f>
        <v>3997.6039999999998</v>
      </c>
      <c r="T171" s="14">
        <f>[1]!i_dq_close(T$2,$P171)</f>
        <v>5783.4952999999996</v>
      </c>
      <c r="U171" s="14">
        <f>[1]!i_dq_close(U$2,$P171)</f>
        <v>8597.9506999999994</v>
      </c>
      <c r="V171" s="14">
        <f>[1]!i_dq_close(V$2,$P171)</f>
        <v>10157.2145</v>
      </c>
      <c r="W171" s="14">
        <f>[1]!i_dq_close(W$2,$P171)</f>
        <v>5389.4121999999998</v>
      </c>
      <c r="X171" s="14">
        <f>[1]!i_dq_close(X$2,$P171)</f>
        <v>6540.5688</v>
      </c>
      <c r="Y171" s="14">
        <f>[1]!i_dq_close(Y$2,$P171)</f>
        <v>6481.8635000000004</v>
      </c>
      <c r="Z171" s="14">
        <f>[1]!i_dq_close(Z$2,$P171)</f>
        <v>2538.3546999999999</v>
      </c>
      <c r="AB171" s="1">
        <v>42655</v>
      </c>
      <c r="AC171">
        <v>1.1973125951612844</v>
      </c>
      <c r="AD171">
        <v>1.2815923793788844</v>
      </c>
      <c r="AE171">
        <v>1.1831068515834544</v>
      </c>
      <c r="AF171">
        <v>1.1957871908520086</v>
      </c>
      <c r="AG171">
        <v>1.281988973012546</v>
      </c>
      <c r="AH171">
        <v>1.2544740253528082</v>
      </c>
      <c r="AI171">
        <v>1.1550896485906925</v>
      </c>
      <c r="AJ171">
        <v>1.2082158404047991</v>
      </c>
      <c r="AK171">
        <v>1.2874443762462822</v>
      </c>
      <c r="AL171">
        <v>1.1281581959884512</v>
      </c>
    </row>
    <row r="172" spans="1:38" x14ac:dyDescent="0.4">
      <c r="A172" s="10">
        <v>42657</v>
      </c>
      <c r="B172" s="11">
        <v>1.2706852955204251</v>
      </c>
      <c r="C172" s="11">
        <v>1.249493575050669</v>
      </c>
      <c r="D172" s="11">
        <v>1.179570266666824</v>
      </c>
      <c r="E172" s="11">
        <v>1.200087502911984</v>
      </c>
      <c r="P172" s="1">
        <f>A171</f>
        <v>42656</v>
      </c>
      <c r="Q172" s="14">
        <f>[1]!i_dq_close(Q$2,$P172)</f>
        <v>2006.0554</v>
      </c>
      <c r="R172" s="14">
        <f>[1]!i_dq_close(R$2,$P172)</f>
        <v>3270.7114000000001</v>
      </c>
      <c r="S172" s="14">
        <f>[1]!i_dq_close(S$2,$P172)</f>
        <v>4023.5699</v>
      </c>
      <c r="T172" s="14">
        <f>[1]!i_dq_close(T$2,$P172)</f>
        <v>5782.7384000000002</v>
      </c>
      <c r="U172" s="14">
        <f>[1]!i_dq_close(U$2,$P172)</f>
        <v>8584.4346999999998</v>
      </c>
      <c r="V172" s="14">
        <f>[1]!i_dq_close(V$2,$P172)</f>
        <v>10135.9406</v>
      </c>
      <c r="W172" s="14">
        <f>[1]!i_dq_close(W$2,$P172)</f>
        <v>5386.3382000000001</v>
      </c>
      <c r="X172" s="14">
        <f>[1]!i_dq_close(X$2,$P172)</f>
        <v>6549.6223</v>
      </c>
      <c r="Y172" s="14">
        <f>[1]!i_dq_close(Y$2,$P172)</f>
        <v>6468.4767000000002</v>
      </c>
      <c r="Z172" s="14">
        <f>[1]!i_dq_close(Z$2,$P172)</f>
        <v>2547.6035999999999</v>
      </c>
      <c r="AB172" s="1">
        <v>42656</v>
      </c>
      <c r="AC172">
        <v>1.1909310787560683</v>
      </c>
      <c r="AD172">
        <v>1.2819737914155522</v>
      </c>
      <c r="AE172">
        <v>1.1907915632751405</v>
      </c>
      <c r="AF172">
        <v>1.1956306952939062</v>
      </c>
      <c r="AG172">
        <v>1.2799736831412936</v>
      </c>
      <c r="AH172">
        <v>1.2518465771515368</v>
      </c>
      <c r="AI172">
        <v>1.1544308113282973</v>
      </c>
      <c r="AJ172">
        <v>1.2098882610222697</v>
      </c>
      <c r="AK172">
        <v>1.2847854556479181</v>
      </c>
      <c r="AL172">
        <v>1.1322688202203119</v>
      </c>
    </row>
    <row r="173" spans="1:38" x14ac:dyDescent="0.4">
      <c r="A173" s="10">
        <v>42660</v>
      </c>
      <c r="B173" s="11">
        <v>1.262369496039069</v>
      </c>
      <c r="C173" s="11">
        <v>1.2416740504349519</v>
      </c>
      <c r="D173" s="11">
        <v>1.1711018447705219</v>
      </c>
      <c r="E173" s="11">
        <v>1.191635965387821</v>
      </c>
      <c r="P173" s="1">
        <f>A172</f>
        <v>42657</v>
      </c>
      <c r="Q173" s="14">
        <f>[1]!i_dq_close(Q$2,$P173)</f>
        <v>2009.6711</v>
      </c>
      <c r="R173" s="14">
        <f>[1]!i_dq_close(R$2,$P173)</f>
        <v>3266.8553000000002</v>
      </c>
      <c r="S173" s="14">
        <f>[1]!i_dq_close(S$2,$P173)</f>
        <v>4029.105</v>
      </c>
      <c r="T173" s="14">
        <f>[1]!i_dq_close(T$2,$P173)</f>
        <v>5775.9498999999996</v>
      </c>
      <c r="U173" s="14">
        <f>[1]!i_dq_close(U$2,$P173)</f>
        <v>8597.8274999999994</v>
      </c>
      <c r="V173" s="14">
        <f>[1]!i_dq_close(V$2,$P173)</f>
        <v>10126.8922</v>
      </c>
      <c r="W173" s="14">
        <f>[1]!i_dq_close(W$2,$P173)</f>
        <v>5384.1315999999997</v>
      </c>
      <c r="X173" s="14">
        <f>[1]!i_dq_close(X$2,$P173)</f>
        <v>6516.0330999999996</v>
      </c>
      <c r="Y173" s="14">
        <f>[1]!i_dq_close(Y$2,$P173)</f>
        <v>6515.8915999999999</v>
      </c>
      <c r="Z173" s="14">
        <f>[1]!i_dq_close(Z$2,$P173)</f>
        <v>2546.9672</v>
      </c>
      <c r="AB173" s="1">
        <v>42657</v>
      </c>
      <c r="AC173">
        <v>1.1930776044708906</v>
      </c>
      <c r="AD173">
        <v>1.2804623712587393</v>
      </c>
      <c r="AE173">
        <v>1.1924296982015112</v>
      </c>
      <c r="AF173">
        <v>1.1942271147731267</v>
      </c>
      <c r="AG173">
        <v>1.2819706033978568</v>
      </c>
      <c r="AH173">
        <v>1.2507290480522939</v>
      </c>
      <c r="AI173">
        <v>1.1539578801951802</v>
      </c>
      <c r="AJ173">
        <v>1.2036834484520655</v>
      </c>
      <c r="AK173">
        <v>1.294203124865309</v>
      </c>
      <c r="AL173">
        <v>1.1319859756375881</v>
      </c>
    </row>
    <row r="174" spans="1:38" x14ac:dyDescent="0.4">
      <c r="A174" s="10">
        <v>42661</v>
      </c>
      <c r="B174" s="11">
        <v>1.2765801347742229</v>
      </c>
      <c r="C174" s="11">
        <v>1.256959352483594</v>
      </c>
      <c r="D174" s="11">
        <v>1.183406644061753</v>
      </c>
      <c r="E174" s="11">
        <v>1.206488189116466</v>
      </c>
      <c r="P174" s="1">
        <f>A173</f>
        <v>42660</v>
      </c>
      <c r="Q174" s="14">
        <f>[1]!i_dq_close(Q$2,$P174)</f>
        <v>1998.2416000000001</v>
      </c>
      <c r="R174" s="14">
        <f>[1]!i_dq_close(R$2,$P174)</f>
        <v>3256.152</v>
      </c>
      <c r="S174" s="14">
        <f>[1]!i_dq_close(S$2,$P174)</f>
        <v>3990.3717000000001</v>
      </c>
      <c r="T174" s="14">
        <f>[1]!i_dq_close(T$2,$P174)</f>
        <v>5722.7933999999996</v>
      </c>
      <c r="U174" s="14">
        <f>[1]!i_dq_close(U$2,$P174)</f>
        <v>8545.8922999999995</v>
      </c>
      <c r="V174" s="14">
        <f>[1]!i_dq_close(V$2,$P174)</f>
        <v>10079.242399999999</v>
      </c>
      <c r="W174" s="14">
        <f>[1]!i_dq_close(W$2,$P174)</f>
        <v>5328.2147000000004</v>
      </c>
      <c r="X174" s="14">
        <f>[1]!i_dq_close(X$2,$P174)</f>
        <v>6439.1478999999999</v>
      </c>
      <c r="Y174" s="14">
        <f>[1]!i_dq_close(Y$2,$P174)</f>
        <v>6430.5654000000004</v>
      </c>
      <c r="Z174" s="14">
        <f>[1]!i_dq_close(Z$2,$P174)</f>
        <v>2520.5783999999999</v>
      </c>
      <c r="AB174" s="1">
        <v>42660</v>
      </c>
      <c r="AC174">
        <v>1.186292275030516</v>
      </c>
      <c r="AD174">
        <v>1.2762671524199087</v>
      </c>
      <c r="AE174">
        <v>1.1809664235463835</v>
      </c>
      <c r="AF174">
        <v>1.1832365530948759</v>
      </c>
      <c r="AG174">
        <v>1.2742268565406898</v>
      </c>
      <c r="AH174">
        <v>1.2448440254987918</v>
      </c>
      <c r="AI174">
        <v>1.1419734503586054</v>
      </c>
      <c r="AJ174">
        <v>1.1894807209258769</v>
      </c>
      <c r="AK174">
        <v>1.2772554158713654</v>
      </c>
      <c r="AL174">
        <v>1.1202576143481668</v>
      </c>
    </row>
    <row r="175" spans="1:38" x14ac:dyDescent="0.4">
      <c r="A175" s="10">
        <v>42662</v>
      </c>
      <c r="B175" s="11">
        <v>1.27456114401887</v>
      </c>
      <c r="C175" s="11">
        <v>1.254566635421035</v>
      </c>
      <c r="D175" s="11">
        <v>1.180964348600263</v>
      </c>
      <c r="E175" s="11">
        <v>1.2030178446309019</v>
      </c>
      <c r="P175" s="1">
        <f>A174</f>
        <v>42661</v>
      </c>
      <c r="Q175" s="14">
        <f>[1]!i_dq_close(Q$2,$P175)</f>
        <v>2024.8239000000001</v>
      </c>
      <c r="R175" s="14">
        <f>[1]!i_dq_close(R$2,$P175)</f>
        <v>3306.8130000000001</v>
      </c>
      <c r="S175" s="14">
        <f>[1]!i_dq_close(S$2,$P175)</f>
        <v>4065.8445999999999</v>
      </c>
      <c r="T175" s="14">
        <f>[1]!i_dq_close(T$2,$P175)</f>
        <v>5800.0915000000005</v>
      </c>
      <c r="U175" s="14">
        <f>[1]!i_dq_close(U$2,$P175)</f>
        <v>8660.7153999999991</v>
      </c>
      <c r="V175" s="14">
        <f>[1]!i_dq_close(V$2,$P175)</f>
        <v>10180.7143</v>
      </c>
      <c r="W175" s="14">
        <f>[1]!i_dq_close(W$2,$P175)</f>
        <v>5389.3747000000003</v>
      </c>
      <c r="X175" s="14">
        <f>[1]!i_dq_close(X$2,$P175)</f>
        <v>6535.9925000000003</v>
      </c>
      <c r="Y175" s="14">
        <f>[1]!i_dq_close(Y$2,$P175)</f>
        <v>6514.7681000000002</v>
      </c>
      <c r="Z175" s="14">
        <f>[1]!i_dq_close(Z$2,$P175)</f>
        <v>2553.3454000000002</v>
      </c>
      <c r="AB175" s="1">
        <v>42661</v>
      </c>
      <c r="AC175">
        <v>1.2020733383126256</v>
      </c>
      <c r="AD175">
        <v>1.2961240172741124</v>
      </c>
      <c r="AE175">
        <v>1.2033029293881008</v>
      </c>
      <c r="AF175">
        <v>1.1992185973540279</v>
      </c>
      <c r="AG175">
        <v>1.2913474418037707</v>
      </c>
      <c r="AH175">
        <v>1.2573763849220569</v>
      </c>
      <c r="AI175">
        <v>1.1550816113762035</v>
      </c>
      <c r="AJ175">
        <v>1.2073704769020952</v>
      </c>
      <c r="AK175">
        <v>1.2939799724097363</v>
      </c>
      <c r="AL175">
        <v>1.1348207325790249</v>
      </c>
    </row>
    <row r="176" spans="1:38" x14ac:dyDescent="0.4">
      <c r="A176" s="10">
        <v>42663</v>
      </c>
      <c r="B176" s="11">
        <v>1.276769791082716</v>
      </c>
      <c r="C176" s="11">
        <v>1.2545982355355181</v>
      </c>
      <c r="D176" s="11">
        <v>1.182845574510075</v>
      </c>
      <c r="E176" s="11">
        <v>1.204815917263645</v>
      </c>
      <c r="P176" s="1">
        <f>A175</f>
        <v>42662</v>
      </c>
      <c r="Q176" s="14">
        <f>[1]!i_dq_close(Q$2,$P176)</f>
        <v>2031.2779</v>
      </c>
      <c r="R176" s="14">
        <f>[1]!i_dq_close(R$2,$P176)</f>
        <v>3304.1963000000001</v>
      </c>
      <c r="S176" s="14">
        <f>[1]!i_dq_close(S$2,$P176)</f>
        <v>4062.2620999999999</v>
      </c>
      <c r="T176" s="14">
        <f>[1]!i_dq_close(T$2,$P176)</f>
        <v>5789.8118999999997</v>
      </c>
      <c r="U176" s="14">
        <f>[1]!i_dq_close(U$2,$P176)</f>
        <v>8657.9215999999997</v>
      </c>
      <c r="V176" s="14">
        <f>[1]!i_dq_close(V$2,$P176)</f>
        <v>10152.763499999999</v>
      </c>
      <c r="W176" s="14">
        <f>[1]!i_dq_close(W$2,$P176)</f>
        <v>5374.308</v>
      </c>
      <c r="X176" s="14">
        <f>[1]!i_dq_close(X$2,$P176)</f>
        <v>6521.8194999999996</v>
      </c>
      <c r="Y176" s="14">
        <f>[1]!i_dq_close(Y$2,$P176)</f>
        <v>6508.8900999999996</v>
      </c>
      <c r="Z176" s="14">
        <f>[1]!i_dq_close(Z$2,$P176)</f>
        <v>2557.4097000000002</v>
      </c>
      <c r="AB176" s="1">
        <v>42662</v>
      </c>
      <c r="AC176">
        <v>1.2059048721687153</v>
      </c>
      <c r="AD176">
        <v>1.2950983869418253</v>
      </c>
      <c r="AE176">
        <v>1.2022426742213066</v>
      </c>
      <c r="AF176">
        <v>1.197093202005806</v>
      </c>
      <c r="AG176">
        <v>1.2909308750057311</v>
      </c>
      <c r="AH176">
        <v>1.2539243014214247</v>
      </c>
      <c r="AI176">
        <v>1.1518524300550157</v>
      </c>
      <c r="AJ176">
        <v>1.2047523493921364</v>
      </c>
      <c r="AK176">
        <v>1.2928124689528095</v>
      </c>
      <c r="AL176">
        <v>1.1366270890176879</v>
      </c>
    </row>
    <row r="177" spans="1:38" x14ac:dyDescent="0.4">
      <c r="A177" s="10">
        <v>42664</v>
      </c>
      <c r="B177" s="11">
        <v>1.2735758219660991</v>
      </c>
      <c r="C177" s="11">
        <v>1.252036758083326</v>
      </c>
      <c r="D177" s="11">
        <v>1.179258097318242</v>
      </c>
      <c r="E177" s="11">
        <v>1.19973510285976</v>
      </c>
      <c r="P177" s="1">
        <f>A176</f>
        <v>42663</v>
      </c>
      <c r="Q177" s="14">
        <f>[1]!i_dq_close(Q$2,$P177)</f>
        <v>2030.0626</v>
      </c>
      <c r="R177" s="14">
        <f>[1]!i_dq_close(R$2,$P177)</f>
        <v>3313.6668</v>
      </c>
      <c r="S177" s="14">
        <f>[1]!i_dq_close(S$2,$P177)</f>
        <v>4063.6797000000001</v>
      </c>
      <c r="T177" s="14">
        <f>[1]!i_dq_close(T$2,$P177)</f>
        <v>5813.3334999999997</v>
      </c>
      <c r="U177" s="14">
        <f>[1]!i_dq_close(U$2,$P177)</f>
        <v>8645.3850000000002</v>
      </c>
      <c r="V177" s="14">
        <f>[1]!i_dq_close(V$2,$P177)</f>
        <v>10120.113499999999</v>
      </c>
      <c r="W177" s="14">
        <f>[1]!i_dq_close(W$2,$P177)</f>
        <v>5379.1992</v>
      </c>
      <c r="X177" s="14">
        <f>[1]!i_dq_close(X$2,$P177)</f>
        <v>6572.7170999999998</v>
      </c>
      <c r="Y177" s="14">
        <f>[1]!i_dq_close(Y$2,$P177)</f>
        <v>6536.6431000000002</v>
      </c>
      <c r="Z177" s="14">
        <f>[1]!i_dq_close(Z$2,$P177)</f>
        <v>2553.1262000000002</v>
      </c>
      <c r="AB177" s="1">
        <v>42663</v>
      </c>
      <c r="AC177">
        <v>1.20518338733833</v>
      </c>
      <c r="AD177">
        <v>1.2988104028633771</v>
      </c>
      <c r="AE177">
        <v>1.2026622185965885</v>
      </c>
      <c r="AF177">
        <v>1.2019564942761991</v>
      </c>
      <c r="AG177">
        <v>1.2890616176070968</v>
      </c>
      <c r="AH177">
        <v>1.2498918398712853</v>
      </c>
      <c r="AI177">
        <v>1.152900740015272</v>
      </c>
      <c r="AJ177">
        <v>1.2141544806805631</v>
      </c>
      <c r="AK177">
        <v>1.2983248410930073</v>
      </c>
      <c r="AL177">
        <v>1.1347233103091741</v>
      </c>
    </row>
    <row r="178" spans="1:38" x14ac:dyDescent="0.4">
      <c r="A178" s="10">
        <v>42667</v>
      </c>
      <c r="B178" s="11">
        <v>1.282866590131261</v>
      </c>
      <c r="C178" s="11">
        <v>1.2605461012748631</v>
      </c>
      <c r="D178" s="11">
        <v>1.1856561635908689</v>
      </c>
      <c r="E178" s="11">
        <v>1.2065480605987839</v>
      </c>
      <c r="P178" s="1">
        <f>A177</f>
        <v>42664</v>
      </c>
      <c r="Q178" s="14">
        <f>[1]!i_dq_close(Q$2,$P178)</f>
        <v>2026.6186</v>
      </c>
      <c r="R178" s="14">
        <f>[1]!i_dq_close(R$2,$P178)</f>
        <v>3297.2973000000002</v>
      </c>
      <c r="S178" s="14">
        <f>[1]!i_dq_close(S$2,$P178)</f>
        <v>4078.8852999999999</v>
      </c>
      <c r="T178" s="14">
        <f>[1]!i_dq_close(T$2,$P178)</f>
        <v>5801.0762999999997</v>
      </c>
      <c r="U178" s="14">
        <f>[1]!i_dq_close(U$2,$P178)</f>
        <v>8612.2705999999998</v>
      </c>
      <c r="V178" s="14">
        <f>[1]!i_dq_close(V$2,$P178)</f>
        <v>10069.3352</v>
      </c>
      <c r="W178" s="14">
        <f>[1]!i_dq_close(W$2,$P178)</f>
        <v>5388.1184000000003</v>
      </c>
      <c r="X178" s="14">
        <f>[1]!i_dq_close(X$2,$P178)</f>
        <v>6535.1378999999997</v>
      </c>
      <c r="Y178" s="14">
        <f>[1]!i_dq_close(Y$2,$P178)</f>
        <v>6498.3687</v>
      </c>
      <c r="Z178" s="14">
        <f>[1]!i_dq_close(Z$2,$P178)</f>
        <v>2551.6152000000002</v>
      </c>
      <c r="AB178" s="1">
        <v>42664</v>
      </c>
      <c r="AC178">
        <v>1.2031387944346466</v>
      </c>
      <c r="AD178">
        <v>1.2923942849574754</v>
      </c>
      <c r="AE178">
        <v>1.207162376576828</v>
      </c>
      <c r="AF178">
        <v>1.1994222131891701</v>
      </c>
      <c r="AG178">
        <v>1.2841241276017252</v>
      </c>
      <c r="AH178">
        <v>1.2436204296926805</v>
      </c>
      <c r="AI178">
        <v>1.154812353974529</v>
      </c>
      <c r="AJ178">
        <v>1.2072126097060174</v>
      </c>
      <c r="AK178">
        <v>1.2907226814618764</v>
      </c>
      <c r="AL178">
        <v>1.1340517544253021</v>
      </c>
    </row>
    <row r="179" spans="1:38" x14ac:dyDescent="0.4">
      <c r="A179" s="10">
        <v>42668</v>
      </c>
      <c r="B179" s="11">
        <v>1.285754364286289</v>
      </c>
      <c r="C179" s="11">
        <v>1.26442147685635</v>
      </c>
      <c r="D179" s="11">
        <v>1.188100537668028</v>
      </c>
      <c r="E179" s="11">
        <v>1.20878311282137</v>
      </c>
      <c r="P179" s="1">
        <f>A178</f>
        <v>42667</v>
      </c>
      <c r="Q179" s="14">
        <f>[1]!i_dq_close(Q$2,$P179)</f>
        <v>2098.3173999999999</v>
      </c>
      <c r="R179" s="14">
        <f>[1]!i_dq_close(R$2,$P179)</f>
        <v>3330.7909</v>
      </c>
      <c r="S179" s="14">
        <f>[1]!i_dq_close(S$2,$P179)</f>
        <v>4120.1656000000003</v>
      </c>
      <c r="T179" s="14">
        <f>[1]!i_dq_close(T$2,$P179)</f>
        <v>5847.6372000000001</v>
      </c>
      <c r="U179" s="14">
        <f>[1]!i_dq_close(U$2,$P179)</f>
        <v>8711.5000999999993</v>
      </c>
      <c r="V179" s="14">
        <f>[1]!i_dq_close(V$2,$P179)</f>
        <v>10133.8475</v>
      </c>
      <c r="W179" s="14">
        <f>[1]!i_dq_close(W$2,$P179)</f>
        <v>5453.3374000000003</v>
      </c>
      <c r="X179" s="14">
        <f>[1]!i_dq_close(X$2,$P179)</f>
        <v>6571.7556000000004</v>
      </c>
      <c r="Y179" s="14">
        <f>[1]!i_dq_close(Y$2,$P179)</f>
        <v>6535.7883000000002</v>
      </c>
      <c r="Z179" s="14">
        <f>[1]!i_dq_close(Z$2,$P179)</f>
        <v>2574.5284999999999</v>
      </c>
      <c r="AB179" s="1">
        <v>42667</v>
      </c>
      <c r="AC179">
        <v>1.2457040841218185</v>
      </c>
      <c r="AD179">
        <v>1.3055222904978467</v>
      </c>
      <c r="AE179">
        <v>1.2193794460427934</v>
      </c>
      <c r="AF179">
        <v>1.2090490780738952</v>
      </c>
      <c r="AG179">
        <v>1.298919644491296</v>
      </c>
      <c r="AH179">
        <v>1.2515880673423301</v>
      </c>
      <c r="AI179">
        <v>1.1687904630884387</v>
      </c>
      <c r="AJ179">
        <v>1.2139768662304944</v>
      </c>
      <c r="AK179">
        <v>1.2981550585215575</v>
      </c>
      <c r="AL179">
        <v>1.1442354482928858</v>
      </c>
    </row>
    <row r="180" spans="1:38" x14ac:dyDescent="0.4">
      <c r="A180" s="10">
        <v>42669</v>
      </c>
      <c r="B180" s="11">
        <v>1.280737987506962</v>
      </c>
      <c r="C180" s="11">
        <v>1.259458719744714</v>
      </c>
      <c r="D180" s="11">
        <v>1.1837311264354631</v>
      </c>
      <c r="E180" s="11">
        <v>1.2027992473119049</v>
      </c>
      <c r="P180" s="1">
        <f>A179</f>
        <v>42668</v>
      </c>
      <c r="Q180" s="14">
        <f>[1]!i_dq_close(Q$2,$P180)</f>
        <v>2124.7932000000001</v>
      </c>
      <c r="R180" s="14">
        <f>[1]!i_dq_close(R$2,$P180)</f>
        <v>3362.0837000000001</v>
      </c>
      <c r="S180" s="14">
        <f>[1]!i_dq_close(S$2,$P180)</f>
        <v>4117.8507</v>
      </c>
      <c r="T180" s="14">
        <f>[1]!i_dq_close(T$2,$P180)</f>
        <v>5869.5587999999998</v>
      </c>
      <c r="U180" s="14">
        <f>[1]!i_dq_close(U$2,$P180)</f>
        <v>8788.3245000000006</v>
      </c>
      <c r="V180" s="14">
        <f>[1]!i_dq_close(V$2,$P180)</f>
        <v>10136.3729</v>
      </c>
      <c r="W180" s="14">
        <f>[1]!i_dq_close(W$2,$P180)</f>
        <v>5444.6360000000004</v>
      </c>
      <c r="X180" s="14">
        <f>[1]!i_dq_close(X$2,$P180)</f>
        <v>6584.8519999999999</v>
      </c>
      <c r="Y180" s="14">
        <f>[1]!i_dq_close(Y$2,$P180)</f>
        <v>6528.9993000000004</v>
      </c>
      <c r="Z180" s="14">
        <f>[1]!i_dq_close(Z$2,$P180)</f>
        <v>2581.2644</v>
      </c>
      <c r="AB180" s="1">
        <v>42668</v>
      </c>
      <c r="AC180">
        <v>1.2614219217522897</v>
      </c>
      <c r="AD180">
        <v>1.3177876800580535</v>
      </c>
      <c r="AE180">
        <v>1.2186943421528806</v>
      </c>
      <c r="AF180">
        <v>1.2135815566397514</v>
      </c>
      <c r="AG180">
        <v>1.3103744710069107</v>
      </c>
      <c r="AH180">
        <v>1.2518999686715406</v>
      </c>
      <c r="AI180">
        <v>1.1669255292709351</v>
      </c>
      <c r="AJ180">
        <v>1.2163961172797728</v>
      </c>
      <c r="AK180">
        <v>1.2968066099048388</v>
      </c>
      <c r="AL180">
        <v>1.1472291830898229</v>
      </c>
    </row>
    <row r="181" spans="1:38" x14ac:dyDescent="0.4">
      <c r="A181" s="10">
        <v>42670</v>
      </c>
      <c r="B181" s="11">
        <v>1.2810611505953331</v>
      </c>
      <c r="C181" s="11">
        <v>1.2573425356641339</v>
      </c>
      <c r="D181" s="11">
        <v>1.182389180259152</v>
      </c>
      <c r="E181" s="11">
        <v>1.2022938024193139</v>
      </c>
      <c r="P181" s="1">
        <f>A180</f>
        <v>42669</v>
      </c>
      <c r="Q181" s="14">
        <f>[1]!i_dq_close(Q$2,$P181)</f>
        <v>2091.8168999999998</v>
      </c>
      <c r="R181" s="14">
        <f>[1]!i_dq_close(R$2,$P181)</f>
        <v>3336.5281</v>
      </c>
      <c r="S181" s="14">
        <f>[1]!i_dq_close(S$2,$P181)</f>
        <v>4091.1777999999999</v>
      </c>
      <c r="T181" s="14">
        <f>[1]!i_dq_close(T$2,$P181)</f>
        <v>5838.4789000000001</v>
      </c>
      <c r="U181" s="14">
        <f>[1]!i_dq_close(U$2,$P181)</f>
        <v>8882.8763999999992</v>
      </c>
      <c r="V181" s="14">
        <f>[1]!i_dq_close(V$2,$P181)</f>
        <v>10132.278</v>
      </c>
      <c r="W181" s="14">
        <f>[1]!i_dq_close(W$2,$P181)</f>
        <v>5429.0070999999998</v>
      </c>
      <c r="X181" s="14">
        <f>[1]!i_dq_close(X$2,$P181)</f>
        <v>6541.7960000000003</v>
      </c>
      <c r="Y181" s="14">
        <f>[1]!i_dq_close(Y$2,$P181)</f>
        <v>6495.2641999999996</v>
      </c>
      <c r="Z181" s="14">
        <f>[1]!i_dq_close(Z$2,$P181)</f>
        <v>2572.3195999999998</v>
      </c>
      <c r="AB181" s="1">
        <v>42669</v>
      </c>
      <c r="AC181">
        <v>1.2418449446995203</v>
      </c>
      <c r="AD181">
        <v>1.3077710184156048</v>
      </c>
      <c r="AE181">
        <v>1.2108003909907343</v>
      </c>
      <c r="AF181">
        <v>1.2071555211049838</v>
      </c>
      <c r="AG181">
        <v>1.3244725389543557</v>
      </c>
      <c r="AH181">
        <v>1.2513942251247823</v>
      </c>
      <c r="AI181">
        <v>1.1635758540301249</v>
      </c>
      <c r="AJ181">
        <v>1.2084425366638989</v>
      </c>
      <c r="AK181">
        <v>1.2901060576983465</v>
      </c>
      <c r="AL181">
        <v>1.1432537144795936</v>
      </c>
    </row>
    <row r="182" spans="1:38" x14ac:dyDescent="0.4">
      <c r="A182" s="10">
        <v>42671</v>
      </c>
      <c r="B182" s="11">
        <v>1.273255155107522</v>
      </c>
      <c r="C182" s="11">
        <v>1.2515168705408981</v>
      </c>
      <c r="D182" s="11">
        <v>1.176869836834292</v>
      </c>
      <c r="E182" s="11">
        <v>1.195027003211544</v>
      </c>
      <c r="P182" s="1">
        <f>A181</f>
        <v>42670</v>
      </c>
      <c r="Q182" s="14">
        <f>[1]!i_dq_close(Q$2,$P182)</f>
        <v>2076.6941999999999</v>
      </c>
      <c r="R182" s="14">
        <f>[1]!i_dq_close(R$2,$P182)</f>
        <v>3333.2363</v>
      </c>
      <c r="S182" s="14">
        <f>[1]!i_dq_close(S$2,$P182)</f>
        <v>4087.8377999999998</v>
      </c>
      <c r="T182" s="14">
        <f>[1]!i_dq_close(T$2,$P182)</f>
        <v>5833.7197999999999</v>
      </c>
      <c r="U182" s="14">
        <f>[1]!i_dq_close(U$2,$P182)</f>
        <v>8844.3894999999993</v>
      </c>
      <c r="V182" s="14">
        <f>[1]!i_dq_close(V$2,$P182)</f>
        <v>10094.969800000001</v>
      </c>
      <c r="W182" s="14">
        <f>[1]!i_dq_close(W$2,$P182)</f>
        <v>5417.3771999999999</v>
      </c>
      <c r="X182" s="14">
        <f>[1]!i_dq_close(X$2,$P182)</f>
        <v>6532.3369000000002</v>
      </c>
      <c r="Y182" s="14">
        <f>[1]!i_dq_close(Y$2,$P182)</f>
        <v>6473.9069</v>
      </c>
      <c r="Z182" s="14">
        <f>[1]!i_dq_close(Z$2,$P182)</f>
        <v>2576.4263000000001</v>
      </c>
      <c r="AB182" s="1">
        <v>42670</v>
      </c>
      <c r="AC182">
        <v>1.2328670802673096</v>
      </c>
      <c r="AD182">
        <v>1.3064807788284063</v>
      </c>
      <c r="AE182">
        <v>1.2098119046663538</v>
      </c>
      <c r="AF182">
        <v>1.2061715364166963</v>
      </c>
      <c r="AG182">
        <v>1.3187339876266031</v>
      </c>
      <c r="AH182">
        <v>1.2467864492593943</v>
      </c>
      <c r="AI182">
        <v>1.161083267342444</v>
      </c>
      <c r="AJ182">
        <v>1.2066951910116412</v>
      </c>
      <c r="AK182">
        <v>1.2858640159187249</v>
      </c>
      <c r="AL182">
        <v>1.1450789153719141</v>
      </c>
    </row>
    <row r="183" spans="1:38" x14ac:dyDescent="0.4">
      <c r="A183" s="10">
        <v>42674</v>
      </c>
      <c r="B183" s="11">
        <v>1.2723174037047389</v>
      </c>
      <c r="C183" s="11">
        <v>1.251166974954069</v>
      </c>
      <c r="D183" s="11">
        <v>1.176758251171476</v>
      </c>
      <c r="E183" s="11">
        <v>1.1941582630696039</v>
      </c>
      <c r="P183" s="1">
        <f>A182</f>
        <v>42671</v>
      </c>
      <c r="Q183" s="14">
        <f>[1]!i_dq_close(Q$2,$P183)</f>
        <v>2073.4432000000002</v>
      </c>
      <c r="R183" s="14">
        <f>[1]!i_dq_close(R$2,$P183)</f>
        <v>3298.4524999999999</v>
      </c>
      <c r="S183" s="14">
        <f>[1]!i_dq_close(S$2,$P183)</f>
        <v>4042.5531000000001</v>
      </c>
      <c r="T183" s="14">
        <f>[1]!i_dq_close(T$2,$P183)</f>
        <v>5793.3463000000002</v>
      </c>
      <c r="U183" s="14">
        <f>[1]!i_dq_close(U$2,$P183)</f>
        <v>8806.3068000000003</v>
      </c>
      <c r="V183" s="14">
        <f>[1]!i_dq_close(V$2,$P183)</f>
        <v>10021.355100000001</v>
      </c>
      <c r="W183" s="14">
        <f>[1]!i_dq_close(W$2,$P183)</f>
        <v>5433.527</v>
      </c>
      <c r="X183" s="14">
        <f>[1]!i_dq_close(X$2,$P183)</f>
        <v>6479.3014999999996</v>
      </c>
      <c r="Y183" s="14">
        <f>[1]!i_dq_close(Y$2,$P183)</f>
        <v>6435.5762000000004</v>
      </c>
      <c r="Z183" s="14">
        <f>[1]!i_dq_close(Z$2,$P183)</f>
        <v>2557.3085000000001</v>
      </c>
      <c r="AB183" s="1">
        <v>42671</v>
      </c>
      <c r="AC183">
        <v>1.2309370653050931</v>
      </c>
      <c r="AD183">
        <v>1.2928470721168204</v>
      </c>
      <c r="AE183">
        <v>1.1964097170454937</v>
      </c>
      <c r="AF183">
        <v>1.1978239694791275</v>
      </c>
      <c r="AG183">
        <v>1.3130557041418487</v>
      </c>
      <c r="AH183">
        <v>1.2376946132019655</v>
      </c>
      <c r="AI183">
        <v>1.1645445848506522</v>
      </c>
      <c r="AJ183">
        <v>1.1968981515886776</v>
      </c>
      <c r="AK183">
        <v>1.2782506738369943</v>
      </c>
      <c r="AL183">
        <v>1.1365821112179211</v>
      </c>
    </row>
    <row r="184" spans="1:38" x14ac:dyDescent="0.4">
      <c r="A184" s="10">
        <v>42675</v>
      </c>
      <c r="B184" s="11">
        <v>1.283703574833569</v>
      </c>
      <c r="C184" s="11">
        <v>1.260823060364419</v>
      </c>
      <c r="D184" s="11">
        <v>1.1855936809385621</v>
      </c>
      <c r="E184" s="11">
        <v>1.204068227194091</v>
      </c>
      <c r="P184" s="1">
        <f>A183</f>
        <v>42674</v>
      </c>
      <c r="Q184" s="14">
        <f>[1]!i_dq_close(Q$2,$P184)</f>
        <v>2064.9571999999998</v>
      </c>
      <c r="R184" s="14">
        <f>[1]!i_dq_close(R$2,$P184)</f>
        <v>3309.2827000000002</v>
      </c>
      <c r="S184" s="14">
        <f>[1]!i_dq_close(S$2,$P184)</f>
        <v>4026.6293000000001</v>
      </c>
      <c r="T184" s="14">
        <f>[1]!i_dq_close(T$2,$P184)</f>
        <v>5800.7214000000004</v>
      </c>
      <c r="U184" s="14">
        <f>[1]!i_dq_close(U$2,$P184)</f>
        <v>8812.6187000000009</v>
      </c>
      <c r="V184" s="14">
        <f>[1]!i_dq_close(V$2,$P184)</f>
        <v>10015.361999999999</v>
      </c>
      <c r="W184" s="14">
        <f>[1]!i_dq_close(W$2,$P184)</f>
        <v>5428.8738999999996</v>
      </c>
      <c r="X184" s="14">
        <f>[1]!i_dq_close(X$2,$P184)</f>
        <v>6470.5263000000004</v>
      </c>
      <c r="Y184" s="14">
        <f>[1]!i_dq_close(Y$2,$P184)</f>
        <v>6392.7417999999998</v>
      </c>
      <c r="Z184" s="14">
        <f>[1]!i_dq_close(Z$2,$P184)</f>
        <v>2549.7152000000001</v>
      </c>
      <c r="AB184" s="1">
        <v>42674</v>
      </c>
      <c r="AC184">
        <v>1.2258991978891061</v>
      </c>
      <c r="AD184">
        <v>1.2970920301268083</v>
      </c>
      <c r="AE184">
        <v>1.1916970049101134</v>
      </c>
      <c r="AF184">
        <v>1.1993488345743328</v>
      </c>
      <c r="AG184">
        <v>1.3139968337762344</v>
      </c>
      <c r="AH184">
        <v>1.2369544311095872</v>
      </c>
      <c r="AI184">
        <v>1.1635473058442594</v>
      </c>
      <c r="AJ184">
        <v>1.195277140333094</v>
      </c>
      <c r="AK184">
        <v>1.2697427952940592</v>
      </c>
      <c r="AL184">
        <v>1.133207309568018</v>
      </c>
    </row>
    <row r="185" spans="1:38" x14ac:dyDescent="0.4">
      <c r="A185" s="10">
        <v>42676</v>
      </c>
      <c r="B185" s="11">
        <v>1.277211016881576</v>
      </c>
      <c r="C185" s="11">
        <v>1.2536448973519889</v>
      </c>
      <c r="D185" s="11">
        <v>1.17949579874406</v>
      </c>
      <c r="E185" s="11">
        <v>1.1980052193170641</v>
      </c>
      <c r="P185" s="1">
        <f>A184</f>
        <v>42675</v>
      </c>
      <c r="Q185" s="14">
        <f>[1]!i_dq_close(Q$2,$P185)</f>
        <v>2069.3861999999999</v>
      </c>
      <c r="R185" s="14">
        <f>[1]!i_dq_close(R$2,$P185)</f>
        <v>3339.5763999999999</v>
      </c>
      <c r="S185" s="14">
        <f>[1]!i_dq_close(S$2,$P185)</f>
        <v>4062.9454999999998</v>
      </c>
      <c r="T185" s="14">
        <f>[1]!i_dq_close(T$2,$P185)</f>
        <v>5851.8472000000002</v>
      </c>
      <c r="U185" s="14">
        <f>[1]!i_dq_close(U$2,$P185)</f>
        <v>8897.5439999999999</v>
      </c>
      <c r="V185" s="14">
        <f>[1]!i_dq_close(V$2,$P185)</f>
        <v>10109.0064</v>
      </c>
      <c r="W185" s="14">
        <f>[1]!i_dq_close(W$2,$P185)</f>
        <v>5475.0925999999999</v>
      </c>
      <c r="X185" s="14">
        <f>[1]!i_dq_close(X$2,$P185)</f>
        <v>6531.0891000000001</v>
      </c>
      <c r="Y185" s="14">
        <f>[1]!i_dq_close(Y$2,$P185)</f>
        <v>6447.1346999999996</v>
      </c>
      <c r="Z185" s="14">
        <f>[1]!i_dq_close(Z$2,$P185)</f>
        <v>2574.1188000000002</v>
      </c>
      <c r="AB185" s="1">
        <v>42675</v>
      </c>
      <c r="AC185">
        <v>1.2285285538619326</v>
      </c>
      <c r="AD185">
        <v>1.3089658168036167</v>
      </c>
      <c r="AE185">
        <v>1.2024449291776182</v>
      </c>
      <c r="AF185">
        <v>1.209919531633957</v>
      </c>
      <c r="AG185">
        <v>1.3266595370096668</v>
      </c>
      <c r="AH185">
        <v>1.2485200495593847</v>
      </c>
      <c r="AI185">
        <v>1.1734531619859214</v>
      </c>
      <c r="AJ185">
        <v>1.2064646893883486</v>
      </c>
      <c r="AK185">
        <v>1.2805464527935926</v>
      </c>
      <c r="AL185">
        <v>1.1440533593149758</v>
      </c>
    </row>
    <row r="186" spans="1:38" x14ac:dyDescent="0.4">
      <c r="A186" s="10">
        <v>42677</v>
      </c>
      <c r="B186" s="11">
        <v>1.283153059882062</v>
      </c>
      <c r="C186" s="11">
        <v>1.258793091659963</v>
      </c>
      <c r="D186" s="11">
        <v>1.183013802793254</v>
      </c>
      <c r="E186" s="11">
        <v>1.201660170223168</v>
      </c>
      <c r="P186" s="1">
        <f>A185</f>
        <v>42676</v>
      </c>
      <c r="Q186" s="14">
        <f>[1]!i_dq_close(Q$2,$P186)</f>
        <v>2044.2036000000001</v>
      </c>
      <c r="R186" s="14">
        <f>[1]!i_dq_close(R$2,$P186)</f>
        <v>3331.7804000000001</v>
      </c>
      <c r="S186" s="14">
        <f>[1]!i_dq_close(S$2,$P186)</f>
        <v>4022.2462999999998</v>
      </c>
      <c r="T186" s="14">
        <f>[1]!i_dq_close(T$2,$P186)</f>
        <v>5818.6459000000004</v>
      </c>
      <c r="U186" s="14">
        <f>[1]!i_dq_close(U$2,$P186)</f>
        <v>8834.0612999999994</v>
      </c>
      <c r="V186" s="14">
        <f>[1]!i_dq_close(V$2,$P186)</f>
        <v>10066.2523</v>
      </c>
      <c r="W186" s="14">
        <f>[1]!i_dq_close(W$2,$P186)</f>
        <v>5433.0042000000003</v>
      </c>
      <c r="X186" s="14">
        <f>[1]!i_dq_close(X$2,$P186)</f>
        <v>6480.0985000000001</v>
      </c>
      <c r="Y186" s="14">
        <f>[1]!i_dq_close(Y$2,$P186)</f>
        <v>6386.2714999999998</v>
      </c>
      <c r="Z186" s="14">
        <f>[1]!i_dq_close(Z$2,$P186)</f>
        <v>2544.3326000000002</v>
      </c>
      <c r="AB186" s="1">
        <v>42676</v>
      </c>
      <c r="AC186">
        <v>1.2135784478060967</v>
      </c>
      <c r="AD186">
        <v>1.3059101306070677</v>
      </c>
      <c r="AE186">
        <v>1.190399838574856</v>
      </c>
      <c r="AF186">
        <v>1.203054878478687</v>
      </c>
      <c r="AG186">
        <v>1.3171940115354321</v>
      </c>
      <c r="AH186">
        <v>1.2432396739281193</v>
      </c>
      <c r="AI186">
        <v>1.1644325353643867</v>
      </c>
      <c r="AJ186">
        <v>1.197045378543129</v>
      </c>
      <c r="AK186">
        <v>1.2684576476898823</v>
      </c>
      <c r="AL186">
        <v>1.1308150417317981</v>
      </c>
    </row>
    <row r="187" spans="1:38" x14ac:dyDescent="0.4">
      <c r="A187" s="10">
        <v>42678</v>
      </c>
      <c r="B187" s="11">
        <v>1.27992482927871</v>
      </c>
      <c r="C187" s="11">
        <v>1.253759139570833</v>
      </c>
      <c r="D187" s="11">
        <v>1.17905260194392</v>
      </c>
      <c r="E187" s="11">
        <v>1.1973342494856929</v>
      </c>
      <c r="P187" s="1">
        <f>A186</f>
        <v>42677</v>
      </c>
      <c r="Q187" s="14">
        <f>[1]!i_dq_close(Q$2,$P187)</f>
        <v>2052.9956000000002</v>
      </c>
      <c r="R187" s="14">
        <f>[1]!i_dq_close(R$2,$P187)</f>
        <v>3347.8751999999999</v>
      </c>
      <c r="S187" s="14">
        <f>[1]!i_dq_close(S$2,$P187)</f>
        <v>4078.4784</v>
      </c>
      <c r="T187" s="14">
        <f>[1]!i_dq_close(T$2,$P187)</f>
        <v>5846.0757999999996</v>
      </c>
      <c r="U187" s="14">
        <f>[1]!i_dq_close(U$2,$P187)</f>
        <v>8861.4046999999991</v>
      </c>
      <c r="V187" s="14">
        <f>[1]!i_dq_close(V$2,$P187)</f>
        <v>10097.935799999999</v>
      </c>
      <c r="W187" s="14">
        <f>[1]!i_dq_close(W$2,$P187)</f>
        <v>5485.7875000000004</v>
      </c>
      <c r="X187" s="14">
        <f>[1]!i_dq_close(X$2,$P187)</f>
        <v>6510.1109999999999</v>
      </c>
      <c r="Y187" s="14">
        <f>[1]!i_dq_close(Y$2,$P187)</f>
        <v>6411.0645999999997</v>
      </c>
      <c r="Z187" s="14">
        <f>[1]!i_dq_close(Z$2,$P187)</f>
        <v>2561.4299000000001</v>
      </c>
      <c r="AB187" s="1">
        <v>42677</v>
      </c>
      <c r="AC187">
        <v>1.2187979776577764</v>
      </c>
      <c r="AD187">
        <v>1.3122185782977061</v>
      </c>
      <c r="AE187">
        <v>1.2070419528985674</v>
      </c>
      <c r="AF187">
        <v>1.2087262452499803</v>
      </c>
      <c r="AG187">
        <v>1.3212710222683117</v>
      </c>
      <c r="AH187">
        <v>1.2471527672060316</v>
      </c>
      <c r="AI187">
        <v>1.1757453541256715</v>
      </c>
      <c r="AJ187">
        <v>1.2025894801371904</v>
      </c>
      <c r="AK187">
        <v>1.2733821168899375</v>
      </c>
      <c r="AL187">
        <v>1.1384138454467689</v>
      </c>
    </row>
    <row r="188" spans="1:38" x14ac:dyDescent="0.4">
      <c r="A188" s="10">
        <v>42681</v>
      </c>
      <c r="B188" s="11">
        <v>1.279258308219233</v>
      </c>
      <c r="C188" s="11">
        <v>1.2550762042775501</v>
      </c>
      <c r="D188" s="11">
        <v>1.1788916297842269</v>
      </c>
      <c r="E188" s="11">
        <v>1.1955425403918389</v>
      </c>
      <c r="P188" s="1">
        <f>A187</f>
        <v>42678</v>
      </c>
      <c r="Q188" s="14">
        <f>[1]!i_dq_close(Q$2,$P188)</f>
        <v>2061.4654999999998</v>
      </c>
      <c r="R188" s="14">
        <f>[1]!i_dq_close(R$2,$P188)</f>
        <v>3332.3339000000001</v>
      </c>
      <c r="S188" s="14">
        <f>[1]!i_dq_close(S$2,$P188)</f>
        <v>4067.8258999999998</v>
      </c>
      <c r="T188" s="14">
        <f>[1]!i_dq_close(T$2,$P188)</f>
        <v>5834.9139999999998</v>
      </c>
      <c r="U188" s="14">
        <f>[1]!i_dq_close(U$2,$P188)</f>
        <v>8835.2397000000001</v>
      </c>
      <c r="V188" s="14">
        <f>[1]!i_dq_close(V$2,$P188)</f>
        <v>10060.334500000001</v>
      </c>
      <c r="W188" s="14">
        <f>[1]!i_dq_close(W$2,$P188)</f>
        <v>5473.2245000000003</v>
      </c>
      <c r="X188" s="14">
        <f>[1]!i_dq_close(X$2,$P188)</f>
        <v>6481.7986000000001</v>
      </c>
      <c r="Y188" s="14">
        <f>[1]!i_dq_close(Y$2,$P188)</f>
        <v>6391.3644000000004</v>
      </c>
      <c r="Z188" s="14">
        <f>[1]!i_dq_close(Z$2,$P188)</f>
        <v>2549.0378000000001</v>
      </c>
      <c r="AB188" s="1">
        <v>42678</v>
      </c>
      <c r="AC188">
        <v>1.2238262870175058</v>
      </c>
      <c r="AD188">
        <v>1.3061270780557324</v>
      </c>
      <c r="AE188">
        <v>1.2038893030271711</v>
      </c>
      <c r="AF188">
        <v>1.2064184474954196</v>
      </c>
      <c r="AG188">
        <v>1.3173697157071016</v>
      </c>
      <c r="AH188">
        <v>1.2425087918159781</v>
      </c>
      <c r="AI188">
        <v>1.1730527801089272</v>
      </c>
      <c r="AJ188">
        <v>1.1973594319248886</v>
      </c>
      <c r="AK188">
        <v>1.2694692125683753</v>
      </c>
      <c r="AL188">
        <v>1.1329062427541632</v>
      </c>
    </row>
    <row r="189" spans="1:38" x14ac:dyDescent="0.4">
      <c r="A189" s="10">
        <v>42682</v>
      </c>
      <c r="B189" s="11">
        <v>1.2858109895870189</v>
      </c>
      <c r="C189" s="11">
        <v>1.259703900090976</v>
      </c>
      <c r="D189" s="11">
        <v>1.184581169349193</v>
      </c>
      <c r="E189" s="11">
        <v>1.2014703010147769</v>
      </c>
      <c r="P189" s="1">
        <f>A188</f>
        <v>42681</v>
      </c>
      <c r="Q189" s="14">
        <f>[1]!i_dq_close(Q$2,$P189)</f>
        <v>2090.8607999999999</v>
      </c>
      <c r="R189" s="14">
        <f>[1]!i_dq_close(R$2,$P189)</f>
        <v>3358.6358</v>
      </c>
      <c r="S189" s="14">
        <f>[1]!i_dq_close(S$2,$P189)</f>
        <v>4072.4578999999999</v>
      </c>
      <c r="T189" s="14">
        <f>[1]!i_dq_close(T$2,$P189)</f>
        <v>5827.2965999999997</v>
      </c>
      <c r="U189" s="14">
        <f>[1]!i_dq_close(U$2,$P189)</f>
        <v>8836.5593000000008</v>
      </c>
      <c r="V189" s="14">
        <f>[1]!i_dq_close(V$2,$P189)</f>
        <v>10017.397199999999</v>
      </c>
      <c r="W189" s="14">
        <f>[1]!i_dq_close(W$2,$P189)</f>
        <v>5469.6750000000002</v>
      </c>
      <c r="X189" s="14">
        <f>[1]!i_dq_close(X$2,$P189)</f>
        <v>6468.8266999999996</v>
      </c>
      <c r="Y189" s="14">
        <f>[1]!i_dq_close(Y$2,$P189)</f>
        <v>6396.0708999999997</v>
      </c>
      <c r="Z189" s="14">
        <f>[1]!i_dq_close(Z$2,$P189)</f>
        <v>2549.8182000000002</v>
      </c>
      <c r="AB189" s="1">
        <v>42681</v>
      </c>
      <c r="AC189">
        <v>1.241277338638193</v>
      </c>
      <c r="AD189">
        <v>1.3164362561949079</v>
      </c>
      <c r="AE189">
        <v>1.2052601619057732</v>
      </c>
      <c r="AF189">
        <v>1.2048434847998337</v>
      </c>
      <c r="AG189">
        <v>1.3175664733657362</v>
      </c>
      <c r="AH189">
        <v>1.2372057899379747</v>
      </c>
      <c r="AI189">
        <v>1.1722920309668088</v>
      </c>
      <c r="AJ189">
        <v>1.1949631793145428</v>
      </c>
      <c r="AK189">
        <v>1.2704040296864467</v>
      </c>
      <c r="AL189">
        <v>1.1332530873681761</v>
      </c>
    </row>
    <row r="190" spans="1:38" x14ac:dyDescent="0.4">
      <c r="A190" s="10">
        <v>42683</v>
      </c>
      <c r="B190" s="11">
        <v>1.2780033702767619</v>
      </c>
      <c r="C190" s="11">
        <v>1.254858284919151</v>
      </c>
      <c r="D190" s="11">
        <v>1.1782519005834811</v>
      </c>
      <c r="E190" s="11">
        <v>1.194839383582305</v>
      </c>
      <c r="P190" s="1">
        <f>A189</f>
        <v>42682</v>
      </c>
      <c r="Q190" s="14">
        <f>[1]!i_dq_close(Q$2,$P190)</f>
        <v>2073.5331000000001</v>
      </c>
      <c r="R190" s="14">
        <f>[1]!i_dq_close(R$2,$P190)</f>
        <v>3364.1356999999998</v>
      </c>
      <c r="S190" s="14">
        <f>[1]!i_dq_close(S$2,$P190)</f>
        <v>4091.0441999999998</v>
      </c>
      <c r="T190" s="14">
        <f>[1]!i_dq_close(T$2,$P190)</f>
        <v>5873.1706999999997</v>
      </c>
      <c r="U190" s="14">
        <f>[1]!i_dq_close(U$2,$P190)</f>
        <v>8900.7648000000008</v>
      </c>
      <c r="V190" s="14">
        <f>[1]!i_dq_close(V$2,$P190)</f>
        <v>10082.152400000001</v>
      </c>
      <c r="W190" s="14">
        <f>[1]!i_dq_close(W$2,$P190)</f>
        <v>5490.1536999999998</v>
      </c>
      <c r="X190" s="14">
        <f>[1]!i_dq_close(X$2,$P190)</f>
        <v>6523.8307000000004</v>
      </c>
      <c r="Y190" s="14">
        <f>[1]!i_dq_close(Y$2,$P190)</f>
        <v>6455.5986000000003</v>
      </c>
      <c r="Z190" s="14">
        <f>[1]!i_dq_close(Z$2,$P190)</f>
        <v>2555.9425999999999</v>
      </c>
      <c r="AB190" s="1">
        <v>42682</v>
      </c>
      <c r="AC190">
        <v>1.230990436066429</v>
      </c>
      <c r="AD190">
        <v>1.3185919730384688</v>
      </c>
      <c r="AE190">
        <v>1.210760851537759</v>
      </c>
      <c r="AF190">
        <v>1.2143283479018863</v>
      </c>
      <c r="AG190">
        <v>1.3271397712222541</v>
      </c>
      <c r="AH190">
        <v>1.2452034271254662</v>
      </c>
      <c r="AI190">
        <v>1.1766811430830788</v>
      </c>
      <c r="AJ190">
        <v>1.2051238711622649</v>
      </c>
      <c r="AK190">
        <v>1.2822275743500882</v>
      </c>
      <c r="AL190">
        <v>1.135975044254466</v>
      </c>
    </row>
    <row r="191" spans="1:38" x14ac:dyDescent="0.4">
      <c r="A191" s="10">
        <v>42684</v>
      </c>
      <c r="B191" s="11">
        <v>1.291243323231241</v>
      </c>
      <c r="C191" s="11">
        <v>1.266329863089668</v>
      </c>
      <c r="D191" s="11">
        <v>1.1889212069838191</v>
      </c>
      <c r="E191" s="11">
        <v>1.207039453238212</v>
      </c>
      <c r="P191" s="1">
        <f>A190</f>
        <v>42683</v>
      </c>
      <c r="Q191" s="14">
        <f>[1]!i_dq_close(Q$2,$P191)</f>
        <v>2069.9391000000001</v>
      </c>
      <c r="R191" s="14">
        <f>[1]!i_dq_close(R$2,$P191)</f>
        <v>3364.8895000000002</v>
      </c>
      <c r="S191" s="14">
        <f>[1]!i_dq_close(S$2,$P191)</f>
        <v>4057.7051000000001</v>
      </c>
      <c r="T191" s="14">
        <f>[1]!i_dq_close(T$2,$P191)</f>
        <v>5826.2563</v>
      </c>
      <c r="U191" s="14">
        <f>[1]!i_dq_close(U$2,$P191)</f>
        <v>8830.6077999999998</v>
      </c>
      <c r="V191" s="14">
        <f>[1]!i_dq_close(V$2,$P191)</f>
        <v>10014.422699999999</v>
      </c>
      <c r="W191" s="14">
        <f>[1]!i_dq_close(W$2,$P191)</f>
        <v>5463.4353000000001</v>
      </c>
      <c r="X191" s="14">
        <f>[1]!i_dq_close(X$2,$P191)</f>
        <v>6464.6117000000004</v>
      </c>
      <c r="Y191" s="14">
        <f>[1]!i_dq_close(Y$2,$P191)</f>
        <v>6391.2660999999998</v>
      </c>
      <c r="Z191" s="14">
        <f>[1]!i_dq_close(Z$2,$P191)</f>
        <v>2534.5426000000002</v>
      </c>
      <c r="AB191" s="1">
        <v>42683</v>
      </c>
      <c r="AC191">
        <v>1.2288567929491703</v>
      </c>
      <c r="AD191">
        <v>1.3188874292025221</v>
      </c>
      <c r="AE191">
        <v>1.2008940118919049</v>
      </c>
      <c r="AF191">
        <v>1.2046283938643154</v>
      </c>
      <c r="AG191">
        <v>1.3166790808184767</v>
      </c>
      <c r="AH191">
        <v>1.2368384221927713</v>
      </c>
      <c r="AI191">
        <v>1.1709547027735205</v>
      </c>
      <c r="AJ191">
        <v>1.1941845574663472</v>
      </c>
      <c r="AK191">
        <v>1.2694496879699035</v>
      </c>
      <c r="AL191">
        <v>1.1264639284934763</v>
      </c>
    </row>
    <row r="192" spans="1:38" x14ac:dyDescent="0.4">
      <c r="A192" s="10">
        <v>42685</v>
      </c>
      <c r="B192" s="11">
        <v>1.2958098676474681</v>
      </c>
      <c r="C192" s="11">
        <v>1.2726216183525361</v>
      </c>
      <c r="D192" s="11">
        <v>1.192461284668467</v>
      </c>
      <c r="E192" s="11">
        <v>1.2090807450887009</v>
      </c>
      <c r="P192" s="1">
        <f>A191</f>
        <v>42684</v>
      </c>
      <c r="Q192" s="14">
        <f>[1]!i_dq_close(Q$2,$P192)</f>
        <v>2092.3063000000002</v>
      </c>
      <c r="R192" s="14">
        <f>[1]!i_dq_close(R$2,$P192)</f>
        <v>3410.4580999999998</v>
      </c>
      <c r="S192" s="14">
        <f>[1]!i_dq_close(S$2,$P192)</f>
        <v>4122.5833000000002</v>
      </c>
      <c r="T192" s="14">
        <f>[1]!i_dq_close(T$2,$P192)</f>
        <v>5894.4898999999996</v>
      </c>
      <c r="U192" s="14">
        <f>[1]!i_dq_close(U$2,$P192)</f>
        <v>8926.8145000000004</v>
      </c>
      <c r="V192" s="14">
        <f>[1]!i_dq_close(V$2,$P192)</f>
        <v>10112.7322</v>
      </c>
      <c r="W192" s="14">
        <f>[1]!i_dq_close(W$2,$P192)</f>
        <v>5528.3216000000002</v>
      </c>
      <c r="X192" s="14">
        <f>[1]!i_dq_close(X$2,$P192)</f>
        <v>6527.3095000000003</v>
      </c>
      <c r="Y192" s="14">
        <f>[1]!i_dq_close(Y$2,$P192)</f>
        <v>6453.2932000000001</v>
      </c>
      <c r="Z192" s="14">
        <f>[1]!i_dq_close(Z$2,$P192)</f>
        <v>2563.8879999999999</v>
      </c>
      <c r="AB192" s="1">
        <v>42684</v>
      </c>
      <c r="AC192">
        <v>1.2421354858630116</v>
      </c>
      <c r="AD192">
        <v>1.3367482991378818</v>
      </c>
      <c r="AE192">
        <v>1.2200949740028098</v>
      </c>
      <c r="AF192">
        <v>1.2187362751079847</v>
      </c>
      <c r="AG192">
        <v>1.3310238860904966</v>
      </c>
      <c r="AH192">
        <v>1.2489802071472411</v>
      </c>
      <c r="AI192">
        <v>1.1848615057204821</v>
      </c>
      <c r="AJ192">
        <v>1.2057664974221707</v>
      </c>
      <c r="AK192">
        <v>1.2817696698809491</v>
      </c>
      <c r="AL192">
        <v>1.1395063348697636</v>
      </c>
    </row>
    <row r="193" spans="1:38" x14ac:dyDescent="0.4">
      <c r="A193" s="10">
        <v>42688</v>
      </c>
      <c r="B193" s="11">
        <v>1.2977580709142209</v>
      </c>
      <c r="C193" s="11">
        <v>1.2746243175473819</v>
      </c>
      <c r="D193" s="11">
        <v>1.1944217792166021</v>
      </c>
      <c r="E193" s="11">
        <v>1.2109796093836731</v>
      </c>
      <c r="P193" s="1">
        <f>A192</f>
        <v>42685</v>
      </c>
      <c r="Q193" s="14">
        <f>[1]!i_dq_close(Q$2,$P193)</f>
        <v>2127.1226999999999</v>
      </c>
      <c r="R193" s="14">
        <f>[1]!i_dq_close(R$2,$P193)</f>
        <v>3474.9839999999999</v>
      </c>
      <c r="S193" s="14">
        <f>[1]!i_dq_close(S$2,$P193)</f>
        <v>4163.3055000000004</v>
      </c>
      <c r="T193" s="14">
        <f>[1]!i_dq_close(T$2,$P193)</f>
        <v>5898.5636000000004</v>
      </c>
      <c r="U193" s="14">
        <f>[1]!i_dq_close(U$2,$P193)</f>
        <v>8927.5838000000003</v>
      </c>
      <c r="V193" s="14">
        <f>[1]!i_dq_close(V$2,$P193)</f>
        <v>10096.4684</v>
      </c>
      <c r="W193" s="14">
        <f>[1]!i_dq_close(W$2,$P193)</f>
        <v>5577.5338000000002</v>
      </c>
      <c r="X193" s="14">
        <f>[1]!i_dq_close(X$2,$P193)</f>
        <v>6523.1527999999998</v>
      </c>
      <c r="Y193" s="14">
        <f>[1]!i_dq_close(Y$2,$P193)</f>
        <v>6481.4326000000001</v>
      </c>
      <c r="Z193" s="14">
        <f>[1]!i_dq_close(Z$2,$P193)</f>
        <v>2583.6377000000002</v>
      </c>
      <c r="AB193" s="1">
        <v>42685</v>
      </c>
      <c r="AC193">
        <v>1.2628048715691105</v>
      </c>
      <c r="AD193">
        <v>1.3620395897933339</v>
      </c>
      <c r="AE193">
        <v>1.2321468715473269</v>
      </c>
      <c r="AF193">
        <v>1.2195785474755916</v>
      </c>
      <c r="AG193">
        <v>1.3311385918094929</v>
      </c>
      <c r="AH193">
        <v>1.2469715349218458</v>
      </c>
      <c r="AI193">
        <v>1.1954089459041026</v>
      </c>
      <c r="AJ193">
        <v>1.2049986451240935</v>
      </c>
      <c r="AK193">
        <v>1.2873587897815679</v>
      </c>
      <c r="AL193">
        <v>1.1482839836055032</v>
      </c>
    </row>
    <row r="194" spans="1:38" x14ac:dyDescent="0.4">
      <c r="A194" s="10">
        <v>42689</v>
      </c>
      <c r="B194" s="11">
        <v>1.2999002770318631</v>
      </c>
      <c r="C194" s="11">
        <v>1.2754621534162081</v>
      </c>
      <c r="D194" s="11">
        <v>1.195876860313118</v>
      </c>
      <c r="E194" s="11">
        <v>1.213055666280783</v>
      </c>
      <c r="P194" s="1">
        <f>A193</f>
        <v>42688</v>
      </c>
      <c r="Q194" s="14">
        <f>[1]!i_dq_close(Q$2,$P194)</f>
        <v>2161.1785</v>
      </c>
      <c r="R194" s="14">
        <f>[1]!i_dq_close(R$2,$P194)</f>
        <v>3470.6596</v>
      </c>
      <c r="S194" s="14">
        <f>[1]!i_dq_close(S$2,$P194)</f>
        <v>4208.4996000000001</v>
      </c>
      <c r="T194" s="14">
        <f>[1]!i_dq_close(T$2,$P194)</f>
        <v>5907.0742</v>
      </c>
      <c r="U194" s="14">
        <f>[1]!i_dq_close(U$2,$P194)</f>
        <v>8891.6672999999992</v>
      </c>
      <c r="V194" s="14">
        <f>[1]!i_dq_close(V$2,$P194)</f>
        <v>10096.9558</v>
      </c>
      <c r="W194" s="14">
        <f>[1]!i_dq_close(W$2,$P194)</f>
        <v>5588.9924000000001</v>
      </c>
      <c r="X194" s="14">
        <f>[1]!i_dq_close(X$2,$P194)</f>
        <v>6558.0779000000002</v>
      </c>
      <c r="Y194" s="14">
        <f>[1]!i_dq_close(Y$2,$P194)</f>
        <v>6525.8127000000004</v>
      </c>
      <c r="Z194" s="14">
        <f>[1]!i_dq_close(Z$2,$P194)</f>
        <v>2592.7411000000002</v>
      </c>
      <c r="AB194" s="1">
        <v>42688</v>
      </c>
      <c r="AC194">
        <v>1.2830227133255749</v>
      </c>
      <c r="AD194">
        <v>1.3603446168086808</v>
      </c>
      <c r="AE194">
        <v>1.2455222457367532</v>
      </c>
      <c r="AF194">
        <v>1.221338186921735</v>
      </c>
      <c r="AG194">
        <v>1.3257832974427541</v>
      </c>
      <c r="AH194">
        <v>1.2470317316066708</v>
      </c>
      <c r="AI194">
        <v>1.1978648185959968</v>
      </c>
      <c r="AJ194">
        <v>1.2114502337149393</v>
      </c>
      <c r="AK194">
        <v>1.2961736792284451</v>
      </c>
      <c r="AL194">
        <v>1.1523299411390824</v>
      </c>
    </row>
    <row r="195" spans="1:38" x14ac:dyDescent="0.4">
      <c r="A195" s="10">
        <v>42690</v>
      </c>
      <c r="B195" s="11">
        <v>1.301486873489881</v>
      </c>
      <c r="C195" s="11">
        <v>1.2756539588320279</v>
      </c>
      <c r="D195" s="11">
        <v>1.197580358409583</v>
      </c>
      <c r="E195" s="11">
        <v>1.214386407030569</v>
      </c>
      <c r="P195" s="1">
        <f>A194</f>
        <v>42689</v>
      </c>
      <c r="Q195" s="14">
        <f>[1]!i_dq_close(Q$2,$P195)</f>
        <v>2136.0772000000002</v>
      </c>
      <c r="R195" s="14">
        <f>[1]!i_dq_close(R$2,$P195)</f>
        <v>3467.3478</v>
      </c>
      <c r="S195" s="14">
        <f>[1]!i_dq_close(S$2,$P195)</f>
        <v>4214.1396000000004</v>
      </c>
      <c r="T195" s="14">
        <f>[1]!i_dq_close(T$2,$P195)</f>
        <v>5933.2584999999999</v>
      </c>
      <c r="U195" s="14">
        <f>[1]!i_dq_close(U$2,$P195)</f>
        <v>8957.1021000000001</v>
      </c>
      <c r="V195" s="14">
        <f>[1]!i_dq_close(V$2,$P195)</f>
        <v>10140.2212</v>
      </c>
      <c r="W195" s="14">
        <f>[1]!i_dq_close(W$2,$P195)</f>
        <v>5597.0583999999999</v>
      </c>
      <c r="X195" s="14">
        <f>[1]!i_dq_close(X$2,$P195)</f>
        <v>6597.2422999999999</v>
      </c>
      <c r="Y195" s="14">
        <f>[1]!i_dq_close(Y$2,$P195)</f>
        <v>6556.1903000000002</v>
      </c>
      <c r="Z195" s="14">
        <f>[1]!i_dq_close(Z$2,$P195)</f>
        <v>2597.4746</v>
      </c>
      <c r="AB195" s="1">
        <v>42689</v>
      </c>
      <c r="AC195">
        <v>1.2681208724854967</v>
      </c>
      <c r="AD195">
        <v>1.3590465381086125</v>
      </c>
      <c r="AE195">
        <v>1.2471914262366053</v>
      </c>
      <c r="AF195">
        <v>1.2267520152240465</v>
      </c>
      <c r="AG195">
        <v>1.3355398888653223</v>
      </c>
      <c r="AH195">
        <v>1.2523752557093171</v>
      </c>
      <c r="AI195">
        <v>1.1995935698511953</v>
      </c>
      <c r="AJ195">
        <v>1.2186849330059168</v>
      </c>
      <c r="AK195">
        <v>1.3022073561616077</v>
      </c>
      <c r="AL195">
        <v>1.1544337199453742</v>
      </c>
    </row>
    <row r="196" spans="1:38" x14ac:dyDescent="0.4">
      <c r="A196" s="10">
        <v>42691</v>
      </c>
      <c r="B196" s="11">
        <v>1.298833492784456</v>
      </c>
      <c r="C196" s="11">
        <v>1.2745823805850449</v>
      </c>
      <c r="D196" s="11">
        <v>1.195967781603096</v>
      </c>
      <c r="E196" s="11">
        <v>1.2100782615666981</v>
      </c>
      <c r="P196" s="1">
        <f>A195</f>
        <v>42690</v>
      </c>
      <c r="Q196" s="14">
        <f>[1]!i_dq_close(Q$2,$P196)</f>
        <v>2134.6183999999998</v>
      </c>
      <c r="R196" s="14">
        <f>[1]!i_dq_close(R$2,$P196)</f>
        <v>3467.5720999999999</v>
      </c>
      <c r="S196" s="14">
        <f>[1]!i_dq_close(S$2,$P196)</f>
        <v>4213.9540999999999</v>
      </c>
      <c r="T196" s="14">
        <f>[1]!i_dq_close(T$2,$P196)</f>
        <v>5941.9165999999996</v>
      </c>
      <c r="U196" s="14">
        <f>[1]!i_dq_close(U$2,$P196)</f>
        <v>8927.0056999999997</v>
      </c>
      <c r="V196" s="14">
        <f>[1]!i_dq_close(V$2,$P196)</f>
        <v>10148.651900000001</v>
      </c>
      <c r="W196" s="14">
        <f>[1]!i_dq_close(W$2,$P196)</f>
        <v>5595.6647000000003</v>
      </c>
      <c r="X196" s="14">
        <f>[1]!i_dq_close(X$2,$P196)</f>
        <v>6609.7457000000004</v>
      </c>
      <c r="Y196" s="14">
        <f>[1]!i_dq_close(Y$2,$P196)</f>
        <v>6595.3019000000004</v>
      </c>
      <c r="Z196" s="14">
        <f>[1]!i_dq_close(Z$2,$P196)</f>
        <v>2600.8613999999998</v>
      </c>
      <c r="AB196" s="1">
        <v>42690</v>
      </c>
      <c r="AC196">
        <v>1.2672548294750745</v>
      </c>
      <c r="AD196">
        <v>1.3591344537594445</v>
      </c>
      <c r="AE196">
        <v>1.2471365267715835</v>
      </c>
      <c r="AF196">
        <v>1.228542151558577</v>
      </c>
      <c r="AG196">
        <v>1.3310523947782282</v>
      </c>
      <c r="AH196">
        <v>1.2534164953292486</v>
      </c>
      <c r="AI196">
        <v>1.1992948640956325</v>
      </c>
      <c r="AJ196">
        <v>1.2209946412898383</v>
      </c>
      <c r="AK196">
        <v>1.3099758026069848</v>
      </c>
      <c r="AL196">
        <v>1.1559389651257161</v>
      </c>
    </row>
    <row r="197" spans="1:38" x14ac:dyDescent="0.4">
      <c r="A197" s="10">
        <v>42692</v>
      </c>
      <c r="B197" s="11">
        <v>1.293934116472536</v>
      </c>
      <c r="C197" s="11">
        <v>1.2693732751656639</v>
      </c>
      <c r="D197" s="11">
        <v>1.191734925614311</v>
      </c>
      <c r="E197" s="11">
        <v>1.207592211247791</v>
      </c>
      <c r="P197" s="1">
        <f>A196</f>
        <v>42691</v>
      </c>
      <c r="Q197" s="14">
        <f>[1]!i_dq_close(Q$2,$P197)</f>
        <v>2133.8955999999998</v>
      </c>
      <c r="R197" s="14">
        <f>[1]!i_dq_close(R$2,$P197)</f>
        <v>3467.5169000000001</v>
      </c>
      <c r="S197" s="14">
        <f>[1]!i_dq_close(S$2,$P197)</f>
        <v>4231.2262000000001</v>
      </c>
      <c r="T197" s="14">
        <f>[1]!i_dq_close(T$2,$P197)</f>
        <v>5932.8756000000003</v>
      </c>
      <c r="U197" s="14">
        <f>[1]!i_dq_close(U$2,$P197)</f>
        <v>8901.8444999999992</v>
      </c>
      <c r="V197" s="14">
        <f>[1]!i_dq_close(V$2,$P197)</f>
        <v>10151.5874</v>
      </c>
      <c r="W197" s="14">
        <f>[1]!i_dq_close(W$2,$P197)</f>
        <v>5596.2029000000002</v>
      </c>
      <c r="X197" s="14">
        <f>[1]!i_dq_close(X$2,$P197)</f>
        <v>6550.2855</v>
      </c>
      <c r="Y197" s="14">
        <f>[1]!i_dq_close(Y$2,$P197)</f>
        <v>6585.7375000000002</v>
      </c>
      <c r="Z197" s="14">
        <f>[1]!i_dq_close(Z$2,$P197)</f>
        <v>2620.9254000000001</v>
      </c>
      <c r="AB197" s="1">
        <v>42691</v>
      </c>
      <c r="AC197">
        <v>1.2668257261792608</v>
      </c>
      <c r="AD197">
        <v>1.3591128178079246</v>
      </c>
      <c r="AE197">
        <v>1.2522482736707847</v>
      </c>
      <c r="AF197">
        <v>1.2266728473693798</v>
      </c>
      <c r="AG197">
        <v>1.32730075882761</v>
      </c>
      <c r="AH197">
        <v>1.2537790463516203</v>
      </c>
      <c r="AI197">
        <v>1.1994102141979814</v>
      </c>
      <c r="AJ197">
        <v>1.2100107715821091</v>
      </c>
      <c r="AK197">
        <v>1.3080760969139893</v>
      </c>
      <c r="AL197">
        <v>1.1648563028186369</v>
      </c>
    </row>
    <row r="198" spans="1:38" x14ac:dyDescent="0.4">
      <c r="A198" s="10">
        <v>42695</v>
      </c>
      <c r="B198" s="11">
        <v>1.2975102009542221</v>
      </c>
      <c r="C198" s="11">
        <v>1.271699852326472</v>
      </c>
      <c r="D198" s="11">
        <v>1.193715484409356</v>
      </c>
      <c r="E198" s="11">
        <v>1.2098012521595609</v>
      </c>
      <c r="P198" s="1">
        <f>A197</f>
        <v>42692</v>
      </c>
      <c r="Q198" s="14">
        <f>[1]!i_dq_close(Q$2,$P198)</f>
        <v>2108.5277999999998</v>
      </c>
      <c r="R198" s="14">
        <f>[1]!i_dq_close(R$2,$P198)</f>
        <v>3449.0850999999998</v>
      </c>
      <c r="S198" s="14">
        <f>[1]!i_dq_close(S$2,$P198)</f>
        <v>4205.6854999999996</v>
      </c>
      <c r="T198" s="14">
        <f>[1]!i_dq_close(T$2,$P198)</f>
        <v>5911.8482999999997</v>
      </c>
      <c r="U198" s="14">
        <f>[1]!i_dq_close(U$2,$P198)</f>
        <v>8861.3112000000001</v>
      </c>
      <c r="V198" s="14">
        <f>[1]!i_dq_close(V$2,$P198)</f>
        <v>10118.2348</v>
      </c>
      <c r="W198" s="14">
        <f>[1]!i_dq_close(W$2,$P198)</f>
        <v>5574.8227999999999</v>
      </c>
      <c r="X198" s="14">
        <f>[1]!i_dq_close(X$2,$P198)</f>
        <v>6527.1697000000004</v>
      </c>
      <c r="Y198" s="14">
        <f>[1]!i_dq_close(Y$2,$P198)</f>
        <v>6563.9549999999999</v>
      </c>
      <c r="Z198" s="14">
        <f>[1]!i_dq_close(Z$2,$P198)</f>
        <v>2603.6273000000001</v>
      </c>
      <c r="AB198" s="1">
        <v>42692</v>
      </c>
      <c r="AC198">
        <v>1.2517656727930639</v>
      </c>
      <c r="AD198">
        <v>1.3518883697784796</v>
      </c>
      <c r="AE198">
        <v>1.244689401615364</v>
      </c>
      <c r="AF198">
        <v>1.2223252729885026</v>
      </c>
      <c r="AG198">
        <v>1.3212570810428783</v>
      </c>
      <c r="AH198">
        <v>1.2496598096870817</v>
      </c>
      <c r="AI198">
        <v>1.1948279088779628</v>
      </c>
      <c r="AJ198">
        <v>1.205740672669056</v>
      </c>
      <c r="AK198">
        <v>1.3037496008182932</v>
      </c>
      <c r="AL198">
        <v>1.1571682546155913</v>
      </c>
    </row>
    <row r="199" spans="1:38" x14ac:dyDescent="0.4">
      <c r="A199" s="10">
        <v>42696</v>
      </c>
      <c r="B199" s="11">
        <v>1.3059261963833251</v>
      </c>
      <c r="C199" s="11">
        <v>1.2794944612653969</v>
      </c>
      <c r="D199" s="11">
        <v>1.200823382583625</v>
      </c>
      <c r="E199" s="11">
        <v>1.218538992717201</v>
      </c>
      <c r="P199" s="1">
        <f>A198</f>
        <v>42695</v>
      </c>
      <c r="Q199" s="14">
        <f>[1]!i_dq_close(Q$2,$P199)</f>
        <v>2121.5657999999999</v>
      </c>
      <c r="R199" s="14">
        <f>[1]!i_dq_close(R$2,$P199)</f>
        <v>3459.2338</v>
      </c>
      <c r="S199" s="14">
        <f>[1]!i_dq_close(S$2,$P199)</f>
        <v>4230.1900999999998</v>
      </c>
      <c r="T199" s="14">
        <f>[1]!i_dq_close(T$2,$P199)</f>
        <v>5933.5754999999999</v>
      </c>
      <c r="U199" s="14">
        <f>[1]!i_dq_close(U$2,$P199)</f>
        <v>8852.3268000000007</v>
      </c>
      <c r="V199" s="14">
        <f>[1]!i_dq_close(V$2,$P199)</f>
        <v>10126.1733</v>
      </c>
      <c r="W199" s="14">
        <f>[1]!i_dq_close(W$2,$P199)</f>
        <v>5622.7617</v>
      </c>
      <c r="X199" s="14">
        <f>[1]!i_dq_close(X$2,$P199)</f>
        <v>6530.8726999999999</v>
      </c>
      <c r="Y199" s="14">
        <f>[1]!i_dq_close(Y$2,$P199)</f>
        <v>6576.3765000000003</v>
      </c>
      <c r="Z199" s="14">
        <f>[1]!i_dq_close(Z$2,$P199)</f>
        <v>2632.5778</v>
      </c>
      <c r="AB199" s="1">
        <v>42695</v>
      </c>
      <c r="AC199">
        <v>1.2595059173570087</v>
      </c>
      <c r="AD199">
        <v>1.3558662100174377</v>
      </c>
      <c r="AE199">
        <v>1.2519416357424342</v>
      </c>
      <c r="AF199">
        <v>1.2268175576892579</v>
      </c>
      <c r="AG199">
        <v>1.3199174709275128</v>
      </c>
      <c r="AH199">
        <v>1.2506402597947628</v>
      </c>
      <c r="AI199">
        <v>1.2051024481226738</v>
      </c>
      <c r="AJ199">
        <v>1.206424714591682</v>
      </c>
      <c r="AK199">
        <v>1.3062167910514018</v>
      </c>
      <c r="AL199">
        <v>1.1700351497949621</v>
      </c>
    </row>
    <row r="200" spans="1:38" x14ac:dyDescent="0.4">
      <c r="A200" s="10">
        <v>42697</v>
      </c>
      <c r="B200" s="11">
        <v>1.301539520252156</v>
      </c>
      <c r="C200" s="11">
        <v>1.276772889897642</v>
      </c>
      <c r="D200" s="11">
        <v>1.195765139918848</v>
      </c>
      <c r="E200" s="11">
        <v>1.2124244390193091</v>
      </c>
      <c r="P200" s="1">
        <f>A199</f>
        <v>42696</v>
      </c>
      <c r="Q200" s="14">
        <f>[1]!i_dq_close(Q$2,$P200)</f>
        <v>2173.1846999999998</v>
      </c>
      <c r="R200" s="14">
        <f>[1]!i_dq_close(R$2,$P200)</f>
        <v>3493.8789999999999</v>
      </c>
      <c r="S200" s="14">
        <f>[1]!i_dq_close(S$2,$P200)</f>
        <v>4264.5655999999999</v>
      </c>
      <c r="T200" s="14">
        <f>[1]!i_dq_close(T$2,$P200)</f>
        <v>5979.9638999999997</v>
      </c>
      <c r="U200" s="14">
        <f>[1]!i_dq_close(U$2,$P200)</f>
        <v>8873.8615000000009</v>
      </c>
      <c r="V200" s="14">
        <f>[1]!i_dq_close(V$2,$P200)</f>
        <v>10191.495800000001</v>
      </c>
      <c r="W200" s="14">
        <f>[1]!i_dq_close(W$2,$P200)</f>
        <v>5664.3573999999999</v>
      </c>
      <c r="X200" s="14">
        <f>[1]!i_dq_close(X$2,$P200)</f>
        <v>6595.4366</v>
      </c>
      <c r="Y200" s="14">
        <f>[1]!i_dq_close(Y$2,$P200)</f>
        <v>6602.2672000000002</v>
      </c>
      <c r="Z200" s="14">
        <f>[1]!i_dq_close(Z$2,$P200)</f>
        <v>2641.7058999999999</v>
      </c>
      <c r="AB200" s="1">
        <v>42696</v>
      </c>
      <c r="AC200">
        <v>1.290150411153741</v>
      </c>
      <c r="AD200">
        <v>1.3694455916768375</v>
      </c>
      <c r="AE200">
        <v>1.2621152021028359</v>
      </c>
      <c r="AF200">
        <v>1.2364087567214623</v>
      </c>
      <c r="AG200">
        <v>1.3231283811665229</v>
      </c>
      <c r="AH200">
        <v>1.2587079617735983</v>
      </c>
      <c r="AI200">
        <v>1.2140174764621063</v>
      </c>
      <c r="AJ200">
        <v>1.2183513725145083</v>
      </c>
      <c r="AK200">
        <v>1.3113592683825088</v>
      </c>
      <c r="AL200">
        <v>1.1740920851116861</v>
      </c>
    </row>
    <row r="201" spans="1:38" x14ac:dyDescent="0.4">
      <c r="A201" s="10">
        <v>42698</v>
      </c>
      <c r="B201" s="11">
        <v>1.2988531785818871</v>
      </c>
      <c r="C201" s="11">
        <v>1.2773071438733989</v>
      </c>
      <c r="D201" s="11">
        <v>1.1938909634850099</v>
      </c>
      <c r="E201" s="11">
        <v>1.2087546328144601</v>
      </c>
      <c r="P201" s="1">
        <f>A200</f>
        <v>42697</v>
      </c>
      <c r="Q201" s="14">
        <f>[1]!i_dq_close(Q$2,$P201)</f>
        <v>2148.6423</v>
      </c>
      <c r="R201" s="14">
        <f>[1]!i_dq_close(R$2,$P201)</f>
        <v>3470.9893000000002</v>
      </c>
      <c r="S201" s="14">
        <f>[1]!i_dq_close(S$2,$P201)</f>
        <v>4242.6055999999999</v>
      </c>
      <c r="T201" s="14">
        <f>[1]!i_dq_close(T$2,$P201)</f>
        <v>5987.2934999999998</v>
      </c>
      <c r="U201" s="14">
        <f>[1]!i_dq_close(U$2,$P201)</f>
        <v>8893.2906000000003</v>
      </c>
      <c r="V201" s="14">
        <f>[1]!i_dq_close(V$2,$P201)</f>
        <v>10133.683300000001</v>
      </c>
      <c r="W201" s="14">
        <f>[1]!i_dq_close(W$2,$P201)</f>
        <v>5689.0986000000003</v>
      </c>
      <c r="X201" s="14">
        <f>[1]!i_dq_close(X$2,$P201)</f>
        <v>6553.9229999999998</v>
      </c>
      <c r="Y201" s="14">
        <f>[1]!i_dq_close(Y$2,$P201)</f>
        <v>6554.7502999999997</v>
      </c>
      <c r="Z201" s="14">
        <f>[1]!i_dq_close(Z$2,$P201)</f>
        <v>2626.8552</v>
      </c>
      <c r="AB201" s="1">
        <v>42697</v>
      </c>
      <c r="AC201">
        <v>1.2755803714094434</v>
      </c>
      <c r="AD201">
        <v>1.3604738445843352</v>
      </c>
      <c r="AE201">
        <v>1.2556160524970288</v>
      </c>
      <c r="AF201">
        <v>1.2379242143019447</v>
      </c>
      <c r="AG201">
        <v>1.3260253379908458</v>
      </c>
      <c r="AH201">
        <v>1.2515677877041516</v>
      </c>
      <c r="AI201">
        <v>1.2193201519586498</v>
      </c>
      <c r="AJ201">
        <v>1.2106827139244132</v>
      </c>
      <c r="AK201">
        <v>1.3019213396631431</v>
      </c>
      <c r="AL201">
        <v>1.1674917707737547</v>
      </c>
    </row>
    <row r="202" spans="1:38" x14ac:dyDescent="0.4">
      <c r="A202" s="10">
        <v>42699</v>
      </c>
      <c r="B202" s="11">
        <v>1.3040344718390131</v>
      </c>
      <c r="C202" s="11">
        <v>1.282874794776516</v>
      </c>
      <c r="D202" s="11">
        <v>1.1979566863477631</v>
      </c>
      <c r="E202" s="11">
        <v>1.21246775833033</v>
      </c>
      <c r="P202" s="1">
        <f>A201</f>
        <v>42698</v>
      </c>
      <c r="Q202" s="14">
        <f>[1]!i_dq_close(Q$2,$P202)</f>
        <v>2147.4011</v>
      </c>
      <c r="R202" s="14">
        <f>[1]!i_dq_close(R$2,$P202)</f>
        <v>3472.2927</v>
      </c>
      <c r="S202" s="14">
        <f>[1]!i_dq_close(S$2,$P202)</f>
        <v>4227.4790000000003</v>
      </c>
      <c r="T202" s="14">
        <f>[1]!i_dq_close(T$2,$P202)</f>
        <v>6001.1131999999998</v>
      </c>
      <c r="U202" s="14">
        <f>[1]!i_dq_close(U$2,$P202)</f>
        <v>8952.8747000000003</v>
      </c>
      <c r="V202" s="14">
        <f>[1]!i_dq_close(V$2,$P202)</f>
        <v>10129.575199999999</v>
      </c>
      <c r="W202" s="14">
        <f>[1]!i_dq_close(W$2,$P202)</f>
        <v>5709.9040000000005</v>
      </c>
      <c r="X202" s="14">
        <f>[1]!i_dq_close(X$2,$P202)</f>
        <v>6490.7566999999999</v>
      </c>
      <c r="Y202" s="14">
        <f>[1]!i_dq_close(Y$2,$P202)</f>
        <v>6538.4076999999997</v>
      </c>
      <c r="Z202" s="14">
        <f>[1]!i_dq_close(Z$2,$P202)</f>
        <v>2629.2361999999998</v>
      </c>
      <c r="AB202" s="1">
        <v>42698</v>
      </c>
      <c r="AC202">
        <v>1.2748435105755143</v>
      </c>
      <c r="AD202">
        <v>1.3609847195700435</v>
      </c>
      <c r="AE202">
        <v>1.251139274881947</v>
      </c>
      <c r="AF202">
        <v>1.2407815556473103</v>
      </c>
      <c r="AG202">
        <v>1.3349095665508999</v>
      </c>
      <c r="AH202">
        <v>1.251060413881973</v>
      </c>
      <c r="AI202">
        <v>1.2237792842875501</v>
      </c>
      <c r="AJ202">
        <v>1.1990142296421651</v>
      </c>
      <c r="AK202">
        <v>1.2986753304771672</v>
      </c>
      <c r="AL202">
        <v>1.1685499935133301</v>
      </c>
    </row>
    <row r="203" spans="1:38" x14ac:dyDescent="0.4">
      <c r="A203" s="10">
        <v>42702</v>
      </c>
      <c r="B203" s="11">
        <v>1.3053161931428481</v>
      </c>
      <c r="C203" s="11">
        <v>1.287246764747277</v>
      </c>
      <c r="D203" s="11">
        <v>1.2009381203889109</v>
      </c>
      <c r="E203" s="11">
        <v>1.212683623012474</v>
      </c>
      <c r="P203" s="1">
        <f>A202</f>
        <v>42699</v>
      </c>
      <c r="Q203" s="14">
        <f>[1]!i_dq_close(Q$2,$P203)</f>
        <v>2150.7123999999999</v>
      </c>
      <c r="R203" s="14">
        <f>[1]!i_dq_close(R$2,$P203)</f>
        <v>3471.1088</v>
      </c>
      <c r="S203" s="14">
        <f>[1]!i_dq_close(S$2,$P203)</f>
        <v>4256.7534999999998</v>
      </c>
      <c r="T203" s="14">
        <f>[1]!i_dq_close(T$2,$P203)</f>
        <v>6019.0234</v>
      </c>
      <c r="U203" s="14">
        <f>[1]!i_dq_close(U$2,$P203)</f>
        <v>8972.4825000000001</v>
      </c>
      <c r="V203" s="14">
        <f>[1]!i_dq_close(V$2,$P203)</f>
        <v>10184.721799999999</v>
      </c>
      <c r="W203" s="14">
        <f>[1]!i_dq_close(W$2,$P203)</f>
        <v>5770.9337999999998</v>
      </c>
      <c r="X203" s="14">
        <f>[1]!i_dq_close(X$2,$P203)</f>
        <v>6536.8553000000002</v>
      </c>
      <c r="Y203" s="14">
        <f>[1]!i_dq_close(Y$2,$P203)</f>
        <v>6580.3091999999997</v>
      </c>
      <c r="Z203" s="14">
        <f>[1]!i_dq_close(Z$2,$P203)</f>
        <v>2641.6563999999998</v>
      </c>
      <c r="AB203" s="1">
        <v>42699</v>
      </c>
      <c r="AC203">
        <v>1.2768093237235882</v>
      </c>
      <c r="AD203">
        <v>1.3605206832837307</v>
      </c>
      <c r="AE203">
        <v>1.2598031799427483</v>
      </c>
      <c r="AF203">
        <v>1.2444846429041805</v>
      </c>
      <c r="AG203">
        <v>1.3378331682627631</v>
      </c>
      <c r="AH203">
        <v>1.2578713340694438</v>
      </c>
      <c r="AI203">
        <v>1.2368595400964413</v>
      </c>
      <c r="AJ203">
        <v>1.2075298588547934</v>
      </c>
      <c r="AK203">
        <v>1.3069979140260621</v>
      </c>
      <c r="AL203">
        <v>1.1740700851009305</v>
      </c>
    </row>
    <row r="204" spans="1:38" x14ac:dyDescent="0.4">
      <c r="A204" s="10">
        <v>42703</v>
      </c>
      <c r="B204" s="11">
        <v>1.3001091415085519</v>
      </c>
      <c r="C204" s="11">
        <v>1.283499750176184</v>
      </c>
      <c r="D204" s="11">
        <v>1.1941302893997461</v>
      </c>
      <c r="E204" s="11">
        <v>1.2060176159671061</v>
      </c>
      <c r="P204" s="1">
        <f>A203</f>
        <v>42702</v>
      </c>
      <c r="Q204" s="14">
        <f>[1]!i_dq_close(Q$2,$P204)</f>
        <v>2166.9474</v>
      </c>
      <c r="R204" s="14">
        <f>[1]!i_dq_close(R$2,$P204)</f>
        <v>3499.7278999999999</v>
      </c>
      <c r="S204" s="14">
        <f>[1]!i_dq_close(S$2,$P204)</f>
        <v>4300.1642000000002</v>
      </c>
      <c r="T204" s="14">
        <f>[1]!i_dq_close(T$2,$P204)</f>
        <v>6038.0796</v>
      </c>
      <c r="U204" s="14">
        <f>[1]!i_dq_close(U$2,$P204)</f>
        <v>8971.9490000000005</v>
      </c>
      <c r="V204" s="14">
        <f>[1]!i_dq_close(V$2,$P204)</f>
        <v>10175.7104</v>
      </c>
      <c r="W204" s="14">
        <f>[1]!i_dq_close(W$2,$P204)</f>
        <v>5743.9206999999997</v>
      </c>
      <c r="X204" s="14">
        <f>[1]!i_dq_close(X$2,$P204)</f>
        <v>6525.5387000000001</v>
      </c>
      <c r="Y204" s="14">
        <f>[1]!i_dq_close(Y$2,$P204)</f>
        <v>6612.8118000000004</v>
      </c>
      <c r="Z204" s="14">
        <f>[1]!i_dq_close(Z$2,$P204)</f>
        <v>2650.5801000000001</v>
      </c>
      <c r="AB204" s="1">
        <v>42702</v>
      </c>
      <c r="AC204">
        <v>1.2864475251728629</v>
      </c>
      <c r="AD204">
        <v>1.3717381010399721</v>
      </c>
      <c r="AE204">
        <v>1.2726507497875938</v>
      </c>
      <c r="AF204">
        <v>1.2484246754769248</v>
      </c>
      <c r="AG204">
        <v>1.3377536212705825</v>
      </c>
      <c r="AH204">
        <v>1.2567583746816053</v>
      </c>
      <c r="AI204">
        <v>1.2310699379972838</v>
      </c>
      <c r="AJ204">
        <v>1.20543938388272</v>
      </c>
      <c r="AK204">
        <v>1.3134536639170284</v>
      </c>
      <c r="AL204">
        <v>1.1780361759287972</v>
      </c>
    </row>
    <row r="205" spans="1:38" x14ac:dyDescent="0.4">
      <c r="A205" s="10">
        <v>42704</v>
      </c>
      <c r="B205" s="11">
        <v>1.2932179500914129</v>
      </c>
      <c r="C205" s="11">
        <v>1.273902570793626</v>
      </c>
      <c r="D205" s="11">
        <v>1.186776618586211</v>
      </c>
      <c r="E205" s="11">
        <v>1.199999832250034</v>
      </c>
      <c r="P205" s="1">
        <f>A204</f>
        <v>42703</v>
      </c>
      <c r="Q205" s="14">
        <f>[1]!i_dq_close(Q$2,$P205)</f>
        <v>2133.5951</v>
      </c>
      <c r="R205" s="14">
        <f>[1]!i_dq_close(R$2,$P205)</f>
        <v>3457.2727</v>
      </c>
      <c r="S205" s="14">
        <f>[1]!i_dq_close(S$2,$P205)</f>
        <v>4316.7665999999999</v>
      </c>
      <c r="T205" s="14">
        <f>[1]!i_dq_close(T$2,$P205)</f>
        <v>6029.0316999999995</v>
      </c>
      <c r="U205" s="14">
        <f>[1]!i_dq_close(U$2,$P205)</f>
        <v>9066.3114999999998</v>
      </c>
      <c r="V205" s="14">
        <f>[1]!i_dq_close(V$2,$P205)</f>
        <v>10142.539199999999</v>
      </c>
      <c r="W205" s="14">
        <f>[1]!i_dq_close(W$2,$P205)</f>
        <v>5743.4108999999999</v>
      </c>
      <c r="X205" s="14">
        <f>[1]!i_dq_close(X$2,$P205)</f>
        <v>6496.0684000000001</v>
      </c>
      <c r="Y205" s="14">
        <f>[1]!i_dq_close(Y$2,$P205)</f>
        <v>6584.9839000000002</v>
      </c>
      <c r="Z205" s="14">
        <f>[1]!i_dq_close(Z$2,$P205)</f>
        <v>2662.6446999999998</v>
      </c>
      <c r="AB205" s="1">
        <v>42703</v>
      </c>
      <c r="AC205">
        <v>1.2666473289180655</v>
      </c>
      <c r="AD205">
        <v>1.3550975458050143</v>
      </c>
      <c r="AE205">
        <v>1.277564296300137</v>
      </c>
      <c r="AF205">
        <v>1.2465539446536265</v>
      </c>
      <c r="AG205">
        <v>1.3518234489175234</v>
      </c>
      <c r="AH205">
        <v>1.2526615419535199</v>
      </c>
      <c r="AI205">
        <v>1.2309606747453745</v>
      </c>
      <c r="AJ205">
        <v>1.1999954409520253</v>
      </c>
      <c r="AK205">
        <v>1.3079264149464596</v>
      </c>
      <c r="AL205">
        <v>1.1833982229946867</v>
      </c>
    </row>
    <row r="206" spans="1:38" x14ac:dyDescent="0.4">
      <c r="A206" s="10">
        <v>42705</v>
      </c>
      <c r="B206" s="11">
        <v>1.300120245400717</v>
      </c>
      <c r="C206" s="11">
        <v>1.2821144796663799</v>
      </c>
      <c r="D206" s="11">
        <v>1.1930139942624149</v>
      </c>
      <c r="E206" s="11">
        <v>1.205701805467396</v>
      </c>
      <c r="P206" s="1">
        <f>A205</f>
        <v>42704</v>
      </c>
      <c r="Q206" s="14">
        <f>[1]!i_dq_close(Q$2,$P206)</f>
        <v>2083.8832000000002</v>
      </c>
      <c r="R206" s="14">
        <f>[1]!i_dq_close(R$2,$P206)</f>
        <v>3416.7532000000001</v>
      </c>
      <c r="S206" s="14">
        <f>[1]!i_dq_close(S$2,$P206)</f>
        <v>4282.7578000000003</v>
      </c>
      <c r="T206" s="14">
        <f>[1]!i_dq_close(T$2,$P206)</f>
        <v>6008.7183999999997</v>
      </c>
      <c r="U206" s="14">
        <f>[1]!i_dq_close(U$2,$P206)</f>
        <v>8976.1936999999998</v>
      </c>
      <c r="V206" s="14">
        <f>[1]!i_dq_close(V$2,$P206)</f>
        <v>10151.226199999999</v>
      </c>
      <c r="W206" s="14">
        <f>[1]!i_dq_close(W$2,$P206)</f>
        <v>5706.3730999999998</v>
      </c>
      <c r="X206" s="14">
        <f>[1]!i_dq_close(X$2,$P206)</f>
        <v>6527.4895999999999</v>
      </c>
      <c r="Y206" s="14">
        <f>[1]!i_dq_close(Y$2,$P206)</f>
        <v>6668.1722</v>
      </c>
      <c r="Z206" s="14">
        <f>[1]!i_dq_close(Z$2,$P206)</f>
        <v>2649.3382000000001</v>
      </c>
      <c r="AB206" s="1">
        <v>42704</v>
      </c>
      <c r="AC206">
        <v>1.2371349601699175</v>
      </c>
      <c r="AD206">
        <v>1.3392156991091357</v>
      </c>
      <c r="AE206">
        <v>1.2674992562676248</v>
      </c>
      <c r="AF206">
        <v>1.2423539958883991</v>
      </c>
      <c r="AG206">
        <v>1.33838652308447</v>
      </c>
      <c r="AH206">
        <v>1.2537344360878557</v>
      </c>
      <c r="AI206">
        <v>1.223022521603818</v>
      </c>
      <c r="AJ206">
        <v>1.2057997666498954</v>
      </c>
      <c r="AK206">
        <v>1.3244494887514675</v>
      </c>
      <c r="AL206">
        <v>1.1774842201033966</v>
      </c>
    </row>
    <row r="207" spans="1:38" x14ac:dyDescent="0.4">
      <c r="A207" s="10">
        <v>42706</v>
      </c>
      <c r="B207" s="11">
        <v>1.282953453707766</v>
      </c>
      <c r="C207" s="11">
        <v>1.267906978425358</v>
      </c>
      <c r="D207" s="11">
        <v>1.1795957171228411</v>
      </c>
      <c r="E207" s="11">
        <v>1.189752938785033</v>
      </c>
      <c r="P207" s="1">
        <f>A206</f>
        <v>42705</v>
      </c>
      <c r="Q207" s="14">
        <f>[1]!i_dq_close(Q$2,$P207)</f>
        <v>2115.1678000000002</v>
      </c>
      <c r="R207" s="14">
        <f>[1]!i_dq_close(R$2,$P207)</f>
        <v>3448.7118</v>
      </c>
      <c r="S207" s="14">
        <f>[1]!i_dq_close(S$2,$P207)</f>
        <v>4299.7021000000004</v>
      </c>
      <c r="T207" s="14">
        <f>[1]!i_dq_close(T$2,$P207)</f>
        <v>6078.6124</v>
      </c>
      <c r="U207" s="14">
        <f>[1]!i_dq_close(U$2,$P207)</f>
        <v>9013.6209999999992</v>
      </c>
      <c r="V207" s="14">
        <f>[1]!i_dq_close(V$2,$P207)</f>
        <v>10175.8786</v>
      </c>
      <c r="W207" s="14">
        <f>[1]!i_dq_close(W$2,$P207)</f>
        <v>5746.3746000000001</v>
      </c>
      <c r="X207" s="14">
        <f>[1]!i_dq_close(X$2,$P207)</f>
        <v>6522.1347999999998</v>
      </c>
      <c r="Y207" s="14">
        <f>[1]!i_dq_close(Y$2,$P207)</f>
        <v>6811.9426000000003</v>
      </c>
      <c r="Z207" s="14">
        <f>[1]!i_dq_close(Z$2,$P207)</f>
        <v>2659.0936999999999</v>
      </c>
      <c r="AB207" s="1">
        <v>42705</v>
      </c>
      <c r="AC207">
        <v>1.255707628913987</v>
      </c>
      <c r="AD207">
        <v>1.3517420527367696</v>
      </c>
      <c r="AE207">
        <v>1.272513989449122</v>
      </c>
      <c r="AF207">
        <v>1.2568051790539514</v>
      </c>
      <c r="AG207">
        <v>1.3439670837975748</v>
      </c>
      <c r="AH207">
        <v>1.2567791483426385</v>
      </c>
      <c r="AI207">
        <v>1.2315958718808855</v>
      </c>
      <c r="AJ207">
        <v>1.204810593631457</v>
      </c>
      <c r="AK207">
        <v>1.3530055348562149</v>
      </c>
      <c r="AL207">
        <v>1.1818200000008887</v>
      </c>
    </row>
    <row r="208" spans="1:38" x14ac:dyDescent="0.4">
      <c r="A208" s="10">
        <v>42709</v>
      </c>
      <c r="B208" s="11">
        <v>1.2763304768490631</v>
      </c>
      <c r="C208" s="11">
        <v>1.2585738207635759</v>
      </c>
      <c r="D208" s="11">
        <v>1.172876015735236</v>
      </c>
      <c r="E208" s="11">
        <v>1.1842739921613079</v>
      </c>
      <c r="P208" s="1">
        <f>A207</f>
        <v>42706</v>
      </c>
      <c r="Q208" s="14">
        <f>[1]!i_dq_close(Q$2,$P208)</f>
        <v>2106.7269999999999</v>
      </c>
      <c r="R208" s="14">
        <f>[1]!i_dq_close(R$2,$P208)</f>
        <v>3397.7217000000001</v>
      </c>
      <c r="S208" s="14">
        <f>[1]!i_dq_close(S$2,$P208)</f>
        <v>4243.1815999999999</v>
      </c>
      <c r="T208" s="14">
        <f>[1]!i_dq_close(T$2,$P208)</f>
        <v>5969.5164000000004</v>
      </c>
      <c r="U208" s="14">
        <f>[1]!i_dq_close(U$2,$P208)</f>
        <v>8887.3952000000008</v>
      </c>
      <c r="V208" s="14">
        <f>[1]!i_dq_close(V$2,$P208)</f>
        <v>10040.7958</v>
      </c>
      <c r="W208" s="14">
        <f>[1]!i_dq_close(W$2,$P208)</f>
        <v>5694.9987000000001</v>
      </c>
      <c r="X208" s="14">
        <f>[1]!i_dq_close(X$2,$P208)</f>
        <v>6405.9583000000002</v>
      </c>
      <c r="Y208" s="14">
        <f>[1]!i_dq_close(Y$2,$P208)</f>
        <v>6646.0057999999999</v>
      </c>
      <c r="Z208" s="14">
        <f>[1]!i_dq_close(Z$2,$P208)</f>
        <v>2642.0835999999999</v>
      </c>
      <c r="AB208" s="1">
        <v>42706</v>
      </c>
      <c r="AC208">
        <v>1.2506965952956908</v>
      </c>
      <c r="AD208">
        <v>1.3317561952802974</v>
      </c>
      <c r="AE208">
        <v>1.2557865219948861</v>
      </c>
      <c r="AF208">
        <v>1.234248646610121</v>
      </c>
      <c r="AG208">
        <v>1.3251463101788468</v>
      </c>
      <c r="AH208">
        <v>1.2400956507290035</v>
      </c>
      <c r="AI208">
        <v>1.2205846951375237</v>
      </c>
      <c r="AJ208">
        <v>1.1833497250319573</v>
      </c>
      <c r="AK208">
        <v>1.3200467414517711</v>
      </c>
      <c r="AL208">
        <v>1.1742599518604209</v>
      </c>
    </row>
    <row r="209" spans="1:38" x14ac:dyDescent="0.4">
      <c r="A209" s="10">
        <v>42710</v>
      </c>
      <c r="B209" s="11">
        <v>1.276937746662101</v>
      </c>
      <c r="C209" s="11">
        <v>1.2596212434249441</v>
      </c>
      <c r="D209" s="11">
        <v>1.174024217960993</v>
      </c>
      <c r="E209" s="11">
        <v>1.185892273110511</v>
      </c>
      <c r="P209" s="1">
        <f>A208</f>
        <v>42709</v>
      </c>
      <c r="Q209" s="14">
        <f>[1]!i_dq_close(Q$2,$P209)</f>
        <v>2090.1255999999998</v>
      </c>
      <c r="R209" s="14">
        <f>[1]!i_dq_close(R$2,$P209)</f>
        <v>3377.6376</v>
      </c>
      <c r="S209" s="14">
        <f>[1]!i_dq_close(S$2,$P209)</f>
        <v>4176.3735999999999</v>
      </c>
      <c r="T209" s="14">
        <f>[1]!i_dq_close(T$2,$P209)</f>
        <v>5886.5324000000001</v>
      </c>
      <c r="U209" s="14">
        <f>[1]!i_dq_close(U$2,$P209)</f>
        <v>8791.3281000000006</v>
      </c>
      <c r="V209" s="14">
        <f>[1]!i_dq_close(V$2,$P209)</f>
        <v>9981.0344999999998</v>
      </c>
      <c r="W209" s="14">
        <f>[1]!i_dq_close(W$2,$P209)</f>
        <v>5617.165</v>
      </c>
      <c r="X209" s="14">
        <f>[1]!i_dq_close(X$2,$P209)</f>
        <v>6378.08</v>
      </c>
      <c r="Y209" s="14">
        <f>[1]!i_dq_close(Y$2,$P209)</f>
        <v>6606.8703999999998</v>
      </c>
      <c r="Z209" s="14">
        <f>[1]!i_dq_close(Z$2,$P209)</f>
        <v>2610.8261000000002</v>
      </c>
      <c r="AB209" s="1">
        <v>42709</v>
      </c>
      <c r="AC209">
        <v>1.240840873858057</v>
      </c>
      <c r="AD209">
        <v>1.323884118941135</v>
      </c>
      <c r="AE209">
        <v>1.2360144278753615</v>
      </c>
      <c r="AF209">
        <v>1.2170909938243284</v>
      </c>
      <c r="AG209">
        <v>1.3108223198273674</v>
      </c>
      <c r="AH209">
        <v>1.2327147887248273</v>
      </c>
      <c r="AI209">
        <v>1.2039029313671605</v>
      </c>
      <c r="AJ209">
        <v>1.1781998665573308</v>
      </c>
      <c r="AK209">
        <v>1.3122735677892667</v>
      </c>
      <c r="AL209">
        <v>1.1603677228464424</v>
      </c>
    </row>
    <row r="210" spans="1:38" x14ac:dyDescent="0.4">
      <c r="A210" s="10">
        <v>42711</v>
      </c>
      <c r="B210" s="11">
        <v>1.2876826973641959</v>
      </c>
      <c r="C210" s="11">
        <v>1.2685880861176639</v>
      </c>
      <c r="D210" s="11">
        <v>1.182515195119479</v>
      </c>
      <c r="E210" s="11">
        <v>1.1942081551760999</v>
      </c>
      <c r="P210" s="1">
        <f>A209</f>
        <v>42710</v>
      </c>
      <c r="Q210" s="14">
        <f>[1]!i_dq_close(Q$2,$P210)</f>
        <v>2086.8213999999998</v>
      </c>
      <c r="R210" s="14">
        <f>[1]!i_dq_close(R$2,$P210)</f>
        <v>3380.1496000000002</v>
      </c>
      <c r="S210" s="14">
        <f>[1]!i_dq_close(S$2,$P210)</f>
        <v>4173.9372999999996</v>
      </c>
      <c r="T210" s="14">
        <f>[1]!i_dq_close(T$2,$P210)</f>
        <v>5904.6237000000001</v>
      </c>
      <c r="U210" s="14">
        <f>[1]!i_dq_close(U$2,$P210)</f>
        <v>8862.0023999999994</v>
      </c>
      <c r="V210" s="14">
        <f>[1]!i_dq_close(V$2,$P210)</f>
        <v>10000.9949</v>
      </c>
      <c r="W210" s="14">
        <f>[1]!i_dq_close(W$2,$P210)</f>
        <v>5595.6517000000003</v>
      </c>
      <c r="X210" s="14">
        <f>[1]!i_dq_close(X$2,$P210)</f>
        <v>6357.3764000000001</v>
      </c>
      <c r="Y210" s="14">
        <f>[1]!i_dq_close(Y$2,$P210)</f>
        <v>6570.9907999999996</v>
      </c>
      <c r="Z210" s="14">
        <f>[1]!i_dq_close(Z$2,$P210)</f>
        <v>2604.0140000000001</v>
      </c>
      <c r="AB210" s="1">
        <v>42710</v>
      </c>
      <c r="AC210">
        <v>1.2388792757534255</v>
      </c>
      <c r="AD210">
        <v>1.3248687115175501</v>
      </c>
      <c r="AE210">
        <v>1.2352933951711436</v>
      </c>
      <c r="AF210">
        <v>1.2208315250573807</v>
      </c>
      <c r="AG210">
        <v>1.321360141738277</v>
      </c>
      <c r="AH210">
        <v>1.2351800121712411</v>
      </c>
      <c r="AI210">
        <v>1.1992920778612761</v>
      </c>
      <c r="AJ210">
        <v>1.1743753647076745</v>
      </c>
      <c r="AK210">
        <v>1.3051470694848877</v>
      </c>
      <c r="AL210">
        <v>1.1573401213662815</v>
      </c>
    </row>
    <row r="211" spans="1:38" x14ac:dyDescent="0.4">
      <c r="A211" s="10">
        <v>42712</v>
      </c>
      <c r="B211" s="11">
        <v>1.282306739863855</v>
      </c>
      <c r="C211" s="11">
        <v>1.265395063251717</v>
      </c>
      <c r="D211" s="11">
        <v>1.178420669461038</v>
      </c>
      <c r="E211" s="11">
        <v>1.1904814284764611</v>
      </c>
      <c r="P211" s="1">
        <f>A210</f>
        <v>42711</v>
      </c>
      <c r="Q211" s="14">
        <f>[1]!i_dq_close(Q$2,$P211)</f>
        <v>2113.2876999999999</v>
      </c>
      <c r="R211" s="14">
        <f>[1]!i_dq_close(R$2,$P211)</f>
        <v>3426.9135000000001</v>
      </c>
      <c r="S211" s="14">
        <f>[1]!i_dq_close(S$2,$P211)</f>
        <v>4216.0264999999999</v>
      </c>
      <c r="T211" s="14">
        <f>[1]!i_dq_close(T$2,$P211)</f>
        <v>5959.2055</v>
      </c>
      <c r="U211" s="14">
        <f>[1]!i_dq_close(U$2,$P211)</f>
        <v>8959.7628999999997</v>
      </c>
      <c r="V211" s="14">
        <f>[1]!i_dq_close(V$2,$P211)</f>
        <v>10055.727500000001</v>
      </c>
      <c r="W211" s="14">
        <f>[1]!i_dq_close(W$2,$P211)</f>
        <v>5610.7365</v>
      </c>
      <c r="X211" s="14">
        <f>[1]!i_dq_close(X$2,$P211)</f>
        <v>6408.6229000000003</v>
      </c>
      <c r="Y211" s="14">
        <f>[1]!i_dq_close(Y$2,$P211)</f>
        <v>6591.3534</v>
      </c>
      <c r="Z211" s="14">
        <f>[1]!i_dq_close(Z$2,$P211)</f>
        <v>2614.3245000000002</v>
      </c>
      <c r="AB211" s="1">
        <v>42711</v>
      </c>
      <c r="AC211">
        <v>1.2545914735370369</v>
      </c>
      <c r="AD211">
        <v>1.3431980860335584</v>
      </c>
      <c r="AE211">
        <v>1.2477498618190823</v>
      </c>
      <c r="AF211">
        <v>1.2321167797188042</v>
      </c>
      <c r="AG211">
        <v>1.3359366248293225</v>
      </c>
      <c r="AH211">
        <v>1.2419398009932676</v>
      </c>
      <c r="AI211">
        <v>1.2025251384779907</v>
      </c>
      <c r="AJ211">
        <v>1.1838419470430372</v>
      </c>
      <c r="AK211">
        <v>1.3091915413957438</v>
      </c>
      <c r="AL211">
        <v>1.1619225680510332</v>
      </c>
    </row>
    <row r="212" spans="1:38" x14ac:dyDescent="0.4">
      <c r="A212" s="10">
        <v>42713</v>
      </c>
      <c r="B212" s="11">
        <v>1.281390079297319</v>
      </c>
      <c r="C212" s="11">
        <v>1.265445077447708</v>
      </c>
      <c r="D212" s="11">
        <v>1.1765211255012671</v>
      </c>
      <c r="E212" s="11">
        <v>1.1876086251097699</v>
      </c>
      <c r="P212" s="1">
        <f>A211</f>
        <v>42712</v>
      </c>
      <c r="Q212" s="14">
        <f>[1]!i_dq_close(Q$2,$P212)</f>
        <v>2101.3135000000002</v>
      </c>
      <c r="R212" s="14">
        <f>[1]!i_dq_close(R$2,$P212)</f>
        <v>3423.5970000000002</v>
      </c>
      <c r="S212" s="14">
        <f>[1]!i_dq_close(S$2,$P212)</f>
        <v>4184.3415000000005</v>
      </c>
      <c r="T212" s="14">
        <f>[1]!i_dq_close(T$2,$P212)</f>
        <v>5939.2659999999996</v>
      </c>
      <c r="U212" s="14">
        <f>[1]!i_dq_close(U$2,$P212)</f>
        <v>8981.6170999999995</v>
      </c>
      <c r="V212" s="14">
        <f>[1]!i_dq_close(V$2,$P212)</f>
        <v>9994.3505999999998</v>
      </c>
      <c r="W212" s="14">
        <f>[1]!i_dq_close(W$2,$P212)</f>
        <v>5609.4341999999997</v>
      </c>
      <c r="X212" s="14">
        <f>[1]!i_dq_close(X$2,$P212)</f>
        <v>6360.4470000000001</v>
      </c>
      <c r="Y212" s="14">
        <f>[1]!i_dq_close(Y$2,$P212)</f>
        <v>6620.4835000000003</v>
      </c>
      <c r="Z212" s="14">
        <f>[1]!i_dq_close(Z$2,$P212)</f>
        <v>2594.0445</v>
      </c>
      <c r="AB212" s="1">
        <v>42712</v>
      </c>
      <c r="AC212">
        <v>1.2474827730877669</v>
      </c>
      <c r="AD212">
        <v>1.3418981651419659</v>
      </c>
      <c r="AE212">
        <v>1.2383725596669879</v>
      </c>
      <c r="AF212">
        <v>1.2279941173052991</v>
      </c>
      <c r="AG212">
        <v>1.3391951738012315</v>
      </c>
      <c r="AH212">
        <v>1.2343594031581449</v>
      </c>
      <c r="AI212">
        <v>1.2022460220932094</v>
      </c>
      <c r="AJ212">
        <v>1.1749425856441085</v>
      </c>
      <c r="AK212">
        <v>1.3149774366748548</v>
      </c>
      <c r="AL212">
        <v>1.1529092303111792</v>
      </c>
    </row>
    <row r="213" spans="1:38" x14ac:dyDescent="0.4">
      <c r="A213" s="10">
        <v>42716</v>
      </c>
      <c r="B213" s="11">
        <v>1.2360512963755219</v>
      </c>
      <c r="C213" s="11">
        <v>1.228018003160203</v>
      </c>
      <c r="D213" s="11">
        <v>1.138842158767484</v>
      </c>
      <c r="E213" s="11">
        <v>1.142547964550088</v>
      </c>
      <c r="P213" s="1">
        <f>A212</f>
        <v>42713</v>
      </c>
      <c r="Q213" s="14">
        <f>[1]!i_dq_close(Q$2,$P213)</f>
        <v>2103.7988</v>
      </c>
      <c r="R213" s="14">
        <f>[1]!i_dq_close(R$2,$P213)</f>
        <v>3418.2532000000001</v>
      </c>
      <c r="S213" s="14">
        <f>[1]!i_dq_close(S$2,$P213)</f>
        <v>4190.9957999999997</v>
      </c>
      <c r="T213" s="14">
        <f>[1]!i_dq_close(T$2,$P213)</f>
        <v>5945.7295000000004</v>
      </c>
      <c r="U213" s="14">
        <f>[1]!i_dq_close(U$2,$P213)</f>
        <v>8977.3016000000007</v>
      </c>
      <c r="V213" s="14">
        <f>[1]!i_dq_close(V$2,$P213)</f>
        <v>9963.7790000000005</v>
      </c>
      <c r="W213" s="14">
        <f>[1]!i_dq_close(W$2,$P213)</f>
        <v>5668.893</v>
      </c>
      <c r="X213" s="14">
        <f>[1]!i_dq_close(X$2,$P213)</f>
        <v>6319.7784000000001</v>
      </c>
      <c r="Y213" s="14">
        <f>[1]!i_dq_close(Y$2,$P213)</f>
        <v>6583.3230999999996</v>
      </c>
      <c r="Z213" s="14">
        <f>[1]!i_dq_close(Z$2,$P213)</f>
        <v>2594.5533</v>
      </c>
      <c r="AB213" s="1">
        <v>42713</v>
      </c>
      <c r="AC213">
        <v>1.2489582163930877</v>
      </c>
      <c r="AD213">
        <v>1.3398036325743519</v>
      </c>
      <c r="AE213">
        <v>1.2403419262982227</v>
      </c>
      <c r="AF213">
        <v>1.2293305012923443</v>
      </c>
      <c r="AG213">
        <v>1.3385517154230586</v>
      </c>
      <c r="AH213">
        <v>1.2305836358832216</v>
      </c>
      <c r="AI213">
        <v>1.214989572196433</v>
      </c>
      <c r="AJ213">
        <v>1.1674300208764867</v>
      </c>
      <c r="AK213">
        <v>1.307596542584897</v>
      </c>
      <c r="AL213">
        <v>1.1531353637550668</v>
      </c>
    </row>
    <row r="214" spans="1:38" x14ac:dyDescent="0.4">
      <c r="A214" s="10">
        <v>42717</v>
      </c>
      <c r="B214" s="11">
        <v>1.2394416596278861</v>
      </c>
      <c r="C214" s="11">
        <v>1.2329872685025911</v>
      </c>
      <c r="D214" s="11">
        <v>1.1439611017819249</v>
      </c>
      <c r="E214" s="11">
        <v>1.1471268088144411</v>
      </c>
      <c r="P214" s="1">
        <f>A213</f>
        <v>42716</v>
      </c>
      <c r="Q214" s="14">
        <f>[1]!i_dq_close(Q$2,$P214)</f>
        <v>2046.7748999999999</v>
      </c>
      <c r="R214" s="14">
        <f>[1]!i_dq_close(R$2,$P214)</f>
        <v>3276.0374999999999</v>
      </c>
      <c r="S214" s="14">
        <f>[1]!i_dq_close(S$2,$P214)</f>
        <v>3999.5241999999998</v>
      </c>
      <c r="T214" s="14">
        <f>[1]!i_dq_close(T$2,$P214)</f>
        <v>5691.7605000000003</v>
      </c>
      <c r="U214" s="14">
        <f>[1]!i_dq_close(U$2,$P214)</f>
        <v>8688.3665000000001</v>
      </c>
      <c r="V214" s="14">
        <f>[1]!i_dq_close(V$2,$P214)</f>
        <v>9577.5741999999991</v>
      </c>
      <c r="W214" s="14">
        <f>[1]!i_dq_close(W$2,$P214)</f>
        <v>5588.7070999999996</v>
      </c>
      <c r="X214" s="14">
        <f>[1]!i_dq_close(X$2,$P214)</f>
        <v>5966.1066000000001</v>
      </c>
      <c r="Y214" s="14">
        <f>[1]!i_dq_close(Y$2,$P214)</f>
        <v>6296.1673000000001</v>
      </c>
      <c r="Z214" s="14">
        <f>[1]!i_dq_close(Z$2,$P214)</f>
        <v>2526.6934999999999</v>
      </c>
      <c r="AB214" s="1">
        <v>42716</v>
      </c>
      <c r="AC214">
        <v>1.2151049465672004</v>
      </c>
      <c r="AD214">
        <v>1.2840613863682766</v>
      </c>
      <c r="AE214">
        <v>1.1836751424337764</v>
      </c>
      <c r="AF214">
        <v>1.1768202352126791</v>
      </c>
      <c r="AG214">
        <v>1.295470331842169</v>
      </c>
      <c r="AH214">
        <v>1.1828851364504709</v>
      </c>
      <c r="AI214">
        <v>1.1978036714681628</v>
      </c>
      <c r="AJ214">
        <v>1.1020974964231887</v>
      </c>
      <c r="AK214">
        <v>1.250560920064228</v>
      </c>
      <c r="AL214">
        <v>1.1229754378991028</v>
      </c>
    </row>
    <row r="215" spans="1:38" x14ac:dyDescent="0.4">
      <c r="A215" s="10">
        <v>42718</v>
      </c>
      <c r="B215" s="11">
        <v>1.231098909294871</v>
      </c>
      <c r="C215" s="11">
        <v>1.2255786796364909</v>
      </c>
      <c r="D215" s="11">
        <v>1.136973784569838</v>
      </c>
      <c r="E215" s="11">
        <v>1.1387727486791299</v>
      </c>
      <c r="P215" s="1">
        <f>A214</f>
        <v>42717</v>
      </c>
      <c r="Q215" s="14">
        <f>[1]!i_dq_close(Q$2,$P215)</f>
        <v>2082.2550999999999</v>
      </c>
      <c r="R215" s="14">
        <f>[1]!i_dq_close(R$2,$P215)</f>
        <v>3302.6695</v>
      </c>
      <c r="S215" s="14">
        <f>[1]!i_dq_close(S$2,$P215)</f>
        <v>4012.4668999999999</v>
      </c>
      <c r="T215" s="14">
        <f>[1]!i_dq_close(T$2,$P215)</f>
        <v>5696.4075000000003</v>
      </c>
      <c r="U215" s="14">
        <f>[1]!i_dq_close(U$2,$P215)</f>
        <v>8827.8093000000008</v>
      </c>
      <c r="V215" s="14">
        <f>[1]!i_dq_close(V$2,$P215)</f>
        <v>9583.8469999999998</v>
      </c>
      <c r="W215" s="14">
        <f>[1]!i_dq_close(W$2,$P215)</f>
        <v>5549.2020000000002</v>
      </c>
      <c r="X215" s="14">
        <f>[1]!i_dq_close(X$2,$P215)</f>
        <v>5968.3854000000001</v>
      </c>
      <c r="Y215" s="14">
        <f>[1]!i_dq_close(Y$2,$P215)</f>
        <v>6374.4576999999999</v>
      </c>
      <c r="Z215" s="14">
        <f>[1]!i_dq_close(Z$2,$P215)</f>
        <v>2526.7505999999998</v>
      </c>
      <c r="AB215" s="1">
        <v>42717</v>
      </c>
      <c r="AC215">
        <v>1.2361684091517735</v>
      </c>
      <c r="AD215">
        <v>1.2944999490653641</v>
      </c>
      <c r="AE215">
        <v>1.1875055861315487</v>
      </c>
      <c r="AF215">
        <v>1.1777810422657926</v>
      </c>
      <c r="AG215">
        <v>1.3162618132315651</v>
      </c>
      <c r="AH215">
        <v>1.1836598630909523</v>
      </c>
      <c r="AI215">
        <v>1.1893367124783605</v>
      </c>
      <c r="AJ215">
        <v>1.1025184509825405</v>
      </c>
      <c r="AK215">
        <v>1.2661111603915771</v>
      </c>
      <c r="AL215">
        <v>1.1230008156892877</v>
      </c>
    </row>
    <row r="216" spans="1:38" x14ac:dyDescent="0.4">
      <c r="A216" s="10">
        <v>42719</v>
      </c>
      <c r="B216" s="11">
        <v>1.2319187240040319</v>
      </c>
      <c r="C216" s="11">
        <v>1.22298348960787</v>
      </c>
      <c r="D216" s="11">
        <v>1.138127305836754</v>
      </c>
      <c r="E216" s="11">
        <v>1.139948055406294</v>
      </c>
      <c r="P216" s="1">
        <f>A215</f>
        <v>42718</v>
      </c>
      <c r="Q216" s="14">
        <f>[1]!i_dq_close(Q$2,$P216)</f>
        <v>2083.7235000000001</v>
      </c>
      <c r="R216" s="14">
        <f>[1]!i_dq_close(R$2,$P216)</f>
        <v>3294.3026</v>
      </c>
      <c r="S216" s="14">
        <f>[1]!i_dq_close(S$2,$P216)</f>
        <v>3977.4360000000001</v>
      </c>
      <c r="T216" s="14">
        <f>[1]!i_dq_close(T$2,$P216)</f>
        <v>5649.9672</v>
      </c>
      <c r="U216" s="14">
        <f>[1]!i_dq_close(U$2,$P216)</f>
        <v>8758.6686000000009</v>
      </c>
      <c r="V216" s="14">
        <f>[1]!i_dq_close(V$2,$P216)</f>
        <v>9501.3449999999993</v>
      </c>
      <c r="W216" s="14">
        <f>[1]!i_dq_close(W$2,$P216)</f>
        <v>5529.8831</v>
      </c>
      <c r="X216" s="14">
        <f>[1]!i_dq_close(X$2,$P216)</f>
        <v>5897.6023999999998</v>
      </c>
      <c r="Y216" s="14">
        <f>[1]!i_dq_close(Y$2,$P216)</f>
        <v>6277.1760000000004</v>
      </c>
      <c r="Z216" s="14">
        <f>[1]!i_dq_close(Z$2,$P216)</f>
        <v>2514.2833999999998</v>
      </c>
      <c r="AB216" s="1">
        <v>42718</v>
      </c>
      <c r="AC216">
        <v>1.2370401513758644</v>
      </c>
      <c r="AD216">
        <v>1.2912204953919539</v>
      </c>
      <c r="AE216">
        <v>1.1771380515265366</v>
      </c>
      <c r="AF216">
        <v>1.1681791124640473</v>
      </c>
      <c r="AG216">
        <v>1.3059526572385713</v>
      </c>
      <c r="AH216">
        <v>1.1734703947047467</v>
      </c>
      <c r="AI216">
        <v>1.1851961753318125</v>
      </c>
      <c r="AJ216">
        <v>1.0894429609989518</v>
      </c>
      <c r="AK216">
        <v>1.2467888192813892</v>
      </c>
      <c r="AL216">
        <v>1.117459835202586</v>
      </c>
    </row>
    <row r="217" spans="1:38" x14ac:dyDescent="0.4">
      <c r="A217" s="10">
        <v>42720</v>
      </c>
      <c r="B217" s="11">
        <v>1.240254296699979</v>
      </c>
      <c r="C217" s="11">
        <v>1.2280080454655771</v>
      </c>
      <c r="D217" s="11">
        <v>1.144210686215331</v>
      </c>
      <c r="E217" s="11">
        <v>1.146337481474893</v>
      </c>
      <c r="P217" s="1">
        <f>A216</f>
        <v>42719</v>
      </c>
      <c r="Q217" s="14">
        <f>[1]!i_dq_close(Q$2,$P217)</f>
        <v>2078.9132</v>
      </c>
      <c r="R217" s="14">
        <f>[1]!i_dq_close(R$2,$P217)</f>
        <v>3302.4115000000002</v>
      </c>
      <c r="S217" s="14">
        <f>[1]!i_dq_close(S$2,$P217)</f>
        <v>4008.0864999999999</v>
      </c>
      <c r="T217" s="14">
        <f>[1]!i_dq_close(T$2,$P217)</f>
        <v>5661.8024999999998</v>
      </c>
      <c r="U217" s="14">
        <f>[1]!i_dq_close(U$2,$P217)</f>
        <v>8756.7245999999996</v>
      </c>
      <c r="V217" s="14">
        <f>[1]!i_dq_close(V$2,$P217)</f>
        <v>9506.0877</v>
      </c>
      <c r="W217" s="14">
        <f>[1]!i_dq_close(W$2,$P217)</f>
        <v>5427.9834000000001</v>
      </c>
      <c r="X217" s="14">
        <f>[1]!i_dq_close(X$2,$P217)</f>
        <v>5944.1031999999996</v>
      </c>
      <c r="Y217" s="14">
        <f>[1]!i_dq_close(Y$2,$P217)</f>
        <v>6324.8018000000002</v>
      </c>
      <c r="Z217" s="14">
        <f>[1]!i_dq_close(Z$2,$P217)</f>
        <v>2511.5122000000001</v>
      </c>
      <c r="AB217" s="1">
        <v>42719</v>
      </c>
      <c r="AC217">
        <v>1.2341844297601301</v>
      </c>
      <c r="AD217">
        <v>1.2943988245093472</v>
      </c>
      <c r="AE217">
        <v>1.1862091892766635</v>
      </c>
      <c r="AF217">
        <v>1.1706261621123613</v>
      </c>
      <c r="AG217">
        <v>1.3056627990327623</v>
      </c>
      <c r="AH217">
        <v>1.1740561452527973</v>
      </c>
      <c r="AI217">
        <v>1.1633564487908556</v>
      </c>
      <c r="AJ217">
        <v>1.0980328871765488</v>
      </c>
      <c r="AK217">
        <v>1.256248377998451</v>
      </c>
      <c r="AL217">
        <v>1.1162281901560041</v>
      </c>
    </row>
    <row r="218" spans="1:38" x14ac:dyDescent="0.4">
      <c r="A218" s="10">
        <v>42723</v>
      </c>
      <c r="B218" s="11">
        <v>1.2382010809757911</v>
      </c>
      <c r="C218" s="11">
        <v>1.22738878896794</v>
      </c>
      <c r="D218" s="11">
        <v>1.1437030858816</v>
      </c>
      <c r="E218" s="11">
        <v>1.1445106549787769</v>
      </c>
      <c r="P218" s="1">
        <f>A217</f>
        <v>42720</v>
      </c>
      <c r="Q218" s="14">
        <f>[1]!i_dq_close(Q$2,$P218)</f>
        <v>2075.8995</v>
      </c>
      <c r="R218" s="14">
        <f>[1]!i_dq_close(R$2,$P218)</f>
        <v>3311.7298000000001</v>
      </c>
      <c r="S218" s="14">
        <f>[1]!i_dq_close(S$2,$P218)</f>
        <v>4032.9681999999998</v>
      </c>
      <c r="T218" s="14">
        <f>[1]!i_dq_close(T$2,$P218)</f>
        <v>5731.5843999999997</v>
      </c>
      <c r="U218" s="14">
        <f>[1]!i_dq_close(U$2,$P218)</f>
        <v>8817.0589</v>
      </c>
      <c r="V218" s="14">
        <f>[1]!i_dq_close(V$2,$P218)</f>
        <v>9601.0512999999992</v>
      </c>
      <c r="W218" s="14">
        <f>[1]!i_dq_close(W$2,$P218)</f>
        <v>5417.3690999999999</v>
      </c>
      <c r="X218" s="14">
        <f>[1]!i_dq_close(X$2,$P218)</f>
        <v>6002.7341999999999</v>
      </c>
      <c r="Y218" s="14">
        <f>[1]!i_dq_close(Y$2,$P218)</f>
        <v>6363.9096</v>
      </c>
      <c r="Z218" s="14">
        <f>[1]!i_dq_close(Z$2,$P218)</f>
        <v>2524.8847999999998</v>
      </c>
      <c r="AB218" s="1">
        <v>42720</v>
      </c>
      <c r="AC218">
        <v>1.232395292235789</v>
      </c>
      <c r="AD218">
        <v>1.2980511847819616</v>
      </c>
      <c r="AE218">
        <v>1.193573027653112</v>
      </c>
      <c r="AF218">
        <v>1.1850541676427393</v>
      </c>
      <c r="AG218">
        <v>1.3146588854251198</v>
      </c>
      <c r="AH218">
        <v>1.1857846924400199</v>
      </c>
      <c r="AI218">
        <v>1.1610815313041145</v>
      </c>
      <c r="AJ218">
        <v>1.1088635817391952</v>
      </c>
      <c r="AK218">
        <v>1.264016069678068</v>
      </c>
      <c r="AL218">
        <v>1.1221715708394344</v>
      </c>
    </row>
    <row r="219" spans="1:38" x14ac:dyDescent="0.4">
      <c r="A219" s="10">
        <v>42724</v>
      </c>
      <c r="B219" s="11">
        <v>1.235494676410464</v>
      </c>
      <c r="C219" s="11">
        <v>1.222553572557203</v>
      </c>
      <c r="D219" s="11">
        <v>1.140886468307871</v>
      </c>
      <c r="E219" s="11">
        <v>1.1409327367332811</v>
      </c>
      <c r="P219" s="1">
        <f>A218</f>
        <v>42723</v>
      </c>
      <c r="Q219" s="14">
        <f>[1]!i_dq_close(Q$2,$P219)</f>
        <v>2091.1570999999999</v>
      </c>
      <c r="R219" s="14">
        <f>[1]!i_dq_close(R$2,$P219)</f>
        <v>3313.0043000000001</v>
      </c>
      <c r="S219" s="14">
        <f>[1]!i_dq_close(S$2,$P219)</f>
        <v>4026.4245999999998</v>
      </c>
      <c r="T219" s="14">
        <f>[1]!i_dq_close(T$2,$P219)</f>
        <v>5712.4522999999999</v>
      </c>
      <c r="U219" s="14">
        <f>[1]!i_dq_close(U$2,$P219)</f>
        <v>8860.2811999999994</v>
      </c>
      <c r="V219" s="14">
        <f>[1]!i_dq_close(V$2,$P219)</f>
        <v>9593.3881000000001</v>
      </c>
      <c r="W219" s="14">
        <f>[1]!i_dq_close(W$2,$P219)</f>
        <v>5382.0640999999996</v>
      </c>
      <c r="X219" s="14">
        <f>[1]!i_dq_close(X$2,$P219)</f>
        <v>5952.7905000000001</v>
      </c>
      <c r="Y219" s="14">
        <f>[1]!i_dq_close(Y$2,$P219)</f>
        <v>6353.1953999999996</v>
      </c>
      <c r="Z219" s="14">
        <f>[1]!i_dq_close(Z$2,$P219)</f>
        <v>2529.6196</v>
      </c>
      <c r="AB219" s="1">
        <v>42723</v>
      </c>
      <c r="AC219">
        <v>1.2414532424934084</v>
      </c>
      <c r="AD219">
        <v>1.2985507322495735</v>
      </c>
      <c r="AE219">
        <v>1.1916364231284964</v>
      </c>
      <c r="AF219">
        <v>1.181098442094886</v>
      </c>
      <c r="AG219">
        <v>1.3211035039070842</v>
      </c>
      <c r="AH219">
        <v>1.1848382434553026</v>
      </c>
      <c r="AI219">
        <v>1.1535147617696753</v>
      </c>
      <c r="AJ219">
        <v>1.0996376609800671</v>
      </c>
      <c r="AK219">
        <v>1.2618879877559515</v>
      </c>
      <c r="AL219">
        <v>1.1242759274237868</v>
      </c>
    </row>
    <row r="220" spans="1:38" x14ac:dyDescent="0.4">
      <c r="A220" s="10">
        <v>42725</v>
      </c>
      <c r="B220" s="11">
        <v>1.2448440545652359</v>
      </c>
      <c r="C220" s="11">
        <v>1.231748979796307</v>
      </c>
      <c r="D220" s="11">
        <v>1.1487378230598571</v>
      </c>
      <c r="E220" s="11">
        <v>1.1489756981797401</v>
      </c>
      <c r="P220" s="1">
        <f>A219</f>
        <v>42724</v>
      </c>
      <c r="Q220" s="14">
        <f>[1]!i_dq_close(Q$2,$P220)</f>
        <v>2064.9391999999998</v>
      </c>
      <c r="R220" s="14">
        <f>[1]!i_dq_close(R$2,$P220)</f>
        <v>3297.2437</v>
      </c>
      <c r="S220" s="14">
        <f>[1]!i_dq_close(S$2,$P220)</f>
        <v>4020.5288</v>
      </c>
      <c r="T220" s="14">
        <f>[1]!i_dq_close(T$2,$P220)</f>
        <v>5693.0286999999998</v>
      </c>
      <c r="U220" s="14">
        <f>[1]!i_dq_close(U$2,$P220)</f>
        <v>8800.7119999999995</v>
      </c>
      <c r="V220" s="14">
        <f>[1]!i_dq_close(V$2,$P220)</f>
        <v>9591.1682000000001</v>
      </c>
      <c r="W220" s="14">
        <f>[1]!i_dq_close(W$2,$P220)</f>
        <v>5339.7790000000005</v>
      </c>
      <c r="X220" s="14">
        <f>[1]!i_dq_close(X$2,$P220)</f>
        <v>5958.7295000000004</v>
      </c>
      <c r="Y220" s="14">
        <f>[1]!i_dq_close(Y$2,$P220)</f>
        <v>6379.5488999999998</v>
      </c>
      <c r="Z220" s="14">
        <f>[1]!i_dq_close(Z$2,$P220)</f>
        <v>2519.1666</v>
      </c>
      <c r="AB220" s="1">
        <v>42724</v>
      </c>
      <c r="AC220">
        <v>1.225888511863477</v>
      </c>
      <c r="AD220">
        <v>1.2923732761349851</v>
      </c>
      <c r="AE220">
        <v>1.1898915375981725</v>
      </c>
      <c r="AF220">
        <v>1.1770824464252374</v>
      </c>
      <c r="AG220">
        <v>1.3122214969968586</v>
      </c>
      <c r="AH220">
        <v>1.1845640731216072</v>
      </c>
      <c r="AI220">
        <v>1.1444519772790733</v>
      </c>
      <c r="AJ220">
        <v>1.1007347511713919</v>
      </c>
      <c r="AK220">
        <v>1.2671223876117037</v>
      </c>
      <c r="AL220">
        <v>1.1196301473747388</v>
      </c>
    </row>
    <row r="221" spans="1:38" x14ac:dyDescent="0.4">
      <c r="A221" s="10">
        <v>42726</v>
      </c>
      <c r="B221" s="11">
        <v>1.244229423808545</v>
      </c>
      <c r="C221" s="11">
        <v>1.231055876784283</v>
      </c>
      <c r="D221" s="11">
        <v>1.1481685164899471</v>
      </c>
      <c r="E221" s="11">
        <v>1.148548077541526</v>
      </c>
      <c r="P221" s="1">
        <f>A220</f>
        <v>42725</v>
      </c>
      <c r="Q221" s="14">
        <f>[1]!i_dq_close(Q$2,$P221)</f>
        <v>2100.7611000000002</v>
      </c>
      <c r="R221" s="14">
        <f>[1]!i_dq_close(R$2,$P221)</f>
        <v>3324.2847000000002</v>
      </c>
      <c r="S221" s="14">
        <f>[1]!i_dq_close(S$2,$P221)</f>
        <v>4076.5</v>
      </c>
      <c r="T221" s="14">
        <f>[1]!i_dq_close(T$2,$P221)</f>
        <v>5728.0730000000003</v>
      </c>
      <c r="U221" s="14">
        <f>[1]!i_dq_close(U$2,$P221)</f>
        <v>8856.6003000000001</v>
      </c>
      <c r="V221" s="14">
        <f>[1]!i_dq_close(V$2,$P221)</f>
        <v>9656.8305999999993</v>
      </c>
      <c r="W221" s="14">
        <f>[1]!i_dq_close(W$2,$P221)</f>
        <v>5362.1509999999998</v>
      </c>
      <c r="X221" s="14">
        <f>[1]!i_dq_close(X$2,$P221)</f>
        <v>5995.8724000000002</v>
      </c>
      <c r="Y221" s="14">
        <f>[1]!i_dq_close(Y$2,$P221)</f>
        <v>6442.5621000000001</v>
      </c>
      <c r="Z221" s="14">
        <f>[1]!i_dq_close(Z$2,$P221)</f>
        <v>2546.9634000000001</v>
      </c>
      <c r="AB221" s="1">
        <v>42725</v>
      </c>
      <c r="AC221">
        <v>1.2471548308345746</v>
      </c>
      <c r="AD221">
        <v>1.3029721486902548</v>
      </c>
      <c r="AE221">
        <v>1.206456437526066</v>
      </c>
      <c r="AF221">
        <v>1.1843281556164207</v>
      </c>
      <c r="AG221">
        <v>1.320554666937042</v>
      </c>
      <c r="AH221">
        <v>1.1926737546925068</v>
      </c>
      <c r="AI221">
        <v>1.1492468722804745</v>
      </c>
      <c r="AJ221">
        <v>1.1075960260101445</v>
      </c>
      <c r="AK221">
        <v>1.2796382312374268</v>
      </c>
      <c r="AL221">
        <v>1.1319842867478735</v>
      </c>
    </row>
    <row r="222" spans="1:38" x14ac:dyDescent="0.4">
      <c r="A222" s="10">
        <v>42727</v>
      </c>
      <c r="B222" s="11">
        <v>1.234030685338469</v>
      </c>
      <c r="C222" s="11">
        <v>1.220357659024655</v>
      </c>
      <c r="D222" s="11">
        <v>1.1398016953348029</v>
      </c>
      <c r="E222" s="11">
        <v>1.1394645536136749</v>
      </c>
      <c r="P222" s="1">
        <f>A221</f>
        <v>42726</v>
      </c>
      <c r="Q222" s="14">
        <f>[1]!i_dq_close(Q$2,$P222)</f>
        <v>2100.8067000000001</v>
      </c>
      <c r="R222" s="14">
        <f>[1]!i_dq_close(R$2,$P222)</f>
        <v>3316.7683999999999</v>
      </c>
      <c r="S222" s="14">
        <f>[1]!i_dq_close(S$2,$P222)</f>
        <v>4082.8629000000001</v>
      </c>
      <c r="T222" s="14">
        <f>[1]!i_dq_close(T$2,$P222)</f>
        <v>5738.9189999999999</v>
      </c>
      <c r="U222" s="14">
        <f>[1]!i_dq_close(U$2,$P222)</f>
        <v>8823.7116999999998</v>
      </c>
      <c r="V222" s="14">
        <f>[1]!i_dq_close(V$2,$P222)</f>
        <v>9643.0110999999997</v>
      </c>
      <c r="W222" s="14">
        <f>[1]!i_dq_close(W$2,$P222)</f>
        <v>5343.3392000000003</v>
      </c>
      <c r="X222" s="14">
        <f>[1]!i_dq_close(X$2,$P222)</f>
        <v>5979.1659</v>
      </c>
      <c r="Y222" s="14">
        <f>[1]!i_dq_close(Y$2,$P222)</f>
        <v>6464.5370999999996</v>
      </c>
      <c r="Z222" s="14">
        <f>[1]!i_dq_close(Z$2,$P222)</f>
        <v>2555.3519999999999</v>
      </c>
      <c r="AB222" s="1">
        <v>42726</v>
      </c>
      <c r="AC222">
        <v>1.2471819020995014</v>
      </c>
      <c r="AD222">
        <v>1.3000260924871863</v>
      </c>
      <c r="AE222">
        <v>1.2083395631648088</v>
      </c>
      <c r="AF222">
        <v>1.1865706590160483</v>
      </c>
      <c r="AG222">
        <v>1.3156508446183328</v>
      </c>
      <c r="AH222">
        <v>1.1909669674829464</v>
      </c>
      <c r="AI222">
        <v>1.1452150197063926</v>
      </c>
      <c r="AJ222">
        <v>1.1045098941223914</v>
      </c>
      <c r="AK222">
        <v>1.2840029621775355</v>
      </c>
      <c r="AL222">
        <v>1.1357125552372491</v>
      </c>
    </row>
    <row r="223" spans="1:38" x14ac:dyDescent="0.4">
      <c r="A223" s="10">
        <v>42730</v>
      </c>
      <c r="B223" s="11">
        <v>1.238943994626178</v>
      </c>
      <c r="C223" s="11">
        <v>1.224088852354384</v>
      </c>
      <c r="D223" s="11">
        <v>1.1439616393183341</v>
      </c>
      <c r="E223" s="11">
        <v>1.144284021223106</v>
      </c>
      <c r="P223" s="1">
        <f>A222</f>
        <v>42727</v>
      </c>
      <c r="Q223" s="14">
        <f>[1]!i_dq_close(Q$2,$P223)</f>
        <v>2069.223</v>
      </c>
      <c r="R223" s="14">
        <f>[1]!i_dq_close(R$2,$P223)</f>
        <v>3283.3717999999999</v>
      </c>
      <c r="S223" s="14">
        <f>[1]!i_dq_close(S$2,$P223)</f>
        <v>4044.9324000000001</v>
      </c>
      <c r="T223" s="14">
        <f>[1]!i_dq_close(T$2,$P223)</f>
        <v>5680.9787999999999</v>
      </c>
      <c r="U223" s="14">
        <f>[1]!i_dq_close(U$2,$P223)</f>
        <v>8704.5691000000006</v>
      </c>
      <c r="V223" s="14">
        <f>[1]!i_dq_close(V$2,$P223)</f>
        <v>9560.1167000000005</v>
      </c>
      <c r="W223" s="14">
        <f>[1]!i_dq_close(W$2,$P223)</f>
        <v>5302.1216000000004</v>
      </c>
      <c r="X223" s="14">
        <f>[1]!i_dq_close(X$2,$P223)</f>
        <v>5926.0784000000003</v>
      </c>
      <c r="Y223" s="14">
        <f>[1]!i_dq_close(Y$2,$P223)</f>
        <v>6377.9651999999996</v>
      </c>
      <c r="Z223" s="14">
        <f>[1]!i_dq_close(Z$2,$P223)</f>
        <v>2527.8797</v>
      </c>
      <c r="AB223" s="1">
        <v>42727</v>
      </c>
      <c r="AC223">
        <v>1.228431667229563</v>
      </c>
      <c r="AD223">
        <v>1.2869361066442322</v>
      </c>
      <c r="AE223">
        <v>1.1971138803723196</v>
      </c>
      <c r="AF223">
        <v>1.1745910263888024</v>
      </c>
      <c r="AG223">
        <v>1.2978862045610173</v>
      </c>
      <c r="AH223">
        <v>1.1807290354547111</v>
      </c>
      <c r="AI223">
        <v>1.1363810279215831</v>
      </c>
      <c r="AJ223">
        <v>1.0947032304530957</v>
      </c>
      <c r="AK223">
        <v>1.2668078290501632</v>
      </c>
      <c r="AL223">
        <v>1.1235026381568454</v>
      </c>
    </row>
    <row r="224" spans="1:38" x14ac:dyDescent="0.4">
      <c r="A224" s="10">
        <v>42731</v>
      </c>
      <c r="B224" s="11">
        <v>1.2400914117551749</v>
      </c>
      <c r="C224" s="11">
        <v>1.2248802669492369</v>
      </c>
      <c r="D224" s="11">
        <v>1.145028057570098</v>
      </c>
      <c r="E224" s="11">
        <v>1.1455288399709</v>
      </c>
      <c r="P224" s="1">
        <f>A223</f>
        <v>42730</v>
      </c>
      <c r="Q224" s="14">
        <f>[1]!i_dq_close(Q$2,$P224)</f>
        <v>2057.7512999999999</v>
      </c>
      <c r="R224" s="14">
        <f>[1]!i_dq_close(R$2,$P224)</f>
        <v>3285.4917</v>
      </c>
      <c r="S224" s="14">
        <f>[1]!i_dq_close(S$2,$P224)</f>
        <v>4073.8715000000002</v>
      </c>
      <c r="T224" s="14">
        <f>[1]!i_dq_close(T$2,$P224)</f>
        <v>5696.9967999999999</v>
      </c>
      <c r="U224" s="14">
        <f>[1]!i_dq_close(U$2,$P224)</f>
        <v>8743.6064000000006</v>
      </c>
      <c r="V224" s="14">
        <f>[1]!i_dq_close(V$2,$P224)</f>
        <v>9605.0476999999992</v>
      </c>
      <c r="W224" s="14">
        <f>[1]!i_dq_close(W$2,$P224)</f>
        <v>5331.1805000000004</v>
      </c>
      <c r="X224" s="14">
        <f>[1]!i_dq_close(X$2,$P224)</f>
        <v>5943.6301999999996</v>
      </c>
      <c r="Y224" s="14">
        <f>[1]!i_dq_close(Y$2,$P224)</f>
        <v>6413.9917999999998</v>
      </c>
      <c r="Z224" s="14">
        <f>[1]!i_dq_close(Z$2,$P224)</f>
        <v>2529.3933000000002</v>
      </c>
      <c r="AB224" s="1">
        <v>42730</v>
      </c>
      <c r="AC224">
        <v>1.2216212849957691</v>
      </c>
      <c r="AD224">
        <v>1.2877670134128398</v>
      </c>
      <c r="AE224">
        <v>1.2056785224650979</v>
      </c>
      <c r="AF224">
        <v>1.1779028850883448</v>
      </c>
      <c r="AG224">
        <v>1.3037068227388098</v>
      </c>
      <c r="AH224">
        <v>1.1862782706739856</v>
      </c>
      <c r="AI224">
        <v>1.142609097578128</v>
      </c>
      <c r="AJ224">
        <v>1.0979455115812471</v>
      </c>
      <c r="AK224">
        <v>1.273963524872094</v>
      </c>
      <c r="AL224">
        <v>1.1241753495968376</v>
      </c>
    </row>
    <row r="225" spans="1:38" x14ac:dyDescent="0.4">
      <c r="A225" s="10">
        <v>42732</v>
      </c>
      <c r="B225" s="11">
        <v>1.236945747486923</v>
      </c>
      <c r="C225" s="11">
        <v>1.2211621512846289</v>
      </c>
      <c r="D225" s="11">
        <v>1.1416243784011419</v>
      </c>
      <c r="E225" s="11">
        <v>1.1419308999805811</v>
      </c>
      <c r="P225" s="1">
        <f>A224</f>
        <v>42731</v>
      </c>
      <c r="Q225" s="14">
        <f>[1]!i_dq_close(Q$2,$P225)</f>
        <v>2054.3042999999998</v>
      </c>
      <c r="R225" s="14">
        <f>[1]!i_dq_close(R$2,$P225)</f>
        <v>3289.0430999999999</v>
      </c>
      <c r="S225" s="14">
        <f>[1]!i_dq_close(S$2,$P225)</f>
        <v>4075.2352000000001</v>
      </c>
      <c r="T225" s="14">
        <f>[1]!i_dq_close(T$2,$P225)</f>
        <v>5695.1259</v>
      </c>
      <c r="U225" s="14">
        <f>[1]!i_dq_close(U$2,$P225)</f>
        <v>8741.7960999999996</v>
      </c>
      <c r="V225" s="14">
        <f>[1]!i_dq_close(V$2,$P225)</f>
        <v>9596.0020999999997</v>
      </c>
      <c r="W225" s="14">
        <f>[1]!i_dq_close(W$2,$P225)</f>
        <v>5324.9135999999999</v>
      </c>
      <c r="X225" s="14">
        <f>[1]!i_dq_close(X$2,$P225)</f>
        <v>5933.8239999999996</v>
      </c>
      <c r="Y225" s="14">
        <f>[1]!i_dq_close(Y$2,$P225)</f>
        <v>6394.1521000000002</v>
      </c>
      <c r="Z225" s="14">
        <f>[1]!i_dq_close(Z$2,$P225)</f>
        <v>2523.6529</v>
      </c>
      <c r="AB225" s="1">
        <v>42731</v>
      </c>
      <c r="AC225">
        <v>1.219574911087814</v>
      </c>
      <c r="AD225">
        <v>1.2891590046850849</v>
      </c>
      <c r="AE225">
        <v>1.2060821149203547</v>
      </c>
      <c r="AF225">
        <v>1.1775160604884587</v>
      </c>
      <c r="AG225">
        <v>1.3034368997398507</v>
      </c>
      <c r="AH225">
        <v>1.185161087390741</v>
      </c>
      <c r="AI225">
        <v>1.1412659397252634</v>
      </c>
      <c r="AJ225">
        <v>1.0961340473896042</v>
      </c>
      <c r="AK225">
        <v>1.2700229127022429</v>
      </c>
      <c r="AL225">
        <v>1.1216240594606512</v>
      </c>
    </row>
    <row r="226" spans="1:38" x14ac:dyDescent="0.4">
      <c r="A226" s="10">
        <v>42733</v>
      </c>
      <c r="B226" s="11">
        <v>1.235136709892646</v>
      </c>
      <c r="C226" s="11">
        <v>1.218945454923867</v>
      </c>
      <c r="D226" s="11">
        <v>1.1403453570611299</v>
      </c>
      <c r="E226" s="11">
        <v>1.1397671330856289</v>
      </c>
      <c r="P226" s="1">
        <f>A225</f>
        <v>42732</v>
      </c>
      <c r="Q226" s="14">
        <f>[1]!i_dq_close(Q$2,$P226)</f>
        <v>2047.2907</v>
      </c>
      <c r="R226" s="14">
        <f>[1]!i_dq_close(R$2,$P226)</f>
        <v>3284.8393000000001</v>
      </c>
      <c r="S226" s="14">
        <f>[1]!i_dq_close(S$2,$P226)</f>
        <v>4050.3777</v>
      </c>
      <c r="T226" s="14">
        <f>[1]!i_dq_close(T$2,$P226)</f>
        <v>5669.4471000000003</v>
      </c>
      <c r="U226" s="14">
        <f>[1]!i_dq_close(U$2,$P226)</f>
        <v>8700.8448000000008</v>
      </c>
      <c r="V226" s="14">
        <f>[1]!i_dq_close(V$2,$P226)</f>
        <v>9563.7286000000004</v>
      </c>
      <c r="W226" s="14">
        <f>[1]!i_dq_close(W$2,$P226)</f>
        <v>5305.1223</v>
      </c>
      <c r="X226" s="14">
        <f>[1]!i_dq_close(X$2,$P226)</f>
        <v>5915.9368999999997</v>
      </c>
      <c r="Y226" s="14">
        <f>[1]!i_dq_close(Y$2,$P226)</f>
        <v>6377.2079000000003</v>
      </c>
      <c r="Z226" s="14">
        <f>[1]!i_dq_close(Z$2,$P226)</f>
        <v>2518.0445</v>
      </c>
      <c r="AB226" s="1">
        <v>42732</v>
      </c>
      <c r="AC226">
        <v>1.2154111605682805</v>
      </c>
      <c r="AD226">
        <v>1.2875113015510351</v>
      </c>
      <c r="AE226">
        <v>1.198725438630448</v>
      </c>
      <c r="AF226">
        <v>1.1722067486409242</v>
      </c>
      <c r="AG226">
        <v>1.2973308964767094</v>
      </c>
      <c r="AH226">
        <v>1.1811751257417846</v>
      </c>
      <c r="AI226">
        <v>1.1370241551087235</v>
      </c>
      <c r="AJ226">
        <v>1.0928298274937895</v>
      </c>
      <c r="AK226">
        <v>1.2666574121791307</v>
      </c>
      <c r="AL226">
        <v>1.119131436019813</v>
      </c>
    </row>
    <row r="227" spans="1:38" x14ac:dyDescent="0.4">
      <c r="A227" s="10">
        <v>42734</v>
      </c>
      <c r="B227" s="11">
        <v>1.2388797056749721</v>
      </c>
      <c r="C227" s="11">
        <v>1.2232782241439171</v>
      </c>
      <c r="D227" s="11">
        <v>1.1430050751846761</v>
      </c>
      <c r="E227" s="11">
        <v>1.1422241425056949</v>
      </c>
      <c r="P227" s="1">
        <f>A226</f>
        <v>42733</v>
      </c>
      <c r="Q227" s="14">
        <f>[1]!i_dq_close(Q$2,$P227)</f>
        <v>2040.0322000000001</v>
      </c>
      <c r="R227" s="14">
        <f>[1]!i_dq_close(R$2,$P227)</f>
        <v>3275.0934999999999</v>
      </c>
      <c r="S227" s="14">
        <f>[1]!i_dq_close(S$2,$P227)</f>
        <v>4045.1484999999998</v>
      </c>
      <c r="T227" s="14">
        <f>[1]!i_dq_close(T$2,$P227)</f>
        <v>5654.1934000000001</v>
      </c>
      <c r="U227" s="14">
        <f>[1]!i_dq_close(U$2,$P227)</f>
        <v>8700.2703999999994</v>
      </c>
      <c r="V227" s="14">
        <f>[1]!i_dq_close(V$2,$P227)</f>
        <v>9530.3186999999998</v>
      </c>
      <c r="W227" s="14">
        <f>[1]!i_dq_close(W$2,$P227)</f>
        <v>5290.2076999999999</v>
      </c>
      <c r="X227" s="14">
        <f>[1]!i_dq_close(X$2,$P227)</f>
        <v>5898.6336000000001</v>
      </c>
      <c r="Y227" s="14">
        <f>[1]!i_dq_close(Y$2,$P227)</f>
        <v>6351.0371999999998</v>
      </c>
      <c r="Z227" s="14">
        <f>[1]!i_dq_close(Z$2,$P227)</f>
        <v>2512.2136</v>
      </c>
      <c r="AB227" s="1">
        <v>42733</v>
      </c>
      <c r="AC227">
        <v>1.2111020207333831</v>
      </c>
      <c r="AD227">
        <v>1.2836913802408341</v>
      </c>
      <c r="AE227">
        <v>1.197177836029415</v>
      </c>
      <c r="AF227">
        <v>1.1690529155128677</v>
      </c>
      <c r="AG227">
        <v>1.2972452511303016</v>
      </c>
      <c r="AH227">
        <v>1.1770488121998548</v>
      </c>
      <c r="AI227">
        <v>1.133827572729504</v>
      </c>
      <c r="AJ227">
        <v>1.0896334508802943</v>
      </c>
      <c r="AK227">
        <v>1.2614593205288778</v>
      </c>
      <c r="AL227">
        <v>1.1165399236417404</v>
      </c>
    </row>
    <row r="228" spans="1:38" x14ac:dyDescent="0.4">
      <c r="A228" s="10">
        <v>42738</v>
      </c>
      <c r="B228" s="11">
        <v>1.2481192076793139</v>
      </c>
      <c r="C228" s="11">
        <v>1.231154235367101</v>
      </c>
      <c r="D228" s="11">
        <v>1.1494292684356811</v>
      </c>
      <c r="E228" s="11">
        <v>1.148417695507284</v>
      </c>
      <c r="P228" s="1">
        <f>A227</f>
        <v>42734</v>
      </c>
      <c r="Q228" s="14">
        <f>[1]!i_dq_close(Q$2,$P228)</f>
        <v>2044.2855999999999</v>
      </c>
      <c r="R228" s="14">
        <f>[1]!i_dq_close(R$2,$P228)</f>
        <v>3279.8636999999999</v>
      </c>
      <c r="S228" s="14">
        <f>[1]!i_dq_close(S$2,$P228)</f>
        <v>4038.4168</v>
      </c>
      <c r="T228" s="14">
        <f>[1]!i_dq_close(T$2,$P228)</f>
        <v>5659.1475</v>
      </c>
      <c r="U228" s="14">
        <f>[1]!i_dq_close(U$2,$P228)</f>
        <v>8767.5478999999996</v>
      </c>
      <c r="V228" s="14">
        <f>[1]!i_dq_close(V$2,$P228)</f>
        <v>9608.3832999999995</v>
      </c>
      <c r="W228" s="14">
        <f>[1]!i_dq_close(W$2,$P228)</f>
        <v>5319.7491</v>
      </c>
      <c r="X228" s="14">
        <f>[1]!i_dq_close(X$2,$P228)</f>
        <v>5896.4991</v>
      </c>
      <c r="Y228" s="14">
        <f>[1]!i_dq_close(Y$2,$P228)</f>
        <v>6338.0833000000002</v>
      </c>
      <c r="Z228" s="14">
        <f>[1]!i_dq_close(Z$2,$P228)</f>
        <v>2520.0140000000001</v>
      </c>
      <c r="AB228" s="1">
        <v>42734</v>
      </c>
      <c r="AC228">
        <v>1.2136271285895175</v>
      </c>
      <c r="AD228">
        <v>1.2855610870513494</v>
      </c>
      <c r="AE228">
        <v>1.1951855625594052</v>
      </c>
      <c r="AF228">
        <v>1.1700772181213959</v>
      </c>
      <c r="AG228">
        <v>1.3072765965219251</v>
      </c>
      <c r="AH228">
        <v>1.1866902363323821</v>
      </c>
      <c r="AI228">
        <v>1.1401590545458098</v>
      </c>
      <c r="AJ228">
        <v>1.0892391523429341</v>
      </c>
      <c r="AK228">
        <v>1.2588863836403648</v>
      </c>
      <c r="AL228">
        <v>1.1200067697810874</v>
      </c>
    </row>
    <row r="229" spans="1:38" x14ac:dyDescent="0.4">
      <c r="A229" s="10">
        <v>42739</v>
      </c>
      <c r="B229" s="11">
        <v>1.2587574272632509</v>
      </c>
      <c r="C229" s="11">
        <v>1.243260826504359</v>
      </c>
      <c r="D229" s="11">
        <v>1.1591554768772441</v>
      </c>
      <c r="E229" s="11">
        <v>1.1609946595793881</v>
      </c>
      <c r="P229" s="1">
        <f>A228</f>
        <v>42738</v>
      </c>
      <c r="Q229" s="14">
        <f>[1]!i_dq_close(Q$2,$P229)</f>
        <v>2068.2291</v>
      </c>
      <c r="R229" s="14">
        <f>[1]!i_dq_close(R$2,$P229)</f>
        <v>3311.4027000000001</v>
      </c>
      <c r="S229" s="14">
        <f>[1]!i_dq_close(S$2,$P229)</f>
        <v>4081.0529999999999</v>
      </c>
      <c r="T229" s="14">
        <f>[1]!i_dq_close(T$2,$P229)</f>
        <v>5716.7030000000004</v>
      </c>
      <c r="U229" s="14">
        <f>[1]!i_dq_close(U$2,$P229)</f>
        <v>8834.6221999999998</v>
      </c>
      <c r="V229" s="14">
        <f>[1]!i_dq_close(V$2,$P229)</f>
        <v>9665.5941999999995</v>
      </c>
      <c r="W229" s="14">
        <f>[1]!i_dq_close(W$2,$P229)</f>
        <v>5372.9264999999996</v>
      </c>
      <c r="X229" s="14">
        <f>[1]!i_dq_close(X$2,$P229)</f>
        <v>5945.2174000000005</v>
      </c>
      <c r="Y229" s="14">
        <f>[1]!i_dq_close(Y$2,$P229)</f>
        <v>6393.1787999999997</v>
      </c>
      <c r="Z229" s="14">
        <f>[1]!i_dq_close(Z$2,$P229)</f>
        <v>2537.4974999999999</v>
      </c>
      <c r="AB229" s="1">
        <v>42738</v>
      </c>
      <c r="AC229">
        <v>1.2278416205144147</v>
      </c>
      <c r="AD229">
        <v>1.2979229760909803</v>
      </c>
      <c r="AE229">
        <v>1.2078039160395104</v>
      </c>
      <c r="AF229">
        <v>1.1819773107285572</v>
      </c>
      <c r="AG229">
        <v>1.3172776439776328</v>
      </c>
      <c r="AH229">
        <v>1.193756109364507</v>
      </c>
      <c r="AI229">
        <v>1.1515563390732331</v>
      </c>
      <c r="AJ229">
        <v>1.0982387093505133</v>
      </c>
      <c r="AK229">
        <v>1.2698295933564405</v>
      </c>
      <c r="AL229">
        <v>1.1277772180244177</v>
      </c>
    </row>
    <row r="230" spans="1:38" x14ac:dyDescent="0.4">
      <c r="A230" s="10">
        <v>42740</v>
      </c>
      <c r="B230" s="11">
        <v>1.2594918939956621</v>
      </c>
      <c r="C230" s="11">
        <v>1.2428228981364511</v>
      </c>
      <c r="D230" s="11">
        <v>1.1592413786426039</v>
      </c>
      <c r="E230" s="11">
        <v>1.1607597345499809</v>
      </c>
      <c r="P230" s="1">
        <f>A229</f>
        <v>42739</v>
      </c>
      <c r="Q230" s="14">
        <f>[1]!i_dq_close(Q$2,$P230)</f>
        <v>2085.6113999999998</v>
      </c>
      <c r="R230" s="14">
        <f>[1]!i_dq_close(R$2,$P230)</f>
        <v>3359.7332999999999</v>
      </c>
      <c r="S230" s="14">
        <f>[1]!i_dq_close(S$2,$P230)</f>
        <v>4126.6759000000002</v>
      </c>
      <c r="T230" s="14">
        <f>[1]!i_dq_close(T$2,$P230)</f>
        <v>5785.1698999999999</v>
      </c>
      <c r="U230" s="14">
        <f>[1]!i_dq_close(U$2,$P230)</f>
        <v>8998.2608</v>
      </c>
      <c r="V230" s="14">
        <f>[1]!i_dq_close(V$2,$P230)</f>
        <v>9719.1182000000008</v>
      </c>
      <c r="W230" s="14">
        <f>[1]!i_dq_close(W$2,$P230)</f>
        <v>5389.5181000000002</v>
      </c>
      <c r="X230" s="14">
        <f>[1]!i_dq_close(X$2,$P230)</f>
        <v>6020.5685999999996</v>
      </c>
      <c r="Y230" s="14">
        <f>[1]!i_dq_close(Y$2,$P230)</f>
        <v>6476.6192000000001</v>
      </c>
      <c r="Z230" s="14">
        <f>[1]!i_dq_close(Z$2,$P230)</f>
        <v>2549.0221999999999</v>
      </c>
      <c r="AB230" s="1">
        <v>42739</v>
      </c>
      <c r="AC230">
        <v>1.23816093736392</v>
      </c>
      <c r="AD230">
        <v>1.3168664275136241</v>
      </c>
      <c r="AE230">
        <v>1.2213061952995641</v>
      </c>
      <c r="AF230">
        <v>1.1961334287455192</v>
      </c>
      <c r="AG230">
        <v>1.3416768163012438</v>
      </c>
      <c r="AH230">
        <v>1.200366629181036</v>
      </c>
      <c r="AI230">
        <v>1.1551123456844101</v>
      </c>
      <c r="AJ230">
        <v>1.1121580665528272</v>
      </c>
      <c r="AK230">
        <v>1.2864027399109368</v>
      </c>
      <c r="AL230">
        <v>1.13289930941744</v>
      </c>
    </row>
    <row r="231" spans="1:38" x14ac:dyDescent="0.4">
      <c r="A231" s="10">
        <v>42741</v>
      </c>
      <c r="B231" s="11">
        <v>1.251541732723741</v>
      </c>
      <c r="C231" s="11">
        <v>1.2365748815476341</v>
      </c>
      <c r="D231" s="11">
        <v>1.152255224235109</v>
      </c>
      <c r="E231" s="11">
        <v>1.1522788595590949</v>
      </c>
      <c r="P231" s="1">
        <f>A230</f>
        <v>42740</v>
      </c>
      <c r="Q231" s="14">
        <f>[1]!i_dq_close(Q$2,$P231)</f>
        <v>2115.0468000000001</v>
      </c>
      <c r="R231" s="14">
        <f>[1]!i_dq_close(R$2,$P231)</f>
        <v>3363.7107999999998</v>
      </c>
      <c r="S231" s="14">
        <f>[1]!i_dq_close(S$2,$P231)</f>
        <v>4134.8224</v>
      </c>
      <c r="T231" s="14">
        <f>[1]!i_dq_close(T$2,$P231)</f>
        <v>5776.0289000000002</v>
      </c>
      <c r="U231" s="14">
        <f>[1]!i_dq_close(U$2,$P231)</f>
        <v>8983.6404000000002</v>
      </c>
      <c r="V231" s="14">
        <f>[1]!i_dq_close(V$2,$P231)</f>
        <v>9700.4061000000002</v>
      </c>
      <c r="W231" s="14">
        <f>[1]!i_dq_close(W$2,$P231)</f>
        <v>5380.7637999999997</v>
      </c>
      <c r="X231" s="14">
        <f>[1]!i_dq_close(X$2,$P231)</f>
        <v>6016.8572000000004</v>
      </c>
      <c r="Y231" s="14">
        <f>[1]!i_dq_close(Y$2,$P231)</f>
        <v>6498.1169</v>
      </c>
      <c r="Z231" s="14">
        <f>[1]!i_dq_close(Z$2,$P231)</f>
        <v>2547.857</v>
      </c>
      <c r="AB231" s="1">
        <v>42740</v>
      </c>
      <c r="AC231">
        <v>1.2556357950750363</v>
      </c>
      <c r="AD231">
        <v>1.3184254310855552</v>
      </c>
      <c r="AE231">
        <v>1.2237171844736854</v>
      </c>
      <c r="AF231">
        <v>1.1942434486997884</v>
      </c>
      <c r="AG231">
        <v>1.3394968559554568</v>
      </c>
      <c r="AH231">
        <v>1.1980555779169511</v>
      </c>
      <c r="AI231">
        <v>1.1532360740363334</v>
      </c>
      <c r="AJ231">
        <v>1.1114724729282974</v>
      </c>
      <c r="AK231">
        <v>1.2906726682991587</v>
      </c>
      <c r="AL231">
        <v>1.132381442497594</v>
      </c>
    </row>
    <row r="232" spans="1:38" x14ac:dyDescent="0.4">
      <c r="A232" s="10">
        <v>42744</v>
      </c>
      <c r="B232" s="11">
        <v>1.2559203041924689</v>
      </c>
      <c r="C232" s="11">
        <v>1.240855850683251</v>
      </c>
      <c r="D232" s="11">
        <v>1.1564024307115131</v>
      </c>
      <c r="E232" s="11">
        <v>1.156016835350318</v>
      </c>
      <c r="P232" s="1">
        <f>A231</f>
        <v>42741</v>
      </c>
      <c r="Q232" s="14">
        <f>[1]!i_dq_close(Q$2,$P232)</f>
        <v>2127.0392999999999</v>
      </c>
      <c r="R232" s="14">
        <f>[1]!i_dq_close(R$2,$P232)</f>
        <v>3346.2282</v>
      </c>
      <c r="S232" s="14">
        <f>[1]!i_dq_close(S$2,$P232)</f>
        <v>4117.4213</v>
      </c>
      <c r="T232" s="14">
        <f>[1]!i_dq_close(T$2,$P232)</f>
        <v>5735.3977000000004</v>
      </c>
      <c r="U232" s="14">
        <f>[1]!i_dq_close(U$2,$P232)</f>
        <v>8952.5622999999996</v>
      </c>
      <c r="V232" s="14">
        <f>[1]!i_dq_close(V$2,$P232)</f>
        <v>9622.5517</v>
      </c>
      <c r="W232" s="14">
        <f>[1]!i_dq_close(W$2,$P232)</f>
        <v>5341.6441000000004</v>
      </c>
      <c r="X232" s="14">
        <f>[1]!i_dq_close(X$2,$P232)</f>
        <v>5944.4476999999997</v>
      </c>
      <c r="Y232" s="14">
        <f>[1]!i_dq_close(Y$2,$P232)</f>
        <v>6430.0087999999996</v>
      </c>
      <c r="Z232" s="14">
        <f>[1]!i_dq_close(Z$2,$P232)</f>
        <v>2553.5803000000001</v>
      </c>
      <c r="AB232" s="1">
        <v>42741</v>
      </c>
      <c r="AC232">
        <v>1.2627553596503627</v>
      </c>
      <c r="AD232">
        <v>1.3115730273528989</v>
      </c>
      <c r="AE232">
        <v>1.21856725950986</v>
      </c>
      <c r="AF232">
        <v>1.1858426000799329</v>
      </c>
      <c r="AG232">
        <v>1.3348629864565096</v>
      </c>
      <c r="AH232">
        <v>1.1884401146854295</v>
      </c>
      <c r="AI232">
        <v>1.1448517161789085</v>
      </c>
      <c r="AJ232">
        <v>1.0980965254272494</v>
      </c>
      <c r="AK232">
        <v>1.2771448625498059</v>
      </c>
      <c r="AL232">
        <v>1.1349251326300649</v>
      </c>
    </row>
    <row r="233" spans="1:38" x14ac:dyDescent="0.4">
      <c r="A233" s="10">
        <v>42745</v>
      </c>
      <c r="B233" s="11">
        <v>1.251888108286549</v>
      </c>
      <c r="C233" s="11">
        <v>1.2378515530102181</v>
      </c>
      <c r="D233" s="11">
        <v>1.1523766700063069</v>
      </c>
      <c r="E233" s="11">
        <v>1.1522439857362019</v>
      </c>
      <c r="P233" s="1">
        <f>A232</f>
        <v>42744</v>
      </c>
      <c r="Q233" s="14">
        <f>[1]!i_dq_close(Q$2,$P233)</f>
        <v>2136.1008999999999</v>
      </c>
      <c r="R233" s="14">
        <f>[1]!i_dq_close(R$2,$P233)</f>
        <v>3363.5673999999999</v>
      </c>
      <c r="S233" s="14">
        <f>[1]!i_dq_close(S$2,$P233)</f>
        <v>4156.4291999999996</v>
      </c>
      <c r="T233" s="14">
        <f>[1]!i_dq_close(T$2,$P233)</f>
        <v>5762.0825999999997</v>
      </c>
      <c r="U233" s="14">
        <f>[1]!i_dq_close(U$2,$P233)</f>
        <v>8960.8135999999995</v>
      </c>
      <c r="V233" s="14">
        <f>[1]!i_dq_close(V$2,$P233)</f>
        <v>9665.2685999999994</v>
      </c>
      <c r="W233" s="14">
        <f>[1]!i_dq_close(W$2,$P233)</f>
        <v>5358.44</v>
      </c>
      <c r="X233" s="14">
        <f>[1]!i_dq_close(X$2,$P233)</f>
        <v>5963.3608999999997</v>
      </c>
      <c r="Y233" s="14">
        <f>[1]!i_dq_close(Y$2,$P233)</f>
        <v>6443.4970999999996</v>
      </c>
      <c r="Z233" s="14">
        <f>[1]!i_dq_close(Z$2,$P233)</f>
        <v>2581.2487999999998</v>
      </c>
      <c r="AB233" s="1">
        <v>42744</v>
      </c>
      <c r="AC233">
        <v>1.2681349424192414</v>
      </c>
      <c r="AD233">
        <v>1.3183692246462806</v>
      </c>
      <c r="AE233">
        <v>1.230111803130459</v>
      </c>
      <c r="AF233">
        <v>1.1913599317200512</v>
      </c>
      <c r="AG233">
        <v>1.3360932884182337</v>
      </c>
      <c r="AH233">
        <v>1.1937158959041478</v>
      </c>
      <c r="AI233">
        <v>1.1484515095346224</v>
      </c>
      <c r="AJ233">
        <v>1.1015902930996795</v>
      </c>
      <c r="AK233">
        <v>1.2798239433388603</v>
      </c>
      <c r="AL233">
        <v>1.1472222497530997</v>
      </c>
    </row>
    <row r="234" spans="1:38" x14ac:dyDescent="0.4">
      <c r="A234" s="10">
        <v>42746</v>
      </c>
      <c r="B234" s="11">
        <v>1.2405858085382491</v>
      </c>
      <c r="C234" s="11">
        <v>1.226962695494294</v>
      </c>
      <c r="D234" s="11">
        <v>1.142548907345541</v>
      </c>
      <c r="E234" s="11">
        <v>1.141199745465368</v>
      </c>
      <c r="P234" s="1">
        <f>A233</f>
        <v>42745</v>
      </c>
      <c r="Q234" s="14">
        <f>[1]!i_dq_close(Q$2,$P234)</f>
        <v>2134.2222999999999</v>
      </c>
      <c r="R234" s="14">
        <f>[1]!i_dq_close(R$2,$P234)</f>
        <v>3367.7339999999999</v>
      </c>
      <c r="S234" s="14">
        <f>[1]!i_dq_close(S$2,$P234)</f>
        <v>4128.8824999999997</v>
      </c>
      <c r="T234" s="14">
        <f>[1]!i_dq_close(T$2,$P234)</f>
        <v>5752.1417000000001</v>
      </c>
      <c r="U234" s="14">
        <f>[1]!i_dq_close(U$2,$P234)</f>
        <v>8937.7505000000001</v>
      </c>
      <c r="V234" s="14">
        <f>[1]!i_dq_close(V$2,$P234)</f>
        <v>9639.5481999999993</v>
      </c>
      <c r="W234" s="14">
        <f>[1]!i_dq_close(W$2,$P234)</f>
        <v>5348.7686999999996</v>
      </c>
      <c r="X234" s="14">
        <f>[1]!i_dq_close(X$2,$P234)</f>
        <v>5943.0740999999998</v>
      </c>
      <c r="Y234" s="14">
        <f>[1]!i_dq_close(Y$2,$P234)</f>
        <v>6391.4034000000001</v>
      </c>
      <c r="Z234" s="14">
        <f>[1]!i_dq_close(Z$2,$P234)</f>
        <v>2569.4848999999999</v>
      </c>
      <c r="AB234" s="1">
        <v>42745</v>
      </c>
      <c r="AC234">
        <v>1.2670196775444273</v>
      </c>
      <c r="AD234">
        <v>1.3200023470303932</v>
      </c>
      <c r="AE234">
        <v>1.2219592473724317</v>
      </c>
      <c r="AF234">
        <v>1.1893045654979086</v>
      </c>
      <c r="AG234">
        <v>1.3326544876021875</v>
      </c>
      <c r="AH234">
        <v>1.1905392795472043</v>
      </c>
      <c r="AI234">
        <v>1.1463787012015698</v>
      </c>
      <c r="AJ234">
        <v>1.0978427852206822</v>
      </c>
      <c r="AK234">
        <v>1.2694769588485419</v>
      </c>
      <c r="AL234">
        <v>1.1419938471969919</v>
      </c>
    </row>
    <row r="235" spans="1:38" x14ac:dyDescent="0.4">
      <c r="A235" s="10">
        <v>42747</v>
      </c>
      <c r="B235" s="11">
        <v>1.2310636340148711</v>
      </c>
      <c r="C235" s="11">
        <v>1.2171636569205739</v>
      </c>
      <c r="D235" s="11">
        <v>1.1346255149079889</v>
      </c>
      <c r="E235" s="11">
        <v>1.1323379876150099</v>
      </c>
      <c r="P235" s="1">
        <f>A234</f>
        <v>42746</v>
      </c>
      <c r="Q235" s="14">
        <f>[1]!i_dq_close(Q$2,$P235)</f>
        <v>2103.6149999999998</v>
      </c>
      <c r="R235" s="14">
        <f>[1]!i_dq_close(R$2,$P235)</f>
        <v>3340.7755000000002</v>
      </c>
      <c r="S235" s="14">
        <f>[1]!i_dq_close(S$2,$P235)</f>
        <v>4091.7498000000001</v>
      </c>
      <c r="T235" s="14">
        <f>[1]!i_dq_close(T$2,$P235)</f>
        <v>5689.3352999999997</v>
      </c>
      <c r="U235" s="14">
        <f>[1]!i_dq_close(U$2,$P235)</f>
        <v>8832.0352999999996</v>
      </c>
      <c r="V235" s="14">
        <f>[1]!i_dq_close(V$2,$P235)</f>
        <v>9560.5329000000002</v>
      </c>
      <c r="W235" s="14">
        <f>[1]!i_dq_close(W$2,$P235)</f>
        <v>5324.7197999999999</v>
      </c>
      <c r="X235" s="14">
        <f>[1]!i_dq_close(X$2,$P235)</f>
        <v>5879.4562999999998</v>
      </c>
      <c r="Y235" s="14">
        <f>[1]!i_dq_close(Y$2,$P235)</f>
        <v>6287.8856999999998</v>
      </c>
      <c r="Z235" s="14">
        <f>[1]!i_dq_close(Z$2,$P235)</f>
        <v>2553.6552000000001</v>
      </c>
      <c r="AB235" s="1">
        <v>42746</v>
      </c>
      <c r="AC235">
        <v>1.2488491001980535</v>
      </c>
      <c r="AD235">
        <v>1.3094358108157103</v>
      </c>
      <c r="AE235">
        <v>1.2109696766726343</v>
      </c>
      <c r="AF235">
        <v>1.1763188043400277</v>
      </c>
      <c r="AG235">
        <v>1.3168919268003656</v>
      </c>
      <c r="AH235">
        <v>1.1807804385327254</v>
      </c>
      <c r="AI235">
        <v>1.1412244034007832</v>
      </c>
      <c r="AJ235">
        <v>1.0860908969611007</v>
      </c>
      <c r="AK235">
        <v>1.2489160074019481</v>
      </c>
      <c r="AL235">
        <v>1.1349584215352284</v>
      </c>
    </row>
    <row r="236" spans="1:38" x14ac:dyDescent="0.4">
      <c r="A236" s="10">
        <v>42748</v>
      </c>
      <c r="B236" s="11">
        <v>1.2172803820824309</v>
      </c>
      <c r="C236" s="11">
        <v>1.207373696773397</v>
      </c>
      <c r="D236" s="11">
        <v>1.1242658541350949</v>
      </c>
      <c r="E236" s="11">
        <v>1.1195314387718811</v>
      </c>
      <c r="P236" s="1">
        <f>A235</f>
        <v>42747</v>
      </c>
      <c r="Q236" s="14">
        <f>[1]!i_dq_close(Q$2,$P236)</f>
        <v>2089.5778</v>
      </c>
      <c r="R236" s="14">
        <f>[1]!i_dq_close(R$2,$P236)</f>
        <v>3301.0891000000001</v>
      </c>
      <c r="S236" s="14">
        <f>[1]!i_dq_close(S$2,$P236)</f>
        <v>4050.9429</v>
      </c>
      <c r="T236" s="14">
        <f>[1]!i_dq_close(T$2,$P236)</f>
        <v>5639.5289000000002</v>
      </c>
      <c r="U236" s="14">
        <f>[1]!i_dq_close(U$2,$P236)</f>
        <v>8766.0943000000007</v>
      </c>
      <c r="V236" s="14">
        <f>[1]!i_dq_close(V$2,$P236)</f>
        <v>9473.7258000000002</v>
      </c>
      <c r="W236" s="14">
        <f>[1]!i_dq_close(W$2,$P236)</f>
        <v>5316.0281000000004</v>
      </c>
      <c r="X236" s="14">
        <f>[1]!i_dq_close(X$2,$P236)</f>
        <v>5848.9453999999996</v>
      </c>
      <c r="Y236" s="14">
        <f>[1]!i_dq_close(Y$2,$P236)</f>
        <v>6226.1234000000004</v>
      </c>
      <c r="Z236" s="14">
        <f>[1]!i_dq_close(Z$2,$P236)</f>
        <v>2535.6891999999998</v>
      </c>
      <c r="AB236" s="1">
        <v>42747</v>
      </c>
      <c r="AC236">
        <v>1.2405156624780811</v>
      </c>
      <c r="AD236">
        <v>1.2938805023664126</v>
      </c>
      <c r="AE236">
        <v>1.1988927118252204</v>
      </c>
      <c r="AF236">
        <v>1.1660209045315069</v>
      </c>
      <c r="AG236">
        <v>1.307059858925236</v>
      </c>
      <c r="AH236">
        <v>1.1700592656987556</v>
      </c>
      <c r="AI236">
        <v>1.1393615485427608</v>
      </c>
      <c r="AJ236">
        <v>1.0804547277207426</v>
      </c>
      <c r="AK236">
        <v>1.2366486207470091</v>
      </c>
      <c r="AL236">
        <v>1.1269735287426139</v>
      </c>
    </row>
    <row r="237" spans="1:38" x14ac:dyDescent="0.4">
      <c r="A237" s="10">
        <v>42751</v>
      </c>
      <c r="B237" s="11">
        <v>1.1925588901500019</v>
      </c>
      <c r="C237" s="11">
        <v>1.192281354360337</v>
      </c>
      <c r="D237" s="11">
        <v>1.1044899762182261</v>
      </c>
      <c r="E237" s="11">
        <v>1.096193631061271</v>
      </c>
      <c r="P237" s="1">
        <f>A236</f>
        <v>42748</v>
      </c>
      <c r="Q237" s="14">
        <f>[1]!i_dq_close(Q$2,$P237)</f>
        <v>2080.9011999999998</v>
      </c>
      <c r="R237" s="14">
        <f>[1]!i_dq_close(R$2,$P237)</f>
        <v>3255.5028000000002</v>
      </c>
      <c r="S237" s="14">
        <f>[1]!i_dq_close(S$2,$P237)</f>
        <v>4002.2492000000002</v>
      </c>
      <c r="T237" s="14">
        <f>[1]!i_dq_close(T$2,$P237)</f>
        <v>5585.5470999999998</v>
      </c>
      <c r="U237" s="14">
        <f>[1]!i_dq_close(U$2,$P237)</f>
        <v>8661.6474999999991</v>
      </c>
      <c r="V237" s="14">
        <f>[1]!i_dq_close(V$2,$P237)</f>
        <v>9380.7276000000002</v>
      </c>
      <c r="W237" s="14">
        <f>[1]!i_dq_close(W$2,$P237)</f>
        <v>5348.9377999999997</v>
      </c>
      <c r="X237" s="14">
        <f>[1]!i_dq_close(X$2,$P237)</f>
        <v>5745.0861000000004</v>
      </c>
      <c r="Y237" s="14">
        <f>[1]!i_dq_close(Y$2,$P237)</f>
        <v>6149.8197</v>
      </c>
      <c r="Z237" s="14">
        <f>[1]!i_dq_close(Z$2,$P237)</f>
        <v>2530.3561</v>
      </c>
      <c r="AB237" s="1">
        <v>42748</v>
      </c>
      <c r="AC237">
        <v>1.2353646419240449</v>
      </c>
      <c r="AD237">
        <v>1.2760126948161634</v>
      </c>
      <c r="AE237">
        <v>1.1844816170547157</v>
      </c>
      <c r="AF237">
        <v>1.1548597050092844</v>
      </c>
      <c r="AG237">
        <v>1.2914864216564634</v>
      </c>
      <c r="AH237">
        <v>1.1585734566411086</v>
      </c>
      <c r="AI237">
        <v>1.1464149436807731</v>
      </c>
      <c r="AJ237">
        <v>1.0612691713462949</v>
      </c>
      <c r="AK237">
        <v>1.2214929838762567</v>
      </c>
      <c r="AL237">
        <v>1.1246032609171497</v>
      </c>
    </row>
    <row r="238" spans="1:38" x14ac:dyDescent="0.4">
      <c r="A238" s="10">
        <v>42752</v>
      </c>
      <c r="B238" s="11">
        <v>1.2021743211017979</v>
      </c>
      <c r="C238" s="11">
        <v>1.2002242916270509</v>
      </c>
      <c r="D238" s="11">
        <v>1.1120535971915451</v>
      </c>
      <c r="E238" s="11">
        <v>1.1059171723330321</v>
      </c>
      <c r="P238" s="1">
        <f>A237</f>
        <v>42751</v>
      </c>
      <c r="Q238" s="14">
        <f>[1]!i_dq_close(Q$2,$P238)</f>
        <v>2063.9866000000002</v>
      </c>
      <c r="R238" s="14">
        <f>[1]!i_dq_close(R$2,$P238)</f>
        <v>3172.1673000000001</v>
      </c>
      <c r="S238" s="14">
        <f>[1]!i_dq_close(S$2,$P238)</f>
        <v>3909.2337000000002</v>
      </c>
      <c r="T238" s="14">
        <f>[1]!i_dq_close(T$2,$P238)</f>
        <v>5448.8347000000003</v>
      </c>
      <c r="U238" s="14">
        <f>[1]!i_dq_close(U$2,$P238)</f>
        <v>8522.4596999999994</v>
      </c>
      <c r="V238" s="14">
        <f>[1]!i_dq_close(V$2,$P238)</f>
        <v>9180.6116000000002</v>
      </c>
      <c r="W238" s="14">
        <f>[1]!i_dq_close(W$2,$P238)</f>
        <v>5371.8721999999998</v>
      </c>
      <c r="X238" s="14">
        <f>[1]!i_dq_close(X$2,$P238)</f>
        <v>5516.1053000000002</v>
      </c>
      <c r="Y238" s="14">
        <f>[1]!i_dq_close(Y$2,$P238)</f>
        <v>5949.6248999999998</v>
      </c>
      <c r="Z238" s="14">
        <f>[1]!i_dq_close(Z$2,$P238)</f>
        <v>2509.2336</v>
      </c>
      <c r="AB238" s="1">
        <v>42751</v>
      </c>
      <c r="AC238">
        <v>1.2253229836404667</v>
      </c>
      <c r="AD238">
        <v>1.2433488752891604</v>
      </c>
      <c r="AE238">
        <v>1.1569533087596817</v>
      </c>
      <c r="AF238">
        <v>1.1265932453217256</v>
      </c>
      <c r="AG238">
        <v>1.2707329617909777</v>
      </c>
      <c r="AH238">
        <v>1.1338579872515921</v>
      </c>
      <c r="AI238">
        <v>1.1513303754669406</v>
      </c>
      <c r="AJ238">
        <v>1.0189703685711351</v>
      </c>
      <c r="AK238">
        <v>1.1817297785243159</v>
      </c>
      <c r="AL238">
        <v>1.1152154785497894</v>
      </c>
    </row>
    <row r="239" spans="1:38" x14ac:dyDescent="0.4">
      <c r="A239" s="10">
        <v>42753</v>
      </c>
      <c r="B239" s="11">
        <v>1.201678376438216</v>
      </c>
      <c r="C239" s="11">
        <v>1.2016588245078439</v>
      </c>
      <c r="D239" s="11">
        <v>1.1125460150233619</v>
      </c>
      <c r="E239" s="11">
        <v>1.1045689770807769</v>
      </c>
      <c r="P239" s="1">
        <f>A238</f>
        <v>42752</v>
      </c>
      <c r="Q239" s="14">
        <f>[1]!i_dq_close(Q$2,$P239)</f>
        <v>2071.2148999999999</v>
      </c>
      <c r="R239" s="14">
        <f>[1]!i_dq_close(R$2,$P239)</f>
        <v>3198.9931999999999</v>
      </c>
      <c r="S239" s="14">
        <f>[1]!i_dq_close(S$2,$P239)</f>
        <v>3935.5716000000002</v>
      </c>
      <c r="T239" s="14">
        <f>[1]!i_dq_close(T$2,$P239)</f>
        <v>5497.6749</v>
      </c>
      <c r="U239" s="14">
        <f>[1]!i_dq_close(U$2,$P239)</f>
        <v>8614.4930999999997</v>
      </c>
      <c r="V239" s="14">
        <f>[1]!i_dq_close(V$2,$P239)</f>
        <v>9235.3078000000005</v>
      </c>
      <c r="W239" s="14">
        <f>[1]!i_dq_close(W$2,$P239)</f>
        <v>5351.6017000000002</v>
      </c>
      <c r="X239" s="14">
        <f>[1]!i_dq_close(X$2,$P239)</f>
        <v>5625.5632999999998</v>
      </c>
      <c r="Y239" s="14">
        <f>[1]!i_dq_close(Y$2,$P239)</f>
        <v>6013.6095999999998</v>
      </c>
      <c r="Z239" s="14">
        <f>[1]!i_dq_close(Z$2,$P239)</f>
        <v>2510.8220000000001</v>
      </c>
      <c r="AB239" s="1">
        <v>42752</v>
      </c>
      <c r="AC239">
        <v>1.2296141946990307</v>
      </c>
      <c r="AD239">
        <v>1.2538634381855183</v>
      </c>
      <c r="AE239">
        <v>1.1647481153354005</v>
      </c>
      <c r="AF239">
        <v>1.1366913750044194</v>
      </c>
      <c r="AG239">
        <v>1.2844555112758047</v>
      </c>
      <c r="AH239">
        <v>1.1406132804656424</v>
      </c>
      <c r="AI239">
        <v>1.1469858859655147</v>
      </c>
      <c r="AJ239">
        <v>1.0391901527371588</v>
      </c>
      <c r="AK239">
        <v>1.1944385839752185</v>
      </c>
      <c r="AL239">
        <v>1.1159214344504791</v>
      </c>
    </row>
    <row r="240" spans="1:38" x14ac:dyDescent="0.4">
      <c r="A240" s="10">
        <v>42754</v>
      </c>
      <c r="B240" s="11">
        <v>1.1975467968811639</v>
      </c>
      <c r="C240" s="11">
        <v>1.197478371314328</v>
      </c>
      <c r="D240" s="11">
        <v>1.1085556944729591</v>
      </c>
      <c r="E240" s="11">
        <v>1.099841621372069</v>
      </c>
      <c r="P240" s="1">
        <f>A239</f>
        <v>42753</v>
      </c>
      <c r="Q240" s="14">
        <f>[1]!i_dq_close(Q$2,$P240)</f>
        <v>2078.9513999999999</v>
      </c>
      <c r="R240" s="14">
        <f>[1]!i_dq_close(R$2,$P240)</f>
        <v>3202.4198000000001</v>
      </c>
      <c r="S240" s="14">
        <f>[1]!i_dq_close(S$2,$P240)</f>
        <v>3934.7465000000002</v>
      </c>
      <c r="T240" s="14">
        <f>[1]!i_dq_close(T$2,$P240)</f>
        <v>5498.1607999999997</v>
      </c>
      <c r="U240" s="14">
        <f>[1]!i_dq_close(U$2,$P240)</f>
        <v>8668.9536000000007</v>
      </c>
      <c r="V240" s="14">
        <f>[1]!i_dq_close(V$2,$P240)</f>
        <v>9215.6169000000009</v>
      </c>
      <c r="W240" s="14">
        <f>[1]!i_dq_close(W$2,$P240)</f>
        <v>5371.2029000000002</v>
      </c>
      <c r="X240" s="14">
        <f>[1]!i_dq_close(X$2,$P240)</f>
        <v>5569.9583000000002</v>
      </c>
      <c r="Y240" s="14">
        <f>[1]!i_dq_close(Y$2,$P240)</f>
        <v>5982.7677000000003</v>
      </c>
      <c r="Z240" s="14">
        <f>[1]!i_dq_close(Z$2,$P240)</f>
        <v>2509.5652</v>
      </c>
      <c r="AB240" s="1">
        <v>42753</v>
      </c>
      <c r="AC240">
        <v>1.2342071078811871</v>
      </c>
      <c r="AD240">
        <v>1.2552065133934576</v>
      </c>
      <c r="AE240">
        <v>1.1645039236987997</v>
      </c>
      <c r="AF240">
        <v>1.1367918389913159</v>
      </c>
      <c r="AG240">
        <v>1.2925757905028945</v>
      </c>
      <c r="AH240">
        <v>1.1381813418090529</v>
      </c>
      <c r="AI240">
        <v>1.1511869272627373</v>
      </c>
      <c r="AJ240">
        <v>1.0289184403127427</v>
      </c>
      <c r="AK240">
        <v>1.188312686583558</v>
      </c>
      <c r="AL240">
        <v>1.1153628563996187</v>
      </c>
    </row>
    <row r="241" spans="1:38" x14ac:dyDescent="0.4">
      <c r="A241" s="10">
        <v>42755</v>
      </c>
      <c r="B241" s="11">
        <v>1.2116981192024769</v>
      </c>
      <c r="C241" s="11">
        <v>1.209178787463409</v>
      </c>
      <c r="D241" s="11">
        <v>1.1195448429052699</v>
      </c>
      <c r="E241" s="11">
        <v>1.1132711670125011</v>
      </c>
      <c r="P241" s="1">
        <f>A240</f>
        <v>42754</v>
      </c>
      <c r="Q241" s="14">
        <f>[1]!i_dq_close(Q$2,$P241)</f>
        <v>2064.3416999999999</v>
      </c>
      <c r="R241" s="14">
        <f>[1]!i_dq_close(R$2,$P241)</f>
        <v>3183.6109000000001</v>
      </c>
      <c r="S241" s="14">
        <f>[1]!i_dq_close(S$2,$P241)</f>
        <v>3915.2426999999998</v>
      </c>
      <c r="T241" s="14">
        <f>[1]!i_dq_close(T$2,$P241)</f>
        <v>5480.4425000000001</v>
      </c>
      <c r="U241" s="14">
        <f>[1]!i_dq_close(U$2,$P241)</f>
        <v>8628.6384999999991</v>
      </c>
      <c r="V241" s="14">
        <f>[1]!i_dq_close(V$2,$P241)</f>
        <v>9200.9709999999995</v>
      </c>
      <c r="W241" s="14">
        <f>[1]!i_dq_close(W$2,$P241)</f>
        <v>5358.3166000000001</v>
      </c>
      <c r="X241" s="14">
        <f>[1]!i_dq_close(X$2,$P241)</f>
        <v>5564.5924000000005</v>
      </c>
      <c r="Y241" s="14">
        <f>[1]!i_dq_close(Y$2,$P241)</f>
        <v>5917.4067999999997</v>
      </c>
      <c r="Z241" s="14">
        <f>[1]!i_dq_close(Z$2,$P241)</f>
        <v>2504.0702000000001</v>
      </c>
      <c r="AB241" s="1">
        <v>42754</v>
      </c>
      <c r="AC241">
        <v>1.2255337951794032</v>
      </c>
      <c r="AD241">
        <v>1.2478342588908573</v>
      </c>
      <c r="AE241">
        <v>1.1587316962815986</v>
      </c>
      <c r="AF241">
        <v>1.1331284287031338</v>
      </c>
      <c r="AG241">
        <v>1.2865646472143082</v>
      </c>
      <c r="AH241">
        <v>1.1363724894777454</v>
      </c>
      <c r="AI241">
        <v>1.14842506174081</v>
      </c>
      <c r="AJ241">
        <v>1.0279272168310742</v>
      </c>
      <c r="AK241">
        <v>1.1753305367540534</v>
      </c>
      <c r="AL241">
        <v>1.1129206329834207</v>
      </c>
    </row>
    <row r="242" spans="1:38" x14ac:dyDescent="0.4">
      <c r="A242" s="10">
        <v>42758</v>
      </c>
      <c r="B242" s="11">
        <v>1.219248092914003</v>
      </c>
      <c r="C242" s="11">
        <v>1.216423657285352</v>
      </c>
      <c r="D242" s="11">
        <v>1.1263015966817591</v>
      </c>
      <c r="E242" s="11">
        <v>1.121173760516363</v>
      </c>
      <c r="P242" s="1">
        <f>A241</f>
        <v>42755</v>
      </c>
      <c r="Q242" s="14">
        <f>[1]!i_dq_close(Q$2,$P242)</f>
        <v>2076.1392000000001</v>
      </c>
      <c r="R242" s="14">
        <f>[1]!i_dq_close(R$2,$P242)</f>
        <v>3221.6395000000002</v>
      </c>
      <c r="S242" s="14">
        <f>[1]!i_dq_close(S$2,$P242)</f>
        <v>3960.8373999999999</v>
      </c>
      <c r="T242" s="14">
        <f>[1]!i_dq_close(T$2,$P242)</f>
        <v>5554.4974000000002</v>
      </c>
      <c r="U242" s="14">
        <f>[1]!i_dq_close(U$2,$P242)</f>
        <v>8706.2221000000009</v>
      </c>
      <c r="V242" s="14">
        <f>[1]!i_dq_close(V$2,$P242)</f>
        <v>9316.3917000000001</v>
      </c>
      <c r="W242" s="14">
        <f>[1]!i_dq_close(W$2,$P242)</f>
        <v>5390.9610000000002</v>
      </c>
      <c r="X242" s="14">
        <f>[1]!i_dq_close(X$2,$P242)</f>
        <v>5680.4884000000002</v>
      </c>
      <c r="Y242" s="14">
        <f>[1]!i_dq_close(Y$2,$P242)</f>
        <v>6019.6872999999996</v>
      </c>
      <c r="Z242" s="14">
        <f>[1]!i_dq_close(Z$2,$P242)</f>
        <v>2521.4812000000002</v>
      </c>
      <c r="AB242" s="1">
        <v>42755</v>
      </c>
      <c r="AC242">
        <v>1.232537594477082</v>
      </c>
      <c r="AD242">
        <v>1.2627397832743983</v>
      </c>
      <c r="AE242">
        <v>1.1722256296391527</v>
      </c>
      <c r="AF242">
        <v>1.14843991358319</v>
      </c>
      <c r="AG242">
        <v>1.2981326734983643</v>
      </c>
      <c r="AH242">
        <v>1.1506276053993438</v>
      </c>
      <c r="AI242">
        <v>1.1554215962653829</v>
      </c>
      <c r="AJ242">
        <v>1.0493362696705695</v>
      </c>
      <c r="AK242">
        <v>1.19564575235905</v>
      </c>
      <c r="AL242">
        <v>1.1206588589887756</v>
      </c>
    </row>
    <row r="243" spans="1:38" x14ac:dyDescent="0.4">
      <c r="A243" s="10">
        <v>42759</v>
      </c>
      <c r="B243" s="11">
        <v>1.2169501536849729</v>
      </c>
      <c r="C243" s="11">
        <v>1.2151140419938751</v>
      </c>
      <c r="D243" s="11">
        <v>1.124700215172568</v>
      </c>
      <c r="E243" s="11">
        <v>1.119058097870119</v>
      </c>
      <c r="P243" s="1">
        <f>A242</f>
        <v>42758</v>
      </c>
      <c r="Q243" s="14">
        <f>[1]!i_dq_close(Q$2,$P243)</f>
        <v>2098.5056</v>
      </c>
      <c r="R243" s="14">
        <f>[1]!i_dq_close(R$2,$P243)</f>
        <v>3264.9185000000002</v>
      </c>
      <c r="S243" s="14">
        <f>[1]!i_dq_close(S$2,$P243)</f>
        <v>3996.3058999999998</v>
      </c>
      <c r="T243" s="14">
        <f>[1]!i_dq_close(T$2,$P243)</f>
        <v>5580.2978999999996</v>
      </c>
      <c r="U243" s="14">
        <f>[1]!i_dq_close(U$2,$P243)</f>
        <v>8739.8469000000005</v>
      </c>
      <c r="V243" s="14">
        <f>[1]!i_dq_close(V$2,$P243)</f>
        <v>9363.8888000000006</v>
      </c>
      <c r="W243" s="14">
        <f>[1]!i_dq_close(W$2,$P243)</f>
        <v>5394.7523000000001</v>
      </c>
      <c r="X243" s="14">
        <f>[1]!i_dq_close(X$2,$P243)</f>
        <v>5718.7979999999998</v>
      </c>
      <c r="Y243" s="14">
        <f>[1]!i_dq_close(Y$2,$P243)</f>
        <v>6069.4755999999998</v>
      </c>
      <c r="Z243" s="14">
        <f>[1]!i_dq_close(Z$2,$P243)</f>
        <v>2529.0792999999999</v>
      </c>
      <c r="AB243" s="1">
        <v>42758</v>
      </c>
      <c r="AC243">
        <v>1.2458158124564507</v>
      </c>
      <c r="AD243">
        <v>1.2797032315684527</v>
      </c>
      <c r="AE243">
        <v>1.1827226737098979</v>
      </c>
      <c r="AF243">
        <v>1.1537743879481257</v>
      </c>
      <c r="AG243">
        <v>1.3031462661931621</v>
      </c>
      <c r="AH243">
        <v>1.1564937686303738</v>
      </c>
      <c r="AI243">
        <v>1.1562341693665277</v>
      </c>
      <c r="AJ243">
        <v>1.0564130648201857</v>
      </c>
      <c r="AK243">
        <v>1.2055348323802295</v>
      </c>
      <c r="AL243">
        <v>1.1240357939730548</v>
      </c>
    </row>
    <row r="244" spans="1:38" x14ac:dyDescent="0.4">
      <c r="A244" s="10">
        <v>42760</v>
      </c>
      <c r="B244" s="11">
        <v>1.2201875884663009</v>
      </c>
      <c r="C244" s="11">
        <v>1.21815679449563</v>
      </c>
      <c r="D244" s="11">
        <v>1.1274097581428359</v>
      </c>
      <c r="E244" s="11">
        <v>1.1218470529445861</v>
      </c>
      <c r="P244" s="1">
        <f>A243</f>
        <v>42759</v>
      </c>
      <c r="Q244" s="14">
        <f>[1]!i_dq_close(Q$2,$P244)</f>
        <v>2122.3652000000002</v>
      </c>
      <c r="R244" s="14">
        <f>[1]!i_dq_close(R$2,$P244)</f>
        <v>3270.1541999999999</v>
      </c>
      <c r="S244" s="14">
        <f>[1]!i_dq_close(S$2,$P244)</f>
        <v>3982.3559</v>
      </c>
      <c r="T244" s="14">
        <f>[1]!i_dq_close(T$2,$P244)</f>
        <v>5564.2287999999999</v>
      </c>
      <c r="U244" s="14">
        <f>[1]!i_dq_close(U$2,$P244)</f>
        <v>8736.7121000000006</v>
      </c>
      <c r="V244" s="14">
        <f>[1]!i_dq_close(V$2,$P244)</f>
        <v>9326.2329000000009</v>
      </c>
      <c r="W244" s="14">
        <f>[1]!i_dq_close(W$2,$P244)</f>
        <v>5405.2260999999999</v>
      </c>
      <c r="X244" s="14">
        <f>[1]!i_dq_close(X$2,$P244)</f>
        <v>5672.0198</v>
      </c>
      <c r="Y244" s="14">
        <f>[1]!i_dq_close(Y$2,$P244)</f>
        <v>6030.9143000000004</v>
      </c>
      <c r="Z244" s="14">
        <f>[1]!i_dq_close(Z$2,$P244)</f>
        <v>2525.5652</v>
      </c>
      <c r="AB244" s="1">
        <v>42759</v>
      </c>
      <c r="AC244">
        <v>1.2599804956285547</v>
      </c>
      <c r="AD244">
        <v>1.2817553937310067</v>
      </c>
      <c r="AE244">
        <v>1.1785941155586681</v>
      </c>
      <c r="AF244">
        <v>1.1504519638858948</v>
      </c>
      <c r="AG244">
        <v>1.3026788549258936</v>
      </c>
      <c r="AH244">
        <v>1.1518430498283556</v>
      </c>
      <c r="AI244">
        <v>1.1584789740896493</v>
      </c>
      <c r="AJ244">
        <v>1.0477718955344772</v>
      </c>
      <c r="AK244">
        <v>1.1978756879342312</v>
      </c>
      <c r="AL244">
        <v>1.1224739709872746</v>
      </c>
    </row>
    <row r="245" spans="1:38" x14ac:dyDescent="0.4">
      <c r="A245" s="10">
        <v>42761</v>
      </c>
      <c r="B245" s="11">
        <v>1.226433663101109</v>
      </c>
      <c r="C245" s="11">
        <v>1.224633153892692</v>
      </c>
      <c r="D245" s="11">
        <v>1.134433378850261</v>
      </c>
      <c r="E245" s="11">
        <v>1.1292202059506771</v>
      </c>
      <c r="P245" s="1">
        <f>A244</f>
        <v>42760</v>
      </c>
      <c r="Q245" s="14">
        <f>[1]!i_dq_close(Q$2,$P245)</f>
        <v>2113.4380999999998</v>
      </c>
      <c r="R245" s="14">
        <f>[1]!i_dq_close(R$2,$P245)</f>
        <v>3274.7181</v>
      </c>
      <c r="S245" s="14">
        <f>[1]!i_dq_close(S$2,$P245)</f>
        <v>3993.8368</v>
      </c>
      <c r="T245" s="14">
        <f>[1]!i_dq_close(T$2,$P245)</f>
        <v>5587.9530000000004</v>
      </c>
      <c r="U245" s="14">
        <f>[1]!i_dq_close(U$2,$P245)</f>
        <v>8745.6962000000003</v>
      </c>
      <c r="V245" s="14">
        <f>[1]!i_dq_close(V$2,$P245)</f>
        <v>9405.4042000000009</v>
      </c>
      <c r="W245" s="14">
        <f>[1]!i_dq_close(W$2,$P245)</f>
        <v>5413.9297999999999</v>
      </c>
      <c r="X245" s="14">
        <f>[1]!i_dq_close(X$2,$P245)</f>
        <v>5699.8616000000002</v>
      </c>
      <c r="Y245" s="14">
        <f>[1]!i_dq_close(Y$2,$P245)</f>
        <v>6071.7934999999998</v>
      </c>
      <c r="Z245" s="14">
        <f>[1]!i_dq_close(Z$2,$P245)</f>
        <v>2525.4859999999999</v>
      </c>
      <c r="AB245" s="1">
        <v>42760</v>
      </c>
      <c r="AC245">
        <v>1.2546807612178483</v>
      </c>
      <c r="AD245">
        <v>1.2835442400922727</v>
      </c>
      <c r="AE245">
        <v>1.1819919337148299</v>
      </c>
      <c r="AF245">
        <v>1.1553571454416249</v>
      </c>
      <c r="AG245">
        <v>1.3040184203100544</v>
      </c>
      <c r="AH245">
        <v>1.1616211577341613</v>
      </c>
      <c r="AI245">
        <v>1.1603444008563082</v>
      </c>
      <c r="AJ245">
        <v>1.0529150114948784</v>
      </c>
      <c r="AK245">
        <v>1.2059952196314732</v>
      </c>
      <c r="AL245">
        <v>1.1224387709700658</v>
      </c>
    </row>
    <row r="246" spans="1:38" x14ac:dyDescent="0.4">
      <c r="A246" s="10">
        <v>42769</v>
      </c>
      <c r="B246" s="11">
        <v>1.221554698716846</v>
      </c>
      <c r="C246" s="11">
        <v>1.2194021756180189</v>
      </c>
      <c r="D246" s="11">
        <v>1.1300097655432511</v>
      </c>
      <c r="E246" s="11">
        <v>1.1246158258651591</v>
      </c>
      <c r="P246" s="1">
        <f>A245</f>
        <v>42761</v>
      </c>
      <c r="Q246" s="14">
        <f>[1]!i_dq_close(Q$2,$P246)</f>
        <v>2125.3002000000001</v>
      </c>
      <c r="R246" s="14">
        <f>[1]!i_dq_close(R$2,$P246)</f>
        <v>3309.9935999999998</v>
      </c>
      <c r="S246" s="14">
        <f>[1]!i_dq_close(S$2,$P246)</f>
        <v>4010.1713</v>
      </c>
      <c r="T246" s="14">
        <f>[1]!i_dq_close(T$2,$P246)</f>
        <v>5622.8447999999999</v>
      </c>
      <c r="U246" s="14">
        <f>[1]!i_dq_close(U$2,$P246)</f>
        <v>8749.3914999999997</v>
      </c>
      <c r="V246" s="14">
        <f>[1]!i_dq_close(V$2,$P246)</f>
        <v>9460.6666000000005</v>
      </c>
      <c r="W246" s="14">
        <f>[1]!i_dq_close(W$2,$P246)</f>
        <v>5437.7286999999997</v>
      </c>
      <c r="X246" s="14">
        <f>[1]!i_dq_close(X$2,$P246)</f>
        <v>5734.5600999999997</v>
      </c>
      <c r="Y246" s="14">
        <f>[1]!i_dq_close(Y$2,$P246)</f>
        <v>6086.0411999999997</v>
      </c>
      <c r="Z246" s="14">
        <f>[1]!i_dq_close(Z$2,$P246)</f>
        <v>2527.4762999999998</v>
      </c>
      <c r="AB246" s="1">
        <v>42761</v>
      </c>
      <c r="AC246">
        <v>1.2617229114741735</v>
      </c>
      <c r="AD246">
        <v>1.2973706713937563</v>
      </c>
      <c r="AE246">
        <v>1.1868261941536302</v>
      </c>
      <c r="AF246">
        <v>1.1625713239515945</v>
      </c>
      <c r="AG246">
        <v>1.3045694043779175</v>
      </c>
      <c r="AH246">
        <v>1.1684463798832709</v>
      </c>
      <c r="AI246">
        <v>1.1654451172271669</v>
      </c>
      <c r="AJ246">
        <v>1.0593247410796029</v>
      </c>
      <c r="AK246">
        <v>1.2088251343989538</v>
      </c>
      <c r="AL246">
        <v>1.1233233491803039</v>
      </c>
    </row>
    <row r="247" spans="1:38" x14ac:dyDescent="0.4">
      <c r="A247" s="10">
        <v>42772</v>
      </c>
      <c r="B247" s="11">
        <v>1.230028039807856</v>
      </c>
      <c r="C247" s="11">
        <v>1.22753670840406</v>
      </c>
      <c r="D247" s="11">
        <v>1.1371565302625899</v>
      </c>
      <c r="E247" s="11">
        <v>1.1330056895338241</v>
      </c>
      <c r="P247" s="1">
        <f>A246</f>
        <v>42769</v>
      </c>
      <c r="Q247" s="14">
        <f>[1]!i_dq_close(Q$2,$P247)</f>
        <v>2104.6965</v>
      </c>
      <c r="R247" s="14">
        <f>[1]!i_dq_close(R$2,$P247)</f>
        <v>3299.8103999999998</v>
      </c>
      <c r="S247" s="14">
        <f>[1]!i_dq_close(S$2,$P247)</f>
        <v>4002.0704000000001</v>
      </c>
      <c r="T247" s="14">
        <f>[1]!i_dq_close(T$2,$P247)</f>
        <v>5601.5555999999997</v>
      </c>
      <c r="U247" s="14">
        <f>[1]!i_dq_close(U$2,$P247)</f>
        <v>8713.0822000000007</v>
      </c>
      <c r="V247" s="14">
        <f>[1]!i_dq_close(V$2,$P247)</f>
        <v>9455.2880999999998</v>
      </c>
      <c r="W247" s="14">
        <f>[1]!i_dq_close(W$2,$P247)</f>
        <v>5382.0928000000004</v>
      </c>
      <c r="X247" s="14">
        <f>[1]!i_dq_close(X$2,$P247)</f>
        <v>5704.3149000000003</v>
      </c>
      <c r="Y247" s="14">
        <f>[1]!i_dq_close(Y$2,$P247)</f>
        <v>6066.0783000000001</v>
      </c>
      <c r="Z247" s="14">
        <f>[1]!i_dq_close(Z$2,$P247)</f>
        <v>2522.3173999999999</v>
      </c>
      <c r="AB247" s="1">
        <v>42769</v>
      </c>
      <c r="AC247">
        <v>1.2494911522379297</v>
      </c>
      <c r="AD247">
        <v>1.2933793086850982</v>
      </c>
      <c r="AE247">
        <v>1.1844287004814225</v>
      </c>
      <c r="AF247">
        <v>1.1581695995024561</v>
      </c>
      <c r="AG247">
        <v>1.299155541953956</v>
      </c>
      <c r="AH247">
        <v>1.1677821044024921</v>
      </c>
      <c r="AI247">
        <v>1.1535209129178312</v>
      </c>
      <c r="AJ247">
        <v>1.0537376536482757</v>
      </c>
      <c r="AK247">
        <v>1.2048600519286787</v>
      </c>
      <c r="AL247">
        <v>1.1210305036149129</v>
      </c>
    </row>
    <row r="248" spans="1:38" x14ac:dyDescent="0.4">
      <c r="A248" s="10">
        <v>42773</v>
      </c>
      <c r="B248" s="11">
        <v>1.228976100424096</v>
      </c>
      <c r="C248" s="11">
        <v>1.2266813076097249</v>
      </c>
      <c r="D248" s="11">
        <v>1.136553923864412</v>
      </c>
      <c r="E248" s="11">
        <v>1.132474462281464</v>
      </c>
      <c r="P248" s="1">
        <f>A247</f>
        <v>42772</v>
      </c>
      <c r="Q248" s="14">
        <f>[1]!i_dq_close(Q$2,$P248)</f>
        <v>2115.9810000000002</v>
      </c>
      <c r="R248" s="14">
        <f>[1]!i_dq_close(R$2,$P248)</f>
        <v>3315.5365000000002</v>
      </c>
      <c r="S248" s="14">
        <f>[1]!i_dq_close(S$2,$P248)</f>
        <v>4040.6770000000001</v>
      </c>
      <c r="T248" s="14">
        <f>[1]!i_dq_close(T$2,$P248)</f>
        <v>5643.4224000000004</v>
      </c>
      <c r="U248" s="14">
        <f>[1]!i_dq_close(U$2,$P248)</f>
        <v>8771.5151999999998</v>
      </c>
      <c r="V248" s="14">
        <f>[1]!i_dq_close(V$2,$P248)</f>
        <v>9515.7122999999992</v>
      </c>
      <c r="W248" s="14">
        <f>[1]!i_dq_close(W$2,$P248)</f>
        <v>5392.8778000000002</v>
      </c>
      <c r="X248" s="14">
        <f>[1]!i_dq_close(X$2,$P248)</f>
        <v>5762.3014999999996</v>
      </c>
      <c r="Y248" s="14">
        <f>[1]!i_dq_close(Y$2,$P248)</f>
        <v>6138.0294999999996</v>
      </c>
      <c r="Z248" s="14">
        <f>[1]!i_dq_close(Z$2,$P248)</f>
        <v>2537.6311000000001</v>
      </c>
      <c r="AB248" s="1">
        <v>42772</v>
      </c>
      <c r="AC248">
        <v>1.256190399805182</v>
      </c>
      <c r="AD248">
        <v>1.2995432423299866</v>
      </c>
      <c r="AE248">
        <v>1.1958544777661013</v>
      </c>
      <c r="AF248">
        <v>1.1668259190056403</v>
      </c>
      <c r="AG248">
        <v>1.3078681368819591</v>
      </c>
      <c r="AH248">
        <v>1.1752448383442358</v>
      </c>
      <c r="AI248">
        <v>1.1558324158049271</v>
      </c>
      <c r="AJ248">
        <v>1.0644493105077244</v>
      </c>
      <c r="AK248">
        <v>1.2191511840705651</v>
      </c>
      <c r="AL248">
        <v>1.1278365958312246</v>
      </c>
    </row>
    <row r="249" spans="1:38" x14ac:dyDescent="0.4">
      <c r="A249" s="10">
        <v>42774</v>
      </c>
      <c r="B249" s="11">
        <v>1.235384539734286</v>
      </c>
      <c r="C249" s="11">
        <v>1.232656136211606</v>
      </c>
      <c r="D249" s="11">
        <v>1.142089617421542</v>
      </c>
      <c r="E249" s="11">
        <v>1.139347462893884</v>
      </c>
      <c r="P249" s="1">
        <f>A248</f>
        <v>42773</v>
      </c>
      <c r="Q249" s="14">
        <f>[1]!i_dq_close(Q$2,$P249)</f>
        <v>2108.5093000000002</v>
      </c>
      <c r="R249" s="14">
        <f>[1]!i_dq_close(R$2,$P249)</f>
        <v>3326.0430000000001</v>
      </c>
      <c r="S249" s="14">
        <f>[1]!i_dq_close(S$2,$P249)</f>
        <v>4037.2298999999998</v>
      </c>
      <c r="T249" s="14">
        <f>[1]!i_dq_close(T$2,$P249)</f>
        <v>5639.6495000000004</v>
      </c>
      <c r="U249" s="14">
        <f>[1]!i_dq_close(U$2,$P249)</f>
        <v>8767.5370000000003</v>
      </c>
      <c r="V249" s="14">
        <f>[1]!i_dq_close(V$2,$P249)</f>
        <v>9494.8495000000003</v>
      </c>
      <c r="W249" s="14">
        <f>[1]!i_dq_close(W$2,$P249)</f>
        <v>5385.4153999999999</v>
      </c>
      <c r="X249" s="14">
        <f>[1]!i_dq_close(X$2,$P249)</f>
        <v>5742.9431000000004</v>
      </c>
      <c r="Y249" s="14">
        <f>[1]!i_dq_close(Y$2,$P249)</f>
        <v>6140.1207000000004</v>
      </c>
      <c r="Z249" s="14">
        <f>[1]!i_dq_close(Z$2,$P249)</f>
        <v>2539.4407000000001</v>
      </c>
      <c r="AB249" s="1">
        <v>42773</v>
      </c>
      <c r="AC249">
        <v>1.25175468993339</v>
      </c>
      <c r="AD249">
        <v>1.3036613242981809</v>
      </c>
      <c r="AE249">
        <v>1.194834294769463</v>
      </c>
      <c r="AF249">
        <v>1.1660458396144864</v>
      </c>
      <c r="AG249">
        <v>1.3072749712881582</v>
      </c>
      <c r="AH249">
        <v>1.1726681633418394</v>
      </c>
      <c r="AI249">
        <v>1.1542330315541469</v>
      </c>
      <c r="AJ249">
        <v>1.0608733026343891</v>
      </c>
      <c r="AK249">
        <v>1.2195665435855576</v>
      </c>
      <c r="AL249">
        <v>1.1286408628910884</v>
      </c>
    </row>
    <row r="250" spans="1:38" x14ac:dyDescent="0.4">
      <c r="A250" s="10">
        <v>42775</v>
      </c>
      <c r="B250" s="11">
        <v>1.241520033476029</v>
      </c>
      <c r="C250" s="11">
        <v>1.2384061232462531</v>
      </c>
      <c r="D250" s="11">
        <v>1.1465394979969981</v>
      </c>
      <c r="E250" s="11">
        <v>1.144706225456267</v>
      </c>
      <c r="P250" s="1">
        <f>A249</f>
        <v>42774</v>
      </c>
      <c r="Q250" s="14">
        <f>[1]!i_dq_close(Q$2,$P250)</f>
        <v>2119.473</v>
      </c>
      <c r="R250" s="14">
        <f>[1]!i_dq_close(R$2,$P250)</f>
        <v>3342.2945</v>
      </c>
      <c r="S250" s="14">
        <f>[1]!i_dq_close(S$2,$P250)</f>
        <v>4066.8040000000001</v>
      </c>
      <c r="T250" s="14">
        <f>[1]!i_dq_close(T$2,$P250)</f>
        <v>5665.7016999999996</v>
      </c>
      <c r="U250" s="14">
        <f>[1]!i_dq_close(U$2,$P250)</f>
        <v>8803.4071000000004</v>
      </c>
      <c r="V250" s="14">
        <f>[1]!i_dq_close(V$2,$P250)</f>
        <v>9532.6388999999999</v>
      </c>
      <c r="W250" s="14">
        <f>[1]!i_dq_close(W$2,$P250)</f>
        <v>5415.0848999999998</v>
      </c>
      <c r="X250" s="14">
        <f>[1]!i_dq_close(X$2,$P250)</f>
        <v>5793.9216999999999</v>
      </c>
      <c r="Y250" s="14">
        <f>[1]!i_dq_close(Y$2,$P250)</f>
        <v>6211.5929999999998</v>
      </c>
      <c r="Z250" s="14">
        <f>[1]!i_dq_close(Z$2,$P250)</f>
        <v>2551.8717999999999</v>
      </c>
      <c r="AB250" s="1">
        <v>42774</v>
      </c>
      <c r="AC250">
        <v>1.2582634887772093</v>
      </c>
      <c r="AD250">
        <v>1.3100311914381524</v>
      </c>
      <c r="AE250">
        <v>1.2035868676454693</v>
      </c>
      <c r="AF250">
        <v>1.171432355110317</v>
      </c>
      <c r="AG250">
        <v>1.3126233472285851</v>
      </c>
      <c r="AH250">
        <v>1.1773353701566278</v>
      </c>
      <c r="AI250">
        <v>1.1605919684951478</v>
      </c>
      <c r="AJ250">
        <v>1.070290396762603</v>
      </c>
      <c r="AK250">
        <v>1.2337625553794478</v>
      </c>
      <c r="AL250">
        <v>1.1341657989255016</v>
      </c>
    </row>
    <row r="251" spans="1:38" x14ac:dyDescent="0.4">
      <c r="A251" s="10">
        <v>42776</v>
      </c>
      <c r="B251" s="11">
        <v>1.24201270286481</v>
      </c>
      <c r="C251" s="11">
        <v>1.2409450733480349</v>
      </c>
      <c r="D251" s="11">
        <v>1.1481159908661589</v>
      </c>
      <c r="E251" s="11">
        <v>1.1442066770776509</v>
      </c>
      <c r="P251" s="1">
        <f>A250</f>
        <v>42775</v>
      </c>
      <c r="Q251" s="14">
        <f>[1]!i_dq_close(Q$2,$P251)</f>
        <v>2123.4475000000002</v>
      </c>
      <c r="R251" s="14">
        <f>[1]!i_dq_close(R$2,$P251)</f>
        <v>3375.7547</v>
      </c>
      <c r="S251" s="14">
        <f>[1]!i_dq_close(S$2,$P251)</f>
        <v>4100.3064999999997</v>
      </c>
      <c r="T251" s="14">
        <f>[1]!i_dq_close(T$2,$P251)</f>
        <v>5697.7354999999998</v>
      </c>
      <c r="U251" s="14">
        <f>[1]!i_dq_close(U$2,$P251)</f>
        <v>8860.2052000000003</v>
      </c>
      <c r="V251" s="14">
        <f>[1]!i_dq_close(V$2,$P251)</f>
        <v>9561.2178999999996</v>
      </c>
      <c r="W251" s="14">
        <f>[1]!i_dq_close(W$2,$P251)</f>
        <v>5431.69</v>
      </c>
      <c r="X251" s="14">
        <f>[1]!i_dq_close(X$2,$P251)</f>
        <v>5825.2878000000001</v>
      </c>
      <c r="Y251" s="14">
        <f>[1]!i_dq_close(Y$2,$P251)</f>
        <v>6232.8298000000004</v>
      </c>
      <c r="Z251" s="14">
        <f>[1]!i_dq_close(Z$2,$P251)</f>
        <v>2560.1001999999999</v>
      </c>
      <c r="AB251" s="1">
        <v>42775</v>
      </c>
      <c r="AC251">
        <v>1.2606230226029034</v>
      </c>
      <c r="AD251">
        <v>1.3231461056600315</v>
      </c>
      <c r="AE251">
        <v>1.213502066173181</v>
      </c>
      <c r="AF251">
        <v>1.1780556176405581</v>
      </c>
      <c r="AG251">
        <v>1.3210921720019191</v>
      </c>
      <c r="AH251">
        <v>1.1808650399465646</v>
      </c>
      <c r="AI251">
        <v>1.1641508685035409</v>
      </c>
      <c r="AJ251">
        <v>1.0760845440348894</v>
      </c>
      <c r="AK251">
        <v>1.23798066313958</v>
      </c>
      <c r="AL251">
        <v>1.1378228673800683</v>
      </c>
    </row>
    <row r="252" spans="1:38" x14ac:dyDescent="0.4">
      <c r="A252" s="10">
        <v>42779</v>
      </c>
      <c r="B252" s="11">
        <v>1.2490192397582369</v>
      </c>
      <c r="C252" s="11">
        <v>1.249364773076469</v>
      </c>
      <c r="D252" s="11">
        <v>1.1550998864227859</v>
      </c>
      <c r="E252" s="11">
        <v>1.152137124947519</v>
      </c>
      <c r="P252" s="1">
        <f>A251</f>
        <v>42776</v>
      </c>
      <c r="Q252" s="14">
        <f>[1]!i_dq_close(Q$2,$P252)</f>
        <v>2150.5450999999998</v>
      </c>
      <c r="R252" s="14">
        <f>[1]!i_dq_close(R$2,$P252)</f>
        <v>3395.9128999999998</v>
      </c>
      <c r="S252" s="14">
        <f>[1]!i_dq_close(S$2,$P252)</f>
        <v>4123.3589000000002</v>
      </c>
      <c r="T252" s="14">
        <f>[1]!i_dq_close(T$2,$P252)</f>
        <v>5682.8056999999999</v>
      </c>
      <c r="U252" s="14">
        <f>[1]!i_dq_close(U$2,$P252)</f>
        <v>8875.0784999999996</v>
      </c>
      <c r="V252" s="14">
        <f>[1]!i_dq_close(V$2,$P252)</f>
        <v>9527.8531999999996</v>
      </c>
      <c r="W252" s="14">
        <f>[1]!i_dq_close(W$2,$P252)</f>
        <v>5448.3485000000001</v>
      </c>
      <c r="X252" s="14">
        <f>[1]!i_dq_close(X$2,$P252)</f>
        <v>5790.4422999999997</v>
      </c>
      <c r="Y252" s="14">
        <f>[1]!i_dq_close(Y$2,$P252)</f>
        <v>6217.3705</v>
      </c>
      <c r="Z252" s="14">
        <f>[1]!i_dq_close(Z$2,$P252)</f>
        <v>2572.0338999999999</v>
      </c>
      <c r="AB252" s="1">
        <v>42776</v>
      </c>
      <c r="AC252">
        <v>1.2767100030520475</v>
      </c>
      <c r="AD252">
        <v>1.3310472259123758</v>
      </c>
      <c r="AE252">
        <v>1.2203245159169382</v>
      </c>
      <c r="AF252">
        <v>1.1749687536118136</v>
      </c>
      <c r="AG252">
        <v>1.323309840753184</v>
      </c>
      <c r="AH252">
        <v>1.1767443088628911</v>
      </c>
      <c r="AI252">
        <v>1.1677212135053665</v>
      </c>
      <c r="AJ252">
        <v>1.0696476596668469</v>
      </c>
      <c r="AK252">
        <v>1.2349100972682523</v>
      </c>
      <c r="AL252">
        <v>1.1431267366397377</v>
      </c>
    </row>
    <row r="253" spans="1:38" x14ac:dyDescent="0.4">
      <c r="A253" s="10">
        <v>42780</v>
      </c>
      <c r="B253" s="11">
        <v>1.2490094232009701</v>
      </c>
      <c r="C253" s="11">
        <v>1.2508203445106481</v>
      </c>
      <c r="D253" s="11">
        <v>1.1566829336449009</v>
      </c>
      <c r="E253" s="11">
        <v>1.153411078736104</v>
      </c>
      <c r="P253" s="1">
        <f>A252</f>
        <v>42779</v>
      </c>
      <c r="Q253" s="14">
        <f>[1]!i_dq_close(Q$2,$P253)</f>
        <v>2169.5639000000001</v>
      </c>
      <c r="R253" s="14">
        <f>[1]!i_dq_close(R$2,$P253)</f>
        <v>3417.5866000000001</v>
      </c>
      <c r="S253" s="14">
        <f>[1]!i_dq_close(S$2,$P253)</f>
        <v>4143.2327999999998</v>
      </c>
      <c r="T253" s="14">
        <f>[1]!i_dq_close(T$2,$P253)</f>
        <v>5726.4714999999997</v>
      </c>
      <c r="U253" s="14">
        <f>[1]!i_dq_close(U$2,$P253)</f>
        <v>8995.7795000000006</v>
      </c>
      <c r="V253" s="14">
        <f>[1]!i_dq_close(V$2,$P253)</f>
        <v>9594.7497999999996</v>
      </c>
      <c r="W253" s="14">
        <f>[1]!i_dq_close(W$2,$P253)</f>
        <v>5478.4679999999998</v>
      </c>
      <c r="X253" s="14">
        <f>[1]!i_dq_close(X$2,$P253)</f>
        <v>5821.1399000000001</v>
      </c>
      <c r="Y253" s="14">
        <f>[1]!i_dq_close(Y$2,$P253)</f>
        <v>6243.777</v>
      </c>
      <c r="Z253" s="14">
        <f>[1]!i_dq_close(Z$2,$P253)</f>
        <v>2582.0650999999998</v>
      </c>
      <c r="AB253" s="1">
        <v>42779</v>
      </c>
      <c r="AC253">
        <v>1.2880008577316573</v>
      </c>
      <c r="AD253">
        <v>1.3395423549424099</v>
      </c>
      <c r="AE253">
        <v>1.2262062759055925</v>
      </c>
      <c r="AF253">
        <v>1.183997031774036</v>
      </c>
      <c r="AG253">
        <v>1.3413068445079961</v>
      </c>
      <c r="AH253">
        <v>1.1850064211855575</v>
      </c>
      <c r="AI253">
        <v>1.174176597020238</v>
      </c>
      <c r="AJ253">
        <v>1.0753183173292831</v>
      </c>
      <c r="AK253">
        <v>1.2401550241201287</v>
      </c>
      <c r="AL253">
        <v>1.1475850499304687</v>
      </c>
    </row>
    <row r="254" spans="1:38" x14ac:dyDescent="0.4">
      <c r="A254" s="10">
        <v>42781</v>
      </c>
      <c r="B254" s="11">
        <v>1.2409890390757301</v>
      </c>
      <c r="C254" s="11">
        <v>1.241068833894873</v>
      </c>
      <c r="D254" s="11">
        <v>1.1481306240427549</v>
      </c>
      <c r="E254" s="11">
        <v>1.144249242695764</v>
      </c>
      <c r="P254" s="1">
        <f>A253</f>
        <v>42780</v>
      </c>
      <c r="Q254" s="14">
        <f>[1]!i_dq_close(Q$2,$P254)</f>
        <v>2172.4472999999998</v>
      </c>
      <c r="R254" s="14">
        <f>[1]!i_dq_close(R$2,$P254)</f>
        <v>3435.0693000000001</v>
      </c>
      <c r="S254" s="14">
        <f>[1]!i_dq_close(S$2,$P254)</f>
        <v>4148.0074000000004</v>
      </c>
      <c r="T254" s="14">
        <f>[1]!i_dq_close(T$2,$P254)</f>
        <v>5712.1558999999997</v>
      </c>
      <c r="U254" s="14">
        <f>[1]!i_dq_close(U$2,$P254)</f>
        <v>8985.56</v>
      </c>
      <c r="V254" s="14">
        <f>[1]!i_dq_close(V$2,$P254)</f>
        <v>9574.6998999999996</v>
      </c>
      <c r="W254" s="14">
        <f>[1]!i_dq_close(W$2,$P254)</f>
        <v>5464.2047000000002</v>
      </c>
      <c r="X254" s="14">
        <f>[1]!i_dq_close(X$2,$P254)</f>
        <v>5819.1049999999996</v>
      </c>
      <c r="Y254" s="14">
        <f>[1]!i_dq_close(Y$2,$P254)</f>
        <v>6254.6792999999998</v>
      </c>
      <c r="Z254" s="14">
        <f>[1]!i_dq_close(Z$2,$P254)</f>
        <v>2576.6529</v>
      </c>
      <c r="AB254" s="1">
        <v>42780</v>
      </c>
      <c r="AC254">
        <v>1.2897126403038059</v>
      </c>
      <c r="AD254">
        <v>1.3463947978706305</v>
      </c>
      <c r="AE254">
        <v>1.2276193378230738</v>
      </c>
      <c r="AF254">
        <v>1.1810371588561206</v>
      </c>
      <c r="AG254">
        <v>1.3397830760232914</v>
      </c>
      <c r="AH254">
        <v>1.1825301439777736</v>
      </c>
      <c r="AI254">
        <v>1.171119604982267</v>
      </c>
      <c r="AJ254">
        <v>1.0749424175430689</v>
      </c>
      <c r="AK254">
        <v>1.2423204669473573</v>
      </c>
      <c r="AL254">
        <v>1.1451796265322618</v>
      </c>
    </row>
    <row r="255" spans="1:38" x14ac:dyDescent="0.4">
      <c r="A255" s="10">
        <v>42782</v>
      </c>
      <c r="B255" s="11">
        <v>1.2468954776301511</v>
      </c>
      <c r="C255" s="11">
        <v>1.24757709890233</v>
      </c>
      <c r="D255" s="11">
        <v>1.1537048331200239</v>
      </c>
      <c r="E255" s="11">
        <v>1.149350968195042</v>
      </c>
      <c r="P255" s="1">
        <f>A254</f>
        <v>42781</v>
      </c>
      <c r="Q255" s="14">
        <f>[1]!i_dq_close(Q$2,$P255)</f>
        <v>2149.6792999999998</v>
      </c>
      <c r="R255" s="14">
        <f>[1]!i_dq_close(R$2,$P255)</f>
        <v>3381.6889000000001</v>
      </c>
      <c r="S255" s="14">
        <f>[1]!i_dq_close(S$2,$P255)</f>
        <v>4105.5767999999998</v>
      </c>
      <c r="T255" s="14">
        <f>[1]!i_dq_close(T$2,$P255)</f>
        <v>5670.3899000000001</v>
      </c>
      <c r="U255" s="14">
        <f>[1]!i_dq_close(U$2,$P255)</f>
        <v>8906.2438000000002</v>
      </c>
      <c r="V255" s="14">
        <f>[1]!i_dq_close(V$2,$P255)</f>
        <v>9515.1046000000006</v>
      </c>
      <c r="W255" s="14">
        <f>[1]!i_dq_close(W$2,$P255)</f>
        <v>5471.7651999999998</v>
      </c>
      <c r="X255" s="14">
        <f>[1]!i_dq_close(X$2,$P255)</f>
        <v>5774.2133000000003</v>
      </c>
      <c r="Y255" s="14">
        <f>[1]!i_dq_close(Y$2,$P255)</f>
        <v>6181.9539000000004</v>
      </c>
      <c r="Z255" s="14">
        <f>[1]!i_dq_close(Z$2,$P255)</f>
        <v>2595.924</v>
      </c>
      <c r="AB255" s="1">
        <v>42781</v>
      </c>
      <c r="AC255">
        <v>1.2761960052192922</v>
      </c>
      <c r="AD255">
        <v>1.3254720488395546</v>
      </c>
      <c r="AE255">
        <v>1.2150618324831759</v>
      </c>
      <c r="AF255">
        <v>1.1724016806163224</v>
      </c>
      <c r="AG255">
        <v>1.3279567121222684</v>
      </c>
      <c r="AH255">
        <v>1.175169783922061</v>
      </c>
      <c r="AI255">
        <v>1.1727400145861511</v>
      </c>
      <c r="AJ255">
        <v>1.0666497346432728</v>
      </c>
      <c r="AK255">
        <v>1.2278755612130325</v>
      </c>
      <c r="AL255">
        <v>1.153744564052898</v>
      </c>
    </row>
    <row r="256" spans="1:38" x14ac:dyDescent="0.4">
      <c r="A256" s="10">
        <v>42783</v>
      </c>
      <c r="B256" s="11">
        <v>1.2379350202192969</v>
      </c>
      <c r="C256" s="11">
        <v>1.239155040627012</v>
      </c>
      <c r="D256" s="11">
        <v>1.145152674499176</v>
      </c>
      <c r="E256" s="11">
        <v>1.141735285236491</v>
      </c>
      <c r="P256" s="1">
        <f>A255</f>
        <v>42782</v>
      </c>
      <c r="Q256" s="14">
        <f>[1]!i_dq_close(Q$2,$P256)</f>
        <v>2174.7060999999999</v>
      </c>
      <c r="R256" s="14">
        <f>[1]!i_dq_close(R$2,$P256)</f>
        <v>3425.6576</v>
      </c>
      <c r="S256" s="14">
        <f>[1]!i_dq_close(S$2,$P256)</f>
        <v>4132.3994000000002</v>
      </c>
      <c r="T256" s="14">
        <f>[1]!i_dq_close(T$2,$P256)</f>
        <v>5715.0272999999997</v>
      </c>
      <c r="U256" s="14">
        <f>[1]!i_dq_close(U$2,$P256)</f>
        <v>8930.9141</v>
      </c>
      <c r="V256" s="14">
        <f>[1]!i_dq_close(V$2,$P256)</f>
        <v>9550.9928</v>
      </c>
      <c r="W256" s="14">
        <f>[1]!i_dq_close(W$2,$P256)</f>
        <v>5491.6498000000001</v>
      </c>
      <c r="X256" s="14">
        <f>[1]!i_dq_close(X$2,$P256)</f>
        <v>5801.8508000000002</v>
      </c>
      <c r="Y256" s="14">
        <f>[1]!i_dq_close(Y$2,$P256)</f>
        <v>6207.0623999999998</v>
      </c>
      <c r="Z256" s="14">
        <f>[1]!i_dq_close(Z$2,$P256)</f>
        <v>2622.4533000000001</v>
      </c>
      <c r="AB256" s="1">
        <v>42782</v>
      </c>
      <c r="AC256">
        <v>1.2910536177866283</v>
      </c>
      <c r="AD256">
        <v>1.3427058289409151</v>
      </c>
      <c r="AE256">
        <v>1.2230000879575256</v>
      </c>
      <c r="AF256">
        <v>1.1816308454006246</v>
      </c>
      <c r="AG256">
        <v>1.3316351529117592</v>
      </c>
      <c r="AH256">
        <v>1.1796021816740889</v>
      </c>
      <c r="AI256">
        <v>1.1770017957923402</v>
      </c>
      <c r="AJ256">
        <v>1.0717551109966548</v>
      </c>
      <c r="AK256">
        <v>1.2328626759711541</v>
      </c>
      <c r="AL256">
        <v>1.1655353698172919</v>
      </c>
    </row>
    <row r="257" spans="1:38" x14ac:dyDescent="0.4">
      <c r="A257" s="10">
        <v>42786</v>
      </c>
      <c r="B257" s="11">
        <v>1.250066206278738</v>
      </c>
      <c r="C257" s="11">
        <v>1.2557589284361841</v>
      </c>
      <c r="D257" s="11">
        <v>1.156876933074769</v>
      </c>
      <c r="E257" s="11">
        <v>1.153372801906144</v>
      </c>
      <c r="P257" s="1">
        <f>A256</f>
        <v>42783</v>
      </c>
      <c r="Q257" s="14">
        <f>[1]!i_dq_close(Q$2,$P257)</f>
        <v>2135.4713000000002</v>
      </c>
      <c r="R257" s="14">
        <f>[1]!i_dq_close(R$2,$P257)</f>
        <v>3391.0432000000001</v>
      </c>
      <c r="S257" s="14">
        <f>[1]!i_dq_close(S$2,$P257)</f>
        <v>4097.8424999999997</v>
      </c>
      <c r="T257" s="14">
        <f>[1]!i_dq_close(T$2,$P257)</f>
        <v>5688.8325999999997</v>
      </c>
      <c r="U257" s="14">
        <f>[1]!i_dq_close(U$2,$P257)</f>
        <v>8928.9405000000006</v>
      </c>
      <c r="V257" s="14">
        <f>[1]!i_dq_close(V$2,$P257)</f>
        <v>9481.3857000000007</v>
      </c>
      <c r="W257" s="14">
        <f>[1]!i_dq_close(W$2,$P257)</f>
        <v>5462.3346000000001</v>
      </c>
      <c r="X257" s="14">
        <f>[1]!i_dq_close(X$2,$P257)</f>
        <v>5755.0748000000003</v>
      </c>
      <c r="Y257" s="14">
        <f>[1]!i_dq_close(Y$2,$P257)</f>
        <v>6165.0592999999999</v>
      </c>
      <c r="Z257" s="14">
        <f>[1]!i_dq_close(Z$2,$P257)</f>
        <v>2592.5317</v>
      </c>
      <c r="AB257" s="1">
        <v>42783</v>
      </c>
      <c r="AC257">
        <v>1.2677611689894623</v>
      </c>
      <c r="AD257">
        <v>1.3291385195153345</v>
      </c>
      <c r="AE257">
        <v>1.2127728355434584</v>
      </c>
      <c r="AF257">
        <v>1.1762148668092336</v>
      </c>
      <c r="AG257">
        <v>1.3313408812270964</v>
      </c>
      <c r="AH257">
        <v>1.1710053071146183</v>
      </c>
      <c r="AI257">
        <v>1.1707187944538333</v>
      </c>
      <c r="AJ257">
        <v>1.0631143481090639</v>
      </c>
      <c r="AK257">
        <v>1.2245199123693118</v>
      </c>
      <c r="AL257">
        <v>1.1522368744269165</v>
      </c>
    </row>
    <row r="258" spans="1:38" x14ac:dyDescent="0.4">
      <c r="A258" s="10">
        <v>42787</v>
      </c>
      <c r="B258" s="11">
        <v>1.258372465741795</v>
      </c>
      <c r="C258" s="11">
        <v>1.2616944897898059</v>
      </c>
      <c r="D258" s="11">
        <v>1.162424606261822</v>
      </c>
      <c r="E258" s="11">
        <v>1.1595583067399171</v>
      </c>
      <c r="P258" s="1">
        <f>A257</f>
        <v>42786</v>
      </c>
      <c r="Q258" s="14">
        <f>[1]!i_dq_close(Q$2,$P258)</f>
        <v>2168.0868999999998</v>
      </c>
      <c r="R258" s="14">
        <f>[1]!i_dq_close(R$2,$P258)</f>
        <v>3428.0967000000001</v>
      </c>
      <c r="S258" s="14">
        <f>[1]!i_dq_close(S$2,$P258)</f>
        <v>4146.9823999999999</v>
      </c>
      <c r="T258" s="14">
        <f>[1]!i_dq_close(T$2,$P258)</f>
        <v>5768.4359000000004</v>
      </c>
      <c r="U258" s="14">
        <f>[1]!i_dq_close(U$2,$P258)</f>
        <v>9122.5241000000005</v>
      </c>
      <c r="V258" s="14">
        <f>[1]!i_dq_close(V$2,$P258)</f>
        <v>9572.9243999999999</v>
      </c>
      <c r="W258" s="14">
        <f>[1]!i_dq_close(W$2,$P258)</f>
        <v>5533.6958000000004</v>
      </c>
      <c r="X258" s="14">
        <f>[1]!i_dq_close(X$2,$P258)</f>
        <v>5801.3940000000002</v>
      </c>
      <c r="Y258" s="14">
        <f>[1]!i_dq_close(Y$2,$P258)</f>
        <v>6211.6215000000002</v>
      </c>
      <c r="Z258" s="14">
        <f>[1]!i_dq_close(Z$2,$P258)</f>
        <v>2617.8216000000002</v>
      </c>
      <c r="AB258" s="1">
        <v>42786</v>
      </c>
      <c r="AC258">
        <v>1.2871240099619878</v>
      </c>
      <c r="AD258">
        <v>1.3436618479509206</v>
      </c>
      <c r="AE258">
        <v>1.2273159849840047</v>
      </c>
      <c r="AF258">
        <v>1.1926735309131968</v>
      </c>
      <c r="AG258">
        <v>1.3602049732898795</v>
      </c>
      <c r="AH258">
        <v>1.182310859583217</v>
      </c>
      <c r="AI258">
        <v>1.1860133350033593</v>
      </c>
      <c r="AJ258">
        <v>1.0716707279693105</v>
      </c>
      <c r="AK258">
        <v>1.2337682161226466</v>
      </c>
      <c r="AL258">
        <v>1.163476835477564</v>
      </c>
    </row>
    <row r="259" spans="1:38" x14ac:dyDescent="0.4">
      <c r="A259" s="10">
        <v>42788</v>
      </c>
      <c r="B259" s="11">
        <v>1.262705282601885</v>
      </c>
      <c r="C259" s="11">
        <v>1.267501332542142</v>
      </c>
      <c r="D259" s="11">
        <v>1.1667994391899861</v>
      </c>
      <c r="E259" s="11">
        <v>1.1641407033316371</v>
      </c>
      <c r="P259" s="1">
        <f>A258</f>
        <v>42787</v>
      </c>
      <c r="Q259" s="14">
        <f>[1]!i_dq_close(Q$2,$P259)</f>
        <v>2174.1918999999998</v>
      </c>
      <c r="R259" s="14">
        <f>[1]!i_dq_close(R$2,$P259)</f>
        <v>3455.8897999999999</v>
      </c>
      <c r="S259" s="14">
        <f>[1]!i_dq_close(S$2,$P259)</f>
        <v>4167.7838000000002</v>
      </c>
      <c r="T259" s="14">
        <f>[1]!i_dq_close(T$2,$P259)</f>
        <v>5814.8243000000002</v>
      </c>
      <c r="U259" s="14">
        <f>[1]!i_dq_close(U$2,$P259)</f>
        <v>9171.0208000000002</v>
      </c>
      <c r="V259" s="14">
        <f>[1]!i_dq_close(V$2,$P259)</f>
        <v>9634.9802</v>
      </c>
      <c r="W259" s="14">
        <f>[1]!i_dq_close(W$2,$P259)</f>
        <v>5550.9588000000003</v>
      </c>
      <c r="X259" s="14">
        <f>[1]!i_dq_close(X$2,$P259)</f>
        <v>5871.6995999999999</v>
      </c>
      <c r="Y259" s="14">
        <f>[1]!i_dq_close(Y$2,$P259)</f>
        <v>6243.0272000000004</v>
      </c>
      <c r="Z259" s="14">
        <f>[1]!i_dq_close(Z$2,$P259)</f>
        <v>2625.38</v>
      </c>
      <c r="AB259" s="1">
        <v>42787</v>
      </c>
      <c r="AC259">
        <v>1.290748353654493</v>
      </c>
      <c r="AD259">
        <v>1.3545555103456497</v>
      </c>
      <c r="AE259">
        <v>1.2334722422977678</v>
      </c>
      <c r="AF259">
        <v>1.2022647299454012</v>
      </c>
      <c r="AG259">
        <v>1.3674360259903209</v>
      </c>
      <c r="AH259">
        <v>1.1899751054473258</v>
      </c>
      <c r="AI259">
        <v>1.189713239902751</v>
      </c>
      <c r="AJ259">
        <v>1.0846580295613621</v>
      </c>
      <c r="AK259">
        <v>1.2400060969183591</v>
      </c>
      <c r="AL259">
        <v>1.1668361260087727</v>
      </c>
    </row>
    <row r="260" spans="1:38" x14ac:dyDescent="0.4">
      <c r="A260" s="10">
        <v>42789</v>
      </c>
      <c r="B260" s="11">
        <v>1.2619442259646221</v>
      </c>
      <c r="C260" s="11">
        <v>1.2653460695640419</v>
      </c>
      <c r="D260" s="11">
        <v>1.1653876783362751</v>
      </c>
      <c r="E260" s="11">
        <v>1.163319021139428</v>
      </c>
      <c r="P260" s="1">
        <f>A259</f>
        <v>42788</v>
      </c>
      <c r="Q260" s="14">
        <f>[1]!i_dq_close(Q$2,$P260)</f>
        <v>2185.5970000000002</v>
      </c>
      <c r="R260" s="14">
        <f>[1]!i_dq_close(R$2,$P260)</f>
        <v>3484.4843999999998</v>
      </c>
      <c r="S260" s="14">
        <f>[1]!i_dq_close(S$2,$P260)</f>
        <v>4178.9558999999999</v>
      </c>
      <c r="T260" s="14">
        <f>[1]!i_dq_close(T$2,$P260)</f>
        <v>5835.4377999999997</v>
      </c>
      <c r="U260" s="14">
        <f>[1]!i_dq_close(U$2,$P260)</f>
        <v>9257.1941999999999</v>
      </c>
      <c r="V260" s="14">
        <f>[1]!i_dq_close(V$2,$P260)</f>
        <v>9658.4330000000009</v>
      </c>
      <c r="W260" s="14">
        <f>[1]!i_dq_close(W$2,$P260)</f>
        <v>5549.2390999999998</v>
      </c>
      <c r="X260" s="14">
        <f>[1]!i_dq_close(X$2,$P260)</f>
        <v>5895.7828</v>
      </c>
      <c r="Y260" s="14">
        <f>[1]!i_dq_close(Y$2,$P260)</f>
        <v>6275.9449000000004</v>
      </c>
      <c r="Z260" s="14">
        <f>[1]!i_dq_close(Z$2,$P260)</f>
        <v>2628.1315</v>
      </c>
      <c r="AB260" s="1">
        <v>42788</v>
      </c>
      <c r="AC260">
        <v>1.2975191975934597</v>
      </c>
      <c r="AD260">
        <v>1.3657633251886256</v>
      </c>
      <c r="AE260">
        <v>1.2367786698620227</v>
      </c>
      <c r="AF260">
        <v>1.2065267476319423</v>
      </c>
      <c r="AG260">
        <v>1.3802848259452916</v>
      </c>
      <c r="AH260">
        <v>1.1928716602480336</v>
      </c>
      <c r="AI260">
        <v>1.1893446639625618</v>
      </c>
      <c r="AJ260">
        <v>1.0891068328103453</v>
      </c>
      <c r="AK260">
        <v>1.2465442950374588</v>
      </c>
      <c r="AL260">
        <v>1.1680590154955186</v>
      </c>
    </row>
    <row r="261" spans="1:38" x14ac:dyDescent="0.4">
      <c r="A261" s="10">
        <v>42790</v>
      </c>
      <c r="B261" s="11">
        <v>1.264349729750083</v>
      </c>
      <c r="C261" s="11">
        <v>1.264938501816711</v>
      </c>
      <c r="D261" s="11">
        <v>1.165715648229102</v>
      </c>
      <c r="E261" s="11">
        <v>1.1640451968968659</v>
      </c>
      <c r="P261" s="1">
        <f>A260</f>
        <v>42789</v>
      </c>
      <c r="Q261" s="14">
        <f>[1]!i_dq_close(Q$2,$P261)</f>
        <v>2161.9886999999999</v>
      </c>
      <c r="R261" s="14">
        <f>[1]!i_dq_close(R$2,$P261)</f>
        <v>3481.3406</v>
      </c>
      <c r="S261" s="14">
        <f>[1]!i_dq_close(S$2,$P261)</f>
        <v>4161.1388999999999</v>
      </c>
      <c r="T261" s="14">
        <f>[1]!i_dq_close(T$2,$P261)</f>
        <v>5823.6558000000005</v>
      </c>
      <c r="U261" s="14">
        <f>[1]!i_dq_close(U$2,$P261)</f>
        <v>9187.3114999999998</v>
      </c>
      <c r="V261" s="14">
        <f>[1]!i_dq_close(V$2,$P261)</f>
        <v>9766.0090999999993</v>
      </c>
      <c r="W261" s="14">
        <f>[1]!i_dq_close(W$2,$P261)</f>
        <v>5518.2689</v>
      </c>
      <c r="X261" s="14">
        <f>[1]!i_dq_close(X$2,$P261)</f>
        <v>5906.1634999999997</v>
      </c>
      <c r="Y261" s="14">
        <f>[1]!i_dq_close(Y$2,$P261)</f>
        <v>6266.8990000000003</v>
      </c>
      <c r="Z261" s="14">
        <f>[1]!i_dq_close(Z$2,$P261)</f>
        <v>2613.1698999999999</v>
      </c>
      <c r="AB261" s="1">
        <v>42789</v>
      </c>
      <c r="AC261">
        <v>1.2835037032124983</v>
      </c>
      <c r="AD261">
        <v>1.3645310950366618</v>
      </c>
      <c r="AE261">
        <v>1.2315056576340324</v>
      </c>
      <c r="AF261">
        <v>1.2040907182151608</v>
      </c>
      <c r="AG261">
        <v>1.3698650347729202</v>
      </c>
      <c r="AH261">
        <v>1.2061579232484609</v>
      </c>
      <c r="AI261">
        <v>1.1827069535579311</v>
      </c>
      <c r="AJ261">
        <v>1.0910244223286283</v>
      </c>
      <c r="AK261">
        <v>1.2447475751461674</v>
      </c>
      <c r="AL261">
        <v>1.1614094122446015</v>
      </c>
    </row>
    <row r="262" spans="1:38" x14ac:dyDescent="0.4">
      <c r="A262" s="10">
        <v>42793</v>
      </c>
      <c r="B262" s="11">
        <v>1.2577330664682109</v>
      </c>
      <c r="C262" s="11">
        <v>1.2562714828271779</v>
      </c>
      <c r="D262" s="11">
        <v>1.1590352457864439</v>
      </c>
      <c r="E262" s="11">
        <v>1.1572002381352711</v>
      </c>
      <c r="P262" s="1">
        <f>A261</f>
        <v>42790</v>
      </c>
      <c r="Q262" s="14">
        <f>[1]!i_dq_close(Q$2,$P262)</f>
        <v>2149.2800999999999</v>
      </c>
      <c r="R262" s="14">
        <f>[1]!i_dq_close(R$2,$P262)</f>
        <v>3458.8492999999999</v>
      </c>
      <c r="S262" s="14">
        <f>[1]!i_dq_close(S$2,$P262)</f>
        <v>4176.9023999999999</v>
      </c>
      <c r="T262" s="14">
        <f>[1]!i_dq_close(T$2,$P262)</f>
        <v>5833.7291999999998</v>
      </c>
      <c r="U262" s="14">
        <f>[1]!i_dq_close(U$2,$P262)</f>
        <v>9196.8130000000001</v>
      </c>
      <c r="V262" s="14">
        <f>[1]!i_dq_close(V$2,$P262)</f>
        <v>9782.9959999999992</v>
      </c>
      <c r="W262" s="14">
        <f>[1]!i_dq_close(W$2,$P262)</f>
        <v>5515.6270000000004</v>
      </c>
      <c r="X262" s="14">
        <f>[1]!i_dq_close(X$2,$P262)</f>
        <v>5941.7141000000001</v>
      </c>
      <c r="Y262" s="14">
        <f>[1]!i_dq_close(Y$2,$P262)</f>
        <v>6348.3986000000004</v>
      </c>
      <c r="Z262" s="14">
        <f>[1]!i_dq_close(Z$2,$P262)</f>
        <v>2618.3189000000002</v>
      </c>
      <c r="AB262" s="1">
        <v>42790</v>
      </c>
      <c r="AC262">
        <v>1.2759590129175646</v>
      </c>
      <c r="AD262">
        <v>1.3557155030725208</v>
      </c>
      <c r="AE262">
        <v>1.2361709283449223</v>
      </c>
      <c r="AF262">
        <v>1.2061734799472104</v>
      </c>
      <c r="AG262">
        <v>1.3712817465746148</v>
      </c>
      <c r="AH262">
        <v>1.2082559024553849</v>
      </c>
      <c r="AI262">
        <v>1.1821407264390236</v>
      </c>
      <c r="AJ262">
        <v>1.0975915572933879</v>
      </c>
      <c r="AK262">
        <v>1.2609352350199554</v>
      </c>
      <c r="AL262">
        <v>1.1636978578078416</v>
      </c>
    </row>
    <row r="263" spans="1:38" x14ac:dyDescent="0.4">
      <c r="A263" s="10">
        <v>42794</v>
      </c>
      <c r="B263" s="11">
        <v>1.2619662121576849</v>
      </c>
      <c r="C263" s="11">
        <v>1.26085016621496</v>
      </c>
      <c r="D263" s="11">
        <v>1.1619367546771779</v>
      </c>
      <c r="E263" s="11">
        <v>1.1608906369504499</v>
      </c>
      <c r="P263" s="1">
        <f>A262</f>
        <v>42793</v>
      </c>
      <c r="Q263" s="14">
        <f>[1]!i_dq_close(Q$2,$P263)</f>
        <v>2124.5817000000002</v>
      </c>
      <c r="R263" s="14">
        <f>[1]!i_dq_close(R$2,$P263)</f>
        <v>3435.3690000000001</v>
      </c>
      <c r="S263" s="14">
        <f>[1]!i_dq_close(S$2,$P263)</f>
        <v>4139.8856999999998</v>
      </c>
      <c r="T263" s="14">
        <f>[1]!i_dq_close(T$2,$P263)</f>
        <v>5791.0841</v>
      </c>
      <c r="U263" s="14">
        <f>[1]!i_dq_close(U$2,$P263)</f>
        <v>9081.9082999999991</v>
      </c>
      <c r="V263" s="14">
        <f>[1]!i_dq_close(V$2,$P263)</f>
        <v>9709.0668999999998</v>
      </c>
      <c r="W263" s="14">
        <f>[1]!i_dq_close(W$2,$P263)</f>
        <v>5472.5276999999996</v>
      </c>
      <c r="X263" s="14">
        <f>[1]!i_dq_close(X$2,$P263)</f>
        <v>5905.6157999999996</v>
      </c>
      <c r="Y263" s="14">
        <f>[1]!i_dq_close(Y$2,$P263)</f>
        <v>6320.5421999999999</v>
      </c>
      <c r="Z263" s="14">
        <f>[1]!i_dq_close(Z$2,$P263)</f>
        <v>2602.4180000000001</v>
      </c>
      <c r="AB263" s="1">
        <v>42793</v>
      </c>
      <c r="AC263">
        <v>1.2612963609511489</v>
      </c>
      <c r="AD263">
        <v>1.3465122669769807</v>
      </c>
      <c r="AE263">
        <v>1.2252156883078877</v>
      </c>
      <c r="AF263">
        <v>1.1973562402526259</v>
      </c>
      <c r="AG263">
        <v>1.3541489944238825</v>
      </c>
      <c r="AH263">
        <v>1.1991252362015896</v>
      </c>
      <c r="AI263">
        <v>1.1729034379474315</v>
      </c>
      <c r="AJ263">
        <v>1.0909232476699671</v>
      </c>
      <c r="AK263">
        <v>1.2554023253061874</v>
      </c>
      <c r="AL263">
        <v>1.1566307876861628</v>
      </c>
    </row>
    <row r="264" spans="1:38" x14ac:dyDescent="0.4">
      <c r="A264" s="10">
        <v>42795</v>
      </c>
      <c r="B264" s="11">
        <v>1.264075580223486</v>
      </c>
      <c r="C264" s="11">
        <v>1.2634478150161841</v>
      </c>
      <c r="D264" s="11">
        <v>1.164568027414137</v>
      </c>
      <c r="E264" s="11">
        <v>1.1628819268049799</v>
      </c>
      <c r="P264" s="1">
        <f>A263</f>
        <v>42794</v>
      </c>
      <c r="Q264" s="14">
        <f>[1]!i_dq_close(Q$2,$P264)</f>
        <v>2141.4472000000001</v>
      </c>
      <c r="R264" s="14">
        <f>[1]!i_dq_close(R$2,$P264)</f>
        <v>3447.9276</v>
      </c>
      <c r="S264" s="14">
        <f>[1]!i_dq_close(S$2,$P264)</f>
        <v>4160.3233</v>
      </c>
      <c r="T264" s="14">
        <f>[1]!i_dq_close(T$2,$P264)</f>
        <v>5831.4402</v>
      </c>
      <c r="U264" s="14">
        <f>[1]!i_dq_close(U$2,$P264)</f>
        <v>9084.4786999999997</v>
      </c>
      <c r="V264" s="14">
        <f>[1]!i_dq_close(V$2,$P264)</f>
        <v>9700.0360000000001</v>
      </c>
      <c r="W264" s="14">
        <f>[1]!i_dq_close(W$2,$P264)</f>
        <v>5477.7587999999996</v>
      </c>
      <c r="X264" s="14">
        <f>[1]!i_dq_close(X$2,$P264)</f>
        <v>5911.7381999999998</v>
      </c>
      <c r="Y264" s="14">
        <f>[1]!i_dq_close(Y$2,$P264)</f>
        <v>6323.8238000000001</v>
      </c>
      <c r="Z264" s="14">
        <f>[1]!i_dq_close(Z$2,$P264)</f>
        <v>2610.136</v>
      </c>
      <c r="AB264" s="1">
        <v>42794</v>
      </c>
      <c r="AC264">
        <v>1.2713088701314839</v>
      </c>
      <c r="AD264">
        <v>1.3514346811211546</v>
      </c>
      <c r="AE264">
        <v>1.2312642775603304</v>
      </c>
      <c r="AF264">
        <v>1.2057002095911575</v>
      </c>
      <c r="AG264">
        <v>1.3545322513848967</v>
      </c>
      <c r="AH264">
        <v>1.1980098684523353</v>
      </c>
      <c r="AI264">
        <v>1.174024597219818</v>
      </c>
      <c r="AJ264">
        <v>1.0920542166861931</v>
      </c>
      <c r="AK264">
        <v>1.2560541251265771</v>
      </c>
      <c r="AL264">
        <v>1.1600610115853833</v>
      </c>
    </row>
    <row r="265" spans="1:38" x14ac:dyDescent="0.4">
      <c r="A265" s="10">
        <v>42796</v>
      </c>
      <c r="B265" s="11">
        <v>1.258561785429388</v>
      </c>
      <c r="C265" s="11">
        <v>1.259617786764065</v>
      </c>
      <c r="D265" s="11">
        <v>1.16095784734636</v>
      </c>
      <c r="E265" s="11">
        <v>1.159998891020515</v>
      </c>
      <c r="P265" s="1">
        <f>A264</f>
        <v>42795</v>
      </c>
      <c r="Q265" s="14">
        <f>[1]!i_dq_close(Q$2,$P265)</f>
        <v>2146.0066000000002</v>
      </c>
      <c r="R265" s="14">
        <f>[1]!i_dq_close(R$2,$P265)</f>
        <v>3467.9167000000002</v>
      </c>
      <c r="S265" s="14">
        <f>[1]!i_dq_close(S$2,$P265)</f>
        <v>4169.5442999999996</v>
      </c>
      <c r="T265" s="14">
        <f>[1]!i_dq_close(T$2,$P265)</f>
        <v>5846.0595000000003</v>
      </c>
      <c r="U265" s="14">
        <f>[1]!i_dq_close(U$2,$P265)</f>
        <v>9108.3793999999998</v>
      </c>
      <c r="V265" s="14">
        <f>[1]!i_dq_close(V$2,$P265)</f>
        <v>9707.8772000000008</v>
      </c>
      <c r="W265" s="14">
        <f>[1]!i_dq_close(W$2,$P265)</f>
        <v>5478.5650999999998</v>
      </c>
      <c r="X265" s="14">
        <f>[1]!i_dq_close(X$2,$P265)</f>
        <v>5920.8067000000001</v>
      </c>
      <c r="Y265" s="14">
        <f>[1]!i_dq_close(Y$2,$P265)</f>
        <v>6333.9915000000001</v>
      </c>
      <c r="Z265" s="14">
        <f>[1]!i_dq_close(Z$2,$P265)</f>
        <v>2613.1228999999998</v>
      </c>
      <c r="AB265" s="1">
        <v>42795</v>
      </c>
      <c r="AC265">
        <v>1.2740156404233116</v>
      </c>
      <c r="AD265">
        <v>1.3592695216741868</v>
      </c>
      <c r="AE265">
        <v>1.2339932692959927</v>
      </c>
      <c r="AF265">
        <v>1.2087228750853654</v>
      </c>
      <c r="AG265">
        <v>1.3580959417241867</v>
      </c>
      <c r="AH265">
        <v>1.1989783014540798</v>
      </c>
      <c r="AI265">
        <v>1.1741974080476221</v>
      </c>
      <c r="AJ265">
        <v>1.0937294081999207</v>
      </c>
      <c r="AK265">
        <v>1.2580736598150752</v>
      </c>
      <c r="AL265">
        <v>1.1613885233455001</v>
      </c>
    </row>
    <row r="266" spans="1:38" x14ac:dyDescent="0.4">
      <c r="A266" s="10">
        <v>42797</v>
      </c>
      <c r="B266" s="11">
        <v>1.2616505409758769</v>
      </c>
      <c r="C266" s="11">
        <v>1.2615073748356569</v>
      </c>
      <c r="D266" s="11">
        <v>1.1637455379753221</v>
      </c>
      <c r="E266" s="11">
        <v>1.1648326921116761</v>
      </c>
      <c r="P266" s="1">
        <f>A265</f>
        <v>42796</v>
      </c>
      <c r="Q266" s="14">
        <f>[1]!i_dq_close(Q$2,$P266)</f>
        <v>2133.0165000000002</v>
      </c>
      <c r="R266" s="14">
        <f>[1]!i_dq_close(R$2,$P266)</f>
        <v>3451.4409000000001</v>
      </c>
      <c r="S266" s="14">
        <f>[1]!i_dq_close(S$2,$P266)</f>
        <v>4138.6773000000003</v>
      </c>
      <c r="T266" s="14">
        <f>[1]!i_dq_close(T$2,$P266)</f>
        <v>5804.9929000000002</v>
      </c>
      <c r="U266" s="14">
        <f>[1]!i_dq_close(U$2,$P266)</f>
        <v>9065.8456999999999</v>
      </c>
      <c r="V266" s="14">
        <f>[1]!i_dq_close(V$2,$P266)</f>
        <v>9653.6738000000005</v>
      </c>
      <c r="W266" s="14">
        <f>[1]!i_dq_close(W$2,$P266)</f>
        <v>5443.2514000000001</v>
      </c>
      <c r="X266" s="14">
        <f>[1]!i_dq_close(X$2,$P266)</f>
        <v>5885.0870999999997</v>
      </c>
      <c r="Y266" s="14">
        <f>[1]!i_dq_close(Y$2,$P266)</f>
        <v>6287.0504000000001</v>
      </c>
      <c r="Z266" s="14">
        <f>[1]!i_dq_close(Z$2,$P266)</f>
        <v>2600.1293000000001</v>
      </c>
      <c r="AB266" s="1">
        <v>42796</v>
      </c>
      <c r="AC266">
        <v>1.266303832560902</v>
      </c>
      <c r="AD266">
        <v>1.3528117388833836</v>
      </c>
      <c r="AE266">
        <v>1.2248580575071748</v>
      </c>
      <c r="AF266">
        <v>1.2002320037861629</v>
      </c>
      <c r="AG266">
        <v>1.351753996267181</v>
      </c>
      <c r="AH266">
        <v>1.1922838718557083</v>
      </c>
      <c r="AI266">
        <v>1.1666287738794214</v>
      </c>
      <c r="AJ266">
        <v>1.0871310544706665</v>
      </c>
      <c r="AK266">
        <v>1.2487500979705819</v>
      </c>
      <c r="AL266">
        <v>1.1556135871888649</v>
      </c>
    </row>
    <row r="267" spans="1:38" x14ac:dyDescent="0.4">
      <c r="A267" s="10">
        <v>42800</v>
      </c>
      <c r="B267" s="11">
        <v>1.273014530130717</v>
      </c>
      <c r="C267" s="11">
        <v>1.271047806864491</v>
      </c>
      <c r="D267" s="11">
        <v>1.1728236633588529</v>
      </c>
      <c r="E267" s="11">
        <v>1.1764377413635461</v>
      </c>
      <c r="P267" s="1">
        <f>A266</f>
        <v>42797</v>
      </c>
      <c r="Q267" s="14">
        <f>[1]!i_dq_close(Q$2,$P267)</f>
        <v>2111.3948</v>
      </c>
      <c r="R267" s="14">
        <f>[1]!i_dq_close(R$2,$P267)</f>
        <v>3445.076</v>
      </c>
      <c r="S267" s="14">
        <f>[1]!i_dq_close(S$2,$P267)</f>
        <v>4146.9357</v>
      </c>
      <c r="T267" s="14">
        <f>[1]!i_dq_close(T$2,$P267)</f>
        <v>5819.8029999999999</v>
      </c>
      <c r="U267" s="14">
        <f>[1]!i_dq_close(U$2,$P267)</f>
        <v>9075.3191000000006</v>
      </c>
      <c r="V267" s="14">
        <f>[1]!i_dq_close(V$2,$P267)</f>
        <v>9669.7494999999999</v>
      </c>
      <c r="W267" s="14">
        <f>[1]!i_dq_close(W$2,$P267)</f>
        <v>5425.5361000000003</v>
      </c>
      <c r="X267" s="14">
        <f>[1]!i_dq_close(X$2,$P267)</f>
        <v>5924.3873999999996</v>
      </c>
      <c r="Y267" s="14">
        <f>[1]!i_dq_close(Y$2,$P267)</f>
        <v>6322.4495999999999</v>
      </c>
      <c r="Z267" s="14">
        <f>[1]!i_dq_close(Z$2,$P267)</f>
        <v>2601.1482999999998</v>
      </c>
      <c r="AB267" s="1">
        <v>42797</v>
      </c>
      <c r="AC267">
        <v>1.2534677192085288</v>
      </c>
      <c r="AD267">
        <v>1.3503169804082147</v>
      </c>
      <c r="AE267">
        <v>1.2273021639327029</v>
      </c>
      <c r="AF267">
        <v>1.2032941188146364</v>
      </c>
      <c r="AG267">
        <v>1.3531665182460448</v>
      </c>
      <c r="AH267">
        <v>1.194269312656369</v>
      </c>
      <c r="AI267">
        <v>1.162831929457004</v>
      </c>
      <c r="AJ267">
        <v>1.0943908580817319</v>
      </c>
      <c r="AK267">
        <v>1.2557811779931118</v>
      </c>
      <c r="AL267">
        <v>1.1560664762991661</v>
      </c>
    </row>
    <row r="268" spans="1:38" x14ac:dyDescent="0.4">
      <c r="A268" s="10">
        <v>42801</v>
      </c>
      <c r="B268" s="11">
        <v>1.2771505301762811</v>
      </c>
      <c r="C268" s="11">
        <v>1.2738064881297211</v>
      </c>
      <c r="D268" s="11">
        <v>1.174992623667477</v>
      </c>
      <c r="E268" s="11">
        <v>1.179404617000533</v>
      </c>
      <c r="P268" s="1">
        <f>A267</f>
        <v>42800</v>
      </c>
      <c r="Q268" s="14">
        <f>[1]!i_dq_close(Q$2,$P268)</f>
        <v>2133.7049000000002</v>
      </c>
      <c r="R268" s="14">
        <f>[1]!i_dq_close(R$2,$P268)</f>
        <v>3470.3163</v>
      </c>
      <c r="S268" s="14">
        <f>[1]!i_dq_close(S$2,$P268)</f>
        <v>4184.8240999999998</v>
      </c>
      <c r="T268" s="14">
        <f>[1]!i_dq_close(T$2,$P268)</f>
        <v>5883.4926999999998</v>
      </c>
      <c r="U268" s="14">
        <f>[1]!i_dq_close(U$2,$P268)</f>
        <v>9138.3618000000006</v>
      </c>
      <c r="V268" s="14">
        <f>[1]!i_dq_close(V$2,$P268)</f>
        <v>9731.0192999999999</v>
      </c>
      <c r="W268" s="14">
        <f>[1]!i_dq_close(W$2,$P268)</f>
        <v>5442.6670999999997</v>
      </c>
      <c r="X268" s="14">
        <f>[1]!i_dq_close(X$2,$P268)</f>
        <v>6015.4705000000004</v>
      </c>
      <c r="Y268" s="14">
        <f>[1]!i_dq_close(Y$2,$P268)</f>
        <v>6423.6970000000001</v>
      </c>
      <c r="Z268" s="14">
        <f>[1]!i_dq_close(Z$2,$P268)</f>
        <v>2612.3325</v>
      </c>
      <c r="AB268" s="1">
        <v>42800</v>
      </c>
      <c r="AC268">
        <v>1.2667125136744024</v>
      </c>
      <c r="AD268">
        <v>1.3602100584362748</v>
      </c>
      <c r="AE268">
        <v>1.238515387062241</v>
      </c>
      <c r="AF268">
        <v>1.2164625098132784</v>
      </c>
      <c r="AG268">
        <v>1.3625664379535325</v>
      </c>
      <c r="AH268">
        <v>1.2018364830295616</v>
      </c>
      <c r="AI268">
        <v>1.1665035433613935</v>
      </c>
      <c r="AJ268">
        <v>1.1112163128056658</v>
      </c>
      <c r="AK268">
        <v>1.2758911966227171</v>
      </c>
      <c r="AL268">
        <v>1.16103723428487</v>
      </c>
    </row>
    <row r="269" spans="1:38" x14ac:dyDescent="0.4">
      <c r="A269" s="10">
        <v>42802</v>
      </c>
      <c r="B269" s="11">
        <v>1.272549212599094</v>
      </c>
      <c r="C269" s="11">
        <v>1.270116813112474</v>
      </c>
      <c r="D269" s="11">
        <v>1.171811024739531</v>
      </c>
      <c r="E269" s="11">
        <v>1.176026270088725</v>
      </c>
      <c r="P269" s="1">
        <f>A268</f>
        <v>42801</v>
      </c>
      <c r="Q269" s="14">
        <f>[1]!i_dq_close(Q$2,$P269)</f>
        <v>2120.2501999999999</v>
      </c>
      <c r="R269" s="14">
        <f>[1]!i_dq_close(R$2,$P269)</f>
        <v>3458.7350999999999</v>
      </c>
      <c r="S269" s="14">
        <f>[1]!i_dq_close(S$2,$P269)</f>
        <v>4181.7745999999997</v>
      </c>
      <c r="T269" s="14">
        <f>[1]!i_dq_close(T$2,$P269)</f>
        <v>5893.2727999999997</v>
      </c>
      <c r="U269" s="14">
        <f>[1]!i_dq_close(U$2,$P269)</f>
        <v>9246.0305000000008</v>
      </c>
      <c r="V269" s="14">
        <f>[1]!i_dq_close(V$2,$P269)</f>
        <v>9779.7687000000005</v>
      </c>
      <c r="W269" s="14">
        <f>[1]!i_dq_close(W$2,$P269)</f>
        <v>5456.1956</v>
      </c>
      <c r="X269" s="14">
        <f>[1]!i_dq_close(X$2,$P269)</f>
        <v>6056.92</v>
      </c>
      <c r="Y269" s="14">
        <f>[1]!i_dq_close(Y$2,$P269)</f>
        <v>6421.1179000000002</v>
      </c>
      <c r="Z269" s="14">
        <f>[1]!i_dq_close(Z$2,$P269)</f>
        <v>2615.2806</v>
      </c>
      <c r="AB269" s="1">
        <v>42801</v>
      </c>
      <c r="AC269">
        <v>1.2587248876171462</v>
      </c>
      <c r="AD269">
        <v>1.3556707417380356</v>
      </c>
      <c r="AE269">
        <v>1.2376128753717626</v>
      </c>
      <c r="AF269">
        <v>1.2184846292581151</v>
      </c>
      <c r="AG269">
        <v>1.3786202734493092</v>
      </c>
      <c r="AH269">
        <v>1.207857312465775</v>
      </c>
      <c r="AI269">
        <v>1.16940304886052</v>
      </c>
      <c r="AJ269">
        <v>1.1188731304324229</v>
      </c>
      <c r="AK269">
        <v>1.2753789291566131</v>
      </c>
      <c r="AL269">
        <v>1.1623475015921119</v>
      </c>
    </row>
    <row r="270" spans="1:38" x14ac:dyDescent="0.4">
      <c r="A270" s="10">
        <v>42803</v>
      </c>
      <c r="B270" s="11">
        <v>1.2656448583393101</v>
      </c>
      <c r="C270" s="11">
        <v>1.2615742472538389</v>
      </c>
      <c r="D270" s="11">
        <v>1.1650159946965759</v>
      </c>
      <c r="E270" s="11">
        <v>1.1692860285376689</v>
      </c>
      <c r="P270" s="1">
        <f>A269</f>
        <v>42802</v>
      </c>
      <c r="Q270" s="14">
        <f>[1]!i_dq_close(Q$2,$P270)</f>
        <v>2115.1271999999999</v>
      </c>
      <c r="R270" s="14">
        <f>[1]!i_dq_close(R$2,$P270)</f>
        <v>3446.1788000000001</v>
      </c>
      <c r="S270" s="14">
        <f>[1]!i_dq_close(S$2,$P270)</f>
        <v>4179.01</v>
      </c>
      <c r="T270" s="14">
        <f>[1]!i_dq_close(T$2,$P270)</f>
        <v>5860.6428999999998</v>
      </c>
      <c r="U270" s="14">
        <f>[1]!i_dq_close(U$2,$P270)</f>
        <v>9206.3628000000008</v>
      </c>
      <c r="V270" s="14">
        <f>[1]!i_dq_close(V$2,$P270)</f>
        <v>9749.6882000000005</v>
      </c>
      <c r="W270" s="14">
        <f>[1]!i_dq_close(W$2,$P270)</f>
        <v>5450.576</v>
      </c>
      <c r="X270" s="14">
        <f>[1]!i_dq_close(X$2,$P270)</f>
        <v>6004.1769999999997</v>
      </c>
      <c r="Y270" s="14">
        <f>[1]!i_dq_close(Y$2,$P270)</f>
        <v>6473.0162</v>
      </c>
      <c r="Z270" s="14">
        <f>[1]!i_dq_close(Z$2,$P270)</f>
        <v>2611.9511000000002</v>
      </c>
      <c r="AB270" s="1">
        <v>42802</v>
      </c>
      <c r="AC270">
        <v>1.2556835259895125</v>
      </c>
      <c r="AD270">
        <v>1.3507492290918417</v>
      </c>
      <c r="AE270">
        <v>1.2367946809728458</v>
      </c>
      <c r="AF270">
        <v>1.2117381179470776</v>
      </c>
      <c r="AG270">
        <v>1.3727056601002503</v>
      </c>
      <c r="AH270">
        <v>1.2041421988468173</v>
      </c>
      <c r="AI270">
        <v>1.1681986240460254</v>
      </c>
      <c r="AJ270">
        <v>1.1091301050138278</v>
      </c>
      <c r="AK270">
        <v>1.2856871027970704</v>
      </c>
      <c r="AL270">
        <v>1.1608677230908868</v>
      </c>
    </row>
    <row r="271" spans="1:38" x14ac:dyDescent="0.4">
      <c r="A271" s="10">
        <v>42804</v>
      </c>
      <c r="B271" s="11">
        <v>1.2680899171526721</v>
      </c>
      <c r="C271" s="11">
        <v>1.264788227433268</v>
      </c>
      <c r="D271" s="11">
        <v>1.167318383187983</v>
      </c>
      <c r="E271" s="11">
        <v>1.1734836127082791</v>
      </c>
      <c r="P271" s="1">
        <f>A270</f>
        <v>42803</v>
      </c>
      <c r="Q271" s="14">
        <f>[1]!i_dq_close(Q$2,$P271)</f>
        <v>2077.4457000000002</v>
      </c>
      <c r="R271" s="14">
        <f>[1]!i_dq_close(R$2,$P271)</f>
        <v>3415.5520000000001</v>
      </c>
      <c r="S271" s="14">
        <f>[1]!i_dq_close(S$2,$P271)</f>
        <v>4144.2678999999998</v>
      </c>
      <c r="T271" s="14">
        <f>[1]!i_dq_close(T$2,$P271)</f>
        <v>5822.3118999999997</v>
      </c>
      <c r="U271" s="14">
        <f>[1]!i_dq_close(U$2,$P271)</f>
        <v>9152.3245000000006</v>
      </c>
      <c r="V271" s="14">
        <f>[1]!i_dq_close(V$2,$P271)</f>
        <v>9675.7533999999996</v>
      </c>
      <c r="W271" s="14">
        <f>[1]!i_dq_close(W$2,$P271)</f>
        <v>5419.1350000000002</v>
      </c>
      <c r="X271" s="14">
        <f>[1]!i_dq_close(X$2,$P271)</f>
        <v>5979.9678000000004</v>
      </c>
      <c r="Y271" s="14">
        <f>[1]!i_dq_close(Y$2,$P271)</f>
        <v>6452.1944999999996</v>
      </c>
      <c r="Z271" s="14">
        <f>[1]!i_dq_close(Z$2,$P271)</f>
        <v>2592.3535999999999</v>
      </c>
      <c r="AB271" s="1">
        <v>42803</v>
      </c>
      <c r="AC271">
        <v>1.2333132218373208</v>
      </c>
      <c r="AD271">
        <v>1.3387448819901908</v>
      </c>
      <c r="AE271">
        <v>1.2265126178799537</v>
      </c>
      <c r="AF271">
        <v>1.2038128553792065</v>
      </c>
      <c r="AG271">
        <v>1.3646483325884347</v>
      </c>
      <c r="AH271">
        <v>1.1950108286104542</v>
      </c>
      <c r="AI271">
        <v>1.1614600090925542</v>
      </c>
      <c r="AJ271">
        <v>1.1046580262362866</v>
      </c>
      <c r="AK271">
        <v>1.2815514432650721</v>
      </c>
      <c r="AL271">
        <v>1.1521577188326624</v>
      </c>
    </row>
    <row r="272" spans="1:38" x14ac:dyDescent="0.4">
      <c r="A272" s="10">
        <v>42807</v>
      </c>
      <c r="B272" s="11">
        <v>1.2789197955863141</v>
      </c>
      <c r="C272" s="11">
        <v>1.277442980056845</v>
      </c>
      <c r="D272" s="11">
        <v>1.1771941235774761</v>
      </c>
      <c r="E272" s="11">
        <v>1.1857467143870819</v>
      </c>
      <c r="P272" s="1">
        <f>A271</f>
        <v>42804</v>
      </c>
      <c r="Q272" s="14">
        <f>[1]!i_dq_close(Q$2,$P272)</f>
        <v>2070.3445999999999</v>
      </c>
      <c r="R272" s="14">
        <f>[1]!i_dq_close(R$2,$P272)</f>
        <v>3428.1896000000002</v>
      </c>
      <c r="S272" s="14">
        <f>[1]!i_dq_close(S$2,$P272)</f>
        <v>4133.5586000000003</v>
      </c>
      <c r="T272" s="14">
        <f>[1]!i_dq_close(T$2,$P272)</f>
        <v>5859.8791000000001</v>
      </c>
      <c r="U272" s="14">
        <f>[1]!i_dq_close(U$2,$P272)</f>
        <v>9150.6933000000008</v>
      </c>
      <c r="V272" s="14">
        <f>[1]!i_dq_close(V$2,$P272)</f>
        <v>9693.5161000000007</v>
      </c>
      <c r="W272" s="14">
        <f>[1]!i_dq_close(W$2,$P272)</f>
        <v>5414.3011999999999</v>
      </c>
      <c r="X272" s="14">
        <f>[1]!i_dq_close(X$2,$P272)</f>
        <v>5980.8091999999997</v>
      </c>
      <c r="Y272" s="14">
        <f>[1]!i_dq_close(Y$2,$P272)</f>
        <v>6460.0694000000003</v>
      </c>
      <c r="Z272" s="14">
        <f>[1]!i_dq_close(Z$2,$P272)</f>
        <v>2581.1242000000002</v>
      </c>
      <c r="AB272" s="1">
        <v>42804</v>
      </c>
      <c r="AC272">
        <v>1.2290975253598682</v>
      </c>
      <c r="AD272">
        <v>1.3436982606301997</v>
      </c>
      <c r="AE272">
        <v>1.2233431578219633</v>
      </c>
      <c r="AF272">
        <v>1.2115801957548744</v>
      </c>
      <c r="AG272">
        <v>1.364405114118622</v>
      </c>
      <c r="AH272">
        <v>1.1972046235500151</v>
      </c>
      <c r="AI272">
        <v>1.1604240014286094</v>
      </c>
      <c r="AJ272">
        <v>1.1048134550436584</v>
      </c>
      <c r="AK272">
        <v>1.2831155761287929</v>
      </c>
      <c r="AL272">
        <v>1.1471668719482486</v>
      </c>
    </row>
    <row r="273" spans="1:38" x14ac:dyDescent="0.4">
      <c r="A273" s="10">
        <v>42808</v>
      </c>
      <c r="B273" s="11">
        <v>1.27709352854369</v>
      </c>
      <c r="C273" s="11">
        <v>1.2760386749772219</v>
      </c>
      <c r="D273" s="11">
        <v>1.1750343528122771</v>
      </c>
      <c r="E273" s="11">
        <v>1.1838688944989839</v>
      </c>
      <c r="P273" s="1">
        <f>A272</f>
        <v>42807</v>
      </c>
      <c r="Q273" s="14">
        <f>[1]!i_dq_close(Q$2,$P273)</f>
        <v>2089.6552999999999</v>
      </c>
      <c r="R273" s="14">
        <f>[1]!i_dq_close(R$2,$P273)</f>
        <v>3462.8584999999998</v>
      </c>
      <c r="S273" s="14">
        <f>[1]!i_dq_close(S$2,$P273)</f>
        <v>4167.4721</v>
      </c>
      <c r="T273" s="14">
        <f>[1]!i_dq_close(T$2,$P273)</f>
        <v>5889.8368</v>
      </c>
      <c r="U273" s="14">
        <f>[1]!i_dq_close(U$2,$P273)</f>
        <v>9245.7085000000006</v>
      </c>
      <c r="V273" s="14">
        <f>[1]!i_dq_close(V$2,$P273)</f>
        <v>9757.8619999999992</v>
      </c>
      <c r="W273" s="14">
        <f>[1]!i_dq_close(W$2,$P273)</f>
        <v>5460.0460999999996</v>
      </c>
      <c r="X273" s="14">
        <f>[1]!i_dq_close(X$2,$P273)</f>
        <v>6052.3027000000002</v>
      </c>
      <c r="Y273" s="14">
        <f>[1]!i_dq_close(Y$2,$P273)</f>
        <v>6485.9039000000002</v>
      </c>
      <c r="Z273" s="14">
        <f>[1]!i_dq_close(Z$2,$P273)</f>
        <v>2593.5178000000001</v>
      </c>
      <c r="AB273" s="1">
        <v>42807</v>
      </c>
      <c r="AC273">
        <v>1.2405616717550947</v>
      </c>
      <c r="AD273">
        <v>1.3572869316383498</v>
      </c>
      <c r="AE273">
        <v>1.2333799934392919</v>
      </c>
      <c r="AF273">
        <v>1.2177742068276227</v>
      </c>
      <c r="AG273">
        <v>1.3785722619563716</v>
      </c>
      <c r="AH273">
        <v>1.2051517098489162</v>
      </c>
      <c r="AI273">
        <v>1.1702283100442719</v>
      </c>
      <c r="AJ273">
        <v>1.1180201931466167</v>
      </c>
      <c r="AK273">
        <v>1.288246890871557</v>
      </c>
      <c r="AL273">
        <v>1.1526751413078469</v>
      </c>
    </row>
    <row r="274" spans="1:38" x14ac:dyDescent="0.4">
      <c r="A274" s="10">
        <v>42809</v>
      </c>
      <c r="B274" s="11">
        <v>1.277018985204126</v>
      </c>
      <c r="C274" s="11">
        <v>1.278830163636355</v>
      </c>
      <c r="D274" s="11">
        <v>1.176351657887162</v>
      </c>
      <c r="E274" s="11">
        <v>1.185563262188571</v>
      </c>
      <c r="P274" s="1">
        <f>A273</f>
        <v>42808</v>
      </c>
      <c r="Q274" s="14">
        <f>[1]!i_dq_close(Q$2,$P274)</f>
        <v>2087.0630000000001</v>
      </c>
      <c r="R274" s="14">
        <f>[1]!i_dq_close(R$2,$P274)</f>
        <v>3459.1822000000002</v>
      </c>
      <c r="S274" s="14">
        <f>[1]!i_dq_close(S$2,$P274)</f>
        <v>4164.43</v>
      </c>
      <c r="T274" s="14">
        <f>[1]!i_dq_close(T$2,$P274)</f>
        <v>5881.6489000000001</v>
      </c>
      <c r="U274" s="14">
        <f>[1]!i_dq_close(U$2,$P274)</f>
        <v>9199.7191999999995</v>
      </c>
      <c r="V274" s="14">
        <f>[1]!i_dq_close(V$2,$P274)</f>
        <v>9759.1332000000002</v>
      </c>
      <c r="W274" s="14">
        <f>[1]!i_dq_close(W$2,$P274)</f>
        <v>5465.7248</v>
      </c>
      <c r="X274" s="14">
        <f>[1]!i_dq_close(X$2,$P274)</f>
        <v>6025.6944000000003</v>
      </c>
      <c r="Y274" s="14">
        <f>[1]!i_dq_close(Y$2,$P274)</f>
        <v>6471.0024999999996</v>
      </c>
      <c r="Z274" s="14">
        <f>[1]!i_dq_close(Z$2,$P274)</f>
        <v>2584.8144000000002</v>
      </c>
      <c r="AB274" s="1">
        <v>42808</v>
      </c>
      <c r="AC274">
        <v>1.2390227059640906</v>
      </c>
      <c r="AD274">
        <v>1.3558459851062343</v>
      </c>
      <c r="AE274">
        <v>1.2324796718083346</v>
      </c>
      <c r="AF274">
        <v>1.216081288370513</v>
      </c>
      <c r="AG274">
        <v>1.371715072663978</v>
      </c>
      <c r="AH274">
        <v>1.2053087103120874</v>
      </c>
      <c r="AI274">
        <v>1.1714454015088016</v>
      </c>
      <c r="AJ274">
        <v>1.1131049372217432</v>
      </c>
      <c r="AK274">
        <v>1.2852871365311274</v>
      </c>
      <c r="AL274">
        <v>1.1488069616389591</v>
      </c>
    </row>
    <row r="275" spans="1:38" x14ac:dyDescent="0.4">
      <c r="A275" s="10">
        <v>42810</v>
      </c>
      <c r="B275" s="11">
        <v>1.287362252299211</v>
      </c>
      <c r="C275" s="11">
        <v>1.285936678181584</v>
      </c>
      <c r="D275" s="11">
        <v>1.1840463660202849</v>
      </c>
      <c r="E275" s="11">
        <v>1.1930701764849521</v>
      </c>
      <c r="P275" s="1">
        <f>A274</f>
        <v>42809</v>
      </c>
      <c r="Q275" s="14">
        <f>[1]!i_dq_close(Q$2,$P275)</f>
        <v>2088.3964999999998</v>
      </c>
      <c r="R275" s="14">
        <f>[1]!i_dq_close(R$2,$P275)</f>
        <v>3465.5983999999999</v>
      </c>
      <c r="S275" s="14">
        <f>[1]!i_dq_close(S$2,$P275)</f>
        <v>4164.6704</v>
      </c>
      <c r="T275" s="14">
        <f>[1]!i_dq_close(T$2,$P275)</f>
        <v>5892.8762999999999</v>
      </c>
      <c r="U275" s="14">
        <f>[1]!i_dq_close(U$2,$P275)</f>
        <v>9208.2621999999992</v>
      </c>
      <c r="V275" s="14">
        <f>[1]!i_dq_close(V$2,$P275)</f>
        <v>9781.0596999999998</v>
      </c>
      <c r="W275" s="14">
        <f>[1]!i_dq_close(W$2,$P275)</f>
        <v>5460.7375000000002</v>
      </c>
      <c r="X275" s="14">
        <f>[1]!i_dq_close(X$2,$P275)</f>
        <v>6018.2431999999999</v>
      </c>
      <c r="Y275" s="14">
        <f>[1]!i_dq_close(Y$2,$P275)</f>
        <v>6455.4188999999997</v>
      </c>
      <c r="Z275" s="14">
        <f>[1]!i_dq_close(Z$2,$P275)</f>
        <v>2596.2096999999999</v>
      </c>
      <c r="AB275" s="1">
        <v>42809</v>
      </c>
      <c r="AC275">
        <v>1.2398143623627729</v>
      </c>
      <c r="AD275">
        <v>1.3583608509059133</v>
      </c>
      <c r="AE275">
        <v>1.2325508191473706</v>
      </c>
      <c r="AF275">
        <v>1.2184026494869595</v>
      </c>
      <c r="AG275">
        <v>1.3729888682669751</v>
      </c>
      <c r="AH275">
        <v>1.208016758342076</v>
      </c>
      <c r="AI275">
        <v>1.1703764948468809</v>
      </c>
      <c r="AJ275">
        <v>1.1117285037424371</v>
      </c>
      <c r="AK275">
        <v>1.2821918818745504</v>
      </c>
      <c r="AL275">
        <v>1.1538715418927536</v>
      </c>
    </row>
    <row r="276" spans="1:38" x14ac:dyDescent="0.4">
      <c r="A276" s="10">
        <v>42811</v>
      </c>
      <c r="B276" s="11">
        <v>1.2761235692428561</v>
      </c>
      <c r="C276" s="11">
        <v>1.2756322910461959</v>
      </c>
      <c r="D276" s="11">
        <v>1.1746931295130481</v>
      </c>
      <c r="E276" s="11">
        <v>1.182549861974652</v>
      </c>
      <c r="P276" s="1">
        <f>A275</f>
        <v>42810</v>
      </c>
      <c r="Q276" s="14">
        <f>[1]!i_dq_close(Q$2,$P276)</f>
        <v>2109.8552</v>
      </c>
      <c r="R276" s="14">
        <f>[1]!i_dq_close(R$2,$P276)</f>
        <v>3496.7898</v>
      </c>
      <c r="S276" s="14">
        <f>[1]!i_dq_close(S$2,$P276)</f>
        <v>4202.6396000000004</v>
      </c>
      <c r="T276" s="14">
        <f>[1]!i_dq_close(T$2,$P276)</f>
        <v>5920.8810999999996</v>
      </c>
      <c r="U276" s="14">
        <f>[1]!i_dq_close(U$2,$P276)</f>
        <v>9224.1113999999998</v>
      </c>
      <c r="V276" s="14">
        <f>[1]!i_dq_close(V$2,$P276)</f>
        <v>9831.4277000000002</v>
      </c>
      <c r="W276" s="14">
        <f>[1]!i_dq_close(W$2,$P276)</f>
        <v>5500.3644000000004</v>
      </c>
      <c r="X276" s="14">
        <f>[1]!i_dq_close(X$2,$P276)</f>
        <v>6073.8711000000003</v>
      </c>
      <c r="Y276" s="14">
        <f>[1]!i_dq_close(Y$2,$P276)</f>
        <v>6568.3433999999997</v>
      </c>
      <c r="Z276" s="14">
        <f>[1]!i_dq_close(Z$2,$P276)</f>
        <v>2607.9594000000002</v>
      </c>
      <c r="AB276" s="1">
        <v>42810</v>
      </c>
      <c r="AC276">
        <v>1.2525537078163944</v>
      </c>
      <c r="AD276">
        <v>1.3705864961638714</v>
      </c>
      <c r="AE276">
        <v>1.2437879553592475</v>
      </c>
      <c r="AF276">
        <v>1.2241928817574643</v>
      </c>
      <c r="AG276">
        <v>1.3753520476268046</v>
      </c>
      <c r="AH276">
        <v>1.2142374941263769</v>
      </c>
      <c r="AI276">
        <v>1.1788695587093443</v>
      </c>
      <c r="AJ276">
        <v>1.1220044464018057</v>
      </c>
      <c r="AK276">
        <v>1.3046212360973635</v>
      </c>
      <c r="AL276">
        <v>1.1590936333346653</v>
      </c>
    </row>
    <row r="277" spans="1:38" x14ac:dyDescent="0.4">
      <c r="A277" s="10">
        <v>42814</v>
      </c>
      <c r="B277" s="11">
        <v>1.2794636160521711</v>
      </c>
      <c r="C277" s="11">
        <v>1.2799778770505721</v>
      </c>
      <c r="D277" s="11">
        <v>1.1778783250817699</v>
      </c>
      <c r="E277" s="11">
        <v>1.1860209903122649</v>
      </c>
      <c r="P277" s="1">
        <f>A276</f>
        <v>42811</v>
      </c>
      <c r="Q277" s="14">
        <f>[1]!i_dq_close(Q$2,$P277)</f>
        <v>2082.6044999999999</v>
      </c>
      <c r="R277" s="14">
        <f>[1]!i_dq_close(R$2,$P277)</f>
        <v>3456.5264999999999</v>
      </c>
      <c r="S277" s="14">
        <f>[1]!i_dq_close(S$2,$P277)</f>
        <v>4170.7052999999996</v>
      </c>
      <c r="T277" s="14">
        <f>[1]!i_dq_close(T$2,$P277)</f>
        <v>5864.4188999999997</v>
      </c>
      <c r="U277" s="14">
        <f>[1]!i_dq_close(U$2,$P277)</f>
        <v>9191.6057999999994</v>
      </c>
      <c r="V277" s="14">
        <f>[1]!i_dq_close(V$2,$P277)</f>
        <v>9769.8477999999996</v>
      </c>
      <c r="W277" s="14">
        <f>[1]!i_dq_close(W$2,$P277)</f>
        <v>5433.9283999999998</v>
      </c>
      <c r="X277" s="14">
        <f>[1]!i_dq_close(X$2,$P277)</f>
        <v>6023.1466</v>
      </c>
      <c r="Y277" s="14">
        <f>[1]!i_dq_close(Y$2,$P277)</f>
        <v>6534.2003000000004</v>
      </c>
      <c r="Z277" s="14">
        <f>[1]!i_dq_close(Z$2,$P277)</f>
        <v>2592.5983000000001</v>
      </c>
      <c r="AB277" s="1">
        <v>42811</v>
      </c>
      <c r="AC277">
        <v>1.2363758367825943</v>
      </c>
      <c r="AD277">
        <v>1.3548050685038515</v>
      </c>
      <c r="AE277">
        <v>1.2343368718776113</v>
      </c>
      <c r="AF277">
        <v>1.212518838289784</v>
      </c>
      <c r="AG277">
        <v>1.3705053321459684</v>
      </c>
      <c r="AH277">
        <v>1.2066320246313866</v>
      </c>
      <c r="AI277">
        <v>1.1646306151945447</v>
      </c>
      <c r="AJ277">
        <v>1.1126342912561837</v>
      </c>
      <c r="AK277">
        <v>1.2978396458829733</v>
      </c>
      <c r="AL277">
        <v>1.1522664744413875</v>
      </c>
    </row>
    <row r="278" spans="1:38" x14ac:dyDescent="0.4">
      <c r="A278" s="10">
        <v>42815</v>
      </c>
      <c r="B278" s="11">
        <v>1.285898078760032</v>
      </c>
      <c r="C278" s="11">
        <v>1.289669386514815</v>
      </c>
      <c r="D278" s="11">
        <v>1.1850415956616001</v>
      </c>
      <c r="E278" s="11">
        <v>1.1949757161675121</v>
      </c>
      <c r="P278" s="1">
        <f>A277</f>
        <v>42814</v>
      </c>
      <c r="Q278" s="14">
        <f>[1]!i_dq_close(Q$2,$P278)</f>
        <v>2112.1329999999998</v>
      </c>
      <c r="R278" s="14">
        <f>[1]!i_dq_close(R$2,$P278)</f>
        <v>3461.2505999999998</v>
      </c>
      <c r="S278" s="14">
        <f>[1]!i_dq_close(S$2,$P278)</f>
        <v>4191.8806999999997</v>
      </c>
      <c r="T278" s="14">
        <f>[1]!i_dq_close(T$2,$P278)</f>
        <v>5870.6265000000003</v>
      </c>
      <c r="U278" s="14">
        <f>[1]!i_dq_close(U$2,$P278)</f>
        <v>9258.0532999999996</v>
      </c>
      <c r="V278" s="14">
        <f>[1]!i_dq_close(V$2,$P278)</f>
        <v>9839.3210999999992</v>
      </c>
      <c r="W278" s="14">
        <f>[1]!i_dq_close(W$2,$P278)</f>
        <v>5406.4134999999997</v>
      </c>
      <c r="X278" s="14">
        <f>[1]!i_dq_close(X$2,$P278)</f>
        <v>6037.0724</v>
      </c>
      <c r="Y278" s="14">
        <f>[1]!i_dq_close(Y$2,$P278)</f>
        <v>6561.7111999999997</v>
      </c>
      <c r="Z278" s="14">
        <f>[1]!i_dq_close(Z$2,$P278)</f>
        <v>2609.8836999999999</v>
      </c>
      <c r="AB278" s="1">
        <v>42814</v>
      </c>
      <c r="AC278">
        <v>1.2539059649929361</v>
      </c>
      <c r="AD278">
        <v>1.3566567061592028</v>
      </c>
      <c r="AE278">
        <v>1.2406038159833856</v>
      </c>
      <c r="AF278">
        <v>1.2138023127599602</v>
      </c>
      <c r="AG278">
        <v>1.3804129212048648</v>
      </c>
      <c r="AH278">
        <v>1.215212374126373</v>
      </c>
      <c r="AI278">
        <v>1.1587334644492355</v>
      </c>
      <c r="AJ278">
        <v>1.1152067543958284</v>
      </c>
      <c r="AK278">
        <v>1.3033039314993662</v>
      </c>
      <c r="AL278">
        <v>1.1599488781972294</v>
      </c>
    </row>
    <row r="279" spans="1:38" x14ac:dyDescent="0.4">
      <c r="A279" s="10">
        <v>42816</v>
      </c>
      <c r="B279" s="11">
        <v>1.28345715198833</v>
      </c>
      <c r="C279" s="11">
        <v>1.2909101173009929</v>
      </c>
      <c r="D279" s="11">
        <v>1.1859518988487019</v>
      </c>
      <c r="E279" s="11">
        <v>1.196434637562797</v>
      </c>
      <c r="P279" s="1">
        <f>A278</f>
        <v>42815</v>
      </c>
      <c r="Q279" s="14">
        <f>[1]!i_dq_close(Q$2,$P279)</f>
        <v>2123.5853999999999</v>
      </c>
      <c r="R279" s="14">
        <f>[1]!i_dq_close(R$2,$P279)</f>
        <v>3458.3591000000001</v>
      </c>
      <c r="S279" s="14">
        <f>[1]!i_dq_close(S$2,$P279)</f>
        <v>4208.6896999999999</v>
      </c>
      <c r="T279" s="14">
        <f>[1]!i_dq_close(T$2,$P279)</f>
        <v>5908.2174999999997</v>
      </c>
      <c r="U279" s="14">
        <f>[1]!i_dq_close(U$2,$P279)</f>
        <v>9411.8348999999998</v>
      </c>
      <c r="V279" s="14">
        <f>[1]!i_dq_close(V$2,$P279)</f>
        <v>9918.5213999999996</v>
      </c>
      <c r="W279" s="14">
        <f>[1]!i_dq_close(W$2,$P279)</f>
        <v>5402.0343000000003</v>
      </c>
      <c r="X279" s="14">
        <f>[1]!i_dq_close(X$2,$P279)</f>
        <v>6045.2079999999996</v>
      </c>
      <c r="Y279" s="14">
        <f>[1]!i_dq_close(Y$2,$P279)</f>
        <v>6564.1634999999997</v>
      </c>
      <c r="Z279" s="14">
        <f>[1]!i_dq_close(Z$2,$P279)</f>
        <v>2616.3366000000001</v>
      </c>
      <c r="AB279" s="1">
        <v>42815</v>
      </c>
      <c r="AC279">
        <v>1.2607048894325832</v>
      </c>
      <c r="AD279">
        <v>1.3555233664160882</v>
      </c>
      <c r="AE279">
        <v>1.2455785065901257</v>
      </c>
      <c r="AF279">
        <v>1.221574573989483</v>
      </c>
      <c r="AG279">
        <v>1.4033423752493299</v>
      </c>
      <c r="AH279">
        <v>1.2249940636978742</v>
      </c>
      <c r="AI279">
        <v>1.1577948892574719</v>
      </c>
      <c r="AJ279">
        <v>1.1167096146350168</v>
      </c>
      <c r="AK279">
        <v>1.3037910136237998</v>
      </c>
      <c r="AL279">
        <v>1.1628168351548973</v>
      </c>
    </row>
    <row r="280" spans="1:38" x14ac:dyDescent="0.4">
      <c r="A280" s="10">
        <v>42817</v>
      </c>
      <c r="B280" s="11">
        <v>1.2847472638957329</v>
      </c>
      <c r="C280" s="11">
        <v>1.292750347715417</v>
      </c>
      <c r="D280" s="11">
        <v>1.188211924100719</v>
      </c>
      <c r="E280" s="11">
        <v>1.1988873419529369</v>
      </c>
      <c r="P280" s="1">
        <f>A279</f>
        <v>42816</v>
      </c>
      <c r="Q280" s="14">
        <f>[1]!i_dq_close(Q$2,$P280)</f>
        <v>2110.3476000000001</v>
      </c>
      <c r="R280" s="14">
        <f>[1]!i_dq_close(R$2,$P280)</f>
        <v>3436.5711000000001</v>
      </c>
      <c r="S280" s="14">
        <f>[1]!i_dq_close(S$2,$P280)</f>
        <v>4199.8552</v>
      </c>
      <c r="T280" s="14">
        <f>[1]!i_dq_close(T$2,$P280)</f>
        <v>5893.5448999999999</v>
      </c>
      <c r="U280" s="14">
        <f>[1]!i_dq_close(U$2,$P280)</f>
        <v>9411.0362999999998</v>
      </c>
      <c r="V280" s="14">
        <f>[1]!i_dq_close(V$2,$P280)</f>
        <v>9987.0386999999992</v>
      </c>
      <c r="W280" s="14">
        <f>[1]!i_dq_close(W$2,$P280)</f>
        <v>5337.3477000000003</v>
      </c>
      <c r="X280" s="14">
        <f>[1]!i_dq_close(X$2,$P280)</f>
        <v>6016.5576000000001</v>
      </c>
      <c r="Y280" s="14">
        <f>[1]!i_dq_close(Y$2,$P280)</f>
        <v>6549.9611000000004</v>
      </c>
      <c r="Z280" s="14">
        <f>[1]!i_dq_close(Z$2,$P280)</f>
        <v>2595.5518999999999</v>
      </c>
      <c r="AB280" s="1">
        <v>42816</v>
      </c>
      <c r="AC280">
        <v>1.2528460299841568</v>
      </c>
      <c r="AD280">
        <v>1.3469834368560047</v>
      </c>
      <c r="AE280">
        <v>1.2429639010713416</v>
      </c>
      <c r="AF280">
        <v>1.2185408882637427</v>
      </c>
      <c r="AG280">
        <v>1.4032233007826842</v>
      </c>
      <c r="AH280">
        <v>1.2334563417306266</v>
      </c>
      <c r="AI280">
        <v>1.1439308871567369</v>
      </c>
      <c r="AJ280">
        <v>1.1114171288937258</v>
      </c>
      <c r="AK280">
        <v>1.3009700964586668</v>
      </c>
      <c r="AL280">
        <v>1.1535791861942688</v>
      </c>
    </row>
    <row r="281" spans="1:38" x14ac:dyDescent="0.4">
      <c r="A281" s="10">
        <v>42818</v>
      </c>
      <c r="B281" s="11">
        <v>1.290790906312681</v>
      </c>
      <c r="C281" s="11">
        <v>1.298137844317981</v>
      </c>
      <c r="D281" s="11">
        <v>1.192174300099734</v>
      </c>
      <c r="E281" s="11">
        <v>1.203904312994498</v>
      </c>
      <c r="P281" s="1">
        <f>A280</f>
        <v>42817</v>
      </c>
      <c r="Q281" s="14">
        <f>[1]!i_dq_close(Q$2,$P281)</f>
        <v>2102.6803</v>
      </c>
      <c r="R281" s="14">
        <f>[1]!i_dq_close(R$2,$P281)</f>
        <v>3444.9522000000002</v>
      </c>
      <c r="S281" s="14">
        <f>[1]!i_dq_close(S$2,$P281)</f>
        <v>4199.5331999999999</v>
      </c>
      <c r="T281" s="14">
        <f>[1]!i_dq_close(T$2,$P281)</f>
        <v>5919.4467999999997</v>
      </c>
      <c r="U281" s="14">
        <f>[1]!i_dq_close(U$2,$P281)</f>
        <v>9395.5224999999991</v>
      </c>
      <c r="V281" s="14">
        <f>[1]!i_dq_close(V$2,$P281)</f>
        <v>9983.8827000000001</v>
      </c>
      <c r="W281" s="14">
        <f>[1]!i_dq_close(W$2,$P281)</f>
        <v>5362.2570999999998</v>
      </c>
      <c r="X281" s="14">
        <f>[1]!i_dq_close(X$2,$P281)</f>
        <v>6031.3622999999998</v>
      </c>
      <c r="Y281" s="14">
        <f>[1]!i_dq_close(Y$2,$P281)</f>
        <v>6590.6361999999999</v>
      </c>
      <c r="Z281" s="14">
        <f>[1]!i_dq_close(Z$2,$P281)</f>
        <v>2586.1700999999998</v>
      </c>
      <c r="AB281" s="1">
        <v>42817</v>
      </c>
      <c r="AC281">
        <v>1.2482941986338629</v>
      </c>
      <c r="AD281">
        <v>1.3502684562995524</v>
      </c>
      <c r="AE281">
        <v>1.2428686038867756</v>
      </c>
      <c r="AF281">
        <v>1.2238963279472037</v>
      </c>
      <c r="AG281">
        <v>1.4009101309095977</v>
      </c>
      <c r="AH281">
        <v>1.233066557698399</v>
      </c>
      <c r="AI281">
        <v>1.1492696122393358</v>
      </c>
      <c r="AJ281">
        <v>1.1141519480813844</v>
      </c>
      <c r="AK281">
        <v>1.3090490892897029</v>
      </c>
      <c r="AL281">
        <v>1.1494094952668643</v>
      </c>
    </row>
    <row r="282" spans="1:38" x14ac:dyDescent="0.4">
      <c r="A282" s="10">
        <v>42821</v>
      </c>
      <c r="B282" s="11">
        <v>1.2853426985360079</v>
      </c>
      <c r="C282" s="11">
        <v>1.2905060396031951</v>
      </c>
      <c r="D282" s="11">
        <v>1.1852692164813889</v>
      </c>
      <c r="E282" s="11">
        <v>1.195195348447176</v>
      </c>
      <c r="P282" s="1">
        <f>A281</f>
        <v>42818</v>
      </c>
      <c r="Q282" s="14">
        <f>[1]!i_dq_close(Q$2,$P282)</f>
        <v>2107.1475</v>
      </c>
      <c r="R282" s="14">
        <f>[1]!i_dq_close(R$2,$P282)</f>
        <v>3453.3991000000001</v>
      </c>
      <c r="S282" s="14">
        <f>[1]!i_dq_close(S$2,$P282)</f>
        <v>4244.1611000000003</v>
      </c>
      <c r="T282" s="14">
        <f>[1]!i_dq_close(T$2,$P282)</f>
        <v>5943.5847999999996</v>
      </c>
      <c r="U282" s="14">
        <f>[1]!i_dq_close(U$2,$P282)</f>
        <v>9403.5149000000001</v>
      </c>
      <c r="V282" s="14">
        <f>[1]!i_dq_close(V$2,$P282)</f>
        <v>10004.950000000001</v>
      </c>
      <c r="W282" s="14">
        <f>[1]!i_dq_close(W$2,$P282)</f>
        <v>5392.6369000000004</v>
      </c>
      <c r="X282" s="14">
        <f>[1]!i_dq_close(X$2,$P282)</f>
        <v>6068.5565999999999</v>
      </c>
      <c r="Y282" s="14">
        <f>[1]!i_dq_close(Y$2,$P282)</f>
        <v>6625.4961000000003</v>
      </c>
      <c r="Z282" s="14">
        <f>[1]!i_dq_close(Z$2,$P282)</f>
        <v>2597.3807000000002</v>
      </c>
      <c r="AB282" s="1">
        <v>42818</v>
      </c>
      <c r="AC282">
        <v>1.2509462327277463</v>
      </c>
      <c r="AD282">
        <v>1.3535792664244408</v>
      </c>
      <c r="AE282">
        <v>1.2560764089274403</v>
      </c>
      <c r="AF282">
        <v>1.2288870661972695</v>
      </c>
      <c r="AG282">
        <v>1.4021018298417522</v>
      </c>
      <c r="AH282">
        <v>1.2356684896192336</v>
      </c>
      <c r="AI282">
        <v>1.1557807847390487</v>
      </c>
      <c r="AJ282">
        <v>1.1210227178579775</v>
      </c>
      <c r="AK282">
        <v>1.3159730521611068</v>
      </c>
      <c r="AL282">
        <v>1.1543919865916379</v>
      </c>
    </row>
    <row r="283" spans="1:38" x14ac:dyDescent="0.4">
      <c r="A283" s="10">
        <v>42822</v>
      </c>
      <c r="B283" s="11">
        <v>1.2821706865914679</v>
      </c>
      <c r="C283" s="11">
        <v>1.2875288236627951</v>
      </c>
      <c r="D283" s="11">
        <v>1.182912213585952</v>
      </c>
      <c r="E283" s="11">
        <v>1.1923829964954631</v>
      </c>
      <c r="P283" s="1">
        <f>A282</f>
        <v>42821</v>
      </c>
      <c r="Q283" s="14">
        <f>[1]!i_dq_close(Q$2,$P283)</f>
        <v>2093.2777000000001</v>
      </c>
      <c r="R283" s="14">
        <f>[1]!i_dq_close(R$2,$P283)</f>
        <v>3445.5014000000001</v>
      </c>
      <c r="S283" s="14">
        <f>[1]!i_dq_close(S$2,$P283)</f>
        <v>4235.2341999999999</v>
      </c>
      <c r="T283" s="14">
        <f>[1]!i_dq_close(T$2,$P283)</f>
        <v>5919.0608000000002</v>
      </c>
      <c r="U283" s="14">
        <f>[1]!i_dq_close(U$2,$P283)</f>
        <v>9312.0107000000007</v>
      </c>
      <c r="V283" s="14">
        <f>[1]!i_dq_close(V$2,$P283)</f>
        <v>9937.9814999999999</v>
      </c>
      <c r="W283" s="14">
        <f>[1]!i_dq_close(W$2,$P283)</f>
        <v>5402.3990999999996</v>
      </c>
      <c r="X283" s="14">
        <f>[1]!i_dq_close(X$2,$P283)</f>
        <v>6031.5083000000004</v>
      </c>
      <c r="Y283" s="14">
        <f>[1]!i_dq_close(Y$2,$P283)</f>
        <v>6566.9342999999999</v>
      </c>
      <c r="Z283" s="14">
        <f>[1]!i_dq_close(Z$2,$P283)</f>
        <v>2586.8739999999998</v>
      </c>
      <c r="AB283" s="1">
        <v>42821</v>
      </c>
      <c r="AC283">
        <v>1.2427121750461236</v>
      </c>
      <c r="AD283">
        <v>1.35048371833895</v>
      </c>
      <c r="AE283">
        <v>1.2534344572600413</v>
      </c>
      <c r="AF283">
        <v>1.2238165191409842</v>
      </c>
      <c r="AG283">
        <v>1.3884581862018399</v>
      </c>
      <c r="AH283">
        <v>1.2273974972357569</v>
      </c>
      <c r="AI283">
        <v>1.1578730752800228</v>
      </c>
      <c r="AJ283">
        <v>1.1141789181382851</v>
      </c>
      <c r="AK283">
        <v>1.3043413570362621</v>
      </c>
      <c r="AL283">
        <v>1.1497223398642549</v>
      </c>
    </row>
    <row r="284" spans="1:38" x14ac:dyDescent="0.4">
      <c r="A284" s="10">
        <v>42823</v>
      </c>
      <c r="B284" s="11">
        <v>1.277116843291606</v>
      </c>
      <c r="C284" s="11">
        <v>1.2851032145079051</v>
      </c>
      <c r="D284" s="11">
        <v>1.1797367147864051</v>
      </c>
      <c r="E284" s="11">
        <v>1.188104313096134</v>
      </c>
      <c r="P284" s="1">
        <f>A283</f>
        <v>42822</v>
      </c>
      <c r="Q284" s="14">
        <f>[1]!i_dq_close(Q$2,$P284)</f>
        <v>2089.1813999999999</v>
      </c>
      <c r="R284" s="14">
        <f>[1]!i_dq_close(R$2,$P284)</f>
        <v>3441.8272000000002</v>
      </c>
      <c r="S284" s="14">
        <f>[1]!i_dq_close(S$2,$P284)</f>
        <v>4222.0393999999997</v>
      </c>
      <c r="T284" s="14">
        <f>[1]!i_dq_close(T$2,$P284)</f>
        <v>5898.7361000000001</v>
      </c>
      <c r="U284" s="14">
        <f>[1]!i_dq_close(U$2,$P284)</f>
        <v>9280.2487999999994</v>
      </c>
      <c r="V284" s="14">
        <f>[1]!i_dq_close(V$2,$P284)</f>
        <v>9920.3762999999999</v>
      </c>
      <c r="W284" s="14">
        <f>[1]!i_dq_close(W$2,$P284)</f>
        <v>5385.2376999999997</v>
      </c>
      <c r="X284" s="14">
        <f>[1]!i_dq_close(X$2,$P284)</f>
        <v>6020.0042000000003</v>
      </c>
      <c r="Y284" s="14">
        <f>[1]!i_dq_close(Y$2,$P284)</f>
        <v>6547.6126999999997</v>
      </c>
      <c r="Z284" s="14">
        <f>[1]!i_dq_close(Z$2,$P284)</f>
        <v>2575.6786000000002</v>
      </c>
      <c r="AB284" s="1">
        <v>42822</v>
      </c>
      <c r="AC284">
        <v>1.2402803324470066</v>
      </c>
      <c r="AD284">
        <v>1.3490435949136859</v>
      </c>
      <c r="AE284">
        <v>1.2495294035615576</v>
      </c>
      <c r="AF284">
        <v>1.219614213328112</v>
      </c>
      <c r="AG284">
        <v>1.3837223593772074</v>
      </c>
      <c r="AH284">
        <v>1.2252231544460932</v>
      </c>
      <c r="AI284">
        <v>1.1541949458737539</v>
      </c>
      <c r="AJ284">
        <v>1.1120538069630002</v>
      </c>
      <c r="AK284">
        <v>1.3005036512190875</v>
      </c>
      <c r="AL284">
        <v>1.1447466040983398</v>
      </c>
    </row>
    <row r="285" spans="1:38" x14ac:dyDescent="0.4">
      <c r="A285" s="10">
        <v>42824</v>
      </c>
      <c r="B285" s="11">
        <v>1.2587862417443021</v>
      </c>
      <c r="C285" s="11">
        <v>1.2714790874080379</v>
      </c>
      <c r="D285" s="11">
        <v>1.1655138157052229</v>
      </c>
      <c r="E285" s="11">
        <v>1.1734898687198601</v>
      </c>
      <c r="P285" s="1">
        <f>A284</f>
        <v>42823</v>
      </c>
      <c r="Q285" s="14">
        <f>[1]!i_dq_close(Q$2,$P285)</f>
        <v>2096.6264000000001</v>
      </c>
      <c r="R285" s="14">
        <f>[1]!i_dq_close(R$2,$P285)</f>
        <v>3432.6313</v>
      </c>
      <c r="S285" s="14">
        <f>[1]!i_dq_close(S$2,$P285)</f>
        <v>4224.8068000000003</v>
      </c>
      <c r="T285" s="14">
        <f>[1]!i_dq_close(T$2,$P285)</f>
        <v>5872.348</v>
      </c>
      <c r="U285" s="14">
        <f>[1]!i_dq_close(U$2,$P285)</f>
        <v>9260.0007000000005</v>
      </c>
      <c r="V285" s="14">
        <f>[1]!i_dq_close(V$2,$P285)</f>
        <v>9843.3271999999997</v>
      </c>
      <c r="W285" s="14">
        <f>[1]!i_dq_close(W$2,$P285)</f>
        <v>5358.5991000000004</v>
      </c>
      <c r="X285" s="14">
        <f>[1]!i_dq_close(X$2,$P285)</f>
        <v>5984.2757000000001</v>
      </c>
      <c r="Y285" s="14">
        <f>[1]!i_dq_close(Y$2,$P285)</f>
        <v>6465.3416999999999</v>
      </c>
      <c r="Z285" s="14">
        <f>[1]!i_dq_close(Z$2,$P285)</f>
        <v>2564.8667999999998</v>
      </c>
      <c r="AB285" s="1">
        <v>42823</v>
      </c>
      <c r="AC285">
        <v>1.2447001913807825</v>
      </c>
      <c r="AD285">
        <v>1.3454392100118329</v>
      </c>
      <c r="AE285">
        <v>1.2503484266316447</v>
      </c>
      <c r="AF285">
        <v>1.2141582476301849</v>
      </c>
      <c r="AG285">
        <v>1.380703286364326</v>
      </c>
      <c r="AH285">
        <v>1.2157071503657608</v>
      </c>
      <c r="AI285">
        <v>1.1484856087566289</v>
      </c>
      <c r="AJ285">
        <v>1.1054538091686334</v>
      </c>
      <c r="AK285">
        <v>1.2841627738960526</v>
      </c>
      <c r="AL285">
        <v>1.1399413573046635</v>
      </c>
    </row>
    <row r="286" spans="1:38" x14ac:dyDescent="0.4">
      <c r="A286" s="10">
        <v>42825</v>
      </c>
      <c r="B286" s="11">
        <v>1.263878279682314</v>
      </c>
      <c r="C286" s="11">
        <v>1.2798032645244961</v>
      </c>
      <c r="D286" s="11">
        <v>1.1722013338848041</v>
      </c>
      <c r="E286" s="11">
        <v>1.182136325499036</v>
      </c>
      <c r="P286" s="1">
        <f>A285</f>
        <v>42824</v>
      </c>
      <c r="Q286" s="14">
        <f>[1]!i_dq_close(Q$2,$P286)</f>
        <v>2084.0331000000001</v>
      </c>
      <c r="R286" s="14">
        <f>[1]!i_dq_close(R$2,$P286)</f>
        <v>3371.2395999999999</v>
      </c>
      <c r="S286" s="14">
        <f>[1]!i_dq_close(S$2,$P286)</f>
        <v>4152.4790999999996</v>
      </c>
      <c r="T286" s="14">
        <f>[1]!i_dq_close(T$2,$P286)</f>
        <v>5769.2232999999997</v>
      </c>
      <c r="U286" s="14">
        <f>[1]!i_dq_close(U$2,$P286)</f>
        <v>9162.6690999999992</v>
      </c>
      <c r="V286" s="14">
        <f>[1]!i_dq_close(V$2,$P286)</f>
        <v>9693.4387000000006</v>
      </c>
      <c r="W286" s="14">
        <f>[1]!i_dq_close(W$2,$P286)</f>
        <v>5339.4044000000004</v>
      </c>
      <c r="X286" s="14">
        <f>[1]!i_dq_close(X$2,$P286)</f>
        <v>5844.9601000000002</v>
      </c>
      <c r="Y286" s="14">
        <f>[1]!i_dq_close(Y$2,$P286)</f>
        <v>6333.5745999999999</v>
      </c>
      <c r="Z286" s="14">
        <f>[1]!i_dq_close(Z$2,$P286)</f>
        <v>2585.4220999999998</v>
      </c>
      <c r="AB286" s="1">
        <v>42824</v>
      </c>
      <c r="AC286">
        <v>1.2372239510166834</v>
      </c>
      <c r="AD286">
        <v>1.3213763867341672</v>
      </c>
      <c r="AE286">
        <v>1.228942755277185</v>
      </c>
      <c r="AF286">
        <v>1.1928363326075417</v>
      </c>
      <c r="AG286">
        <v>1.366190753985457</v>
      </c>
      <c r="AH286">
        <v>1.19719506420778</v>
      </c>
      <c r="AI286">
        <v>1.144371690864469</v>
      </c>
      <c r="AJ286">
        <v>1.0797185375305614</v>
      </c>
      <c r="AK286">
        <v>1.2579908540663183</v>
      </c>
      <c r="AL286">
        <v>1.1490770506598913</v>
      </c>
    </row>
    <row r="287" spans="1:38" x14ac:dyDescent="0.4">
      <c r="A287" s="10">
        <v>42830</v>
      </c>
      <c r="B287" s="11">
        <v>1.284682489844063</v>
      </c>
      <c r="C287" s="11">
        <v>1.2998243576677171</v>
      </c>
      <c r="D287" s="11">
        <v>1.191668779419971</v>
      </c>
      <c r="E287" s="11">
        <v>1.2019644913364449</v>
      </c>
      <c r="P287" s="1">
        <f>A286</f>
        <v>42825</v>
      </c>
      <c r="Q287" s="14">
        <f>[1]!i_dq_close(Q$2,$P287)</f>
        <v>2099.703</v>
      </c>
      <c r="R287" s="14">
        <f>[1]!i_dq_close(R$2,$P287)</f>
        <v>3385.3701999999998</v>
      </c>
      <c r="S287" s="14">
        <f>[1]!i_dq_close(S$2,$P287)</f>
        <v>4152.5544</v>
      </c>
      <c r="T287" s="14">
        <f>[1]!i_dq_close(T$2,$P287)</f>
        <v>5812.9647000000004</v>
      </c>
      <c r="U287" s="14">
        <f>[1]!i_dq_close(U$2,$P287)</f>
        <v>9192.7325999999994</v>
      </c>
      <c r="V287" s="14">
        <f>[1]!i_dq_close(V$2,$P287)</f>
        <v>9765.0722999999998</v>
      </c>
      <c r="W287" s="14">
        <f>[1]!i_dq_close(W$2,$P287)</f>
        <v>5365.5276000000003</v>
      </c>
      <c r="X287" s="14">
        <f>[1]!i_dq_close(X$2,$P287)</f>
        <v>5871.7534999999998</v>
      </c>
      <c r="Y287" s="14">
        <f>[1]!i_dq_close(Y$2,$P287)</f>
        <v>6412.9683000000005</v>
      </c>
      <c r="Z287" s="14">
        <f>[1]!i_dq_close(Z$2,$P287)</f>
        <v>2593.7797999999998</v>
      </c>
      <c r="AB287" s="1">
        <v>42825</v>
      </c>
      <c r="AC287">
        <v>1.246526670628016</v>
      </c>
      <c r="AD287">
        <v>1.3269149551498876</v>
      </c>
      <c r="AE287">
        <v>1.228965040612582</v>
      </c>
      <c r="AF287">
        <v>1.2018802417173036</v>
      </c>
      <c r="AG287">
        <v>1.3706733425504465</v>
      </c>
      <c r="AH287">
        <v>1.2060422230959291</v>
      </c>
      <c r="AI287">
        <v>1.1499705645056546</v>
      </c>
      <c r="AJ287">
        <v>1.0846679863152453</v>
      </c>
      <c r="AK287">
        <v>1.273760234673359</v>
      </c>
      <c r="AL287">
        <v>1.1527915858092197</v>
      </c>
    </row>
    <row r="288" spans="1:38" x14ac:dyDescent="0.4">
      <c r="A288" s="10">
        <v>42831</v>
      </c>
      <c r="B288" s="11">
        <v>1.2875601303025539</v>
      </c>
      <c r="C288" s="11">
        <v>1.304544883348973</v>
      </c>
      <c r="D288" s="11">
        <v>1.194729015081367</v>
      </c>
      <c r="E288" s="11">
        <v>1.204513285169343</v>
      </c>
      <c r="P288" s="1">
        <f>A287</f>
        <v>42830</v>
      </c>
      <c r="Q288" s="14">
        <f>[1]!i_dq_close(Q$2,$P288)</f>
        <v>2134.0124000000001</v>
      </c>
      <c r="R288" s="14">
        <f>[1]!i_dq_close(R$2,$P288)</f>
        <v>3476.2945</v>
      </c>
      <c r="S288" s="14">
        <f>[1]!i_dq_close(S$2,$P288)</f>
        <v>4257.5057999999999</v>
      </c>
      <c r="T288" s="14">
        <f>[1]!i_dq_close(T$2,$P288)</f>
        <v>5887.4408000000003</v>
      </c>
      <c r="U288" s="14">
        <f>[1]!i_dq_close(U$2,$P288)</f>
        <v>9304.4635999999991</v>
      </c>
      <c r="V288" s="14">
        <f>[1]!i_dq_close(V$2,$P288)</f>
        <v>9870.8842999999997</v>
      </c>
      <c r="W288" s="14">
        <f>[1]!i_dq_close(W$2,$P288)</f>
        <v>5424.5264999999999</v>
      </c>
      <c r="X288" s="14">
        <f>[1]!i_dq_close(X$2,$P288)</f>
        <v>5991.2685000000001</v>
      </c>
      <c r="Y288" s="14">
        <f>[1]!i_dq_close(Y$2,$P288)</f>
        <v>6501.3231999999998</v>
      </c>
      <c r="Z288" s="14">
        <f>[1]!i_dq_close(Z$2,$P288)</f>
        <v>2625.7453</v>
      </c>
      <c r="AB288" s="1">
        <v>42830</v>
      </c>
      <c r="AC288">
        <v>1.2668950666122314</v>
      </c>
      <c r="AD288">
        <v>1.3625532476641109</v>
      </c>
      <c r="AE288">
        <v>1.2600258261289252</v>
      </c>
      <c r="AF288">
        <v>1.2172788133050791</v>
      </c>
      <c r="AG288">
        <v>1.3873328832877136</v>
      </c>
      <c r="AH288">
        <v>1.2191106096669355</v>
      </c>
      <c r="AI288">
        <v>1.1626155462103824</v>
      </c>
      <c r="AJ288">
        <v>1.1067455640583279</v>
      </c>
      <c r="AK288">
        <v>1.2913095118401494</v>
      </c>
      <c r="AL288">
        <v>1.1669984816437022</v>
      </c>
    </row>
    <row r="289" spans="1:38" x14ac:dyDescent="0.4">
      <c r="A289" s="10">
        <v>42832</v>
      </c>
      <c r="B289" s="11">
        <v>1.290962355420137</v>
      </c>
      <c r="C289" s="11">
        <v>1.3075340477413839</v>
      </c>
      <c r="D289" s="11">
        <v>1.196745873879723</v>
      </c>
      <c r="E289" s="11">
        <v>1.2060324305987651</v>
      </c>
      <c r="P289" s="1">
        <f>A288</f>
        <v>42831</v>
      </c>
      <c r="Q289" s="14">
        <f>[1]!i_dq_close(Q$2,$P289)</f>
        <v>2133.5176999999999</v>
      </c>
      <c r="R289" s="14">
        <f>[1]!i_dq_close(R$2,$P289)</f>
        <v>3494.5221000000001</v>
      </c>
      <c r="S289" s="14">
        <f>[1]!i_dq_close(S$2,$P289)</f>
        <v>4296.1670000000004</v>
      </c>
      <c r="T289" s="14">
        <f>[1]!i_dq_close(T$2,$P289)</f>
        <v>5902.4858999999997</v>
      </c>
      <c r="U289" s="14">
        <f>[1]!i_dq_close(U$2,$P289)</f>
        <v>9302.2420999999995</v>
      </c>
      <c r="V289" s="14">
        <f>[1]!i_dq_close(V$2,$P289)</f>
        <v>9870.4110999999994</v>
      </c>
      <c r="W289" s="14">
        <f>[1]!i_dq_close(W$2,$P289)</f>
        <v>5418.6889000000001</v>
      </c>
      <c r="X289" s="14">
        <f>[1]!i_dq_close(X$2,$P289)</f>
        <v>6000.2826999999997</v>
      </c>
      <c r="Y289" s="14">
        <f>[1]!i_dq_close(Y$2,$P289)</f>
        <v>6505.1036999999997</v>
      </c>
      <c r="Z289" s="14">
        <f>[1]!i_dq_close(Z$2,$P289)</f>
        <v>2645.7854000000002</v>
      </c>
      <c r="AB289" s="1">
        <v>42831</v>
      </c>
      <c r="AC289">
        <v>1.2666013790078605</v>
      </c>
      <c r="AD289">
        <v>1.369697658351158</v>
      </c>
      <c r="AE289">
        <v>1.2714677625014221</v>
      </c>
      <c r="AF289">
        <v>1.2203895165964065</v>
      </c>
      <c r="AG289">
        <v>1.3870016487176495</v>
      </c>
      <c r="AH289">
        <v>1.2190521667632439</v>
      </c>
      <c r="AI289">
        <v>1.1613643983889907</v>
      </c>
      <c r="AJ289">
        <v>1.1084107249276052</v>
      </c>
      <c r="AK289">
        <v>1.2920604044599029</v>
      </c>
      <c r="AL289">
        <v>1.1759051971092076</v>
      </c>
    </row>
    <row r="290" spans="1:38" x14ac:dyDescent="0.4">
      <c r="A290" s="10">
        <v>42835</v>
      </c>
      <c r="B290" s="11">
        <v>1.283459037862851</v>
      </c>
      <c r="C290" s="11">
        <v>1.3018074762720839</v>
      </c>
      <c r="D290" s="11">
        <v>1.191417709713531</v>
      </c>
      <c r="E290" s="11">
        <v>1.1971611243117199</v>
      </c>
      <c r="P290" s="1">
        <f>A289</f>
        <v>42832</v>
      </c>
      <c r="Q290" s="14">
        <f>[1]!i_dq_close(Q$2,$P290)</f>
        <v>2146.6496999999999</v>
      </c>
      <c r="R290" s="14">
        <f>[1]!i_dq_close(R$2,$P290)</f>
        <v>3501.0282999999999</v>
      </c>
      <c r="S290" s="14">
        <f>[1]!i_dq_close(S$2,$P290)</f>
        <v>4304.6558000000005</v>
      </c>
      <c r="T290" s="14">
        <f>[1]!i_dq_close(T$2,$P290)</f>
        <v>5903.0844999999999</v>
      </c>
      <c r="U290" s="14">
        <f>[1]!i_dq_close(U$2,$P290)</f>
        <v>9268.1353999999992</v>
      </c>
      <c r="V290" s="14">
        <f>[1]!i_dq_close(V$2,$P290)</f>
        <v>9859.9426999999996</v>
      </c>
      <c r="W290" s="14">
        <f>[1]!i_dq_close(W$2,$P290)</f>
        <v>5419.9969000000001</v>
      </c>
      <c r="X290" s="14">
        <f>[1]!i_dq_close(X$2,$P290)</f>
        <v>6010.1306000000004</v>
      </c>
      <c r="Y290" s="14">
        <f>[1]!i_dq_close(Y$2,$P290)</f>
        <v>6514.2503999999999</v>
      </c>
      <c r="Z290" s="14">
        <f>[1]!i_dq_close(Z$2,$P290)</f>
        <v>2668.9964</v>
      </c>
      <c r="AB290" s="1">
        <v>42832</v>
      </c>
      <c r="AC290">
        <v>1.2743974283723123</v>
      </c>
      <c r="AD290">
        <v>1.3722478001587499</v>
      </c>
      <c r="AE290">
        <v>1.273980056726093</v>
      </c>
      <c r="AF290">
        <v>1.2205132822736164</v>
      </c>
      <c r="AG290">
        <v>1.3819162027978622</v>
      </c>
      <c r="AH290">
        <v>1.2177592595506412</v>
      </c>
      <c r="AI290">
        <v>1.1616447364303741</v>
      </c>
      <c r="AJ290">
        <v>1.1102298922108427</v>
      </c>
      <c r="AK290">
        <v>1.2938771455060869</v>
      </c>
      <c r="AL290">
        <v>1.1862212021525878</v>
      </c>
    </row>
    <row r="291" spans="1:38" x14ac:dyDescent="0.4">
      <c r="A291" s="10">
        <v>42836</v>
      </c>
      <c r="B291" s="11">
        <v>1.2876819786494991</v>
      </c>
      <c r="C291" s="11">
        <v>1.3046269382594089</v>
      </c>
      <c r="D291" s="11">
        <v>1.196150184197619</v>
      </c>
      <c r="E291" s="11">
        <v>1.1985007341337459</v>
      </c>
      <c r="P291" s="1">
        <f>A290</f>
        <v>42835</v>
      </c>
      <c r="Q291" s="14">
        <f>[1]!i_dq_close(Q$2,$P291)</f>
        <v>2136.4409000000001</v>
      </c>
      <c r="R291" s="14">
        <f>[1]!i_dq_close(R$2,$P291)</f>
        <v>3491.6505999999999</v>
      </c>
      <c r="S291" s="14">
        <f>[1]!i_dq_close(S$2,$P291)</f>
        <v>4299.7136</v>
      </c>
      <c r="T291" s="14">
        <f>[1]!i_dq_close(T$2,$P291)</f>
        <v>5848.8755000000001</v>
      </c>
      <c r="U291" s="14">
        <f>[1]!i_dq_close(U$2,$P291)</f>
        <v>9169.1113999999998</v>
      </c>
      <c r="V291" s="14">
        <f>[1]!i_dq_close(V$2,$P291)</f>
        <v>9757.8862000000008</v>
      </c>
      <c r="W291" s="14">
        <f>[1]!i_dq_close(W$2,$P291)</f>
        <v>5407.6828999999998</v>
      </c>
      <c r="X291" s="14">
        <f>[1]!i_dq_close(X$2,$P291)</f>
        <v>5924.6696000000002</v>
      </c>
      <c r="Y291" s="14">
        <f>[1]!i_dq_close(Y$2,$P291)</f>
        <v>6461.2442000000001</v>
      </c>
      <c r="Z291" s="14">
        <f>[1]!i_dq_close(Z$2,$P291)</f>
        <v>2673.8514</v>
      </c>
      <c r="AB291" s="1">
        <v>42835</v>
      </c>
      <c r="AC291">
        <v>1.2683367895700115</v>
      </c>
      <c r="AD291">
        <v>1.3685721577209127</v>
      </c>
      <c r="AE291">
        <v>1.2725173929199993</v>
      </c>
      <c r="AF291">
        <v>1.2093051072053498</v>
      </c>
      <c r="AG291">
        <v>1.3671513267834423</v>
      </c>
      <c r="AH291">
        <v>1.2051546986871862</v>
      </c>
      <c r="AI291">
        <v>1.1590055295178381</v>
      </c>
      <c r="AJ291">
        <v>1.0944429878766455</v>
      </c>
      <c r="AK291">
        <v>1.2833489179221234</v>
      </c>
      <c r="AL291">
        <v>1.1883789809852796</v>
      </c>
    </row>
    <row r="292" spans="1:38" x14ac:dyDescent="0.4">
      <c r="A292" s="10">
        <v>42837</v>
      </c>
      <c r="B292" s="11">
        <v>1.279537825411857</v>
      </c>
      <c r="C292" s="11">
        <v>1.298182545995761</v>
      </c>
      <c r="D292" s="11">
        <v>1.1895602297289321</v>
      </c>
      <c r="E292" s="11">
        <v>1.192694019499694</v>
      </c>
      <c r="P292" s="1">
        <f>A291</f>
        <v>42836</v>
      </c>
      <c r="Q292" s="14">
        <f>[1]!i_dq_close(Q$2,$P292)</f>
        <v>2134.8301999999999</v>
      </c>
      <c r="R292" s="14">
        <f>[1]!i_dq_close(R$2,$P292)</f>
        <v>3517.0068000000001</v>
      </c>
      <c r="S292" s="14">
        <f>[1]!i_dq_close(S$2,$P292)</f>
        <v>4361.8281999999999</v>
      </c>
      <c r="T292" s="14">
        <f>[1]!i_dq_close(T$2,$P292)</f>
        <v>5861.2168000000001</v>
      </c>
      <c r="U292" s="14">
        <f>[1]!i_dq_close(U$2,$P292)</f>
        <v>9150.6023000000005</v>
      </c>
      <c r="V292" s="14">
        <f>[1]!i_dq_close(V$2,$P292)</f>
        <v>9737.7419000000009</v>
      </c>
      <c r="W292" s="14">
        <f>[1]!i_dq_close(W$2,$P292)</f>
        <v>5424.8477999999996</v>
      </c>
      <c r="X292" s="14">
        <f>[1]!i_dq_close(X$2,$P292)</f>
        <v>5959.1630999999998</v>
      </c>
      <c r="Y292" s="14">
        <f>[1]!i_dq_close(Y$2,$P292)</f>
        <v>6477.8050999999996</v>
      </c>
      <c r="Z292" s="14">
        <f>[1]!i_dq_close(Z$2,$P292)</f>
        <v>2701.1226000000001</v>
      </c>
      <c r="AB292" s="1">
        <v>42836</v>
      </c>
      <c r="AC292">
        <v>1.2673805683766424</v>
      </c>
      <c r="AD292">
        <v>1.378510663408052</v>
      </c>
      <c r="AE292">
        <v>1.2909004565859765</v>
      </c>
      <c r="AF292">
        <v>1.2118567766877237</v>
      </c>
      <c r="AG292">
        <v>1.3643915456532267</v>
      </c>
      <c r="AH292">
        <v>1.2026667625400354</v>
      </c>
      <c r="AI292">
        <v>1.162684409064126</v>
      </c>
      <c r="AJ292">
        <v>1.1008148485458586</v>
      </c>
      <c r="AK292">
        <v>1.2866382864147763</v>
      </c>
      <c r="AL292">
        <v>1.2004995202442099</v>
      </c>
    </row>
    <row r="293" spans="1:38" x14ac:dyDescent="0.4">
      <c r="A293" s="10">
        <v>42838</v>
      </c>
      <c r="B293" s="11">
        <v>1.2848650424677781</v>
      </c>
      <c r="C293" s="11">
        <v>1.3045417329075331</v>
      </c>
      <c r="D293" s="11">
        <v>1.1943642924803499</v>
      </c>
      <c r="E293" s="11">
        <v>1.199531934604811</v>
      </c>
      <c r="P293" s="1">
        <f>A292</f>
        <v>42837</v>
      </c>
      <c r="Q293" s="14">
        <f>[1]!i_dq_close(Q$2,$P293)</f>
        <v>2123.9616000000001</v>
      </c>
      <c r="R293" s="14">
        <f>[1]!i_dq_close(R$2,$P293)</f>
        <v>3492.5772000000002</v>
      </c>
      <c r="S293" s="14">
        <f>[1]!i_dq_close(S$2,$P293)</f>
        <v>4312.0047000000004</v>
      </c>
      <c r="T293" s="14">
        <f>[1]!i_dq_close(T$2,$P293)</f>
        <v>5830.2501000000002</v>
      </c>
      <c r="U293" s="14">
        <f>[1]!i_dq_close(U$2,$P293)</f>
        <v>9173.2471000000005</v>
      </c>
      <c r="V293" s="14">
        <f>[1]!i_dq_close(V$2,$P293)</f>
        <v>9721.2692999999999</v>
      </c>
      <c r="W293" s="14">
        <f>[1]!i_dq_close(W$2,$P293)</f>
        <v>5425.9431000000004</v>
      </c>
      <c r="X293" s="14">
        <f>[1]!i_dq_close(X$2,$P293)</f>
        <v>5884.7452000000003</v>
      </c>
      <c r="Y293" s="14">
        <f>[1]!i_dq_close(Y$2,$P293)</f>
        <v>6420.9835999999996</v>
      </c>
      <c r="Z293" s="14">
        <f>[1]!i_dq_close(Z$2,$P293)</f>
        <v>2730.0805999999998</v>
      </c>
      <c r="AB293" s="1">
        <v>42837</v>
      </c>
      <c r="AC293">
        <v>1.2609282273682296</v>
      </c>
      <c r="AD293">
        <v>1.368935343820159</v>
      </c>
      <c r="AE293">
        <v>1.2761549929983207</v>
      </c>
      <c r="AF293">
        <v>1.2054541462225521</v>
      </c>
      <c r="AG293">
        <v>1.3677679762596588</v>
      </c>
      <c r="AH293">
        <v>1.2006323023216332</v>
      </c>
      <c r="AI293">
        <v>1.1629191600249269</v>
      </c>
      <c r="AJ293">
        <v>1.0870678965086504</v>
      </c>
      <c r="AK293">
        <v>1.2753522541456799</v>
      </c>
      <c r="AL293">
        <v>1.2133697487585438</v>
      </c>
    </row>
    <row r="294" spans="1:38" x14ac:dyDescent="0.4">
      <c r="A294" s="10">
        <v>42839</v>
      </c>
      <c r="B294" s="11">
        <v>1.2715178406001071</v>
      </c>
      <c r="C294" s="11">
        <v>1.292897988505721</v>
      </c>
      <c r="D294" s="11">
        <v>1.1829665620963239</v>
      </c>
      <c r="E294" s="11">
        <v>1.186195039062818</v>
      </c>
      <c r="P294" s="1">
        <f>A293</f>
        <v>42838</v>
      </c>
      <c r="Q294" s="14">
        <f>[1]!i_dq_close(Q$2,$P294)</f>
        <v>2129.6619000000001</v>
      </c>
      <c r="R294" s="14">
        <f>[1]!i_dq_close(R$2,$P294)</f>
        <v>3509.1532000000002</v>
      </c>
      <c r="S294" s="14">
        <f>[1]!i_dq_close(S$2,$P294)</f>
        <v>4324.5389999999998</v>
      </c>
      <c r="T294" s="14">
        <f>[1]!i_dq_close(T$2,$P294)</f>
        <v>5856.4657999999999</v>
      </c>
      <c r="U294" s="14">
        <f>[1]!i_dq_close(U$2,$P294)</f>
        <v>9236.1594999999998</v>
      </c>
      <c r="V294" s="14">
        <f>[1]!i_dq_close(V$2,$P294)</f>
        <v>9783.2703000000001</v>
      </c>
      <c r="W294" s="14">
        <f>[1]!i_dq_close(W$2,$P294)</f>
        <v>5414.1130000000003</v>
      </c>
      <c r="X294" s="14">
        <f>[1]!i_dq_close(X$2,$P294)</f>
        <v>5897.4799000000003</v>
      </c>
      <c r="Y294" s="14">
        <f>[1]!i_dq_close(Y$2,$P294)</f>
        <v>6413.6202999999996</v>
      </c>
      <c r="Z294" s="14">
        <f>[1]!i_dq_close(Z$2,$P294)</f>
        <v>2759.3582999999999</v>
      </c>
      <c r="AB294" s="1">
        <v>42838</v>
      </c>
      <c r="AC294">
        <v>1.2643123135845091</v>
      </c>
      <c r="AD294">
        <v>1.3754324005664387</v>
      </c>
      <c r="AE294">
        <v>1.279864569086848</v>
      </c>
      <c r="AF294">
        <v>1.2108744667438152</v>
      </c>
      <c r="AG294">
        <v>1.3771484677139485</v>
      </c>
      <c r="AH294">
        <v>1.2082897800726347</v>
      </c>
      <c r="AI294">
        <v>1.1603836653281596</v>
      </c>
      <c r="AJ294">
        <v>1.0894203320128535</v>
      </c>
      <c r="AK294">
        <v>1.2738897365879414</v>
      </c>
      <c r="AL294">
        <v>1.2263820662312324</v>
      </c>
    </row>
    <row r="295" spans="1:38" x14ac:dyDescent="0.4">
      <c r="A295" s="10">
        <v>42842</v>
      </c>
      <c r="B295" s="11">
        <v>1.2634773822134</v>
      </c>
      <c r="C295" s="11">
        <v>1.288568785564989</v>
      </c>
      <c r="D295" s="11">
        <v>1.176884488836351</v>
      </c>
      <c r="E295" s="11">
        <v>1.180704660092168</v>
      </c>
      <c r="P295" s="1">
        <f>A294</f>
        <v>42839</v>
      </c>
      <c r="Q295" s="14">
        <f>[1]!i_dq_close(Q$2,$P295)</f>
        <v>2118.7894999999999</v>
      </c>
      <c r="R295" s="14">
        <f>[1]!i_dq_close(R$2,$P295)</f>
        <v>3470.6907999999999</v>
      </c>
      <c r="S295" s="14">
        <f>[1]!i_dq_close(S$2,$P295)</f>
        <v>4268.1976999999997</v>
      </c>
      <c r="T295" s="14">
        <f>[1]!i_dq_close(T$2,$P295)</f>
        <v>5784.7855</v>
      </c>
      <c r="U295" s="14">
        <f>[1]!i_dq_close(U$2,$P295)</f>
        <v>9133.1725999999999</v>
      </c>
      <c r="V295" s="14">
        <f>[1]!i_dq_close(V$2,$P295)</f>
        <v>9700.3022000000001</v>
      </c>
      <c r="W295" s="14">
        <f>[1]!i_dq_close(W$2,$P295)</f>
        <v>5366.3490000000002</v>
      </c>
      <c r="X295" s="14">
        <f>[1]!i_dq_close(X$2,$P295)</f>
        <v>5832.0886</v>
      </c>
      <c r="Y295" s="14">
        <f>[1]!i_dq_close(Y$2,$P295)</f>
        <v>6314.5504000000001</v>
      </c>
      <c r="Z295" s="14">
        <f>[1]!i_dq_close(Z$2,$P295)</f>
        <v>2716.3751999999999</v>
      </c>
      <c r="AB295" s="1">
        <v>42839</v>
      </c>
      <c r="AC295">
        <v>1.2578577166373521</v>
      </c>
      <c r="AD295">
        <v>1.3603568458247572</v>
      </c>
      <c r="AE295">
        <v>1.2631901365875011</v>
      </c>
      <c r="AF295">
        <v>1.1960539507530044</v>
      </c>
      <c r="AG295">
        <v>1.3617927073971621</v>
      </c>
      <c r="AH295">
        <v>1.1980427456733047</v>
      </c>
      <c r="AI295">
        <v>1.1501466116518262</v>
      </c>
      <c r="AJ295">
        <v>1.0773408314524953</v>
      </c>
      <c r="AK295">
        <v>1.2542122186009796</v>
      </c>
      <c r="AL295">
        <v>1.2072784568916899</v>
      </c>
    </row>
    <row r="296" spans="1:38" x14ac:dyDescent="0.4">
      <c r="A296" s="10">
        <v>42843</v>
      </c>
      <c r="B296" s="11">
        <v>1.2604537761291881</v>
      </c>
      <c r="C296" s="11">
        <v>1.2900312210843989</v>
      </c>
      <c r="D296" s="11">
        <v>1.176658160406288</v>
      </c>
      <c r="E296" s="11">
        <v>1.1816548298550149</v>
      </c>
      <c r="P296" s="1">
        <f>A295</f>
        <v>42842</v>
      </c>
      <c r="Q296" s="14">
        <f>[1]!i_dq_close(Q$2,$P296)</f>
        <v>2098.8602999999998</v>
      </c>
      <c r="R296" s="14">
        <f>[1]!i_dq_close(R$2,$P296)</f>
        <v>3431.9306000000001</v>
      </c>
      <c r="S296" s="14">
        <f>[1]!i_dq_close(S$2,$P296)</f>
        <v>4219.1013999999996</v>
      </c>
      <c r="T296" s="14">
        <f>[1]!i_dq_close(T$2,$P296)</f>
        <v>5747.9533000000001</v>
      </c>
      <c r="U296" s="14">
        <f>[1]!i_dq_close(U$2,$P296)</f>
        <v>9119.8223999999991</v>
      </c>
      <c r="V296" s="14">
        <f>[1]!i_dq_close(V$2,$P296)</f>
        <v>9654.6705000000002</v>
      </c>
      <c r="W296" s="14">
        <f>[1]!i_dq_close(W$2,$P296)</f>
        <v>5348.6539000000002</v>
      </c>
      <c r="X296" s="14">
        <f>[1]!i_dq_close(X$2,$P296)</f>
        <v>5778.7353999999996</v>
      </c>
      <c r="Y296" s="14">
        <f>[1]!i_dq_close(Y$2,$P296)</f>
        <v>6267.2475000000004</v>
      </c>
      <c r="Z296" s="14">
        <f>[1]!i_dq_close(Z$2,$P296)</f>
        <v>2673.0248999999999</v>
      </c>
      <c r="AB296" s="1">
        <v>42842</v>
      </c>
      <c r="AC296">
        <v>1.2460263865281511</v>
      </c>
      <c r="AD296">
        <v>1.3451645666924483</v>
      </c>
      <c r="AE296">
        <v>1.2486598907408899</v>
      </c>
      <c r="AF296">
        <v>1.1884385779228579</v>
      </c>
      <c r="AG296">
        <v>1.3598021389716519</v>
      </c>
      <c r="AH296">
        <v>1.1924069700004869</v>
      </c>
      <c r="AI296">
        <v>1.1463540966089469</v>
      </c>
      <c r="AJ296">
        <v>1.0674850859741682</v>
      </c>
      <c r="AK296">
        <v>1.2448167951112472</v>
      </c>
      <c r="AL296">
        <v>1.188011647472361</v>
      </c>
    </row>
    <row r="297" spans="1:38" x14ac:dyDescent="0.4">
      <c r="A297" s="10">
        <v>42844</v>
      </c>
      <c r="B297" s="11">
        <v>1.2537379319914259</v>
      </c>
      <c r="C297" s="11">
        <v>1.285927633135485</v>
      </c>
      <c r="D297" s="11">
        <v>1.1713834963436449</v>
      </c>
      <c r="E297" s="11">
        <v>1.1790170018220569</v>
      </c>
      <c r="P297" s="1">
        <f>A296</f>
        <v>42843</v>
      </c>
      <c r="Q297" s="14">
        <f>[1]!i_dq_close(Q$2,$P297)</f>
        <v>2077.5394999999999</v>
      </c>
      <c r="R297" s="14">
        <f>[1]!i_dq_close(R$2,$P297)</f>
        <v>3399.9043999999999</v>
      </c>
      <c r="S297" s="14">
        <f>[1]!i_dq_close(S$2,$P297)</f>
        <v>4191.2134999999998</v>
      </c>
      <c r="T297" s="14">
        <f>[1]!i_dq_close(T$2,$P297)</f>
        <v>5744.2259000000004</v>
      </c>
      <c r="U297" s="14">
        <f>[1]!i_dq_close(U$2,$P297)</f>
        <v>9175.2222000000002</v>
      </c>
      <c r="V297" s="14">
        <f>[1]!i_dq_close(V$2,$P297)</f>
        <v>9668.3940000000002</v>
      </c>
      <c r="W297" s="14">
        <f>[1]!i_dq_close(W$2,$P297)</f>
        <v>5282.5321000000004</v>
      </c>
      <c r="X297" s="14">
        <f>[1]!i_dq_close(X$2,$P297)</f>
        <v>5723.1746000000003</v>
      </c>
      <c r="Y297" s="14">
        <f>[1]!i_dq_close(Y$2,$P297)</f>
        <v>6232.6081000000004</v>
      </c>
      <c r="Z297" s="14">
        <f>[1]!i_dq_close(Z$2,$P297)</f>
        <v>2642.0857000000001</v>
      </c>
      <c r="AB297" s="1">
        <v>42843</v>
      </c>
      <c r="AC297">
        <v>1.2333689079042096</v>
      </c>
      <c r="AD297">
        <v>1.3326117168633154</v>
      </c>
      <c r="AE297">
        <v>1.2404063554817011</v>
      </c>
      <c r="AF297">
        <v>1.1876679060464268</v>
      </c>
      <c r="AG297">
        <v>1.3680624716003447</v>
      </c>
      <c r="AH297">
        <v>1.1941019006615385</v>
      </c>
      <c r="AI297">
        <v>1.1321824942352812</v>
      </c>
      <c r="AJ297">
        <v>1.0572215384573893</v>
      </c>
      <c r="AK297">
        <v>1.2379366285161706</v>
      </c>
      <c r="AL297">
        <v>1.1742608851942105</v>
      </c>
    </row>
    <row r="298" spans="1:38" x14ac:dyDescent="0.4">
      <c r="A298" s="10">
        <v>42845</v>
      </c>
      <c r="B298" s="11">
        <v>1.2564858226285851</v>
      </c>
      <c r="C298" s="11">
        <v>1.29350434554543</v>
      </c>
      <c r="D298" s="11">
        <v>1.176852730189949</v>
      </c>
      <c r="E298" s="11">
        <v>1.185775297465069</v>
      </c>
      <c r="P298" s="1">
        <f>A297</f>
        <v>42844</v>
      </c>
      <c r="Q298" s="14">
        <f>[1]!i_dq_close(Q$2,$P298)</f>
        <v>2035.2474999999999</v>
      </c>
      <c r="R298" s="14">
        <f>[1]!i_dq_close(R$2,$P298)</f>
        <v>3339.5045</v>
      </c>
      <c r="S298" s="14">
        <f>[1]!i_dq_close(S$2,$P298)</f>
        <v>4152.8056999999999</v>
      </c>
      <c r="T298" s="14">
        <f>[1]!i_dq_close(T$2,$P298)</f>
        <v>5709.0986999999996</v>
      </c>
      <c r="U298" s="14">
        <f>[1]!i_dq_close(U$2,$P298)</f>
        <v>9109.3922999999995</v>
      </c>
      <c r="V298" s="14">
        <f>[1]!i_dq_close(V$2,$P298)</f>
        <v>9614.4171999999999</v>
      </c>
      <c r="W298" s="14">
        <f>[1]!i_dq_close(W$2,$P298)</f>
        <v>5247.4501</v>
      </c>
      <c r="X298" s="14">
        <f>[1]!i_dq_close(X$2,$P298)</f>
        <v>5688.6428999999998</v>
      </c>
      <c r="Y298" s="14">
        <f>[1]!i_dq_close(Y$2,$P298)</f>
        <v>6209.3284999999996</v>
      </c>
      <c r="Z298" s="14">
        <f>[1]!i_dq_close(Z$2,$P298)</f>
        <v>2629.2712999999999</v>
      </c>
      <c r="AB298" s="1">
        <v>42844</v>
      </c>
      <c r="AC298">
        <v>1.2082614970207657</v>
      </c>
      <c r="AD298">
        <v>1.3089376351928506</v>
      </c>
      <c r="AE298">
        <v>1.2290394138501022</v>
      </c>
      <c r="AF298">
        <v>1.1804050565701771</v>
      </c>
      <c r="AG298">
        <v>1.3582469691813182</v>
      </c>
      <c r="AH298">
        <v>1.1874354574578765</v>
      </c>
      <c r="AI298">
        <v>1.1246635193363377</v>
      </c>
      <c r="AJ298">
        <v>1.0508426212390418</v>
      </c>
      <c r="AK298">
        <v>1.2333127745733556</v>
      </c>
      <c r="AL298">
        <v>1.1685655935209567</v>
      </c>
    </row>
    <row r="299" spans="1:38" x14ac:dyDescent="0.4">
      <c r="A299" s="10">
        <v>42846</v>
      </c>
      <c r="B299" s="11">
        <v>1.2531212857384999</v>
      </c>
      <c r="C299" s="11">
        <v>1.287837057624688</v>
      </c>
      <c r="D299" s="11">
        <v>1.1718208152041309</v>
      </c>
      <c r="E299" s="11">
        <v>1.17903193388405</v>
      </c>
      <c r="P299" s="1">
        <f>A298</f>
        <v>42845</v>
      </c>
      <c r="Q299" s="14">
        <f>[1]!i_dq_close(Q$2,$P299)</f>
        <v>2016.2247</v>
      </c>
      <c r="R299" s="14">
        <f>[1]!i_dq_close(R$2,$P299)</f>
        <v>3320.1741999999999</v>
      </c>
      <c r="S299" s="14">
        <f>[1]!i_dq_close(S$2,$P299)</f>
        <v>4148.8809000000001</v>
      </c>
      <c r="T299" s="14">
        <f>[1]!i_dq_close(T$2,$P299)</f>
        <v>5705.5658999999996</v>
      </c>
      <c r="U299" s="14">
        <f>[1]!i_dq_close(U$2,$P299)</f>
        <v>9245.2111000000004</v>
      </c>
      <c r="V299" s="14">
        <f>[1]!i_dq_close(V$2,$P299)</f>
        <v>9757.8611000000001</v>
      </c>
      <c r="W299" s="14">
        <f>[1]!i_dq_close(W$2,$P299)</f>
        <v>5233.9310999999998</v>
      </c>
      <c r="X299" s="14">
        <f>[1]!i_dq_close(X$2,$P299)</f>
        <v>5711.1247000000003</v>
      </c>
      <c r="Y299" s="14">
        <f>[1]!i_dq_close(Y$2,$P299)</f>
        <v>6234.8528999999999</v>
      </c>
      <c r="Z299" s="14">
        <f>[1]!i_dq_close(Z$2,$P299)</f>
        <v>2615.5702000000001</v>
      </c>
      <c r="AB299" s="1">
        <v>42845</v>
      </c>
      <c r="AC299">
        <v>1.1969682676687943</v>
      </c>
      <c r="AD299">
        <v>1.3013610150177413</v>
      </c>
      <c r="AE299">
        <v>1.2278778536327584</v>
      </c>
      <c r="AF299">
        <v>1.1796746199105603</v>
      </c>
      <c r="AG299">
        <v>1.3784980976191443</v>
      </c>
      <c r="AH299">
        <v>1.205151598693774</v>
      </c>
      <c r="AI299">
        <v>1.1217660499315485</v>
      </c>
      <c r="AJ299">
        <v>1.0549956036036356</v>
      </c>
      <c r="AK299">
        <v>1.2383824964576657</v>
      </c>
      <c r="AL299">
        <v>1.1624762127661485</v>
      </c>
    </row>
    <row r="300" spans="1:38" x14ac:dyDescent="0.4">
      <c r="A300" s="10">
        <v>42849</v>
      </c>
      <c r="B300" s="11">
        <v>1.232636113534926</v>
      </c>
      <c r="C300" s="11">
        <v>1.2677133391671731</v>
      </c>
      <c r="D300" s="11">
        <v>1.1514297685482131</v>
      </c>
      <c r="E300" s="11">
        <v>1.1596237476827731</v>
      </c>
      <c r="P300" s="1">
        <f>A299</f>
        <v>42846</v>
      </c>
      <c r="Q300" s="14">
        <f>[1]!i_dq_close(Q$2,$P300)</f>
        <v>2024.5934999999999</v>
      </c>
      <c r="R300" s="14">
        <f>[1]!i_dq_close(R$2,$P300)</f>
        <v>3300.7514000000001</v>
      </c>
      <c r="S300" s="14">
        <f>[1]!i_dq_close(S$2,$P300)</f>
        <v>4122.3693999999996</v>
      </c>
      <c r="T300" s="14">
        <f>[1]!i_dq_close(T$2,$P300)</f>
        <v>5684.5383000000002</v>
      </c>
      <c r="U300" s="14">
        <f>[1]!i_dq_close(U$2,$P300)</f>
        <v>9164.2631000000001</v>
      </c>
      <c r="V300" s="14">
        <f>[1]!i_dq_close(V$2,$P300)</f>
        <v>9740.9675999999999</v>
      </c>
      <c r="W300" s="14">
        <f>[1]!i_dq_close(W$2,$P300)</f>
        <v>5272.9502000000002</v>
      </c>
      <c r="X300" s="14">
        <f>[1]!i_dq_close(X$2,$P300)</f>
        <v>5677.9180999999999</v>
      </c>
      <c r="Y300" s="14">
        <f>[1]!i_dq_close(Y$2,$P300)</f>
        <v>6194.7438000000002</v>
      </c>
      <c r="Z300" s="14">
        <f>[1]!i_dq_close(Z$2,$P300)</f>
        <v>2616.9114</v>
      </c>
      <c r="AB300" s="1">
        <v>42846</v>
      </c>
      <c r="AC300">
        <v>1.2019365571845742</v>
      </c>
      <c r="AD300">
        <v>1.2937481389456105</v>
      </c>
      <c r="AE300">
        <v>1.2200316694444906</v>
      </c>
      <c r="AF300">
        <v>1.1753269835021138</v>
      </c>
      <c r="AG300">
        <v>1.3664284257858994</v>
      </c>
      <c r="AH300">
        <v>1.2030651549205034</v>
      </c>
      <c r="AI300">
        <v>1.1301288466215709</v>
      </c>
      <c r="AJ300">
        <v>1.0488614673606247</v>
      </c>
      <c r="AK300">
        <v>1.2304159240003316</v>
      </c>
      <c r="AL300">
        <v>1.1630723019464586</v>
      </c>
    </row>
    <row r="301" spans="1:38" x14ac:dyDescent="0.4">
      <c r="A301" s="10">
        <v>42850</v>
      </c>
      <c r="B301" s="11">
        <v>1.2370891104613291</v>
      </c>
      <c r="C301" s="11">
        <v>1.273980023325525</v>
      </c>
      <c r="D301" s="11">
        <v>1.156981224883266</v>
      </c>
      <c r="E301" s="11">
        <v>1.1682678699019611</v>
      </c>
      <c r="P301" s="1">
        <f>A300</f>
        <v>42849</v>
      </c>
      <c r="Q301" s="14">
        <f>[1]!i_dq_close(Q$2,$P301)</f>
        <v>1989.6475</v>
      </c>
      <c r="R301" s="14">
        <f>[1]!i_dq_close(R$2,$P301)</f>
        <v>3199.1024000000002</v>
      </c>
      <c r="S301" s="14">
        <f>[1]!i_dq_close(S$2,$P301)</f>
        <v>3993.5374000000002</v>
      </c>
      <c r="T301" s="14">
        <f>[1]!i_dq_close(T$2,$P301)</f>
        <v>5563.1769999999997</v>
      </c>
      <c r="U301" s="14">
        <f>[1]!i_dq_close(U$2,$P301)</f>
        <v>8986.5936999999994</v>
      </c>
      <c r="V301" s="14">
        <f>[1]!i_dq_close(V$2,$P301)</f>
        <v>9586.4310000000005</v>
      </c>
      <c r="W301" s="14">
        <f>[1]!i_dq_close(W$2,$P301)</f>
        <v>5258.6869999999999</v>
      </c>
      <c r="X301" s="14">
        <f>[1]!i_dq_close(X$2,$P301)</f>
        <v>5577.7812000000004</v>
      </c>
      <c r="Y301" s="14">
        <f>[1]!i_dq_close(Y$2,$P301)</f>
        <v>6077.0844999999999</v>
      </c>
      <c r="Z301" s="14">
        <f>[1]!i_dq_close(Z$2,$P301)</f>
        <v>2561.9796000000001</v>
      </c>
      <c r="AB301" s="1">
        <v>42849</v>
      </c>
      <c r="AC301">
        <v>1.1811902320939462</v>
      </c>
      <c r="AD301">
        <v>1.2539062397417859</v>
      </c>
      <c r="AE301">
        <v>1.1819033250904227</v>
      </c>
      <c r="AF301">
        <v>1.150234495226875</v>
      </c>
      <c r="AG301">
        <v>1.339937204843942</v>
      </c>
      <c r="AH301">
        <v>1.1839790018549818</v>
      </c>
      <c r="AI301">
        <v>1.1270718760161718</v>
      </c>
      <c r="AJ301">
        <v>1.0303635366012953</v>
      </c>
      <c r="AK301">
        <v>1.2070461316407617</v>
      </c>
      <c r="AL301">
        <v>1.1386581566773211</v>
      </c>
    </row>
    <row r="302" spans="1:38" x14ac:dyDescent="0.4">
      <c r="A302" s="10">
        <v>42851</v>
      </c>
      <c r="B302" s="11">
        <v>1.2384778606937239</v>
      </c>
      <c r="C302" s="11">
        <v>1.276413680213516</v>
      </c>
      <c r="D302" s="11">
        <v>1.159005029430848</v>
      </c>
      <c r="E302" s="11">
        <v>1.1713743817386251</v>
      </c>
      <c r="P302" s="1">
        <f>A301</f>
        <v>42850</v>
      </c>
      <c r="Q302" s="14">
        <f>[1]!i_dq_close(Q$2,$P302)</f>
        <v>1982.7572</v>
      </c>
      <c r="R302" s="14">
        <f>[1]!i_dq_close(R$2,$P302)</f>
        <v>3208.8236000000002</v>
      </c>
      <c r="S302" s="14">
        <f>[1]!i_dq_close(S$2,$P302)</f>
        <v>3998.2460999999998</v>
      </c>
      <c r="T302" s="14">
        <f>[1]!i_dq_close(T$2,$P302)</f>
        <v>5600.5793999999996</v>
      </c>
      <c r="U302" s="14">
        <f>[1]!i_dq_close(U$2,$P302)</f>
        <v>9118.6761000000006</v>
      </c>
      <c r="V302" s="14">
        <f>[1]!i_dq_close(V$2,$P302)</f>
        <v>9590.8608999999997</v>
      </c>
      <c r="W302" s="14">
        <f>[1]!i_dq_close(W$2,$P302)</f>
        <v>5258.7968000000001</v>
      </c>
      <c r="X302" s="14">
        <f>[1]!i_dq_close(X$2,$P302)</f>
        <v>5610.0276000000003</v>
      </c>
      <c r="Y302" s="14">
        <f>[1]!i_dq_close(Y$2,$P302)</f>
        <v>6082.4614000000001</v>
      </c>
      <c r="Z302" s="14">
        <f>[1]!i_dq_close(Z$2,$P302)</f>
        <v>2576.9778999999999</v>
      </c>
      <c r="AB302" s="1">
        <v>42850</v>
      </c>
      <c r="AC302">
        <v>1.1770996808499712</v>
      </c>
      <c r="AD302">
        <v>1.2577165189431576</v>
      </c>
      <c r="AE302">
        <v>1.1832968836400066</v>
      </c>
      <c r="AF302">
        <v>1.1579677617909756</v>
      </c>
      <c r="AG302">
        <v>1.3596312210388748</v>
      </c>
      <c r="AH302">
        <v>1.1845261198158075</v>
      </c>
      <c r="AI302">
        <v>1.1270954089801961</v>
      </c>
      <c r="AJ302">
        <v>1.0363202985385795</v>
      </c>
      <c r="AK302">
        <v>1.2081141053286741</v>
      </c>
      <c r="AL302">
        <v>1.1453240710473236</v>
      </c>
    </row>
    <row r="303" spans="1:38" x14ac:dyDescent="0.4">
      <c r="A303" s="10">
        <v>42852</v>
      </c>
      <c r="B303" s="11">
        <v>1.2439933688395439</v>
      </c>
      <c r="C303" s="11">
        <v>1.2825335029406919</v>
      </c>
      <c r="D303" s="11">
        <v>1.164889557600655</v>
      </c>
      <c r="E303" s="11">
        <v>1.1783294514660361</v>
      </c>
      <c r="P303" s="1">
        <f>A302</f>
        <v>42851</v>
      </c>
      <c r="Q303" s="14">
        <f>[1]!i_dq_close(Q$2,$P303)</f>
        <v>1977.8574000000001</v>
      </c>
      <c r="R303" s="14">
        <f>[1]!i_dq_close(R$2,$P303)</f>
        <v>3226.2361999999998</v>
      </c>
      <c r="S303" s="14">
        <f>[1]!i_dq_close(S$2,$P303)</f>
        <v>3997.3833</v>
      </c>
      <c r="T303" s="14">
        <f>[1]!i_dq_close(T$2,$P303)</f>
        <v>5610.9843000000001</v>
      </c>
      <c r="U303" s="14">
        <f>[1]!i_dq_close(U$2,$P303)</f>
        <v>9109.9938999999995</v>
      </c>
      <c r="V303" s="14">
        <f>[1]!i_dq_close(V$2,$P303)</f>
        <v>9595.9874999999993</v>
      </c>
      <c r="W303" s="14">
        <f>[1]!i_dq_close(W$2,$P303)</f>
        <v>5273.9018999999998</v>
      </c>
      <c r="X303" s="14">
        <f>[1]!i_dq_close(X$2,$P303)</f>
        <v>5646.7920000000004</v>
      </c>
      <c r="Y303" s="14">
        <f>[1]!i_dq_close(Y$2,$P303)</f>
        <v>6056.5502999999999</v>
      </c>
      <c r="Z303" s="14">
        <f>[1]!i_dq_close(Z$2,$P303)</f>
        <v>2584.9940999999999</v>
      </c>
      <c r="AB303" s="1">
        <v>42851</v>
      </c>
      <c r="AC303">
        <v>1.1741908259401372</v>
      </c>
      <c r="AD303">
        <v>1.2645414857807704</v>
      </c>
      <c r="AE303">
        <v>1.1830415345380081</v>
      </c>
      <c r="AF303">
        <v>1.1601190639874339</v>
      </c>
      <c r="AG303">
        <v>1.358336670156943</v>
      </c>
      <c r="AH303">
        <v>1.1851592842073218</v>
      </c>
      <c r="AI303">
        <v>1.1303328204090208</v>
      </c>
      <c r="AJ303">
        <v>1.0431116544284493</v>
      </c>
      <c r="AK303">
        <v>1.2029675760971721</v>
      </c>
      <c r="AL303">
        <v>1.1488868283446716</v>
      </c>
    </row>
    <row r="304" spans="1:38" x14ac:dyDescent="0.4">
      <c r="A304" s="10">
        <v>42853</v>
      </c>
      <c r="B304" s="11">
        <v>1.2445396890100779</v>
      </c>
      <c r="C304" s="11">
        <v>1.280753489587064</v>
      </c>
      <c r="D304" s="11">
        <v>1.1645585277667629</v>
      </c>
      <c r="E304" s="11">
        <v>1.177389957303274</v>
      </c>
      <c r="P304" s="1">
        <f>A303</f>
        <v>42852</v>
      </c>
      <c r="Q304" s="14">
        <f>[1]!i_dq_close(Q$2,$P304)</f>
        <v>1987.9530999999999</v>
      </c>
      <c r="R304" s="14">
        <f>[1]!i_dq_close(R$2,$P304)</f>
        <v>3235.0873999999999</v>
      </c>
      <c r="S304" s="14">
        <f>[1]!i_dq_close(S$2,$P304)</f>
        <v>4011.6208999999999</v>
      </c>
      <c r="T304" s="14">
        <f>[1]!i_dq_close(T$2,$P304)</f>
        <v>5614.7470999999996</v>
      </c>
      <c r="U304" s="14">
        <f>[1]!i_dq_close(U$2,$P304)</f>
        <v>9122.0246000000006</v>
      </c>
      <c r="V304" s="14">
        <f>[1]!i_dq_close(V$2,$P304)</f>
        <v>9614.0148000000008</v>
      </c>
      <c r="W304" s="14">
        <f>[1]!i_dq_close(W$2,$P304)</f>
        <v>5271.0974999999999</v>
      </c>
      <c r="X304" s="14">
        <f>[1]!i_dq_close(X$2,$P304)</f>
        <v>5692.1517000000003</v>
      </c>
      <c r="Y304" s="14">
        <f>[1]!i_dq_close(Y$2,$P304)</f>
        <v>6068.5457999999999</v>
      </c>
      <c r="Z304" s="14">
        <f>[1]!i_dq_close(Z$2,$P304)</f>
        <v>2584.4369000000002</v>
      </c>
      <c r="AB304" s="1">
        <v>42852</v>
      </c>
      <c r="AC304">
        <v>1.1801843208814025</v>
      </c>
      <c r="AD304">
        <v>1.2680107635723166</v>
      </c>
      <c r="AE304">
        <v>1.1872552090565709</v>
      </c>
      <c r="AF304">
        <v>1.1608970551170779</v>
      </c>
      <c r="AG304">
        <v>1.3601304958342202</v>
      </c>
      <c r="AH304">
        <v>1.1873857587587104</v>
      </c>
      <c r="AI304">
        <v>1.12973176536066</v>
      </c>
      <c r="AJ304">
        <v>1.0514907892914613</v>
      </c>
      <c r="AK304">
        <v>1.2053501531161517</v>
      </c>
      <c r="AL304">
        <v>1.1486391837791565</v>
      </c>
    </row>
    <row r="305" spans="1:38" x14ac:dyDescent="0.4">
      <c r="A305" s="10">
        <v>42857</v>
      </c>
      <c r="B305" s="11">
        <v>1.24343889592061</v>
      </c>
      <c r="C305" s="11">
        <v>1.2801346749516569</v>
      </c>
      <c r="D305" s="11">
        <v>1.1643797322513361</v>
      </c>
      <c r="E305" s="11">
        <v>1.1781134881356869</v>
      </c>
      <c r="P305" s="1">
        <f>A304</f>
        <v>42853</v>
      </c>
      <c r="Q305" s="14">
        <f>[1]!i_dq_close(Q$2,$P305)</f>
        <v>1999.9670000000001</v>
      </c>
      <c r="R305" s="14">
        <f>[1]!i_dq_close(R$2,$P305)</f>
        <v>3258.4544999999998</v>
      </c>
      <c r="S305" s="14">
        <f>[1]!i_dq_close(S$2,$P305)</f>
        <v>4028.1311000000001</v>
      </c>
      <c r="T305" s="14">
        <f>[1]!i_dq_close(T$2,$P305)</f>
        <v>5608.3185000000003</v>
      </c>
      <c r="U305" s="14">
        <f>[1]!i_dq_close(U$2,$P305)</f>
        <v>8986.6684000000005</v>
      </c>
      <c r="V305" s="14">
        <f>[1]!i_dq_close(V$2,$P305)</f>
        <v>9577.3366999999998</v>
      </c>
      <c r="W305" s="14">
        <f>[1]!i_dq_close(W$2,$P305)</f>
        <v>5279.3973999999998</v>
      </c>
      <c r="X305" s="14">
        <f>[1]!i_dq_close(X$2,$P305)</f>
        <v>5708.5601999999999</v>
      </c>
      <c r="Y305" s="14">
        <f>[1]!i_dq_close(Y$2,$P305)</f>
        <v>6081.1769999999997</v>
      </c>
      <c r="Z305" s="14">
        <f>[1]!i_dq_close(Z$2,$P305)</f>
        <v>2592.4508999999998</v>
      </c>
      <c r="AB305" s="1">
        <v>42853</v>
      </c>
      <c r="AC305">
        <v>1.1873165899538656</v>
      </c>
      <c r="AD305">
        <v>1.2771696302890152</v>
      </c>
      <c r="AE305">
        <v>1.1921414686112974</v>
      </c>
      <c r="AF305">
        <v>1.159567887003963</v>
      </c>
      <c r="AG305">
        <v>1.3399483429138876</v>
      </c>
      <c r="AH305">
        <v>1.1828558038434829</v>
      </c>
      <c r="AI305">
        <v>1.1315106474016992</v>
      </c>
      <c r="AJ305">
        <v>1.0545218727069101</v>
      </c>
      <c r="AK305">
        <v>1.2078589945018492</v>
      </c>
      <c r="AL305">
        <v>1.1522009632982486</v>
      </c>
    </row>
    <row r="306" spans="1:38" x14ac:dyDescent="0.4">
      <c r="A306" s="10">
        <v>42858</v>
      </c>
      <c r="B306" s="11">
        <v>1.2403083132839059</v>
      </c>
      <c r="C306" s="11">
        <v>1.2761675254940781</v>
      </c>
      <c r="D306" s="11">
        <v>1.161373377648804</v>
      </c>
      <c r="E306" s="11">
        <v>1.175161385313426</v>
      </c>
      <c r="P306" s="1">
        <f>A305</f>
        <v>42857</v>
      </c>
      <c r="Q306" s="14">
        <f>[1]!i_dq_close(Q$2,$P306)</f>
        <v>1995.6244999999999</v>
      </c>
      <c r="R306" s="14">
        <f>[1]!i_dq_close(R$2,$P306)</f>
        <v>3268.6208000000001</v>
      </c>
      <c r="S306" s="14">
        <f>[1]!i_dq_close(S$2,$P306)</f>
        <v>4035.4398000000001</v>
      </c>
      <c r="T306" s="14">
        <f>[1]!i_dq_close(T$2,$P306)</f>
        <v>5622.4615999999996</v>
      </c>
      <c r="U306" s="14">
        <f>[1]!i_dq_close(U$2,$P306)</f>
        <v>8953.6880000000001</v>
      </c>
      <c r="V306" s="14">
        <f>[1]!i_dq_close(V$2,$P306)</f>
        <v>9553.6830000000009</v>
      </c>
      <c r="W306" s="14">
        <f>[1]!i_dq_close(W$2,$P306)</f>
        <v>5240.1972999999998</v>
      </c>
      <c r="X306" s="14">
        <f>[1]!i_dq_close(X$2,$P306)</f>
        <v>5690.2097999999996</v>
      </c>
      <c r="Y306" s="14">
        <f>[1]!i_dq_close(Y$2,$P306)</f>
        <v>6067.4312</v>
      </c>
      <c r="Z306" s="14">
        <f>[1]!i_dq_close(Z$2,$P306)</f>
        <v>2584.2183</v>
      </c>
      <c r="AB306" s="1">
        <v>42857</v>
      </c>
      <c r="AC306">
        <v>1.1847385862708673</v>
      </c>
      <c r="AD306">
        <v>1.2811543689472986</v>
      </c>
      <c r="AE306">
        <v>1.1943045075331538</v>
      </c>
      <c r="AF306">
        <v>1.1624920940693579</v>
      </c>
      <c r="AG306">
        <v>1.335030832846571</v>
      </c>
      <c r="AH306">
        <v>1.1799344367449063</v>
      </c>
      <c r="AI306">
        <v>1.1231090577564091</v>
      </c>
      <c r="AJ306">
        <v>1.05113206906204</v>
      </c>
      <c r="AK306">
        <v>1.2051287684014373</v>
      </c>
      <c r="AL306">
        <v>1.1485420281761027</v>
      </c>
    </row>
    <row r="307" spans="1:38" x14ac:dyDescent="0.4">
      <c r="A307" s="10">
        <v>42859</v>
      </c>
      <c r="B307" s="11">
        <v>1.2371908522985251</v>
      </c>
      <c r="C307" s="11">
        <v>1.2719798093496859</v>
      </c>
      <c r="D307" s="11">
        <v>1.1586111305226969</v>
      </c>
      <c r="E307" s="11">
        <v>1.171421940387219</v>
      </c>
      <c r="P307" s="1">
        <f>A306</f>
        <v>42858</v>
      </c>
      <c r="Q307" s="14">
        <f>[1]!i_dq_close(Q$2,$P307)</f>
        <v>1986.3040000000001</v>
      </c>
      <c r="R307" s="14">
        <f>[1]!i_dq_close(R$2,$P307)</f>
        <v>3254.5713000000001</v>
      </c>
      <c r="S307" s="14">
        <f>[1]!i_dq_close(S$2,$P307)</f>
        <v>4018.4877999999999</v>
      </c>
      <c r="T307" s="14">
        <f>[1]!i_dq_close(T$2,$P307)</f>
        <v>5613.9351999999999</v>
      </c>
      <c r="U307" s="14">
        <f>[1]!i_dq_close(U$2,$P307)</f>
        <v>8961.8572999999997</v>
      </c>
      <c r="V307" s="14">
        <f>[1]!i_dq_close(V$2,$P307)</f>
        <v>9533.6821</v>
      </c>
      <c r="W307" s="14">
        <f>[1]!i_dq_close(W$2,$P307)</f>
        <v>5213.7455</v>
      </c>
      <c r="X307" s="14">
        <f>[1]!i_dq_close(X$2,$P307)</f>
        <v>5686.0487999999996</v>
      </c>
      <c r="Y307" s="14">
        <f>[1]!i_dq_close(Y$2,$P307)</f>
        <v>6077.5851000000002</v>
      </c>
      <c r="Z307" s="14">
        <f>[1]!i_dq_close(Z$2,$P307)</f>
        <v>2551.4086000000002</v>
      </c>
      <c r="AB307" s="1">
        <v>42858</v>
      </c>
      <c r="AC307">
        <v>1.1792053028333582</v>
      </c>
      <c r="AD307">
        <v>1.2756475881342642</v>
      </c>
      <c r="AE307">
        <v>1.1892874955059387</v>
      </c>
      <c r="AF307">
        <v>1.1607291878378823</v>
      </c>
      <c r="AG307">
        <v>1.3362489082790376</v>
      </c>
      <c r="AH307">
        <v>1.1774642113170903</v>
      </c>
      <c r="AI307">
        <v>1.117439756683726</v>
      </c>
      <c r="AJ307">
        <v>1.0503634224403693</v>
      </c>
      <c r="AK307">
        <v>1.2071455620984919</v>
      </c>
      <c r="AL307">
        <v>1.133959932158189</v>
      </c>
    </row>
    <row r="308" spans="1:38" x14ac:dyDescent="0.4">
      <c r="A308" s="10">
        <v>42860</v>
      </c>
      <c r="B308" s="11">
        <v>1.2256780918929719</v>
      </c>
      <c r="C308" s="11">
        <v>1.2605546778735339</v>
      </c>
      <c r="D308" s="11">
        <v>1.1473644817271751</v>
      </c>
      <c r="E308" s="11">
        <v>1.161128709814738</v>
      </c>
      <c r="P308" s="1">
        <f>A307</f>
        <v>42859</v>
      </c>
      <c r="Q308" s="14">
        <f>[1]!i_dq_close(Q$2,$P308)</f>
        <v>1971.1369999999999</v>
      </c>
      <c r="R308" s="14">
        <f>[1]!i_dq_close(R$2,$P308)</f>
        <v>3230.2592</v>
      </c>
      <c r="S308" s="14">
        <f>[1]!i_dq_close(S$2,$P308)</f>
        <v>4016.4416000000001</v>
      </c>
      <c r="T308" s="14">
        <f>[1]!i_dq_close(T$2,$P308)</f>
        <v>5594.6993000000002</v>
      </c>
      <c r="U308" s="14">
        <f>[1]!i_dq_close(U$2,$P308)</f>
        <v>8937.7322999999997</v>
      </c>
      <c r="V308" s="14">
        <f>[1]!i_dq_close(V$2,$P308)</f>
        <v>9519.1502</v>
      </c>
      <c r="W308" s="14">
        <f>[1]!i_dq_close(W$2,$P308)</f>
        <v>5191.9430000000002</v>
      </c>
      <c r="X308" s="14">
        <f>[1]!i_dq_close(X$2,$P308)</f>
        <v>5683.5532999999996</v>
      </c>
      <c r="Y308" s="14">
        <f>[1]!i_dq_close(Y$2,$P308)</f>
        <v>6040.6862000000001</v>
      </c>
      <c r="Z308" s="14">
        <f>[1]!i_dq_close(Z$2,$P308)</f>
        <v>2557.2321999999999</v>
      </c>
      <c r="AB308" s="1">
        <v>42859</v>
      </c>
      <c r="AC308">
        <v>1.1702011389047382</v>
      </c>
      <c r="AD308">
        <v>1.2661183233344795</v>
      </c>
      <c r="AE308">
        <v>1.1886819144529603</v>
      </c>
      <c r="AF308">
        <v>1.1567520007509471</v>
      </c>
      <c r="AG308">
        <v>1.3326517739091084</v>
      </c>
      <c r="AH308">
        <v>1.1756694386371371</v>
      </c>
      <c r="AI308">
        <v>1.112766920179701</v>
      </c>
      <c r="AJ308">
        <v>1.0499024376664257</v>
      </c>
      <c r="AK308">
        <v>1.1998166078101651</v>
      </c>
      <c r="AL308">
        <v>1.1365482000902312</v>
      </c>
    </row>
    <row r="309" spans="1:38" x14ac:dyDescent="0.4">
      <c r="A309" s="10">
        <v>42863</v>
      </c>
      <c r="B309" s="11">
        <v>1.210155849265373</v>
      </c>
      <c r="C309" s="11">
        <v>1.24345324156467</v>
      </c>
      <c r="D309" s="11">
        <v>1.1309120003228961</v>
      </c>
      <c r="E309" s="11">
        <v>1.1442674919383431</v>
      </c>
      <c r="P309" s="1">
        <f>A308</f>
        <v>42860</v>
      </c>
      <c r="Q309" s="14">
        <f>[1]!i_dq_close(Q$2,$P309)</f>
        <v>1927.6304</v>
      </c>
      <c r="R309" s="14">
        <f>[1]!i_dq_close(R$2,$P309)</f>
        <v>3186.6286</v>
      </c>
      <c r="S309" s="14">
        <f>[1]!i_dq_close(S$2,$P309)</f>
        <v>3961.8193999999999</v>
      </c>
      <c r="T309" s="14">
        <f>[1]!i_dq_close(T$2,$P309)</f>
        <v>5566.2367999999997</v>
      </c>
      <c r="U309" s="14">
        <f>[1]!i_dq_close(U$2,$P309)</f>
        <v>8872.0288999999993</v>
      </c>
      <c r="V309" s="14">
        <f>[1]!i_dq_close(V$2,$P309)</f>
        <v>9445.5049999999992</v>
      </c>
      <c r="W309" s="14">
        <f>[1]!i_dq_close(W$2,$P309)</f>
        <v>5155.0681000000004</v>
      </c>
      <c r="X309" s="14">
        <f>[1]!i_dq_close(X$2,$P309)</f>
        <v>5618.6100999999999</v>
      </c>
      <c r="Y309" s="14">
        <f>[1]!i_dq_close(Y$2,$P309)</f>
        <v>5972.8909999999996</v>
      </c>
      <c r="Z309" s="14">
        <f>[1]!i_dq_close(Z$2,$P309)</f>
        <v>2541.4585999999999</v>
      </c>
      <c r="AB309" s="1">
        <v>42860</v>
      </c>
      <c r="AC309">
        <v>1.1443726587585723</v>
      </c>
      <c r="AD309">
        <v>1.2490170634361788</v>
      </c>
      <c r="AE309">
        <v>1.1725162564566802</v>
      </c>
      <c r="AF309">
        <v>1.1508671350850883</v>
      </c>
      <c r="AG309">
        <v>1.3228551331480218</v>
      </c>
      <c r="AH309">
        <v>1.1665738356554423</v>
      </c>
      <c r="AI309">
        <v>1.1048636806978858</v>
      </c>
      <c r="AJ309">
        <v>1.0379057130135827</v>
      </c>
      <c r="AK309">
        <v>1.1863509510624577</v>
      </c>
      <c r="AL309">
        <v>1.1295377077739903</v>
      </c>
    </row>
    <row r="310" spans="1:38" x14ac:dyDescent="0.4">
      <c r="A310" s="10">
        <v>42864</v>
      </c>
      <c r="B310" s="11">
        <v>1.2143562913336861</v>
      </c>
      <c r="C310" s="11">
        <v>1.247240970856101</v>
      </c>
      <c r="D310" s="11">
        <v>1.136408415429808</v>
      </c>
      <c r="E310" s="11">
        <v>1.1510547756951801</v>
      </c>
      <c r="P310" s="1">
        <f>A309</f>
        <v>42863</v>
      </c>
      <c r="Q310" s="14">
        <f>[1]!i_dq_close(Q$2,$P310)</f>
        <v>1915.4983999999999</v>
      </c>
      <c r="R310" s="14">
        <f>[1]!i_dq_close(R$2,$P310)</f>
        <v>3131.6136000000001</v>
      </c>
      <c r="S310" s="14">
        <f>[1]!i_dq_close(S$2,$P310)</f>
        <v>3872.4081000000001</v>
      </c>
      <c r="T310" s="14">
        <f>[1]!i_dq_close(T$2,$P310)</f>
        <v>5493.9404999999997</v>
      </c>
      <c r="U310" s="14">
        <f>[1]!i_dq_close(U$2,$P310)</f>
        <v>8720.6312999999991</v>
      </c>
      <c r="V310" s="14">
        <f>[1]!i_dq_close(V$2,$P310)</f>
        <v>9351.2723999999998</v>
      </c>
      <c r="W310" s="14">
        <f>[1]!i_dq_close(W$2,$P310)</f>
        <v>5146.2915000000003</v>
      </c>
      <c r="X310" s="14">
        <f>[1]!i_dq_close(X$2,$P310)</f>
        <v>5538.4106000000002</v>
      </c>
      <c r="Y310" s="14">
        <f>[1]!i_dq_close(Y$2,$P310)</f>
        <v>5904.4039000000002</v>
      </c>
      <c r="Z310" s="14">
        <f>[1]!i_dq_close(Z$2,$P310)</f>
        <v>2512.6642000000002</v>
      </c>
      <c r="AB310" s="1">
        <v>42863</v>
      </c>
      <c r="AC310">
        <v>1.1371702774846211</v>
      </c>
      <c r="AD310">
        <v>1.2274536237102749</v>
      </c>
      <c r="AE310">
        <v>1.1460546255300093</v>
      </c>
      <c r="AF310">
        <v>1.1359192558180309</v>
      </c>
      <c r="AG310">
        <v>1.3002811430761125</v>
      </c>
      <c r="AH310">
        <v>1.1549355711448859</v>
      </c>
      <c r="AI310">
        <v>1.1029826295862597</v>
      </c>
      <c r="AJ310">
        <v>1.0230907467231058</v>
      </c>
      <c r="AK310">
        <v>1.1727478673596898</v>
      </c>
      <c r="AL310">
        <v>1.1167401904063154</v>
      </c>
    </row>
    <row r="311" spans="1:38" x14ac:dyDescent="0.4">
      <c r="A311" s="10">
        <v>42865</v>
      </c>
      <c r="B311" s="11">
        <v>1.205946642310596</v>
      </c>
      <c r="C311" s="11">
        <v>1.2369432458264571</v>
      </c>
      <c r="D311" s="11">
        <v>1.125996092545323</v>
      </c>
      <c r="E311" s="11">
        <v>1.141902676948892</v>
      </c>
      <c r="P311" s="1">
        <f>A310</f>
        <v>42864</v>
      </c>
      <c r="Q311" s="14">
        <f>[1]!i_dq_close(Q$2,$P311)</f>
        <v>1925.8851999999999</v>
      </c>
      <c r="R311" s="14">
        <f>[1]!i_dq_close(R$2,$P311)</f>
        <v>3148.2914999999998</v>
      </c>
      <c r="S311" s="14">
        <f>[1]!i_dq_close(S$2,$P311)</f>
        <v>3881.5221000000001</v>
      </c>
      <c r="T311" s="14">
        <f>[1]!i_dq_close(T$2,$P311)</f>
        <v>5479.0378000000001</v>
      </c>
      <c r="U311" s="14">
        <f>[1]!i_dq_close(U$2,$P311)</f>
        <v>8719.7445000000007</v>
      </c>
      <c r="V311" s="14">
        <f>[1]!i_dq_close(V$2,$P311)</f>
        <v>9343.4325000000008</v>
      </c>
      <c r="W311" s="14">
        <f>[1]!i_dq_close(W$2,$P311)</f>
        <v>5145.5531000000001</v>
      </c>
      <c r="X311" s="14">
        <f>[1]!i_dq_close(X$2,$P311)</f>
        <v>5585.7923000000001</v>
      </c>
      <c r="Y311" s="14">
        <f>[1]!i_dq_close(Y$2,$P311)</f>
        <v>5932.1827000000003</v>
      </c>
      <c r="Z311" s="14">
        <f>[1]!i_dq_close(Z$2,$P311)</f>
        <v>2543.3193999999999</v>
      </c>
      <c r="AB311" s="1">
        <v>42864</v>
      </c>
      <c r="AC311">
        <v>1.1433365892070309</v>
      </c>
      <c r="AD311">
        <v>1.2339906207366249</v>
      </c>
      <c r="AE311">
        <v>1.1487519501888128</v>
      </c>
      <c r="AF311">
        <v>1.1328379949464071</v>
      </c>
      <c r="AG311">
        <v>1.3001489176353147</v>
      </c>
      <c r="AH311">
        <v>1.1539672987005694</v>
      </c>
      <c r="AI311">
        <v>1.102824371474824</v>
      </c>
      <c r="AJ311">
        <v>1.0318433984015514</v>
      </c>
      <c r="AK311">
        <v>1.1782653639621516</v>
      </c>
      <c r="AL311">
        <v>1.1303647304005349</v>
      </c>
    </row>
    <row r="312" spans="1:38" x14ac:dyDescent="0.4">
      <c r="A312" s="10">
        <v>42866</v>
      </c>
      <c r="B312" s="11">
        <v>1.209408788794144</v>
      </c>
      <c r="C312" s="11">
        <v>1.2432901867495549</v>
      </c>
      <c r="D312" s="11">
        <v>1.1296210759390519</v>
      </c>
      <c r="E312" s="11">
        <v>1.148024365086894</v>
      </c>
      <c r="P312" s="1">
        <f>A311</f>
        <v>42865</v>
      </c>
      <c r="Q312" s="14">
        <f>[1]!i_dq_close(Q$2,$P312)</f>
        <v>1901.3100999999999</v>
      </c>
      <c r="R312" s="14">
        <f>[1]!i_dq_close(R$2,$P312)</f>
        <v>3082.7995000000001</v>
      </c>
      <c r="S312" s="14">
        <f>[1]!i_dq_close(S$2,$P312)</f>
        <v>3795.7928999999999</v>
      </c>
      <c r="T312" s="14">
        <f>[1]!i_dq_close(T$2,$P312)</f>
        <v>5409.8710000000001</v>
      </c>
      <c r="U312" s="14">
        <f>[1]!i_dq_close(U$2,$P312)</f>
        <v>8633.3173999999999</v>
      </c>
      <c r="V312" s="14">
        <f>[1]!i_dq_close(V$2,$P312)</f>
        <v>9249.6797000000006</v>
      </c>
      <c r="W312" s="14">
        <f>[1]!i_dq_close(W$2,$P312)</f>
        <v>5159.5104000000001</v>
      </c>
      <c r="X312" s="14">
        <f>[1]!i_dq_close(X$2,$P312)</f>
        <v>5525.5340999999999</v>
      </c>
      <c r="Y312" s="14">
        <f>[1]!i_dq_close(Y$2,$P312)</f>
        <v>5854.5326999999997</v>
      </c>
      <c r="Z312" s="14">
        <f>[1]!i_dq_close(Z$2,$P312)</f>
        <v>2493.6792</v>
      </c>
      <c r="AB312" s="1">
        <v>42865</v>
      </c>
      <c r="AC312">
        <v>1.1287471365161739</v>
      </c>
      <c r="AD312">
        <v>1.2083206617340094</v>
      </c>
      <c r="AE312">
        <v>1.1233800514462737</v>
      </c>
      <c r="AF312">
        <v>1.1185371666095669</v>
      </c>
      <c r="AG312">
        <v>1.2872622899916539</v>
      </c>
      <c r="AH312">
        <v>1.1423882922314141</v>
      </c>
      <c r="AI312">
        <v>1.1058157798425632</v>
      </c>
      <c r="AJ312">
        <v>1.0207121170129538</v>
      </c>
      <c r="AK312">
        <v>1.1628423215275918</v>
      </c>
      <c r="AL312">
        <v>1.1083024085033997</v>
      </c>
    </row>
    <row r="313" spans="1:38" x14ac:dyDescent="0.4">
      <c r="A313" s="10">
        <v>42867</v>
      </c>
      <c r="B313" s="11">
        <v>1.2112713178000929</v>
      </c>
      <c r="C313" s="11">
        <v>1.2456895431264781</v>
      </c>
      <c r="D313" s="11">
        <v>1.129658443506089</v>
      </c>
      <c r="E313" s="11">
        <v>1.1483963184606181</v>
      </c>
      <c r="P313" s="1">
        <f>A312</f>
        <v>42866</v>
      </c>
      <c r="Q313" s="14">
        <f>[1]!i_dq_close(Q$2,$P313)</f>
        <v>1901.0679</v>
      </c>
      <c r="R313" s="14">
        <f>[1]!i_dq_close(R$2,$P313)</f>
        <v>3073.5942</v>
      </c>
      <c r="S313" s="14">
        <f>[1]!i_dq_close(S$2,$P313)</f>
        <v>3801.6145999999999</v>
      </c>
      <c r="T313" s="14">
        <f>[1]!i_dq_close(T$2,$P313)</f>
        <v>5412.7226000000001</v>
      </c>
      <c r="U313" s="14">
        <f>[1]!i_dq_close(U$2,$P313)</f>
        <v>8626.4567999999999</v>
      </c>
      <c r="V313" s="14">
        <f>[1]!i_dq_close(V$2,$P313)</f>
        <v>9232.4753999999994</v>
      </c>
      <c r="W313" s="14">
        <f>[1]!i_dq_close(W$2,$P313)</f>
        <v>5184.4615000000003</v>
      </c>
      <c r="X313" s="14">
        <f>[1]!i_dq_close(X$2,$P313)</f>
        <v>5486.0555999999997</v>
      </c>
      <c r="Y313" s="14">
        <f>[1]!i_dq_close(Y$2,$P313)</f>
        <v>5838.9677000000001</v>
      </c>
      <c r="Z313" s="14">
        <f>[1]!i_dq_close(Z$2,$P313)</f>
        <v>2496.7973999999999</v>
      </c>
      <c r="AB313" s="1">
        <v>42866</v>
      </c>
      <c r="AC313">
        <v>1.1286033501046548</v>
      </c>
      <c r="AD313">
        <v>1.2047125924491078</v>
      </c>
      <c r="AE313">
        <v>1.1251030067859882</v>
      </c>
      <c r="AF313">
        <v>1.1191267593344771</v>
      </c>
      <c r="AG313">
        <v>1.2862393469840545</v>
      </c>
      <c r="AH313">
        <v>1.140263462882346</v>
      </c>
      <c r="AI313">
        <v>1.1111634423076742</v>
      </c>
      <c r="AJ313">
        <v>1.0134193951543564</v>
      </c>
      <c r="AK313">
        <v>1.1597507612507867</v>
      </c>
      <c r="AL313">
        <v>1.1096882758476014</v>
      </c>
    </row>
    <row r="314" spans="1:38" x14ac:dyDescent="0.4">
      <c r="A314" s="10">
        <v>42870</v>
      </c>
      <c r="B314" s="11">
        <v>1.218020550628802</v>
      </c>
      <c r="C314" s="11">
        <v>1.252253669189946</v>
      </c>
      <c r="D314" s="11">
        <v>1.1355939590209869</v>
      </c>
      <c r="E314" s="11">
        <v>1.155262470252584</v>
      </c>
      <c r="P314" s="1">
        <f>A313</f>
        <v>42867</v>
      </c>
      <c r="Q314" s="14">
        <f>[1]!i_dq_close(Q$2,$P314)</f>
        <v>1905.0340000000001</v>
      </c>
      <c r="R314" s="14">
        <f>[1]!i_dq_close(R$2,$P314)</f>
        <v>3068.3948</v>
      </c>
      <c r="S314" s="14">
        <f>[1]!i_dq_close(S$2,$P314)</f>
        <v>3796.6525000000001</v>
      </c>
      <c r="T314" s="14">
        <f>[1]!i_dq_close(T$2,$P314)</f>
        <v>5416.5601999999999</v>
      </c>
      <c r="U314" s="14">
        <f>[1]!i_dq_close(U$2,$P314)</f>
        <v>8633.3133999999991</v>
      </c>
      <c r="V314" s="14">
        <f>[1]!i_dq_close(V$2,$P314)</f>
        <v>9259.7014999999992</v>
      </c>
      <c r="W314" s="14">
        <f>[1]!i_dq_close(W$2,$P314)</f>
        <v>5276.8469999999998</v>
      </c>
      <c r="X314" s="14">
        <f>[1]!i_dq_close(X$2,$P314)</f>
        <v>5463.3597</v>
      </c>
      <c r="Y314" s="14">
        <f>[1]!i_dq_close(Y$2,$P314)</f>
        <v>5825.8053</v>
      </c>
      <c r="Z314" s="14">
        <f>[1]!i_dq_close(Z$2,$P314)</f>
        <v>2501.6691000000001</v>
      </c>
      <c r="AB314" s="1">
        <v>42867</v>
      </c>
      <c r="AC314">
        <v>1.1309578971183887</v>
      </c>
      <c r="AD314">
        <v>1.2026746582764118</v>
      </c>
      <c r="AE314">
        <v>1.1236344534955067</v>
      </c>
      <c r="AF314">
        <v>1.1199202160048083</v>
      </c>
      <c r="AG314">
        <v>1.2872616935755925</v>
      </c>
      <c r="AH314">
        <v>1.1436260417923079</v>
      </c>
      <c r="AI314">
        <v>1.1309640310861451</v>
      </c>
      <c r="AJ314">
        <v>1.0092268628638554</v>
      </c>
      <c r="AK314">
        <v>1.1571364115567666</v>
      </c>
      <c r="AL314">
        <v>1.1118534769061443</v>
      </c>
    </row>
    <row r="315" spans="1:38" x14ac:dyDescent="0.4">
      <c r="A315" s="10">
        <v>42871</v>
      </c>
      <c r="B315" s="11">
        <v>1.2367364486492569</v>
      </c>
      <c r="C315" s="11">
        <v>1.2716710128081741</v>
      </c>
      <c r="D315" s="11">
        <v>1.1540651132343951</v>
      </c>
      <c r="E315" s="11">
        <v>1.176760211017303</v>
      </c>
      <c r="P315" s="1">
        <f>A314</f>
        <v>42870</v>
      </c>
      <c r="Q315" s="14">
        <f>[1]!i_dq_close(Q$2,$P315)</f>
        <v>1922.9203</v>
      </c>
      <c r="R315" s="14">
        <f>[1]!i_dq_close(R$2,$P315)</f>
        <v>3074.3733999999999</v>
      </c>
      <c r="S315" s="14">
        <f>[1]!i_dq_close(S$2,$P315)</f>
        <v>3791.9929000000002</v>
      </c>
      <c r="T315" s="14">
        <f>[1]!i_dq_close(T$2,$P315)</f>
        <v>5429.8624</v>
      </c>
      <c r="U315" s="14">
        <f>[1]!i_dq_close(U$2,$P315)</f>
        <v>8717.8575000000001</v>
      </c>
      <c r="V315" s="14">
        <f>[1]!i_dq_close(V$2,$P315)</f>
        <v>9333.0889000000006</v>
      </c>
      <c r="W315" s="14">
        <f>[1]!i_dq_close(W$2,$P315)</f>
        <v>5283.9654</v>
      </c>
      <c r="X315" s="14">
        <f>[1]!i_dq_close(X$2,$P315)</f>
        <v>5535.1202000000003</v>
      </c>
      <c r="Y315" s="14">
        <f>[1]!i_dq_close(Y$2,$P315)</f>
        <v>5865.2866999999997</v>
      </c>
      <c r="Z315" s="14">
        <f>[1]!i_dq_close(Z$2,$P315)</f>
        <v>2511.7017999999998</v>
      </c>
      <c r="AB315" s="1">
        <v>42870</v>
      </c>
      <c r="AC315">
        <v>1.1415764226855063</v>
      </c>
      <c r="AD315">
        <v>1.2050180042865053</v>
      </c>
      <c r="AE315">
        <v>1.1222554262867992</v>
      </c>
      <c r="AF315">
        <v>1.1226705597926128</v>
      </c>
      <c r="AG315">
        <v>1.2998675583583796</v>
      </c>
      <c r="AH315">
        <v>1.1526898050010279</v>
      </c>
      <c r="AI315">
        <v>1.1324896872893446</v>
      </c>
      <c r="AJ315">
        <v>1.0224829229201871</v>
      </c>
      <c r="AK315">
        <v>1.1649783086279299</v>
      </c>
      <c r="AL315">
        <v>1.1163124568638676</v>
      </c>
    </row>
    <row r="316" spans="1:38" x14ac:dyDescent="0.4">
      <c r="A316" s="10">
        <v>42872</v>
      </c>
      <c r="B316" s="11">
        <v>1.234278357087131</v>
      </c>
      <c r="C316" s="11">
        <v>1.268505816876579</v>
      </c>
      <c r="D316" s="11">
        <v>1.150896980806325</v>
      </c>
      <c r="E316" s="11">
        <v>1.172505587110567</v>
      </c>
      <c r="P316" s="1">
        <f>A315</f>
        <v>42871</v>
      </c>
      <c r="Q316" s="14">
        <f>[1]!i_dq_close(Q$2,$P316)</f>
        <v>1938.2810999999999</v>
      </c>
      <c r="R316" s="14">
        <f>[1]!i_dq_close(R$2,$P316)</f>
        <v>3146.1266999999998</v>
      </c>
      <c r="S316" s="14">
        <f>[1]!i_dq_close(S$2,$P316)</f>
        <v>3853.3883999999998</v>
      </c>
      <c r="T316" s="14">
        <f>[1]!i_dq_close(T$2,$P316)</f>
        <v>5510.4192999999996</v>
      </c>
      <c r="U316" s="14">
        <f>[1]!i_dq_close(U$2,$P316)</f>
        <v>8894.7499000000007</v>
      </c>
      <c r="V316" s="14">
        <f>[1]!i_dq_close(V$2,$P316)</f>
        <v>9500.5547999999999</v>
      </c>
      <c r="W316" s="14">
        <f>[1]!i_dq_close(W$2,$P316)</f>
        <v>5286.7109</v>
      </c>
      <c r="X316" s="14">
        <f>[1]!i_dq_close(X$2,$P316)</f>
        <v>5668.8279000000002</v>
      </c>
      <c r="Y316" s="14">
        <f>[1]!i_dq_close(Y$2,$P316)</f>
        <v>6008.375</v>
      </c>
      <c r="Z316" s="14">
        <f>[1]!i_dq_close(Z$2,$P316)</f>
        <v>2553.5313000000001</v>
      </c>
      <c r="AB316" s="1">
        <v>42871</v>
      </c>
      <c r="AC316">
        <v>1.1506956394900651</v>
      </c>
      <c r="AD316">
        <v>1.2331421151596254</v>
      </c>
      <c r="AE316">
        <v>1.1404256694390451</v>
      </c>
      <c r="AF316">
        <v>1.1393263888644798</v>
      </c>
      <c r="AG316">
        <v>1.3262429254804227</v>
      </c>
      <c r="AH316">
        <v>1.1733728004898336</v>
      </c>
      <c r="AI316">
        <v>1.1330781185528143</v>
      </c>
      <c r="AJ316">
        <v>1.0471822672836455</v>
      </c>
      <c r="AK316">
        <v>1.1933988742787864</v>
      </c>
      <c r="AL316">
        <v>1.1349033548416401</v>
      </c>
    </row>
    <row r="317" spans="1:38" x14ac:dyDescent="0.4">
      <c r="A317" s="10">
        <v>42873</v>
      </c>
      <c r="B317" s="11">
        <v>1.2287515898040029</v>
      </c>
      <c r="C317" s="11">
        <v>1.262883615121549</v>
      </c>
      <c r="D317" s="11">
        <v>1.144793553505064</v>
      </c>
      <c r="E317" s="11">
        <v>1.165330475500062</v>
      </c>
      <c r="P317" s="1">
        <f>A316</f>
        <v>42872</v>
      </c>
      <c r="Q317" s="14">
        <f>[1]!i_dq_close(Q$2,$P317)</f>
        <v>1940.9199000000001</v>
      </c>
      <c r="R317" s="14">
        <f>[1]!i_dq_close(R$2,$P317)</f>
        <v>3151.9749999999999</v>
      </c>
      <c r="S317" s="14">
        <f>[1]!i_dq_close(S$2,$P317)</f>
        <v>3865.5646000000002</v>
      </c>
      <c r="T317" s="14">
        <f>[1]!i_dq_close(T$2,$P317)</f>
        <v>5505.4913999999999</v>
      </c>
      <c r="U317" s="14">
        <f>[1]!i_dq_close(U$2,$P317)</f>
        <v>8844.7309000000005</v>
      </c>
      <c r="V317" s="14">
        <f>[1]!i_dq_close(V$2,$P317)</f>
        <v>9469.1558000000005</v>
      </c>
      <c r="W317" s="14">
        <f>[1]!i_dq_close(W$2,$P317)</f>
        <v>5252.3449000000001</v>
      </c>
      <c r="X317" s="14">
        <f>[1]!i_dq_close(X$2,$P317)</f>
        <v>5655.8958000000002</v>
      </c>
      <c r="Y317" s="14">
        <f>[1]!i_dq_close(Y$2,$P317)</f>
        <v>6019.7491</v>
      </c>
      <c r="Z317" s="14">
        <f>[1]!i_dq_close(Z$2,$P317)</f>
        <v>2560.8182999999999</v>
      </c>
      <c r="AB317" s="1">
        <v>42872</v>
      </c>
      <c r="AC317">
        <v>1.1522622108472778</v>
      </c>
      <c r="AD317">
        <v>1.2354343893493736</v>
      </c>
      <c r="AE317">
        <v>1.144029264403992</v>
      </c>
      <c r="AF317">
        <v>1.1383075033303636</v>
      </c>
      <c r="AG317">
        <v>1.3187848917374383</v>
      </c>
      <c r="AH317">
        <v>1.1694948445874498</v>
      </c>
      <c r="AI317">
        <v>1.1257126008691851</v>
      </c>
      <c r="AJ317">
        <v>1.0447933667847014</v>
      </c>
      <c r="AK317">
        <v>1.1956580272337758</v>
      </c>
      <c r="AL317">
        <v>1.1381420230916557</v>
      </c>
    </row>
    <row r="318" spans="1:38" x14ac:dyDescent="0.4">
      <c r="A318" s="10">
        <v>42874</v>
      </c>
      <c r="B318" s="11">
        <v>1.2259588463417941</v>
      </c>
      <c r="C318" s="11">
        <v>1.2612328878689809</v>
      </c>
      <c r="D318" s="11">
        <v>1.14270116220227</v>
      </c>
      <c r="E318" s="11">
        <v>1.162003285591233</v>
      </c>
      <c r="P318" s="1">
        <f>A317</f>
        <v>42873</v>
      </c>
      <c r="Q318" s="14">
        <f>[1]!i_dq_close(Q$2,$P318)</f>
        <v>1951.8895</v>
      </c>
      <c r="R318" s="14">
        <f>[1]!i_dq_close(R$2,$P318)</f>
        <v>3122.9737</v>
      </c>
      <c r="S318" s="14">
        <f>[1]!i_dq_close(S$2,$P318)</f>
        <v>3834.9576999999999</v>
      </c>
      <c r="T318" s="14">
        <f>[1]!i_dq_close(T$2,$P318)</f>
        <v>5473.5919000000004</v>
      </c>
      <c r="U318" s="14">
        <f>[1]!i_dq_close(U$2,$P318)</f>
        <v>8834.9071000000004</v>
      </c>
      <c r="V318" s="14">
        <f>[1]!i_dq_close(V$2,$P318)</f>
        <v>9458.86</v>
      </c>
      <c r="W318" s="14">
        <f>[1]!i_dq_close(W$2,$P318)</f>
        <v>5229.1669000000002</v>
      </c>
      <c r="X318" s="14">
        <f>[1]!i_dq_close(X$2,$P318)</f>
        <v>5627.9274999999998</v>
      </c>
      <c r="Y318" s="14">
        <f>[1]!i_dq_close(Y$2,$P318)</f>
        <v>5989.4597000000003</v>
      </c>
      <c r="Z318" s="14">
        <f>[1]!i_dq_close(Z$2,$P318)</f>
        <v>2534.8517000000002</v>
      </c>
      <c r="AB318" s="1">
        <v>42873</v>
      </c>
      <c r="AC318">
        <v>1.1587745123328312</v>
      </c>
      <c r="AD318">
        <v>1.2240671661461953</v>
      </c>
      <c r="AE318">
        <v>1.1349710302477998</v>
      </c>
      <c r="AF318">
        <v>1.1317120084754471</v>
      </c>
      <c r="AG318">
        <v>1.3173201237116017</v>
      </c>
      <c r="AH318">
        <v>1.1682232544610203</v>
      </c>
      <c r="AI318">
        <v>1.1207449593376957</v>
      </c>
      <c r="AJ318">
        <v>1.0396268829325332</v>
      </c>
      <c r="AK318">
        <v>1.1896418688111443</v>
      </c>
      <c r="AL318">
        <v>1.1266013063384164</v>
      </c>
    </row>
    <row r="319" spans="1:38" x14ac:dyDescent="0.4">
      <c r="A319" s="10">
        <v>42877</v>
      </c>
      <c r="B319" s="11">
        <v>1.217068899770718</v>
      </c>
      <c r="C319" s="11">
        <v>1.254955175691882</v>
      </c>
      <c r="D319" s="11">
        <v>1.135242231707712</v>
      </c>
      <c r="E319" s="11">
        <v>1.155056988129469</v>
      </c>
      <c r="P319" s="1">
        <f>A318</f>
        <v>42874</v>
      </c>
      <c r="Q319" s="14">
        <f>[1]!i_dq_close(Q$2,$P319)</f>
        <v>1975.4395999999999</v>
      </c>
      <c r="R319" s="14">
        <f>[1]!i_dq_close(R$2,$P319)</f>
        <v>3116.7231999999999</v>
      </c>
      <c r="S319" s="14">
        <f>[1]!i_dq_close(S$2,$P319)</f>
        <v>3825.1815999999999</v>
      </c>
      <c r="T319" s="14">
        <f>[1]!i_dq_close(T$2,$P319)</f>
        <v>5488.1579000000002</v>
      </c>
      <c r="U319" s="14">
        <f>[1]!i_dq_close(U$2,$P319)</f>
        <v>8902.2688999999991</v>
      </c>
      <c r="V319" s="14">
        <f>[1]!i_dq_close(V$2,$P319)</f>
        <v>9472.0931999999993</v>
      </c>
      <c r="W319" s="14">
        <f>[1]!i_dq_close(W$2,$P319)</f>
        <v>5234.8775999999998</v>
      </c>
      <c r="X319" s="14">
        <f>[1]!i_dq_close(X$2,$P319)</f>
        <v>5608.8969999999999</v>
      </c>
      <c r="Y319" s="14">
        <f>[1]!i_dq_close(Y$2,$P319)</f>
        <v>5967.5228999999999</v>
      </c>
      <c r="Z319" s="14">
        <f>[1]!i_dq_close(Z$2,$P319)</f>
        <v>2556.6138000000001</v>
      </c>
      <c r="AB319" s="1">
        <v>42874</v>
      </c>
      <c r="AC319">
        <v>1.1727554552309252</v>
      </c>
      <c r="AD319">
        <v>1.2216172473966405</v>
      </c>
      <c r="AE319">
        <v>1.1320777544526572</v>
      </c>
      <c r="AF319">
        <v>1.1347236537381225</v>
      </c>
      <c r="AG319">
        <v>1.3273640385717176</v>
      </c>
      <c r="AH319">
        <v>1.1698576302706774</v>
      </c>
      <c r="AI319">
        <v>1.1219689092252561</v>
      </c>
      <c r="AJ319">
        <v>1.0361114468513744</v>
      </c>
      <c r="AK319">
        <v>1.1852847252531473</v>
      </c>
      <c r="AL319">
        <v>1.1362733555114182</v>
      </c>
    </row>
    <row r="320" spans="1:38" x14ac:dyDescent="0.4">
      <c r="A320" s="10">
        <v>42878</v>
      </c>
      <c r="B320" s="11">
        <v>1.2042823641392111</v>
      </c>
      <c r="C320" s="11">
        <v>1.2448347245940921</v>
      </c>
      <c r="D320" s="11">
        <v>1.124180116952499</v>
      </c>
      <c r="E320" s="11">
        <v>1.146201890218993</v>
      </c>
      <c r="P320" s="1">
        <f>A319</f>
        <v>42877</v>
      </c>
      <c r="Q320" s="14">
        <f>[1]!i_dq_close(Q$2,$P320)</f>
        <v>1968.7644</v>
      </c>
      <c r="R320" s="14">
        <f>[1]!i_dq_close(R$2,$P320)</f>
        <v>3080.1687999999999</v>
      </c>
      <c r="S320" s="14">
        <f>[1]!i_dq_close(S$2,$P320)</f>
        <v>3765.1432</v>
      </c>
      <c r="T320" s="14">
        <f>[1]!i_dq_close(T$2,$P320)</f>
        <v>5458.5823</v>
      </c>
      <c r="U320" s="14">
        <f>[1]!i_dq_close(U$2,$P320)</f>
        <v>8860.3945000000003</v>
      </c>
      <c r="V320" s="14">
        <f>[1]!i_dq_close(V$2,$P320)</f>
        <v>9435.1774999999998</v>
      </c>
      <c r="W320" s="14">
        <f>[1]!i_dq_close(W$2,$P320)</f>
        <v>5248.2381999999998</v>
      </c>
      <c r="X320" s="14">
        <f>[1]!i_dq_close(X$2,$P320)</f>
        <v>5541.6352999999999</v>
      </c>
      <c r="Y320" s="14">
        <f>[1]!i_dq_close(Y$2,$P320)</f>
        <v>5909.4418999999998</v>
      </c>
      <c r="Z320" s="14">
        <f>[1]!i_dq_close(Z$2,$P320)</f>
        <v>2534.7568000000001</v>
      </c>
      <c r="AB320" s="1">
        <v>42877</v>
      </c>
      <c r="AC320">
        <v>1.1687926019932169</v>
      </c>
      <c r="AD320">
        <v>1.2072895440227136</v>
      </c>
      <c r="AE320">
        <v>1.1143091504593383</v>
      </c>
      <c r="AF320">
        <v>1.1286086451131889</v>
      </c>
      <c r="AG320">
        <v>1.3211203973920218</v>
      </c>
      <c r="AH320">
        <v>1.1652983303978908</v>
      </c>
      <c r="AI320">
        <v>1.1248324294360428</v>
      </c>
      <c r="AJ320">
        <v>1.0236864340004193</v>
      </c>
      <c r="AK320">
        <v>1.1737485278591788</v>
      </c>
      <c r="AL320">
        <v>1.1265591285400185</v>
      </c>
    </row>
    <row r="321" spans="1:38" x14ac:dyDescent="0.4">
      <c r="A321" s="10">
        <v>42879</v>
      </c>
      <c r="B321" s="11">
        <v>1.206450939395747</v>
      </c>
      <c r="C321" s="11">
        <v>1.2459796548841731</v>
      </c>
      <c r="D321" s="11">
        <v>1.1257066063880989</v>
      </c>
      <c r="E321" s="11">
        <v>1.148157572841735</v>
      </c>
      <c r="P321" s="1">
        <f>A320</f>
        <v>42878</v>
      </c>
      <c r="Q321" s="14">
        <f>[1]!i_dq_close(Q$2,$P321)</f>
        <v>1937.0157999999999</v>
      </c>
      <c r="R321" s="14">
        <f>[1]!i_dq_close(R$2,$P321)</f>
        <v>3020.0358999999999</v>
      </c>
      <c r="S321" s="14">
        <f>[1]!i_dq_close(S$2,$P321)</f>
        <v>3681.0646999999999</v>
      </c>
      <c r="T321" s="14">
        <f>[1]!i_dq_close(T$2,$P321)</f>
        <v>5388.2861000000003</v>
      </c>
      <c r="U321" s="14">
        <f>[1]!i_dq_close(U$2,$P321)</f>
        <v>8861.1566000000003</v>
      </c>
      <c r="V321" s="14">
        <f>[1]!i_dq_close(V$2,$P321)</f>
        <v>9356.5296999999991</v>
      </c>
      <c r="W321" s="14">
        <f>[1]!i_dq_close(W$2,$P321)</f>
        <v>5293.9309999999996</v>
      </c>
      <c r="X321" s="14">
        <f>[1]!i_dq_close(X$2,$P321)</f>
        <v>5404.8118999999997</v>
      </c>
      <c r="Y321" s="14">
        <f>[1]!i_dq_close(Y$2,$P321)</f>
        <v>5812.3064999999997</v>
      </c>
      <c r="Z321" s="14">
        <f>[1]!i_dq_close(Z$2,$P321)</f>
        <v>2493.33</v>
      </c>
      <c r="AB321" s="1">
        <v>42878</v>
      </c>
      <c r="AC321">
        <v>1.149944471255155</v>
      </c>
      <c r="AD321">
        <v>1.1837201145090572</v>
      </c>
      <c r="AE321">
        <v>1.0894257829669955</v>
      </c>
      <c r="AF321">
        <v>1.1140743036526588</v>
      </c>
      <c r="AG321">
        <v>1.3212340295621077</v>
      </c>
      <c r="AH321">
        <v>1.1555848777331721</v>
      </c>
      <c r="AI321">
        <v>1.1346255716817082</v>
      </c>
      <c r="AJ321">
        <v>0.99841153753911416</v>
      </c>
      <c r="AK321">
        <v>1.1544552452307444</v>
      </c>
      <c r="AL321">
        <v>1.1081472084275241</v>
      </c>
    </row>
    <row r="322" spans="1:38" x14ac:dyDescent="0.4">
      <c r="A322" s="10">
        <v>42880</v>
      </c>
      <c r="B322" s="11">
        <v>1.215314549626173</v>
      </c>
      <c r="C322" s="11">
        <v>1.2527966839827811</v>
      </c>
      <c r="D322" s="11">
        <v>1.1305107381754269</v>
      </c>
      <c r="E322" s="11">
        <v>1.1517579785675061</v>
      </c>
      <c r="P322" s="1">
        <f>A321</f>
        <v>42879</v>
      </c>
      <c r="Q322" s="14">
        <f>[1]!i_dq_close(Q$2,$P322)</f>
        <v>1943.5531000000001</v>
      </c>
      <c r="R322" s="14">
        <f>[1]!i_dq_close(R$2,$P322)</f>
        <v>3032.0810000000001</v>
      </c>
      <c r="S322" s="14">
        <f>[1]!i_dq_close(S$2,$P322)</f>
        <v>3700.1983</v>
      </c>
      <c r="T322" s="14">
        <f>[1]!i_dq_close(T$2,$P322)</f>
        <v>5397.3171000000002</v>
      </c>
      <c r="U322" s="14">
        <f>[1]!i_dq_close(U$2,$P322)</f>
        <v>8802.1262999999999</v>
      </c>
      <c r="V322" s="14">
        <f>[1]!i_dq_close(V$2,$P322)</f>
        <v>9376.8317000000006</v>
      </c>
      <c r="W322" s="14">
        <f>[1]!i_dq_close(W$2,$P322)</f>
        <v>5292.0816999999997</v>
      </c>
      <c r="X322" s="14">
        <f>[1]!i_dq_close(X$2,$P322)</f>
        <v>5444.2106000000003</v>
      </c>
      <c r="Y322" s="14">
        <f>[1]!i_dq_close(Y$2,$P322)</f>
        <v>5825.0553</v>
      </c>
      <c r="Z322" s="14">
        <f>[1]!i_dq_close(Z$2,$P322)</f>
        <v>2508.1480000000001</v>
      </c>
      <c r="AB322" s="1">
        <v>42879</v>
      </c>
      <c r="AC322">
        <v>1.1538254576631835</v>
      </c>
      <c r="AD322">
        <v>1.188441259430306</v>
      </c>
      <c r="AE322">
        <v>1.0950884482173449</v>
      </c>
      <c r="AF322">
        <v>1.1159415402562027</v>
      </c>
      <c r="AG322">
        <v>1.3124323748057454</v>
      </c>
      <c r="AH322">
        <v>1.1580922907313631</v>
      </c>
      <c r="AI322">
        <v>1.1342292191282446</v>
      </c>
      <c r="AJ322">
        <v>1.005689518229625</v>
      </c>
      <c r="AK322">
        <v>1.1569874446304831</v>
      </c>
      <c r="AL322">
        <v>1.1147329894250171</v>
      </c>
    </row>
    <row r="323" spans="1:38" x14ac:dyDescent="0.4">
      <c r="A323" s="10">
        <v>42881</v>
      </c>
      <c r="B323" s="11">
        <v>1.2123548769747821</v>
      </c>
      <c r="C323" s="11">
        <v>1.250982862950208</v>
      </c>
      <c r="D323" s="11">
        <v>1.1274721539534329</v>
      </c>
      <c r="E323" s="11">
        <v>1.148619173910485</v>
      </c>
      <c r="P323" s="1">
        <f>A322</f>
        <v>42880</v>
      </c>
      <c r="Q323" s="14">
        <f>[1]!i_dq_close(Q$2,$P323)</f>
        <v>1982.2466999999999</v>
      </c>
      <c r="R323" s="14">
        <f>[1]!i_dq_close(R$2,$P323)</f>
        <v>3061.3755000000001</v>
      </c>
      <c r="S323" s="14">
        <f>[1]!i_dq_close(S$2,$P323)</f>
        <v>3730.9231</v>
      </c>
      <c r="T323" s="14">
        <f>[1]!i_dq_close(T$2,$P323)</f>
        <v>5418.6628000000001</v>
      </c>
      <c r="U323" s="14">
        <f>[1]!i_dq_close(U$2,$P323)</f>
        <v>8845.8976000000002</v>
      </c>
      <c r="V323" s="14">
        <f>[1]!i_dq_close(V$2,$P323)</f>
        <v>9398.7103000000006</v>
      </c>
      <c r="W323" s="14">
        <f>[1]!i_dq_close(W$2,$P323)</f>
        <v>5481.1075000000001</v>
      </c>
      <c r="X323" s="14">
        <f>[1]!i_dq_close(X$2,$P323)</f>
        <v>5468.9596000000001</v>
      </c>
      <c r="Y323" s="14">
        <f>[1]!i_dq_close(Y$2,$P323)</f>
        <v>5881.1671999999999</v>
      </c>
      <c r="Z323" s="14">
        <f>[1]!i_dq_close(Z$2,$P323)</f>
        <v>2528.4232000000002</v>
      </c>
      <c r="AB323" s="1">
        <v>42880</v>
      </c>
      <c r="AC323">
        <v>1.1767966132897707</v>
      </c>
      <c r="AD323">
        <v>1.1999234040281517</v>
      </c>
      <c r="AE323">
        <v>1.1041815753488795</v>
      </c>
      <c r="AF323">
        <v>1.1203549465642826</v>
      </c>
      <c r="AG323">
        <v>1.3189588513921284</v>
      </c>
      <c r="AH323">
        <v>1.1607944228376688</v>
      </c>
      <c r="AI323">
        <v>1.1747423097574183</v>
      </c>
      <c r="AJ323">
        <v>1.010261312327132</v>
      </c>
      <c r="AK323">
        <v>1.1681325343250584</v>
      </c>
      <c r="AL323">
        <v>1.1237441938304948</v>
      </c>
    </row>
    <row r="324" spans="1:38" x14ac:dyDescent="0.4">
      <c r="A324" s="10">
        <v>42886</v>
      </c>
      <c r="B324" s="11">
        <v>1.211018815534088</v>
      </c>
      <c r="C324" s="11">
        <v>1.250254176984936</v>
      </c>
      <c r="D324" s="11">
        <v>1.1262677633505489</v>
      </c>
      <c r="E324" s="11">
        <v>1.147618778028954</v>
      </c>
      <c r="P324" s="1">
        <f>A323</f>
        <v>42881</v>
      </c>
      <c r="Q324" s="14">
        <f>[1]!i_dq_close(Q$2,$P324)</f>
        <v>1977.5544</v>
      </c>
      <c r="R324" s="14">
        <f>[1]!i_dq_close(R$2,$P324)</f>
        <v>3051.1237999999998</v>
      </c>
      <c r="S324" s="14">
        <f>[1]!i_dq_close(S$2,$P324)</f>
        <v>3738.1154999999999</v>
      </c>
      <c r="T324" s="14">
        <f>[1]!i_dq_close(T$2,$P324)</f>
        <v>5433.5766999999996</v>
      </c>
      <c r="U324" s="14">
        <f>[1]!i_dq_close(U$2,$P324)</f>
        <v>8845.3765999999996</v>
      </c>
      <c r="V324" s="14">
        <f>[1]!i_dq_close(V$2,$P324)</f>
        <v>9387.2075999999997</v>
      </c>
      <c r="W324" s="14">
        <f>[1]!i_dq_close(W$2,$P324)</f>
        <v>5465.7295999999997</v>
      </c>
      <c r="X324" s="14">
        <f>[1]!i_dq_close(X$2,$P324)</f>
        <v>5440.4997999999996</v>
      </c>
      <c r="Y324" s="14">
        <f>[1]!i_dq_close(Y$2,$P324)</f>
        <v>5847.5609000000004</v>
      </c>
      <c r="Z324" s="14">
        <f>[1]!i_dq_close(Z$2,$P324)</f>
        <v>2528.0198999999998</v>
      </c>
      <c r="AB324" s="1">
        <v>42881</v>
      </c>
      <c r="AC324">
        <v>1.1740109445087157</v>
      </c>
      <c r="AD324">
        <v>1.1959051923579154</v>
      </c>
      <c r="AE324">
        <v>1.1063101948217759</v>
      </c>
      <c r="AF324">
        <v>1.123438523131838</v>
      </c>
      <c r="AG324">
        <v>1.3188811682001393</v>
      </c>
      <c r="AH324">
        <v>1.1593737736654546</v>
      </c>
      <c r="AI324">
        <v>1.171446430272256</v>
      </c>
      <c r="AJ324">
        <v>1.0050040354409453</v>
      </c>
      <c r="AK324">
        <v>1.1614575647053735</v>
      </c>
      <c r="AL324">
        <v>1.1235649492984194</v>
      </c>
    </row>
    <row r="325" spans="1:38" x14ac:dyDescent="0.4">
      <c r="A325" s="10">
        <v>42887</v>
      </c>
      <c r="B325" s="11">
        <v>1.1985193224157811</v>
      </c>
      <c r="C325" s="11">
        <v>1.2409803653337881</v>
      </c>
      <c r="D325" s="11">
        <v>1.117168772249177</v>
      </c>
      <c r="E325" s="11">
        <v>1.1381815868100931</v>
      </c>
      <c r="P325" s="1">
        <f>A324</f>
        <v>42886</v>
      </c>
      <c r="Q325" s="14">
        <f>[1]!i_dq_close(Q$2,$P325)</f>
        <v>1971.2349999999999</v>
      </c>
      <c r="R325" s="14">
        <f>[1]!i_dq_close(R$2,$P325)</f>
        <v>3037.6158999999998</v>
      </c>
      <c r="S325" s="14">
        <f>[1]!i_dq_close(S$2,$P325)</f>
        <v>3741.2925</v>
      </c>
      <c r="T325" s="14">
        <f>[1]!i_dq_close(T$2,$P325)</f>
        <v>5442.5189</v>
      </c>
      <c r="U325" s="14">
        <f>[1]!i_dq_close(U$2,$P325)</f>
        <v>8830.6600999999991</v>
      </c>
      <c r="V325" s="14">
        <f>[1]!i_dq_close(V$2,$P325)</f>
        <v>9386.2731999999996</v>
      </c>
      <c r="W325" s="14">
        <f>[1]!i_dq_close(W$2,$P325)</f>
        <v>5494.8289999999997</v>
      </c>
      <c r="X325" s="14">
        <f>[1]!i_dq_close(X$2,$P325)</f>
        <v>5427.9318999999996</v>
      </c>
      <c r="Y325" s="14">
        <f>[1]!i_dq_close(Y$2,$P325)</f>
        <v>5873.1959999999999</v>
      </c>
      <c r="Z325" s="14">
        <f>[1]!i_dq_close(Z$2,$P325)</f>
        <v>2530.2175000000002</v>
      </c>
      <c r="AB325" s="1">
        <v>42886</v>
      </c>
      <c r="AC325">
        <v>1.1702593183776071</v>
      </c>
      <c r="AD325">
        <v>1.1906106947213884</v>
      </c>
      <c r="AE325">
        <v>1.1072504406458947</v>
      </c>
      <c r="AF325">
        <v>1.1252873995747803</v>
      </c>
      <c r="AG325">
        <v>1.3166868789584785</v>
      </c>
      <c r="AH325">
        <v>1.1592583699266352</v>
      </c>
      <c r="AI325">
        <v>1.1776831801204493</v>
      </c>
      <c r="AJ325">
        <v>1.0026824123031193</v>
      </c>
      <c r="AK325">
        <v>1.1665492741080028</v>
      </c>
      <c r="AL325">
        <v>1.1245416608870342</v>
      </c>
    </row>
    <row r="326" spans="1:38" x14ac:dyDescent="0.4">
      <c r="A326" s="10">
        <v>42888</v>
      </c>
      <c r="B326" s="11">
        <v>1.202243807640939</v>
      </c>
      <c r="C326" s="11">
        <v>1.243168199210988</v>
      </c>
      <c r="D326" s="11">
        <v>1.1195630064115469</v>
      </c>
      <c r="E326" s="11">
        <v>1.1404844197629369</v>
      </c>
      <c r="P326" s="1">
        <f>A325</f>
        <v>42887</v>
      </c>
      <c r="Q326" s="14">
        <f>[1]!i_dq_close(Q$2,$P326)</f>
        <v>1945.8335999999999</v>
      </c>
      <c r="R326" s="14">
        <f>[1]!i_dq_close(R$2,$P326)</f>
        <v>2969.21</v>
      </c>
      <c r="S326" s="14">
        <f>[1]!i_dq_close(S$2,$P326)</f>
        <v>3677.0140000000001</v>
      </c>
      <c r="T326" s="14">
        <f>[1]!i_dq_close(T$2,$P326)</f>
        <v>5381.7094999999999</v>
      </c>
      <c r="U326" s="14">
        <f>[1]!i_dq_close(U$2,$P326)</f>
        <v>8786.2664000000004</v>
      </c>
      <c r="V326" s="14">
        <f>[1]!i_dq_close(V$2,$P326)</f>
        <v>9337.6841999999997</v>
      </c>
      <c r="W326" s="14">
        <f>[1]!i_dq_close(W$2,$P326)</f>
        <v>5509.451</v>
      </c>
      <c r="X326" s="14">
        <f>[1]!i_dq_close(X$2,$P326)</f>
        <v>5315.1630999999998</v>
      </c>
      <c r="Y326" s="14">
        <f>[1]!i_dq_close(Y$2,$P326)</f>
        <v>5796.9979000000003</v>
      </c>
      <c r="Z326" s="14">
        <f>[1]!i_dq_close(Z$2,$P326)</f>
        <v>2509.2799</v>
      </c>
      <c r="AB326" s="1">
        <v>42887</v>
      </c>
      <c r="AC326">
        <v>1.1551793177435696</v>
      </c>
      <c r="AD326">
        <v>1.1637986161692442</v>
      </c>
      <c r="AE326">
        <v>1.0882269621423943</v>
      </c>
      <c r="AF326">
        <v>1.1127145352718739</v>
      </c>
      <c r="AG326">
        <v>1.3100676000329521</v>
      </c>
      <c r="AH326">
        <v>1.1532573508068886</v>
      </c>
      <c r="AI326">
        <v>1.1808170507940809</v>
      </c>
      <c r="AJ326">
        <v>0.98185103591526735</v>
      </c>
      <c r="AK326">
        <v>1.1514146117804713</v>
      </c>
      <c r="AL326">
        <v>1.1152360563376276</v>
      </c>
    </row>
    <row r="327" spans="1:38" x14ac:dyDescent="0.4">
      <c r="A327" s="10">
        <v>42891</v>
      </c>
      <c r="B327" s="11">
        <v>1.2069333591506399</v>
      </c>
      <c r="C327" s="11">
        <v>1.2478268187295269</v>
      </c>
      <c r="D327" s="11">
        <v>1.123822508722613</v>
      </c>
      <c r="E327" s="11">
        <v>1.1461291886666241</v>
      </c>
      <c r="P327" s="1">
        <f>A326</f>
        <v>42888</v>
      </c>
      <c r="Q327" s="14">
        <f>[1]!i_dq_close(Q$2,$P327)</f>
        <v>1952.56</v>
      </c>
      <c r="R327" s="14">
        <f>[1]!i_dq_close(R$2,$P327)</f>
        <v>2990.6475999999998</v>
      </c>
      <c r="S327" s="14">
        <f>[1]!i_dq_close(S$2,$P327)</f>
        <v>3707.6383999999998</v>
      </c>
      <c r="T327" s="14">
        <f>[1]!i_dq_close(T$2,$P327)</f>
        <v>5407.0088999999998</v>
      </c>
      <c r="U327" s="14">
        <f>[1]!i_dq_close(U$2,$P327)</f>
        <v>8768.902</v>
      </c>
      <c r="V327" s="14">
        <f>[1]!i_dq_close(V$2,$P327)</f>
        <v>9344.4647999999997</v>
      </c>
      <c r="W327" s="14">
        <f>[1]!i_dq_close(W$2,$P327)</f>
        <v>5474.8460999999998</v>
      </c>
      <c r="X327" s="14">
        <f>[1]!i_dq_close(X$2,$P327)</f>
        <v>5378.6058000000003</v>
      </c>
      <c r="Y327" s="14">
        <f>[1]!i_dq_close(Y$2,$P327)</f>
        <v>5818.5468000000001</v>
      </c>
      <c r="Z327" s="14">
        <f>[1]!i_dq_close(Z$2,$P327)</f>
        <v>2532.3719999999998</v>
      </c>
      <c r="AB327" s="1">
        <v>42888</v>
      </c>
      <c r="AC327">
        <v>1.1591725667875117</v>
      </c>
      <c r="AD327">
        <v>1.1722012044718533</v>
      </c>
      <c r="AE327">
        <v>1.0972903754933996</v>
      </c>
      <c r="AF327">
        <v>1.1179454029197202</v>
      </c>
      <c r="AG327">
        <v>1.3074784982690888</v>
      </c>
      <c r="AH327">
        <v>1.1540947936487531</v>
      </c>
      <c r="AI327">
        <v>1.1734003306960124</v>
      </c>
      <c r="AJ327">
        <v>0.99357057857920972</v>
      </c>
      <c r="AK327">
        <v>1.1556947096441943</v>
      </c>
      <c r="AL327">
        <v>1.1254992169107281</v>
      </c>
    </row>
    <row r="328" spans="1:38" x14ac:dyDescent="0.4">
      <c r="A328" s="10">
        <v>42892</v>
      </c>
      <c r="B328" s="11">
        <v>1.2142098762688549</v>
      </c>
      <c r="C328" s="11">
        <v>1.256073424049909</v>
      </c>
      <c r="D328" s="11">
        <v>1.1303340088175911</v>
      </c>
      <c r="E328" s="11">
        <v>1.1533660306210081</v>
      </c>
      <c r="P328" s="1">
        <f>A327</f>
        <v>42891</v>
      </c>
      <c r="Q328" s="14">
        <f>[1]!i_dq_close(Q$2,$P328)</f>
        <v>1954.1699000000001</v>
      </c>
      <c r="R328" s="14">
        <f>[1]!i_dq_close(R$2,$P328)</f>
        <v>3015.1941999999999</v>
      </c>
      <c r="S328" s="14">
        <f>[1]!i_dq_close(S$2,$P328)</f>
        <v>3726.8575999999998</v>
      </c>
      <c r="T328" s="14">
        <f>[1]!i_dq_close(T$2,$P328)</f>
        <v>5422.1867000000002</v>
      </c>
      <c r="U328" s="14">
        <f>[1]!i_dq_close(U$2,$P328)</f>
        <v>8755.7001999999993</v>
      </c>
      <c r="V328" s="14">
        <f>[1]!i_dq_close(V$2,$P328)</f>
        <v>9332.6614000000009</v>
      </c>
      <c r="W328" s="14">
        <f>[1]!i_dq_close(W$2,$P328)</f>
        <v>5427.9107000000004</v>
      </c>
      <c r="X328" s="14">
        <f>[1]!i_dq_close(X$2,$P328)</f>
        <v>5431.0803999999998</v>
      </c>
      <c r="Y328" s="14">
        <f>[1]!i_dq_close(Y$2,$P328)</f>
        <v>5836.4540999999999</v>
      </c>
      <c r="Z328" s="14">
        <f>[1]!i_dq_close(Z$2,$P328)</f>
        <v>2542.7127999999998</v>
      </c>
      <c r="AB328" s="1">
        <v>42891</v>
      </c>
      <c r="AC328">
        <v>1.1601283130464084</v>
      </c>
      <c r="AD328">
        <v>1.1818223828700332</v>
      </c>
      <c r="AE328">
        <v>1.1029783744052359</v>
      </c>
      <c r="AF328">
        <v>1.121083543072668</v>
      </c>
      <c r="AG328">
        <v>1.3055100568794542</v>
      </c>
      <c r="AH328">
        <v>1.1526370063084497</v>
      </c>
      <c r="AI328">
        <v>1.1633408673110326</v>
      </c>
      <c r="AJ328">
        <v>1.0032640234274475</v>
      </c>
      <c r="AK328">
        <v>1.1592515035629114</v>
      </c>
      <c r="AL328">
        <v>1.1300951302687303</v>
      </c>
    </row>
    <row r="329" spans="1:38" x14ac:dyDescent="0.4">
      <c r="A329" s="10">
        <v>42893</v>
      </c>
      <c r="B329" s="11">
        <v>1.235165830351592</v>
      </c>
      <c r="C329" s="11">
        <v>1.276407877246319</v>
      </c>
      <c r="D329" s="11">
        <v>1.149454590515353</v>
      </c>
      <c r="E329" s="11">
        <v>1.1743753878933529</v>
      </c>
      <c r="P329" s="1">
        <f>A328</f>
        <v>42892</v>
      </c>
      <c r="Q329" s="14">
        <f>[1]!i_dq_close(Q$2,$P329)</f>
        <v>1954.8742</v>
      </c>
      <c r="R329" s="14">
        <f>[1]!i_dq_close(R$2,$P329)</f>
        <v>3026.6361000000002</v>
      </c>
      <c r="S329" s="14">
        <f>[1]!i_dq_close(S$2,$P329)</f>
        <v>3738.8946999999998</v>
      </c>
      <c r="T329" s="14">
        <f>[1]!i_dq_close(T$2,$P329)</f>
        <v>5485.1030000000001</v>
      </c>
      <c r="U329" s="14">
        <f>[1]!i_dq_close(U$2,$P329)</f>
        <v>8855.2153999999991</v>
      </c>
      <c r="V329" s="14">
        <f>[1]!i_dq_close(V$2,$P329)</f>
        <v>9379.8240000000005</v>
      </c>
      <c r="W329" s="14">
        <f>[1]!i_dq_close(W$2,$P329)</f>
        <v>5459.3131000000003</v>
      </c>
      <c r="X329" s="14">
        <f>[1]!i_dq_close(X$2,$P329)</f>
        <v>5465.0654999999997</v>
      </c>
      <c r="Y329" s="14">
        <f>[1]!i_dq_close(Y$2,$P329)</f>
        <v>5875.2637999999997</v>
      </c>
      <c r="Z329" s="14">
        <f>[1]!i_dq_close(Z$2,$P329)</f>
        <v>2539.2678000000001</v>
      </c>
      <c r="AB329" s="1">
        <v>42892</v>
      </c>
      <c r="AC329">
        <v>1.1605464334825479</v>
      </c>
      <c r="AD329">
        <v>1.1863071001471364</v>
      </c>
      <c r="AE329">
        <v>1.1065408021702661</v>
      </c>
      <c r="AF329">
        <v>1.1340920269968793</v>
      </c>
      <c r="AG329">
        <v>1.3203481727862059</v>
      </c>
      <c r="AH329">
        <v>1.1584618568782692</v>
      </c>
      <c r="AI329">
        <v>1.1700712092917229</v>
      </c>
      <c r="AJ329">
        <v>1.0095419691861927</v>
      </c>
      <c r="AK329">
        <v>1.1669599858548951</v>
      </c>
      <c r="AL329">
        <v>1.1285640184090757</v>
      </c>
    </row>
    <row r="330" spans="1:38" x14ac:dyDescent="0.4">
      <c r="A330" s="10">
        <v>42894</v>
      </c>
      <c r="B330" s="11">
        <v>1.240719739191591</v>
      </c>
      <c r="C330" s="11">
        <v>1.2828808122995059</v>
      </c>
      <c r="D330" s="11">
        <v>1.1546851831798159</v>
      </c>
      <c r="E330" s="11">
        <v>1.180472520797327</v>
      </c>
      <c r="P330" s="1">
        <f>A329</f>
        <v>42893</v>
      </c>
      <c r="Q330" s="14">
        <f>[1]!i_dq_close(Q$2,$P330)</f>
        <v>1975.0154</v>
      </c>
      <c r="R330" s="14">
        <f>[1]!i_dq_close(R$2,$P330)</f>
        <v>3089.6430999999998</v>
      </c>
      <c r="S330" s="14">
        <f>[1]!i_dq_close(S$2,$P330)</f>
        <v>3802.6091000000001</v>
      </c>
      <c r="T330" s="14">
        <f>[1]!i_dq_close(T$2,$P330)</f>
        <v>5566.6007</v>
      </c>
      <c r="U330" s="14">
        <f>[1]!i_dq_close(U$2,$P330)</f>
        <v>9034.8829000000005</v>
      </c>
      <c r="V330" s="14">
        <f>[1]!i_dq_close(V$2,$P330)</f>
        <v>9541.2940999999992</v>
      </c>
      <c r="W330" s="14">
        <f>[1]!i_dq_close(W$2,$P330)</f>
        <v>5507.5915000000005</v>
      </c>
      <c r="X330" s="14">
        <f>[1]!i_dq_close(X$2,$P330)</f>
        <v>5586.3585999999996</v>
      </c>
      <c r="Y330" s="14">
        <f>[1]!i_dq_close(Y$2,$P330)</f>
        <v>5981.9017999999996</v>
      </c>
      <c r="Z330" s="14">
        <f>[1]!i_dq_close(Z$2,$P330)</f>
        <v>2567.8856999999998</v>
      </c>
      <c r="AB330" s="1">
        <v>42893</v>
      </c>
      <c r="AC330">
        <v>1.1725036212269351</v>
      </c>
      <c r="AD330">
        <v>1.2110030493757107</v>
      </c>
      <c r="AE330">
        <v>1.1253973330283824</v>
      </c>
      <c r="AF330">
        <v>1.150942374527014</v>
      </c>
      <c r="AG330">
        <v>1.3471373184612019</v>
      </c>
      <c r="AH330">
        <v>1.1784043368092698</v>
      </c>
      <c r="AI330">
        <v>1.1804185121182762</v>
      </c>
      <c r="AJ330">
        <v>1.0319480089715709</v>
      </c>
      <c r="AK330">
        <v>1.1881406993015993</v>
      </c>
      <c r="AL330">
        <v>1.1412830912939556</v>
      </c>
    </row>
    <row r="331" spans="1:38" x14ac:dyDescent="0.4">
      <c r="A331" s="10">
        <v>42895</v>
      </c>
      <c r="B331" s="11">
        <v>1.244892277929714</v>
      </c>
      <c r="C331" s="11">
        <v>1.287416357645172</v>
      </c>
      <c r="D331" s="11">
        <v>1.1585619462439261</v>
      </c>
      <c r="E331" s="11">
        <v>1.1848127496741809</v>
      </c>
      <c r="P331" s="1">
        <f>A330</f>
        <v>42894</v>
      </c>
      <c r="Q331" s="14">
        <f>[1]!i_dq_close(Q$2,$P331)</f>
        <v>1970.3688</v>
      </c>
      <c r="R331" s="14">
        <f>[1]!i_dq_close(R$2,$P331)</f>
        <v>3088.5861</v>
      </c>
      <c r="S331" s="14">
        <f>[1]!i_dq_close(S$2,$P331)</f>
        <v>3802.4452000000001</v>
      </c>
      <c r="T331" s="14">
        <f>[1]!i_dq_close(T$2,$P331)</f>
        <v>5620.5109000000002</v>
      </c>
      <c r="U331" s="14">
        <f>[1]!i_dq_close(U$2,$P331)</f>
        <v>9141.8150000000005</v>
      </c>
      <c r="V331" s="14">
        <f>[1]!i_dq_close(V$2,$P331)</f>
        <v>9608.7276000000002</v>
      </c>
      <c r="W331" s="14">
        <f>[1]!i_dq_close(W$2,$P331)</f>
        <v>5539.1275999999998</v>
      </c>
      <c r="X331" s="14">
        <f>[1]!i_dq_close(X$2,$P331)</f>
        <v>5596.9124000000002</v>
      </c>
      <c r="Y331" s="14">
        <f>[1]!i_dq_close(Y$2,$P331)</f>
        <v>5993.5635000000002</v>
      </c>
      <c r="Z331" s="14">
        <f>[1]!i_dq_close(Z$2,$P331)</f>
        <v>2569.6529999999998</v>
      </c>
      <c r="AB331" s="1">
        <v>42894</v>
      </c>
      <c r="AC331">
        <v>1.1697450830776157</v>
      </c>
      <c r="AD331">
        <v>1.2105887522605552</v>
      </c>
      <c r="AE331">
        <v>1.1253488261695304</v>
      </c>
      <c r="AF331">
        <v>1.1620887701359581</v>
      </c>
      <c r="AG331">
        <v>1.3630813239392834</v>
      </c>
      <c r="AH331">
        <v>1.1867327593495862</v>
      </c>
      <c r="AI331">
        <v>1.187177509447692</v>
      </c>
      <c r="AJ331">
        <v>1.0338975746326591</v>
      </c>
      <c r="AK331">
        <v>1.1904569761072543</v>
      </c>
      <c r="AL331">
        <v>1.1420685583446284</v>
      </c>
    </row>
    <row r="332" spans="1:38" x14ac:dyDescent="0.4">
      <c r="A332" s="10">
        <v>42898</v>
      </c>
      <c r="B332" s="11">
        <v>1.236490560752511</v>
      </c>
      <c r="C332" s="11">
        <v>1.2838091473877691</v>
      </c>
      <c r="D332" s="11">
        <v>1.1533798119563221</v>
      </c>
      <c r="E332" s="11">
        <v>1.178403366250224</v>
      </c>
      <c r="P332" s="1">
        <f>A331</f>
        <v>42895</v>
      </c>
      <c r="Q332" s="14">
        <f>[1]!i_dq_close(Q$2,$P332)</f>
        <v>1967.2172</v>
      </c>
      <c r="R332" s="14">
        <f>[1]!i_dq_close(R$2,$P332)</f>
        <v>3088.5848000000001</v>
      </c>
      <c r="S332" s="14">
        <f>[1]!i_dq_close(S$2,$P332)</f>
        <v>3823.1633999999999</v>
      </c>
      <c r="T332" s="14">
        <f>[1]!i_dq_close(T$2,$P332)</f>
        <v>5630.3028000000004</v>
      </c>
      <c r="U332" s="14">
        <f>[1]!i_dq_close(U$2,$P332)</f>
        <v>9188.7618999999995</v>
      </c>
      <c r="V332" s="14">
        <f>[1]!i_dq_close(V$2,$P332)</f>
        <v>9618.6540999999997</v>
      </c>
      <c r="W332" s="14">
        <f>[1]!i_dq_close(W$2,$P332)</f>
        <v>5554.9565000000002</v>
      </c>
      <c r="X332" s="14">
        <f>[1]!i_dq_close(X$2,$P332)</f>
        <v>5617.1954999999998</v>
      </c>
      <c r="Y332" s="14">
        <f>[1]!i_dq_close(Y$2,$P332)</f>
        <v>6030.9195</v>
      </c>
      <c r="Z332" s="14">
        <f>[1]!i_dq_close(Z$2,$P332)</f>
        <v>2570.4787999999999</v>
      </c>
      <c r="AB332" s="1">
        <v>42895</v>
      </c>
      <c r="AC332">
        <v>1.1678740787235946</v>
      </c>
      <c r="AD332">
        <v>1.2105882427182186</v>
      </c>
      <c r="AE332">
        <v>1.1314804601113804</v>
      </c>
      <c r="AF332">
        <v>1.164113329331866</v>
      </c>
      <c r="AG332">
        <v>1.3700812952367603</v>
      </c>
      <c r="AH332">
        <v>1.1879587388159709</v>
      </c>
      <c r="AI332">
        <v>1.1905700498324443</v>
      </c>
      <c r="AJ332">
        <v>1.037644399023913</v>
      </c>
      <c r="AK332">
        <v>1.1978767207715866</v>
      </c>
      <c r="AL332">
        <v>1.1424355807462838</v>
      </c>
    </row>
    <row r="333" spans="1:38" x14ac:dyDescent="0.4">
      <c r="A333" s="10">
        <v>42899</v>
      </c>
      <c r="B333" s="11">
        <v>1.2441359949015649</v>
      </c>
      <c r="C333" s="11">
        <v>1.2925319575665299</v>
      </c>
      <c r="D333" s="11">
        <v>1.1619463870336419</v>
      </c>
      <c r="E333" s="11">
        <v>1.187352929557133</v>
      </c>
      <c r="P333" s="1">
        <f>A332</f>
        <v>42898</v>
      </c>
      <c r="Q333" s="14">
        <f>[1]!i_dq_close(Q$2,$P333)</f>
        <v>1954.3135</v>
      </c>
      <c r="R333" s="14">
        <f>[1]!i_dq_close(R$2,$P333)</f>
        <v>3054.8969999999999</v>
      </c>
      <c r="S333" s="14">
        <f>[1]!i_dq_close(S$2,$P333)</f>
        <v>3777.3733000000002</v>
      </c>
      <c r="T333" s="14">
        <f>[1]!i_dq_close(T$2,$P333)</f>
        <v>5621.1962999999996</v>
      </c>
      <c r="U333" s="14">
        <f>[1]!i_dq_close(U$2,$P333)</f>
        <v>9243.3176000000003</v>
      </c>
      <c r="V333" s="14">
        <f>[1]!i_dq_close(V$2,$P333)</f>
        <v>9600.4014999999999</v>
      </c>
      <c r="W333" s="14">
        <f>[1]!i_dq_close(W$2,$P333)</f>
        <v>5539.6765999999998</v>
      </c>
      <c r="X333" s="14">
        <f>[1]!i_dq_close(X$2,$P333)</f>
        <v>5521.8329000000003</v>
      </c>
      <c r="Y333" s="14">
        <f>[1]!i_dq_close(Y$2,$P333)</f>
        <v>5959.9938000000002</v>
      </c>
      <c r="Z333" s="14">
        <f>[1]!i_dq_close(Z$2,$P333)</f>
        <v>2559.6459</v>
      </c>
      <c r="AB333" s="1">
        <v>42898</v>
      </c>
      <c r="AC333">
        <v>1.1602135637842041</v>
      </c>
      <c r="AD333">
        <v>1.1973841193918839</v>
      </c>
      <c r="AE333">
        <v>1.1179286973443101</v>
      </c>
      <c r="AF333">
        <v>1.162230482456639</v>
      </c>
      <c r="AG333">
        <v>1.3782157691661097</v>
      </c>
      <c r="AH333">
        <v>1.185704438427301</v>
      </c>
      <c r="AI333">
        <v>1.1872951742678139</v>
      </c>
      <c r="AJ333">
        <v>1.0200284075978789</v>
      </c>
      <c r="AK333">
        <v>1.1837892760735718</v>
      </c>
      <c r="AL333">
        <v>1.1376209561702453</v>
      </c>
    </row>
    <row r="334" spans="1:38" x14ac:dyDescent="0.4">
      <c r="A334" s="10">
        <v>42900</v>
      </c>
      <c r="B334" s="11">
        <v>1.235122321015192</v>
      </c>
      <c r="C334" s="11">
        <v>1.2825620864011891</v>
      </c>
      <c r="D334" s="11">
        <v>1.154155463265957</v>
      </c>
      <c r="E334" s="11">
        <v>1.1776999966638351</v>
      </c>
      <c r="P334" s="1">
        <f>A333</f>
        <v>42899</v>
      </c>
      <c r="Q334" s="14">
        <f>[1]!i_dq_close(Q$2,$P334)</f>
        <v>1980.5197000000001</v>
      </c>
      <c r="R334" s="14">
        <f>[1]!i_dq_close(R$2,$P334)</f>
        <v>3112.5461</v>
      </c>
      <c r="S334" s="14">
        <f>[1]!i_dq_close(S$2,$P334)</f>
        <v>3816.2330000000002</v>
      </c>
      <c r="T334" s="14">
        <f>[1]!i_dq_close(T$2,$P334)</f>
        <v>5675.2272999999996</v>
      </c>
      <c r="U334" s="14">
        <f>[1]!i_dq_close(U$2,$P334)</f>
        <v>9280.6005000000005</v>
      </c>
      <c r="V334" s="14">
        <f>[1]!i_dq_close(V$2,$P334)</f>
        <v>9667.0434000000005</v>
      </c>
      <c r="W334" s="14">
        <f>[1]!i_dq_close(W$2,$P334)</f>
        <v>5537.4161999999997</v>
      </c>
      <c r="X334" s="14">
        <f>[1]!i_dq_close(X$2,$P334)</f>
        <v>5588.1787999999997</v>
      </c>
      <c r="Y334" s="14">
        <f>[1]!i_dq_close(Y$2,$P334)</f>
        <v>5998.9903000000004</v>
      </c>
      <c r="Z334" s="14">
        <f>[1]!i_dq_close(Z$2,$P334)</f>
        <v>2568.3836999999999</v>
      </c>
      <c r="AB334" s="1">
        <v>42899</v>
      </c>
      <c r="AC334">
        <v>1.1757713484974766</v>
      </c>
      <c r="AD334">
        <v>1.2199800094782713</v>
      </c>
      <c r="AE334">
        <v>1.1294293805836899</v>
      </c>
      <c r="AF334">
        <v>1.1734018545002758</v>
      </c>
      <c r="AG334">
        <v>1.3837747992594005</v>
      </c>
      <c r="AH334">
        <v>1.1939350938447051</v>
      </c>
      <c r="AI334">
        <v>1.1868107124109764</v>
      </c>
      <c r="AJ334">
        <v>1.0322842479960277</v>
      </c>
      <c r="AK334">
        <v>1.1915348610613286</v>
      </c>
      <c r="AL334">
        <v>1.1415044247354964</v>
      </c>
    </row>
    <row r="335" spans="1:38" x14ac:dyDescent="0.4">
      <c r="A335" s="10">
        <v>42901</v>
      </c>
      <c r="B335" s="11">
        <v>1.2415804203495491</v>
      </c>
      <c r="C335" s="11">
        <v>1.286252474630134</v>
      </c>
      <c r="D335" s="11">
        <v>1.1587130016913509</v>
      </c>
      <c r="E335" s="11">
        <v>1.182985773507184</v>
      </c>
      <c r="P335" s="1">
        <f>A334</f>
        <v>42900</v>
      </c>
      <c r="Q335" s="14">
        <f>[1]!i_dq_close(Q$2,$P335)</f>
        <v>1972.3913</v>
      </c>
      <c r="R335" s="14">
        <f>[1]!i_dq_close(R$2,$P335)</f>
        <v>3110.9540999999999</v>
      </c>
      <c r="S335" s="14">
        <f>[1]!i_dq_close(S$2,$P335)</f>
        <v>3804.5407</v>
      </c>
      <c r="T335" s="14">
        <f>[1]!i_dq_close(T$2,$P335)</f>
        <v>5623.5577999999996</v>
      </c>
      <c r="U335" s="14">
        <f>[1]!i_dq_close(U$2,$P335)</f>
        <v>9230.2036000000007</v>
      </c>
      <c r="V335" s="14">
        <f>[1]!i_dq_close(V$2,$P335)</f>
        <v>9598.3045000000002</v>
      </c>
      <c r="W335" s="14">
        <f>[1]!i_dq_close(W$2,$P335)</f>
        <v>5462.4706999999999</v>
      </c>
      <c r="X335" s="14">
        <f>[1]!i_dq_close(X$2,$P335)</f>
        <v>5552.2651999999998</v>
      </c>
      <c r="Y335" s="14">
        <f>[1]!i_dq_close(Y$2,$P335)</f>
        <v>5998.8543</v>
      </c>
      <c r="Z335" s="14">
        <f>[1]!i_dq_close(Z$2,$P335)</f>
        <v>2550.5088999999998</v>
      </c>
      <c r="AB335" s="1">
        <v>42900</v>
      </c>
      <c r="AC335">
        <v>1.1709457767906528</v>
      </c>
      <c r="AD335">
        <v>1.2193560160938555</v>
      </c>
      <c r="AE335">
        <v>1.1259689977541827</v>
      </c>
      <c r="AF335">
        <v>1.1627187428086785</v>
      </c>
      <c r="AG335">
        <v>1.3762604191090215</v>
      </c>
      <c r="AH335">
        <v>1.1854454469458111</v>
      </c>
      <c r="AI335">
        <v>1.1707479641842859</v>
      </c>
      <c r="AJ335">
        <v>1.0256500573418508</v>
      </c>
      <c r="AK335">
        <v>1.1915078483920292</v>
      </c>
      <c r="AL335">
        <v>1.1335600652960318</v>
      </c>
    </row>
    <row r="336" spans="1:38" x14ac:dyDescent="0.4">
      <c r="A336" s="10">
        <v>42902</v>
      </c>
      <c r="B336" s="11">
        <v>1.239859926136448</v>
      </c>
      <c r="C336" s="11">
        <v>1.284121929355273</v>
      </c>
      <c r="D336" s="11">
        <v>1.157588165211388</v>
      </c>
      <c r="E336" s="11">
        <v>1.1814520100798329</v>
      </c>
      <c r="P336" s="1">
        <f>A335</f>
        <v>42901</v>
      </c>
      <c r="Q336" s="14">
        <f>[1]!i_dq_close(Q$2,$P336)</f>
        <v>1974.1036999999999</v>
      </c>
      <c r="R336" s="14">
        <f>[1]!i_dq_close(R$2,$P336)</f>
        <v>3138.2773000000002</v>
      </c>
      <c r="S336" s="14">
        <f>[1]!i_dq_close(S$2,$P336)</f>
        <v>3831.9189999999999</v>
      </c>
      <c r="T336" s="14">
        <f>[1]!i_dq_close(T$2,$P336)</f>
        <v>5658.7325000000001</v>
      </c>
      <c r="U336" s="14">
        <f>[1]!i_dq_close(U$2,$P336)</f>
        <v>9185.1258999999991</v>
      </c>
      <c r="V336" s="14">
        <f>[1]!i_dq_close(V$2,$P336)</f>
        <v>9638.1973999999991</v>
      </c>
      <c r="W336" s="14">
        <f>[1]!i_dq_close(W$2,$P336)</f>
        <v>5446.2602999999999</v>
      </c>
      <c r="X336" s="14">
        <f>[1]!i_dq_close(X$2,$P336)</f>
        <v>5637.6157000000003</v>
      </c>
      <c r="Y336" s="14">
        <f>[1]!i_dq_close(Y$2,$P336)</f>
        <v>6068.6931999999997</v>
      </c>
      <c r="Z336" s="14">
        <f>[1]!i_dq_close(Z$2,$P336)</f>
        <v>2549.0147999999999</v>
      </c>
      <c r="AB336" s="1">
        <v>42901</v>
      </c>
      <c r="AC336">
        <v>1.1719623740288256</v>
      </c>
      <c r="AD336">
        <v>1.2300654985317148</v>
      </c>
      <c r="AE336">
        <v>1.134071714860406</v>
      </c>
      <c r="AF336">
        <v>1.1699914133167817</v>
      </c>
      <c r="AG336">
        <v>1.3695391530370065</v>
      </c>
      <c r="AH336">
        <v>1.1903724480292279</v>
      </c>
      <c r="AI336">
        <v>1.1672736585374635</v>
      </c>
      <c r="AJ336">
        <v>1.0414165494069554</v>
      </c>
      <c r="AK336">
        <v>1.2053794300827305</v>
      </c>
      <c r="AL336">
        <v>1.1328960205269434</v>
      </c>
    </row>
    <row r="337" spans="1:38" x14ac:dyDescent="0.4">
      <c r="A337" s="10">
        <v>42905</v>
      </c>
      <c r="B337" s="11">
        <v>1.249606735862447</v>
      </c>
      <c r="C337" s="11">
        <v>1.293992175339352</v>
      </c>
      <c r="D337" s="11">
        <v>1.165867201656513</v>
      </c>
      <c r="E337" s="11">
        <v>1.1891966537710941</v>
      </c>
      <c r="P337" s="1">
        <f>A336</f>
        <v>42902</v>
      </c>
      <c r="Q337" s="14">
        <f>[1]!i_dq_close(Q$2,$P337)</f>
        <v>1966.902</v>
      </c>
      <c r="R337" s="14">
        <f>[1]!i_dq_close(R$2,$P337)</f>
        <v>3140.1035000000002</v>
      </c>
      <c r="S337" s="14">
        <f>[1]!i_dq_close(S$2,$P337)</f>
        <v>3823.2024999999999</v>
      </c>
      <c r="T337" s="14">
        <f>[1]!i_dq_close(T$2,$P337)</f>
        <v>5613.8180000000002</v>
      </c>
      <c r="U337" s="14">
        <f>[1]!i_dq_close(U$2,$P337)</f>
        <v>9131.0234</v>
      </c>
      <c r="V337" s="14">
        <f>[1]!i_dq_close(V$2,$P337)</f>
        <v>9611.5925000000007</v>
      </c>
      <c r="W337" s="14">
        <f>[1]!i_dq_close(W$2,$P337)</f>
        <v>5441.2374</v>
      </c>
      <c r="X337" s="14">
        <f>[1]!i_dq_close(X$2,$P337)</f>
        <v>5627.0483000000004</v>
      </c>
      <c r="Y337" s="14">
        <f>[1]!i_dq_close(Y$2,$P337)</f>
        <v>6110.4094999999998</v>
      </c>
      <c r="Z337" s="14">
        <f>[1]!i_dq_close(Z$2,$P337)</f>
        <v>2538.6471000000001</v>
      </c>
      <c r="AB337" s="1">
        <v>42902</v>
      </c>
      <c r="AC337">
        <v>1.167686954541469</v>
      </c>
      <c r="AD337">
        <v>1.2307812879278328</v>
      </c>
      <c r="AE337">
        <v>1.1314920319123634</v>
      </c>
      <c r="AF337">
        <v>1.160704955734025</v>
      </c>
      <c r="AG337">
        <v>1.3614722530474066</v>
      </c>
      <c r="AH337">
        <v>1.1870865908685755</v>
      </c>
      <c r="AI337">
        <v>1.1661971218799212</v>
      </c>
      <c r="AJ337">
        <v>1.0394644714665944</v>
      </c>
      <c r="AK337">
        <v>1.213665228731962</v>
      </c>
      <c r="AL337">
        <v>1.1282881516075409</v>
      </c>
    </row>
    <row r="338" spans="1:38" x14ac:dyDescent="0.4">
      <c r="A338" s="10">
        <v>42906</v>
      </c>
      <c r="B338" s="11">
        <v>1.248987836016217</v>
      </c>
      <c r="C338" s="11">
        <v>1.2950405674402621</v>
      </c>
      <c r="D338" s="11">
        <v>1.166429475266864</v>
      </c>
      <c r="E338" s="11">
        <v>1.190772744443475</v>
      </c>
      <c r="P338" s="1">
        <f>A337</f>
        <v>42905</v>
      </c>
      <c r="Q338" s="14">
        <f>[1]!i_dq_close(Q$2,$P338)</f>
        <v>1980.8125</v>
      </c>
      <c r="R338" s="14">
        <f>[1]!i_dq_close(R$2,$P338)</f>
        <v>3157.3074999999999</v>
      </c>
      <c r="S338" s="14">
        <f>[1]!i_dq_close(S$2,$P338)</f>
        <v>3851.8831</v>
      </c>
      <c r="T338" s="14">
        <f>[1]!i_dq_close(T$2,$P338)</f>
        <v>5666.2115999999996</v>
      </c>
      <c r="U338" s="14">
        <f>[1]!i_dq_close(U$2,$P338)</f>
        <v>9204.1592000000001</v>
      </c>
      <c r="V338" s="14">
        <f>[1]!i_dq_close(V$2,$P338)</f>
        <v>9655.7096999999994</v>
      </c>
      <c r="W338" s="14">
        <f>[1]!i_dq_close(W$2,$P338)</f>
        <v>5510.8220000000001</v>
      </c>
      <c r="X338" s="14">
        <f>[1]!i_dq_close(X$2,$P338)</f>
        <v>5656.7736000000004</v>
      </c>
      <c r="Y338" s="14">
        <f>[1]!i_dq_close(Y$2,$P338)</f>
        <v>6144.6647000000003</v>
      </c>
      <c r="Z338" s="14">
        <f>[1]!i_dq_close(Z$2,$P338)</f>
        <v>2555.7157999999999</v>
      </c>
      <c r="AB338" s="1">
        <v>42905</v>
      </c>
      <c r="AC338">
        <v>1.175945174514375</v>
      </c>
      <c r="AD338">
        <v>1.2375244928182163</v>
      </c>
      <c r="AE338">
        <v>1.1399801698988985</v>
      </c>
      <c r="AF338">
        <v>1.1715377813027814</v>
      </c>
      <c r="AG338">
        <v>1.3723770944920604</v>
      </c>
      <c r="AH338">
        <v>1.1925353171380948</v>
      </c>
      <c r="AI338">
        <v>1.1811108913558064</v>
      </c>
      <c r="AJ338">
        <v>1.0449555196336566</v>
      </c>
      <c r="AK338">
        <v>1.2204690845362678</v>
      </c>
      <c r="AL338">
        <v>1.1358742442051859</v>
      </c>
    </row>
    <row r="339" spans="1:38" x14ac:dyDescent="0.4">
      <c r="A339" s="10">
        <v>42907</v>
      </c>
      <c r="B339" s="11">
        <v>1.2584529201063199</v>
      </c>
      <c r="C339" s="11">
        <v>1.305618141417668</v>
      </c>
      <c r="D339" s="11">
        <v>1.1746176945319839</v>
      </c>
      <c r="E339" s="11">
        <v>1.201893265590386</v>
      </c>
      <c r="P339" s="1">
        <f>A338</f>
        <v>42906</v>
      </c>
      <c r="Q339" s="14">
        <f>[1]!i_dq_close(Q$2,$P339)</f>
        <v>1977.4635000000001</v>
      </c>
      <c r="R339" s="14">
        <f>[1]!i_dq_close(R$2,$P339)</f>
        <v>3171.614</v>
      </c>
      <c r="S339" s="14">
        <f>[1]!i_dq_close(S$2,$P339)</f>
        <v>3855.4171999999999</v>
      </c>
      <c r="T339" s="14">
        <f>[1]!i_dq_close(T$2,$P339)</f>
        <v>5664.4132</v>
      </c>
      <c r="U339" s="14">
        <f>[1]!i_dq_close(U$2,$P339)</f>
        <v>9164.4747000000007</v>
      </c>
      <c r="V339" s="14">
        <f>[1]!i_dq_close(V$2,$P339)</f>
        <v>9610.7309000000005</v>
      </c>
      <c r="W339" s="14">
        <f>[1]!i_dq_close(W$2,$P339)</f>
        <v>5498.6094000000003</v>
      </c>
      <c r="X339" s="14">
        <f>[1]!i_dq_close(X$2,$P339)</f>
        <v>5661.8590999999997</v>
      </c>
      <c r="Y339" s="14">
        <f>[1]!i_dq_close(Y$2,$P339)</f>
        <v>6167.9974000000002</v>
      </c>
      <c r="Z339" s="14">
        <f>[1]!i_dq_close(Z$2,$P339)</f>
        <v>2556.0706</v>
      </c>
      <c r="AB339" s="1">
        <v>42906</v>
      </c>
      <c r="AC339">
        <v>1.1739569800792891</v>
      </c>
      <c r="AD339">
        <v>1.2431320062316245</v>
      </c>
      <c r="AE339">
        <v>1.141026100892609</v>
      </c>
      <c r="AF339">
        <v>1.1711659466988824</v>
      </c>
      <c r="AG339">
        <v>1.366459976195544</v>
      </c>
      <c r="AH339">
        <v>1.1869801783457088</v>
      </c>
      <c r="AI339">
        <v>1.1784934170712493</v>
      </c>
      <c r="AJ339">
        <v>1.0458949458279621</v>
      </c>
      <c r="AK339">
        <v>1.2251034853374634</v>
      </c>
      <c r="AL339">
        <v>1.1360319331711672</v>
      </c>
    </row>
    <row r="340" spans="1:38" x14ac:dyDescent="0.4">
      <c r="A340" s="10">
        <v>42908</v>
      </c>
      <c r="B340" s="11">
        <v>1.247796262172246</v>
      </c>
      <c r="C340" s="11">
        <v>1.2954039097215011</v>
      </c>
      <c r="D340" s="11">
        <v>1.1646584937069391</v>
      </c>
      <c r="E340" s="11">
        <v>1.191335429751297</v>
      </c>
      <c r="P340" s="1">
        <f>A339</f>
        <v>42907</v>
      </c>
      <c r="Q340" s="14">
        <f>[1]!i_dq_close(Q$2,$P340)</f>
        <v>1975.0882999999999</v>
      </c>
      <c r="R340" s="14">
        <f>[1]!i_dq_close(R$2,$P340)</f>
        <v>3178.8523</v>
      </c>
      <c r="S340" s="14">
        <f>[1]!i_dq_close(S$2,$P340)</f>
        <v>3862.6747999999998</v>
      </c>
      <c r="T340" s="14">
        <f>[1]!i_dq_close(T$2,$P340)</f>
        <v>5727.1895999999997</v>
      </c>
      <c r="U340" s="14">
        <f>[1]!i_dq_close(U$2,$P340)</f>
        <v>9312.1016</v>
      </c>
      <c r="V340" s="14">
        <f>[1]!i_dq_close(V$2,$P340)</f>
        <v>9701.6846000000005</v>
      </c>
      <c r="W340" s="14">
        <f>[1]!i_dq_close(W$2,$P340)</f>
        <v>5534.8501999999999</v>
      </c>
      <c r="X340" s="14">
        <f>[1]!i_dq_close(X$2,$P340)</f>
        <v>5696.0009</v>
      </c>
      <c r="Y340" s="14">
        <f>[1]!i_dq_close(Y$2,$P340)</f>
        <v>6196.9710999999998</v>
      </c>
      <c r="Z340" s="14">
        <f>[1]!i_dq_close(Z$2,$P340)</f>
        <v>2565.1927000000001</v>
      </c>
      <c r="AB340" s="1">
        <v>42907</v>
      </c>
      <c r="AC340">
        <v>1.1725468996307324</v>
      </c>
      <c r="AD340">
        <v>1.2459690987658061</v>
      </c>
      <c r="AE340">
        <v>1.1431740165656101</v>
      </c>
      <c r="AF340">
        <v>1.1841455050998033</v>
      </c>
      <c r="AG340">
        <v>1.3884717397568338</v>
      </c>
      <c r="AH340">
        <v>1.1982134799718318</v>
      </c>
      <c r="AI340">
        <v>1.1862607526141951</v>
      </c>
      <c r="AJ340">
        <v>1.0522018382162714</v>
      </c>
      <c r="AK340">
        <v>1.23085831604688</v>
      </c>
      <c r="AL340">
        <v>1.1400862018199209</v>
      </c>
    </row>
    <row r="341" spans="1:38" x14ac:dyDescent="0.4">
      <c r="A341" s="10">
        <v>42909</v>
      </c>
      <c r="B341" s="11">
        <v>1.2542770688664719</v>
      </c>
      <c r="C341" s="11">
        <v>1.3047833702956919</v>
      </c>
      <c r="D341" s="11">
        <v>1.172184710919647</v>
      </c>
      <c r="E341" s="11">
        <v>1.2005336791462859</v>
      </c>
      <c r="P341" s="1">
        <f>A340</f>
        <v>42908</v>
      </c>
      <c r="Q341" s="14">
        <f>[1]!i_dq_close(Q$2,$P341)</f>
        <v>1958.4820999999999</v>
      </c>
      <c r="R341" s="14">
        <f>[1]!i_dq_close(R$2,$P341)</f>
        <v>3129.5596999999998</v>
      </c>
      <c r="S341" s="14">
        <f>[1]!i_dq_close(S$2,$P341)</f>
        <v>3818.3503999999998</v>
      </c>
      <c r="T341" s="14">
        <f>[1]!i_dq_close(T$2,$P341)</f>
        <v>5667.1787999999997</v>
      </c>
      <c r="U341" s="14">
        <f>[1]!i_dq_close(U$2,$P341)</f>
        <v>9223.4076000000005</v>
      </c>
      <c r="V341" s="14">
        <f>[1]!i_dq_close(V$2,$P341)</f>
        <v>9584.8858999999993</v>
      </c>
      <c r="W341" s="14">
        <f>[1]!i_dq_close(W$2,$P341)</f>
        <v>5577.0820000000003</v>
      </c>
      <c r="X341" s="14">
        <f>[1]!i_dq_close(X$2,$P341)</f>
        <v>5611.1565000000001</v>
      </c>
      <c r="Y341" s="14">
        <f>[1]!i_dq_close(Y$2,$P341)</f>
        <v>6125.5198</v>
      </c>
      <c r="Z341" s="14">
        <f>[1]!i_dq_close(Z$2,$P341)</f>
        <v>2548.9157</v>
      </c>
      <c r="AB341" s="1">
        <v>42908</v>
      </c>
      <c r="AC341">
        <v>1.1626883285862644</v>
      </c>
      <c r="AD341">
        <v>1.2266485860141367</v>
      </c>
      <c r="AE341">
        <v>1.1300560335607088</v>
      </c>
      <c r="AF341">
        <v>1.171737758187174</v>
      </c>
      <c r="AG341">
        <v>1.3752471082208126</v>
      </c>
      <c r="AH341">
        <v>1.1837881731768463</v>
      </c>
      <c r="AI341">
        <v>1.1953121135439366</v>
      </c>
      <c r="AJ341">
        <v>1.0365288361908755</v>
      </c>
      <c r="AK341">
        <v>1.2166664753269258</v>
      </c>
      <c r="AL341">
        <v>1.1328519760609661</v>
      </c>
    </row>
    <row r="342" spans="1:38" x14ac:dyDescent="0.4">
      <c r="A342" s="10">
        <v>42912</v>
      </c>
      <c r="B342" s="11">
        <v>1.269055600551908</v>
      </c>
      <c r="C342" s="11">
        <v>1.3228307506440291</v>
      </c>
      <c r="D342" s="11">
        <v>1.1877667389995601</v>
      </c>
      <c r="E342" s="11">
        <v>1.216404038763605</v>
      </c>
      <c r="P342" s="1">
        <f>A341</f>
        <v>42909</v>
      </c>
      <c r="Q342" s="14">
        <f>[1]!i_dq_close(Q$2,$P342)</f>
        <v>1957.8680999999999</v>
      </c>
      <c r="R342" s="14">
        <f>[1]!i_dq_close(R$2,$P342)</f>
        <v>3149.8271</v>
      </c>
      <c r="S342" s="14">
        <f>[1]!i_dq_close(S$2,$P342)</f>
        <v>3824.2303000000002</v>
      </c>
      <c r="T342" s="14">
        <f>[1]!i_dq_close(T$2,$P342)</f>
        <v>5713.7111000000004</v>
      </c>
      <c r="U342" s="14">
        <f>[1]!i_dq_close(U$2,$P342)</f>
        <v>9279.0030999999999</v>
      </c>
      <c r="V342" s="14">
        <f>[1]!i_dq_close(V$2,$P342)</f>
        <v>9637.4843999999994</v>
      </c>
      <c r="W342" s="14">
        <f>[1]!i_dq_close(W$2,$P342)</f>
        <v>5621.7808999999997</v>
      </c>
      <c r="X342" s="14">
        <f>[1]!i_dq_close(X$2,$P342)</f>
        <v>5631.0084999999999</v>
      </c>
      <c r="Y342" s="14">
        <f>[1]!i_dq_close(Y$2,$P342)</f>
        <v>6191.6601000000001</v>
      </c>
      <c r="Z342" s="14">
        <f>[1]!i_dq_close(Z$2,$P342)</f>
        <v>2548.9059999999999</v>
      </c>
      <c r="AB342" s="1">
        <v>42909</v>
      </c>
      <c r="AC342">
        <v>1.1623238163786971</v>
      </c>
      <c r="AD342">
        <v>1.2345925078227487</v>
      </c>
      <c r="AE342">
        <v>1.1317962134226025</v>
      </c>
      <c r="AF342">
        <v>1.1813587097769302</v>
      </c>
      <c r="AG342">
        <v>1.3835366205053061</v>
      </c>
      <c r="AH342">
        <v>1.1902843884554071</v>
      </c>
      <c r="AI342">
        <v>1.2048922374567801</v>
      </c>
      <c r="AJ342">
        <v>1.0401960250237055</v>
      </c>
      <c r="AK342">
        <v>1.2298034315862241</v>
      </c>
      <c r="AL342">
        <v>1.1328476649477472</v>
      </c>
    </row>
    <row r="343" spans="1:38" x14ac:dyDescent="0.4">
      <c r="A343" s="10">
        <v>42913</v>
      </c>
      <c r="B343" s="11">
        <v>1.2705682870913</v>
      </c>
      <c r="C343" s="11">
        <v>1.3251470957170519</v>
      </c>
      <c r="D343" s="11">
        <v>1.18879711231403</v>
      </c>
      <c r="E343" s="11">
        <v>1.2172617055322781</v>
      </c>
      <c r="P343" s="1">
        <f>A342</f>
        <v>42912</v>
      </c>
      <c r="Q343" s="14">
        <f>[1]!i_dq_close(Q$2,$P343)</f>
        <v>1977.2443000000001</v>
      </c>
      <c r="R343" s="14">
        <f>[1]!i_dq_close(R$2,$P343)</f>
        <v>3199.6446000000001</v>
      </c>
      <c r="S343" s="14">
        <f>[1]!i_dq_close(S$2,$P343)</f>
        <v>3876.8797</v>
      </c>
      <c r="T343" s="14">
        <f>[1]!i_dq_close(T$2,$P343)</f>
        <v>5786.2092000000002</v>
      </c>
      <c r="U343" s="14">
        <f>[1]!i_dq_close(U$2,$P343)</f>
        <v>9425.8559000000005</v>
      </c>
      <c r="V343" s="14">
        <f>[1]!i_dq_close(V$2,$P343)</f>
        <v>9772.2306000000008</v>
      </c>
      <c r="W343" s="14">
        <f>[1]!i_dq_close(W$2,$P343)</f>
        <v>5681.4485999999997</v>
      </c>
      <c r="X343" s="14">
        <f>[1]!i_dq_close(X$2,$P343)</f>
        <v>5716.1304</v>
      </c>
      <c r="Y343" s="14">
        <f>[1]!i_dq_close(Y$2,$P343)</f>
        <v>6275.7456000000002</v>
      </c>
      <c r="Z343" s="14">
        <f>[1]!i_dq_close(Z$2,$P343)</f>
        <v>2557.3121999999998</v>
      </c>
      <c r="AB343" s="1">
        <v>42912</v>
      </c>
      <c r="AC343">
        <v>1.1738268480338514</v>
      </c>
      <c r="AD343">
        <v>1.2541187580916793</v>
      </c>
      <c r="AE343">
        <v>1.1473780133887217</v>
      </c>
      <c r="AF343">
        <v>1.1963483129224723</v>
      </c>
      <c r="AG343">
        <v>1.405432962648326</v>
      </c>
      <c r="AH343">
        <v>1.2069263140458331</v>
      </c>
      <c r="AI343">
        <v>1.2176805602028513</v>
      </c>
      <c r="AJ343">
        <v>1.0559202886298544</v>
      </c>
      <c r="AK343">
        <v>1.2465047095595811</v>
      </c>
      <c r="AL343">
        <v>1.1365837556631693</v>
      </c>
    </row>
    <row r="344" spans="1:38" x14ac:dyDescent="0.4">
      <c r="A344" s="10">
        <v>42914</v>
      </c>
      <c r="B344" s="11">
        <v>1.261218807219799</v>
      </c>
      <c r="C344" s="11">
        <v>1.31520863713978</v>
      </c>
      <c r="D344" s="11">
        <v>1.179214235360551</v>
      </c>
      <c r="E344" s="11">
        <v>1.2054080723913481</v>
      </c>
      <c r="P344" s="1">
        <f>A343</f>
        <v>42913</v>
      </c>
      <c r="Q344" s="14">
        <f>[1]!i_dq_close(Q$2,$P344)</f>
        <v>1988.2577000000001</v>
      </c>
      <c r="R344" s="14">
        <f>[1]!i_dq_close(R$2,$P344)</f>
        <v>3201.2764999999999</v>
      </c>
      <c r="S344" s="14">
        <f>[1]!i_dq_close(S$2,$P344)</f>
        <v>3881.7698</v>
      </c>
      <c r="T344" s="14">
        <f>[1]!i_dq_close(T$2,$P344)</f>
        <v>5800.2920999999997</v>
      </c>
      <c r="U344" s="14">
        <f>[1]!i_dq_close(U$2,$P344)</f>
        <v>9455.2954000000009</v>
      </c>
      <c r="V344" s="14">
        <f>[1]!i_dq_close(V$2,$P344)</f>
        <v>9805.3091000000004</v>
      </c>
      <c r="W344" s="14">
        <f>[1]!i_dq_close(W$2,$P344)</f>
        <v>5694.3882999999996</v>
      </c>
      <c r="X344" s="14">
        <f>[1]!i_dq_close(X$2,$P344)</f>
        <v>5713.6522999999997</v>
      </c>
      <c r="Y344" s="14">
        <f>[1]!i_dq_close(Y$2,$P344)</f>
        <v>6275.2975999999999</v>
      </c>
      <c r="Z344" s="14">
        <f>[1]!i_dq_close(Z$2,$P344)</f>
        <v>2559.9920000000002</v>
      </c>
      <c r="AB344" s="1">
        <v>42913</v>
      </c>
      <c r="AC344">
        <v>1.1803651521817689</v>
      </c>
      <c r="AD344">
        <v>1.2547583905062698</v>
      </c>
      <c r="AE344">
        <v>1.1488252579919711</v>
      </c>
      <c r="AF344">
        <v>1.199260073122234</v>
      </c>
      <c r="AG344">
        <v>1.4098225103077471</v>
      </c>
      <c r="AH344">
        <v>1.2110116977942647</v>
      </c>
      <c r="AI344">
        <v>1.2204538707182113</v>
      </c>
      <c r="AJ344">
        <v>1.0554625180955688</v>
      </c>
      <c r="AK344">
        <v>1.2464157266489475</v>
      </c>
      <c r="AL344">
        <v>1.1377747784676695</v>
      </c>
    </row>
    <row r="345" spans="1:38" x14ac:dyDescent="0.4">
      <c r="A345" s="10">
        <v>42915</v>
      </c>
      <c r="B345" s="11">
        <v>1.268115698396844</v>
      </c>
      <c r="C345" s="11">
        <v>1.321970244446995</v>
      </c>
      <c r="D345" s="11">
        <v>1.1851465282779909</v>
      </c>
      <c r="E345" s="11">
        <v>1.21143745582092</v>
      </c>
      <c r="P345" s="1">
        <f>A344</f>
        <v>42914</v>
      </c>
      <c r="Q345" s="14">
        <f>[1]!i_dq_close(Q$2,$P345)</f>
        <v>1985.7547999999999</v>
      </c>
      <c r="R345" s="14">
        <f>[1]!i_dq_close(R$2,$P345)</f>
        <v>3200.962</v>
      </c>
      <c r="S345" s="14">
        <f>[1]!i_dq_close(S$2,$P345)</f>
        <v>3853.8778000000002</v>
      </c>
      <c r="T345" s="14">
        <f>[1]!i_dq_close(T$2,$P345)</f>
        <v>5738.0806000000002</v>
      </c>
      <c r="U345" s="14">
        <f>[1]!i_dq_close(U$2,$P345)</f>
        <v>9351.2985000000008</v>
      </c>
      <c r="V345" s="14">
        <f>[1]!i_dq_close(V$2,$P345)</f>
        <v>9720.2204999999994</v>
      </c>
      <c r="W345" s="14">
        <f>[1]!i_dq_close(W$2,$P345)</f>
        <v>5663.3140999999996</v>
      </c>
      <c r="X345" s="14">
        <f>[1]!i_dq_close(X$2,$P345)</f>
        <v>5663.5945000000002</v>
      </c>
      <c r="Y345" s="14">
        <f>[1]!i_dq_close(Y$2,$P345)</f>
        <v>6243.2030000000004</v>
      </c>
      <c r="Z345" s="14">
        <f>[1]!i_dq_close(Z$2,$P345)</f>
        <v>2544.9625999999998</v>
      </c>
      <c r="AB345" s="1">
        <v>42914</v>
      </c>
      <c r="AC345">
        <v>1.1788792603180553</v>
      </c>
      <c r="AD345">
        <v>1.2546351204563964</v>
      </c>
      <c r="AE345">
        <v>1.140570509321426</v>
      </c>
      <c r="AF345">
        <v>1.1863973126348712</v>
      </c>
      <c r="AG345">
        <v>1.3943161549354735</v>
      </c>
      <c r="AH345">
        <v>1.2005027695291741</v>
      </c>
      <c r="AI345">
        <v>1.2137938704387305</v>
      </c>
      <c r="AJ345">
        <v>1.0462155200522465</v>
      </c>
      <c r="AK345">
        <v>1.2400410147658798</v>
      </c>
      <c r="AL345">
        <v>1.1310950418686871</v>
      </c>
    </row>
    <row r="346" spans="1:38" x14ac:dyDescent="0.4">
      <c r="A346" s="10">
        <v>42916</v>
      </c>
      <c r="B346" s="11">
        <v>1.271091537101952</v>
      </c>
      <c r="C346" s="11">
        <v>1.325174474786968</v>
      </c>
      <c r="D346" s="11">
        <v>1.1894403233482189</v>
      </c>
      <c r="E346" s="11">
        <v>1.216804749851115</v>
      </c>
      <c r="P346" s="1">
        <f>A345</f>
        <v>42915</v>
      </c>
      <c r="Q346" s="14">
        <f>[1]!i_dq_close(Q$2,$P346)</f>
        <v>2002.7418</v>
      </c>
      <c r="R346" s="14">
        <f>[1]!i_dq_close(R$2,$P346)</f>
        <v>3219.0077000000001</v>
      </c>
      <c r="S346" s="14">
        <f>[1]!i_dq_close(S$2,$P346)</f>
        <v>3865.0922999999998</v>
      </c>
      <c r="T346" s="14">
        <f>[1]!i_dq_close(T$2,$P346)</f>
        <v>5760.2394000000004</v>
      </c>
      <c r="U346" s="14">
        <f>[1]!i_dq_close(U$2,$P346)</f>
        <v>9389.2212</v>
      </c>
      <c r="V346" s="14">
        <f>[1]!i_dq_close(V$2,$P346)</f>
        <v>9775.5931999999993</v>
      </c>
      <c r="W346" s="14">
        <f>[1]!i_dq_close(W$2,$P346)</f>
        <v>5692.6364000000003</v>
      </c>
      <c r="X346" s="14">
        <f>[1]!i_dq_close(X$2,$P346)</f>
        <v>5729.4825000000001</v>
      </c>
      <c r="Y346" s="14">
        <f>[1]!i_dq_close(Y$2,$P346)</f>
        <v>6271.3008</v>
      </c>
      <c r="Z346" s="14">
        <f>[1]!i_dq_close(Z$2,$P346)</f>
        <v>2549.1214</v>
      </c>
      <c r="AB346" s="1">
        <v>42915</v>
      </c>
      <c r="AC346">
        <v>1.1889639001713861</v>
      </c>
      <c r="AD346">
        <v>1.2617082344118948</v>
      </c>
      <c r="AE346">
        <v>1.1438894853348287</v>
      </c>
      <c r="AF346">
        <v>1.1909788343324252</v>
      </c>
      <c r="AG346">
        <v>1.3999705817777746</v>
      </c>
      <c r="AH346">
        <v>1.2073416143584976</v>
      </c>
      <c r="AI346">
        <v>1.2200783934898476</v>
      </c>
      <c r="AJ346">
        <v>1.0583867742239925</v>
      </c>
      <c r="AK346">
        <v>1.2456218719676539</v>
      </c>
      <c r="AL346">
        <v>1.1329433983278836</v>
      </c>
    </row>
    <row r="347" spans="1:38" x14ac:dyDescent="0.4">
      <c r="A347" s="10">
        <v>42919</v>
      </c>
      <c r="B347" s="11">
        <v>1.271155910566713</v>
      </c>
      <c r="C347" s="11">
        <v>1.325606321131926</v>
      </c>
      <c r="D347" s="11">
        <v>1.1887951573331239</v>
      </c>
      <c r="E347" s="11">
        <v>1.213897820823254</v>
      </c>
      <c r="P347" s="1">
        <f>A346</f>
        <v>42916</v>
      </c>
      <c r="Q347" s="14">
        <f>[1]!i_dq_close(Q$2,$P347)</f>
        <v>2002.4199000000001</v>
      </c>
      <c r="R347" s="14">
        <f>[1]!i_dq_close(R$2,$P347)</f>
        <v>3227.6349</v>
      </c>
      <c r="S347" s="14">
        <f>[1]!i_dq_close(S$2,$P347)</f>
        <v>3870.5387999999998</v>
      </c>
      <c r="T347" s="14">
        <f>[1]!i_dq_close(T$2,$P347)</f>
        <v>5782.0365000000002</v>
      </c>
      <c r="U347" s="14">
        <f>[1]!i_dq_close(U$2,$P347)</f>
        <v>9422.7523000000001</v>
      </c>
      <c r="V347" s="14">
        <f>[1]!i_dq_close(V$2,$P347)</f>
        <v>9815.6738000000005</v>
      </c>
      <c r="W347" s="14">
        <f>[1]!i_dq_close(W$2,$P347)</f>
        <v>5675.1556</v>
      </c>
      <c r="X347" s="14">
        <f>[1]!i_dq_close(X$2,$P347)</f>
        <v>5720.6345000000001</v>
      </c>
      <c r="Y347" s="14">
        <f>[1]!i_dq_close(Y$2,$P347)</f>
        <v>6280.8662000000004</v>
      </c>
      <c r="Z347" s="14">
        <f>[1]!i_dq_close(Z$2,$P347)</f>
        <v>2547.8298</v>
      </c>
      <c r="AB347" s="1">
        <v>42916</v>
      </c>
      <c r="AC347">
        <v>1.1887727984130541</v>
      </c>
      <c r="AD347">
        <v>1.265089714139302</v>
      </c>
      <c r="AE347">
        <v>1.1455013987377443</v>
      </c>
      <c r="AF347">
        <v>1.1954855714568973</v>
      </c>
      <c r="AG347">
        <v>1.4049702034263358</v>
      </c>
      <c r="AH347">
        <v>1.2122917974643634</v>
      </c>
      <c r="AI347">
        <v>1.2163318084487027</v>
      </c>
      <c r="AJ347">
        <v>1.0567523148852418</v>
      </c>
      <c r="AK347">
        <v>1.247521776283218</v>
      </c>
      <c r="AL347">
        <v>1.132369353602795</v>
      </c>
    </row>
    <row r="348" spans="1:38" x14ac:dyDescent="0.4">
      <c r="A348" s="10">
        <v>42920</v>
      </c>
      <c r="B348" s="11">
        <v>1.264718151122147</v>
      </c>
      <c r="C348" s="11">
        <v>1.317121412520829</v>
      </c>
      <c r="D348" s="11">
        <v>1.182838747128121</v>
      </c>
      <c r="E348" s="11">
        <v>1.207448189615403</v>
      </c>
      <c r="P348" s="1">
        <f>A347</f>
        <v>42919</v>
      </c>
      <c r="Q348" s="14">
        <f>[1]!i_dq_close(Q$2,$P348)</f>
        <v>2028.6690000000001</v>
      </c>
      <c r="R348" s="14">
        <f>[1]!i_dq_close(R$2,$P348)</f>
        <v>3266.7024000000001</v>
      </c>
      <c r="S348" s="14">
        <f>[1]!i_dq_close(S$2,$P348)</f>
        <v>3892.0277000000001</v>
      </c>
      <c r="T348" s="14">
        <f>[1]!i_dq_close(T$2,$P348)</f>
        <v>5771.0069000000003</v>
      </c>
      <c r="U348" s="14">
        <f>[1]!i_dq_close(U$2,$P348)</f>
        <v>9381.0342000000001</v>
      </c>
      <c r="V348" s="14">
        <f>[1]!i_dq_close(V$2,$P348)</f>
        <v>9825.5164000000004</v>
      </c>
      <c r="W348" s="14">
        <f>[1]!i_dq_close(W$2,$P348)</f>
        <v>5652.1023999999998</v>
      </c>
      <c r="X348" s="14">
        <f>[1]!i_dq_close(X$2,$P348)</f>
        <v>5738.4831000000004</v>
      </c>
      <c r="Y348" s="14">
        <f>[1]!i_dq_close(Y$2,$P348)</f>
        <v>6247.7772999999997</v>
      </c>
      <c r="Z348" s="14">
        <f>[1]!i_dq_close(Z$2,$P348)</f>
        <v>2552.1520999999998</v>
      </c>
      <c r="AB348" s="1">
        <v>42919</v>
      </c>
      <c r="AC348">
        <v>1.2043560514874088</v>
      </c>
      <c r="AD348">
        <v>1.2804024412408517</v>
      </c>
      <c r="AE348">
        <v>1.1518611244191754</v>
      </c>
      <c r="AF348">
        <v>1.1932051071846741</v>
      </c>
      <c r="AG348">
        <v>1.3987498672042364</v>
      </c>
      <c r="AH348">
        <v>1.2135074148013743</v>
      </c>
      <c r="AI348">
        <v>1.2113909147670334</v>
      </c>
      <c r="AJ348">
        <v>1.0600494228139972</v>
      </c>
      <c r="AK348">
        <v>1.2409495739804117</v>
      </c>
      <c r="AL348">
        <v>1.1342903767641841</v>
      </c>
    </row>
    <row r="349" spans="1:38" x14ac:dyDescent="0.4">
      <c r="A349" s="10">
        <v>42921</v>
      </c>
      <c r="B349" s="11">
        <v>1.2759562013322929</v>
      </c>
      <c r="C349" s="11">
        <v>1.3309741805631989</v>
      </c>
      <c r="D349" s="11">
        <v>1.19456094824107</v>
      </c>
      <c r="E349" s="11">
        <v>1.2222030846353189</v>
      </c>
      <c r="P349" s="1">
        <f>A348</f>
        <v>42920</v>
      </c>
      <c r="Q349" s="14">
        <f>[1]!i_dq_close(Q$2,$P349)</f>
        <v>2027.6855</v>
      </c>
      <c r="R349" s="14">
        <f>[1]!i_dq_close(R$2,$P349)</f>
        <v>3247.5985000000001</v>
      </c>
      <c r="S349" s="14">
        <f>[1]!i_dq_close(S$2,$P349)</f>
        <v>3880.8834999999999</v>
      </c>
      <c r="T349" s="14">
        <f>[1]!i_dq_close(T$2,$P349)</f>
        <v>5737.5272000000004</v>
      </c>
      <c r="U349" s="14">
        <f>[1]!i_dq_close(U$2,$P349)</f>
        <v>9287.4320000000007</v>
      </c>
      <c r="V349" s="14">
        <f>[1]!i_dq_close(V$2,$P349)</f>
        <v>9740.2412999999997</v>
      </c>
      <c r="W349" s="14">
        <f>[1]!i_dq_close(W$2,$P349)</f>
        <v>5595.4187000000002</v>
      </c>
      <c r="X349" s="14">
        <f>[1]!i_dq_close(X$2,$P349)</f>
        <v>5734.2447000000002</v>
      </c>
      <c r="Y349" s="14">
        <f>[1]!i_dq_close(Y$2,$P349)</f>
        <v>6258.9441999999999</v>
      </c>
      <c r="Z349" s="14">
        <f>[1]!i_dq_close(Z$2,$P349)</f>
        <v>2545.0517</v>
      </c>
      <c r="AB349" s="1">
        <v>42920</v>
      </c>
      <c r="AC349">
        <v>1.2037721789204014</v>
      </c>
      <c r="AD349">
        <v>1.2729145598234255</v>
      </c>
      <c r="AE349">
        <v>1.148562953971223</v>
      </c>
      <c r="AF349">
        <v>1.1862828924448146</v>
      </c>
      <c r="AG349">
        <v>1.3847934033401537</v>
      </c>
      <c r="AH349">
        <v>1.2029754527206913</v>
      </c>
      <c r="AI349">
        <v>1.1992421399685833</v>
      </c>
      <c r="AJ349">
        <v>1.0592664783676407</v>
      </c>
      <c r="AK349">
        <v>1.243167572339233</v>
      </c>
      <c r="AL349">
        <v>1.131134641888047</v>
      </c>
    </row>
    <row r="350" spans="1:38" x14ac:dyDescent="0.4">
      <c r="A350" s="10">
        <v>42922</v>
      </c>
      <c r="B350" s="11">
        <v>1.2777581695990601</v>
      </c>
      <c r="C350" s="11">
        <v>1.3328377681212029</v>
      </c>
      <c r="D350" s="11">
        <v>1.196006761819749</v>
      </c>
      <c r="E350" s="11">
        <v>1.2236029158654249</v>
      </c>
      <c r="P350" s="1">
        <f>A349</f>
        <v>42921</v>
      </c>
      <c r="Q350" s="14">
        <f>[1]!i_dq_close(Q$2,$P350)</f>
        <v>2043.6944000000001</v>
      </c>
      <c r="R350" s="14">
        <f>[1]!i_dq_close(R$2,$P350)</f>
        <v>3291.5445</v>
      </c>
      <c r="S350" s="14">
        <f>[1]!i_dq_close(S$2,$P350)</f>
        <v>3904.1464999999998</v>
      </c>
      <c r="T350" s="14">
        <f>[1]!i_dq_close(T$2,$P350)</f>
        <v>5784.0466999999999</v>
      </c>
      <c r="U350" s="14">
        <f>[1]!i_dq_close(U$2,$P350)</f>
        <v>9362.5874000000003</v>
      </c>
      <c r="V350" s="14">
        <f>[1]!i_dq_close(V$2,$P350)</f>
        <v>9784.6031000000003</v>
      </c>
      <c r="W350" s="14">
        <f>[1]!i_dq_close(W$2,$P350)</f>
        <v>5676.3338000000003</v>
      </c>
      <c r="X350" s="14">
        <f>[1]!i_dq_close(X$2,$P350)</f>
        <v>5781.7223000000004</v>
      </c>
      <c r="Y350" s="14">
        <f>[1]!i_dq_close(Y$2,$P350)</f>
        <v>6328.7663000000002</v>
      </c>
      <c r="Z350" s="14">
        <f>[1]!i_dq_close(Z$2,$P350)</f>
        <v>2547.6532999999999</v>
      </c>
      <c r="AB350" s="1">
        <v>42921</v>
      </c>
      <c r="AC350">
        <v>1.2132761520144137</v>
      </c>
      <c r="AD350">
        <v>1.2901394425316792</v>
      </c>
      <c r="AE350">
        <v>1.1554477316251341</v>
      </c>
      <c r="AF350">
        <v>1.1959011975249345</v>
      </c>
      <c r="AG350">
        <v>1.3959993752541757</v>
      </c>
      <c r="AH350">
        <v>1.2084543884877657</v>
      </c>
      <c r="AI350">
        <v>1.2165843270116676</v>
      </c>
      <c r="AJ350">
        <v>1.0680368453094888</v>
      </c>
      <c r="AK350">
        <v>1.2570358171707861</v>
      </c>
      <c r="AL350">
        <v>1.13229090912</v>
      </c>
    </row>
    <row r="351" spans="1:38" x14ac:dyDescent="0.4">
      <c r="A351" s="10">
        <v>42923</v>
      </c>
      <c r="B351" s="11">
        <v>1.2759268228319931</v>
      </c>
      <c r="C351" s="11">
        <v>1.3338492816579961</v>
      </c>
      <c r="D351" s="11">
        <v>1.1963861255508581</v>
      </c>
      <c r="E351" s="11">
        <v>1.2235811695131531</v>
      </c>
      <c r="P351" s="1">
        <f>A350</f>
        <v>42922</v>
      </c>
      <c r="Q351" s="14">
        <f>[1]!i_dq_close(Q$2,$P351)</f>
        <v>2055.7181999999998</v>
      </c>
      <c r="R351" s="14">
        <f>[1]!i_dq_close(R$2,$P351)</f>
        <v>3317.6163000000001</v>
      </c>
      <c r="S351" s="14">
        <f>[1]!i_dq_close(S$2,$P351)</f>
        <v>3912.2844</v>
      </c>
      <c r="T351" s="14">
        <f>[1]!i_dq_close(T$2,$P351)</f>
        <v>5779.2690000000002</v>
      </c>
      <c r="U351" s="14">
        <f>[1]!i_dq_close(U$2,$P351)</f>
        <v>9332.8798000000006</v>
      </c>
      <c r="V351" s="14">
        <f>[1]!i_dq_close(V$2,$P351)</f>
        <v>9713.0292000000009</v>
      </c>
      <c r="W351" s="14">
        <f>[1]!i_dq_close(W$2,$P351)</f>
        <v>5685.1549000000005</v>
      </c>
      <c r="X351" s="14">
        <f>[1]!i_dq_close(X$2,$P351)</f>
        <v>5775.0108</v>
      </c>
      <c r="Y351" s="14">
        <f>[1]!i_dq_close(Y$2,$P351)</f>
        <v>6329.7843999999996</v>
      </c>
      <c r="Z351" s="14">
        <f>[1]!i_dq_close(Z$2,$P351)</f>
        <v>2553.5149000000001</v>
      </c>
      <c r="AB351" s="1">
        <v>42922</v>
      </c>
      <c r="AC351">
        <v>1.2204142984009727</v>
      </c>
      <c r="AD351">
        <v>1.3003584316772907</v>
      </c>
      <c r="AE351">
        <v>1.1578561755949475</v>
      </c>
      <c r="AF351">
        <v>1.1949133671273315</v>
      </c>
      <c r="AG351">
        <v>1.3915698528082439</v>
      </c>
      <c r="AH351">
        <v>1.1996146028907204</v>
      </c>
      <c r="AI351">
        <v>1.218474915617821</v>
      </c>
      <c r="AJ351">
        <v>1.0667970539609326</v>
      </c>
      <c r="AK351">
        <v>1.2572380348076515</v>
      </c>
      <c r="AL351">
        <v>1.1348960659491878</v>
      </c>
    </row>
    <row r="352" spans="1:38" x14ac:dyDescent="0.4">
      <c r="A352" s="10">
        <v>42926</v>
      </c>
      <c r="B352" s="11">
        <v>1.269296315100761</v>
      </c>
      <c r="C352" s="11">
        <v>1.328434938733807</v>
      </c>
      <c r="D352" s="11">
        <v>1.190723710318623</v>
      </c>
      <c r="E352" s="11">
        <v>1.2160531156819709</v>
      </c>
      <c r="P352" s="1">
        <f>A351</f>
        <v>42923</v>
      </c>
      <c r="Q352" s="14">
        <f>[1]!i_dq_close(Q$2,$P352)</f>
        <v>2073.1080000000002</v>
      </c>
      <c r="R352" s="14">
        <f>[1]!i_dq_close(R$2,$P352)</f>
        <v>3372.0126</v>
      </c>
      <c r="S352" s="14">
        <f>[1]!i_dq_close(S$2,$P352)</f>
        <v>3921.9490000000001</v>
      </c>
      <c r="T352" s="14">
        <f>[1]!i_dq_close(T$2,$P352)</f>
        <v>5753.2006000000001</v>
      </c>
      <c r="U352" s="14">
        <f>[1]!i_dq_close(U$2,$P352)</f>
        <v>9265.8361999999997</v>
      </c>
      <c r="V352" s="14">
        <f>[1]!i_dq_close(V$2,$P352)</f>
        <v>9675.9449000000004</v>
      </c>
      <c r="W352" s="14">
        <f>[1]!i_dq_close(W$2,$P352)</f>
        <v>5684.2134999999998</v>
      </c>
      <c r="X352" s="14">
        <f>[1]!i_dq_close(X$2,$P352)</f>
        <v>5774.2201999999997</v>
      </c>
      <c r="Y352" s="14">
        <f>[1]!i_dq_close(Y$2,$P352)</f>
        <v>6339.7709999999997</v>
      </c>
      <c r="Z352" s="14">
        <f>[1]!i_dq_close(Z$2,$P352)</f>
        <v>2556.4295000000002</v>
      </c>
      <c r="AB352" s="1">
        <v>42923</v>
      </c>
      <c r="AC352">
        <v>1.2307380677611572</v>
      </c>
      <c r="AD352">
        <v>1.3216793684465751</v>
      </c>
      <c r="AE352">
        <v>1.1607164525202791</v>
      </c>
      <c r="AF352">
        <v>1.1895235021427424</v>
      </c>
      <c r="AG352">
        <v>1.3815733828458066</v>
      </c>
      <c r="AH352">
        <v>1.1950344799546151</v>
      </c>
      <c r="AI352">
        <v>1.2182731493852836</v>
      </c>
      <c r="AJ352">
        <v>1.0666510092555508</v>
      </c>
      <c r="AK352">
        <v>1.2592215989490163</v>
      </c>
      <c r="AL352">
        <v>1.1361914443602616</v>
      </c>
    </row>
    <row r="353" spans="1:38" x14ac:dyDescent="0.4">
      <c r="A353" s="10">
        <v>42927</v>
      </c>
      <c r="B353" s="11">
        <v>1.265691024855548</v>
      </c>
      <c r="C353" s="11">
        <v>1.3238644717252559</v>
      </c>
      <c r="D353" s="11">
        <v>1.185427221307185</v>
      </c>
      <c r="E353" s="11">
        <v>1.213102474902678</v>
      </c>
      <c r="P353" s="1">
        <f>A352</f>
        <v>42926</v>
      </c>
      <c r="Q353" s="14">
        <f>[1]!i_dq_close(Q$2,$P353)</f>
        <v>2054.4920000000002</v>
      </c>
      <c r="R353" s="14">
        <f>[1]!i_dq_close(R$2,$P353)</f>
        <v>3373.6156000000001</v>
      </c>
      <c r="S353" s="14">
        <f>[1]!i_dq_close(S$2,$P353)</f>
        <v>3913.5614999999998</v>
      </c>
      <c r="T353" s="14">
        <f>[1]!i_dq_close(T$2,$P353)</f>
        <v>5716.0128999999997</v>
      </c>
      <c r="U353" s="14">
        <f>[1]!i_dq_close(U$2,$P353)</f>
        <v>9319.9583000000002</v>
      </c>
      <c r="V353" s="14">
        <f>[1]!i_dq_close(V$2,$P353)</f>
        <v>9610.9025999999994</v>
      </c>
      <c r="W353" s="14">
        <f>[1]!i_dq_close(W$2,$P353)</f>
        <v>5696.2511000000004</v>
      </c>
      <c r="X353" s="14">
        <f>[1]!i_dq_close(X$2,$P353)</f>
        <v>5698.7021999999997</v>
      </c>
      <c r="Y353" s="14">
        <f>[1]!i_dq_close(Y$2,$P353)</f>
        <v>6262.1750000000002</v>
      </c>
      <c r="Z353" s="14">
        <f>[1]!i_dq_close(Z$2,$P353)</f>
        <v>2557.9537999999998</v>
      </c>
      <c r="AB353" s="1">
        <v>42926</v>
      </c>
      <c r="AC353">
        <v>1.2196863425884013</v>
      </c>
      <c r="AD353">
        <v>1.3223076733430694</v>
      </c>
      <c r="AE353">
        <v>1.1582341384347277</v>
      </c>
      <c r="AF353">
        <v>1.1818346266426192</v>
      </c>
      <c r="AG353">
        <v>1.3896432052741072</v>
      </c>
      <c r="AH353">
        <v>1.1870013842767395</v>
      </c>
      <c r="AI353">
        <v>1.2208531166688914</v>
      </c>
      <c r="AJ353">
        <v>1.0527008396868598</v>
      </c>
      <c r="AK353">
        <v>1.2438092821331492</v>
      </c>
      <c r="AL353">
        <v>1.1368689113581343</v>
      </c>
    </row>
    <row r="354" spans="1:38" x14ac:dyDescent="0.4">
      <c r="A354" s="10">
        <v>42928</v>
      </c>
      <c r="B354" s="11">
        <v>1.2636745440257571</v>
      </c>
      <c r="C354" s="11">
        <v>1.323375237030137</v>
      </c>
      <c r="D354" s="11">
        <v>1.1850260931753209</v>
      </c>
      <c r="E354" s="11">
        <v>1.2136402266723381</v>
      </c>
      <c r="P354" s="1">
        <f>A353</f>
        <v>42927</v>
      </c>
      <c r="Q354" s="14">
        <f>[1]!i_dq_close(Q$2,$P354)</f>
        <v>2021.3055999999999</v>
      </c>
      <c r="R354" s="14">
        <f>[1]!i_dq_close(R$2,$P354)</f>
        <v>3315.3112999999998</v>
      </c>
      <c r="S354" s="14">
        <f>[1]!i_dq_close(S$2,$P354)</f>
        <v>3870.4481999999998</v>
      </c>
      <c r="T354" s="14">
        <f>[1]!i_dq_close(T$2,$P354)</f>
        <v>5738.4080999999996</v>
      </c>
      <c r="U354" s="14">
        <f>[1]!i_dq_close(U$2,$P354)</f>
        <v>9348.7039000000004</v>
      </c>
      <c r="V354" s="14">
        <f>[1]!i_dq_close(V$2,$P354)</f>
        <v>9576.3204999999998</v>
      </c>
      <c r="W354" s="14">
        <f>[1]!i_dq_close(W$2,$P354)</f>
        <v>5741.3590999999997</v>
      </c>
      <c r="X354" s="14">
        <f>[1]!i_dq_close(X$2,$P354)</f>
        <v>5639.2731000000003</v>
      </c>
      <c r="Y354" s="14">
        <f>[1]!i_dq_close(Y$2,$P354)</f>
        <v>6221.0078000000003</v>
      </c>
      <c r="Z354" s="14">
        <f>[1]!i_dq_close(Z$2,$P354)</f>
        <v>2543.0565000000001</v>
      </c>
      <c r="AB354" s="1">
        <v>42927</v>
      </c>
      <c r="AC354">
        <v>1.1999846358698179</v>
      </c>
      <c r="AD354">
        <v>1.2994549739190755</v>
      </c>
      <c r="AE354">
        <v>1.1454745853063104</v>
      </c>
      <c r="AF354">
        <v>1.1864650260650185</v>
      </c>
      <c r="AG354">
        <v>1.3939292896572881</v>
      </c>
      <c r="AH354">
        <v>1.1827302973372884</v>
      </c>
      <c r="AI354">
        <v>1.230520921233669</v>
      </c>
      <c r="AJ354">
        <v>1.0417227149707038</v>
      </c>
      <c r="AK354">
        <v>1.2356325471362142</v>
      </c>
      <c r="AL354">
        <v>1.1302478858989664</v>
      </c>
    </row>
    <row r="355" spans="1:38" x14ac:dyDescent="0.4">
      <c r="A355" s="10">
        <v>42929</v>
      </c>
      <c r="B355" s="11">
        <v>1.2667901082022559</v>
      </c>
      <c r="C355" s="11">
        <v>1.3254414613716881</v>
      </c>
      <c r="D355" s="11">
        <v>1.1843427128853581</v>
      </c>
      <c r="E355" s="11">
        <v>1.211618526682088</v>
      </c>
      <c r="P355" s="1">
        <f>A354</f>
        <v>42928</v>
      </c>
      <c r="Q355" s="14">
        <f>[1]!i_dq_close(Q$2,$P355)</f>
        <v>2029.461</v>
      </c>
      <c r="R355" s="14">
        <f>[1]!i_dq_close(R$2,$P355)</f>
        <v>3340.8265999999999</v>
      </c>
      <c r="S355" s="14">
        <f>[1]!i_dq_close(S$2,$P355)</f>
        <v>3866.6397999999999</v>
      </c>
      <c r="T355" s="14">
        <f>[1]!i_dq_close(T$2,$P355)</f>
        <v>5688.0108</v>
      </c>
      <c r="U355" s="14">
        <f>[1]!i_dq_close(U$2,$P355)</f>
        <v>9278.7068999999992</v>
      </c>
      <c r="V355" s="14">
        <f>[1]!i_dq_close(V$2,$P355)</f>
        <v>9508.8281999999999</v>
      </c>
      <c r="W355" s="14">
        <f>[1]!i_dq_close(W$2,$P355)</f>
        <v>5743.0117</v>
      </c>
      <c r="X355" s="14">
        <f>[1]!i_dq_close(X$2,$P355)</f>
        <v>5629.8261000000002</v>
      </c>
      <c r="Y355" s="14">
        <f>[1]!i_dq_close(Y$2,$P355)</f>
        <v>6214.9561000000003</v>
      </c>
      <c r="Z355" s="14">
        <f>[1]!i_dq_close(Z$2,$P355)</f>
        <v>2519.0563000000002</v>
      </c>
      <c r="AB355" s="1">
        <v>42928</v>
      </c>
      <c r="AC355">
        <v>1.204826236615085</v>
      </c>
      <c r="AD355">
        <v>1.3094558397490919</v>
      </c>
      <c r="AE355">
        <v>1.1443474741333253</v>
      </c>
      <c r="AF355">
        <v>1.176044952620241</v>
      </c>
      <c r="AG355">
        <v>1.383492455895964</v>
      </c>
      <c r="AH355">
        <v>1.1743946126610103</v>
      </c>
      <c r="AI355">
        <v>1.2308751159180653</v>
      </c>
      <c r="AJ355">
        <v>1.0399776045080931</v>
      </c>
      <c r="AK355">
        <v>1.2344305429391604</v>
      </c>
      <c r="AL355">
        <v>1.1195811251285501</v>
      </c>
    </row>
    <row r="356" spans="1:38" x14ac:dyDescent="0.4">
      <c r="A356" s="10">
        <v>42930</v>
      </c>
      <c r="B356" s="11">
        <v>1.266971105337741</v>
      </c>
      <c r="C356" s="11">
        <v>1.3268952473388671</v>
      </c>
      <c r="D356" s="11">
        <v>1.186128193529437</v>
      </c>
      <c r="E356" s="11">
        <v>1.213829947851117</v>
      </c>
      <c r="P356" s="1">
        <f>A355</f>
        <v>42929</v>
      </c>
      <c r="Q356" s="14">
        <f>[1]!i_dq_close(Q$2,$P356)</f>
        <v>2042.3251</v>
      </c>
      <c r="R356" s="14">
        <f>[1]!i_dq_close(R$2,$P356)</f>
        <v>3363.4866999999999</v>
      </c>
      <c r="S356" s="14">
        <f>[1]!i_dq_close(S$2,$P356)</f>
        <v>3883.2979999999998</v>
      </c>
      <c r="T356" s="14">
        <f>[1]!i_dq_close(T$2,$P356)</f>
        <v>5681.1886000000004</v>
      </c>
      <c r="U356" s="14">
        <f>[1]!i_dq_close(U$2,$P356)</f>
        <v>9277.8395</v>
      </c>
      <c r="V356" s="14">
        <f>[1]!i_dq_close(V$2,$P356)</f>
        <v>9557.4361000000008</v>
      </c>
      <c r="W356" s="14">
        <f>[1]!i_dq_close(W$2,$P356)</f>
        <v>5822.9373999999998</v>
      </c>
      <c r="X356" s="14">
        <f>[1]!i_dq_close(X$2,$P356)</f>
        <v>5596.1427000000003</v>
      </c>
      <c r="Y356" s="14">
        <f>[1]!i_dq_close(Y$2,$P356)</f>
        <v>6207.7114000000001</v>
      </c>
      <c r="Z356" s="14">
        <f>[1]!i_dq_close(Z$2,$P356)</f>
        <v>2518.2276999999999</v>
      </c>
      <c r="AB356" s="1">
        <v>42929</v>
      </c>
      <c r="AC356">
        <v>1.2124632422980917</v>
      </c>
      <c r="AD356">
        <v>1.3183375938258519</v>
      </c>
      <c r="AE356">
        <v>1.1492775348784734</v>
      </c>
      <c r="AF356">
        <v>1.1746344043358099</v>
      </c>
      <c r="AG356">
        <v>1.3833631230730636</v>
      </c>
      <c r="AH356">
        <v>1.1803979660387447</v>
      </c>
      <c r="AI356">
        <v>1.2480052490940665</v>
      </c>
      <c r="AJ356">
        <v>1.0337553907093955</v>
      </c>
      <c r="AK356">
        <v>1.2329915820180315</v>
      </c>
      <c r="AL356">
        <v>1.1192128582818417</v>
      </c>
    </row>
    <row r="357" spans="1:38" x14ac:dyDescent="0.4">
      <c r="A357" s="10">
        <v>42933</v>
      </c>
      <c r="B357" s="11">
        <v>1.235783315242192</v>
      </c>
      <c r="C357" s="11">
        <v>1.298870962682906</v>
      </c>
      <c r="D357" s="11">
        <v>1.159670766411856</v>
      </c>
      <c r="E357" s="11">
        <v>1.187830999931027</v>
      </c>
      <c r="P357" s="1">
        <f>A356</f>
        <v>42930</v>
      </c>
      <c r="Q357" s="14">
        <f>[1]!i_dq_close(Q$2,$P357)</f>
        <v>2042.6252999999999</v>
      </c>
      <c r="R357" s="14">
        <f>[1]!i_dq_close(R$2,$P357)</f>
        <v>3351.0070999999998</v>
      </c>
      <c r="S357" s="14">
        <f>[1]!i_dq_close(S$2,$P357)</f>
        <v>3876.8796000000002</v>
      </c>
      <c r="T357" s="14">
        <f>[1]!i_dq_close(T$2,$P357)</f>
        <v>5685.2424000000001</v>
      </c>
      <c r="U357" s="14">
        <f>[1]!i_dq_close(U$2,$P357)</f>
        <v>9255.1584000000003</v>
      </c>
      <c r="V357" s="14">
        <f>[1]!i_dq_close(V$2,$P357)</f>
        <v>9505.1250999999993</v>
      </c>
      <c r="W357" s="14">
        <f>[1]!i_dq_close(W$2,$P357)</f>
        <v>5864.8702000000003</v>
      </c>
      <c r="X357" s="14">
        <f>[1]!i_dq_close(X$2,$P357)</f>
        <v>5571.4584000000004</v>
      </c>
      <c r="Y357" s="14">
        <f>[1]!i_dq_close(Y$2,$P357)</f>
        <v>6194.2170999999998</v>
      </c>
      <c r="Z357" s="14">
        <f>[1]!i_dq_close(Z$2,$P357)</f>
        <v>2511.5877999999998</v>
      </c>
      <c r="AB357" s="1">
        <v>42930</v>
      </c>
      <c r="AC357">
        <v>1.2126414614588596</v>
      </c>
      <c r="AD357">
        <v>1.3134461441775125</v>
      </c>
      <c r="AE357">
        <v>1.1473779837933229</v>
      </c>
      <c r="AF357">
        <v>1.1754725622079665</v>
      </c>
      <c r="AG357">
        <v>1.3799812799908748</v>
      </c>
      <c r="AH357">
        <v>1.1739372586528534</v>
      </c>
      <c r="AI357">
        <v>1.2569925266336142</v>
      </c>
      <c r="AJ357">
        <v>1.0291955484110769</v>
      </c>
      <c r="AK357">
        <v>1.2303113094935667</v>
      </c>
      <c r="AL357">
        <v>1.1162617901724305</v>
      </c>
    </row>
    <row r="358" spans="1:38" x14ac:dyDescent="0.4">
      <c r="A358" s="10">
        <v>42934</v>
      </c>
      <c r="B358" s="11">
        <v>1.239267413821429</v>
      </c>
      <c r="C358" s="11">
        <v>1.304310555850644</v>
      </c>
      <c r="D358" s="11">
        <v>1.162712937325985</v>
      </c>
      <c r="E358" s="11">
        <v>1.189607006291874</v>
      </c>
      <c r="P358" s="1">
        <f>A357</f>
        <v>42933</v>
      </c>
      <c r="Q358" s="14">
        <f>[1]!i_dq_close(Q$2,$P358)</f>
        <v>2007.8638000000001</v>
      </c>
      <c r="R358" s="14">
        <f>[1]!i_dq_close(R$2,$P358)</f>
        <v>3242.7271999999998</v>
      </c>
      <c r="S358" s="14">
        <f>[1]!i_dq_close(S$2,$P358)</f>
        <v>3723.0610999999999</v>
      </c>
      <c r="T358" s="14">
        <f>[1]!i_dq_close(T$2,$P358)</f>
        <v>5503.2999</v>
      </c>
      <c r="U358" s="14">
        <f>[1]!i_dq_close(U$2,$P358)</f>
        <v>8953.2314000000006</v>
      </c>
      <c r="V358" s="14">
        <f>[1]!i_dq_close(V$2,$P358)</f>
        <v>9186.4326999999994</v>
      </c>
      <c r="W358" s="14">
        <f>[1]!i_dq_close(W$2,$P358)</f>
        <v>5848.4008999999996</v>
      </c>
      <c r="X358" s="14">
        <f>[1]!i_dq_close(X$2,$P358)</f>
        <v>5296.6395000000002</v>
      </c>
      <c r="Y358" s="14">
        <f>[1]!i_dq_close(Y$2,$P358)</f>
        <v>5924.0779000000002</v>
      </c>
      <c r="Z358" s="14">
        <f>[1]!i_dq_close(Z$2,$P358)</f>
        <v>2439.7051999999999</v>
      </c>
      <c r="AB358" s="1">
        <v>42933</v>
      </c>
      <c r="AC358">
        <v>1.1920046681309293</v>
      </c>
      <c r="AD358">
        <v>1.2710052262973546</v>
      </c>
      <c r="AE358">
        <v>1.1018547850847238</v>
      </c>
      <c r="AF358">
        <v>1.1378543919344311</v>
      </c>
      <c r="AG358">
        <v>1.3349627519531695</v>
      </c>
      <c r="AH358">
        <v>1.1345769263612249</v>
      </c>
      <c r="AI358">
        <v>1.2534627320579579</v>
      </c>
      <c r="AJ358">
        <v>0.97842923765495071</v>
      </c>
      <c r="AK358">
        <v>1.1766555677699608</v>
      </c>
      <c r="AL358">
        <v>1.0843139523312655</v>
      </c>
    </row>
    <row r="359" spans="1:38" x14ac:dyDescent="0.4">
      <c r="A359" s="10">
        <v>42935</v>
      </c>
      <c r="B359" s="11">
        <v>1.2569128604352979</v>
      </c>
      <c r="C359" s="11">
        <v>1.3249424805611349</v>
      </c>
      <c r="D359" s="11">
        <v>1.181202383177725</v>
      </c>
      <c r="E359" s="11">
        <v>1.209790556795014</v>
      </c>
      <c r="P359" s="1">
        <f>A358</f>
        <v>42934</v>
      </c>
      <c r="Q359" s="14">
        <f>[1]!i_dq_close(Q$2,$P359)</f>
        <v>2041.6252999999999</v>
      </c>
      <c r="R359" s="14">
        <f>[1]!i_dq_close(R$2,$P359)</f>
        <v>3303.6531</v>
      </c>
      <c r="S359" s="14">
        <f>[1]!i_dq_close(S$2,$P359)</f>
        <v>3765.7087999999999</v>
      </c>
      <c r="T359" s="14">
        <f>[1]!i_dq_close(T$2,$P359)</f>
        <v>5507.1617999999999</v>
      </c>
      <c r="U359" s="14">
        <f>[1]!i_dq_close(U$2,$P359)</f>
        <v>8996.2934999999998</v>
      </c>
      <c r="V359" s="14">
        <f>[1]!i_dq_close(V$2,$P359)</f>
        <v>9181.5750000000007</v>
      </c>
      <c r="W359" s="14">
        <f>[1]!i_dq_close(W$2,$P359)</f>
        <v>5833.5946000000004</v>
      </c>
      <c r="X359" s="14">
        <f>[1]!i_dq_close(X$2,$P359)</f>
        <v>5314.2858999999999</v>
      </c>
      <c r="Y359" s="14">
        <f>[1]!i_dq_close(Y$2,$P359)</f>
        <v>5932.1809999999996</v>
      </c>
      <c r="Z359" s="14">
        <f>[1]!i_dq_close(Z$2,$P359)</f>
        <v>2451.4074000000001</v>
      </c>
      <c r="AB359" s="1">
        <v>42934</v>
      </c>
      <c r="AC359">
        <v>1.2120477933683593</v>
      </c>
      <c r="AD359">
        <v>1.2948854766362885</v>
      </c>
      <c r="AE359">
        <v>1.1144765420357063</v>
      </c>
      <c r="AF359">
        <v>1.1386528728378997</v>
      </c>
      <c r="AG359">
        <v>1.3413834839718775</v>
      </c>
      <c r="AH359">
        <v>1.1339769726561069</v>
      </c>
      <c r="AI359">
        <v>1.2502893611541834</v>
      </c>
      <c r="AJ359">
        <v>0.98168899390216247</v>
      </c>
      <c r="AK359">
        <v>1.1782650263037853</v>
      </c>
      <c r="AL359">
        <v>1.0895149326517448</v>
      </c>
    </row>
    <row r="360" spans="1:38" x14ac:dyDescent="0.4">
      <c r="A360" s="10">
        <v>42936</v>
      </c>
      <c r="B360" s="11">
        <v>1.2631787434643531</v>
      </c>
      <c r="C360" s="11">
        <v>1.332275114551154</v>
      </c>
      <c r="D360" s="11">
        <v>1.188532128001683</v>
      </c>
      <c r="E360" s="11">
        <v>1.218752360843929</v>
      </c>
      <c r="P360" s="1">
        <f>A359</f>
        <v>42935</v>
      </c>
      <c r="Q360" s="14">
        <f>[1]!i_dq_close(Q$2,$P360)</f>
        <v>2108.2386999999999</v>
      </c>
      <c r="R360" s="14">
        <f>[1]!i_dq_close(R$2,$P360)</f>
        <v>3412.1882000000001</v>
      </c>
      <c r="S360" s="14">
        <f>[1]!i_dq_close(S$2,$P360)</f>
        <v>3815.98</v>
      </c>
      <c r="T360" s="14">
        <f>[1]!i_dq_close(T$2,$P360)</f>
        <v>5546.5212000000001</v>
      </c>
      <c r="U360" s="14">
        <f>[1]!i_dq_close(U$2,$P360)</f>
        <v>9098.8371000000006</v>
      </c>
      <c r="V360" s="14">
        <f>[1]!i_dq_close(V$2,$P360)</f>
        <v>9268.0156999999999</v>
      </c>
      <c r="W360" s="14">
        <f>[1]!i_dq_close(W$2,$P360)</f>
        <v>5950.1027000000004</v>
      </c>
      <c r="X360" s="14">
        <f>[1]!i_dq_close(X$2,$P360)</f>
        <v>5401.6361999999999</v>
      </c>
      <c r="Y360" s="14">
        <f>[1]!i_dq_close(Y$2,$P360)</f>
        <v>6013.3739999999998</v>
      </c>
      <c r="Z360" s="14">
        <f>[1]!i_dq_close(Z$2,$P360)</f>
        <v>2480.2683000000002</v>
      </c>
      <c r="AB360" s="1">
        <v>42935</v>
      </c>
      <c r="AC360">
        <v>1.2515940433481003</v>
      </c>
      <c r="AD360">
        <v>1.337426421596662</v>
      </c>
      <c r="AE360">
        <v>1.129354504224388</v>
      </c>
      <c r="AF360">
        <v>1.1467907659143619</v>
      </c>
      <c r="AG360">
        <v>1.3566731464786665</v>
      </c>
      <c r="AH360">
        <v>1.1446528929966011</v>
      </c>
      <c r="AI360">
        <v>1.275260043538984</v>
      </c>
      <c r="AJ360">
        <v>0.99782490185624007</v>
      </c>
      <c r="AK360">
        <v>1.1943917884981086</v>
      </c>
      <c r="AL360">
        <v>1.1023420055894251</v>
      </c>
    </row>
    <row r="361" spans="1:38" x14ac:dyDescent="0.4">
      <c r="A361" s="10">
        <v>42937</v>
      </c>
      <c r="B361" s="11">
        <v>1.262870940824605</v>
      </c>
      <c r="C361" s="11">
        <v>1.333082033505093</v>
      </c>
      <c r="D361" s="11">
        <v>1.1883321576696571</v>
      </c>
      <c r="E361" s="11">
        <v>1.219993225963012</v>
      </c>
      <c r="P361" s="1">
        <f>A360</f>
        <v>42936</v>
      </c>
      <c r="Q361" s="14">
        <f>[1]!i_dq_close(Q$2,$P361)</f>
        <v>2110.3049000000001</v>
      </c>
      <c r="R361" s="14">
        <f>[1]!i_dq_close(R$2,$P361)</f>
        <v>3428.1305000000002</v>
      </c>
      <c r="S361" s="14">
        <f>[1]!i_dq_close(S$2,$P361)</f>
        <v>3832.9337</v>
      </c>
      <c r="T361" s="14">
        <f>[1]!i_dq_close(T$2,$P361)</f>
        <v>5594.1638999999996</v>
      </c>
      <c r="U361" s="14">
        <f>[1]!i_dq_close(U$2,$P361)</f>
        <v>9188.8891999999996</v>
      </c>
      <c r="V361" s="14">
        <f>[1]!i_dq_close(V$2,$P361)</f>
        <v>9294.2844000000005</v>
      </c>
      <c r="W361" s="14">
        <f>[1]!i_dq_close(W$2,$P361)</f>
        <v>5963.7597999999998</v>
      </c>
      <c r="X361" s="14">
        <f>[1]!i_dq_close(X$2,$P361)</f>
        <v>5427.1916000000001</v>
      </c>
      <c r="Y361" s="14">
        <f>[1]!i_dq_close(Y$2,$P361)</f>
        <v>6060.9363000000003</v>
      </c>
      <c r="Z361" s="14">
        <f>[1]!i_dq_close(Z$2,$P361)</f>
        <v>2514.5909999999999</v>
      </c>
      <c r="AB361" s="1">
        <v>42936</v>
      </c>
      <c r="AC361">
        <v>1.2528206803566924</v>
      </c>
      <c r="AD361">
        <v>1.3436750960516701</v>
      </c>
      <c r="AE361">
        <v>1.1343720193733848</v>
      </c>
      <c r="AF361">
        <v>1.1566413022150663</v>
      </c>
      <c r="AG361">
        <v>1.3701002761779124</v>
      </c>
      <c r="AH361">
        <v>1.1478972275363299</v>
      </c>
      <c r="AI361">
        <v>1.2781871113256653</v>
      </c>
      <c r="AJ361">
        <v>1.0025456593365192</v>
      </c>
      <c r="AK361">
        <v>1.2038387346820785</v>
      </c>
      <c r="AL361">
        <v>1.1175965463805337</v>
      </c>
    </row>
    <row r="362" spans="1:38" x14ac:dyDescent="0.4">
      <c r="A362" s="10">
        <v>42940</v>
      </c>
      <c r="B362" s="11">
        <v>1.2680509292600071</v>
      </c>
      <c r="C362" s="11">
        <v>1.3356130585094419</v>
      </c>
      <c r="D362" s="11">
        <v>1.1905123062473539</v>
      </c>
      <c r="E362" s="11">
        <v>1.2222823091202359</v>
      </c>
      <c r="P362" s="1">
        <f>A361</f>
        <v>42937</v>
      </c>
      <c r="Q362" s="14">
        <f>[1]!i_dq_close(Q$2,$P362)</f>
        <v>2115.4758999999999</v>
      </c>
      <c r="R362" s="14">
        <f>[1]!i_dq_close(R$2,$P362)</f>
        <v>3436.0529999999999</v>
      </c>
      <c r="S362" s="14">
        <f>[1]!i_dq_close(S$2,$P362)</f>
        <v>3846.2424000000001</v>
      </c>
      <c r="T362" s="14">
        <f>[1]!i_dq_close(T$2,$P362)</f>
        <v>5595.1085000000003</v>
      </c>
      <c r="U362" s="14">
        <f>[1]!i_dq_close(U$2,$P362)</f>
        <v>9239.1208999999999</v>
      </c>
      <c r="V362" s="14">
        <f>[1]!i_dq_close(V$2,$P362)</f>
        <v>9260.8611999999994</v>
      </c>
      <c r="W362" s="14">
        <f>[1]!i_dq_close(W$2,$P362)</f>
        <v>5893.8035</v>
      </c>
      <c r="X362" s="14">
        <f>[1]!i_dq_close(X$2,$P362)</f>
        <v>5425.1022000000003</v>
      </c>
      <c r="Y362" s="14">
        <f>[1]!i_dq_close(Y$2,$P362)</f>
        <v>6076.9584000000004</v>
      </c>
      <c r="Z362" s="14">
        <f>[1]!i_dq_close(Z$2,$P362)</f>
        <v>2508.2820000000002</v>
      </c>
      <c r="AB362" s="1">
        <v>42937</v>
      </c>
      <c r="AC362">
        <v>1.2558905380526701</v>
      </c>
      <c r="AD362">
        <v>1.346780364637119</v>
      </c>
      <c r="AE362">
        <v>1.1383107822312539</v>
      </c>
      <c r="AF362">
        <v>1.1568366063558824</v>
      </c>
      <c r="AG362">
        <v>1.3775900243449581</v>
      </c>
      <c r="AH362">
        <v>1.1437692713684089</v>
      </c>
      <c r="AI362">
        <v>1.2631936769797629</v>
      </c>
      <c r="AJ362">
        <v>1.0021596919605715</v>
      </c>
      <c r="AK362">
        <v>1.2070210853348895</v>
      </c>
      <c r="AL362">
        <v>1.1147925450096887</v>
      </c>
    </row>
    <row r="363" spans="1:38" x14ac:dyDescent="0.4">
      <c r="A363" s="10">
        <v>42941</v>
      </c>
      <c r="B363" s="11">
        <v>1.2637515785034119</v>
      </c>
      <c r="C363" s="11">
        <v>1.3296129004468351</v>
      </c>
      <c r="D363" s="11">
        <v>1.1854955462047649</v>
      </c>
      <c r="E363" s="11">
        <v>1.2175544601024619</v>
      </c>
      <c r="P363" s="1">
        <f>A362</f>
        <v>42940</v>
      </c>
      <c r="Q363" s="14">
        <f>[1]!i_dq_close(Q$2,$P363)</f>
        <v>2101.0790000000002</v>
      </c>
      <c r="R363" s="14">
        <f>[1]!i_dq_close(R$2,$P363)</f>
        <v>3442.1257000000001</v>
      </c>
      <c r="S363" s="14">
        <f>[1]!i_dq_close(S$2,$P363)</f>
        <v>3865.7341999999999</v>
      </c>
      <c r="T363" s="14">
        <f>[1]!i_dq_close(T$2,$P363)</f>
        <v>5642.8815999999997</v>
      </c>
      <c r="U363" s="14">
        <f>[1]!i_dq_close(U$2,$P363)</f>
        <v>9334.6016999999993</v>
      </c>
      <c r="V363" s="14">
        <f>[1]!i_dq_close(V$2,$P363)</f>
        <v>9275.4375</v>
      </c>
      <c r="W363" s="14">
        <f>[1]!i_dq_close(W$2,$P363)</f>
        <v>5925.2443999999996</v>
      </c>
      <c r="X363" s="14">
        <f>[1]!i_dq_close(X$2,$P363)</f>
        <v>5448.5101000000004</v>
      </c>
      <c r="Y363" s="14">
        <f>[1]!i_dq_close(Y$2,$P363)</f>
        <v>6097.0353999999998</v>
      </c>
      <c r="Z363" s="14">
        <f>[1]!i_dq_close(Z$2,$P363)</f>
        <v>2522.444</v>
      </c>
      <c r="AB363" s="1">
        <v>42940</v>
      </c>
      <c r="AC363">
        <v>1.2473435579205445</v>
      </c>
      <c r="AD363">
        <v>1.3491605936732638</v>
      </c>
      <c r="AE363">
        <v>1.1440794582005831</v>
      </c>
      <c r="AF363">
        <v>1.1667141039735067</v>
      </c>
      <c r="AG363">
        <v>1.391826595012247</v>
      </c>
      <c r="AH363">
        <v>1.1455695277020475</v>
      </c>
      <c r="AI363">
        <v>1.2699322705006622</v>
      </c>
      <c r="AJ363">
        <v>1.0064837494600678</v>
      </c>
      <c r="AK363">
        <v>1.2110088306402165</v>
      </c>
      <c r="AL363">
        <v>1.1210867703090877</v>
      </c>
    </row>
    <row r="364" spans="1:38" x14ac:dyDescent="0.4">
      <c r="A364" s="10">
        <v>42942</v>
      </c>
      <c r="B364" s="11">
        <v>1.2593486277029311</v>
      </c>
      <c r="C364" s="11">
        <v>1.323723368321809</v>
      </c>
      <c r="D364" s="11">
        <v>1.1797959908749329</v>
      </c>
      <c r="E364" s="11">
        <v>1.210728759865056</v>
      </c>
      <c r="P364" s="1">
        <f>A363</f>
        <v>42941</v>
      </c>
      <c r="Q364" s="14">
        <f>[1]!i_dq_close(Q$2,$P364)</f>
        <v>2097.5540000000001</v>
      </c>
      <c r="R364" s="14">
        <f>[1]!i_dq_close(R$2,$P364)</f>
        <v>3427.0646000000002</v>
      </c>
      <c r="S364" s="14">
        <f>[1]!i_dq_close(S$2,$P364)</f>
        <v>3840.3157999999999</v>
      </c>
      <c r="T364" s="14">
        <f>[1]!i_dq_close(T$2,$P364)</f>
        <v>5632.3558999999996</v>
      </c>
      <c r="U364" s="14">
        <f>[1]!i_dq_close(U$2,$P364)</f>
        <v>9306.2713999999996</v>
      </c>
      <c r="V364" s="14">
        <f>[1]!i_dq_close(V$2,$P364)</f>
        <v>9261.2333999999992</v>
      </c>
      <c r="W364" s="14">
        <f>[1]!i_dq_close(W$2,$P364)</f>
        <v>5894.5544</v>
      </c>
      <c r="X364" s="14">
        <f>[1]!i_dq_close(X$2,$P364)</f>
        <v>5428.8194000000003</v>
      </c>
      <c r="Y364" s="14">
        <f>[1]!i_dq_close(Y$2,$P364)</f>
        <v>6062.6553000000004</v>
      </c>
      <c r="Z364" s="14">
        <f>[1]!i_dq_close(Z$2,$P364)</f>
        <v>2504.3883000000001</v>
      </c>
      <c r="AB364" s="1">
        <v>42941</v>
      </c>
      <c r="AC364">
        <v>1.2452508779015306</v>
      </c>
      <c r="AD364">
        <v>1.3432573105312877</v>
      </c>
      <c r="AE364">
        <v>1.1365567813180582</v>
      </c>
      <c r="AF364">
        <v>1.1645378253423559</v>
      </c>
      <c r="AG364">
        <v>1.3876024335266341</v>
      </c>
      <c r="AH364">
        <v>1.1438152401950232</v>
      </c>
      <c r="AI364">
        <v>1.2633546141626948</v>
      </c>
      <c r="AJ364">
        <v>1.0028463569983206</v>
      </c>
      <c r="AK364">
        <v>1.2041801668771206</v>
      </c>
      <c r="AL364">
        <v>1.1130620108303164</v>
      </c>
    </row>
    <row r="365" spans="1:38" x14ac:dyDescent="0.4">
      <c r="A365" s="10">
        <v>42943</v>
      </c>
      <c r="B365" s="11">
        <v>1.267197097821084</v>
      </c>
      <c r="C365" s="11">
        <v>1.328760187279096</v>
      </c>
      <c r="D365" s="11">
        <v>1.183420818401778</v>
      </c>
      <c r="E365" s="11">
        <v>1.2144951416145839</v>
      </c>
      <c r="P365" s="1">
        <f>A364</f>
        <v>42942</v>
      </c>
      <c r="Q365" s="14">
        <f>[1]!i_dq_close(Q$2,$P365)</f>
        <v>2106.1914999999999</v>
      </c>
      <c r="R365" s="14">
        <f>[1]!i_dq_close(R$2,$P365)</f>
        <v>3459.9467</v>
      </c>
      <c r="S365" s="14">
        <f>[1]!i_dq_close(S$2,$P365)</f>
        <v>3839.3242</v>
      </c>
      <c r="T365" s="14">
        <f>[1]!i_dq_close(T$2,$P365)</f>
        <v>5588.7610999999997</v>
      </c>
      <c r="U365" s="14">
        <f>[1]!i_dq_close(U$2,$P365)</f>
        <v>9216.0737000000008</v>
      </c>
      <c r="V365" s="14">
        <f>[1]!i_dq_close(V$2,$P365)</f>
        <v>9180.6517999999996</v>
      </c>
      <c r="W365" s="14">
        <f>[1]!i_dq_close(W$2,$P365)</f>
        <v>5891.4681</v>
      </c>
      <c r="X365" s="14">
        <f>[1]!i_dq_close(X$2,$P365)</f>
        <v>5398.5969999999998</v>
      </c>
      <c r="Y365" s="14">
        <f>[1]!i_dq_close(Y$2,$P365)</f>
        <v>6028.4539999999997</v>
      </c>
      <c r="Z365" s="14">
        <f>[1]!i_dq_close(Z$2,$P365)</f>
        <v>2507.9304000000002</v>
      </c>
      <c r="AB365" s="1">
        <v>42942</v>
      </c>
      <c r="AC365">
        <v>1.250378686033228</v>
      </c>
      <c r="AD365">
        <v>1.3561456351956727</v>
      </c>
      <c r="AE365">
        <v>1.1362633133422333</v>
      </c>
      <c r="AF365">
        <v>1.1555242270382724</v>
      </c>
      <c r="AG365">
        <v>1.3741535942827559</v>
      </c>
      <c r="AH365">
        <v>1.13386295218128</v>
      </c>
      <c r="AI365">
        <v>1.2626931406939472</v>
      </c>
      <c r="AJ365">
        <v>0.99726348132930387</v>
      </c>
      <c r="AK365">
        <v>1.1973870168292504</v>
      </c>
      <c r="AL365">
        <v>1.114636278266625</v>
      </c>
    </row>
    <row r="366" spans="1:38" x14ac:dyDescent="0.4">
      <c r="A366" s="10">
        <v>42944</v>
      </c>
      <c r="B366" s="11">
        <v>1.2735064542942089</v>
      </c>
      <c r="C366" s="11">
        <v>1.337059991561836</v>
      </c>
      <c r="D366" s="11">
        <v>1.190887057812323</v>
      </c>
      <c r="E366" s="11">
        <v>1.2248186111910879</v>
      </c>
      <c r="P366" s="1">
        <f>A365</f>
        <v>42943</v>
      </c>
      <c r="Q366" s="14">
        <f>[1]!i_dq_close(Q$2,$P366)</f>
        <v>2076.1934999999999</v>
      </c>
      <c r="R366" s="14">
        <f>[1]!i_dq_close(R$2,$P366)</f>
        <v>3440.9720000000002</v>
      </c>
      <c r="S366" s="14">
        <f>[1]!i_dq_close(S$2,$P366)</f>
        <v>3865.7069999999999</v>
      </c>
      <c r="T366" s="14">
        <f>[1]!i_dq_close(T$2,$P366)</f>
        <v>5614.6418999999996</v>
      </c>
      <c r="U366" s="14">
        <f>[1]!i_dq_close(U$2,$P366)</f>
        <v>9279.3567000000003</v>
      </c>
      <c r="V366" s="14">
        <f>[1]!i_dq_close(V$2,$P366)</f>
        <v>9273.9238000000005</v>
      </c>
      <c r="W366" s="14">
        <f>[1]!i_dq_close(W$2,$P366)</f>
        <v>5898.2768999999998</v>
      </c>
      <c r="X366" s="14">
        <f>[1]!i_dq_close(X$2,$P366)</f>
        <v>5555.6565000000001</v>
      </c>
      <c r="Y366" s="14">
        <f>[1]!i_dq_close(Y$2,$P366)</f>
        <v>6119.9836999999998</v>
      </c>
      <c r="Z366" s="14">
        <f>[1]!i_dq_close(Z$2,$P366)</f>
        <v>2513.3060999999998</v>
      </c>
      <c r="AB366" s="1">
        <v>42943</v>
      </c>
      <c r="AC366">
        <v>1.2325698306543962</v>
      </c>
      <c r="AD366">
        <v>1.3487083944473841</v>
      </c>
      <c r="AE366">
        <v>1.1440714082520731</v>
      </c>
      <c r="AF366">
        <v>1.1608753041160047</v>
      </c>
      <c r="AG366">
        <v>1.3835893436851281</v>
      </c>
      <c r="AH366">
        <v>1.1453825771033204</v>
      </c>
      <c r="AI366">
        <v>1.2641524416543235</v>
      </c>
      <c r="AJ366">
        <v>1.0262765200402579</v>
      </c>
      <c r="AK366">
        <v>1.2155668809261277</v>
      </c>
      <c r="AL366">
        <v>1.1170254794346788</v>
      </c>
    </row>
    <row r="367" spans="1:38" x14ac:dyDescent="0.4">
      <c r="A367" s="10">
        <v>42947</v>
      </c>
      <c r="B367" s="11">
        <v>1.282584248343007</v>
      </c>
      <c r="C367" s="11">
        <v>1.34717845726145</v>
      </c>
      <c r="D367" s="11">
        <v>1.199510196444235</v>
      </c>
      <c r="E367" s="11">
        <v>1.2322275175453099</v>
      </c>
      <c r="P367" s="1">
        <f>A366</f>
        <v>42944</v>
      </c>
      <c r="Q367" s="14">
        <f>[1]!i_dq_close(Q$2,$P367)</f>
        <v>2086.7260999999999</v>
      </c>
      <c r="R367" s="14">
        <f>[1]!i_dq_close(R$2,$P367)</f>
        <v>3485.7244000000001</v>
      </c>
      <c r="S367" s="14">
        <f>[1]!i_dq_close(S$2,$P367)</f>
        <v>3868.7741000000001</v>
      </c>
      <c r="T367" s="14">
        <f>[1]!i_dq_close(T$2,$P367)</f>
        <v>5615.4189999999999</v>
      </c>
      <c r="U367" s="14">
        <f>[1]!i_dq_close(U$2,$P367)</f>
        <v>9409.8569000000007</v>
      </c>
      <c r="V367" s="14">
        <f>[1]!i_dq_close(V$2,$P367)</f>
        <v>9277.5853000000006</v>
      </c>
      <c r="W367" s="14">
        <f>[1]!i_dq_close(W$2,$P367)</f>
        <v>5891.7168000000001</v>
      </c>
      <c r="X367" s="14">
        <f>[1]!i_dq_close(X$2,$P367)</f>
        <v>5538.0330999999996</v>
      </c>
      <c r="Y367" s="14">
        <f>[1]!i_dq_close(Y$2,$P367)</f>
        <v>6124.1981999999998</v>
      </c>
      <c r="Z367" s="14">
        <f>[1]!i_dq_close(Z$2,$P367)</f>
        <v>2522.1756999999998</v>
      </c>
      <c r="AB367" s="1">
        <v>42944</v>
      </c>
      <c r="AC367">
        <v>1.2388226991844009</v>
      </c>
      <c r="AD367">
        <v>1.3662493501865376</v>
      </c>
      <c r="AE367">
        <v>1.144979128732764</v>
      </c>
      <c r="AF367">
        <v>1.161035976197127</v>
      </c>
      <c r="AG367">
        <v>1.4030474475069996</v>
      </c>
      <c r="AH367">
        <v>1.14583479327379</v>
      </c>
      <c r="AI367">
        <v>1.2627464435004396</v>
      </c>
      <c r="AJ367">
        <v>1.0230210125006398</v>
      </c>
      <c r="AK367">
        <v>1.2164039757405571</v>
      </c>
      <c r="AL367">
        <v>1.1209675258063458</v>
      </c>
    </row>
    <row r="368" spans="1:38" x14ac:dyDescent="0.4">
      <c r="A368" s="10">
        <v>42948</v>
      </c>
      <c r="B368" s="11">
        <v>1.2849241196893959</v>
      </c>
      <c r="C368" s="11">
        <v>1.3496760910079151</v>
      </c>
      <c r="D368" s="11">
        <v>1.201442389164239</v>
      </c>
      <c r="E368" s="11">
        <v>1.234160676426787</v>
      </c>
      <c r="P368" s="1">
        <f>A367</f>
        <v>42947</v>
      </c>
      <c r="Q368" s="14">
        <f>[1]!i_dq_close(Q$2,$P368)</f>
        <v>2137.5839000000001</v>
      </c>
      <c r="R368" s="14">
        <f>[1]!i_dq_close(R$2,$P368)</f>
        <v>3592.7795000000001</v>
      </c>
      <c r="S368" s="14">
        <f>[1]!i_dq_close(S$2,$P368)</f>
        <v>3889.3517999999999</v>
      </c>
      <c r="T368" s="14">
        <f>[1]!i_dq_close(T$2,$P368)</f>
        <v>5623.5324000000001</v>
      </c>
      <c r="U368" s="14">
        <f>[1]!i_dq_close(U$2,$P368)</f>
        <v>9481.9261999999999</v>
      </c>
      <c r="V368" s="14">
        <f>[1]!i_dq_close(V$2,$P368)</f>
        <v>9334.0408000000007</v>
      </c>
      <c r="W368" s="14">
        <f>[1]!i_dq_close(W$2,$P368)</f>
        <v>5896.1049000000003</v>
      </c>
      <c r="X368" s="14">
        <f>[1]!i_dq_close(X$2,$P368)</f>
        <v>5559.7555000000002</v>
      </c>
      <c r="Y368" s="14">
        <f>[1]!i_dq_close(Y$2,$P368)</f>
        <v>6137.6760000000004</v>
      </c>
      <c r="Z368" s="14">
        <f>[1]!i_dq_close(Z$2,$P368)</f>
        <v>2519.9485</v>
      </c>
      <c r="AB368" s="1">
        <v>42947</v>
      </c>
      <c r="AC368">
        <v>1.2690153521974536</v>
      </c>
      <c r="AD368">
        <v>1.4082102007945647</v>
      </c>
      <c r="AE368">
        <v>1.1510691811391127</v>
      </c>
      <c r="AF368">
        <v>1.162713491141119</v>
      </c>
      <c r="AG368">
        <v>1.4137932695192998</v>
      </c>
      <c r="AH368">
        <v>1.1528073700898358</v>
      </c>
      <c r="AI368">
        <v>1.2636869261911088</v>
      </c>
      <c r="AJ368">
        <v>1.0270337136240666</v>
      </c>
      <c r="AK368">
        <v>1.2190809709926438</v>
      </c>
      <c r="AL368">
        <v>1.1199776586557442</v>
      </c>
    </row>
    <row r="369" spans="1:38" x14ac:dyDescent="0.4">
      <c r="A369" s="10">
        <v>42949</v>
      </c>
      <c r="B369" s="11">
        <v>1.278125999283261</v>
      </c>
      <c r="C369" s="11">
        <v>1.3425154645658359</v>
      </c>
      <c r="D369" s="11">
        <v>1.196088435599046</v>
      </c>
      <c r="E369" s="11">
        <v>1.229587983932525</v>
      </c>
      <c r="P369" s="1">
        <f>A368</f>
        <v>42948</v>
      </c>
      <c r="Q369" s="14">
        <f>[1]!i_dq_close(Q$2,$P369)</f>
        <v>2115.9865</v>
      </c>
      <c r="R369" s="14">
        <f>[1]!i_dq_close(R$2,$P369)</f>
        <v>3585.2883999999999</v>
      </c>
      <c r="S369" s="14">
        <f>[1]!i_dq_close(S$2,$P369)</f>
        <v>3896.6190000000001</v>
      </c>
      <c r="T369" s="14">
        <f>[1]!i_dq_close(T$2,$P369)</f>
        <v>5633.7816999999995</v>
      </c>
      <c r="U369" s="14">
        <f>[1]!i_dq_close(U$2,$P369)</f>
        <v>9494.4989999999998</v>
      </c>
      <c r="V369" s="14">
        <f>[1]!i_dq_close(V$2,$P369)</f>
        <v>9334.2721000000001</v>
      </c>
      <c r="W369" s="14">
        <f>[1]!i_dq_close(W$2,$P369)</f>
        <v>5997.2713999999996</v>
      </c>
      <c r="X369" s="14">
        <f>[1]!i_dq_close(X$2,$P369)</f>
        <v>5558.9166999999998</v>
      </c>
      <c r="Y369" s="14">
        <f>[1]!i_dq_close(Y$2,$P369)</f>
        <v>6147.1841000000004</v>
      </c>
      <c r="Z369" s="14">
        <f>[1]!i_dq_close(Z$2,$P369)</f>
        <v>2529.6700999999998</v>
      </c>
      <c r="AB369" s="1">
        <v>42948</v>
      </c>
      <c r="AC369">
        <v>1.2561936649796797</v>
      </c>
      <c r="AD369">
        <v>1.4052740218737119</v>
      </c>
      <c r="AE369">
        <v>1.1532199379704116</v>
      </c>
      <c r="AF369">
        <v>1.1648326217048111</v>
      </c>
      <c r="AG369">
        <v>1.4156679244832893</v>
      </c>
      <c r="AH369">
        <v>1.1528359369613994</v>
      </c>
      <c r="AI369">
        <v>1.2853695091143724</v>
      </c>
      <c r="AJ369">
        <v>1.0268787651053792</v>
      </c>
      <c r="AK369">
        <v>1.2209694942350395</v>
      </c>
      <c r="AL369">
        <v>1.1242983718792039</v>
      </c>
    </row>
    <row r="370" spans="1:38" x14ac:dyDescent="0.4">
      <c r="A370" s="10">
        <v>42950</v>
      </c>
      <c r="B370" s="11">
        <v>1.2742382353726029</v>
      </c>
      <c r="C370" s="11">
        <v>1.337480234036972</v>
      </c>
      <c r="D370" s="11">
        <v>1.190774588248068</v>
      </c>
      <c r="E370" s="11">
        <v>1.2210906254648239</v>
      </c>
      <c r="P370" s="1">
        <f>A369</f>
        <v>42949</v>
      </c>
      <c r="Q370" s="14">
        <f>[1]!i_dq_close(Q$2,$P370)</f>
        <v>2113.9054000000001</v>
      </c>
      <c r="R370" s="14">
        <f>[1]!i_dq_close(R$2,$P370)</f>
        <v>3591.7757999999999</v>
      </c>
      <c r="S370" s="14">
        <f>[1]!i_dq_close(S$2,$P370)</f>
        <v>3857.7069999999999</v>
      </c>
      <c r="T370" s="14">
        <f>[1]!i_dq_close(T$2,$P370)</f>
        <v>5582.4141</v>
      </c>
      <c r="U370" s="14">
        <f>[1]!i_dq_close(U$2,$P370)</f>
        <v>9432.9222000000009</v>
      </c>
      <c r="V370" s="14">
        <f>[1]!i_dq_close(V$2,$P370)</f>
        <v>9260.6280000000006</v>
      </c>
      <c r="W370" s="14">
        <f>[1]!i_dq_close(W$2,$P370)</f>
        <v>6007.7073</v>
      </c>
      <c r="X370" s="14">
        <f>[1]!i_dq_close(X$2,$P370)</f>
        <v>5505.3809000000001</v>
      </c>
      <c r="Y370" s="14">
        <f>[1]!i_dq_close(Y$2,$P370)</f>
        <v>6091.1795000000002</v>
      </c>
      <c r="Z370" s="14">
        <f>[1]!i_dq_close(Z$2,$P370)</f>
        <v>2517.4101999999998</v>
      </c>
      <c r="AB370" s="1">
        <v>42949</v>
      </c>
      <c r="AC370">
        <v>1.2549581823165392</v>
      </c>
      <c r="AD370">
        <v>1.4078167949152065</v>
      </c>
      <c r="AE370">
        <v>1.1417037763373894</v>
      </c>
      <c r="AF370">
        <v>1.1542119304240885</v>
      </c>
      <c r="AG370">
        <v>1.4064865763518797</v>
      </c>
      <c r="AH370">
        <v>1.1437404698359896</v>
      </c>
      <c r="AI370">
        <v>1.2876061908927172</v>
      </c>
      <c r="AJ370">
        <v>1.016989288583285</v>
      </c>
      <c r="AK370">
        <v>1.2098457167420511</v>
      </c>
      <c r="AL370">
        <v>1.1188495247708787</v>
      </c>
    </row>
    <row r="371" spans="1:38" x14ac:dyDescent="0.4">
      <c r="A371" s="10">
        <v>42951</v>
      </c>
      <c r="B371" s="11">
        <v>1.2659897847068611</v>
      </c>
      <c r="C371" s="11">
        <v>1.3284627023063429</v>
      </c>
      <c r="D371" s="11">
        <v>1.181917835152051</v>
      </c>
      <c r="E371" s="11">
        <v>1.2099487231508541</v>
      </c>
      <c r="P371" s="1">
        <f>A370</f>
        <v>42950</v>
      </c>
      <c r="Q371" s="14">
        <f>[1]!i_dq_close(Q$2,$P371)</f>
        <v>2128.3744999999999</v>
      </c>
      <c r="R371" s="14">
        <f>[1]!i_dq_close(R$2,$P371)</f>
        <v>3627.0153</v>
      </c>
      <c r="S371" s="14">
        <f>[1]!i_dq_close(S$2,$P371)</f>
        <v>3860.8811000000001</v>
      </c>
      <c r="T371" s="14">
        <f>[1]!i_dq_close(T$2,$P371)</f>
        <v>5555.9059999999999</v>
      </c>
      <c r="U371" s="14">
        <f>[1]!i_dq_close(U$2,$P371)</f>
        <v>9391.8783000000003</v>
      </c>
      <c r="V371" s="14">
        <f>[1]!i_dq_close(V$2,$P371)</f>
        <v>9248.0673000000006</v>
      </c>
      <c r="W371" s="14">
        <f>[1]!i_dq_close(W$2,$P371)</f>
        <v>5928.4078</v>
      </c>
      <c r="X371" s="14">
        <f>[1]!i_dq_close(X$2,$P371)</f>
        <v>5496.4611999999997</v>
      </c>
      <c r="Y371" s="14">
        <f>[1]!i_dq_close(Y$2,$P371)</f>
        <v>6056.6921000000002</v>
      </c>
      <c r="Z371" s="14">
        <f>[1]!i_dq_close(Z$2,$P371)</f>
        <v>2519.6484</v>
      </c>
      <c r="AB371" s="1">
        <v>42950</v>
      </c>
      <c r="AC371">
        <v>1.2635480252847988</v>
      </c>
      <c r="AD371">
        <v>1.421629115813525</v>
      </c>
      <c r="AE371">
        <v>1.1426431638949393</v>
      </c>
      <c r="AF371">
        <v>1.1487311536983214</v>
      </c>
      <c r="AG371">
        <v>1.4003667660569183</v>
      </c>
      <c r="AH371">
        <v>1.1421891516187512</v>
      </c>
      <c r="AI371">
        <v>1.2706102684823997</v>
      </c>
      <c r="AJ371">
        <v>1.0153415843604261</v>
      </c>
      <c r="AK371">
        <v>1.2029957407773681</v>
      </c>
      <c r="AL371">
        <v>1.1198442808127596</v>
      </c>
    </row>
    <row r="372" spans="1:38" x14ac:dyDescent="0.4">
      <c r="A372" s="10">
        <v>42954</v>
      </c>
      <c r="B372" s="11">
        <v>1.27975836206354</v>
      </c>
      <c r="C372" s="11">
        <v>1.3408593651904499</v>
      </c>
      <c r="D372" s="11">
        <v>1.193409275005985</v>
      </c>
      <c r="E372" s="11">
        <v>1.2230856058255259</v>
      </c>
      <c r="P372" s="1">
        <f>A371</f>
        <v>42951</v>
      </c>
      <c r="Q372" s="14">
        <f>[1]!i_dq_close(Q$2,$P372)</f>
        <v>2130.5178000000001</v>
      </c>
      <c r="R372" s="14">
        <f>[1]!i_dq_close(R$2,$P372)</f>
        <v>3601.1738</v>
      </c>
      <c r="S372" s="14">
        <f>[1]!i_dq_close(S$2,$P372)</f>
        <v>3859.8494000000001</v>
      </c>
      <c r="T372" s="14">
        <f>[1]!i_dq_close(T$2,$P372)</f>
        <v>5522.2321000000002</v>
      </c>
      <c r="U372" s="14">
        <f>[1]!i_dq_close(U$2,$P372)</f>
        <v>9308.4074999999993</v>
      </c>
      <c r="V372" s="14">
        <f>[1]!i_dq_close(V$2,$P372)</f>
        <v>9212.3449000000001</v>
      </c>
      <c r="W372" s="14">
        <f>[1]!i_dq_close(W$2,$P372)</f>
        <v>5888.0619999999999</v>
      </c>
      <c r="X372" s="14">
        <f>[1]!i_dq_close(X$2,$P372)</f>
        <v>5456.1477999999997</v>
      </c>
      <c r="Y372" s="14">
        <f>[1]!i_dq_close(Y$2,$P372)</f>
        <v>6046.5698000000002</v>
      </c>
      <c r="Z372" s="14">
        <f>[1]!i_dq_close(Z$2,$P372)</f>
        <v>2509.4441999999999</v>
      </c>
      <c r="AB372" s="1">
        <v>42951</v>
      </c>
      <c r="AC372">
        <v>1.2648204341031686</v>
      </c>
      <c r="AD372">
        <v>1.4115003940526063</v>
      </c>
      <c r="AE372">
        <v>1.1423378281641416</v>
      </c>
      <c r="AF372">
        <v>1.1417687864450738</v>
      </c>
      <c r="AG372">
        <v>1.3879209346137888</v>
      </c>
      <c r="AH372">
        <v>1.1377772311140435</v>
      </c>
      <c r="AI372">
        <v>1.2619631258600355</v>
      </c>
      <c r="AJ372">
        <v>1.0078946344161681</v>
      </c>
      <c r="AK372">
        <v>1.2009852235534746</v>
      </c>
      <c r="AL372">
        <v>1.1153090785955495</v>
      </c>
    </row>
    <row r="373" spans="1:38" x14ac:dyDescent="0.4">
      <c r="A373" s="10">
        <v>42955</v>
      </c>
      <c r="B373" s="11">
        <v>1.2807816397992029</v>
      </c>
      <c r="C373" s="11">
        <v>1.3423382535723789</v>
      </c>
      <c r="D373" s="11">
        <v>1.1947403649226751</v>
      </c>
      <c r="E373" s="11">
        <v>1.223190380240085</v>
      </c>
      <c r="P373" s="1">
        <f>A372</f>
        <v>42954</v>
      </c>
      <c r="Q373" s="14">
        <f>[1]!i_dq_close(Q$2,$P373)</f>
        <v>2154.9434000000001</v>
      </c>
      <c r="R373" s="14">
        <f>[1]!i_dq_close(R$2,$P373)</f>
        <v>3672.7804999999998</v>
      </c>
      <c r="S373" s="14">
        <f>[1]!i_dq_close(S$2,$P373)</f>
        <v>3880.7799</v>
      </c>
      <c r="T373" s="14">
        <f>[1]!i_dq_close(T$2,$P373)</f>
        <v>5560.6558999999997</v>
      </c>
      <c r="U373" s="14">
        <f>[1]!i_dq_close(U$2,$P373)</f>
        <v>9489.7152000000006</v>
      </c>
      <c r="V373" s="14">
        <f>[1]!i_dq_close(V$2,$P373)</f>
        <v>9322.1034999999993</v>
      </c>
      <c r="W373" s="14">
        <f>[1]!i_dq_close(W$2,$P373)</f>
        <v>5879.7744000000002</v>
      </c>
      <c r="X373" s="14">
        <f>[1]!i_dq_close(X$2,$P373)</f>
        <v>5488.1323000000002</v>
      </c>
      <c r="Y373" s="14">
        <f>[1]!i_dq_close(Y$2,$P373)</f>
        <v>6095.5756000000001</v>
      </c>
      <c r="Z373" s="14">
        <f>[1]!i_dq_close(Z$2,$P373)</f>
        <v>2521.2773000000002</v>
      </c>
      <c r="AB373" s="1">
        <v>42954</v>
      </c>
      <c r="AC373">
        <v>1.2793211334144958</v>
      </c>
      <c r="AD373">
        <v>1.4395670442283923</v>
      </c>
      <c r="AE373">
        <v>1.1485322931379278</v>
      </c>
      <c r="AF373">
        <v>1.149713236207808</v>
      </c>
      <c r="AG373">
        <v>1.4149546406947353</v>
      </c>
      <c r="AH373">
        <v>1.1513330453344766</v>
      </c>
      <c r="AI373">
        <v>1.2601868800253486</v>
      </c>
      <c r="AJ373">
        <v>1.0138030165048066</v>
      </c>
      <c r="AK373">
        <v>1.2107188814148981</v>
      </c>
      <c r="AL373">
        <v>1.1205682367222491</v>
      </c>
    </row>
    <row r="374" spans="1:38" x14ac:dyDescent="0.4">
      <c r="A374" s="10">
        <v>42956</v>
      </c>
      <c r="B374" s="11">
        <v>1.2870311725023831</v>
      </c>
      <c r="C374" s="11">
        <v>1.351153358511485</v>
      </c>
      <c r="D374" s="11">
        <v>1.202056241524871</v>
      </c>
      <c r="E374" s="11">
        <v>1.232125394724898</v>
      </c>
      <c r="P374" s="1">
        <f>A373</f>
        <v>42955</v>
      </c>
      <c r="Q374" s="14">
        <f>[1]!i_dq_close(Q$2,$P374)</f>
        <v>2136.3593999999998</v>
      </c>
      <c r="R374" s="14">
        <f>[1]!i_dq_close(R$2,$P374)</f>
        <v>3663.3172</v>
      </c>
      <c r="S374" s="14">
        <f>[1]!i_dq_close(S$2,$P374)</f>
        <v>3886.8335000000002</v>
      </c>
      <c r="T374" s="14">
        <f>[1]!i_dq_close(T$2,$P374)</f>
        <v>5563.5954000000002</v>
      </c>
      <c r="U374" s="14">
        <f>[1]!i_dq_close(U$2,$P374)</f>
        <v>9611.9935000000005</v>
      </c>
      <c r="V374" s="14">
        <f>[1]!i_dq_close(V$2,$P374)</f>
        <v>9359.3628000000008</v>
      </c>
      <c r="W374" s="14">
        <f>[1]!i_dq_close(W$2,$P374)</f>
        <v>5883.8774999999996</v>
      </c>
      <c r="X374" s="14">
        <f>[1]!i_dq_close(X$2,$P374)</f>
        <v>5533.1018000000004</v>
      </c>
      <c r="Y374" s="14">
        <f>[1]!i_dq_close(Y$2,$P374)</f>
        <v>6102.4893000000002</v>
      </c>
      <c r="Z374" s="14">
        <f>[1]!i_dq_close(Z$2,$P374)</f>
        <v>2516.0731999999998</v>
      </c>
      <c r="AB374" s="1">
        <v>42955</v>
      </c>
      <c r="AC374">
        <v>1.2682884056206356</v>
      </c>
      <c r="AD374">
        <v>1.4358578503874737</v>
      </c>
      <c r="AE374">
        <v>1.1503238802077691</v>
      </c>
      <c r="AF374">
        <v>1.1503210030106115</v>
      </c>
      <c r="AG374">
        <v>1.4331868262129333</v>
      </c>
      <c r="AH374">
        <v>1.1559347817704679</v>
      </c>
      <c r="AI374">
        <v>1.2610662798858996</v>
      </c>
      <c r="AJ374">
        <v>1.0221100711198554</v>
      </c>
      <c r="AK374">
        <v>1.2120920982658938</v>
      </c>
      <c r="AL374">
        <v>1.1182553022581476</v>
      </c>
    </row>
    <row r="375" spans="1:38" x14ac:dyDescent="0.4">
      <c r="A375" s="10">
        <v>42957</v>
      </c>
      <c r="B375" s="11">
        <v>1.2803767697783659</v>
      </c>
      <c r="C375" s="11">
        <v>1.345335483368431</v>
      </c>
      <c r="D375" s="11">
        <v>1.1969409036726439</v>
      </c>
      <c r="E375" s="11">
        <v>1.228187210011086</v>
      </c>
      <c r="P375" s="1">
        <f>A374</f>
        <v>42956</v>
      </c>
      <c r="Q375" s="14">
        <f>[1]!i_dq_close(Q$2,$P375)</f>
        <v>2184.5382</v>
      </c>
      <c r="R375" s="14">
        <f>[1]!i_dq_close(R$2,$P375)</f>
        <v>3706.3404</v>
      </c>
      <c r="S375" s="14">
        <f>[1]!i_dq_close(S$2,$P375)</f>
        <v>3881.4045000000001</v>
      </c>
      <c r="T375" s="14">
        <f>[1]!i_dq_close(T$2,$P375)</f>
        <v>5595.4569000000001</v>
      </c>
      <c r="U375" s="14">
        <f>[1]!i_dq_close(U$2,$P375)</f>
        <v>9771.9267999999993</v>
      </c>
      <c r="V375" s="14">
        <f>[1]!i_dq_close(V$2,$P375)</f>
        <v>9464.223</v>
      </c>
      <c r="W375" s="14">
        <f>[1]!i_dq_close(W$2,$P375)</f>
        <v>5821.1702999999998</v>
      </c>
      <c r="X375" s="14">
        <f>[1]!i_dq_close(X$2,$P375)</f>
        <v>5530.9144999999999</v>
      </c>
      <c r="Y375" s="14">
        <f>[1]!i_dq_close(Y$2,$P375)</f>
        <v>6132.3382000000001</v>
      </c>
      <c r="Z375" s="14">
        <f>[1]!i_dq_close(Z$2,$P375)</f>
        <v>2515.6502</v>
      </c>
      <c r="AB375" s="1">
        <v>42956</v>
      </c>
      <c r="AC375">
        <v>1.2968906218192378</v>
      </c>
      <c r="AD375">
        <v>1.4527210364279264</v>
      </c>
      <c r="AE375">
        <v>1.1487171459996668</v>
      </c>
      <c r="AF375">
        <v>1.1569086410400451</v>
      </c>
      <c r="AG375">
        <v>1.4570335234285274</v>
      </c>
      <c r="AH375">
        <v>1.1688856156032377</v>
      </c>
      <c r="AI375">
        <v>1.2476265141147631</v>
      </c>
      <c r="AJ375">
        <v>1.0217060190276708</v>
      </c>
      <c r="AK375">
        <v>1.2180207634471549</v>
      </c>
      <c r="AL375">
        <v>1.1180673021662366</v>
      </c>
    </row>
    <row r="376" spans="1:38" x14ac:dyDescent="0.4">
      <c r="A376" s="10">
        <v>42958</v>
      </c>
      <c r="B376" s="11">
        <v>1.258272022435224</v>
      </c>
      <c r="C376" s="11">
        <v>1.324088440097817</v>
      </c>
      <c r="D376" s="11">
        <v>1.1771058286594041</v>
      </c>
      <c r="E376" s="11">
        <v>1.208042409457343</v>
      </c>
      <c r="P376" s="1">
        <f>A375</f>
        <v>42957</v>
      </c>
      <c r="Q376" s="14">
        <f>[1]!i_dq_close(Q$2,$P376)</f>
        <v>2160.4432000000002</v>
      </c>
      <c r="R376" s="14">
        <f>[1]!i_dq_close(R$2,$P376)</f>
        <v>3657.1448</v>
      </c>
      <c r="S376" s="14">
        <f>[1]!i_dq_close(S$2,$P376)</f>
        <v>3861.1251999999999</v>
      </c>
      <c r="T376" s="14">
        <f>[1]!i_dq_close(T$2,$P376)</f>
        <v>5557.4587000000001</v>
      </c>
      <c r="U376" s="14">
        <f>[1]!i_dq_close(U$2,$P376)</f>
        <v>9752.8279999999995</v>
      </c>
      <c r="V376" s="14">
        <f>[1]!i_dq_close(V$2,$P376)</f>
        <v>9429.8209000000006</v>
      </c>
      <c r="W376" s="14">
        <f>[1]!i_dq_close(W$2,$P376)</f>
        <v>5790.9494000000004</v>
      </c>
      <c r="X376" s="14">
        <f>[1]!i_dq_close(X$2,$P376)</f>
        <v>5512.3182999999999</v>
      </c>
      <c r="Y376" s="14">
        <f>[1]!i_dq_close(Y$2,$P376)</f>
        <v>6103.9574000000002</v>
      </c>
      <c r="Z376" s="14">
        <f>[1]!i_dq_close(Z$2,$P376)</f>
        <v>2506.6066000000001</v>
      </c>
      <c r="AB376" s="1">
        <v>42957</v>
      </c>
      <c r="AC376">
        <v>1.2825861891786301</v>
      </c>
      <c r="AD376">
        <v>1.4334385433736743</v>
      </c>
      <c r="AE376">
        <v>1.1427154062637359</v>
      </c>
      <c r="AF376">
        <v>1.1490521877227178</v>
      </c>
      <c r="AG376">
        <v>1.4541858156604692</v>
      </c>
      <c r="AH376">
        <v>1.1646367596922407</v>
      </c>
      <c r="AI376">
        <v>1.2411493979719128</v>
      </c>
      <c r="AJ376">
        <v>1.0182708096294704</v>
      </c>
      <c r="AK376">
        <v>1.2123836960585297</v>
      </c>
      <c r="AL376">
        <v>1.1140479224234288</v>
      </c>
    </row>
    <row r="377" spans="1:38" x14ac:dyDescent="0.4">
      <c r="A377" s="10">
        <v>42961</v>
      </c>
      <c r="B377" s="11">
        <v>1.2795949675804199</v>
      </c>
      <c r="C377" s="11">
        <v>1.3461675537174529</v>
      </c>
      <c r="D377" s="11">
        <v>1.197115794736249</v>
      </c>
      <c r="E377" s="11">
        <v>1.2327667104394979</v>
      </c>
      <c r="P377" s="1">
        <f>A376</f>
        <v>42958</v>
      </c>
      <c r="Q377" s="14">
        <f>[1]!i_dq_close(Q$2,$P377)</f>
        <v>2078.8869</v>
      </c>
      <c r="R377" s="14">
        <f>[1]!i_dq_close(R$2,$P377)</f>
        <v>3506.8816999999999</v>
      </c>
      <c r="S377" s="14">
        <f>[1]!i_dq_close(S$2,$P377)</f>
        <v>3807.3472999999999</v>
      </c>
      <c r="T377" s="14">
        <f>[1]!i_dq_close(T$2,$P377)</f>
        <v>5484.2473</v>
      </c>
      <c r="U377" s="14">
        <f>[1]!i_dq_close(U$2,$P377)</f>
        <v>9555.3518999999997</v>
      </c>
      <c r="V377" s="14">
        <f>[1]!i_dq_close(V$2,$P377)</f>
        <v>9377.8567000000003</v>
      </c>
      <c r="W377" s="14">
        <f>[1]!i_dq_close(W$2,$P377)</f>
        <v>5676.2231000000002</v>
      </c>
      <c r="X377" s="14">
        <f>[1]!i_dq_close(X$2,$P377)</f>
        <v>5467.4624000000003</v>
      </c>
      <c r="Y377" s="14">
        <f>[1]!i_dq_close(Y$2,$P377)</f>
        <v>6054.9059999999999</v>
      </c>
      <c r="Z377" s="14">
        <f>[1]!i_dq_close(Z$2,$P377)</f>
        <v>2480.6100999999999</v>
      </c>
      <c r="AB377" s="1">
        <v>42958</v>
      </c>
      <c r="AC377">
        <v>1.23416881628935</v>
      </c>
      <c r="AD377">
        <v>1.37454207332228</v>
      </c>
      <c r="AE377">
        <v>1.1267996222206516</v>
      </c>
      <c r="AF377">
        <v>1.1339151036925219</v>
      </c>
      <c r="AG377">
        <v>1.424741336217999</v>
      </c>
      <c r="AH377">
        <v>1.1582188840878376</v>
      </c>
      <c r="AI377">
        <v>1.2165606011544954</v>
      </c>
      <c r="AJ377">
        <v>1.0099847399354076</v>
      </c>
      <c r="AK377">
        <v>1.2026409810079881</v>
      </c>
      <c r="AL377">
        <v>1.1024939167748036</v>
      </c>
    </row>
    <row r="378" spans="1:38" x14ac:dyDescent="0.4">
      <c r="A378" s="10">
        <v>42962</v>
      </c>
      <c r="B378" s="11">
        <v>1.284913629267509</v>
      </c>
      <c r="C378" s="11">
        <v>1.349340319925008</v>
      </c>
      <c r="D378" s="11">
        <v>1.200739409649521</v>
      </c>
      <c r="E378" s="11">
        <v>1.2382576075507019</v>
      </c>
      <c r="P378" s="1">
        <f>A377</f>
        <v>42961</v>
      </c>
      <c r="Q378" s="14">
        <f>[1]!i_dq_close(Q$2,$P378)</f>
        <v>2094.5702000000001</v>
      </c>
      <c r="R378" s="14">
        <f>[1]!i_dq_close(R$2,$P378)</f>
        <v>3576.7440000000001</v>
      </c>
      <c r="S378" s="14">
        <f>[1]!i_dq_close(S$2,$P378)</f>
        <v>3873.2655</v>
      </c>
      <c r="T378" s="14">
        <f>[1]!i_dq_close(T$2,$P378)</f>
        <v>5558.9110000000001</v>
      </c>
      <c r="U378" s="14">
        <f>[1]!i_dq_close(U$2,$P378)</f>
        <v>9721.6589999999997</v>
      </c>
      <c r="V378" s="14">
        <f>[1]!i_dq_close(V$2,$P378)</f>
        <v>9507.9385999999995</v>
      </c>
      <c r="W378" s="14">
        <f>[1]!i_dq_close(W$2,$P378)</f>
        <v>5720.4431999999997</v>
      </c>
      <c r="X378" s="14">
        <f>[1]!i_dq_close(X$2,$P378)</f>
        <v>5658.4224999999997</v>
      </c>
      <c r="Y378" s="14">
        <f>[1]!i_dq_close(Y$2,$P378)</f>
        <v>6168.4427999999998</v>
      </c>
      <c r="Z378" s="14">
        <f>[1]!i_dq_close(Z$2,$P378)</f>
        <v>2501.8350999999998</v>
      </c>
      <c r="AB378" s="1">
        <v>42961</v>
      </c>
      <c r="AC378">
        <v>1.2434794910530955</v>
      </c>
      <c r="AD378">
        <v>1.4019249960735845</v>
      </c>
      <c r="AE378">
        <v>1.1463083764804654</v>
      </c>
      <c r="AF378">
        <v>1.1493524631871543</v>
      </c>
      <c r="AG378">
        <v>1.4495383926065282</v>
      </c>
      <c r="AH378">
        <v>1.1742847419781619</v>
      </c>
      <c r="AI378">
        <v>1.2260381059127405</v>
      </c>
      <c r="AJ378">
        <v>1.0452601150228593</v>
      </c>
      <c r="AK378">
        <v>1.225191951829419</v>
      </c>
      <c r="AL378">
        <v>1.111927254719991</v>
      </c>
    </row>
    <row r="379" spans="1:38" x14ac:dyDescent="0.4">
      <c r="A379" s="10">
        <v>42963</v>
      </c>
      <c r="B379" s="11">
        <v>1.2869705692435141</v>
      </c>
      <c r="C379" s="11">
        <v>1.34877346409698</v>
      </c>
      <c r="D379" s="11">
        <v>1.200579409870085</v>
      </c>
      <c r="E379" s="11">
        <v>1.2371236317788099</v>
      </c>
      <c r="P379" s="1">
        <f>A378</f>
        <v>42962</v>
      </c>
      <c r="Q379" s="14">
        <f>[1]!i_dq_close(Q$2,$P379)</f>
        <v>2089.3449999999998</v>
      </c>
      <c r="R379" s="14">
        <f>[1]!i_dq_close(R$2,$P379)</f>
        <v>3586.4890999999998</v>
      </c>
      <c r="S379" s="14">
        <f>[1]!i_dq_close(S$2,$P379)</f>
        <v>3880.8645000000001</v>
      </c>
      <c r="T379" s="14">
        <f>[1]!i_dq_close(T$2,$P379)</f>
        <v>5564.8611000000001</v>
      </c>
      <c r="U379" s="14">
        <f>[1]!i_dq_close(U$2,$P379)</f>
        <v>9731.4348000000009</v>
      </c>
      <c r="V379" s="14">
        <f>[1]!i_dq_close(V$2,$P379)</f>
        <v>9500.7965999999997</v>
      </c>
      <c r="W379" s="14">
        <f>[1]!i_dq_close(W$2,$P379)</f>
        <v>5761.0610999999999</v>
      </c>
      <c r="X379" s="14">
        <f>[1]!i_dq_close(X$2,$P379)</f>
        <v>5709.1994000000004</v>
      </c>
      <c r="Y379" s="14">
        <f>[1]!i_dq_close(Y$2,$P379)</f>
        <v>6176.4754000000003</v>
      </c>
      <c r="Z379" s="14">
        <f>[1]!i_dq_close(Z$2,$P379)</f>
        <v>2504.7797999999998</v>
      </c>
      <c r="AB379" s="1">
        <v>42962</v>
      </c>
      <c r="AC379">
        <v>1.2403774565466124</v>
      </c>
      <c r="AD379">
        <v>1.405744643014835</v>
      </c>
      <c r="AE379">
        <v>1.1485573308454258</v>
      </c>
      <c r="AF379">
        <v>1.1505826973267566</v>
      </c>
      <c r="AG379">
        <v>1.4509960036396292</v>
      </c>
      <c r="AH379">
        <v>1.1734026641713902</v>
      </c>
      <c r="AI379">
        <v>1.2347435665634388</v>
      </c>
      <c r="AJ379">
        <v>1.0546399498327386</v>
      </c>
      <c r="AK379">
        <v>1.226787407472173</v>
      </c>
      <c r="AL379">
        <v>1.1132360109153829</v>
      </c>
    </row>
    <row r="380" spans="1:38" x14ac:dyDescent="0.4">
      <c r="A380" s="10">
        <v>42964</v>
      </c>
      <c r="B380" s="11">
        <v>1.291649568470018</v>
      </c>
      <c r="C380" s="11">
        <v>1.3528655657462669</v>
      </c>
      <c r="D380" s="11">
        <v>1.203754172400314</v>
      </c>
      <c r="E380" s="11">
        <v>1.2386109832256511</v>
      </c>
      <c r="P380" s="1">
        <f>A379</f>
        <v>42963</v>
      </c>
      <c r="Q380" s="14">
        <f>[1]!i_dq_close(Q$2,$P380)</f>
        <v>2079.1707000000001</v>
      </c>
      <c r="R380" s="14">
        <f>[1]!i_dq_close(R$2,$P380)</f>
        <v>3552.7284</v>
      </c>
      <c r="S380" s="14">
        <f>[1]!i_dq_close(S$2,$P380)</f>
        <v>3885.4904000000001</v>
      </c>
      <c r="T380" s="14">
        <f>[1]!i_dq_close(T$2,$P380)</f>
        <v>5573.8522000000003</v>
      </c>
      <c r="U380" s="14">
        <f>[1]!i_dq_close(U$2,$P380)</f>
        <v>9706.0794000000005</v>
      </c>
      <c r="V380" s="14">
        <f>[1]!i_dq_close(V$2,$P380)</f>
        <v>9518.5463</v>
      </c>
      <c r="W380" s="14">
        <f>[1]!i_dq_close(W$2,$P380)</f>
        <v>5746.0847000000003</v>
      </c>
      <c r="X380" s="14">
        <f>[1]!i_dq_close(X$2,$P380)</f>
        <v>5807.6884</v>
      </c>
      <c r="Y380" s="14">
        <f>[1]!i_dq_close(Y$2,$P380)</f>
        <v>6251.8429999999998</v>
      </c>
      <c r="Z380" s="14">
        <f>[1]!i_dq_close(Z$2,$P380)</f>
        <v>2513.3027000000002</v>
      </c>
      <c r="AB380" s="1">
        <v>42963</v>
      </c>
      <c r="AC380">
        <v>1.2343372992934341</v>
      </c>
      <c r="AD380">
        <v>1.3925119461220907</v>
      </c>
      <c r="AE380">
        <v>1.1499263844046927</v>
      </c>
      <c r="AF380">
        <v>1.1524416842635437</v>
      </c>
      <c r="AG380">
        <v>1.4472154116892331</v>
      </c>
      <c r="AH380">
        <v>1.1755948535366738</v>
      </c>
      <c r="AI380">
        <v>1.2315337388547412</v>
      </c>
      <c r="AJ380">
        <v>1.0728334699292825</v>
      </c>
      <c r="AK380">
        <v>1.2417571137566665</v>
      </c>
      <c r="AL380">
        <v>1.1170239683228289</v>
      </c>
    </row>
    <row r="381" spans="1:38" x14ac:dyDescent="0.4">
      <c r="A381" s="10">
        <v>42965</v>
      </c>
      <c r="B381" s="11">
        <v>1.288415920015227</v>
      </c>
      <c r="C381" s="11">
        <v>1.3492046783217551</v>
      </c>
      <c r="D381" s="11">
        <v>1.199109514412086</v>
      </c>
      <c r="E381" s="11">
        <v>1.233762322240145</v>
      </c>
      <c r="P381" s="1">
        <f>A380</f>
        <v>42964</v>
      </c>
      <c r="Q381" s="14">
        <f>[1]!i_dq_close(Q$2,$P381)</f>
        <v>2109.1875</v>
      </c>
      <c r="R381" s="14">
        <f>[1]!i_dq_close(R$2,$P381)</f>
        <v>3594.3924000000002</v>
      </c>
      <c r="S381" s="14">
        <f>[1]!i_dq_close(S$2,$P381)</f>
        <v>3927.9034999999999</v>
      </c>
      <c r="T381" s="14">
        <f>[1]!i_dq_close(T$2,$P381)</f>
        <v>5602.5780000000004</v>
      </c>
      <c r="U381" s="14">
        <f>[1]!i_dq_close(U$2,$P381)</f>
        <v>9684.7972000000009</v>
      </c>
      <c r="V381" s="14">
        <f>[1]!i_dq_close(V$2,$P381)</f>
        <v>9542.8153999999995</v>
      </c>
      <c r="W381" s="14">
        <f>[1]!i_dq_close(W$2,$P381)</f>
        <v>5764.4850999999999</v>
      </c>
      <c r="X381" s="14">
        <f>[1]!i_dq_close(X$2,$P381)</f>
        <v>5854.0033999999996</v>
      </c>
      <c r="Y381" s="14">
        <f>[1]!i_dq_close(Y$2,$P381)</f>
        <v>6317.1814999999997</v>
      </c>
      <c r="Z381" s="14">
        <f>[1]!i_dq_close(Z$2,$P381)</f>
        <v>2534.5437999999999</v>
      </c>
      <c r="AB381" s="1">
        <v>42964</v>
      </c>
      <c r="AC381">
        <v>1.2521573156323673</v>
      </c>
      <c r="AD381">
        <v>1.4088423860519292</v>
      </c>
      <c r="AE381">
        <v>1.1624787105497771</v>
      </c>
      <c r="AF381">
        <v>1.1583809894596551</v>
      </c>
      <c r="AG381">
        <v>1.4440421502140948</v>
      </c>
      <c r="AH381">
        <v>1.1785922260514208</v>
      </c>
      <c r="AI381">
        <v>1.2354774178277332</v>
      </c>
      <c r="AJ381">
        <v>1.0813890739385772</v>
      </c>
      <c r="AK381">
        <v>1.2547348144406392</v>
      </c>
      <c r="AL381">
        <v>1.1264644618270703</v>
      </c>
    </row>
    <row r="382" spans="1:38" x14ac:dyDescent="0.4">
      <c r="A382" s="10">
        <v>42968</v>
      </c>
      <c r="B382" s="11">
        <v>1.297258930131977</v>
      </c>
      <c r="C382" s="11">
        <v>1.3573395106167849</v>
      </c>
      <c r="D382" s="11">
        <v>1.205889490436366</v>
      </c>
      <c r="E382" s="11">
        <v>1.2406780945651501</v>
      </c>
      <c r="P382" s="1">
        <f>A381</f>
        <v>42965</v>
      </c>
      <c r="Q382" s="14">
        <f>[1]!i_dq_close(Q$2,$P382)</f>
        <v>2108.4159</v>
      </c>
      <c r="R382" s="14">
        <f>[1]!i_dq_close(R$2,$P382)</f>
        <v>3564.9335999999998</v>
      </c>
      <c r="S382" s="14">
        <f>[1]!i_dq_close(S$2,$P382)</f>
        <v>3919.9481999999998</v>
      </c>
      <c r="T382" s="14">
        <f>[1]!i_dq_close(T$2,$P382)</f>
        <v>5597.5383000000002</v>
      </c>
      <c r="U382" s="14">
        <f>[1]!i_dq_close(U$2,$P382)</f>
        <v>9673.3431</v>
      </c>
      <c r="V382" s="14">
        <f>[1]!i_dq_close(V$2,$P382)</f>
        <v>9539.7147999999997</v>
      </c>
      <c r="W382" s="14">
        <f>[1]!i_dq_close(W$2,$P382)</f>
        <v>5790.9517999999998</v>
      </c>
      <c r="X382" s="14">
        <f>[1]!i_dq_close(X$2,$P382)</f>
        <v>5810.12</v>
      </c>
      <c r="Y382" s="14">
        <f>[1]!i_dq_close(Y$2,$P382)</f>
        <v>6302.8301000000001</v>
      </c>
      <c r="Z382" s="14">
        <f>[1]!i_dq_close(Z$2,$P382)</f>
        <v>2536.5061000000001</v>
      </c>
      <c r="AB382" s="1">
        <v>42965</v>
      </c>
      <c r="AC382">
        <v>1.2516992413337371</v>
      </c>
      <c r="AD382">
        <v>1.3972958431418601</v>
      </c>
      <c r="AE382">
        <v>1.1601243077784165</v>
      </c>
      <c r="AF382">
        <v>1.1573389883179344</v>
      </c>
      <c r="AG382">
        <v>1.4423342979120592</v>
      </c>
      <c r="AH382">
        <v>1.1782092842357281</v>
      </c>
      <c r="AI382">
        <v>1.24114991235364</v>
      </c>
      <c r="AJ382">
        <v>1.0732826506851716</v>
      </c>
      <c r="AK382">
        <v>1.2518843025128177</v>
      </c>
      <c r="AL382">
        <v>1.12733659558678</v>
      </c>
    </row>
    <row r="383" spans="1:38" x14ac:dyDescent="0.4">
      <c r="A383" s="10">
        <v>42969</v>
      </c>
      <c r="B383" s="11">
        <v>1.294256810648756</v>
      </c>
      <c r="C383" s="11">
        <v>1.355797756035412</v>
      </c>
      <c r="D383" s="11">
        <v>1.203942712206536</v>
      </c>
      <c r="E383" s="11">
        <v>1.2399136277815099</v>
      </c>
      <c r="P383" s="1">
        <f>A382</f>
        <v>42968</v>
      </c>
      <c r="Q383" s="14">
        <f>[1]!i_dq_close(Q$2,$P383)</f>
        <v>2134.6226000000001</v>
      </c>
      <c r="R383" s="14">
        <f>[1]!i_dq_close(R$2,$P383)</f>
        <v>3614.7541999999999</v>
      </c>
      <c r="S383" s="14">
        <f>[1]!i_dq_close(S$2,$P383)</f>
        <v>3941.7157000000002</v>
      </c>
      <c r="T383" s="14">
        <f>[1]!i_dq_close(T$2,$P383)</f>
        <v>5637.4278000000004</v>
      </c>
      <c r="U383" s="14">
        <f>[1]!i_dq_close(U$2,$P383)</f>
        <v>9701.3870999999999</v>
      </c>
      <c r="V383" s="14">
        <f>[1]!i_dq_close(V$2,$P383)</f>
        <v>9589.7525999999998</v>
      </c>
      <c r="W383" s="14">
        <f>[1]!i_dq_close(W$2,$P383)</f>
        <v>5795.4331000000002</v>
      </c>
      <c r="X383" s="14">
        <f>[1]!i_dq_close(X$2,$P383)</f>
        <v>5857.7416999999996</v>
      </c>
      <c r="Y383" s="14">
        <f>[1]!i_dq_close(Y$2,$P383)</f>
        <v>6402.3351000000002</v>
      </c>
      <c r="Z383" s="14">
        <f>[1]!i_dq_close(Z$2,$P383)</f>
        <v>2540.0408000000002</v>
      </c>
      <c r="AB383" s="1">
        <v>42968</v>
      </c>
      <c r="AC383">
        <v>1.2672573228810546</v>
      </c>
      <c r="AD383">
        <v>1.4168233084732853</v>
      </c>
      <c r="AE383">
        <v>1.1665664862412766</v>
      </c>
      <c r="AF383">
        <v>1.1655864841098806</v>
      </c>
      <c r="AG383">
        <v>1.4465157709180818</v>
      </c>
      <c r="AH383">
        <v>1.1843892384333874</v>
      </c>
      <c r="AI383">
        <v>1.2421103702013865</v>
      </c>
      <c r="AJ383">
        <v>1.0820796367037278</v>
      </c>
      <c r="AK383">
        <v>1.2716482411792809</v>
      </c>
      <c r="AL383">
        <v>1.1289075741325918</v>
      </c>
    </row>
    <row r="384" spans="1:38" x14ac:dyDescent="0.4">
      <c r="A384" s="10">
        <v>42970</v>
      </c>
      <c r="B384" s="11">
        <v>1.2899061587854259</v>
      </c>
      <c r="C384" s="11">
        <v>1.351227478064146</v>
      </c>
      <c r="D384" s="11">
        <v>1.199819841616562</v>
      </c>
      <c r="E384" s="11">
        <v>1.23641425832803</v>
      </c>
      <c r="P384" s="1">
        <f>A383</f>
        <v>42969</v>
      </c>
      <c r="Q384" s="14">
        <f>[1]!i_dq_close(Q$2,$P384)</f>
        <v>2117.4436000000001</v>
      </c>
      <c r="R384" s="14">
        <f>[1]!i_dq_close(R$2,$P384)</f>
        <v>3616.0567000000001</v>
      </c>
      <c r="S384" s="14">
        <f>[1]!i_dq_close(S$2,$P384)</f>
        <v>3916.7858999999999</v>
      </c>
      <c r="T384" s="14">
        <f>[1]!i_dq_close(T$2,$P384)</f>
        <v>5624.8774999999996</v>
      </c>
      <c r="U384" s="14">
        <f>[1]!i_dq_close(U$2,$P384)</f>
        <v>9659.2021000000004</v>
      </c>
      <c r="V384" s="14">
        <f>[1]!i_dq_close(V$2,$P384)</f>
        <v>9556.5092999999997</v>
      </c>
      <c r="W384" s="14">
        <f>[1]!i_dq_close(W$2,$P384)</f>
        <v>5844.1409000000003</v>
      </c>
      <c r="X384" s="14">
        <f>[1]!i_dq_close(X$2,$P384)</f>
        <v>5812.1610000000001</v>
      </c>
      <c r="Y384" s="14">
        <f>[1]!i_dq_close(Y$2,$P384)</f>
        <v>6412.4047</v>
      </c>
      <c r="Z384" s="14">
        <f>[1]!i_dq_close(Z$2,$P384)</f>
        <v>2535.4861000000001</v>
      </c>
      <c r="AB384" s="1">
        <v>42969</v>
      </c>
      <c r="AC384">
        <v>1.2570586987543477</v>
      </c>
      <c r="AD384">
        <v>1.4173338306989145</v>
      </c>
      <c r="AE384">
        <v>1.159188412477941</v>
      </c>
      <c r="AF384">
        <v>1.1629916020873516</v>
      </c>
      <c r="AG384">
        <v>1.4402258180312233</v>
      </c>
      <c r="AH384">
        <v>1.180283500943349</v>
      </c>
      <c r="AI384">
        <v>1.2525497044919842</v>
      </c>
      <c r="AJ384">
        <v>1.0736596773025304</v>
      </c>
      <c r="AK384">
        <v>1.2736482909938212</v>
      </c>
      <c r="AL384">
        <v>1.126883262031817</v>
      </c>
    </row>
    <row r="385" spans="1:38" x14ac:dyDescent="0.4">
      <c r="A385" s="10">
        <v>42971</v>
      </c>
      <c r="B385" s="11">
        <v>1.282924703725161</v>
      </c>
      <c r="C385" s="11">
        <v>1.3432595943557979</v>
      </c>
      <c r="D385" s="11">
        <v>1.19299445491359</v>
      </c>
      <c r="E385" s="11">
        <v>1.2298213405807059</v>
      </c>
      <c r="P385" s="1">
        <f>A384</f>
        <v>42970</v>
      </c>
      <c r="Q385" s="14">
        <f>[1]!i_dq_close(Q$2,$P385)</f>
        <v>2089.3732</v>
      </c>
      <c r="R385" s="14">
        <f>[1]!i_dq_close(R$2,$P385)</f>
        <v>3550.1496999999999</v>
      </c>
      <c r="S385" s="14">
        <f>[1]!i_dq_close(S$2,$P385)</f>
        <v>3900.9668999999999</v>
      </c>
      <c r="T385" s="14">
        <f>[1]!i_dq_close(T$2,$P385)</f>
        <v>5610.8247000000001</v>
      </c>
      <c r="U385" s="14">
        <f>[1]!i_dq_close(U$2,$P385)</f>
        <v>9664.3215</v>
      </c>
      <c r="V385" s="14">
        <f>[1]!i_dq_close(V$2,$P385)</f>
        <v>9513.6851000000006</v>
      </c>
      <c r="W385" s="14">
        <f>[1]!i_dq_close(W$2,$P385)</f>
        <v>5889.9803000000002</v>
      </c>
      <c r="X385" s="14">
        <f>[1]!i_dq_close(X$2,$P385)</f>
        <v>5786.9256999999998</v>
      </c>
      <c r="Y385" s="14">
        <f>[1]!i_dq_close(Y$2,$P385)</f>
        <v>6375.6728999999996</v>
      </c>
      <c r="Z385" s="14">
        <f>[1]!i_dq_close(Z$2,$P385)</f>
        <v>2524.0272</v>
      </c>
      <c r="AB385" s="1">
        <v>42970</v>
      </c>
      <c r="AC385">
        <v>1.2403941979867645</v>
      </c>
      <c r="AD385">
        <v>1.3915012101042559</v>
      </c>
      <c r="AE385">
        <v>1.1545067163206431</v>
      </c>
      <c r="AF385">
        <v>1.1600860653204066</v>
      </c>
      <c r="AG385">
        <v>1.4409891411273232</v>
      </c>
      <c r="AH385">
        <v>1.1749944675615578</v>
      </c>
      <c r="AI385">
        <v>1.2623742668881595</v>
      </c>
      <c r="AJ385">
        <v>1.0689980507483738</v>
      </c>
      <c r="AK385">
        <v>1.2663525265366702</v>
      </c>
      <c r="AL385">
        <v>1.1217904150975362</v>
      </c>
    </row>
    <row r="386" spans="1:38" x14ac:dyDescent="0.4">
      <c r="A386" s="10">
        <v>42972</v>
      </c>
      <c r="B386" s="11">
        <v>1.2965769673512599</v>
      </c>
      <c r="C386" s="11">
        <v>1.3576687420600011</v>
      </c>
      <c r="D386" s="11">
        <v>1.2055291661197569</v>
      </c>
      <c r="E386" s="11">
        <v>1.2417040955253571</v>
      </c>
      <c r="P386" s="1">
        <f>A385</f>
        <v>42971</v>
      </c>
      <c r="Q386" s="14">
        <f>[1]!i_dq_close(Q$2,$P386)</f>
        <v>2082.2305999999999</v>
      </c>
      <c r="R386" s="14">
        <f>[1]!i_dq_close(R$2,$P386)</f>
        <v>3529.5491000000002</v>
      </c>
      <c r="S386" s="14">
        <f>[1]!i_dq_close(S$2,$P386)</f>
        <v>3878.5994999999998</v>
      </c>
      <c r="T386" s="14">
        <f>[1]!i_dq_close(T$2,$P386)</f>
        <v>5595.1565000000001</v>
      </c>
      <c r="U386" s="14">
        <f>[1]!i_dq_close(U$2,$P386)</f>
        <v>9577.8461000000007</v>
      </c>
      <c r="V386" s="14">
        <f>[1]!i_dq_close(V$2,$P386)</f>
        <v>9442.4552000000003</v>
      </c>
      <c r="W386" s="14">
        <f>[1]!i_dq_close(W$2,$P386)</f>
        <v>5856.3859000000002</v>
      </c>
      <c r="X386" s="14">
        <f>[1]!i_dq_close(X$2,$P386)</f>
        <v>5733.9201999999996</v>
      </c>
      <c r="Y386" s="14">
        <f>[1]!i_dq_close(Y$2,$P386)</f>
        <v>6291.8427000000001</v>
      </c>
      <c r="Z386" s="14">
        <f>[1]!i_dq_close(Z$2,$P386)</f>
        <v>2513.7031000000002</v>
      </c>
      <c r="AB386" s="1">
        <v>42971</v>
      </c>
      <c r="AC386">
        <v>1.2361538642835561</v>
      </c>
      <c r="AD386">
        <v>1.3834266886752375</v>
      </c>
      <c r="AE386">
        <v>1.1478869950595807</v>
      </c>
      <c r="AF386">
        <v>1.1568465307670184</v>
      </c>
      <c r="AG386">
        <v>1.4280953117597219</v>
      </c>
      <c r="AH386">
        <v>1.1661971679300025</v>
      </c>
      <c r="AI386">
        <v>1.2551741229298599</v>
      </c>
      <c r="AJ386">
        <v>1.0592065346452824</v>
      </c>
      <c r="AK386">
        <v>1.2497019569050203</v>
      </c>
      <c r="AL386">
        <v>1.1172019239653852</v>
      </c>
    </row>
    <row r="387" spans="1:38" x14ac:dyDescent="0.4">
      <c r="A387" s="10">
        <v>42975</v>
      </c>
      <c r="B387" s="11">
        <v>1.3099314536761679</v>
      </c>
      <c r="C387" s="11">
        <v>1.3712994098071081</v>
      </c>
      <c r="D387" s="11">
        <v>1.217996495941384</v>
      </c>
      <c r="E387" s="11">
        <v>1.2571717618462941</v>
      </c>
      <c r="P387" s="1">
        <f>A386</f>
        <v>42972</v>
      </c>
      <c r="Q387" s="14">
        <f>[1]!i_dq_close(Q$2,$P387)</f>
        <v>2134.2339000000002</v>
      </c>
      <c r="R387" s="14">
        <f>[1]!i_dq_close(R$2,$P387)</f>
        <v>3584.7991999999999</v>
      </c>
      <c r="S387" s="14">
        <f>[1]!i_dq_close(S$2,$P387)</f>
        <v>3915.4339</v>
      </c>
      <c r="T387" s="14">
        <f>[1]!i_dq_close(T$2,$P387)</f>
        <v>5638.4984000000004</v>
      </c>
      <c r="U387" s="14">
        <f>[1]!i_dq_close(U$2,$P387)</f>
        <v>9644.8133999999991</v>
      </c>
      <c r="V387" s="14">
        <f>[1]!i_dq_close(V$2,$P387)</f>
        <v>9501.8083000000006</v>
      </c>
      <c r="W387" s="14">
        <f>[1]!i_dq_close(W$2,$P387)</f>
        <v>6000.6467000000002</v>
      </c>
      <c r="X387" s="14">
        <f>[1]!i_dq_close(X$2,$P387)</f>
        <v>5793.4106000000002</v>
      </c>
      <c r="Y387" s="14">
        <f>[1]!i_dq_close(Y$2,$P387)</f>
        <v>6340.7071999999998</v>
      </c>
      <c r="Z387" s="14">
        <f>[1]!i_dq_close(Z$2,$P387)</f>
        <v>2524.2966999999999</v>
      </c>
      <c r="AB387" s="1">
        <v>42972</v>
      </c>
      <c r="AC387">
        <v>1.2670265640942773</v>
      </c>
      <c r="AD387">
        <v>1.4050822771729228</v>
      </c>
      <c r="AE387">
        <v>1.1587882826843594</v>
      </c>
      <c r="AF387">
        <v>1.1658078398299287</v>
      </c>
      <c r="AG387">
        <v>1.4380804050857887</v>
      </c>
      <c r="AH387">
        <v>1.1735276149018734</v>
      </c>
      <c r="AI387">
        <v>1.2860929227161173</v>
      </c>
      <c r="AJ387">
        <v>1.0701959830908088</v>
      </c>
      <c r="AK387">
        <v>1.2594075493975319</v>
      </c>
      <c r="AL387">
        <v>1.121910192933872</v>
      </c>
    </row>
    <row r="388" spans="1:38" x14ac:dyDescent="0.4">
      <c r="A388" s="10">
        <v>42976</v>
      </c>
      <c r="B388" s="11">
        <v>1.308596954412917</v>
      </c>
      <c r="C388" s="11">
        <v>1.3690485024550021</v>
      </c>
      <c r="D388" s="11">
        <v>1.2169650400890819</v>
      </c>
      <c r="E388" s="11">
        <v>1.2573888371443871</v>
      </c>
      <c r="P388" s="1">
        <f>A387</f>
        <v>42975</v>
      </c>
      <c r="Q388" s="14">
        <f>[1]!i_dq_close(Q$2,$P388)</f>
        <v>2158.616</v>
      </c>
      <c r="R388" s="14">
        <f>[1]!i_dq_close(R$2,$P388)</f>
        <v>3625.1032</v>
      </c>
      <c r="S388" s="14">
        <f>[1]!i_dq_close(S$2,$P388)</f>
        <v>3956.7381999999998</v>
      </c>
      <c r="T388" s="14">
        <f>[1]!i_dq_close(T$2,$P388)</f>
        <v>5689.2186000000002</v>
      </c>
      <c r="U388" s="14">
        <f>[1]!i_dq_close(U$2,$P388)</f>
        <v>9711.3884999999991</v>
      </c>
      <c r="V388" s="14">
        <f>[1]!i_dq_close(V$2,$P388)</f>
        <v>9560.5473000000002</v>
      </c>
      <c r="W388" s="14">
        <f>[1]!i_dq_close(W$2,$P388)</f>
        <v>6110.9638999999997</v>
      </c>
      <c r="X388" s="14">
        <f>[1]!i_dq_close(X$2,$P388)</f>
        <v>5879.8146999999999</v>
      </c>
      <c r="Y388" s="14">
        <f>[1]!i_dq_close(Y$2,$P388)</f>
        <v>6404.4678000000004</v>
      </c>
      <c r="Z388" s="14">
        <f>[1]!i_dq_close(Z$2,$P388)</f>
        <v>2538.6055000000001</v>
      </c>
      <c r="AB388" s="1">
        <v>42975</v>
      </c>
      <c r="AC388">
        <v>1.2815014388436676</v>
      </c>
      <c r="AD388">
        <v>1.4208796574276319</v>
      </c>
      <c r="AE388">
        <v>1.1710124550460688</v>
      </c>
      <c r="AF388">
        <v>1.1762946756154531</v>
      </c>
      <c r="AG388">
        <v>1.4480070198170418</v>
      </c>
      <c r="AH388">
        <v>1.1807822170150017</v>
      </c>
      <c r="AI388">
        <v>1.3097367360027514</v>
      </c>
      <c r="AJ388">
        <v>1.0861571029089996</v>
      </c>
      <c r="AK388">
        <v>1.2720718435308609</v>
      </c>
      <c r="AL388">
        <v>1.1282696627096129</v>
      </c>
    </row>
    <row r="389" spans="1:38" x14ac:dyDescent="0.4">
      <c r="A389" s="10">
        <v>42977</v>
      </c>
      <c r="B389" s="11">
        <v>1.313463505717654</v>
      </c>
      <c r="C389" s="11">
        <v>1.3753331181846571</v>
      </c>
      <c r="D389" s="11">
        <v>1.223641520732536</v>
      </c>
      <c r="E389" s="11">
        <v>1.2655228956069211</v>
      </c>
      <c r="P389" s="1">
        <f>A388</f>
        <v>42976</v>
      </c>
      <c r="Q389" s="14">
        <f>[1]!i_dq_close(Q$2,$P389)</f>
        <v>2146.9697000000001</v>
      </c>
      <c r="R389" s="14">
        <f>[1]!i_dq_close(R$2,$P389)</f>
        <v>3615.7262999999998</v>
      </c>
      <c r="S389" s="14">
        <f>[1]!i_dq_close(S$2,$P389)</f>
        <v>3950.6053999999999</v>
      </c>
      <c r="T389" s="14">
        <f>[1]!i_dq_close(T$2,$P389)</f>
        <v>5665.1583000000001</v>
      </c>
      <c r="U389" s="14">
        <f>[1]!i_dq_close(U$2,$P389)</f>
        <v>9712.5971000000009</v>
      </c>
      <c r="V389" s="14">
        <f>[1]!i_dq_close(V$2,$P389)</f>
        <v>9521.2440999999999</v>
      </c>
      <c r="W389" s="14">
        <f>[1]!i_dq_close(W$2,$P389)</f>
        <v>6112.0879000000004</v>
      </c>
      <c r="X389" s="14">
        <f>[1]!i_dq_close(X$2,$P389)</f>
        <v>5851.1678000000002</v>
      </c>
      <c r="Y389" s="14">
        <f>[1]!i_dq_close(Y$2,$P389)</f>
        <v>6382.0434999999998</v>
      </c>
      <c r="Z389" s="14">
        <f>[1]!i_dq_close(Z$2,$P389)</f>
        <v>2549.7435999999998</v>
      </c>
      <c r="AB389" s="1">
        <v>42976</v>
      </c>
      <c r="AC389">
        <v>1.2745874021612724</v>
      </c>
      <c r="AD389">
        <v>1.4172043285543097</v>
      </c>
      <c r="AE389">
        <v>1.1691974284202722</v>
      </c>
      <c r="AF389">
        <v>1.1713200025059138</v>
      </c>
      <c r="AG389">
        <v>1.4481872269299745</v>
      </c>
      <c r="AH389">
        <v>1.1759280472509146</v>
      </c>
      <c r="AI389">
        <v>1.3099776381117081</v>
      </c>
      <c r="AJ389">
        <v>1.0808652637101686</v>
      </c>
      <c r="AK389">
        <v>1.2676178714707798</v>
      </c>
      <c r="AL389">
        <v>1.1332199317964109</v>
      </c>
    </row>
    <row r="390" spans="1:38" x14ac:dyDescent="0.4">
      <c r="A390" s="10">
        <v>42978</v>
      </c>
      <c r="B390" s="11">
        <v>1.3159015439854389</v>
      </c>
      <c r="C390" s="11">
        <v>1.376519360530654</v>
      </c>
      <c r="D390" s="11">
        <v>1.225281338893085</v>
      </c>
      <c r="E390" s="11">
        <v>1.267754731055095</v>
      </c>
      <c r="P390" s="1">
        <f>A389</f>
        <v>42977</v>
      </c>
      <c r="Q390" s="14">
        <f>[1]!i_dq_close(Q$2,$P390)</f>
        <v>2174.8416000000002</v>
      </c>
      <c r="R390" s="14">
        <f>[1]!i_dq_close(R$2,$P390)</f>
        <v>3668.7656000000002</v>
      </c>
      <c r="S390" s="14">
        <f>[1]!i_dq_close(S$2,$P390)</f>
        <v>3955.7786999999998</v>
      </c>
      <c r="T390" s="14">
        <f>[1]!i_dq_close(T$2,$P390)</f>
        <v>5671.7227999999996</v>
      </c>
      <c r="U390" s="14">
        <f>[1]!i_dq_close(U$2,$P390)</f>
        <v>9764.7167000000009</v>
      </c>
      <c r="V390" s="14">
        <f>[1]!i_dq_close(V$2,$P390)</f>
        <v>9534.9572000000007</v>
      </c>
      <c r="W390" s="14">
        <f>[1]!i_dq_close(W$2,$P390)</f>
        <v>6087.1617999999999</v>
      </c>
      <c r="X390" s="14">
        <f>[1]!i_dq_close(X$2,$P390)</f>
        <v>5883.6714000000002</v>
      </c>
      <c r="Y390" s="14">
        <f>[1]!i_dq_close(Y$2,$P390)</f>
        <v>6378.9717000000001</v>
      </c>
      <c r="Z390" s="14">
        <f>[1]!i_dq_close(Z$2,$P390)</f>
        <v>2539.0001000000002</v>
      </c>
      <c r="AB390" s="1">
        <v>42977</v>
      </c>
      <c r="AC390">
        <v>1.2911340598128913</v>
      </c>
      <c r="AD390">
        <v>1.4379933815153956</v>
      </c>
      <c r="AE390">
        <v>1.1707284871933012</v>
      </c>
      <c r="AF390">
        <v>1.1726772691080578</v>
      </c>
      <c r="AG390">
        <v>1.4559584685675691</v>
      </c>
      <c r="AH390">
        <v>1.1776216934525447</v>
      </c>
      <c r="AI390">
        <v>1.3046353337895897</v>
      </c>
      <c r="AJ390">
        <v>1.0868695372819381</v>
      </c>
      <c r="AK390">
        <v>1.267007742665236</v>
      </c>
      <c r="AL390">
        <v>1.128445040573131</v>
      </c>
    </row>
    <row r="391" spans="1:38" x14ac:dyDescent="0.4">
      <c r="A391" s="10">
        <v>42979</v>
      </c>
      <c r="B391" s="11">
        <v>1.3221228485597141</v>
      </c>
      <c r="C391" s="11">
        <v>1.3850706136567821</v>
      </c>
      <c r="D391" s="11">
        <v>1.233254415730102</v>
      </c>
      <c r="E391" s="11">
        <v>1.276455105064553</v>
      </c>
      <c r="P391" s="1">
        <f>A390</f>
        <v>42978</v>
      </c>
      <c r="Q391" s="14">
        <f>[1]!i_dq_close(Q$2,$P391)</f>
        <v>2183.7701000000002</v>
      </c>
      <c r="R391" s="14">
        <f>[1]!i_dq_close(R$2,$P391)</f>
        <v>3687.0630000000001</v>
      </c>
      <c r="S391" s="14">
        <f>[1]!i_dq_close(S$2,$P391)</f>
        <v>3957.4339</v>
      </c>
      <c r="T391" s="14">
        <f>[1]!i_dq_close(T$2,$P391)</f>
        <v>5656.0834999999997</v>
      </c>
      <c r="U391" s="14">
        <f>[1]!i_dq_close(U$2,$P391)</f>
        <v>9788.0998</v>
      </c>
      <c r="V391" s="14">
        <f>[1]!i_dq_close(V$2,$P391)</f>
        <v>9536.5748000000003</v>
      </c>
      <c r="W391" s="14">
        <f>[1]!i_dq_close(W$2,$P391)</f>
        <v>6065.7116999999998</v>
      </c>
      <c r="X391" s="14">
        <f>[1]!i_dq_close(X$2,$P391)</f>
        <v>5905.7422999999999</v>
      </c>
      <c r="Y391" s="14">
        <f>[1]!i_dq_close(Y$2,$P391)</f>
        <v>6381.9565000000002</v>
      </c>
      <c r="Z391" s="14">
        <f>[1]!i_dq_close(Z$2,$P391)</f>
        <v>2528.5322000000001</v>
      </c>
      <c r="AB391" s="1">
        <v>42978</v>
      </c>
      <c r="AC391">
        <v>1.2964346253589245</v>
      </c>
      <c r="AD391">
        <v>1.445165150706357</v>
      </c>
      <c r="AE391">
        <v>1.1712183502364495</v>
      </c>
      <c r="AF391">
        <v>1.1694437098772081</v>
      </c>
      <c r="AG391">
        <v>1.4594449826685221</v>
      </c>
      <c r="AH391">
        <v>1.1778214762949186</v>
      </c>
      <c r="AI391">
        <v>1.3000380256691912</v>
      </c>
      <c r="AJ391">
        <v>1.090946615561734</v>
      </c>
      <c r="AK391">
        <v>1.2676005913073309</v>
      </c>
      <c r="AL391">
        <v>1.1237926382986232</v>
      </c>
    </row>
    <row r="392" spans="1:38" x14ac:dyDescent="0.4">
      <c r="A392" s="10">
        <v>42982</v>
      </c>
      <c r="B392" s="11">
        <v>1.329188459181633</v>
      </c>
      <c r="C392" s="11">
        <v>1.391132323443764</v>
      </c>
      <c r="D392" s="11">
        <v>1.2387832392057101</v>
      </c>
      <c r="E392" s="11">
        <v>1.282508896540502</v>
      </c>
      <c r="P392" s="1">
        <f>A391</f>
        <v>42979</v>
      </c>
      <c r="Q392" s="14">
        <f>[1]!i_dq_close(Q$2,$P392)</f>
        <v>2247.1714999999999</v>
      </c>
      <c r="R392" s="14">
        <f>[1]!i_dq_close(R$2,$P392)</f>
        <v>3752.4495999999999</v>
      </c>
      <c r="S392" s="14">
        <f>[1]!i_dq_close(S$2,$P392)</f>
        <v>3964.2975999999999</v>
      </c>
      <c r="T392" s="14">
        <f>[1]!i_dq_close(T$2,$P392)</f>
        <v>5652.5405000000001</v>
      </c>
      <c r="U392" s="14">
        <f>[1]!i_dq_close(U$2,$P392)</f>
        <v>9810.6195000000007</v>
      </c>
      <c r="V392" s="14">
        <f>[1]!i_dq_close(V$2,$P392)</f>
        <v>9562.8291000000008</v>
      </c>
      <c r="W392" s="14">
        <f>[1]!i_dq_close(W$2,$P392)</f>
        <v>6052.0151999999998</v>
      </c>
      <c r="X392" s="14">
        <f>[1]!i_dq_close(X$2,$P392)</f>
        <v>5989.0272000000004</v>
      </c>
      <c r="Y392" s="14">
        <f>[1]!i_dq_close(Y$2,$P392)</f>
        <v>6403.2807000000003</v>
      </c>
      <c r="Z392" s="14">
        <f>[1]!i_dq_close(Z$2,$P392)</f>
        <v>2553.7601</v>
      </c>
      <c r="AB392" s="1">
        <v>42979</v>
      </c>
      <c r="AC392">
        <v>1.334074013431978</v>
      </c>
      <c r="AD392">
        <v>1.4707937975841501</v>
      </c>
      <c r="AE392">
        <v>1.1732496896330513</v>
      </c>
      <c r="AF392">
        <v>1.1687111642802248</v>
      </c>
      <c r="AG392">
        <v>1.4628027603626359</v>
      </c>
      <c r="AH392">
        <v>1.1810640323523711</v>
      </c>
      <c r="AI392">
        <v>1.2971025134491532</v>
      </c>
      <c r="AJ392">
        <v>1.1063315367396185</v>
      </c>
      <c r="AK392">
        <v>1.2718360586799393</v>
      </c>
      <c r="AL392">
        <v>1.1350050437802437</v>
      </c>
    </row>
    <row r="393" spans="1:38" x14ac:dyDescent="0.4">
      <c r="A393" s="10">
        <v>42983</v>
      </c>
      <c r="B393" s="11">
        <v>1.332967761915768</v>
      </c>
      <c r="C393" s="11">
        <v>1.3923065928108771</v>
      </c>
      <c r="D393" s="11">
        <v>1.241505662261658</v>
      </c>
      <c r="E393" s="11">
        <v>1.287279557705888</v>
      </c>
      <c r="P393" s="1">
        <f>A392</f>
        <v>42982</v>
      </c>
      <c r="Q393" s="14">
        <f>[1]!i_dq_close(Q$2,$P393)</f>
        <v>2252.4301999999998</v>
      </c>
      <c r="R393" s="14">
        <f>[1]!i_dq_close(R$2,$P393)</f>
        <v>3775.6082000000001</v>
      </c>
      <c r="S393" s="14">
        <f>[1]!i_dq_close(S$2,$P393)</f>
        <v>3986.4450999999999</v>
      </c>
      <c r="T393" s="14">
        <f>[1]!i_dq_close(T$2,$P393)</f>
        <v>5682.7317999999996</v>
      </c>
      <c r="U393" s="14">
        <f>[1]!i_dq_close(U$2,$P393)</f>
        <v>9779.4665000000005</v>
      </c>
      <c r="V393" s="14">
        <f>[1]!i_dq_close(V$2,$P393)</f>
        <v>9609.2317999999996</v>
      </c>
      <c r="W393" s="14">
        <f>[1]!i_dq_close(W$2,$P393)</f>
        <v>6055.1953000000003</v>
      </c>
      <c r="X393" s="14">
        <f>[1]!i_dq_close(X$2,$P393)</f>
        <v>6096.2763000000004</v>
      </c>
      <c r="Y393" s="14">
        <f>[1]!i_dq_close(Y$2,$P393)</f>
        <v>6493.7898999999998</v>
      </c>
      <c r="Z393" s="14">
        <f>[1]!i_dq_close(Z$2,$P393)</f>
        <v>2541.4564</v>
      </c>
      <c r="AB393" s="1">
        <v>42982</v>
      </c>
      <c r="AC393">
        <v>1.3371959358194925</v>
      </c>
      <c r="AD393">
        <v>1.4798709415491835</v>
      </c>
      <c r="AE393">
        <v>1.1798043306118589</v>
      </c>
      <c r="AF393">
        <v>1.1749534741538352</v>
      </c>
      <c r="AG393">
        <v>1.4581577229729403</v>
      </c>
      <c r="AH393">
        <v>1.1867950309304003</v>
      </c>
      <c r="AI393">
        <v>1.2977840906704099</v>
      </c>
      <c r="AJ393">
        <v>1.1261432787228476</v>
      </c>
      <c r="AK393">
        <v>1.2898132284457866</v>
      </c>
      <c r="AL393">
        <v>1.1295367299957346</v>
      </c>
    </row>
    <row r="394" spans="1:38" x14ac:dyDescent="0.4">
      <c r="A394" s="10">
        <v>42984</v>
      </c>
      <c r="B394" s="11">
        <v>1.3349806898230521</v>
      </c>
      <c r="C394" s="11">
        <v>1.3941886657312239</v>
      </c>
      <c r="D394" s="11">
        <v>1.243528965568391</v>
      </c>
      <c r="E394" s="11">
        <v>1.290038850293499</v>
      </c>
      <c r="P394" s="1">
        <f>A393</f>
        <v>42983</v>
      </c>
      <c r="Q394" s="14">
        <f>[1]!i_dq_close(Q$2,$P394)</f>
        <v>2241.6668</v>
      </c>
      <c r="R394" s="14">
        <f>[1]!i_dq_close(R$2,$P394)</f>
        <v>3758.64</v>
      </c>
      <c r="S394" s="14">
        <f>[1]!i_dq_close(S$2,$P394)</f>
        <v>3992.3611000000001</v>
      </c>
      <c r="T394" s="14">
        <f>[1]!i_dq_close(T$2,$P394)</f>
        <v>5685.2115999999996</v>
      </c>
      <c r="U394" s="14">
        <f>[1]!i_dq_close(U$2,$P394)</f>
        <v>9812.4696000000004</v>
      </c>
      <c r="V394" s="14">
        <f>[1]!i_dq_close(V$2,$P394)</f>
        <v>9653.2554</v>
      </c>
      <c r="W394" s="14">
        <f>[1]!i_dq_close(W$2,$P394)</f>
        <v>6106.1305000000002</v>
      </c>
      <c r="X394" s="14">
        <f>[1]!i_dq_close(X$2,$P394)</f>
        <v>6094.2250000000004</v>
      </c>
      <c r="Y394" s="14">
        <f>[1]!i_dq_close(Y$2,$P394)</f>
        <v>6445.3514999999998</v>
      </c>
      <c r="Z394" s="14">
        <f>[1]!i_dq_close(Z$2,$P394)</f>
        <v>2527.7159999999999</v>
      </c>
      <c r="AB394" s="1">
        <v>42983</v>
      </c>
      <c r="AC394">
        <v>1.3308060486942004</v>
      </c>
      <c r="AD394">
        <v>1.473220159799532</v>
      </c>
      <c r="AE394">
        <v>1.1815551944127676</v>
      </c>
      <c r="AF394">
        <v>1.175466194044154</v>
      </c>
      <c r="AG394">
        <v>1.463078617701405</v>
      </c>
      <c r="AH394">
        <v>1.1922321970651237</v>
      </c>
      <c r="AI394">
        <v>1.3087008140690946</v>
      </c>
      <c r="AJ394">
        <v>1.1257643494233922</v>
      </c>
      <c r="AK394">
        <v>1.2801922690296608</v>
      </c>
      <c r="AL394">
        <v>1.1234298825657203</v>
      </c>
    </row>
    <row r="395" spans="1:38" x14ac:dyDescent="0.4">
      <c r="A395" s="10">
        <v>42985</v>
      </c>
      <c r="B395" s="11">
        <v>1.3278875288626399</v>
      </c>
      <c r="C395" s="11">
        <v>1.3858047054572451</v>
      </c>
      <c r="D395" s="11">
        <v>1.2369576491159771</v>
      </c>
      <c r="E395" s="11">
        <v>1.2825535191072319</v>
      </c>
      <c r="P395" s="1">
        <f>A394</f>
        <v>42984</v>
      </c>
      <c r="Q395" s="14">
        <f>[1]!i_dq_close(Q$2,$P395)</f>
        <v>2254.7586999999999</v>
      </c>
      <c r="R395" s="14">
        <f>[1]!i_dq_close(R$2,$P395)</f>
        <v>3783.2426</v>
      </c>
      <c r="S395" s="14">
        <f>[1]!i_dq_close(S$2,$P395)</f>
        <v>4019.0428999999999</v>
      </c>
      <c r="T395" s="14">
        <f>[1]!i_dq_close(T$2,$P395)</f>
        <v>5692.0789999999997</v>
      </c>
      <c r="U395" s="14">
        <f>[1]!i_dq_close(U$2,$P395)</f>
        <v>9772.5825999999997</v>
      </c>
      <c r="V395" s="14">
        <f>[1]!i_dq_close(V$2,$P395)</f>
        <v>9639.9341999999997</v>
      </c>
      <c r="W395" s="14">
        <f>[1]!i_dq_close(W$2,$P395)</f>
        <v>6069.1246000000001</v>
      </c>
      <c r="X395" s="14">
        <f>[1]!i_dq_close(X$2,$P395)</f>
        <v>6143.1473999999998</v>
      </c>
      <c r="Y395" s="14">
        <f>[1]!i_dq_close(Y$2,$P395)</f>
        <v>6492.8481000000002</v>
      </c>
      <c r="Z395" s="14">
        <f>[1]!i_dq_close(Z$2,$P395)</f>
        <v>2532.4492</v>
      </c>
      <c r="AB395" s="1">
        <v>42984</v>
      </c>
      <c r="AC395">
        <v>1.3385782919682228</v>
      </c>
      <c r="AD395">
        <v>1.4828632877137466</v>
      </c>
      <c r="AE395">
        <v>1.1894517795654187</v>
      </c>
      <c r="AF395">
        <v>1.1768860878157383</v>
      </c>
      <c r="AG395">
        <v>1.4571313058417834</v>
      </c>
      <c r="AH395">
        <v>1.1905869527526669</v>
      </c>
      <c r="AI395">
        <v>1.3007694979179971</v>
      </c>
      <c r="AJ395">
        <v>1.1348016090927071</v>
      </c>
      <c r="AK395">
        <v>1.2896261657108883</v>
      </c>
      <c r="AL395">
        <v>1.1255335280386136</v>
      </c>
    </row>
    <row r="396" spans="1:38" x14ac:dyDescent="0.4">
      <c r="A396" s="10">
        <v>42986</v>
      </c>
      <c r="B396" s="11">
        <v>1.3277747217361029</v>
      </c>
      <c r="C396" s="11">
        <v>1.3858752463961119</v>
      </c>
      <c r="D396" s="11">
        <v>1.2370381004496589</v>
      </c>
      <c r="E396" s="11">
        <v>1.2821881842471781</v>
      </c>
      <c r="P396" s="1">
        <f>A395</f>
        <v>42985</v>
      </c>
      <c r="Q396" s="14">
        <f>[1]!i_dq_close(Q$2,$P396)</f>
        <v>2222.9286999999999</v>
      </c>
      <c r="R396" s="14">
        <f>[1]!i_dq_close(R$2,$P396)</f>
        <v>3747.2853</v>
      </c>
      <c r="S396" s="14">
        <f>[1]!i_dq_close(S$2,$P396)</f>
        <v>3996.3535000000002</v>
      </c>
      <c r="T396" s="14">
        <f>[1]!i_dq_close(T$2,$P396)</f>
        <v>5675.5123000000003</v>
      </c>
      <c r="U396" s="14">
        <f>[1]!i_dq_close(U$2,$P396)</f>
        <v>9692.2232999999997</v>
      </c>
      <c r="V396" s="14">
        <f>[1]!i_dq_close(V$2,$P396)</f>
        <v>9644.9150000000009</v>
      </c>
      <c r="W396" s="14">
        <f>[1]!i_dq_close(W$2,$P396)</f>
        <v>6056.8504000000003</v>
      </c>
      <c r="X396" s="14">
        <f>[1]!i_dq_close(X$2,$P396)</f>
        <v>6091.9322000000002</v>
      </c>
      <c r="Y396" s="14">
        <f>[1]!i_dq_close(Y$2,$P396)</f>
        <v>6467.8262999999997</v>
      </c>
      <c r="Z396" s="14">
        <f>[1]!i_dq_close(Z$2,$P396)</f>
        <v>2520.9283999999998</v>
      </c>
      <c r="AB396" s="1">
        <v>42985</v>
      </c>
      <c r="AC396">
        <v>1.3196818366475942</v>
      </c>
      <c r="AD396">
        <v>1.4687696210545402</v>
      </c>
      <c r="AE396">
        <v>1.1827367611197905</v>
      </c>
      <c r="AF396">
        <v>1.1734607806913966</v>
      </c>
      <c r="AG396">
        <v>1.4451494115423655</v>
      </c>
      <c r="AH396">
        <v>1.1912021100111336</v>
      </c>
      <c r="AI396">
        <v>1.2981388211691056</v>
      </c>
      <c r="AJ396">
        <v>1.1253408086942005</v>
      </c>
      <c r="AK396">
        <v>1.2846562715294449</v>
      </c>
      <c r="AL396">
        <v>1.1204131699797719</v>
      </c>
    </row>
    <row r="397" spans="1:38" x14ac:dyDescent="0.4">
      <c r="A397" s="10">
        <v>42989</v>
      </c>
      <c r="B397" s="11">
        <v>1.336129869486389</v>
      </c>
      <c r="C397" s="11">
        <v>1.3952411468964621</v>
      </c>
      <c r="D397" s="11">
        <v>1.2474187167467561</v>
      </c>
      <c r="E397" s="11">
        <v>1.2964450712715281</v>
      </c>
      <c r="P397" s="1">
        <f>A396</f>
        <v>42986</v>
      </c>
      <c r="Q397" s="14">
        <f>[1]!i_dq_close(Q$2,$P397)</f>
        <v>2235.9724999999999</v>
      </c>
      <c r="R397" s="14">
        <f>[1]!i_dq_close(R$2,$P397)</f>
        <v>3771.9931999999999</v>
      </c>
      <c r="S397" s="14">
        <f>[1]!i_dq_close(S$2,$P397)</f>
        <v>3996.8254999999999</v>
      </c>
      <c r="T397" s="14">
        <f>[1]!i_dq_close(T$2,$P397)</f>
        <v>5676.6495000000004</v>
      </c>
      <c r="U397" s="14">
        <f>[1]!i_dq_close(U$2,$P397)</f>
        <v>9661.0584999999992</v>
      </c>
      <c r="V397" s="14">
        <f>[1]!i_dq_close(V$2,$P397)</f>
        <v>9692.0498000000007</v>
      </c>
      <c r="W397" s="14">
        <f>[1]!i_dq_close(W$2,$P397)</f>
        <v>6051.2325000000001</v>
      </c>
      <c r="X397" s="14">
        <f>[1]!i_dq_close(X$2,$P397)</f>
        <v>6078.8972000000003</v>
      </c>
      <c r="Y397" s="14">
        <f>[1]!i_dq_close(Y$2,$P397)</f>
        <v>6462.2737999999999</v>
      </c>
      <c r="Z397" s="14">
        <f>[1]!i_dq_close(Z$2,$P397)</f>
        <v>2527.5976999999998</v>
      </c>
      <c r="AB397" s="1">
        <v>42986</v>
      </c>
      <c r="AC397">
        <v>1.3274255244864637</v>
      </c>
      <c r="AD397">
        <v>1.4784540218980131</v>
      </c>
      <c r="AE397">
        <v>1.1828764514027568</v>
      </c>
      <c r="AF397">
        <v>1.1736959065318959</v>
      </c>
      <c r="AG397">
        <v>1.4405026147252888</v>
      </c>
      <c r="AH397">
        <v>1.1970235271221141</v>
      </c>
      <c r="AI397">
        <v>1.2969347607083344</v>
      </c>
      <c r="AJ397">
        <v>1.1229328998469339</v>
      </c>
      <c r="AK397">
        <v>1.2835534197185254</v>
      </c>
      <c r="AL397">
        <v>1.1233773047622377</v>
      </c>
    </row>
    <row r="398" spans="1:38" x14ac:dyDescent="0.4">
      <c r="A398" s="10">
        <v>42990</v>
      </c>
      <c r="B398" s="11">
        <v>1.3366841595221379</v>
      </c>
      <c r="C398" s="11">
        <v>1.3943035233881509</v>
      </c>
      <c r="D398" s="11">
        <v>1.2466436949905479</v>
      </c>
      <c r="E398" s="11">
        <v>1.2920259994305849</v>
      </c>
      <c r="P398" s="1">
        <f>A397</f>
        <v>42989</v>
      </c>
      <c r="Q398" s="14">
        <f>[1]!i_dq_close(Q$2,$P398)</f>
        <v>2252.0491000000002</v>
      </c>
      <c r="R398" s="14">
        <f>[1]!i_dq_close(R$2,$P398)</f>
        <v>3834.3530000000001</v>
      </c>
      <c r="S398" s="14">
        <f>[1]!i_dq_close(S$2,$P398)</f>
        <v>4040.4418000000001</v>
      </c>
      <c r="T398" s="14">
        <f>[1]!i_dq_close(T$2,$P398)</f>
        <v>5715.7892000000002</v>
      </c>
      <c r="U398" s="14">
        <f>[1]!i_dq_close(U$2,$P398)</f>
        <v>9703.8205999999991</v>
      </c>
      <c r="V398" s="14">
        <f>[1]!i_dq_close(V$2,$P398)</f>
        <v>9660.2993999999999</v>
      </c>
      <c r="W398" s="14">
        <f>[1]!i_dq_close(W$2,$P398)</f>
        <v>6024.1234999999997</v>
      </c>
      <c r="X398" s="14">
        <f>[1]!i_dq_close(X$2,$P398)</f>
        <v>6110.2496000000001</v>
      </c>
      <c r="Y398" s="14">
        <f>[1]!i_dq_close(Y$2,$P398)</f>
        <v>6490.0128999999997</v>
      </c>
      <c r="Z398" s="14">
        <f>[1]!i_dq_close(Z$2,$P398)</f>
        <v>2531.3465999999999</v>
      </c>
      <c r="AB398" s="1">
        <v>42989</v>
      </c>
      <c r="AC398">
        <v>1.336969688910203</v>
      </c>
      <c r="AD398">
        <v>1.5028962974341291</v>
      </c>
      <c r="AE398">
        <v>1.1957848693878097</v>
      </c>
      <c r="AF398">
        <v>1.1817883747515536</v>
      </c>
      <c r="AG398">
        <v>1.4468786155393967</v>
      </c>
      <c r="AH398">
        <v>1.1931021713119594</v>
      </c>
      <c r="AI398">
        <v>1.2911246047726563</v>
      </c>
      <c r="AJ398">
        <v>1.1287245163673056</v>
      </c>
      <c r="AK398">
        <v>1.2890630310050226</v>
      </c>
      <c r="AL398">
        <v>1.1250434833545917</v>
      </c>
    </row>
    <row r="399" spans="1:38" x14ac:dyDescent="0.4">
      <c r="A399" s="10">
        <v>42991</v>
      </c>
      <c r="B399" s="11">
        <v>1.3440014535671021</v>
      </c>
      <c r="C399" s="11">
        <v>1.4004865488364691</v>
      </c>
      <c r="D399" s="11">
        <v>1.2512930873996551</v>
      </c>
      <c r="E399" s="11">
        <v>1.299271434117182</v>
      </c>
      <c r="P399" s="1">
        <f>A398</f>
        <v>42990</v>
      </c>
      <c r="Q399" s="14">
        <f>[1]!i_dq_close(Q$2,$P399)</f>
        <v>2259.1498000000001</v>
      </c>
      <c r="R399" s="14">
        <f>[1]!i_dq_close(R$2,$P399)</f>
        <v>3835.0569999999998</v>
      </c>
      <c r="S399" s="14">
        <f>[1]!i_dq_close(S$2,$P399)</f>
        <v>4024.8980999999999</v>
      </c>
      <c r="T399" s="14">
        <f>[1]!i_dq_close(T$2,$P399)</f>
        <v>5717.3903</v>
      </c>
      <c r="U399" s="14">
        <f>[1]!i_dq_close(U$2,$P399)</f>
        <v>9753.9264999999996</v>
      </c>
      <c r="V399" s="14">
        <f>[1]!i_dq_close(V$2,$P399)</f>
        <v>9635.8096999999998</v>
      </c>
      <c r="W399" s="14">
        <f>[1]!i_dq_close(W$2,$P399)</f>
        <v>6056.0625</v>
      </c>
      <c r="X399" s="14">
        <f>[1]!i_dq_close(X$2,$P399)</f>
        <v>6117.0037000000002</v>
      </c>
      <c r="Y399" s="14">
        <f>[1]!i_dq_close(Y$2,$P399)</f>
        <v>6450.7070000000003</v>
      </c>
      <c r="Z399" s="14">
        <f>[1]!i_dq_close(Z$2,$P399)</f>
        <v>2525.1608000000001</v>
      </c>
      <c r="AB399" s="1">
        <v>42990</v>
      </c>
      <c r="AC399">
        <v>1.3411851479204193</v>
      </c>
      <c r="AD399">
        <v>1.503172234207137</v>
      </c>
      <c r="AE399">
        <v>1.1911846493637759</v>
      </c>
      <c r="AF399">
        <v>1.1821194158905122</v>
      </c>
      <c r="AG399">
        <v>1.4543496064213135</v>
      </c>
      <c r="AH399">
        <v>1.1900775534367849</v>
      </c>
      <c r="AI399">
        <v>1.2979699539345444</v>
      </c>
      <c r="AJ399">
        <v>1.1299721770612314</v>
      </c>
      <c r="AK399">
        <v>1.2812559921946098</v>
      </c>
      <c r="AL399">
        <v>1.1222942375660718</v>
      </c>
    </row>
    <row r="400" spans="1:38" x14ac:dyDescent="0.4">
      <c r="A400" s="10">
        <v>42992</v>
      </c>
      <c r="B400" s="11">
        <v>1.3421397954621881</v>
      </c>
      <c r="C400" s="11">
        <v>1.3971773527767859</v>
      </c>
      <c r="D400" s="11">
        <v>1.2467439857157361</v>
      </c>
      <c r="E400" s="11">
        <v>1.2935125227924671</v>
      </c>
      <c r="P400" s="1">
        <f>A399</f>
        <v>42991</v>
      </c>
      <c r="Q400" s="14">
        <f>[1]!i_dq_close(Q$2,$P400)</f>
        <v>2264.6835000000001</v>
      </c>
      <c r="R400" s="14">
        <f>[1]!i_dq_close(R$2,$P400)</f>
        <v>3874.5998</v>
      </c>
      <c r="S400" s="14">
        <f>[1]!i_dq_close(S$2,$P400)</f>
        <v>4043.5569</v>
      </c>
      <c r="T400" s="14">
        <f>[1]!i_dq_close(T$2,$P400)</f>
        <v>5737.6076000000003</v>
      </c>
      <c r="U400" s="14">
        <f>[1]!i_dq_close(U$2,$P400)</f>
        <v>9876.0429999999997</v>
      </c>
      <c r="V400" s="14">
        <f>[1]!i_dq_close(V$2,$P400)</f>
        <v>9665.2630000000008</v>
      </c>
      <c r="W400" s="14">
        <f>[1]!i_dq_close(W$2,$P400)</f>
        <v>6045.7269999999999</v>
      </c>
      <c r="X400" s="14">
        <f>[1]!i_dq_close(X$2,$P400)</f>
        <v>6097.0276999999996</v>
      </c>
      <c r="Y400" s="14">
        <f>[1]!i_dq_close(Y$2,$P400)</f>
        <v>6447.7115999999996</v>
      </c>
      <c r="Z400" s="14">
        <f>[1]!i_dq_close(Z$2,$P400)</f>
        <v>2522.7784000000001</v>
      </c>
      <c r="AB400" s="1">
        <v>42991</v>
      </c>
      <c r="AC400">
        <v>1.3444703290328215</v>
      </c>
      <c r="AD400">
        <v>1.5186712578260313</v>
      </c>
      <c r="AE400">
        <v>1.1967067956599886</v>
      </c>
      <c r="AF400">
        <v>1.1862995158334675</v>
      </c>
      <c r="AG400">
        <v>1.4725576669098304</v>
      </c>
      <c r="AH400">
        <v>1.1937152042721517</v>
      </c>
      <c r="AI400">
        <v>1.2957547904584588</v>
      </c>
      <c r="AJ400">
        <v>1.1262820821526776</v>
      </c>
      <c r="AK400">
        <v>1.2806610381532899</v>
      </c>
      <c r="AL400">
        <v>1.1212353926039698</v>
      </c>
    </row>
    <row r="401" spans="1:38" x14ac:dyDescent="0.4">
      <c r="A401" s="10">
        <v>42993</v>
      </c>
      <c r="B401" s="11">
        <v>1.3376320231602179</v>
      </c>
      <c r="C401" s="11">
        <v>1.39400509574344</v>
      </c>
      <c r="D401" s="11">
        <v>1.2422151638352681</v>
      </c>
      <c r="E401" s="11">
        <v>1.2886851709131251</v>
      </c>
      <c r="P401" s="1">
        <f>A400</f>
        <v>42992</v>
      </c>
      <c r="Q401" s="14">
        <f>[1]!i_dq_close(Q$2,$P401)</f>
        <v>2234.6644000000001</v>
      </c>
      <c r="R401" s="14">
        <f>[1]!i_dq_close(R$2,$P401)</f>
        <v>3839.4980999999998</v>
      </c>
      <c r="S401" s="14">
        <f>[1]!i_dq_close(S$2,$P401)</f>
        <v>4041.7251999999999</v>
      </c>
      <c r="T401" s="14">
        <f>[1]!i_dq_close(T$2,$P401)</f>
        <v>5735.9105</v>
      </c>
      <c r="U401" s="14">
        <f>[1]!i_dq_close(U$2,$P401)</f>
        <v>9883.1869000000006</v>
      </c>
      <c r="V401" s="14">
        <f>[1]!i_dq_close(V$2,$P401)</f>
        <v>9672.1707999999999</v>
      </c>
      <c r="W401" s="14">
        <f>[1]!i_dq_close(W$2,$P401)</f>
        <v>6037.9144999999999</v>
      </c>
      <c r="X401" s="14">
        <f>[1]!i_dq_close(X$2,$P401)</f>
        <v>6067.3207000000002</v>
      </c>
      <c r="Y401" s="14">
        <f>[1]!i_dq_close(Y$2,$P401)</f>
        <v>6459.1347999999998</v>
      </c>
      <c r="Z401" s="14">
        <f>[1]!i_dq_close(Z$2,$P401)</f>
        <v>2518.3784999999998</v>
      </c>
      <c r="AB401" s="1">
        <v>42992</v>
      </c>
      <c r="AC401">
        <v>1.3266489472572802</v>
      </c>
      <c r="AD401">
        <v>1.504912948415384</v>
      </c>
      <c r="AE401">
        <v>1.1961646967377229</v>
      </c>
      <c r="AF401">
        <v>1.1859486258722367</v>
      </c>
      <c r="AG401">
        <v>1.473622851084974</v>
      </c>
      <c r="AH401">
        <v>1.1945683570407903</v>
      </c>
      <c r="AI401">
        <v>1.2940803707732074</v>
      </c>
      <c r="AJ401">
        <v>1.1207944144790487</v>
      </c>
      <c r="AK401">
        <v>1.2829299434763866</v>
      </c>
      <c r="AL401">
        <v>1.1192798805368305</v>
      </c>
    </row>
    <row r="402" spans="1:38" x14ac:dyDescent="0.4">
      <c r="A402" s="10">
        <v>42996</v>
      </c>
      <c r="B402" s="11">
        <v>1.347120872522855</v>
      </c>
      <c r="C402" s="11">
        <v>1.4034404540107079</v>
      </c>
      <c r="D402" s="11">
        <v>1.2505825669272259</v>
      </c>
      <c r="E402" s="11">
        <v>1.2983531459535971</v>
      </c>
      <c r="P402" s="1">
        <f>A401</f>
        <v>42993</v>
      </c>
      <c r="Q402" s="14">
        <f>[1]!i_dq_close(Q$2,$P402)</f>
        <v>2183.3849</v>
      </c>
      <c r="R402" s="14">
        <f>[1]!i_dq_close(R$2,$P402)</f>
        <v>3768.3503999999998</v>
      </c>
      <c r="S402" s="14">
        <f>[1]!i_dq_close(S$2,$P402)</f>
        <v>4038.9068000000002</v>
      </c>
      <c r="T402" s="14">
        <f>[1]!i_dq_close(T$2,$P402)</f>
        <v>5753.8595999999998</v>
      </c>
      <c r="U402" s="14">
        <f>[1]!i_dq_close(U$2,$P402)</f>
        <v>9916.6825000000008</v>
      </c>
      <c r="V402" s="14">
        <f>[1]!i_dq_close(V$2,$P402)</f>
        <v>9666.2293000000009</v>
      </c>
      <c r="W402" s="14">
        <f>[1]!i_dq_close(W$2,$P402)</f>
        <v>6052.9254000000001</v>
      </c>
      <c r="X402" s="14">
        <f>[1]!i_dq_close(X$2,$P402)</f>
        <v>6022.9560000000001</v>
      </c>
      <c r="Y402" s="14">
        <f>[1]!i_dq_close(Y$2,$P402)</f>
        <v>6457.4697999999999</v>
      </c>
      <c r="Z402" s="14">
        <f>[1]!i_dq_close(Z$2,$P402)</f>
        <v>2511.4740999999999</v>
      </c>
      <c r="AB402" s="1">
        <v>42993</v>
      </c>
      <c r="AC402">
        <v>1.2962059444104634</v>
      </c>
      <c r="AD402">
        <v>1.4770262058799539</v>
      </c>
      <c r="AE402">
        <v>1.1953305800141798</v>
      </c>
      <c r="AF402">
        <v>1.1896597560372983</v>
      </c>
      <c r="AG402">
        <v>1.4786171795409908</v>
      </c>
      <c r="AH402">
        <v>1.1938345478432359</v>
      </c>
      <c r="AI402">
        <v>1.2972975927192352</v>
      </c>
      <c r="AJ402">
        <v>1.1125990824010792</v>
      </c>
      <c r="AK402">
        <v>1.2825992369000372</v>
      </c>
      <c r="AL402">
        <v>1.1162112568143923</v>
      </c>
    </row>
    <row r="403" spans="1:38" x14ac:dyDescent="0.4">
      <c r="A403" s="10">
        <v>42997</v>
      </c>
      <c r="B403" s="11">
        <v>1.3429923757391691</v>
      </c>
      <c r="C403" s="11">
        <v>1.396872592587344</v>
      </c>
      <c r="D403" s="11">
        <v>1.2445474133463159</v>
      </c>
      <c r="E403" s="11">
        <v>1.290653325250787</v>
      </c>
      <c r="P403" s="1">
        <f>A402</f>
        <v>42996</v>
      </c>
      <c r="Q403" s="14">
        <f>[1]!i_dq_close(Q$2,$P403)</f>
        <v>2191.8777</v>
      </c>
      <c r="R403" s="14">
        <f>[1]!i_dq_close(R$2,$P403)</f>
        <v>3785.3622999999998</v>
      </c>
      <c r="S403" s="14">
        <f>[1]!i_dq_close(S$2,$P403)</f>
        <v>4058.4187000000002</v>
      </c>
      <c r="T403" s="14">
        <f>[1]!i_dq_close(T$2,$P403)</f>
        <v>5798.5968000000003</v>
      </c>
      <c r="U403" s="14">
        <f>[1]!i_dq_close(U$2,$P403)</f>
        <v>10063.797</v>
      </c>
      <c r="V403" s="14">
        <f>[1]!i_dq_close(V$2,$P403)</f>
        <v>9723.8809999999994</v>
      </c>
      <c r="W403" s="14">
        <f>[1]!i_dq_close(W$2,$P403)</f>
        <v>6049.9697999999999</v>
      </c>
      <c r="X403" s="14">
        <f>[1]!i_dq_close(X$2,$P403)</f>
        <v>6088.4822000000004</v>
      </c>
      <c r="Y403" s="14">
        <f>[1]!i_dq_close(Y$2,$P403)</f>
        <v>6511.7672000000002</v>
      </c>
      <c r="Z403" s="14">
        <f>[1]!i_dq_close(Z$2,$P403)</f>
        <v>2514.3791999999999</v>
      </c>
      <c r="AB403" s="1">
        <v>42996</v>
      </c>
      <c r="AC403">
        <v>1.3012478487694656</v>
      </c>
      <c r="AD403">
        <v>1.4836941160912254</v>
      </c>
      <c r="AE403">
        <v>1.2011052046586945</v>
      </c>
      <c r="AF403">
        <v>1.1989095553264211</v>
      </c>
      <c r="AG403">
        <v>1.5005525422048236</v>
      </c>
      <c r="AH403">
        <v>1.2009548621939303</v>
      </c>
      <c r="AI403">
        <v>1.2966641316220537</v>
      </c>
      <c r="AJ403">
        <v>1.1247035025551082</v>
      </c>
      <c r="AK403">
        <v>1.2933839259442903</v>
      </c>
      <c r="AL403">
        <v>1.1175024130011797</v>
      </c>
    </row>
    <row r="404" spans="1:38" x14ac:dyDescent="0.4">
      <c r="A404" s="10">
        <v>42998</v>
      </c>
      <c r="B404" s="11">
        <v>1.350246634784394</v>
      </c>
      <c r="C404" s="11">
        <v>1.4036210863401981</v>
      </c>
      <c r="D404" s="11">
        <v>1.250895446089374</v>
      </c>
      <c r="E404" s="11">
        <v>1.298379867694994</v>
      </c>
      <c r="P404" s="1">
        <f>A403</f>
        <v>42997</v>
      </c>
      <c r="Q404" s="14">
        <f>[1]!i_dq_close(Q$2,$P404)</f>
        <v>2187.8361</v>
      </c>
      <c r="R404" s="14">
        <f>[1]!i_dq_close(R$2,$P404)</f>
        <v>3758.4780999999998</v>
      </c>
      <c r="S404" s="14">
        <f>[1]!i_dq_close(S$2,$P404)</f>
        <v>4040.3058000000001</v>
      </c>
      <c r="T404" s="14">
        <f>[1]!i_dq_close(T$2,$P404)</f>
        <v>5764.1077999999998</v>
      </c>
      <c r="U404" s="14">
        <f>[1]!i_dq_close(U$2,$P404)</f>
        <v>10033.778</v>
      </c>
      <c r="V404" s="14">
        <f>[1]!i_dq_close(V$2,$P404)</f>
        <v>9688.2376000000004</v>
      </c>
      <c r="W404" s="14">
        <f>[1]!i_dq_close(W$2,$P404)</f>
        <v>6059.8806000000004</v>
      </c>
      <c r="X404" s="14">
        <f>[1]!i_dq_close(X$2,$P404)</f>
        <v>6035.1522999999997</v>
      </c>
      <c r="Y404" s="14">
        <f>[1]!i_dq_close(Y$2,$P404)</f>
        <v>6485.3116</v>
      </c>
      <c r="Z404" s="14">
        <f>[1]!i_dq_close(Z$2,$P404)</f>
        <v>2506.48</v>
      </c>
      <c r="AB404" s="1">
        <v>42997</v>
      </c>
      <c r="AC404">
        <v>1.2988484798148989</v>
      </c>
      <c r="AD404">
        <v>1.4731567021808529</v>
      </c>
      <c r="AE404">
        <v>1.1957446196452601</v>
      </c>
      <c r="AF404">
        <v>1.1917786591665684</v>
      </c>
      <c r="AG404">
        <v>1.4960765887685163</v>
      </c>
      <c r="AH404">
        <v>1.1965526986405999</v>
      </c>
      <c r="AI404">
        <v>1.2987882709649776</v>
      </c>
      <c r="AJ404">
        <v>1.1148520612023003</v>
      </c>
      <c r="AK404">
        <v>1.2881292467243066</v>
      </c>
      <c r="AL404">
        <v>1.113991655729254</v>
      </c>
    </row>
    <row r="405" spans="1:38" x14ac:dyDescent="0.4">
      <c r="A405" s="10">
        <v>42999</v>
      </c>
      <c r="B405" s="11">
        <v>1.3421413842060499</v>
      </c>
      <c r="C405" s="11">
        <v>1.3953695320525661</v>
      </c>
      <c r="D405" s="11">
        <v>1.2434846648642219</v>
      </c>
      <c r="E405" s="11">
        <v>1.2882752486648259</v>
      </c>
      <c r="P405" s="1">
        <f>A404</f>
        <v>42998</v>
      </c>
      <c r="Q405" s="14">
        <f>[1]!i_dq_close(Q$2,$P405)</f>
        <v>2205.2076999999999</v>
      </c>
      <c r="R405" s="14">
        <f>[1]!i_dq_close(R$2,$P405)</f>
        <v>3811.6876999999999</v>
      </c>
      <c r="S405" s="14">
        <f>[1]!i_dq_close(S$2,$P405)</f>
        <v>4056.2512000000002</v>
      </c>
      <c r="T405" s="14">
        <f>[1]!i_dq_close(T$2,$P405)</f>
        <v>5819.1220000000003</v>
      </c>
      <c r="U405" s="14">
        <f>[1]!i_dq_close(U$2,$P405)</f>
        <v>10105.953799999999</v>
      </c>
      <c r="V405" s="14">
        <f>[1]!i_dq_close(V$2,$P405)</f>
        <v>9717.3543000000009</v>
      </c>
      <c r="W405" s="14">
        <f>[1]!i_dq_close(W$2,$P405)</f>
        <v>6047.0499</v>
      </c>
      <c r="X405" s="14">
        <f>[1]!i_dq_close(X$2,$P405)</f>
        <v>6097.3936999999996</v>
      </c>
      <c r="Y405" s="14">
        <f>[1]!i_dq_close(Y$2,$P405)</f>
        <v>6542.9866000000002</v>
      </c>
      <c r="Z405" s="14">
        <f>[1]!i_dq_close(Z$2,$P405)</f>
        <v>2515.6984000000002</v>
      </c>
      <c r="AB405" s="1">
        <v>42998</v>
      </c>
      <c r="AC405">
        <v>1.3091614444158362</v>
      </c>
      <c r="AD405">
        <v>1.4940125051880229</v>
      </c>
      <c r="AE405">
        <v>1.2004637243868099</v>
      </c>
      <c r="AF405">
        <v>1.2031533162316432</v>
      </c>
      <c r="AG405">
        <v>1.5068382903584496</v>
      </c>
      <c r="AH405">
        <v>1.2001487774527575</v>
      </c>
      <c r="AI405">
        <v>1.2960383219530662</v>
      </c>
      <c r="AJ405">
        <v>1.1263496920213465</v>
      </c>
      <c r="AK405">
        <v>1.2995848033555137</v>
      </c>
      <c r="AL405">
        <v>1.1180887243989319</v>
      </c>
    </row>
    <row r="406" spans="1:38" x14ac:dyDescent="0.4">
      <c r="A406" s="10">
        <v>43000</v>
      </c>
      <c r="B406" s="11">
        <v>1.340558504997454</v>
      </c>
      <c r="C406" s="11">
        <v>1.3945120469118479</v>
      </c>
      <c r="D406" s="11">
        <v>1.242549679185688</v>
      </c>
      <c r="E406" s="11">
        <v>1.286537974716206</v>
      </c>
      <c r="P406" s="1">
        <f>A405</f>
        <v>42999</v>
      </c>
      <c r="Q406" s="14">
        <f>[1]!i_dq_close(Q$2,$P406)</f>
        <v>2178.4740999999999</v>
      </c>
      <c r="R406" s="14">
        <f>[1]!i_dq_close(R$2,$P406)</f>
        <v>3748.6205</v>
      </c>
      <c r="S406" s="14">
        <f>[1]!i_dq_close(S$2,$P406)</f>
        <v>4016.9719</v>
      </c>
      <c r="T406" s="14">
        <f>[1]!i_dq_close(T$2,$P406)</f>
        <v>5800.3802999999998</v>
      </c>
      <c r="U406" s="14">
        <f>[1]!i_dq_close(U$2,$P406)</f>
        <v>10065.806500000001</v>
      </c>
      <c r="V406" s="14">
        <f>[1]!i_dq_close(V$2,$P406)</f>
        <v>9662.3932000000004</v>
      </c>
      <c r="W406" s="14">
        <f>[1]!i_dq_close(W$2,$P406)</f>
        <v>6051.9151000000002</v>
      </c>
      <c r="X406" s="14">
        <f>[1]!i_dq_close(X$2,$P406)</f>
        <v>6052.9868999999999</v>
      </c>
      <c r="Y406" s="14">
        <f>[1]!i_dq_close(Y$2,$P406)</f>
        <v>6526.5199000000002</v>
      </c>
      <c r="Z406" s="14">
        <f>[1]!i_dq_close(Z$2,$P406)</f>
        <v>2499.8582999999999</v>
      </c>
      <c r="AB406" s="1">
        <v>42999</v>
      </c>
      <c r="AC406">
        <v>1.2932905591516339</v>
      </c>
      <c r="AD406">
        <v>1.4692929602297111</v>
      </c>
      <c r="AE406">
        <v>1.188838858853505</v>
      </c>
      <c r="AF406">
        <v>1.1992783092276966</v>
      </c>
      <c r="AG406">
        <v>1.500852166723637</v>
      </c>
      <c r="AH406">
        <v>1.1933607675751656</v>
      </c>
      <c r="AI406">
        <v>1.2970810594446101</v>
      </c>
      <c r="AJ406">
        <v>1.1181465829612158</v>
      </c>
      <c r="AK406">
        <v>1.2963141451088021</v>
      </c>
      <c r="AL406">
        <v>1.1110486765126861</v>
      </c>
    </row>
    <row r="407" spans="1:38" x14ac:dyDescent="0.4">
      <c r="A407" s="10">
        <v>43003</v>
      </c>
      <c r="B407" s="11">
        <v>1.3321542496315331</v>
      </c>
      <c r="C407" s="11">
        <v>1.387112769326309</v>
      </c>
      <c r="D407" s="11">
        <v>1.234538645119696</v>
      </c>
      <c r="E407" s="11">
        <v>1.277841385025366</v>
      </c>
      <c r="P407" s="1">
        <f>A406</f>
        <v>43000</v>
      </c>
      <c r="Q407" s="14">
        <f>[1]!i_dq_close(Q$2,$P407)</f>
        <v>2167.7867999999999</v>
      </c>
      <c r="R407" s="14">
        <f>[1]!i_dq_close(R$2,$P407)</f>
        <v>3711.0336000000002</v>
      </c>
      <c r="S407" s="14">
        <f>[1]!i_dq_close(S$2,$P407)</f>
        <v>3994.6066999999998</v>
      </c>
      <c r="T407" s="14">
        <f>[1]!i_dq_close(T$2,$P407)</f>
        <v>5818.4790000000003</v>
      </c>
      <c r="U407" s="14">
        <f>[1]!i_dq_close(U$2,$P407)</f>
        <v>10037.239100000001</v>
      </c>
      <c r="V407" s="14">
        <f>[1]!i_dq_close(V$2,$P407)</f>
        <v>9638.2873999999993</v>
      </c>
      <c r="W407" s="14">
        <f>[1]!i_dq_close(W$2,$P407)</f>
        <v>6047.6522999999997</v>
      </c>
      <c r="X407" s="14">
        <f>[1]!i_dq_close(X$2,$P407)</f>
        <v>6023.6405000000004</v>
      </c>
      <c r="Y407" s="14">
        <f>[1]!i_dq_close(Y$2,$P407)</f>
        <v>6718.1859000000004</v>
      </c>
      <c r="Z407" s="14">
        <f>[1]!i_dq_close(Z$2,$P407)</f>
        <v>2488.9944</v>
      </c>
      <c r="AB407" s="1">
        <v>43000</v>
      </c>
      <c r="AC407">
        <v>1.2869458501680286</v>
      </c>
      <c r="AD407">
        <v>1.4545605626538942</v>
      </c>
      <c r="AE407">
        <v>1.1822197886912191</v>
      </c>
      <c r="AF407">
        <v>1.2030203704741325</v>
      </c>
      <c r="AG407">
        <v>1.4965926526759885</v>
      </c>
      <c r="AH407">
        <v>1.190383563543455</v>
      </c>
      <c r="AI407">
        <v>1.2961674317666207</v>
      </c>
      <c r="AJ407">
        <v>1.1127255276336034</v>
      </c>
      <c r="AK407">
        <v>1.3343833382995596</v>
      </c>
      <c r="AL407">
        <v>1.1062202741521341</v>
      </c>
    </row>
    <row r="408" spans="1:38" x14ac:dyDescent="0.4">
      <c r="A408" s="10">
        <v>43004</v>
      </c>
      <c r="B408" s="11">
        <v>1.331034565159442</v>
      </c>
      <c r="C408" s="11">
        <v>1.3876842103652249</v>
      </c>
      <c r="D408" s="11">
        <v>1.2368298184036319</v>
      </c>
      <c r="E408" s="11">
        <v>1.2794015051420911</v>
      </c>
      <c r="P408" s="1">
        <f>A407</f>
        <v>43003</v>
      </c>
      <c r="Q408" s="14">
        <f>[1]!i_dq_close(Q$2,$P408)</f>
        <v>2142.6803</v>
      </c>
      <c r="R408" s="14">
        <f>[1]!i_dq_close(R$2,$P408)</f>
        <v>3659.6718000000001</v>
      </c>
      <c r="S408" s="14">
        <f>[1]!i_dq_close(S$2,$P408)</f>
        <v>3951.6705000000002</v>
      </c>
      <c r="T408" s="14">
        <f>[1]!i_dq_close(T$2,$P408)</f>
        <v>5745.4647000000004</v>
      </c>
      <c r="U408" s="14">
        <f>[1]!i_dq_close(U$2,$P408)</f>
        <v>10071.0052</v>
      </c>
      <c r="V408" s="14">
        <f>[1]!i_dq_close(V$2,$P408)</f>
        <v>9684.7170000000006</v>
      </c>
      <c r="W408" s="14">
        <f>[1]!i_dq_close(W$2,$P408)</f>
        <v>5995.0343000000003</v>
      </c>
      <c r="X408" s="14">
        <f>[1]!i_dq_close(X$2,$P408)</f>
        <v>5935.4183999999996</v>
      </c>
      <c r="Y408" s="14">
        <f>[1]!i_dq_close(Y$2,$P408)</f>
        <v>6593.4187000000002</v>
      </c>
      <c r="Z408" s="14">
        <f>[1]!i_dq_close(Z$2,$P408)</f>
        <v>2476.7685000000001</v>
      </c>
      <c r="AB408" s="1">
        <v>43003</v>
      </c>
      <c r="AC408">
        <v>1.27204092225388</v>
      </c>
      <c r="AD408">
        <v>1.4344290152847414</v>
      </c>
      <c r="AE408">
        <v>1.1695126490143135</v>
      </c>
      <c r="AF408">
        <v>1.1879240385571643</v>
      </c>
      <c r="AG408">
        <v>1.5016273137681528</v>
      </c>
      <c r="AH408">
        <v>1.1961178844251812</v>
      </c>
      <c r="AI408">
        <v>1.2848900410468045</v>
      </c>
      <c r="AJ408">
        <v>1.0964285751890734</v>
      </c>
      <c r="AK408">
        <v>1.309601756586215</v>
      </c>
      <c r="AL408">
        <v>1.1007865381623076</v>
      </c>
    </row>
    <row r="409" spans="1:38" x14ac:dyDescent="0.4">
      <c r="A409" s="10">
        <v>43005</v>
      </c>
      <c r="B409" s="11">
        <v>1.3382712902994529</v>
      </c>
      <c r="C409" s="11">
        <v>1.395058693669081</v>
      </c>
      <c r="D409" s="11">
        <v>1.24447778671202</v>
      </c>
      <c r="E409" s="11">
        <v>1.2913040003713889</v>
      </c>
      <c r="P409" s="1">
        <f>A408</f>
        <v>43004</v>
      </c>
      <c r="Q409" s="14">
        <f>[1]!i_dq_close(Q$2,$P409)</f>
        <v>2174.4946</v>
      </c>
      <c r="R409" s="14">
        <f>[1]!i_dq_close(R$2,$P409)</f>
        <v>3697.4985000000001</v>
      </c>
      <c r="S409" s="14">
        <f>[1]!i_dq_close(S$2,$P409)</f>
        <v>3961.4717999999998</v>
      </c>
      <c r="T409" s="14">
        <f>[1]!i_dq_close(T$2,$P409)</f>
        <v>5744.0401000000002</v>
      </c>
      <c r="U409" s="14">
        <f>[1]!i_dq_close(U$2,$P409)</f>
        <v>10056.751</v>
      </c>
      <c r="V409" s="14">
        <f>[1]!i_dq_close(V$2,$P409)</f>
        <v>9650.1751000000004</v>
      </c>
      <c r="W409" s="14">
        <f>[1]!i_dq_close(W$2,$P409)</f>
        <v>5990.8036000000002</v>
      </c>
      <c r="X409" s="14">
        <f>[1]!i_dq_close(X$2,$P409)</f>
        <v>5936.0693000000001</v>
      </c>
      <c r="Y409" s="14">
        <f>[1]!i_dq_close(Y$2,$P409)</f>
        <v>6615.1136999999999</v>
      </c>
      <c r="Z409" s="14">
        <f>[1]!i_dq_close(Z$2,$P409)</f>
        <v>2478.4348</v>
      </c>
      <c r="AB409" s="1">
        <v>43004</v>
      </c>
      <c r="AC409">
        <v>1.2909280569854875</v>
      </c>
      <c r="AD409">
        <v>1.4492554038238645</v>
      </c>
      <c r="AE409">
        <v>1.1724133828499872</v>
      </c>
      <c r="AF409">
        <v>1.1876294903049875</v>
      </c>
      <c r="AG409">
        <v>1.4995019553127811</v>
      </c>
      <c r="AH409">
        <v>1.1918517624154181</v>
      </c>
      <c r="AI409">
        <v>1.2839832932244182</v>
      </c>
      <c r="AJ409">
        <v>1.0965488136139823</v>
      </c>
      <c r="AK409">
        <v>1.313910873207178</v>
      </c>
      <c r="AL409">
        <v>1.1015271163021456</v>
      </c>
    </row>
    <row r="410" spans="1:38" x14ac:dyDescent="0.4">
      <c r="A410" s="10">
        <v>43006</v>
      </c>
      <c r="B410" s="11">
        <v>1.3400275718412309</v>
      </c>
      <c r="C410" s="11">
        <v>1.397595263794005</v>
      </c>
      <c r="D410" s="11">
        <v>1.2486258849914209</v>
      </c>
      <c r="E410" s="11">
        <v>1.295607528564805</v>
      </c>
      <c r="P410" s="1">
        <f>A409</f>
        <v>43005</v>
      </c>
      <c r="Q410" s="14">
        <f>[1]!i_dq_close(Q$2,$P410)</f>
        <v>2188.6078000000002</v>
      </c>
      <c r="R410" s="14">
        <f>[1]!i_dq_close(R$2,$P410)</f>
        <v>3735.8760000000002</v>
      </c>
      <c r="S410" s="14">
        <f>[1]!i_dq_close(S$2,$P410)</f>
        <v>3980.4845</v>
      </c>
      <c r="T410" s="14">
        <f>[1]!i_dq_close(T$2,$P410)</f>
        <v>5781.3371999999999</v>
      </c>
      <c r="U410" s="14">
        <f>[1]!i_dq_close(U$2,$P410)</f>
        <v>10047.2631</v>
      </c>
      <c r="V410" s="14">
        <f>[1]!i_dq_close(V$2,$P410)</f>
        <v>9656.8971999999994</v>
      </c>
      <c r="W410" s="14">
        <f>[1]!i_dq_close(W$2,$P410)</f>
        <v>5962.5583999999999</v>
      </c>
      <c r="X410" s="14">
        <f>[1]!i_dq_close(X$2,$P410)</f>
        <v>5999.2155000000002</v>
      </c>
      <c r="Y410" s="14">
        <f>[1]!i_dq_close(Y$2,$P410)</f>
        <v>6841.5398999999998</v>
      </c>
      <c r="Z410" s="14">
        <f>[1]!i_dq_close(Z$2,$P410)</f>
        <v>2476.6930000000002</v>
      </c>
      <c r="AB410" s="1">
        <v>43005</v>
      </c>
      <c r="AC410">
        <v>1.2993066134803384</v>
      </c>
      <c r="AD410">
        <v>1.4642976815314148</v>
      </c>
      <c r="AE410">
        <v>1.1780402672630257</v>
      </c>
      <c r="AF410">
        <v>1.1953409851921581</v>
      </c>
      <c r="AG410">
        <v>1.498087271325695</v>
      </c>
      <c r="AH410">
        <v>1.1926819801730348</v>
      </c>
      <c r="AI410">
        <v>1.2779296204060031</v>
      </c>
      <c r="AJ410">
        <v>1.1082135848952461</v>
      </c>
      <c r="AK410">
        <v>1.358884226599272</v>
      </c>
      <c r="AL410">
        <v>1.100752982590347</v>
      </c>
    </row>
    <row r="411" spans="1:38" x14ac:dyDescent="0.4">
      <c r="A411" s="10">
        <v>43007</v>
      </c>
      <c r="B411" s="11">
        <v>1.349468990037453</v>
      </c>
      <c r="C411" s="11">
        <v>1.405781727924009</v>
      </c>
      <c r="D411" s="11">
        <v>1.2539317125392919</v>
      </c>
      <c r="E411" s="11">
        <v>1.3008024025590099</v>
      </c>
      <c r="P411" s="1">
        <f>A410</f>
        <v>43006</v>
      </c>
      <c r="Q411" s="14">
        <f>[1]!i_dq_close(Q$2,$P411)</f>
        <v>2166.4391999999998</v>
      </c>
      <c r="R411" s="14">
        <f>[1]!i_dq_close(R$2,$P411)</f>
        <v>3706.5436</v>
      </c>
      <c r="S411" s="14">
        <f>[1]!i_dq_close(S$2,$P411)</f>
        <v>3959.7284</v>
      </c>
      <c r="T411" s="14">
        <f>[1]!i_dq_close(T$2,$P411)</f>
        <v>5777.9273000000003</v>
      </c>
      <c r="U411" s="14">
        <f>[1]!i_dq_close(U$2,$P411)</f>
        <v>10167.9112</v>
      </c>
      <c r="V411" s="14">
        <f>[1]!i_dq_close(V$2,$P411)</f>
        <v>9690.4608000000007</v>
      </c>
      <c r="W411" s="14">
        <f>[1]!i_dq_close(W$2,$P411)</f>
        <v>5934.6476000000002</v>
      </c>
      <c r="X411" s="14">
        <f>[1]!i_dq_close(X$2,$P411)</f>
        <v>6031.1603999999998</v>
      </c>
      <c r="Y411" s="14">
        <f>[1]!i_dq_close(Y$2,$P411)</f>
        <v>6849.9831000000004</v>
      </c>
      <c r="Z411" s="14">
        <f>[1]!i_dq_close(Z$2,$P411)</f>
        <v>2465.5895</v>
      </c>
      <c r="AB411" s="1">
        <v>43006</v>
      </c>
      <c r="AC411">
        <v>1.2861458230492704</v>
      </c>
      <c r="AD411">
        <v>1.452800681814681</v>
      </c>
      <c r="AE411">
        <v>1.1718974166649796</v>
      </c>
      <c r="AF411">
        <v>1.1946359591602211</v>
      </c>
      <c r="AG411">
        <v>1.5160763874780958</v>
      </c>
      <c r="AH411">
        <v>1.1968272765431502</v>
      </c>
      <c r="AI411">
        <v>1.2719476181082601</v>
      </c>
      <c r="AJ411">
        <v>1.114114651817766</v>
      </c>
      <c r="AK411">
        <v>1.3605612366686022</v>
      </c>
      <c r="AL411">
        <v>1.0958180912888447</v>
      </c>
    </row>
    <row r="412" spans="1:38" x14ac:dyDescent="0.4">
      <c r="A412" s="10">
        <v>43017</v>
      </c>
      <c r="B412" s="11">
        <v>1.3643594134161829</v>
      </c>
      <c r="C412" s="11">
        <v>1.4195924505651121</v>
      </c>
      <c r="D412" s="11">
        <v>1.264754140378181</v>
      </c>
      <c r="E412" s="11">
        <v>1.3129832360572331</v>
      </c>
      <c r="P412" s="1">
        <f>A411</f>
        <v>43007</v>
      </c>
      <c r="Q412" s="14">
        <f>[1]!i_dq_close(Q$2,$P412)</f>
        <v>2168.79</v>
      </c>
      <c r="R412" s="14">
        <f>[1]!i_dq_close(R$2,$P412)</f>
        <v>3725.4263999999998</v>
      </c>
      <c r="S412" s="14">
        <f>[1]!i_dq_close(S$2,$P412)</f>
        <v>3982.1457</v>
      </c>
      <c r="T412" s="14">
        <f>[1]!i_dq_close(T$2,$P412)</f>
        <v>5816.4636</v>
      </c>
      <c r="U412" s="14">
        <f>[1]!i_dq_close(U$2,$P412)</f>
        <v>10241.4858</v>
      </c>
      <c r="V412" s="14">
        <f>[1]!i_dq_close(V$2,$P412)</f>
        <v>9730.42</v>
      </c>
      <c r="W412" s="14">
        <f>[1]!i_dq_close(W$2,$P412)</f>
        <v>5963.2860000000001</v>
      </c>
      <c r="X412" s="14">
        <f>[1]!i_dq_close(X$2,$P412)</f>
        <v>6075.9705999999996</v>
      </c>
      <c r="Y412" s="14">
        <f>[1]!i_dq_close(Y$2,$P412)</f>
        <v>6931.5568999999996</v>
      </c>
      <c r="Z412" s="14">
        <f>[1]!i_dq_close(Z$2,$P412)</f>
        <v>2472.4493000000002</v>
      </c>
      <c r="AB412" s="1">
        <v>43007</v>
      </c>
      <c r="AC412">
        <v>1.2875414179964189</v>
      </c>
      <c r="AD412">
        <v>1.4602019018393342</v>
      </c>
      <c r="AE412">
        <v>1.1785319060301098</v>
      </c>
      <c r="AF412">
        <v>1.2026036692615556</v>
      </c>
      <c r="AG412">
        <v>1.5270466557646782</v>
      </c>
      <c r="AH412">
        <v>1.201762466055381</v>
      </c>
      <c r="AI412">
        <v>1.2780855637996658</v>
      </c>
      <c r="AJ412">
        <v>1.1223922795145662</v>
      </c>
      <c r="AK412">
        <v>1.3767636343369638</v>
      </c>
      <c r="AL412">
        <v>1.0988668927793699</v>
      </c>
    </row>
    <row r="413" spans="1:38" x14ac:dyDescent="0.4">
      <c r="A413" s="10">
        <v>43018</v>
      </c>
      <c r="B413" s="11">
        <v>1.369148959377527</v>
      </c>
      <c r="C413" s="11">
        <v>1.4226087446792599</v>
      </c>
      <c r="D413" s="11">
        <v>1.265797598139849</v>
      </c>
      <c r="E413" s="11">
        <v>1.3138015821839539</v>
      </c>
      <c r="P413" s="1">
        <f>A412</f>
        <v>43017</v>
      </c>
      <c r="Q413" s="14">
        <f>[1]!i_dq_close(Q$2,$P413)</f>
        <v>2170.989</v>
      </c>
      <c r="R413" s="14">
        <f>[1]!i_dq_close(R$2,$P413)</f>
        <v>3758.1048000000001</v>
      </c>
      <c r="S413" s="14">
        <f>[1]!i_dq_close(S$2,$P413)</f>
        <v>4020.8171000000002</v>
      </c>
      <c r="T413" s="14">
        <f>[1]!i_dq_close(T$2,$P413)</f>
        <v>5930.4612999999999</v>
      </c>
      <c r="U413" s="14">
        <f>[1]!i_dq_close(U$2,$P413)</f>
        <v>10365.656800000001</v>
      </c>
      <c r="V413" s="14">
        <f>[1]!i_dq_close(V$2,$P413)</f>
        <v>9850.5056999999997</v>
      </c>
      <c r="W413" s="14">
        <f>[1]!i_dq_close(W$2,$P413)</f>
        <v>6006.4160000000002</v>
      </c>
      <c r="X413" s="14">
        <f>[1]!i_dq_close(X$2,$P413)</f>
        <v>6197.4449999999997</v>
      </c>
      <c r="Y413" s="14">
        <f>[1]!i_dq_close(Y$2,$P413)</f>
        <v>7041.2487000000001</v>
      </c>
      <c r="Z413" s="14">
        <f>[1]!i_dq_close(Z$2,$P413)</f>
        <v>2491.2993000000001</v>
      </c>
      <c r="AB413" s="1">
        <v>43017</v>
      </c>
      <c r="AC413">
        <v>1.2888468941274294</v>
      </c>
      <c r="AD413">
        <v>1.473010385139143</v>
      </c>
      <c r="AE413">
        <v>1.1899768611332979</v>
      </c>
      <c r="AF413">
        <v>1.2261736701650905</v>
      </c>
      <c r="AG413">
        <v>1.5455610504526984</v>
      </c>
      <c r="AH413">
        <v>1.2165937361310801</v>
      </c>
      <c r="AI413">
        <v>1.2873294320908528</v>
      </c>
      <c r="AJ413">
        <v>1.1448318101993697</v>
      </c>
      <c r="AK413">
        <v>1.3985509013829811</v>
      </c>
      <c r="AL413">
        <v>1.1072446746529521</v>
      </c>
    </row>
    <row r="414" spans="1:38" x14ac:dyDescent="0.4">
      <c r="A414" s="10">
        <v>43019</v>
      </c>
      <c r="B414" s="11">
        <v>1.369400277653865</v>
      </c>
      <c r="C414" s="11">
        <v>1.425504984045223</v>
      </c>
      <c r="D414" s="11">
        <v>1.267199252822562</v>
      </c>
      <c r="E414" s="11">
        <v>1.314477735963719</v>
      </c>
      <c r="P414" s="1">
        <f>A413</f>
        <v>43018</v>
      </c>
      <c r="Q414" s="14">
        <f>[1]!i_dq_close(Q$2,$P414)</f>
        <v>2154.2328000000002</v>
      </c>
      <c r="R414" s="14">
        <f>[1]!i_dq_close(R$2,$P414)</f>
        <v>3740.3067000000001</v>
      </c>
      <c r="S414" s="14">
        <f>[1]!i_dq_close(S$2,$P414)</f>
        <v>4038.4059000000002</v>
      </c>
      <c r="T414" s="14">
        <f>[1]!i_dq_close(T$2,$P414)</f>
        <v>5945.2201999999997</v>
      </c>
      <c r="U414" s="14">
        <f>[1]!i_dq_close(U$2,$P414)</f>
        <v>10481.090700000001</v>
      </c>
      <c r="V414" s="14">
        <f>[1]!i_dq_close(V$2,$P414)</f>
        <v>10058.463599999999</v>
      </c>
      <c r="W414" s="14">
        <f>[1]!i_dq_close(W$2,$P414)</f>
        <v>6020.7322999999997</v>
      </c>
      <c r="X414" s="14">
        <f>[1]!i_dq_close(X$2,$P414)</f>
        <v>6246.6008000000002</v>
      </c>
      <c r="Y414" s="14">
        <f>[1]!i_dq_close(Y$2,$P414)</f>
        <v>6986.9629000000004</v>
      </c>
      <c r="Z414" s="14">
        <f>[1]!i_dq_close(Z$2,$P414)</f>
        <v>2502.2188999999998</v>
      </c>
      <c r="AB414" s="1">
        <v>43018</v>
      </c>
      <c r="AC414">
        <v>1.2788992728693862</v>
      </c>
      <c r="AD414">
        <v>1.4660343194009695</v>
      </c>
      <c r="AE414">
        <v>1.1951823366609216</v>
      </c>
      <c r="AF414">
        <v>1.2292251991550189</v>
      </c>
      <c r="AG414">
        <v>1.5627727084483454</v>
      </c>
      <c r="AH414">
        <v>1.2422777249763406</v>
      </c>
      <c r="AI414">
        <v>1.2903977833919684</v>
      </c>
      <c r="AJ414">
        <v>1.1539121850144427</v>
      </c>
      <c r="AK414">
        <v>1.3877685163605211</v>
      </c>
      <c r="AL414">
        <v>1.1120978325811626</v>
      </c>
    </row>
    <row r="415" spans="1:38" x14ac:dyDescent="0.4">
      <c r="A415" s="10">
        <v>43020</v>
      </c>
      <c r="B415" s="11">
        <v>1.3711839714156371</v>
      </c>
      <c r="C415" s="11">
        <v>1.4263014157967411</v>
      </c>
      <c r="D415" s="11">
        <v>1.2681192138857871</v>
      </c>
      <c r="E415" s="11">
        <v>1.3155316018358829</v>
      </c>
      <c r="P415" s="1">
        <f>A414</f>
        <v>43019</v>
      </c>
      <c r="Q415" s="14">
        <f>[1]!i_dq_close(Q$2,$P415)</f>
        <v>2153.4614999999999</v>
      </c>
      <c r="R415" s="14">
        <f>[1]!i_dq_close(R$2,$P415)</f>
        <v>3712.8859000000002</v>
      </c>
      <c r="S415" s="14">
        <f>[1]!i_dq_close(S$2,$P415)</f>
        <v>4031.9425999999999</v>
      </c>
      <c r="T415" s="14">
        <f>[1]!i_dq_close(T$2,$P415)</f>
        <v>5966.6184999999996</v>
      </c>
      <c r="U415" s="14">
        <f>[1]!i_dq_close(U$2,$P415)</f>
        <v>10675.8467</v>
      </c>
      <c r="V415" s="14">
        <f>[1]!i_dq_close(V$2,$P415)</f>
        <v>10111.405500000001</v>
      </c>
      <c r="W415" s="14">
        <f>[1]!i_dq_close(W$2,$P415)</f>
        <v>6025.2215999999999</v>
      </c>
      <c r="X415" s="14">
        <f>[1]!i_dq_close(X$2,$P415)</f>
        <v>6189.0376999999999</v>
      </c>
      <c r="Y415" s="14">
        <f>[1]!i_dq_close(Y$2,$P415)</f>
        <v>6870.2539999999999</v>
      </c>
      <c r="Z415" s="14">
        <f>[1]!i_dq_close(Z$2,$P415)</f>
        <v>2515.875</v>
      </c>
      <c r="AB415" s="1">
        <v>43019</v>
      </c>
      <c r="AC415">
        <v>1.2784413766711831</v>
      </c>
      <c r="AD415">
        <v>1.4552865820923071</v>
      </c>
      <c r="AE415">
        <v>1.1932694972416495</v>
      </c>
      <c r="AF415">
        <v>1.2336494809636354</v>
      </c>
      <c r="AG415">
        <v>1.5918116100587061</v>
      </c>
      <c r="AH415">
        <v>1.2488163521169633</v>
      </c>
      <c r="AI415">
        <v>1.2913599558454725</v>
      </c>
      <c r="AJ415">
        <v>1.1432787597926475</v>
      </c>
      <c r="AK415">
        <v>1.3645874948899377</v>
      </c>
      <c r="AL415">
        <v>1.1181672133261931</v>
      </c>
    </row>
    <row r="416" spans="1:38" x14ac:dyDescent="0.4">
      <c r="A416" s="10">
        <v>43021</v>
      </c>
      <c r="B416" s="11">
        <v>1.378435691565987</v>
      </c>
      <c r="C416" s="11">
        <v>1.432819675130788</v>
      </c>
      <c r="D416" s="11">
        <v>1.274795002590889</v>
      </c>
      <c r="E416" s="11">
        <v>1.32564174733579</v>
      </c>
      <c r="P416" s="1">
        <f>A415</f>
        <v>43020</v>
      </c>
      <c r="Q416" s="14">
        <f>[1]!i_dq_close(Q$2,$P416)</f>
        <v>2128.6282999999999</v>
      </c>
      <c r="R416" s="14">
        <f>[1]!i_dq_close(R$2,$P416)</f>
        <v>3703.0412000000001</v>
      </c>
      <c r="S416" s="14">
        <f>[1]!i_dq_close(S$2,$P416)</f>
        <v>4025.7012</v>
      </c>
      <c r="T416" s="14">
        <f>[1]!i_dq_close(T$2,$P416)</f>
        <v>5978.7182000000003</v>
      </c>
      <c r="U416" s="14">
        <f>[1]!i_dq_close(U$2,$P416)</f>
        <v>10629.8117</v>
      </c>
      <c r="V416" s="14">
        <f>[1]!i_dq_close(V$2,$P416)</f>
        <v>10113.168900000001</v>
      </c>
      <c r="W416" s="14">
        <f>[1]!i_dq_close(W$2,$P416)</f>
        <v>6041.8145999999997</v>
      </c>
      <c r="X416" s="14">
        <f>[1]!i_dq_close(X$2,$P416)</f>
        <v>6205.4434000000001</v>
      </c>
      <c r="Y416" s="14">
        <f>[1]!i_dq_close(Y$2,$P416)</f>
        <v>6943.7932000000001</v>
      </c>
      <c r="Z416" s="14">
        <f>[1]!i_dq_close(Z$2,$P416)</f>
        <v>2510.2523999999999</v>
      </c>
      <c r="AB416" s="1">
        <v>43020</v>
      </c>
      <c r="AC416">
        <v>1.2636986982461678</v>
      </c>
      <c r="AD416">
        <v>1.4514278963689662</v>
      </c>
      <c r="AE416">
        <v>1.1914223300126112</v>
      </c>
      <c r="AF416">
        <v>1.2361511975766242</v>
      </c>
      <c r="AG416">
        <v>1.5849476067128119</v>
      </c>
      <c r="AH416">
        <v>1.2490341420923849</v>
      </c>
      <c r="AI416">
        <v>1.2949162625126569</v>
      </c>
      <c r="AJ416">
        <v>1.1463093259741284</v>
      </c>
      <c r="AK416">
        <v>1.3791940396704088</v>
      </c>
      <c r="AL416">
        <v>1.1156682787711585</v>
      </c>
    </row>
    <row r="417" spans="1:38" x14ac:dyDescent="0.4">
      <c r="A417" s="10">
        <v>43024</v>
      </c>
      <c r="B417" s="11">
        <v>1.367256901819913</v>
      </c>
      <c r="C417" s="11">
        <v>1.4239981877769501</v>
      </c>
      <c r="D417" s="11">
        <v>1.267317705677937</v>
      </c>
      <c r="E417" s="11">
        <v>1.3174902195092211</v>
      </c>
      <c r="P417" s="1">
        <f>A416</f>
        <v>43021</v>
      </c>
      <c r="Q417" s="14">
        <f>[1]!i_dq_close(Q$2,$P417)</f>
        <v>2140.3139000000001</v>
      </c>
      <c r="R417" s="14">
        <f>[1]!i_dq_close(R$2,$P417)</f>
        <v>3722.7329</v>
      </c>
      <c r="S417" s="14">
        <f>[1]!i_dq_close(S$2,$P417)</f>
        <v>4050.4340999999999</v>
      </c>
      <c r="T417" s="14">
        <f>[1]!i_dq_close(T$2,$P417)</f>
        <v>5990.9809999999998</v>
      </c>
      <c r="U417" s="14">
        <f>[1]!i_dq_close(U$2,$P417)</f>
        <v>10651.925300000001</v>
      </c>
      <c r="V417" s="14">
        <f>[1]!i_dq_close(V$2,$P417)</f>
        <v>10139.2665</v>
      </c>
      <c r="W417" s="14">
        <f>[1]!i_dq_close(W$2,$P417)</f>
        <v>6032.9107000000004</v>
      </c>
      <c r="X417" s="14">
        <f>[1]!i_dq_close(X$2,$P417)</f>
        <v>6269.1760999999997</v>
      </c>
      <c r="Y417" s="14">
        <f>[1]!i_dq_close(Y$2,$P417)</f>
        <v>6981.8213999999998</v>
      </c>
      <c r="Z417" s="14">
        <f>[1]!i_dq_close(Z$2,$P417)</f>
        <v>2522.3690999999999</v>
      </c>
      <c r="AB417" s="1">
        <v>43021</v>
      </c>
      <c r="AC417">
        <v>1.2706360660845197</v>
      </c>
      <c r="AD417">
        <v>1.4591461693136281</v>
      </c>
      <c r="AE417">
        <v>1.1987421304354464</v>
      </c>
      <c r="AF417">
        <v>1.2386866365116189</v>
      </c>
      <c r="AG417">
        <v>1.5882448332662988</v>
      </c>
      <c r="AH417">
        <v>1.2522573448045111</v>
      </c>
      <c r="AI417">
        <v>1.2930079277369115</v>
      </c>
      <c r="AJ417">
        <v>1.1580824392990379</v>
      </c>
      <c r="AK417">
        <v>1.3867472984252049</v>
      </c>
      <c r="AL417">
        <v>1.1210534814039241</v>
      </c>
    </row>
    <row r="418" spans="1:38" x14ac:dyDescent="0.4">
      <c r="A418" s="10">
        <v>43025</v>
      </c>
      <c r="B418" s="11">
        <v>1.368795491107075</v>
      </c>
      <c r="C418" s="11">
        <v>1.4245867325189689</v>
      </c>
      <c r="D418" s="11">
        <v>1.267428535911626</v>
      </c>
      <c r="E418" s="11">
        <v>1.319530758473898</v>
      </c>
      <c r="P418" s="1">
        <f>A417</f>
        <v>43024</v>
      </c>
      <c r="Q418" s="14">
        <f>[1]!i_dq_close(Q$2,$P418)</f>
        <v>2125.5983999999999</v>
      </c>
      <c r="R418" s="14">
        <f>[1]!i_dq_close(R$2,$P418)</f>
        <v>3700.7112999999999</v>
      </c>
      <c r="S418" s="14">
        <f>[1]!i_dq_close(S$2,$P418)</f>
        <v>3999.1992</v>
      </c>
      <c r="T418" s="14">
        <f>[1]!i_dq_close(T$2,$P418)</f>
        <v>5897.8230999999996</v>
      </c>
      <c r="U418" s="14">
        <f>[1]!i_dq_close(U$2,$P418)</f>
        <v>10552.1001</v>
      </c>
      <c r="V418" s="14">
        <f>[1]!i_dq_close(V$2,$P418)</f>
        <v>10010.759099999999</v>
      </c>
      <c r="W418" s="14">
        <f>[1]!i_dq_close(W$2,$P418)</f>
        <v>6035.5536000000002</v>
      </c>
      <c r="X418" s="14">
        <f>[1]!i_dq_close(X$2,$P418)</f>
        <v>6151.7338</v>
      </c>
      <c r="Y418" s="14">
        <f>[1]!i_dq_close(Y$2,$P418)</f>
        <v>6944.2218000000003</v>
      </c>
      <c r="Z418" s="14">
        <f>[1]!i_dq_close(Z$2,$P418)</f>
        <v>2491.7156</v>
      </c>
      <c r="AB418" s="1">
        <v>43024</v>
      </c>
      <c r="AC418">
        <v>1.2618999432987605</v>
      </c>
      <c r="AD418">
        <v>1.4505146789152283</v>
      </c>
      <c r="AE418">
        <v>1.1835789573872424</v>
      </c>
      <c r="AF418">
        <v>1.2194254427579607</v>
      </c>
      <c r="AG418">
        <v>1.5733604951147933</v>
      </c>
      <c r="AH418">
        <v>1.2363859466603029</v>
      </c>
      <c r="AI418">
        <v>1.2935743691815389</v>
      </c>
      <c r="AJ418">
        <v>1.1363877440007371</v>
      </c>
      <c r="AK418">
        <v>1.3792791693032158</v>
      </c>
      <c r="AL418">
        <v>1.1074296969656297</v>
      </c>
    </row>
    <row r="419" spans="1:38" x14ac:dyDescent="0.4">
      <c r="A419" s="10">
        <v>43026</v>
      </c>
      <c r="B419" s="11">
        <v>1.370892587412962</v>
      </c>
      <c r="C419" s="11">
        <v>1.430470705032278</v>
      </c>
      <c r="D419" s="11">
        <v>1.2723526020329179</v>
      </c>
      <c r="E419" s="11">
        <v>1.32443493179517</v>
      </c>
      <c r="P419" s="1">
        <f>A418</f>
        <v>43025</v>
      </c>
      <c r="Q419" s="14">
        <f>[1]!i_dq_close(Q$2,$P419)</f>
        <v>2108.9411</v>
      </c>
      <c r="R419" s="14">
        <f>[1]!i_dq_close(R$2,$P419)</f>
        <v>3670.8294999999998</v>
      </c>
      <c r="S419" s="14">
        <f>[1]!i_dq_close(S$2,$P419)</f>
        <v>4004.1635999999999</v>
      </c>
      <c r="T419" s="14">
        <f>[1]!i_dq_close(T$2,$P419)</f>
        <v>5924.0802999999996</v>
      </c>
      <c r="U419" s="14">
        <f>[1]!i_dq_close(U$2,$P419)</f>
        <v>10567.388300000001</v>
      </c>
      <c r="V419" s="14">
        <f>[1]!i_dq_close(V$2,$P419)</f>
        <v>10034.7374</v>
      </c>
      <c r="W419" s="14">
        <f>[1]!i_dq_close(W$2,$P419)</f>
        <v>6029.3098</v>
      </c>
      <c r="X419" s="14">
        <f>[1]!i_dq_close(X$2,$P419)</f>
        <v>6138.0333000000001</v>
      </c>
      <c r="Y419" s="14">
        <f>[1]!i_dq_close(Y$2,$P419)</f>
        <v>6927.1866</v>
      </c>
      <c r="Z419" s="14">
        <f>[1]!i_dq_close(Z$2,$P419)</f>
        <v>2488.8543</v>
      </c>
      <c r="AB419" s="1">
        <v>43025</v>
      </c>
      <c r="AC419">
        <v>1.2520110358148679</v>
      </c>
      <c r="AD419">
        <v>1.438802338767968</v>
      </c>
      <c r="AE419">
        <v>1.1850481913718993</v>
      </c>
      <c r="AF419">
        <v>1.2248543437596853</v>
      </c>
      <c r="AG419">
        <v>1.5756400271220206</v>
      </c>
      <c r="AH419">
        <v>1.2393474037135253</v>
      </c>
      <c r="AI419">
        <v>1.2922361622527998</v>
      </c>
      <c r="AJ419">
        <v>1.1338568997228715</v>
      </c>
      <c r="AK419">
        <v>1.3758955941263811</v>
      </c>
      <c r="AL419">
        <v>1.1061580074550259</v>
      </c>
    </row>
    <row r="420" spans="1:38" x14ac:dyDescent="0.4">
      <c r="A420" s="10">
        <v>43027</v>
      </c>
      <c r="B420" s="11">
        <v>1.364791312381493</v>
      </c>
      <c r="C420" s="11">
        <v>1.4265818288377281</v>
      </c>
      <c r="D420" s="11">
        <v>1.2675861786326419</v>
      </c>
      <c r="E420" s="11">
        <v>1.320364209223428</v>
      </c>
      <c r="P420" s="1">
        <f>A419</f>
        <v>43026</v>
      </c>
      <c r="Q420" s="14">
        <f>[1]!i_dq_close(Q$2,$P420)</f>
        <v>2097.6770999999999</v>
      </c>
      <c r="R420" s="14">
        <f>[1]!i_dq_close(R$2,$P420)</f>
        <v>3621.6633000000002</v>
      </c>
      <c r="S420" s="14">
        <f>[1]!i_dq_close(S$2,$P420)</f>
        <v>3987.7273</v>
      </c>
      <c r="T420" s="14">
        <f>[1]!i_dq_close(T$2,$P420)</f>
        <v>5934.2578999999996</v>
      </c>
      <c r="U420" s="14">
        <f>[1]!i_dq_close(U$2,$P420)</f>
        <v>10677.6792</v>
      </c>
      <c r="V420" s="14">
        <f>[1]!i_dq_close(V$2,$P420)</f>
        <v>10124.6031</v>
      </c>
      <c r="W420" s="14">
        <f>[1]!i_dq_close(W$2,$P420)</f>
        <v>6063.6931000000004</v>
      </c>
      <c r="X420" s="14">
        <f>[1]!i_dq_close(X$2,$P420)</f>
        <v>6118.6130000000003</v>
      </c>
      <c r="Y420" s="14">
        <f>[1]!i_dq_close(Y$2,$P420)</f>
        <v>6875.2114000000001</v>
      </c>
      <c r="Z420" s="14">
        <f>[1]!i_dq_close(Z$2,$P420)</f>
        <v>2491.0484999999999</v>
      </c>
      <c r="AB420" s="1">
        <v>43026</v>
      </c>
      <c r="AC420">
        <v>1.245323958443471</v>
      </c>
      <c r="AD420">
        <v>1.4195313692096345</v>
      </c>
      <c r="AE420">
        <v>1.1801838028169847</v>
      </c>
      <c r="AF420">
        <v>1.2269586497342428</v>
      </c>
      <c r="AG420">
        <v>1.5920848431668053</v>
      </c>
      <c r="AH420">
        <v>1.250446331123215</v>
      </c>
      <c r="AI420">
        <v>1.2996053877713802</v>
      </c>
      <c r="AJ420">
        <v>1.1302694572843159</v>
      </c>
      <c r="AK420">
        <v>1.3655721464104154</v>
      </c>
      <c r="AL420">
        <v>1.1071332079317904</v>
      </c>
    </row>
    <row r="421" spans="1:38" x14ac:dyDescent="0.4">
      <c r="A421" s="10">
        <v>43028</v>
      </c>
      <c r="B421" s="11">
        <v>1.368493571453117</v>
      </c>
      <c r="C421" s="11">
        <v>1.4298251914600399</v>
      </c>
      <c r="D421" s="11">
        <v>1.270059418742211</v>
      </c>
      <c r="E421" s="11">
        <v>1.323792540960439</v>
      </c>
      <c r="P421" s="1">
        <f>A420</f>
        <v>43027</v>
      </c>
      <c r="Q421" s="14">
        <f>[1]!i_dq_close(Q$2,$P421)</f>
        <v>2071.4333000000001</v>
      </c>
      <c r="R421" s="14">
        <f>[1]!i_dq_close(R$2,$P421)</f>
        <v>3585.0877</v>
      </c>
      <c r="S421" s="14">
        <f>[1]!i_dq_close(S$2,$P421)</f>
        <v>3945.5868999999998</v>
      </c>
      <c r="T421" s="14">
        <f>[1]!i_dq_close(T$2,$P421)</f>
        <v>5899.9696000000004</v>
      </c>
      <c r="U421" s="14">
        <f>[1]!i_dq_close(U$2,$P421)</f>
        <v>10799.548199999999</v>
      </c>
      <c r="V421" s="14">
        <f>[1]!i_dq_close(V$2,$P421)</f>
        <v>10191.206</v>
      </c>
      <c r="W421" s="14">
        <f>[1]!i_dq_close(W$2,$P421)</f>
        <v>6033.6225000000004</v>
      </c>
      <c r="X421" s="14">
        <f>[1]!i_dq_close(X$2,$P421)</f>
        <v>6041.8854000000001</v>
      </c>
      <c r="Y421" s="14">
        <f>[1]!i_dq_close(Y$2,$P421)</f>
        <v>6701.4989999999998</v>
      </c>
      <c r="Z421" s="14">
        <f>[1]!i_dq_close(Z$2,$P421)</f>
        <v>2471.3697999999999</v>
      </c>
      <c r="AB421" s="1">
        <v>43027</v>
      </c>
      <c r="AC421">
        <v>1.2297438518099961</v>
      </c>
      <c r="AD421">
        <v>1.405195356376066</v>
      </c>
      <c r="AE421">
        <v>1.1677121833247921</v>
      </c>
      <c r="AF421">
        <v>1.2198692500184531</v>
      </c>
      <c r="AG421">
        <v>1.6102560004115269</v>
      </c>
      <c r="AH421">
        <v>1.2586721698177874</v>
      </c>
      <c r="AI421">
        <v>1.2931604847842026</v>
      </c>
      <c r="AJ421">
        <v>1.1160958426414667</v>
      </c>
      <c r="AK421">
        <v>1.331068943363291</v>
      </c>
      <c r="AL421">
        <v>1.0983871147670339</v>
      </c>
    </row>
    <row r="422" spans="1:38" x14ac:dyDescent="0.4">
      <c r="A422" s="10">
        <v>43031</v>
      </c>
      <c r="B422" s="11">
        <v>1.3766583139321731</v>
      </c>
      <c r="C422" s="11">
        <v>1.4392879298448711</v>
      </c>
      <c r="D422" s="11">
        <v>1.278528938290344</v>
      </c>
      <c r="E422" s="11">
        <v>1.332648618003005</v>
      </c>
      <c r="P422" s="1">
        <f>A421</f>
        <v>43028</v>
      </c>
      <c r="Q422" s="14">
        <f>[1]!i_dq_close(Q$2,$P422)</f>
        <v>2085.1138999999998</v>
      </c>
      <c r="R422" s="14">
        <f>[1]!i_dq_close(R$2,$P422)</f>
        <v>3642.9517000000001</v>
      </c>
      <c r="S422" s="14">
        <f>[1]!i_dq_close(S$2,$P422)</f>
        <v>3992.5594999999998</v>
      </c>
      <c r="T422" s="14">
        <f>[1]!i_dq_close(T$2,$P422)</f>
        <v>5918.7637000000004</v>
      </c>
      <c r="U422" s="14">
        <f>[1]!i_dq_close(U$2,$P422)</f>
        <v>10736.5512</v>
      </c>
      <c r="V422" s="14">
        <f>[1]!i_dq_close(V$2,$P422)</f>
        <v>10182.327300000001</v>
      </c>
      <c r="W422" s="14">
        <f>[1]!i_dq_close(W$2,$P422)</f>
        <v>6017.3180000000002</v>
      </c>
      <c r="X422" s="14">
        <f>[1]!i_dq_close(X$2,$P422)</f>
        <v>6089.1243000000004</v>
      </c>
      <c r="Y422" s="14">
        <f>[1]!i_dq_close(Y$2,$P422)</f>
        <v>6759.5825999999997</v>
      </c>
      <c r="Z422" s="14">
        <f>[1]!i_dq_close(Z$2,$P422)</f>
        <v>2480.3361</v>
      </c>
      <c r="AB422" s="1">
        <v>43028</v>
      </c>
      <c r="AC422">
        <v>1.237865587488896</v>
      </c>
      <c r="AD422">
        <v>1.4278754777302367</v>
      </c>
      <c r="AE422">
        <v>1.1816139116842517</v>
      </c>
      <c r="AF422">
        <v>1.2237550911712232</v>
      </c>
      <c r="AG422">
        <v>1.6008628947575401</v>
      </c>
      <c r="AH422">
        <v>1.2575755996381481</v>
      </c>
      <c r="AI422">
        <v>1.2896660110871552</v>
      </c>
      <c r="AJ422">
        <v>1.1248221153875462</v>
      </c>
      <c r="AK422">
        <v>1.3426056571759373</v>
      </c>
      <c r="AL422">
        <v>1.1023721389374901</v>
      </c>
    </row>
    <row r="423" spans="1:38" x14ac:dyDescent="0.4">
      <c r="A423" s="10">
        <v>43032</v>
      </c>
      <c r="B423" s="11">
        <v>1.37873618616287</v>
      </c>
      <c r="C423" s="11">
        <v>1.443790738683514</v>
      </c>
      <c r="D423" s="11">
        <v>1.281604856148141</v>
      </c>
      <c r="E423" s="11">
        <v>1.336921149435472</v>
      </c>
      <c r="P423" s="1">
        <f>A422</f>
        <v>43031</v>
      </c>
      <c r="Q423" s="14">
        <f>[1]!i_dq_close(Q$2,$P423)</f>
        <v>2086.4272999999998</v>
      </c>
      <c r="R423" s="14">
        <f>[1]!i_dq_close(R$2,$P423)</f>
        <v>3655.6614</v>
      </c>
      <c r="S423" s="14">
        <f>[1]!i_dq_close(S$2,$P423)</f>
        <v>4005.0810999999999</v>
      </c>
      <c r="T423" s="14">
        <f>[1]!i_dq_close(T$2,$P423)</f>
        <v>5933.9683000000005</v>
      </c>
      <c r="U423" s="14">
        <f>[1]!i_dq_close(U$2,$P423)</f>
        <v>10800.004000000001</v>
      </c>
      <c r="V423" s="14">
        <f>[1]!i_dq_close(V$2,$P423)</f>
        <v>10322.5316</v>
      </c>
      <c r="W423" s="14">
        <f>[1]!i_dq_close(W$2,$P423)</f>
        <v>5999.9228000000003</v>
      </c>
      <c r="X423" s="14">
        <f>[1]!i_dq_close(X$2,$P423)</f>
        <v>6138.1772000000001</v>
      </c>
      <c r="Y423" s="14">
        <f>[1]!i_dq_close(Y$2,$P423)</f>
        <v>6826.4327000000003</v>
      </c>
      <c r="Z423" s="14">
        <f>[1]!i_dq_close(Z$2,$P423)</f>
        <v>2489.0699</v>
      </c>
      <c r="AB423" s="1">
        <v>43031</v>
      </c>
      <c r="AC423">
        <v>1.2386453111589593</v>
      </c>
      <c r="AD423">
        <v>1.4328571163721402</v>
      </c>
      <c r="AE423">
        <v>1.1853197291571147</v>
      </c>
      <c r="AF423">
        <v>1.2268987724537217</v>
      </c>
      <c r="AG423">
        <v>1.6103239620217165</v>
      </c>
      <c r="AH423">
        <v>1.2748916317641579</v>
      </c>
      <c r="AI423">
        <v>1.2859377723276175</v>
      </c>
      <c r="AJ423">
        <v>1.1338834818542964</v>
      </c>
      <c r="AK423">
        <v>1.3558835957342705</v>
      </c>
      <c r="AL423">
        <v>1.1062538297240945</v>
      </c>
    </row>
    <row r="424" spans="1:38" x14ac:dyDescent="0.4">
      <c r="A424" s="10">
        <v>43033</v>
      </c>
      <c r="B424" s="11">
        <v>1.3887402451571711</v>
      </c>
      <c r="C424" s="11">
        <v>1.453012459763668</v>
      </c>
      <c r="D424" s="11">
        <v>1.2898971873917979</v>
      </c>
      <c r="E424" s="11">
        <v>1.345805740048498</v>
      </c>
      <c r="P424" s="1">
        <f>A423</f>
        <v>43032</v>
      </c>
      <c r="Q424" s="14">
        <f>[1]!i_dq_close(Q$2,$P424)</f>
        <v>2090.3638999999998</v>
      </c>
      <c r="R424" s="14">
        <f>[1]!i_dq_close(R$2,$P424)</f>
        <v>3666.8407000000002</v>
      </c>
      <c r="S424" s="14">
        <f>[1]!i_dq_close(S$2,$P424)</f>
        <v>3998.9938999999999</v>
      </c>
      <c r="T424" s="14">
        <f>[1]!i_dq_close(T$2,$P424)</f>
        <v>5937.7983000000004</v>
      </c>
      <c r="U424" s="14">
        <f>[1]!i_dq_close(U$2,$P424)</f>
        <v>10816.661400000001</v>
      </c>
      <c r="V424" s="14">
        <f>[1]!i_dq_close(V$2,$P424)</f>
        <v>10327.403399999999</v>
      </c>
      <c r="W424" s="14">
        <f>[1]!i_dq_close(W$2,$P424)</f>
        <v>6055.2817999999997</v>
      </c>
      <c r="X424" s="14">
        <f>[1]!i_dq_close(X$2,$P424)</f>
        <v>6115.1566000000003</v>
      </c>
      <c r="Y424" s="14">
        <f>[1]!i_dq_close(Y$2,$P424)</f>
        <v>6797.9225999999999</v>
      </c>
      <c r="Z424" s="14">
        <f>[1]!i_dq_close(Z$2,$P424)</f>
        <v>2493.6727000000001</v>
      </c>
      <c r="AB424" s="1">
        <v>43032</v>
      </c>
      <c r="AC424">
        <v>1.2409823449640234</v>
      </c>
      <c r="AD424">
        <v>1.4372389060972661</v>
      </c>
      <c r="AE424">
        <v>1.1835181980332319</v>
      </c>
      <c r="AF424">
        <v>1.2276906577589564</v>
      </c>
      <c r="AG424">
        <v>1.6128076472467385</v>
      </c>
      <c r="AH424">
        <v>1.2754933268998383</v>
      </c>
      <c r="AI424">
        <v>1.297802629845165</v>
      </c>
      <c r="AJ424">
        <v>1.1296309688961539</v>
      </c>
      <c r="AK424">
        <v>1.3502208464475538</v>
      </c>
      <c r="AL424">
        <v>1.1082995196130985</v>
      </c>
    </row>
    <row r="425" spans="1:38" x14ac:dyDescent="0.4">
      <c r="A425" s="10">
        <v>43034</v>
      </c>
      <c r="B425" s="11">
        <v>1.3931599331579989</v>
      </c>
      <c r="C425" s="11">
        <v>1.4564385991405731</v>
      </c>
      <c r="D425" s="11">
        <v>1.2945533389616779</v>
      </c>
      <c r="E425" s="11">
        <v>1.34990092701275</v>
      </c>
      <c r="P425" s="1">
        <f>A424</f>
        <v>43033</v>
      </c>
      <c r="Q425" s="14">
        <f>[1]!i_dq_close(Q$2,$P425)</f>
        <v>2097.8175999999999</v>
      </c>
      <c r="R425" s="14">
        <f>[1]!i_dq_close(R$2,$P425)</f>
        <v>3678.9717999999998</v>
      </c>
      <c r="S425" s="14">
        <f>[1]!i_dq_close(S$2,$P425)</f>
        <v>4015.8099000000002</v>
      </c>
      <c r="T425" s="14">
        <f>[1]!i_dq_close(T$2,$P425)</f>
        <v>6005.8287</v>
      </c>
      <c r="U425" s="14">
        <f>[1]!i_dq_close(U$2,$P425)</f>
        <v>10833.593999999999</v>
      </c>
      <c r="V425" s="14">
        <f>[1]!i_dq_close(V$2,$P425)</f>
        <v>10428.835300000001</v>
      </c>
      <c r="W425" s="14">
        <f>[1]!i_dq_close(W$2,$P425)</f>
        <v>6058.6220000000003</v>
      </c>
      <c r="X425" s="14">
        <f>[1]!i_dq_close(X$2,$P425)</f>
        <v>6203.8320999999996</v>
      </c>
      <c r="Y425" s="14">
        <f>[1]!i_dq_close(Y$2,$P425)</f>
        <v>6828.9515000000001</v>
      </c>
      <c r="Z425" s="14">
        <f>[1]!i_dq_close(Z$2,$P425)</f>
        <v>2499.6379000000002</v>
      </c>
      <c r="AB425" s="1">
        <v>43033</v>
      </c>
      <c r="AC425">
        <v>1.2454073688101863</v>
      </c>
      <c r="AD425">
        <v>1.4419937592038534</v>
      </c>
      <c r="AE425">
        <v>1.1884949603178971</v>
      </c>
      <c r="AF425">
        <v>1.2417565256621494</v>
      </c>
      <c r="AG425">
        <v>1.6153323658967804</v>
      </c>
      <c r="AH425">
        <v>1.2880207460945581</v>
      </c>
      <c r="AI425">
        <v>1.2985185206141476</v>
      </c>
      <c r="AJ425">
        <v>1.1460116762982095</v>
      </c>
      <c r="AK425">
        <v>1.3563838862595012</v>
      </c>
      <c r="AL425">
        <v>1.1109507209092413</v>
      </c>
    </row>
    <row r="426" spans="1:38" x14ac:dyDescent="0.4">
      <c r="A426" s="10">
        <v>43035</v>
      </c>
      <c r="B426" s="11">
        <v>1.3944069018368579</v>
      </c>
      <c r="C426" s="11">
        <v>1.4590904920770911</v>
      </c>
      <c r="D426" s="11">
        <v>1.2978655838265869</v>
      </c>
      <c r="E426" s="11">
        <v>1.35400336304428</v>
      </c>
      <c r="P426" s="1">
        <f>A425</f>
        <v>43034</v>
      </c>
      <c r="Q426" s="14">
        <f>[1]!i_dq_close(Q$2,$P426)</f>
        <v>2115.4344000000001</v>
      </c>
      <c r="R426" s="14">
        <f>[1]!i_dq_close(R$2,$P426)</f>
        <v>3696.6387</v>
      </c>
      <c r="S426" s="14">
        <f>[1]!i_dq_close(S$2,$P426)</f>
        <v>4049.3411000000001</v>
      </c>
      <c r="T426" s="14">
        <f>[1]!i_dq_close(T$2,$P426)</f>
        <v>6014.4781999999996</v>
      </c>
      <c r="U426" s="14">
        <f>[1]!i_dq_close(U$2,$P426)</f>
        <v>10987.4673</v>
      </c>
      <c r="V426" s="14">
        <f>[1]!i_dq_close(V$2,$P426)</f>
        <v>10366.4226</v>
      </c>
      <c r="W426" s="14">
        <f>[1]!i_dq_close(W$2,$P426)</f>
        <v>6058.7079999999996</v>
      </c>
      <c r="X426" s="14">
        <f>[1]!i_dq_close(X$2,$P426)</f>
        <v>6210.2532000000001</v>
      </c>
      <c r="Y426" s="14">
        <f>[1]!i_dq_close(Y$2,$P426)</f>
        <v>6940.4183999999996</v>
      </c>
      <c r="Z426" s="14">
        <f>[1]!i_dq_close(Z$2,$P426)</f>
        <v>2499.2622000000001</v>
      </c>
      <c r="AB426" s="1">
        <v>43034</v>
      </c>
      <c r="AC426">
        <v>1.2558659008269144</v>
      </c>
      <c r="AD426">
        <v>1.4489184003616027</v>
      </c>
      <c r="AE426">
        <v>1.1984186527251028</v>
      </c>
      <c r="AF426">
        <v>1.2435448838730179</v>
      </c>
      <c r="AG426">
        <v>1.6382754927794516</v>
      </c>
      <c r="AH426">
        <v>1.2803124210412535</v>
      </c>
      <c r="AI426">
        <v>1.2985369526260429</v>
      </c>
      <c r="AJ426">
        <v>1.147197823095232</v>
      </c>
      <c r="AK426">
        <v>1.3785237282266463</v>
      </c>
      <c r="AL426">
        <v>1.11078374304983</v>
      </c>
    </row>
    <row r="427" spans="1:38" x14ac:dyDescent="0.4">
      <c r="A427" s="10">
        <v>43038</v>
      </c>
      <c r="B427" s="11">
        <v>1.3850809497466581</v>
      </c>
      <c r="C427" s="11">
        <v>1.45077113796819</v>
      </c>
      <c r="D427" s="11">
        <v>1.290891912398396</v>
      </c>
      <c r="E427" s="11">
        <v>1.3477938578459541</v>
      </c>
      <c r="P427" s="1">
        <f>A426</f>
        <v>43035</v>
      </c>
      <c r="Q427" s="14">
        <f>[1]!i_dq_close(Q$2,$P427)</f>
        <v>2097.1898999999999</v>
      </c>
      <c r="R427" s="14">
        <f>[1]!i_dq_close(R$2,$P427)</f>
        <v>3653.5832999999998</v>
      </c>
      <c r="S427" s="14">
        <f>[1]!i_dq_close(S$2,$P427)</f>
        <v>4025.3762000000002</v>
      </c>
      <c r="T427" s="14">
        <f>[1]!i_dq_close(T$2,$P427)</f>
        <v>6013.9128000000001</v>
      </c>
      <c r="U427" s="14">
        <f>[1]!i_dq_close(U$2,$P427)</f>
        <v>11171.341899999999</v>
      </c>
      <c r="V427" s="14">
        <f>[1]!i_dq_close(V$2,$P427)</f>
        <v>10370.0249</v>
      </c>
      <c r="W427" s="14">
        <f>[1]!i_dq_close(W$2,$P427)</f>
        <v>6119.4686000000002</v>
      </c>
      <c r="X427" s="14">
        <f>[1]!i_dq_close(X$2,$P427)</f>
        <v>6171.2439999999997</v>
      </c>
      <c r="Y427" s="14">
        <f>[1]!i_dq_close(Y$2,$P427)</f>
        <v>6934.3456999999999</v>
      </c>
      <c r="Z427" s="14">
        <f>[1]!i_dq_close(Z$2,$P427)</f>
        <v>2489.0300000000002</v>
      </c>
      <c r="AB427" s="1">
        <v>43035</v>
      </c>
      <c r="AC427">
        <v>1.2450347233497792</v>
      </c>
      <c r="AD427">
        <v>1.4320425933494298</v>
      </c>
      <c r="AE427">
        <v>1.1913261449660772</v>
      </c>
      <c r="AF427">
        <v>1.2434279825801773</v>
      </c>
      <c r="AG427">
        <v>1.6656919339573584</v>
      </c>
      <c r="AH427">
        <v>1.2807573256734761</v>
      </c>
      <c r="AI427">
        <v>1.3115595119511878</v>
      </c>
      <c r="AJ427">
        <v>1.1399917933441925</v>
      </c>
      <c r="AK427">
        <v>1.3773175529556567</v>
      </c>
      <c r="AL427">
        <v>1.1062360963820916</v>
      </c>
    </row>
    <row r="428" spans="1:38" x14ac:dyDescent="0.4">
      <c r="A428" s="10">
        <v>43039</v>
      </c>
      <c r="B428" s="11">
        <v>1.3911636833664669</v>
      </c>
      <c r="C428" s="11">
        <v>1.454815881784679</v>
      </c>
      <c r="D428" s="11">
        <v>1.295930461565024</v>
      </c>
      <c r="E428" s="11">
        <v>1.3540373773636589</v>
      </c>
      <c r="P428" s="1">
        <f>A427</f>
        <v>43038</v>
      </c>
      <c r="Q428" s="14">
        <f>[1]!i_dq_close(Q$2,$P428)</f>
        <v>2064.2251999999999</v>
      </c>
      <c r="R428" s="14">
        <f>[1]!i_dq_close(R$2,$P428)</f>
        <v>3580.0367999999999</v>
      </c>
      <c r="S428" s="14">
        <f>[1]!i_dq_close(S$2,$P428)</f>
        <v>3966.8694999999998</v>
      </c>
      <c r="T428" s="14">
        <f>[1]!i_dq_close(T$2,$P428)</f>
        <v>5935.3387000000002</v>
      </c>
      <c r="U428" s="14">
        <f>[1]!i_dq_close(U$2,$P428)</f>
        <v>11047.353999999999</v>
      </c>
      <c r="V428" s="14">
        <f>[1]!i_dq_close(V$2,$P428)</f>
        <v>10258.090099999999</v>
      </c>
      <c r="W428" s="14">
        <f>[1]!i_dq_close(W$2,$P428)</f>
        <v>6095.9423999999999</v>
      </c>
      <c r="X428" s="14">
        <f>[1]!i_dq_close(X$2,$P428)</f>
        <v>6077.9663</v>
      </c>
      <c r="Y428" s="14">
        <f>[1]!i_dq_close(Y$2,$P428)</f>
        <v>6900.2111000000004</v>
      </c>
      <c r="Z428" s="14">
        <f>[1]!i_dq_close(Z$2,$P428)</f>
        <v>2460.6363000000001</v>
      </c>
      <c r="AB428" s="1">
        <v>43038</v>
      </c>
      <c r="AC428">
        <v>1.2254646328468599</v>
      </c>
      <c r="AD428">
        <v>1.4032156276164265</v>
      </c>
      <c r="AE428">
        <v>1.1740108536982232</v>
      </c>
      <c r="AF428">
        <v>1.2271821143916575</v>
      </c>
      <c r="AG428">
        <v>1.6472048402145456</v>
      </c>
      <c r="AH428">
        <v>1.2669327383190334</v>
      </c>
      <c r="AI428">
        <v>1.3065172422040947</v>
      </c>
      <c r="AJ428">
        <v>1.1227609380252292</v>
      </c>
      <c r="AK428">
        <v>1.3705376510330975</v>
      </c>
      <c r="AL428">
        <v>1.0936166679903709</v>
      </c>
    </row>
    <row r="429" spans="1:38" x14ac:dyDescent="0.4">
      <c r="A429" s="10">
        <v>43040</v>
      </c>
      <c r="B429" s="11">
        <v>1.3886948939928141</v>
      </c>
      <c r="C429" s="11">
        <v>1.451538807472001</v>
      </c>
      <c r="D429" s="11">
        <v>1.293242143107759</v>
      </c>
      <c r="E429" s="11">
        <v>1.351297909238323</v>
      </c>
      <c r="P429" s="1">
        <f>A428</f>
        <v>43039</v>
      </c>
      <c r="Q429" s="14">
        <f>[1]!i_dq_close(Q$2,$P429)</f>
        <v>2073.6867000000002</v>
      </c>
      <c r="R429" s="14">
        <f>[1]!i_dq_close(R$2,$P429)</f>
        <v>3607.5576000000001</v>
      </c>
      <c r="S429" s="14">
        <f>[1]!i_dq_close(S$2,$P429)</f>
        <v>3999.8984999999998</v>
      </c>
      <c r="T429" s="14">
        <f>[1]!i_dq_close(T$2,$P429)</f>
        <v>5928.7564000000002</v>
      </c>
      <c r="U429" s="14">
        <f>[1]!i_dq_close(U$2,$P429)</f>
        <v>11023.6589</v>
      </c>
      <c r="V429" s="14">
        <f>[1]!i_dq_close(V$2,$P429)</f>
        <v>10257.331399999999</v>
      </c>
      <c r="W429" s="14">
        <f>[1]!i_dq_close(W$2,$P429)</f>
        <v>6074.8134</v>
      </c>
      <c r="X429" s="14">
        <f>[1]!i_dq_close(X$2,$P429)</f>
        <v>6146.4633999999996</v>
      </c>
      <c r="Y429" s="14">
        <f>[1]!i_dq_close(Y$2,$P429)</f>
        <v>6991.5883000000003</v>
      </c>
      <c r="Z429" s="14">
        <f>[1]!i_dq_close(Z$2,$P429)</f>
        <v>2456.038</v>
      </c>
      <c r="AB429" s="1">
        <v>43039</v>
      </c>
      <c r="AC429">
        <v>1.2310816234851298</v>
      </c>
      <c r="AD429">
        <v>1.4140025604894366</v>
      </c>
      <c r="AE429">
        <v>1.1837859180119845</v>
      </c>
      <c r="AF429">
        <v>1.2258211674870503</v>
      </c>
      <c r="AG429">
        <v>1.6436718056608086</v>
      </c>
      <c r="AH429">
        <v>1.2668390345340994</v>
      </c>
      <c r="AI429">
        <v>1.3019887540722956</v>
      </c>
      <c r="AJ429">
        <v>1.1354141618919045</v>
      </c>
      <c r="AK429">
        <v>1.3886872251882971</v>
      </c>
      <c r="AL429">
        <v>1.0915729781023449</v>
      </c>
    </row>
    <row r="430" spans="1:38" x14ac:dyDescent="0.4">
      <c r="A430" s="10">
        <v>43041</v>
      </c>
      <c r="B430" s="11">
        <v>1.381650833547224</v>
      </c>
      <c r="C430" s="11">
        <v>1.4445151126892919</v>
      </c>
      <c r="D430" s="11">
        <v>1.287390509349013</v>
      </c>
      <c r="E430" s="11">
        <v>1.3445522178303171</v>
      </c>
      <c r="P430" s="1">
        <f>A429</f>
        <v>43040</v>
      </c>
      <c r="Q430" s="14">
        <f>[1]!i_dq_close(Q$2,$P430)</f>
        <v>2079.8321999999998</v>
      </c>
      <c r="R430" s="14">
        <f>[1]!i_dq_close(R$2,$P430)</f>
        <v>3612.5212000000001</v>
      </c>
      <c r="S430" s="14">
        <f>[1]!i_dq_close(S$2,$P430)</f>
        <v>4008.9906000000001</v>
      </c>
      <c r="T430" s="14">
        <f>[1]!i_dq_close(T$2,$P430)</f>
        <v>5891.2020000000002</v>
      </c>
      <c r="U430" s="14">
        <f>[1]!i_dq_close(U$2,$P430)</f>
        <v>11024.325000000001</v>
      </c>
      <c r="V430" s="14">
        <f>[1]!i_dq_close(V$2,$P430)</f>
        <v>10234.5669</v>
      </c>
      <c r="W430" s="14">
        <f>[1]!i_dq_close(W$2,$P430)</f>
        <v>6054.0964999999997</v>
      </c>
      <c r="X430" s="14">
        <f>[1]!i_dq_close(X$2,$P430)</f>
        <v>6136.5774000000001</v>
      </c>
      <c r="Y430" s="14">
        <f>[1]!i_dq_close(Y$2,$P430)</f>
        <v>6951.3364000000001</v>
      </c>
      <c r="Z430" s="14">
        <f>[1]!i_dq_close(Z$2,$P430)</f>
        <v>2453.9450000000002</v>
      </c>
      <c r="AB430" s="1">
        <v>43040</v>
      </c>
      <c r="AC430">
        <v>1.2347300107352999</v>
      </c>
      <c r="AD430">
        <v>1.4159480715214006</v>
      </c>
      <c r="AE430">
        <v>1.1864767612784217</v>
      </c>
      <c r="AF430">
        <v>1.2180564736210187</v>
      </c>
      <c r="AG430">
        <v>1.6437711238454225</v>
      </c>
      <c r="AH430">
        <v>1.2640274887160856</v>
      </c>
      <c r="AI430">
        <v>1.29754858956959</v>
      </c>
      <c r="AJ430">
        <v>1.1335879565321747</v>
      </c>
      <c r="AK430">
        <v>1.3806922894281985</v>
      </c>
      <c r="AL430">
        <v>1.0906427554253471</v>
      </c>
    </row>
    <row r="431" spans="1:38" x14ac:dyDescent="0.4">
      <c r="A431" s="10">
        <v>43042</v>
      </c>
      <c r="B431" s="11">
        <v>1.375998391145842</v>
      </c>
      <c r="C431" s="11">
        <v>1.437336815494811</v>
      </c>
      <c r="D431" s="11">
        <v>1.2842846242384021</v>
      </c>
      <c r="E431" s="11">
        <v>1.339843658187313</v>
      </c>
      <c r="P431" s="1">
        <f>A430</f>
        <v>43041</v>
      </c>
      <c r="Q431" s="14">
        <f>[1]!i_dq_close(Q$2,$P431)</f>
        <v>2074.7840999999999</v>
      </c>
      <c r="R431" s="14">
        <f>[1]!i_dq_close(R$2,$P431)</f>
        <v>3565.3643999999999</v>
      </c>
      <c r="S431" s="14">
        <f>[1]!i_dq_close(S$2,$P431)</f>
        <v>3970.1936000000001</v>
      </c>
      <c r="T431" s="14">
        <f>[1]!i_dq_close(T$2,$P431)</f>
        <v>5856.9628000000002</v>
      </c>
      <c r="U431" s="14">
        <f>[1]!i_dq_close(U$2,$P431)</f>
        <v>11033.464</v>
      </c>
      <c r="V431" s="14">
        <f>[1]!i_dq_close(V$2,$P431)</f>
        <v>10226.979600000001</v>
      </c>
      <c r="W431" s="14">
        <f>[1]!i_dq_close(W$2,$P431)</f>
        <v>6059.2713000000003</v>
      </c>
      <c r="X431" s="14">
        <f>[1]!i_dq_close(X$2,$P431)</f>
        <v>6085.6603999999998</v>
      </c>
      <c r="Y431" s="14">
        <f>[1]!i_dq_close(Y$2,$P431)</f>
        <v>6875.9192000000003</v>
      </c>
      <c r="Z431" s="14">
        <f>[1]!i_dq_close(Z$2,$P431)</f>
        <v>2447.4630999999999</v>
      </c>
      <c r="AB431" s="1">
        <v>43041</v>
      </c>
      <c r="AC431">
        <v>1.2317331148476447</v>
      </c>
      <c r="AD431">
        <v>1.39746469763307</v>
      </c>
      <c r="AE431">
        <v>1.1749946343541733</v>
      </c>
      <c r="AF431">
        <v>1.2109772257507869</v>
      </c>
      <c r="AG431">
        <v>1.6451337854415584</v>
      </c>
      <c r="AH431">
        <v>1.263090413815033</v>
      </c>
      <c r="AI431">
        <v>1.2986576823039568</v>
      </c>
      <c r="AJ431">
        <v>1.1241822415512557</v>
      </c>
      <c r="AK431">
        <v>1.3657127314643134</v>
      </c>
      <c r="AL431">
        <v>1.0877619095724891</v>
      </c>
    </row>
    <row r="432" spans="1:38" x14ac:dyDescent="0.4">
      <c r="A432" s="10">
        <v>43045</v>
      </c>
      <c r="B432" s="11">
        <v>1.395115071305951</v>
      </c>
      <c r="C432" s="11">
        <v>1.4563299166615919</v>
      </c>
      <c r="D432" s="11">
        <v>1.3029869067471209</v>
      </c>
      <c r="E432" s="11">
        <v>1.359459146750758</v>
      </c>
      <c r="P432" s="1">
        <f>A431</f>
        <v>43042</v>
      </c>
      <c r="Q432" s="14">
        <f>[1]!i_dq_close(Q$2,$P432)</f>
        <v>2052.4108000000001</v>
      </c>
      <c r="R432" s="14">
        <f>[1]!i_dq_close(R$2,$P432)</f>
        <v>3519.076</v>
      </c>
      <c r="S432" s="14">
        <f>[1]!i_dq_close(S$2,$P432)</f>
        <v>3934.2136</v>
      </c>
      <c r="T432" s="14">
        <f>[1]!i_dq_close(T$2,$P432)</f>
        <v>5815.6769000000004</v>
      </c>
      <c r="U432" s="14">
        <f>[1]!i_dq_close(U$2,$P432)</f>
        <v>11075.6263</v>
      </c>
      <c r="V432" s="14">
        <f>[1]!i_dq_close(V$2,$P432)</f>
        <v>10220.595799999999</v>
      </c>
      <c r="W432" s="14">
        <f>[1]!i_dq_close(W$2,$P432)</f>
        <v>6039.9686000000002</v>
      </c>
      <c r="X432" s="14">
        <f>[1]!i_dq_close(X$2,$P432)</f>
        <v>6090.5977000000003</v>
      </c>
      <c r="Y432" s="14">
        <f>[1]!i_dq_close(Y$2,$P432)</f>
        <v>6901.2631000000001</v>
      </c>
      <c r="Z432" s="14">
        <f>[1]!i_dq_close(Z$2,$P432)</f>
        <v>2437.1567</v>
      </c>
      <c r="AB432" s="1">
        <v>43042</v>
      </c>
      <c r="AC432">
        <v>1.2184508005584518</v>
      </c>
      <c r="AD432">
        <v>1.3793216980255352</v>
      </c>
      <c r="AE432">
        <v>1.1643462098178829</v>
      </c>
      <c r="AF432">
        <v>1.2024410122982063</v>
      </c>
      <c r="AG432">
        <v>1.6514203536672691</v>
      </c>
      <c r="AH432">
        <v>1.2623019780403382</v>
      </c>
      <c r="AI432">
        <v>1.2945206172340682</v>
      </c>
      <c r="AJ432">
        <v>1.1250942912905431</v>
      </c>
      <c r="AK432">
        <v>1.3707466019750312</v>
      </c>
      <c r="AL432">
        <v>1.0831812851108504</v>
      </c>
    </row>
    <row r="433" spans="1:38" x14ac:dyDescent="0.4">
      <c r="A433" s="10">
        <v>43046</v>
      </c>
      <c r="B433" s="11">
        <v>1.401645083358988</v>
      </c>
      <c r="C433" s="11">
        <v>1.4621462489806309</v>
      </c>
      <c r="D433" s="11">
        <v>1.308425940466944</v>
      </c>
      <c r="E433" s="11">
        <v>1.365248770706929</v>
      </c>
      <c r="P433" s="1">
        <f>A432</f>
        <v>43045</v>
      </c>
      <c r="Q433" s="14">
        <f>[1]!i_dq_close(Q$2,$P433)</f>
        <v>2066.4672</v>
      </c>
      <c r="R433" s="14">
        <f>[1]!i_dq_close(R$2,$P433)</f>
        <v>3547.7350999999999</v>
      </c>
      <c r="S433" s="14">
        <f>[1]!i_dq_close(S$2,$P433)</f>
        <v>3955.9268000000002</v>
      </c>
      <c r="T433" s="14">
        <f>[1]!i_dq_close(T$2,$P433)</f>
        <v>5904.8248999999996</v>
      </c>
      <c r="U433" s="14">
        <f>[1]!i_dq_close(U$2,$P433)</f>
        <v>11316.888199999999</v>
      </c>
      <c r="V433" s="14">
        <f>[1]!i_dq_close(V$2,$P433)</f>
        <v>10495.691500000001</v>
      </c>
      <c r="W433" s="14">
        <f>[1]!i_dq_close(W$2,$P433)</f>
        <v>5986.7098999999998</v>
      </c>
      <c r="X433" s="14">
        <f>[1]!i_dq_close(X$2,$P433)</f>
        <v>6209.6387999999997</v>
      </c>
      <c r="Y433" s="14">
        <f>[1]!i_dq_close(Y$2,$P433)</f>
        <v>7084.2619999999997</v>
      </c>
      <c r="Z433" s="14">
        <f>[1]!i_dq_close(Z$2,$P433)</f>
        <v>2445.2707999999998</v>
      </c>
      <c r="AB433" s="1">
        <v>43045</v>
      </c>
      <c r="AC433">
        <v>1.226795636705762</v>
      </c>
      <c r="AD433">
        <v>1.3905547940075156</v>
      </c>
      <c r="AE433">
        <v>1.1707723179791221</v>
      </c>
      <c r="AF433">
        <v>1.2208731248807261</v>
      </c>
      <c r="AG433">
        <v>1.6873934717043446</v>
      </c>
      <c r="AH433">
        <v>1.2962778687863936</v>
      </c>
      <c r="AI433">
        <v>1.2831059080256322</v>
      </c>
      <c r="AJ433">
        <v>1.1470843271845483</v>
      </c>
      <c r="AK433">
        <v>1.4070943135033989</v>
      </c>
      <c r="AL433">
        <v>1.0867875535405815</v>
      </c>
    </row>
    <row r="434" spans="1:38" x14ac:dyDescent="0.4">
      <c r="A434" s="10">
        <v>43047</v>
      </c>
      <c r="B434" s="11">
        <v>1.400173845404447</v>
      </c>
      <c r="C434" s="11">
        <v>1.4596901258735</v>
      </c>
      <c r="D434" s="11">
        <v>1.3050103943776259</v>
      </c>
      <c r="E434" s="11">
        <v>1.362618658387295</v>
      </c>
      <c r="P434" s="1">
        <f>A433</f>
        <v>43046</v>
      </c>
      <c r="Q434" s="14">
        <f>[1]!i_dq_close(Q$2,$P434)</f>
        <v>2107.7707</v>
      </c>
      <c r="R434" s="14">
        <f>[1]!i_dq_close(R$2,$P434)</f>
        <v>3573.0596</v>
      </c>
      <c r="S434" s="14">
        <f>[1]!i_dq_close(S$2,$P434)</f>
        <v>3971.3135000000002</v>
      </c>
      <c r="T434" s="14">
        <f>[1]!i_dq_close(T$2,$P434)</f>
        <v>5944.8563000000004</v>
      </c>
      <c r="U434" s="14">
        <f>[1]!i_dq_close(U$2,$P434)</f>
        <v>11294.0407</v>
      </c>
      <c r="V434" s="14">
        <f>[1]!i_dq_close(V$2,$P434)</f>
        <v>10487.4192</v>
      </c>
      <c r="W434" s="14">
        <f>[1]!i_dq_close(W$2,$P434)</f>
        <v>6069.0536000000002</v>
      </c>
      <c r="X434" s="14">
        <f>[1]!i_dq_close(X$2,$P434)</f>
        <v>6261.7682000000004</v>
      </c>
      <c r="Y434" s="14">
        <f>[1]!i_dq_close(Y$2,$P434)</f>
        <v>7126.8707000000004</v>
      </c>
      <c r="Z434" s="14">
        <f>[1]!i_dq_close(Z$2,$P434)</f>
        <v>2461.0115999999998</v>
      </c>
      <c r="AB434" s="1">
        <v>43046</v>
      </c>
      <c r="AC434">
        <v>1.2513162066817463</v>
      </c>
      <c r="AD434">
        <v>1.4004808747007567</v>
      </c>
      <c r="AE434">
        <v>1.1753260732268302</v>
      </c>
      <c r="AF434">
        <v>1.2291499597130935</v>
      </c>
      <c r="AG434">
        <v>1.6839868177140043</v>
      </c>
      <c r="AH434">
        <v>1.2952561924715018</v>
      </c>
      <c r="AI434">
        <v>1.3007542807918975</v>
      </c>
      <c r="AJ434">
        <v>1.1567140044735937</v>
      </c>
      <c r="AK434">
        <v>1.415557362932651</v>
      </c>
      <c r="AL434">
        <v>1.0937834680719176</v>
      </c>
    </row>
    <row r="435" spans="1:38" x14ac:dyDescent="0.4">
      <c r="A435" s="10">
        <v>43048</v>
      </c>
      <c r="B435" s="11">
        <v>1.411864059255632</v>
      </c>
      <c r="C435" s="11">
        <v>1.470022602468851</v>
      </c>
      <c r="D435" s="11">
        <v>1.3167061655190619</v>
      </c>
      <c r="E435" s="11">
        <v>1.375176025875497</v>
      </c>
      <c r="P435" s="1">
        <f>A434</f>
        <v>43047</v>
      </c>
      <c r="Q435" s="14">
        <f>[1]!i_dq_close(Q$2,$P435)</f>
        <v>2102.2440000000001</v>
      </c>
      <c r="R435" s="14">
        <f>[1]!i_dq_close(R$2,$P435)</f>
        <v>3585.8944999999999</v>
      </c>
      <c r="S435" s="14">
        <f>[1]!i_dq_close(S$2,$P435)</f>
        <v>3977.8917999999999</v>
      </c>
      <c r="T435" s="14">
        <f>[1]!i_dq_close(T$2,$P435)</f>
        <v>5953.3455000000004</v>
      </c>
      <c r="U435" s="14">
        <f>[1]!i_dq_close(U$2,$P435)</f>
        <v>11229.1875</v>
      </c>
      <c r="V435" s="14">
        <f>[1]!i_dq_close(V$2,$P435)</f>
        <v>10399.3014</v>
      </c>
      <c r="W435" s="14">
        <f>[1]!i_dq_close(W$2,$P435)</f>
        <v>6081.8908000000001</v>
      </c>
      <c r="X435" s="14">
        <f>[1]!i_dq_close(X$2,$P435)</f>
        <v>6253.3244999999997</v>
      </c>
      <c r="Y435" s="14">
        <f>[1]!i_dq_close(Y$2,$P435)</f>
        <v>7089.3292000000001</v>
      </c>
      <c r="Z435" s="14">
        <f>[1]!i_dq_close(Z$2,$P435)</f>
        <v>2475.2273</v>
      </c>
      <c r="AB435" s="1">
        <v>43047</v>
      </c>
      <c r="AC435">
        <v>1.2480351812459776</v>
      </c>
      <c r="AD435">
        <v>1.4055115861892233</v>
      </c>
      <c r="AE435">
        <v>1.1772729473548755</v>
      </c>
      <c r="AF435">
        <v>1.2309051745259387</v>
      </c>
      <c r="AG435">
        <v>1.6743169451867546</v>
      </c>
      <c r="AH435">
        <v>1.2843731406986723</v>
      </c>
      <c r="AI435">
        <v>1.3035056229209869</v>
      </c>
      <c r="AJ435">
        <v>1.1551542300252877</v>
      </c>
      <c r="AK435">
        <v>1.4081007737818845</v>
      </c>
      <c r="AL435">
        <v>1.1001015600496515</v>
      </c>
    </row>
    <row r="436" spans="1:38" x14ac:dyDescent="0.4">
      <c r="A436" s="10">
        <v>43049</v>
      </c>
      <c r="B436" s="11">
        <v>1.425969466660401</v>
      </c>
      <c r="C436" s="11">
        <v>1.485180069488953</v>
      </c>
      <c r="D436" s="11">
        <v>1.3335210357293921</v>
      </c>
      <c r="E436" s="11">
        <v>1.3951865308433571</v>
      </c>
      <c r="P436" s="1">
        <f>A435</f>
        <v>43048</v>
      </c>
      <c r="Q436" s="14">
        <f>[1]!i_dq_close(Q$2,$P436)</f>
        <v>2128.2231999999999</v>
      </c>
      <c r="R436" s="14">
        <f>[1]!i_dq_close(R$2,$P436)</f>
        <v>3597.9971</v>
      </c>
      <c r="S436" s="14">
        <f>[1]!i_dq_close(S$2,$P436)</f>
        <v>3997.0237999999999</v>
      </c>
      <c r="T436" s="14">
        <f>[1]!i_dq_close(T$2,$P436)</f>
        <v>5998.7138999999997</v>
      </c>
      <c r="U436" s="14">
        <f>[1]!i_dq_close(U$2,$P436)</f>
        <v>11278.8685</v>
      </c>
      <c r="V436" s="14">
        <f>[1]!i_dq_close(V$2,$P436)</f>
        <v>10458.930399999999</v>
      </c>
      <c r="W436" s="14">
        <f>[1]!i_dq_close(W$2,$P436)</f>
        <v>6100.8787000000002</v>
      </c>
      <c r="X436" s="14">
        <f>[1]!i_dq_close(X$2,$P436)</f>
        <v>6349.5564999999997</v>
      </c>
      <c r="Y436" s="14">
        <f>[1]!i_dq_close(Y$2,$P436)</f>
        <v>7287.9857000000002</v>
      </c>
      <c r="Z436" s="14">
        <f>[1]!i_dq_close(Z$2,$P436)</f>
        <v>2483.4850000000001</v>
      </c>
      <c r="AB436" s="1">
        <v>43048</v>
      </c>
      <c r="AC436">
        <v>1.2634582033027062</v>
      </c>
      <c r="AD436">
        <v>1.4102552685599719</v>
      </c>
      <c r="AE436">
        <v>1.1829351390788421</v>
      </c>
      <c r="AF436">
        <v>1.2402854798215011</v>
      </c>
      <c r="AG436">
        <v>1.6817245817725561</v>
      </c>
      <c r="AH436">
        <v>1.2917376628969346</v>
      </c>
      <c r="AI436">
        <v>1.3075752182543101</v>
      </c>
      <c r="AJ436">
        <v>1.1729308225983732</v>
      </c>
      <c r="AK436">
        <v>1.4475584380368891</v>
      </c>
      <c r="AL436">
        <v>1.103771650732807</v>
      </c>
    </row>
    <row r="437" spans="1:38" x14ac:dyDescent="0.4">
      <c r="A437" s="10">
        <v>43052</v>
      </c>
      <c r="B437" s="11">
        <v>1.4338871099110191</v>
      </c>
      <c r="C437" s="11">
        <v>1.4916161451947569</v>
      </c>
      <c r="D437" s="11">
        <v>1.340096358222528</v>
      </c>
      <c r="E437" s="11">
        <v>1.40220308374217</v>
      </c>
      <c r="P437" s="1">
        <f>A436</f>
        <v>43049</v>
      </c>
      <c r="Q437" s="14">
        <f>[1]!i_dq_close(Q$2,$P437)</f>
        <v>2095.5661</v>
      </c>
      <c r="R437" s="14">
        <f>[1]!i_dq_close(R$2,$P437)</f>
        <v>3589.9537</v>
      </c>
      <c r="S437" s="14">
        <f>[1]!i_dq_close(S$2,$P437)</f>
        <v>4006.0477000000001</v>
      </c>
      <c r="T437" s="14">
        <f>[1]!i_dq_close(T$2,$P437)</f>
        <v>6047.0933000000005</v>
      </c>
      <c r="U437" s="14">
        <f>[1]!i_dq_close(U$2,$P437)</f>
        <v>11531.0849</v>
      </c>
      <c r="V437" s="14">
        <f>[1]!i_dq_close(V$2,$P437)</f>
        <v>10509.801799999999</v>
      </c>
      <c r="W437" s="14">
        <f>[1]!i_dq_close(W$2,$P437)</f>
        <v>6142.2196999999996</v>
      </c>
      <c r="X437" s="14">
        <f>[1]!i_dq_close(X$2,$P437)</f>
        <v>6403.2892000000002</v>
      </c>
      <c r="Y437" s="14">
        <f>[1]!i_dq_close(Y$2,$P437)</f>
        <v>7395.3626999999997</v>
      </c>
      <c r="Z437" s="14">
        <f>[1]!i_dq_close(Z$2,$P437)</f>
        <v>2474.4511000000002</v>
      </c>
      <c r="AB437" s="1">
        <v>43049</v>
      </c>
      <c r="AC437">
        <v>1.2440707251044247</v>
      </c>
      <c r="AD437">
        <v>1.4071026125372266</v>
      </c>
      <c r="AE437">
        <v>1.1856057982832064</v>
      </c>
      <c r="AF437">
        <v>1.2502883351572884</v>
      </c>
      <c r="AG437">
        <v>1.7193310597456062</v>
      </c>
      <c r="AH437">
        <v>1.2980205714574786</v>
      </c>
      <c r="AI437">
        <v>1.3164356578329319</v>
      </c>
      <c r="AJ437">
        <v>1.1828566717520002</v>
      </c>
      <c r="AK437">
        <v>1.4688859335616247</v>
      </c>
      <c r="AL437">
        <v>1.099756582103218</v>
      </c>
    </row>
    <row r="438" spans="1:38" x14ac:dyDescent="0.4">
      <c r="A438" s="10">
        <v>43053</v>
      </c>
      <c r="B438" s="11">
        <v>1.4194370283615081</v>
      </c>
      <c r="C438" s="11">
        <v>1.4772590019085681</v>
      </c>
      <c r="D438" s="11">
        <v>1.324984862898219</v>
      </c>
      <c r="E438" s="11">
        <v>1.3837689407697129</v>
      </c>
      <c r="P438" s="1">
        <f>A437</f>
        <v>43052</v>
      </c>
      <c r="Q438" s="14">
        <f>[1]!i_dq_close(Q$2,$P438)</f>
        <v>2116.2977000000001</v>
      </c>
      <c r="R438" s="14">
        <f>[1]!i_dq_close(R$2,$P438)</f>
        <v>3617.7381999999998</v>
      </c>
      <c r="S438" s="14">
        <f>[1]!i_dq_close(S$2,$P438)</f>
        <v>4005.3157000000001</v>
      </c>
      <c r="T438" s="14">
        <f>[1]!i_dq_close(T$2,$P438)</f>
        <v>6043.4503999999997</v>
      </c>
      <c r="U438" s="14">
        <f>[1]!i_dq_close(U$2,$P438)</f>
        <v>11475.965099999999</v>
      </c>
      <c r="V438" s="14">
        <f>[1]!i_dq_close(V$2,$P438)</f>
        <v>10505.3912</v>
      </c>
      <c r="W438" s="14">
        <f>[1]!i_dq_close(W$2,$P438)</f>
        <v>6167.2727000000004</v>
      </c>
      <c r="X438" s="14">
        <f>[1]!i_dq_close(X$2,$P438)</f>
        <v>6474.6052</v>
      </c>
      <c r="Y438" s="14">
        <f>[1]!i_dq_close(Y$2,$P438)</f>
        <v>7455.6157000000003</v>
      </c>
      <c r="Z438" s="14">
        <f>[1]!i_dq_close(Z$2,$P438)</f>
        <v>2459.7777999999998</v>
      </c>
      <c r="AB438" s="1">
        <v>43052</v>
      </c>
      <c r="AC438">
        <v>1.2563784144894434</v>
      </c>
      <c r="AD438">
        <v>1.4179929041134216</v>
      </c>
      <c r="AE438">
        <v>1.1853891599630129</v>
      </c>
      <c r="AF438">
        <v>1.2495351343796282</v>
      </c>
      <c r="AG438">
        <v>1.7111124762412069</v>
      </c>
      <c r="AH438">
        <v>1.2974758371569262</v>
      </c>
      <c r="AI438">
        <v>1.3218051600888818</v>
      </c>
      <c r="AJ438">
        <v>1.1960306209159184</v>
      </c>
      <c r="AK438">
        <v>1.4808535391741107</v>
      </c>
      <c r="AL438">
        <v>1.0932351122482771</v>
      </c>
    </row>
    <row r="439" spans="1:38" x14ac:dyDescent="0.4">
      <c r="A439" s="10">
        <v>43054</v>
      </c>
      <c r="B439" s="11">
        <v>1.406525799486015</v>
      </c>
      <c r="C439" s="11">
        <v>1.466249048145827</v>
      </c>
      <c r="D439" s="11">
        <v>1.3129615856448571</v>
      </c>
      <c r="E439" s="11">
        <v>1.367766187617355</v>
      </c>
      <c r="P439" s="1">
        <f>A438</f>
        <v>43053</v>
      </c>
      <c r="Q439" s="14">
        <f>[1]!i_dq_close(Q$2,$P439)</f>
        <v>2122.2873</v>
      </c>
      <c r="R439" s="14">
        <f>[1]!i_dq_close(R$2,$P439)</f>
        <v>3604.5232999999998</v>
      </c>
      <c r="S439" s="14">
        <f>[1]!i_dq_close(S$2,$P439)</f>
        <v>3985.7440999999999</v>
      </c>
      <c r="T439" s="14">
        <f>[1]!i_dq_close(T$2,$P439)</f>
        <v>5966.9202999999998</v>
      </c>
      <c r="U439" s="14">
        <f>[1]!i_dq_close(U$2,$P439)</f>
        <v>11281.3079</v>
      </c>
      <c r="V439" s="14">
        <f>[1]!i_dq_close(V$2,$P439)</f>
        <v>10376.5345</v>
      </c>
      <c r="W439" s="14">
        <f>[1]!i_dq_close(W$2,$P439)</f>
        <v>6167.2766000000001</v>
      </c>
      <c r="X439" s="14">
        <f>[1]!i_dq_close(X$2,$P439)</f>
        <v>6386.6217999999999</v>
      </c>
      <c r="Y439" s="14">
        <f>[1]!i_dq_close(Y$2,$P439)</f>
        <v>7373.0488999999998</v>
      </c>
      <c r="Z439" s="14">
        <f>[1]!i_dq_close(Z$2,$P439)</f>
        <v>2450.4814000000001</v>
      </c>
      <c r="AB439" s="1">
        <v>43053</v>
      </c>
      <c r="AC439">
        <v>1.2599342488843046</v>
      </c>
      <c r="AD439">
        <v>1.4128132494804333</v>
      </c>
      <c r="AE439">
        <v>1.1795968668653345</v>
      </c>
      <c r="AF439">
        <v>1.2337118806986536</v>
      </c>
      <c r="AG439">
        <v>1.6820883061075613</v>
      </c>
      <c r="AH439">
        <v>1.2815612984669458</v>
      </c>
      <c r="AI439">
        <v>1.3218059959591886</v>
      </c>
      <c r="AJ439">
        <v>1.1797777626671568</v>
      </c>
      <c r="AK439">
        <v>1.4644539092953495</v>
      </c>
      <c r="AL439">
        <v>1.0891033768949843</v>
      </c>
    </row>
    <row r="440" spans="1:38" x14ac:dyDescent="0.4">
      <c r="A440" s="10">
        <v>43055</v>
      </c>
      <c r="B440" s="11">
        <v>1.418094469671771</v>
      </c>
      <c r="C440" s="11">
        <v>1.478253037770171</v>
      </c>
      <c r="D440" s="11">
        <v>1.327492463660036</v>
      </c>
      <c r="E440" s="11">
        <v>1.382384007143916</v>
      </c>
      <c r="P440" s="1">
        <f>A439</f>
        <v>43054</v>
      </c>
      <c r="Q440" s="14">
        <f>[1]!i_dq_close(Q$2,$P440)</f>
        <v>2093.9823999999999</v>
      </c>
      <c r="R440" s="14">
        <f>[1]!i_dq_close(R$2,$P440)</f>
        <v>3551.2824000000001</v>
      </c>
      <c r="S440" s="14">
        <f>[1]!i_dq_close(S$2,$P440)</f>
        <v>3936.0129000000002</v>
      </c>
      <c r="T440" s="14">
        <f>[1]!i_dq_close(T$2,$P440)</f>
        <v>5934.3496999999998</v>
      </c>
      <c r="U440" s="14">
        <f>[1]!i_dq_close(U$2,$P440)</f>
        <v>11342.1633</v>
      </c>
      <c r="V440" s="14">
        <f>[1]!i_dq_close(V$2,$P440)</f>
        <v>10372.5069</v>
      </c>
      <c r="W440" s="14">
        <f>[1]!i_dq_close(W$2,$P440)</f>
        <v>6134.4115000000002</v>
      </c>
      <c r="X440" s="14">
        <f>[1]!i_dq_close(X$2,$P440)</f>
        <v>6284.2635</v>
      </c>
      <c r="Y440" s="14">
        <f>[1]!i_dq_close(Y$2,$P440)</f>
        <v>7334.8667999999998</v>
      </c>
      <c r="Z440" s="14">
        <f>[1]!i_dq_close(Z$2,$P440)</f>
        <v>2438.7773000000002</v>
      </c>
      <c r="AB440" s="1">
        <v>43054</v>
      </c>
      <c r="AC440">
        <v>1.243130532949499</v>
      </c>
      <c r="AD440">
        <v>1.3919451782616228</v>
      </c>
      <c r="AE440">
        <v>1.1648787198308943</v>
      </c>
      <c r="AF440">
        <v>1.2269776301705406</v>
      </c>
      <c r="AG440">
        <v>1.6911620906023095</v>
      </c>
      <c r="AH440">
        <v>1.2810638668547147</v>
      </c>
      <c r="AI440">
        <v>1.3147621597482753</v>
      </c>
      <c r="AJ440">
        <v>1.1608694806448185</v>
      </c>
      <c r="AK440">
        <v>1.4568700825272798</v>
      </c>
      <c r="AL440">
        <v>1.0839015521296478</v>
      </c>
    </row>
    <row r="441" spans="1:38" x14ac:dyDescent="0.4">
      <c r="A441" s="10">
        <v>43056</v>
      </c>
      <c r="B441" s="11">
        <v>1.3957009157658391</v>
      </c>
      <c r="C441" s="11">
        <v>1.4590392423781231</v>
      </c>
      <c r="D441" s="11">
        <v>1.307499199560223</v>
      </c>
      <c r="E441" s="11">
        <v>1.35865720500292</v>
      </c>
      <c r="P441" s="1">
        <f>A440</f>
        <v>43055</v>
      </c>
      <c r="Q441" s="14">
        <f>[1]!i_dq_close(Q$2,$P441)</f>
        <v>2067.681</v>
      </c>
      <c r="R441" s="14">
        <f>[1]!i_dq_close(R$2,$P441)</f>
        <v>3541.5446999999999</v>
      </c>
      <c r="S441" s="14">
        <f>[1]!i_dq_close(S$2,$P441)</f>
        <v>3919.7356</v>
      </c>
      <c r="T441" s="14">
        <f>[1]!i_dq_close(T$2,$P441)</f>
        <v>5934.6948000000002</v>
      </c>
      <c r="U441" s="14">
        <f>[1]!i_dq_close(U$2,$P441)</f>
        <v>11624.4848</v>
      </c>
      <c r="V441" s="14">
        <f>[1]!i_dq_close(V$2,$P441)</f>
        <v>10522.4838</v>
      </c>
      <c r="W441" s="14">
        <f>[1]!i_dq_close(W$2,$P441)</f>
        <v>6174.6764999999996</v>
      </c>
      <c r="X441" s="14">
        <f>[1]!i_dq_close(X$2,$P441)</f>
        <v>6310.8081000000002</v>
      </c>
      <c r="Y441" s="14">
        <f>[1]!i_dq_close(Y$2,$P441)</f>
        <v>7447.5532000000003</v>
      </c>
      <c r="Z441" s="14">
        <f>[1]!i_dq_close(Z$2,$P441)</f>
        <v>2422.2737999999999</v>
      </c>
      <c r="AB441" s="1">
        <v>43055</v>
      </c>
      <c r="AC441">
        <v>1.2275162310340113</v>
      </c>
      <c r="AD441">
        <v>1.3881284317921336</v>
      </c>
      <c r="AE441">
        <v>1.1600613879602839</v>
      </c>
      <c r="AF441">
        <v>1.2270489825514379</v>
      </c>
      <c r="AG441">
        <v>1.7332573598673868</v>
      </c>
      <c r="AH441">
        <v>1.2995868709177811</v>
      </c>
      <c r="AI441">
        <v>1.3233919848524867</v>
      </c>
      <c r="AJ441">
        <v>1.1657729694969212</v>
      </c>
      <c r="AK441">
        <v>1.4792521447165623</v>
      </c>
      <c r="AL441">
        <v>1.0765666596548114</v>
      </c>
    </row>
    <row r="442" spans="1:38" x14ac:dyDescent="0.4">
      <c r="A442" s="10">
        <v>43059</v>
      </c>
      <c r="B442" s="11">
        <v>1.4120642142525011</v>
      </c>
      <c r="C442" s="11">
        <v>1.471936096942855</v>
      </c>
      <c r="D442" s="11">
        <v>1.322786486281037</v>
      </c>
      <c r="E442" s="11">
        <v>1.3785855749937039</v>
      </c>
      <c r="P442" s="1">
        <f>A441</f>
        <v>43056</v>
      </c>
      <c r="Q442" s="14">
        <f>[1]!i_dq_close(Q$2,$P442)</f>
        <v>2032.0944999999999</v>
      </c>
      <c r="R442" s="14">
        <f>[1]!i_dq_close(R$2,$P442)</f>
        <v>3449.5882000000001</v>
      </c>
      <c r="S442" s="14">
        <f>[1]!i_dq_close(S$2,$P442)</f>
        <v>3836.4396000000002</v>
      </c>
      <c r="T442" s="14">
        <f>[1]!i_dq_close(T$2,$P442)</f>
        <v>5838.6077999999998</v>
      </c>
      <c r="U442" s="14">
        <f>[1]!i_dq_close(U$2,$P442)</f>
        <v>11409.770699999999</v>
      </c>
      <c r="V442" s="14">
        <f>[1]!i_dq_close(V$2,$P442)</f>
        <v>10307.9828</v>
      </c>
      <c r="W442" s="14">
        <f>[1]!i_dq_close(W$2,$P442)</f>
        <v>6289.1727000000001</v>
      </c>
      <c r="X442" s="14">
        <f>[1]!i_dq_close(X$2,$P442)</f>
        <v>6090.3332</v>
      </c>
      <c r="Y442" s="14">
        <f>[1]!i_dq_close(Y$2,$P442)</f>
        <v>7187.0771000000004</v>
      </c>
      <c r="Z442" s="14">
        <f>[1]!i_dq_close(Z$2,$P442)</f>
        <v>2405.1671000000001</v>
      </c>
      <c r="AB442" s="1">
        <v>43056</v>
      </c>
      <c r="AC442">
        <v>1.2063896615314178</v>
      </c>
      <c r="AD442">
        <v>1.3520855626627131</v>
      </c>
      <c r="AE442">
        <v>1.1354096044645963</v>
      </c>
      <c r="AF442">
        <v>1.2071821722840557</v>
      </c>
      <c r="AG442">
        <v>1.7012426254085915</v>
      </c>
      <c r="AH442">
        <v>1.2730947718376442</v>
      </c>
      <c r="AI442">
        <v>1.3479314653217984</v>
      </c>
      <c r="AJ442">
        <v>1.1250454311532125</v>
      </c>
      <c r="AK442">
        <v>1.4275157127334506</v>
      </c>
      <c r="AL442">
        <v>1.0689636781600205</v>
      </c>
    </row>
    <row r="443" spans="1:38" x14ac:dyDescent="0.4">
      <c r="A443" s="10">
        <v>43060</v>
      </c>
      <c r="B443" s="11">
        <v>1.4253245506138039</v>
      </c>
      <c r="C443" s="11">
        <v>1.4850551436561941</v>
      </c>
      <c r="D443" s="11">
        <v>1.3350633307004931</v>
      </c>
      <c r="E443" s="11">
        <v>1.3933760260561929</v>
      </c>
      <c r="P443" s="1">
        <f>A442</f>
        <v>43059</v>
      </c>
      <c r="Q443" s="14">
        <f>[1]!i_dq_close(Q$2,$P443)</f>
        <v>2044.2873</v>
      </c>
      <c r="R443" s="14">
        <f>[1]!i_dq_close(R$2,$P443)</f>
        <v>3472.9838</v>
      </c>
      <c r="S443" s="14">
        <f>[1]!i_dq_close(S$2,$P443)</f>
        <v>3850.8006</v>
      </c>
      <c r="T443" s="14">
        <f>[1]!i_dq_close(T$2,$P443)</f>
        <v>5849.5397999999996</v>
      </c>
      <c r="U443" s="14">
        <f>[1]!i_dq_close(U$2,$P443)</f>
        <v>11391.8362</v>
      </c>
      <c r="V443" s="14">
        <f>[1]!i_dq_close(V$2,$P443)</f>
        <v>10400.933499999999</v>
      </c>
      <c r="W443" s="14">
        <f>[1]!i_dq_close(W$2,$P443)</f>
        <v>6306.0478000000003</v>
      </c>
      <c r="X443" s="14">
        <f>[1]!i_dq_close(X$2,$P443)</f>
        <v>6199.8152</v>
      </c>
      <c r="Y443" s="14">
        <f>[1]!i_dq_close(Y$2,$P443)</f>
        <v>7448.0002999999997</v>
      </c>
      <c r="Z443" s="14">
        <f>[1]!i_dq_close(Z$2,$P443)</f>
        <v>2402.0279</v>
      </c>
      <c r="AB443" s="1">
        <v>43059</v>
      </c>
      <c r="AC443">
        <v>1.2136281378252716</v>
      </c>
      <c r="AD443">
        <v>1.3612556001152507</v>
      </c>
      <c r="AE443">
        <v>1.139659799705443</v>
      </c>
      <c r="AF443">
        <v>1.2094424569203022</v>
      </c>
      <c r="AG443">
        <v>1.6985685194455864</v>
      </c>
      <c r="AH443">
        <v>1.2845747143738937</v>
      </c>
      <c r="AI443">
        <v>1.3515482332745137</v>
      </c>
      <c r="AJ443">
        <v>1.1452696487532472</v>
      </c>
      <c r="AK443">
        <v>1.4793409488668838</v>
      </c>
      <c r="AL443">
        <v>1.0675684774779224</v>
      </c>
    </row>
    <row r="444" spans="1:38" x14ac:dyDescent="0.4">
      <c r="A444" s="10">
        <v>43061</v>
      </c>
      <c r="B444" s="11">
        <v>1.417713875007804</v>
      </c>
      <c r="C444" s="11">
        <v>1.4778584901978751</v>
      </c>
      <c r="D444" s="11">
        <v>1.3276874517303869</v>
      </c>
      <c r="E444" s="11">
        <v>1.384203730047324</v>
      </c>
      <c r="P444" s="1">
        <f>A443</f>
        <v>43060</v>
      </c>
      <c r="Q444" s="14">
        <f>[1]!i_dq_close(Q$2,$P444)</f>
        <v>2036.2738999999999</v>
      </c>
      <c r="R444" s="14">
        <f>[1]!i_dq_close(R$2,$P444)</f>
        <v>3471.5036</v>
      </c>
      <c r="S444" s="14">
        <f>[1]!i_dq_close(S$2,$P444)</f>
        <v>3861.8301999999999</v>
      </c>
      <c r="T444" s="14">
        <f>[1]!i_dq_close(T$2,$P444)</f>
        <v>5935.4166999999998</v>
      </c>
      <c r="U444" s="14">
        <f>[1]!i_dq_close(U$2,$P444)</f>
        <v>11566.345799999999</v>
      </c>
      <c r="V444" s="14">
        <f>[1]!i_dq_close(V$2,$P444)</f>
        <v>10430.884400000001</v>
      </c>
      <c r="W444" s="14">
        <f>[1]!i_dq_close(W$2,$P444)</f>
        <v>6443.9290000000001</v>
      </c>
      <c r="X444" s="14">
        <f>[1]!i_dq_close(X$2,$P444)</f>
        <v>6257.4867000000004</v>
      </c>
      <c r="Y444" s="14">
        <f>[1]!i_dq_close(Y$2,$P444)</f>
        <v>7510.0712999999996</v>
      </c>
      <c r="Z444" s="14">
        <f>[1]!i_dq_close(Z$2,$P444)</f>
        <v>2409.3087999999998</v>
      </c>
      <c r="AB444" s="1">
        <v>43060</v>
      </c>
      <c r="AC444">
        <v>1.2088708379488553</v>
      </c>
      <c r="AD444">
        <v>1.3606754273717756</v>
      </c>
      <c r="AE444">
        <v>1.1429240538262173</v>
      </c>
      <c r="AF444">
        <v>1.2271982415597535</v>
      </c>
      <c r="AG444">
        <v>1.7245886015198917</v>
      </c>
      <c r="AH444">
        <v>1.2882738216523648</v>
      </c>
      <c r="AI444">
        <v>1.381099720699295</v>
      </c>
      <c r="AJ444">
        <v>1.155923098318659</v>
      </c>
      <c r="AK444">
        <v>1.4916696503086813</v>
      </c>
      <c r="AL444">
        <v>1.0708044346155012</v>
      </c>
    </row>
    <row r="445" spans="1:38" x14ac:dyDescent="0.4">
      <c r="A445" s="10">
        <v>43062</v>
      </c>
      <c r="B445" s="11">
        <v>1.3733151952714009</v>
      </c>
      <c r="C445" s="11">
        <v>1.4351766268298609</v>
      </c>
      <c r="D445" s="11">
        <v>1.286365258453914</v>
      </c>
      <c r="E445" s="11">
        <v>1.337276900715819</v>
      </c>
      <c r="P445" s="1">
        <f>A444</f>
        <v>43061</v>
      </c>
      <c r="Q445" s="14">
        <f>[1]!i_dq_close(Q$2,$P445)</f>
        <v>2070.2565</v>
      </c>
      <c r="R445" s="14">
        <f>[1]!i_dq_close(R$2,$P445)</f>
        <v>3479.0214000000001</v>
      </c>
      <c r="S445" s="14">
        <f>[1]!i_dq_close(S$2,$P445)</f>
        <v>3892.2557999999999</v>
      </c>
      <c r="T445" s="14">
        <f>[1]!i_dq_close(T$2,$P445)</f>
        <v>5904.0007999999998</v>
      </c>
      <c r="U445" s="14">
        <f>[1]!i_dq_close(U$2,$P445)</f>
        <v>11351.9522</v>
      </c>
      <c r="V445" s="14">
        <f>[1]!i_dq_close(V$2,$P445)</f>
        <v>10353.5432</v>
      </c>
      <c r="W445" s="14">
        <f>[1]!i_dq_close(W$2,$P445)</f>
        <v>6492.4422999999997</v>
      </c>
      <c r="X445" s="14">
        <f>[1]!i_dq_close(X$2,$P445)</f>
        <v>6238.2055</v>
      </c>
      <c r="Y445" s="14">
        <f>[1]!i_dq_close(Y$2,$P445)</f>
        <v>7510.1229999999996</v>
      </c>
      <c r="Z445" s="14">
        <f>[1]!i_dq_close(Z$2,$P445)</f>
        <v>2417.3986</v>
      </c>
      <c r="AB445" s="1">
        <v>43061</v>
      </c>
      <c r="AC445">
        <v>1.2290452232010951</v>
      </c>
      <c r="AD445">
        <v>1.3636220715083092</v>
      </c>
      <c r="AE445">
        <v>1.1519286315241428</v>
      </c>
      <c r="AF445">
        <v>1.2207027351470332</v>
      </c>
      <c r="AG445">
        <v>1.6926216548980109</v>
      </c>
      <c r="AH445">
        <v>1.2787217415530798</v>
      </c>
      <c r="AI445">
        <v>1.3914973686374086</v>
      </c>
      <c r="AJ445">
        <v>1.1523613513247257</v>
      </c>
      <c r="AK445">
        <v>1.4916799190954664</v>
      </c>
      <c r="AL445">
        <v>1.0743999030399525</v>
      </c>
    </row>
    <row r="446" spans="1:38" x14ac:dyDescent="0.4">
      <c r="A446" s="10">
        <v>43063</v>
      </c>
      <c r="B446" s="11">
        <v>1.370363276621178</v>
      </c>
      <c r="C446" s="11">
        <v>1.434336903185276</v>
      </c>
      <c r="D446" s="11">
        <v>1.283038225614902</v>
      </c>
      <c r="E446" s="11">
        <v>1.332261535011269</v>
      </c>
      <c r="P446" s="1">
        <f>A445</f>
        <v>43062</v>
      </c>
      <c r="Q446" s="14">
        <f>[1]!i_dq_close(Q$2,$P446)</f>
        <v>2039.3267000000001</v>
      </c>
      <c r="R446" s="14">
        <f>[1]!i_dq_close(R$2,$P446)</f>
        <v>3419.8368</v>
      </c>
      <c r="S446" s="14">
        <f>[1]!i_dq_close(S$2,$P446)</f>
        <v>3793.6489999999999</v>
      </c>
      <c r="T446" s="14">
        <f>[1]!i_dq_close(T$2,$P446)</f>
        <v>5720.8091000000004</v>
      </c>
      <c r="U446" s="14">
        <f>[1]!i_dq_close(U$2,$P446)</f>
        <v>10920.798000000001</v>
      </c>
      <c r="V446" s="14">
        <f>[1]!i_dq_close(V$2,$P446)</f>
        <v>10022.0795</v>
      </c>
      <c r="W446" s="14">
        <f>[1]!i_dq_close(W$2,$P446)</f>
        <v>6342.4147999999996</v>
      </c>
      <c r="X446" s="14">
        <f>[1]!i_dq_close(X$2,$P446)</f>
        <v>6004.5150999999996</v>
      </c>
      <c r="Y446" s="14">
        <f>[1]!i_dq_close(Y$2,$P446)</f>
        <v>7259.8332</v>
      </c>
      <c r="Z446" s="14">
        <f>[1]!i_dq_close(Z$2,$P446)</f>
        <v>2388.3575000000001</v>
      </c>
      <c r="AB446" s="1">
        <v>43062</v>
      </c>
      <c r="AC446">
        <v>1.2106831878955351</v>
      </c>
      <c r="AD446">
        <v>1.3404243335313624</v>
      </c>
      <c r="AE446">
        <v>1.1227455556885375</v>
      </c>
      <c r="AF446">
        <v>1.182826282073681</v>
      </c>
      <c r="AG446">
        <v>1.6283348324499543</v>
      </c>
      <c r="AH446">
        <v>1.2377840807409217</v>
      </c>
      <c r="AI446">
        <v>1.3593426167232869</v>
      </c>
      <c r="AJ446">
        <v>1.1091925610154587</v>
      </c>
      <c r="AK446">
        <v>1.4419667161806247</v>
      </c>
      <c r="AL446">
        <v>1.061492741174229</v>
      </c>
    </row>
    <row r="447" spans="1:38" x14ac:dyDescent="0.4">
      <c r="A447" s="10">
        <v>43066</v>
      </c>
      <c r="B447" s="11">
        <v>1.349572780431431</v>
      </c>
      <c r="C447" s="11">
        <v>1.414985722666287</v>
      </c>
      <c r="D447" s="11">
        <v>1.262512389384818</v>
      </c>
      <c r="E447" s="11">
        <v>1.3082170431743301</v>
      </c>
      <c r="P447" s="1">
        <f>A446</f>
        <v>43063</v>
      </c>
      <c r="Q447" s="14">
        <f>[1]!i_dq_close(Q$2,$P447)</f>
        <v>2058.7285000000002</v>
      </c>
      <c r="R447" s="14">
        <f>[1]!i_dq_close(R$2,$P447)</f>
        <v>3451.0511999999999</v>
      </c>
      <c r="S447" s="14">
        <f>[1]!i_dq_close(S$2,$P447)</f>
        <v>3798.3427000000001</v>
      </c>
      <c r="T447" s="14">
        <f>[1]!i_dq_close(T$2,$P447)</f>
        <v>5734.7358999999997</v>
      </c>
      <c r="U447" s="14">
        <f>[1]!i_dq_close(U$2,$P447)</f>
        <v>10870.971100000001</v>
      </c>
      <c r="V447" s="14">
        <f>[1]!i_dq_close(V$2,$P447)</f>
        <v>10022.6916</v>
      </c>
      <c r="W447" s="14">
        <f>[1]!i_dq_close(W$2,$P447)</f>
        <v>6363.8248999999996</v>
      </c>
      <c r="X447" s="14">
        <f>[1]!i_dq_close(X$2,$P447)</f>
        <v>5935.3203999999996</v>
      </c>
      <c r="Y447" s="14">
        <f>[1]!i_dq_close(Y$2,$P447)</f>
        <v>7186.97</v>
      </c>
      <c r="Z447" s="14">
        <f>[1]!i_dq_close(Z$2,$P447)</f>
        <v>2389.6671000000001</v>
      </c>
      <c r="AB447" s="1">
        <v>43063</v>
      </c>
      <c r="AC447">
        <v>1.2222014174538063</v>
      </c>
      <c r="AD447">
        <v>1.3526589937691202</v>
      </c>
      <c r="AE447">
        <v>1.1241346749282815</v>
      </c>
      <c r="AF447">
        <v>1.1857057672613938</v>
      </c>
      <c r="AG447">
        <v>1.6209054415883157</v>
      </c>
      <c r="AH447">
        <v>1.2378596785882368</v>
      </c>
      <c r="AI447">
        <v>1.3639313518148972</v>
      </c>
      <c r="AJ447">
        <v>1.0964104720001948</v>
      </c>
      <c r="AK447">
        <v>1.4274944402563772</v>
      </c>
      <c r="AL447">
        <v>1.0620747859032287</v>
      </c>
    </row>
    <row r="448" spans="1:38" x14ac:dyDescent="0.4">
      <c r="A448" s="10">
        <v>43067</v>
      </c>
      <c r="B448" s="11">
        <v>1.3624813635259381</v>
      </c>
      <c r="C448" s="11">
        <v>1.4279727387368271</v>
      </c>
      <c r="D448" s="11">
        <v>1.2768502064124549</v>
      </c>
      <c r="E448" s="11">
        <v>1.324762582440288</v>
      </c>
      <c r="P448" s="1">
        <f>A447</f>
        <v>43066</v>
      </c>
      <c r="Q448" s="14">
        <f>[1]!i_dq_close(Q$2,$P448)</f>
        <v>2047.0522000000001</v>
      </c>
      <c r="R448" s="14">
        <f>[1]!i_dq_close(R$2,$P448)</f>
        <v>3414.6867999999999</v>
      </c>
      <c r="S448" s="14">
        <f>[1]!i_dq_close(S$2,$P448)</f>
        <v>3757.4760999999999</v>
      </c>
      <c r="T448" s="14">
        <f>[1]!i_dq_close(T$2,$P448)</f>
        <v>5652.2142000000003</v>
      </c>
      <c r="U448" s="14">
        <f>[1]!i_dq_close(U$2,$P448)</f>
        <v>10706.754000000001</v>
      </c>
      <c r="V448" s="14">
        <f>[1]!i_dq_close(V$2,$P448)</f>
        <v>9898.4380999999994</v>
      </c>
      <c r="W448" s="14">
        <f>[1]!i_dq_close(W$2,$P448)</f>
        <v>6323.0410000000002</v>
      </c>
      <c r="X448" s="14">
        <f>[1]!i_dq_close(X$2,$P448)</f>
        <v>5804.8382000000001</v>
      </c>
      <c r="Y448" s="14">
        <f>[1]!i_dq_close(Y$2,$P448)</f>
        <v>6892.1473999999998</v>
      </c>
      <c r="Z448" s="14">
        <f>[1]!i_dq_close(Z$2,$P448)</f>
        <v>2377.0740999999998</v>
      </c>
      <c r="AB448" s="1">
        <v>43066</v>
      </c>
      <c r="AC448">
        <v>1.2152695707286962</v>
      </c>
      <c r="AD448">
        <v>1.3384057619674543</v>
      </c>
      <c r="AE448">
        <v>1.1120400416277043</v>
      </c>
      <c r="AF448">
        <v>1.1686436989603559</v>
      </c>
      <c r="AG448">
        <v>1.5964200125918342</v>
      </c>
      <c r="AH448">
        <v>1.2225136613992549</v>
      </c>
      <c r="AI448">
        <v>1.3551903130947269</v>
      </c>
      <c r="AJ448">
        <v>1.0723069626951836</v>
      </c>
      <c r="AK448">
        <v>1.3689360182284669</v>
      </c>
      <c r="AL448">
        <v>1.0564778942780815</v>
      </c>
    </row>
    <row r="449" spans="1:38" x14ac:dyDescent="0.4">
      <c r="A449" s="10">
        <v>43068</v>
      </c>
      <c r="B449" s="11">
        <v>1.363292056143008</v>
      </c>
      <c r="C449" s="11">
        <v>1.429459090848493</v>
      </c>
      <c r="D449" s="11">
        <v>1.2771091441129669</v>
      </c>
      <c r="E449" s="11">
        <v>1.322387273850701</v>
      </c>
      <c r="P449" s="1">
        <f>A448</f>
        <v>43067</v>
      </c>
      <c r="Q449" s="14">
        <f>[1]!i_dq_close(Q$2,$P449)</f>
        <v>2069.2343000000001</v>
      </c>
      <c r="R449" s="14">
        <f>[1]!i_dq_close(R$2,$P449)</f>
        <v>3482.5753</v>
      </c>
      <c r="S449" s="14">
        <f>[1]!i_dq_close(S$2,$P449)</f>
        <v>3790.2215999999999</v>
      </c>
      <c r="T449" s="14">
        <f>[1]!i_dq_close(T$2,$P449)</f>
        <v>5688.1292999999996</v>
      </c>
      <c r="U449" s="14">
        <f>[1]!i_dq_close(U$2,$P449)</f>
        <v>10839.2624</v>
      </c>
      <c r="V449" s="14">
        <f>[1]!i_dq_close(V$2,$P449)</f>
        <v>9998.8649000000005</v>
      </c>
      <c r="W449" s="14">
        <f>[1]!i_dq_close(W$2,$P449)</f>
        <v>6262.8301000000001</v>
      </c>
      <c r="X449" s="14">
        <f>[1]!i_dq_close(X$2,$P449)</f>
        <v>5950.0204999999996</v>
      </c>
      <c r="Y449" s="14">
        <f>[1]!i_dq_close(Y$2,$P449)</f>
        <v>7062.3500999999997</v>
      </c>
      <c r="Z449" s="14">
        <f>[1]!i_dq_close(Z$2,$P449)</f>
        <v>2378.2071999999998</v>
      </c>
      <c r="AB449" s="1">
        <v>43067</v>
      </c>
      <c r="AC449">
        <v>1.2284383756789856</v>
      </c>
      <c r="AD449">
        <v>1.3650150426696632</v>
      </c>
      <c r="AE449">
        <v>1.1217312029854891</v>
      </c>
      <c r="AF449">
        <v>1.1760694535102332</v>
      </c>
      <c r="AG449">
        <v>1.616177547097299</v>
      </c>
      <c r="AH449">
        <v>1.2349169450012014</v>
      </c>
      <c r="AI449">
        <v>1.342285568617708</v>
      </c>
      <c r="AJ449">
        <v>1.0991259688046218</v>
      </c>
      <c r="AK449">
        <v>1.4027421156473547</v>
      </c>
      <c r="AL449">
        <v>1.0569814945242861</v>
      </c>
    </row>
    <row r="450" spans="1:38" x14ac:dyDescent="0.4">
      <c r="A450" s="10">
        <v>43069</v>
      </c>
      <c r="B450" s="11">
        <v>1.348785721650607</v>
      </c>
      <c r="C450" s="11">
        <v>1.4158533056244009</v>
      </c>
      <c r="D450" s="11">
        <v>1.264267891417969</v>
      </c>
      <c r="E450" s="11">
        <v>1.30651711616476</v>
      </c>
      <c r="P450" s="1">
        <f>A449</f>
        <v>43068</v>
      </c>
      <c r="Q450" s="14">
        <f>[1]!i_dq_close(Q$2,$P450)</f>
        <v>2083.5558000000001</v>
      </c>
      <c r="R450" s="14">
        <f>[1]!i_dq_close(R$2,$P450)</f>
        <v>3548.9268999999999</v>
      </c>
      <c r="S450" s="14">
        <f>[1]!i_dq_close(S$2,$P450)</f>
        <v>3797.6089999999999</v>
      </c>
      <c r="T450" s="14">
        <f>[1]!i_dq_close(T$2,$P450)</f>
        <v>5642.1866</v>
      </c>
      <c r="U450" s="14">
        <f>[1]!i_dq_close(U$2,$P450)</f>
        <v>10685.916300000001</v>
      </c>
      <c r="V450" s="14">
        <f>[1]!i_dq_close(V$2,$P450)</f>
        <v>9917.2847999999994</v>
      </c>
      <c r="W450" s="14">
        <f>[1]!i_dq_close(W$2,$P450)</f>
        <v>6314.8737000000001</v>
      </c>
      <c r="X450" s="14">
        <f>[1]!i_dq_close(X$2,$P450)</f>
        <v>5909.0762000000004</v>
      </c>
      <c r="Y450" s="14">
        <f>[1]!i_dq_close(Y$2,$P450)</f>
        <v>6993.8588</v>
      </c>
      <c r="Z450" s="14">
        <f>[1]!i_dq_close(Z$2,$P450)</f>
        <v>2376.3364000000001</v>
      </c>
      <c r="AB450" s="1">
        <v>43068</v>
      </c>
      <c r="AC450">
        <v>1.2369405932370876</v>
      </c>
      <c r="AD450">
        <v>1.3910219267434119</v>
      </c>
      <c r="AE450">
        <v>1.1239175334863061</v>
      </c>
      <c r="AF450">
        <v>1.1665704067705986</v>
      </c>
      <c r="AG450">
        <v>1.593313027851512</v>
      </c>
      <c r="AH450">
        <v>1.2248413365323947</v>
      </c>
      <c r="AI450">
        <v>1.3534398506441216</v>
      </c>
      <c r="AJ450">
        <v>1.091562474963798</v>
      </c>
      <c r="AK450">
        <v>1.3891381977297996</v>
      </c>
      <c r="AL450">
        <v>1.0561500274511246</v>
      </c>
    </row>
    <row r="451" spans="1:38" x14ac:dyDescent="0.4">
      <c r="A451" s="10">
        <v>43070</v>
      </c>
      <c r="B451" s="11">
        <v>1.3562803049834931</v>
      </c>
      <c r="C451" s="11">
        <v>1.421178967900965</v>
      </c>
      <c r="D451" s="11">
        <v>1.268866306916252</v>
      </c>
      <c r="E451" s="11">
        <v>1.314460175242778</v>
      </c>
      <c r="P451" s="1">
        <f>A450</f>
        <v>43069</v>
      </c>
      <c r="Q451" s="14">
        <f>[1]!i_dq_close(Q$2,$P451)</f>
        <v>2077.7797999999998</v>
      </c>
      <c r="R451" s="14">
        <f>[1]!i_dq_close(R$2,$P451)</f>
        <v>3516.7671999999998</v>
      </c>
      <c r="S451" s="14">
        <f>[1]!i_dq_close(S$2,$P451)</f>
        <v>3774.9135000000001</v>
      </c>
      <c r="T451" s="14">
        <f>[1]!i_dq_close(T$2,$P451)</f>
        <v>5611.9919</v>
      </c>
      <c r="U451" s="14">
        <f>[1]!i_dq_close(U$2,$P451)</f>
        <v>10566.191500000001</v>
      </c>
      <c r="V451" s="14">
        <f>[1]!i_dq_close(V$2,$P451)</f>
        <v>9873.1607999999997</v>
      </c>
      <c r="W451" s="14">
        <f>[1]!i_dq_close(W$2,$P451)</f>
        <v>6220.8162000000002</v>
      </c>
      <c r="X451" s="14">
        <f>[1]!i_dq_close(X$2,$P451)</f>
        <v>5844.4847</v>
      </c>
      <c r="Y451" s="14">
        <f>[1]!i_dq_close(Y$2,$P451)</f>
        <v>6908.6460999999999</v>
      </c>
      <c r="Z451" s="14">
        <f>[1]!i_dq_close(Z$2,$P451)</f>
        <v>2365.3233</v>
      </c>
      <c r="AB451" s="1">
        <v>43069</v>
      </c>
      <c r="AC451">
        <v>1.2335115663463569</v>
      </c>
      <c r="AD451">
        <v>1.3784167508358747</v>
      </c>
      <c r="AE451">
        <v>1.1172007097213428</v>
      </c>
      <c r="AF451">
        <v>1.160327393917866</v>
      </c>
      <c r="AG451">
        <v>1.575461579436469</v>
      </c>
      <c r="AH451">
        <v>1.2193917704240225</v>
      </c>
      <c r="AI451">
        <v>1.3332809092622917</v>
      </c>
      <c r="AJ451">
        <v>1.0796307185918586</v>
      </c>
      <c r="AK451">
        <v>1.3722130323973667</v>
      </c>
      <c r="AL451">
        <v>1.0512553139470424</v>
      </c>
    </row>
    <row r="452" spans="1:38" x14ac:dyDescent="0.4">
      <c r="A452" s="10">
        <v>43073</v>
      </c>
      <c r="B452" s="11">
        <v>1.360420242443602</v>
      </c>
      <c r="C452" s="11">
        <v>1.424747487117813</v>
      </c>
      <c r="D452" s="11">
        <v>1.274437176525536</v>
      </c>
      <c r="E452" s="11">
        <v>1.3217884365570729</v>
      </c>
      <c r="P452" s="1">
        <f>A451</f>
        <v>43070</v>
      </c>
      <c r="Q452" s="14">
        <f>[1]!i_dq_close(Q$2,$P452)</f>
        <v>2067.9054000000001</v>
      </c>
      <c r="R452" s="14">
        <f>[1]!i_dq_close(R$2,$P452)</f>
        <v>3517.2055</v>
      </c>
      <c r="S452" s="14">
        <f>[1]!i_dq_close(S$2,$P452)</f>
        <v>3798.0709999999999</v>
      </c>
      <c r="T452" s="14">
        <f>[1]!i_dq_close(T$2,$P452)</f>
        <v>5631.4142000000002</v>
      </c>
      <c r="U452" s="14">
        <f>[1]!i_dq_close(U$2,$P452)</f>
        <v>10595.718999999999</v>
      </c>
      <c r="V452" s="14">
        <f>[1]!i_dq_close(V$2,$P452)</f>
        <v>9958.2324000000008</v>
      </c>
      <c r="W452" s="14">
        <f>[1]!i_dq_close(W$2,$P452)</f>
        <v>6173.0407999999998</v>
      </c>
      <c r="X452" s="14">
        <f>[1]!i_dq_close(X$2,$P452)</f>
        <v>5951.2779</v>
      </c>
      <c r="Y452" s="14">
        <f>[1]!i_dq_close(Y$2,$P452)</f>
        <v>7025.9677000000001</v>
      </c>
      <c r="Z452" s="14">
        <f>[1]!i_dq_close(Z$2,$P452)</f>
        <v>2369.4621999999999</v>
      </c>
      <c r="AB452" s="1">
        <v>43070</v>
      </c>
      <c r="AC452">
        <v>1.2276494501535196</v>
      </c>
      <c r="AD452">
        <v>1.3785885449944109</v>
      </c>
      <c r="AE452">
        <v>1.1240542642293789</v>
      </c>
      <c r="AF452">
        <v>1.1643431208013797</v>
      </c>
      <c r="AG452">
        <v>1.5798642482492391</v>
      </c>
      <c r="AH452">
        <v>1.2298985990919811</v>
      </c>
      <c r="AI452">
        <v>1.3230414122727534</v>
      </c>
      <c r="AJ452">
        <v>1.099358243801519</v>
      </c>
      <c r="AK452">
        <v>1.3955157499155952</v>
      </c>
      <c r="AL452">
        <v>1.0530948259574704</v>
      </c>
    </row>
    <row r="453" spans="1:38" x14ac:dyDescent="0.4">
      <c r="A453" s="10">
        <v>43074</v>
      </c>
      <c r="B453" s="11">
        <v>1.3484006204368131</v>
      </c>
      <c r="C453" s="11">
        <v>1.41421186016912</v>
      </c>
      <c r="D453" s="11">
        <v>1.2638295927384371</v>
      </c>
      <c r="E453" s="11">
        <v>1.308100656773715</v>
      </c>
      <c r="P453" s="1">
        <f>A452</f>
        <v>43073</v>
      </c>
      <c r="Q453" s="14">
        <f>[1]!i_dq_close(Q$2,$P453)</f>
        <v>2063.1203</v>
      </c>
      <c r="R453" s="14">
        <f>[1]!i_dq_close(R$2,$P453)</f>
        <v>3502.9965000000002</v>
      </c>
      <c r="S453" s="14">
        <f>[1]!i_dq_close(S$2,$P453)</f>
        <v>3767.6491000000001</v>
      </c>
      <c r="T453" s="14">
        <f>[1]!i_dq_close(T$2,$P453)</f>
        <v>5607.7133000000003</v>
      </c>
      <c r="U453" s="14">
        <f>[1]!i_dq_close(U$2,$P453)</f>
        <v>10786.3575</v>
      </c>
      <c r="V453" s="14">
        <f>[1]!i_dq_close(V$2,$P453)</f>
        <v>9948.8773000000001</v>
      </c>
      <c r="W453" s="14">
        <f>[1]!i_dq_close(W$2,$P453)</f>
        <v>6187.8563999999997</v>
      </c>
      <c r="X453" s="14">
        <f>[1]!i_dq_close(X$2,$P453)</f>
        <v>5928.5438000000004</v>
      </c>
      <c r="Y453" s="14">
        <f>[1]!i_dq_close(Y$2,$P453)</f>
        <v>7068.4623000000001</v>
      </c>
      <c r="Z453" s="14">
        <f>[1]!i_dq_close(Z$2,$P453)</f>
        <v>2356.4625999999998</v>
      </c>
      <c r="AB453" s="1">
        <v>43073</v>
      </c>
      <c r="AC453">
        <v>1.224808688973666</v>
      </c>
      <c r="AD453">
        <v>1.3730192472562419</v>
      </c>
      <c r="AE453">
        <v>1.1150507815612141</v>
      </c>
      <c r="AF453">
        <v>1.1594427567202219</v>
      </c>
      <c r="AG453">
        <v>1.6082892140764629</v>
      </c>
      <c r="AH453">
        <v>1.2287431907903668</v>
      </c>
      <c r="AI453">
        <v>1.3262167764057216</v>
      </c>
      <c r="AJ453">
        <v>1.0951586549618837</v>
      </c>
      <c r="AK453">
        <v>1.4039561365097954</v>
      </c>
      <c r="AL453">
        <v>1.0473172231328645</v>
      </c>
    </row>
    <row r="454" spans="1:38" x14ac:dyDescent="0.4">
      <c r="A454" s="10">
        <v>43075</v>
      </c>
      <c r="B454" s="11">
        <v>1.3501561690899651</v>
      </c>
      <c r="C454" s="11">
        <v>1.4136248246493379</v>
      </c>
      <c r="D454" s="11">
        <v>1.263909018519906</v>
      </c>
      <c r="E454" s="11">
        <v>1.30850379809956</v>
      </c>
      <c r="P454" s="1">
        <f>A453</f>
        <v>43074</v>
      </c>
      <c r="Q454" s="14">
        <f>[1]!i_dq_close(Q$2,$P454)</f>
        <v>2037.7141999999999</v>
      </c>
      <c r="R454" s="14">
        <f>[1]!i_dq_close(R$2,$P454)</f>
        <v>3418.0021999999999</v>
      </c>
      <c r="S454" s="14">
        <f>[1]!i_dq_close(S$2,$P454)</f>
        <v>3713.9825000000001</v>
      </c>
      <c r="T454" s="14">
        <f>[1]!i_dq_close(T$2,$P454)</f>
        <v>5552.6193000000003</v>
      </c>
      <c r="U454" s="14">
        <f>[1]!i_dq_close(U$2,$P454)</f>
        <v>10711.873799999999</v>
      </c>
      <c r="V454" s="14">
        <f>[1]!i_dq_close(V$2,$P454)</f>
        <v>9837.3251</v>
      </c>
      <c r="W454" s="14">
        <f>[1]!i_dq_close(W$2,$P454)</f>
        <v>6272.5655999999999</v>
      </c>
      <c r="X454" s="14">
        <f>[1]!i_dq_close(X$2,$P454)</f>
        <v>5781.5571</v>
      </c>
      <c r="Y454" s="14">
        <f>[1]!i_dq_close(Y$2,$P454)</f>
        <v>6875.9719999999998</v>
      </c>
      <c r="Z454" s="14">
        <f>[1]!i_dq_close(Z$2,$P454)</f>
        <v>2344.6695</v>
      </c>
      <c r="AB454" s="1">
        <v>43074</v>
      </c>
      <c r="AC454">
        <v>1.2097258980996031</v>
      </c>
      <c r="AD454">
        <v>1.3397052517078389</v>
      </c>
      <c r="AE454">
        <v>1.0991679371971428</v>
      </c>
      <c r="AF454">
        <v>1.1480516003216337</v>
      </c>
      <c r="AG454">
        <v>1.5971833953295402</v>
      </c>
      <c r="AH454">
        <v>1.2149658567219603</v>
      </c>
      <c r="AI454">
        <v>1.3443721366619659</v>
      </c>
      <c r="AJ454">
        <v>1.0680063285053791</v>
      </c>
      <c r="AK454">
        <v>1.3657232187359238</v>
      </c>
      <c r="AL454">
        <v>1.0420758427926342</v>
      </c>
    </row>
    <row r="455" spans="1:38" x14ac:dyDescent="0.4">
      <c r="A455" s="10">
        <v>43076</v>
      </c>
      <c r="B455" s="11">
        <v>1.3380040616896269</v>
      </c>
      <c r="C455" s="11">
        <v>1.4008058123642151</v>
      </c>
      <c r="D455" s="11">
        <v>1.2518180962018071</v>
      </c>
      <c r="E455" s="11">
        <v>1.294651454296845</v>
      </c>
      <c r="P455" s="1">
        <f>A454</f>
        <v>43075</v>
      </c>
      <c r="Q455" s="14">
        <f>[1]!i_dq_close(Q$2,$P455)</f>
        <v>2041.9464</v>
      </c>
      <c r="R455" s="14">
        <f>[1]!i_dq_close(R$2,$P455)</f>
        <v>3419.8744000000002</v>
      </c>
      <c r="S455" s="14">
        <f>[1]!i_dq_close(S$2,$P455)</f>
        <v>3725.1345999999999</v>
      </c>
      <c r="T455" s="14">
        <f>[1]!i_dq_close(T$2,$P455)</f>
        <v>5556.5338000000002</v>
      </c>
      <c r="U455" s="14">
        <f>[1]!i_dq_close(U$2,$P455)</f>
        <v>10694.0466</v>
      </c>
      <c r="V455" s="14">
        <f>[1]!i_dq_close(V$2,$P455)</f>
        <v>9874.7014999999992</v>
      </c>
      <c r="W455" s="14">
        <f>[1]!i_dq_close(W$2,$P455)</f>
        <v>6213.5388999999996</v>
      </c>
      <c r="X455" s="14">
        <f>[1]!i_dq_close(X$2,$P455)</f>
        <v>5871.3163000000004</v>
      </c>
      <c r="Y455" s="14">
        <f>[1]!i_dq_close(Y$2,$P455)</f>
        <v>6949.7251999999999</v>
      </c>
      <c r="Z455" s="14">
        <f>[1]!i_dq_close(Z$2,$P455)</f>
        <v>2342.8622999999998</v>
      </c>
      <c r="AB455" s="1">
        <v>43075</v>
      </c>
      <c r="AC455">
        <v>1.2122384201922192</v>
      </c>
      <c r="AD455">
        <v>1.3404390710635572</v>
      </c>
      <c r="AE455">
        <v>1.102468445681611</v>
      </c>
      <c r="AF455">
        <v>1.1488609567256389</v>
      </c>
      <c r="AG455">
        <v>1.5945252882273806</v>
      </c>
      <c r="AH455">
        <v>1.2195820556770178</v>
      </c>
      <c r="AI455">
        <v>1.33172119670223</v>
      </c>
      <c r="AJ455">
        <v>1.0845872239256771</v>
      </c>
      <c r="AK455">
        <v>1.3803722687460276</v>
      </c>
      <c r="AL455">
        <v>1.0412726423999583</v>
      </c>
    </row>
    <row r="456" spans="1:38" x14ac:dyDescent="0.4">
      <c r="A456" s="10">
        <v>43077</v>
      </c>
      <c r="B456" s="11">
        <v>1.354276642975218</v>
      </c>
      <c r="C456" s="11">
        <v>1.414720063789406</v>
      </c>
      <c r="D456" s="11">
        <v>1.265479333457469</v>
      </c>
      <c r="E456" s="11">
        <v>1.3115816247370971</v>
      </c>
      <c r="P456" s="1">
        <f>A455</f>
        <v>43076</v>
      </c>
      <c r="Q456" s="14">
        <f>[1]!i_dq_close(Q$2,$P456)</f>
        <v>2008.0143</v>
      </c>
      <c r="R456" s="14">
        <f>[1]!i_dq_close(R$2,$P456)</f>
        <v>3386.7067999999999</v>
      </c>
      <c r="S456" s="14">
        <f>[1]!i_dq_close(S$2,$P456)</f>
        <v>3720.2026000000001</v>
      </c>
      <c r="T456" s="14">
        <f>[1]!i_dq_close(T$2,$P456)</f>
        <v>5514.8033999999998</v>
      </c>
      <c r="U456" s="14">
        <f>[1]!i_dq_close(U$2,$P456)</f>
        <v>10557.546200000001</v>
      </c>
      <c r="V456" s="14">
        <f>[1]!i_dq_close(V$2,$P456)</f>
        <v>9840.5694999999996</v>
      </c>
      <c r="W456" s="14">
        <f>[1]!i_dq_close(W$2,$P456)</f>
        <v>6152.8494000000001</v>
      </c>
      <c r="X456" s="14">
        <f>[1]!i_dq_close(X$2,$P456)</f>
        <v>5834.2168000000001</v>
      </c>
      <c r="Y456" s="14">
        <f>[1]!i_dq_close(Y$2,$P456)</f>
        <v>6861.6391999999996</v>
      </c>
      <c r="Z456" s="14">
        <f>[1]!i_dq_close(Z$2,$P456)</f>
        <v>2342.0497999999998</v>
      </c>
      <c r="AB456" s="1">
        <v>43076</v>
      </c>
      <c r="AC456">
        <v>1.1920940151785495</v>
      </c>
      <c r="AD456">
        <v>1.3274388430629593</v>
      </c>
      <c r="AE456">
        <v>1.1010088006062084</v>
      </c>
      <c r="AF456">
        <v>1.1402328390907668</v>
      </c>
      <c r="AG456">
        <v>1.5741725304927032</v>
      </c>
      <c r="AH456">
        <v>1.2153665586592732</v>
      </c>
      <c r="AI456">
        <v>1.3187138759357566</v>
      </c>
      <c r="AJ456">
        <v>1.0777339662134275</v>
      </c>
      <c r="AK456">
        <v>1.362876401187874</v>
      </c>
      <c r="AL456">
        <v>1.0409115311123041</v>
      </c>
    </row>
    <row r="457" spans="1:38" x14ac:dyDescent="0.4">
      <c r="A457" s="10">
        <v>43080</v>
      </c>
      <c r="B457" s="11">
        <v>1.3777267363717669</v>
      </c>
      <c r="C457" s="11">
        <v>1.438787717770059</v>
      </c>
      <c r="D457" s="11">
        <v>1.2873799499691569</v>
      </c>
      <c r="E457" s="11">
        <v>1.337607067535556</v>
      </c>
      <c r="P457" s="1">
        <f>A456</f>
        <v>43077</v>
      </c>
      <c r="Q457" s="14">
        <f>[1]!i_dq_close(Q$2,$P457)</f>
        <v>2014.7722000000001</v>
      </c>
      <c r="R457" s="14">
        <f>[1]!i_dq_close(R$2,$P457)</f>
        <v>3422.2615000000001</v>
      </c>
      <c r="S457" s="14">
        <f>[1]!i_dq_close(S$2,$P457)</f>
        <v>3736.9695000000002</v>
      </c>
      <c r="T457" s="14">
        <f>[1]!i_dq_close(T$2,$P457)</f>
        <v>5575.2386999999999</v>
      </c>
      <c r="U457" s="14">
        <f>[1]!i_dq_close(U$2,$P457)</f>
        <v>10739.2237</v>
      </c>
      <c r="V457" s="14">
        <f>[1]!i_dq_close(V$2,$P457)</f>
        <v>9918.2888000000003</v>
      </c>
      <c r="W457" s="14">
        <f>[1]!i_dq_close(W$2,$P457)</f>
        <v>6184.9306999999999</v>
      </c>
      <c r="X457" s="14">
        <f>[1]!i_dq_close(X$2,$P457)</f>
        <v>5929.0770000000002</v>
      </c>
      <c r="Y457" s="14">
        <f>[1]!i_dq_close(Y$2,$P457)</f>
        <v>6969.7111999999997</v>
      </c>
      <c r="Z457" s="14">
        <f>[1]!i_dq_close(Z$2,$P457)</f>
        <v>2345.5904999999998</v>
      </c>
      <c r="AB457" s="1">
        <v>43077</v>
      </c>
      <c r="AC457">
        <v>1.1961059647673424</v>
      </c>
      <c r="AD457">
        <v>1.3413747083801018</v>
      </c>
      <c r="AE457">
        <v>1.1059710315499975</v>
      </c>
      <c r="AF457">
        <v>1.152728355014381</v>
      </c>
      <c r="AG457">
        <v>1.6012613752385199</v>
      </c>
      <c r="AH457">
        <v>1.224965336268883</v>
      </c>
      <c r="AI457">
        <v>1.3255897236475596</v>
      </c>
      <c r="AJ457">
        <v>1.0952571510874964</v>
      </c>
      <c r="AK457">
        <v>1.3843419393976324</v>
      </c>
      <c r="AL457">
        <v>1.0424851763260861</v>
      </c>
    </row>
    <row r="458" spans="1:38" x14ac:dyDescent="0.4">
      <c r="A458" s="10">
        <v>43081</v>
      </c>
      <c r="B458" s="11">
        <v>1.3646792037347331</v>
      </c>
      <c r="C458" s="11">
        <v>1.426403276907305</v>
      </c>
      <c r="D458" s="11">
        <v>1.2761901390965691</v>
      </c>
      <c r="E458" s="11">
        <v>1.3269528254897189</v>
      </c>
      <c r="P458" s="1">
        <f>A457</f>
        <v>43080</v>
      </c>
      <c r="Q458" s="14">
        <f>[1]!i_dq_close(Q$2,$P458)</f>
        <v>2028.2506000000001</v>
      </c>
      <c r="R458" s="14">
        <f>[1]!i_dq_close(R$2,$P458)</f>
        <v>3457.0205999999998</v>
      </c>
      <c r="S458" s="14">
        <f>[1]!i_dq_close(S$2,$P458)</f>
        <v>3771.4283999999998</v>
      </c>
      <c r="T458" s="14">
        <f>[1]!i_dq_close(T$2,$P458)</f>
        <v>5687.8783000000003</v>
      </c>
      <c r="U458" s="14">
        <f>[1]!i_dq_close(U$2,$P458)</f>
        <v>11015.968199999999</v>
      </c>
      <c r="V458" s="14">
        <f>[1]!i_dq_close(V$2,$P458)</f>
        <v>10132.5335</v>
      </c>
      <c r="W458" s="14">
        <f>[1]!i_dq_close(W$2,$P458)</f>
        <v>6229.7982000000002</v>
      </c>
      <c r="X458" s="14">
        <f>[1]!i_dq_close(X$2,$P458)</f>
        <v>6059.1296000000002</v>
      </c>
      <c r="Y458" s="14">
        <f>[1]!i_dq_close(Y$2,$P458)</f>
        <v>7090.7552999999998</v>
      </c>
      <c r="Z458" s="14">
        <f>[1]!i_dq_close(Z$2,$P458)</f>
        <v>2355.0578</v>
      </c>
      <c r="AB458" s="1">
        <v>43080</v>
      </c>
      <c r="AC458">
        <v>1.2041076607583434</v>
      </c>
      <c r="AD458">
        <v>1.3549987337872937</v>
      </c>
      <c r="AE458">
        <v>1.1161692804731096</v>
      </c>
      <c r="AF458">
        <v>1.176017557110334</v>
      </c>
      <c r="AG458">
        <v>1.6425250914100804</v>
      </c>
      <c r="AH458">
        <v>1.2514257808346154</v>
      </c>
      <c r="AI458">
        <v>1.3352059828767466</v>
      </c>
      <c r="AJ458">
        <v>1.1192813019237096</v>
      </c>
      <c r="AK458">
        <v>1.4083840294266485</v>
      </c>
      <c r="AL458">
        <v>1.0466928672720683</v>
      </c>
    </row>
    <row r="459" spans="1:38" x14ac:dyDescent="0.4">
      <c r="A459" s="10">
        <v>43082</v>
      </c>
      <c r="B459" s="11">
        <v>1.3766471234806921</v>
      </c>
      <c r="C459" s="11">
        <v>1.438756980295814</v>
      </c>
      <c r="D459" s="11">
        <v>1.2883561289043339</v>
      </c>
      <c r="E459" s="11">
        <v>1.3381642600335359</v>
      </c>
      <c r="P459" s="1">
        <f>A458</f>
        <v>43081</v>
      </c>
      <c r="Q459" s="14">
        <f>[1]!i_dq_close(Q$2,$P459)</f>
        <v>2001.3046999999999</v>
      </c>
      <c r="R459" s="14">
        <f>[1]!i_dq_close(R$2,$P459)</f>
        <v>3434.8926000000001</v>
      </c>
      <c r="S459" s="14">
        <f>[1]!i_dq_close(S$2,$P459)</f>
        <v>3724.6939000000002</v>
      </c>
      <c r="T459" s="14">
        <f>[1]!i_dq_close(T$2,$P459)</f>
        <v>5626.7258000000002</v>
      </c>
      <c r="U459" s="14">
        <f>[1]!i_dq_close(U$2,$P459)</f>
        <v>10951.2986</v>
      </c>
      <c r="V459" s="14">
        <f>[1]!i_dq_close(V$2,$P459)</f>
        <v>10064.515299999999</v>
      </c>
      <c r="W459" s="14">
        <f>[1]!i_dq_close(W$2,$P459)</f>
        <v>6130.2093000000004</v>
      </c>
      <c r="X459" s="14">
        <f>[1]!i_dq_close(X$2,$P459)</f>
        <v>5994.1044000000002</v>
      </c>
      <c r="Y459" s="14">
        <f>[1]!i_dq_close(Y$2,$P459)</f>
        <v>7017.8816999999999</v>
      </c>
      <c r="Z459" s="14">
        <f>[1]!i_dq_close(Z$2,$P459)</f>
        <v>2335.6678999999999</v>
      </c>
      <c r="AB459" s="1">
        <v>43081</v>
      </c>
      <c r="AC459">
        <v>1.1881107397585278</v>
      </c>
      <c r="AD459">
        <v>1.3463255393084281</v>
      </c>
      <c r="AE459">
        <v>1.102338018758511</v>
      </c>
      <c r="AF459">
        <v>1.1633737539436613</v>
      </c>
      <c r="AG459">
        <v>1.632882594380046</v>
      </c>
      <c r="AH459">
        <v>1.2430251445035374</v>
      </c>
      <c r="AI459">
        <v>1.3138615202089008</v>
      </c>
      <c r="AJ459">
        <v>1.1072694297046619</v>
      </c>
      <c r="AK459">
        <v>1.39390968782769</v>
      </c>
      <c r="AL459">
        <v>1.038075129725619</v>
      </c>
    </row>
    <row r="460" spans="1:38" x14ac:dyDescent="0.4">
      <c r="A460" s="10">
        <v>43083</v>
      </c>
      <c r="B460" s="11">
        <v>1.3741513640416789</v>
      </c>
      <c r="C460" s="11">
        <v>1.4364421540298991</v>
      </c>
      <c r="D460" s="11">
        <v>1.285643125107411</v>
      </c>
      <c r="E460" s="11">
        <v>1.334331195897442</v>
      </c>
      <c r="P460" s="1">
        <f>A459</f>
        <v>43082</v>
      </c>
      <c r="Q460" s="14">
        <f>[1]!i_dq_close(Q$2,$P460)</f>
        <v>2010.3375000000001</v>
      </c>
      <c r="R460" s="14">
        <f>[1]!i_dq_close(R$2,$P460)</f>
        <v>3445.83</v>
      </c>
      <c r="S460" s="14">
        <f>[1]!i_dq_close(S$2,$P460)</f>
        <v>3757.9816999999998</v>
      </c>
      <c r="T460" s="14">
        <f>[1]!i_dq_close(T$2,$P460)</f>
        <v>5686.6592000000001</v>
      </c>
      <c r="U460" s="14">
        <f>[1]!i_dq_close(U$2,$P460)</f>
        <v>11163.3603</v>
      </c>
      <c r="V460" s="14">
        <f>[1]!i_dq_close(V$2,$P460)</f>
        <v>10131.290800000001</v>
      </c>
      <c r="W460" s="14">
        <f>[1]!i_dq_close(W$2,$P460)</f>
        <v>6154.7151999999996</v>
      </c>
      <c r="X460" s="14">
        <f>[1]!i_dq_close(X$2,$P460)</f>
        <v>6035.7795999999998</v>
      </c>
      <c r="Y460" s="14">
        <f>[1]!i_dq_close(Y$2,$P460)</f>
        <v>7068.9926999999998</v>
      </c>
      <c r="Z460" s="14">
        <f>[1]!i_dq_close(Z$2,$P460)</f>
        <v>2343.9681999999998</v>
      </c>
      <c r="AB460" s="1">
        <v>43082</v>
      </c>
      <c r="AC460">
        <v>1.1934732248864002</v>
      </c>
      <c r="AD460">
        <v>1.3506125149633967</v>
      </c>
      <c r="AE460">
        <v>1.1121896759647123</v>
      </c>
      <c r="AF460">
        <v>1.1757654977433336</v>
      </c>
      <c r="AG460">
        <v>1.6645018453485698</v>
      </c>
      <c r="AH460">
        <v>1.2512723002842832</v>
      </c>
      <c r="AI460">
        <v>1.3191137648635956</v>
      </c>
      <c r="AJ460">
        <v>1.1149679400837649</v>
      </c>
      <c r="AK460">
        <v>1.4040614859200631</v>
      </c>
      <c r="AL460">
        <v>1.041764153751364</v>
      </c>
    </row>
    <row r="461" spans="1:38" x14ac:dyDescent="0.4">
      <c r="A461" s="10">
        <v>43084</v>
      </c>
      <c r="B461" s="11">
        <v>1.36155222665574</v>
      </c>
      <c r="C461" s="11">
        <v>1.4234832122068051</v>
      </c>
      <c r="D461" s="11">
        <v>1.2727042210053301</v>
      </c>
      <c r="E461" s="11">
        <v>1.319652575660883</v>
      </c>
      <c r="P461" s="1">
        <f>A460</f>
        <v>43083</v>
      </c>
      <c r="Q461" s="14">
        <f>[1]!i_dq_close(Q$2,$P461)</f>
        <v>2007.6101000000001</v>
      </c>
      <c r="R461" s="14">
        <f>[1]!i_dq_close(R$2,$P461)</f>
        <v>3449.6696000000002</v>
      </c>
      <c r="S461" s="14">
        <f>[1]!i_dq_close(S$2,$P461)</f>
        <v>3754.1704</v>
      </c>
      <c r="T461" s="14">
        <f>[1]!i_dq_close(T$2,$P461)</f>
        <v>5681.4630999999999</v>
      </c>
      <c r="U461" s="14">
        <f>[1]!i_dq_close(U$2,$P461)</f>
        <v>11165.998900000001</v>
      </c>
      <c r="V461" s="14">
        <f>[1]!i_dq_close(V$2,$P461)</f>
        <v>10125.5681</v>
      </c>
      <c r="W461" s="14">
        <f>[1]!i_dq_close(W$2,$P461)</f>
        <v>6103.4093000000003</v>
      </c>
      <c r="X461" s="14">
        <f>[1]!i_dq_close(X$2,$P461)</f>
        <v>6007.2573000000002</v>
      </c>
      <c r="Y461" s="14">
        <f>[1]!i_dq_close(Y$2,$P461)</f>
        <v>7084.4258</v>
      </c>
      <c r="Z461" s="14">
        <f>[1]!i_dq_close(Z$2,$P461)</f>
        <v>2344.6097</v>
      </c>
      <c r="AB461" s="1">
        <v>43083</v>
      </c>
      <c r="AC461">
        <v>1.1918540545363694</v>
      </c>
      <c r="AD461">
        <v>1.3521174678520922</v>
      </c>
      <c r="AE461">
        <v>1.111061706525158</v>
      </c>
      <c r="AF461">
        <v>1.1746911595619944</v>
      </c>
      <c r="AG461">
        <v>1.6648952712034297</v>
      </c>
      <c r="AH461">
        <v>1.2505655141368717</v>
      </c>
      <c r="AI461">
        <v>1.3081175909206137</v>
      </c>
      <c r="AJ461">
        <v>1.1096991177965081</v>
      </c>
      <c r="AK461">
        <v>1.4071268478800993</v>
      </c>
      <c r="AL461">
        <v>1.0420492650018629</v>
      </c>
    </row>
    <row r="462" spans="1:38" x14ac:dyDescent="0.4">
      <c r="A462" s="10">
        <v>43087</v>
      </c>
      <c r="B462" s="11">
        <v>1.358582365613753</v>
      </c>
      <c r="C462" s="11">
        <v>1.4230370855132211</v>
      </c>
      <c r="D462" s="11">
        <v>1.2688434256754999</v>
      </c>
      <c r="E462" s="11">
        <v>1.31672105499654</v>
      </c>
      <c r="P462" s="1">
        <f>A461</f>
        <v>43084</v>
      </c>
      <c r="Q462" s="14">
        <f>[1]!i_dq_close(Q$2,$P462)</f>
        <v>1990.5979</v>
      </c>
      <c r="R462" s="14">
        <f>[1]!i_dq_close(R$2,$P462)</f>
        <v>3415.3444</v>
      </c>
      <c r="S462" s="14">
        <f>[1]!i_dq_close(S$2,$P462)</f>
        <v>3736.7528000000002</v>
      </c>
      <c r="T462" s="14">
        <f>[1]!i_dq_close(T$2,$P462)</f>
        <v>5653.9355999999998</v>
      </c>
      <c r="U462" s="14">
        <f>[1]!i_dq_close(U$2,$P462)</f>
        <v>11075.063700000001</v>
      </c>
      <c r="V462" s="14">
        <f>[1]!i_dq_close(V$2,$P462)</f>
        <v>10038.8415</v>
      </c>
      <c r="W462" s="14">
        <f>[1]!i_dq_close(W$2,$P462)</f>
        <v>6041.1958999999997</v>
      </c>
      <c r="X462" s="14">
        <f>[1]!i_dq_close(X$2,$P462)</f>
        <v>5940.9409999999998</v>
      </c>
      <c r="Y462" s="14">
        <f>[1]!i_dq_close(Y$2,$P462)</f>
        <v>6977.3321999999998</v>
      </c>
      <c r="Z462" s="14">
        <f>[1]!i_dq_close(Z$2,$P462)</f>
        <v>2338.5520999999999</v>
      </c>
      <c r="AB462" s="1">
        <v>43084</v>
      </c>
      <c r="AC462">
        <v>1.1817544542471579</v>
      </c>
      <c r="AD462">
        <v>1.338663511998605</v>
      </c>
      <c r="AE462">
        <v>1.1059068983205085</v>
      </c>
      <c r="AF462">
        <v>1.1689996131547242</v>
      </c>
      <c r="AG462">
        <v>1.6513364677482425</v>
      </c>
      <c r="AH462">
        <v>1.2398542835128494</v>
      </c>
      <c r="AI462">
        <v>1.2947836591898709</v>
      </c>
      <c r="AJ462">
        <v>1.0974487453003059</v>
      </c>
      <c r="AK462">
        <v>1.385855641991242</v>
      </c>
      <c r="AL462">
        <v>1.0393569970189762</v>
      </c>
    </row>
    <row r="463" spans="1:38" x14ac:dyDescent="0.4">
      <c r="A463" s="10">
        <v>43088</v>
      </c>
      <c r="B463" s="11">
        <v>1.373289081763954</v>
      </c>
      <c r="C463" s="11">
        <v>1.4372824216926969</v>
      </c>
      <c r="D463" s="11">
        <v>1.283255303595523</v>
      </c>
      <c r="E463" s="11">
        <v>1.330027259539756</v>
      </c>
      <c r="P463" s="1">
        <f>A462</f>
        <v>43087</v>
      </c>
      <c r="Q463" s="14">
        <f>[1]!i_dq_close(Q$2,$P463)</f>
        <v>2027.3632</v>
      </c>
      <c r="R463" s="14">
        <f>[1]!i_dq_close(R$2,$P463)</f>
        <v>3416.1432</v>
      </c>
      <c r="S463" s="14">
        <f>[1]!i_dq_close(S$2,$P463)</f>
        <v>3714.8042</v>
      </c>
      <c r="T463" s="14">
        <f>[1]!i_dq_close(T$2,$P463)</f>
        <v>5655.8818000000001</v>
      </c>
      <c r="U463" s="14">
        <f>[1]!i_dq_close(U$2,$P463)</f>
        <v>11183.252399999999</v>
      </c>
      <c r="V463" s="14">
        <f>[1]!i_dq_close(V$2,$P463)</f>
        <v>9982.1206999999995</v>
      </c>
      <c r="W463" s="14">
        <f>[1]!i_dq_close(W$2,$P463)</f>
        <v>6036.5232999999998</v>
      </c>
      <c r="X463" s="14">
        <f>[1]!i_dq_close(X$2,$P463)</f>
        <v>5863.6314000000002</v>
      </c>
      <c r="Y463" s="14">
        <f>[1]!i_dq_close(Y$2,$P463)</f>
        <v>6870.3104000000003</v>
      </c>
      <c r="Z463" s="14">
        <f>[1]!i_dq_close(Z$2,$P463)</f>
        <v>2340.241</v>
      </c>
      <c r="AB463" s="1">
        <v>43087</v>
      </c>
      <c r="AC463">
        <v>1.2035808396948333</v>
      </c>
      <c r="AD463">
        <v>1.3389766061666146</v>
      </c>
      <c r="AE463">
        <v>1.0994111225901799</v>
      </c>
      <c r="AF463">
        <v>1.1694020066745801</v>
      </c>
      <c r="AG463">
        <v>1.6674678373319922</v>
      </c>
      <c r="AH463">
        <v>1.2328489406309764</v>
      </c>
      <c r="AI463">
        <v>1.2937822008319437</v>
      </c>
      <c r="AJ463">
        <v>1.0831676198826881</v>
      </c>
      <c r="AK463">
        <v>1.3645986972027944</v>
      </c>
      <c r="AL463">
        <v>1.0401076196081696</v>
      </c>
    </row>
    <row r="464" spans="1:38" x14ac:dyDescent="0.4">
      <c r="A464" s="10">
        <v>43089</v>
      </c>
      <c r="B464" s="11">
        <v>1.3703183555683121</v>
      </c>
      <c r="C464" s="11">
        <v>1.4356737337103029</v>
      </c>
      <c r="D464" s="11">
        <v>1.2815388829371981</v>
      </c>
      <c r="E464" s="11">
        <v>1.3286869969861459</v>
      </c>
      <c r="P464" s="1">
        <f>A463</f>
        <v>43088</v>
      </c>
      <c r="Q464" s="14">
        <f>[1]!i_dq_close(Q$2,$P464)</f>
        <v>2035.0172</v>
      </c>
      <c r="R464" s="14">
        <f>[1]!i_dq_close(R$2,$P464)</f>
        <v>3434.8494999999998</v>
      </c>
      <c r="S464" s="14">
        <f>[1]!i_dq_close(S$2,$P464)</f>
        <v>3740.1534000000001</v>
      </c>
      <c r="T464" s="14">
        <f>[1]!i_dq_close(T$2,$P464)</f>
        <v>5690.7833000000001</v>
      </c>
      <c r="U464" s="14">
        <f>[1]!i_dq_close(U$2,$P464)</f>
        <v>11263.3235</v>
      </c>
      <c r="V464" s="14">
        <f>[1]!i_dq_close(V$2,$P464)</f>
        <v>10074.270699999999</v>
      </c>
      <c r="W464" s="14">
        <f>[1]!i_dq_close(W$2,$P464)</f>
        <v>6135.7155000000002</v>
      </c>
      <c r="X464" s="14">
        <f>[1]!i_dq_close(X$2,$P464)</f>
        <v>5938.8361000000004</v>
      </c>
      <c r="Y464" s="14">
        <f>[1]!i_dq_close(Y$2,$P464)</f>
        <v>6966.8791000000001</v>
      </c>
      <c r="Z464" s="14">
        <f>[1]!i_dq_close(Z$2,$P464)</f>
        <v>2341.0421999999999</v>
      </c>
      <c r="AB464" s="1">
        <v>43088</v>
      </c>
      <c r="AC464">
        <v>1.2081247752595234</v>
      </c>
      <c r="AD464">
        <v>1.3463086460201941</v>
      </c>
      <c r="AE464">
        <v>1.1069133194566427</v>
      </c>
      <c r="AF464">
        <v>1.1766181907426334</v>
      </c>
      <c r="AG464">
        <v>1.6794067598541913</v>
      </c>
      <c r="AH464">
        <v>1.2442299921423194</v>
      </c>
      <c r="AI464">
        <v>1.31504164048678</v>
      </c>
      <c r="AJ464">
        <v>1.0970599146648927</v>
      </c>
      <c r="AK464">
        <v>1.3837794204217289</v>
      </c>
      <c r="AL464">
        <v>1.0404637086711463</v>
      </c>
    </row>
    <row r="465" spans="1:38" x14ac:dyDescent="0.4">
      <c r="A465" s="10">
        <v>43090</v>
      </c>
      <c r="B465" s="11">
        <v>1.384052052899841</v>
      </c>
      <c r="C465" s="11">
        <v>1.449649974083252</v>
      </c>
      <c r="D465" s="11">
        <v>1.2959225469957969</v>
      </c>
      <c r="E465" s="11">
        <v>1.34428036271827</v>
      </c>
      <c r="P465" s="1">
        <f>A464</f>
        <v>43089</v>
      </c>
      <c r="Q465" s="14">
        <f>[1]!i_dq_close(Q$2,$P465)</f>
        <v>2033.1043</v>
      </c>
      <c r="R465" s="14">
        <f>[1]!i_dq_close(R$2,$P465)</f>
        <v>3390.4117999999999</v>
      </c>
      <c r="S465" s="14">
        <f>[1]!i_dq_close(S$2,$P465)</f>
        <v>3716.5198</v>
      </c>
      <c r="T465" s="14">
        <f>[1]!i_dq_close(T$2,$P465)</f>
        <v>5651.7268999999997</v>
      </c>
      <c r="U465" s="14">
        <f>[1]!i_dq_close(U$2,$P465)</f>
        <v>11466.137199999999</v>
      </c>
      <c r="V465" s="14">
        <f>[1]!i_dq_close(V$2,$P465)</f>
        <v>10053.7673</v>
      </c>
      <c r="W465" s="14">
        <f>[1]!i_dq_close(W$2,$P465)</f>
        <v>6107.6156000000001</v>
      </c>
      <c r="X465" s="14">
        <f>[1]!i_dq_close(X$2,$P465)</f>
        <v>5862.3167999999996</v>
      </c>
      <c r="Y465" s="14">
        <f>[1]!i_dq_close(Y$2,$P465)</f>
        <v>6889.8375999999998</v>
      </c>
      <c r="Z465" s="14">
        <f>[1]!i_dq_close(Z$2,$P465)</f>
        <v>2333.4659000000001</v>
      </c>
      <c r="AB465" s="1">
        <v>43089</v>
      </c>
      <c r="AC465">
        <v>1.2069891475692052</v>
      </c>
      <c r="AD465">
        <v>1.3288910387220427</v>
      </c>
      <c r="AE465">
        <v>1.0999188612542838</v>
      </c>
      <c r="AF465">
        <v>1.1685429455114678</v>
      </c>
      <c r="AG465">
        <v>1.7096470968889073</v>
      </c>
      <c r="AH465">
        <v>1.2416977050934028</v>
      </c>
      <c r="AI465">
        <v>1.3090191091954391</v>
      </c>
      <c r="AJ465">
        <v>1.0829247785347311</v>
      </c>
      <c r="AK465">
        <v>1.3684772398200271</v>
      </c>
      <c r="AL465">
        <v>1.0370964625804928</v>
      </c>
    </row>
    <row r="466" spans="1:38" x14ac:dyDescent="0.4">
      <c r="A466" s="10">
        <v>43091</v>
      </c>
      <c r="B466" s="11">
        <v>1.379842833939859</v>
      </c>
      <c r="C466" s="11">
        <v>1.4464656360929711</v>
      </c>
      <c r="D466" s="11">
        <v>1.293244454899805</v>
      </c>
      <c r="E466" s="11">
        <v>1.3397131813437</v>
      </c>
      <c r="P466" s="1">
        <f>A465</f>
        <v>43090</v>
      </c>
      <c r="Q466" s="14">
        <f>[1]!i_dq_close(Q$2,$P466)</f>
        <v>2033.0691999999999</v>
      </c>
      <c r="R466" s="14">
        <f>[1]!i_dq_close(R$2,$P466)</f>
        <v>3417.7235999999998</v>
      </c>
      <c r="S466" s="14">
        <f>[1]!i_dq_close(S$2,$P466)</f>
        <v>3730.1752999999999</v>
      </c>
      <c r="T466" s="14">
        <f>[1]!i_dq_close(T$2,$P466)</f>
        <v>5675.3064999999997</v>
      </c>
      <c r="U466" s="14">
        <f>[1]!i_dq_close(U$2,$P466)</f>
        <v>11469.6191</v>
      </c>
      <c r="V466" s="14">
        <f>[1]!i_dq_close(V$2,$P466)</f>
        <v>10137.421700000001</v>
      </c>
      <c r="W466" s="14">
        <f>[1]!i_dq_close(W$2,$P466)</f>
        <v>6151.2536</v>
      </c>
      <c r="X466" s="14">
        <f>[1]!i_dq_close(X$2,$P466)</f>
        <v>5938.9987000000001</v>
      </c>
      <c r="Y466" s="14">
        <f>[1]!i_dq_close(Y$2,$P466)</f>
        <v>7017.3577999999998</v>
      </c>
      <c r="Z466" s="14">
        <f>[1]!i_dq_close(Z$2,$P466)</f>
        <v>2337.1453000000001</v>
      </c>
      <c r="AB466" s="1">
        <v>43090</v>
      </c>
      <c r="AC466">
        <v>1.2069683098192285</v>
      </c>
      <c r="AD466">
        <v>1.3395960528655662</v>
      </c>
      <c r="AE466">
        <v>1.1039602609556542</v>
      </c>
      <c r="AF466">
        <v>1.1734182297786504</v>
      </c>
      <c r="AG466">
        <v>1.7101662621598983</v>
      </c>
      <c r="AH466">
        <v>1.2520295014639997</v>
      </c>
      <c r="AI466">
        <v>1.3183718549522401</v>
      </c>
      <c r="AJ466">
        <v>1.0970899511803178</v>
      </c>
      <c r="AK466">
        <v>1.3938056294641166</v>
      </c>
      <c r="AL466">
        <v>1.0387317522688566</v>
      </c>
    </row>
    <row r="467" spans="1:38" x14ac:dyDescent="0.4">
      <c r="A467" s="10">
        <v>43094</v>
      </c>
      <c r="B467" s="11">
        <v>1.370258010035621</v>
      </c>
      <c r="C467" s="11">
        <v>1.4384913751406569</v>
      </c>
      <c r="D467" s="11">
        <v>1.2842636745776019</v>
      </c>
      <c r="E467" s="11">
        <v>1.3300156750438461</v>
      </c>
      <c r="P467" s="1">
        <f>A466</f>
        <v>43091</v>
      </c>
      <c r="Q467" s="14">
        <f>[1]!i_dq_close(Q$2,$P467)</f>
        <v>2060.3699000000001</v>
      </c>
      <c r="R467" s="14">
        <f>[1]!i_dq_close(R$2,$P467)</f>
        <v>3426.7420999999999</v>
      </c>
      <c r="S467" s="14">
        <f>[1]!i_dq_close(S$2,$P467)</f>
        <v>3730.0641000000001</v>
      </c>
      <c r="T467" s="14">
        <f>[1]!i_dq_close(T$2,$P467)</f>
        <v>5670.0484999999999</v>
      </c>
      <c r="U467" s="14">
        <f>[1]!i_dq_close(U$2,$P467)</f>
        <v>11416.4187</v>
      </c>
      <c r="V467" s="14">
        <f>[1]!i_dq_close(V$2,$P467)</f>
        <v>10149.938700000001</v>
      </c>
      <c r="W467" s="14">
        <f>[1]!i_dq_close(W$2,$P467)</f>
        <v>6110.4732999999997</v>
      </c>
      <c r="X467" s="14">
        <f>[1]!i_dq_close(X$2,$P467)</f>
        <v>5897.2030000000004</v>
      </c>
      <c r="Y467" s="14">
        <f>[1]!i_dq_close(Y$2,$P467)</f>
        <v>7006.3010000000004</v>
      </c>
      <c r="Z467" s="14">
        <f>[1]!i_dq_close(Z$2,$P467)</f>
        <v>2345.2957999999999</v>
      </c>
      <c r="AB467" s="1">
        <v>43091</v>
      </c>
      <c r="AC467">
        <v>1.2231758642575536</v>
      </c>
      <c r="AD467">
        <v>1.3431309048362663</v>
      </c>
      <c r="AE467">
        <v>1.1039273508720402</v>
      </c>
      <c r="AF467">
        <v>1.1723310932421169</v>
      </c>
      <c r="AG467">
        <v>1.7022338689025311</v>
      </c>
      <c r="AH467">
        <v>1.2535754224815525</v>
      </c>
      <c r="AI467">
        <v>1.3096315878046607</v>
      </c>
      <c r="AJ467">
        <v>1.0893691812679507</v>
      </c>
      <c r="AK467">
        <v>1.3916094994500736</v>
      </c>
      <c r="AL467">
        <v>1.0423541984842748</v>
      </c>
    </row>
    <row r="468" spans="1:38" x14ac:dyDescent="0.4">
      <c r="A468" s="10">
        <v>43095</v>
      </c>
      <c r="B468" s="11">
        <v>1.374009678508646</v>
      </c>
      <c r="C468" s="11">
        <v>1.4422273705752009</v>
      </c>
      <c r="D468" s="11">
        <v>1.2872727863517219</v>
      </c>
      <c r="E468" s="11">
        <v>1.331276377421645</v>
      </c>
      <c r="P468" s="1">
        <f>A467</f>
        <v>43094</v>
      </c>
      <c r="Q468" s="14">
        <f>[1]!i_dq_close(Q$2,$P468)</f>
        <v>2033.8194000000001</v>
      </c>
      <c r="R468" s="14">
        <f>[1]!i_dq_close(R$2,$P468)</f>
        <v>3403.0538000000001</v>
      </c>
      <c r="S468" s="14">
        <f>[1]!i_dq_close(S$2,$P468)</f>
        <v>3688.1215000000002</v>
      </c>
      <c r="T468" s="14">
        <f>[1]!i_dq_close(T$2,$P468)</f>
        <v>5646.5041000000001</v>
      </c>
      <c r="U468" s="14">
        <f>[1]!i_dq_close(U$2,$P468)</f>
        <v>11405.6667</v>
      </c>
      <c r="V468" s="14">
        <f>[1]!i_dq_close(V$2,$P468)</f>
        <v>10115.0823</v>
      </c>
      <c r="W468" s="14">
        <f>[1]!i_dq_close(W$2,$P468)</f>
        <v>6098.0492000000004</v>
      </c>
      <c r="X468" s="14">
        <f>[1]!i_dq_close(X$2,$P468)</f>
        <v>5782.7066000000004</v>
      </c>
      <c r="Y468" s="14">
        <f>[1]!i_dq_close(Y$2,$P468)</f>
        <v>6885.0613000000003</v>
      </c>
      <c r="Z468" s="14">
        <f>[1]!i_dq_close(Z$2,$P468)</f>
        <v>2321.2305999999999</v>
      </c>
      <c r="AB468" s="1">
        <v>43094</v>
      </c>
      <c r="AC468">
        <v>1.2074136796207222</v>
      </c>
      <c r="AD468">
        <v>1.3338461419668828</v>
      </c>
      <c r="AE468">
        <v>1.0915142710789383</v>
      </c>
      <c r="AF468">
        <v>1.1674630868764342</v>
      </c>
      <c r="AG468">
        <v>1.7006307025296614</v>
      </c>
      <c r="AH468">
        <v>1.2492704579248515</v>
      </c>
      <c r="AI468">
        <v>1.3069687836303845</v>
      </c>
      <c r="AJ468">
        <v>1.0682186715218682</v>
      </c>
      <c r="AK468">
        <v>1.367528558846683</v>
      </c>
      <c r="AL468">
        <v>1.0316585488108461</v>
      </c>
    </row>
    <row r="469" spans="1:38" x14ac:dyDescent="0.4">
      <c r="A469" s="10">
        <v>43096</v>
      </c>
      <c r="B469" s="11">
        <v>1.3555457342449839</v>
      </c>
      <c r="C469" s="11">
        <v>1.4257665416263099</v>
      </c>
      <c r="D469" s="11">
        <v>1.2699756962126989</v>
      </c>
      <c r="E469" s="11">
        <v>1.3112686058683261</v>
      </c>
      <c r="P469" s="1">
        <f>A468</f>
        <v>43095</v>
      </c>
      <c r="Q469" s="14">
        <f>[1]!i_dq_close(Q$2,$P469)</f>
        <v>2042.5300999999999</v>
      </c>
      <c r="R469" s="14">
        <f>[1]!i_dq_close(R$2,$P469)</f>
        <v>3415.2881000000002</v>
      </c>
      <c r="S469" s="14">
        <f>[1]!i_dq_close(S$2,$P469)</f>
        <v>3728.0153</v>
      </c>
      <c r="T469" s="14">
        <f>[1]!i_dq_close(T$2,$P469)</f>
        <v>5650.0888000000004</v>
      </c>
      <c r="U469" s="14">
        <f>[1]!i_dq_close(U$2,$P469)</f>
        <v>11321.8655</v>
      </c>
      <c r="V469" s="14">
        <f>[1]!i_dq_close(V$2,$P469)</f>
        <v>10118.460800000001</v>
      </c>
      <c r="W469" s="14">
        <f>[1]!i_dq_close(W$2,$P469)</f>
        <v>6146.4835000000003</v>
      </c>
      <c r="X469" s="14">
        <f>[1]!i_dq_close(X$2,$P469)</f>
        <v>5805.6508000000003</v>
      </c>
      <c r="Y469" s="14">
        <f>[1]!i_dq_close(Y$2,$P469)</f>
        <v>6908.9639999999999</v>
      </c>
      <c r="Z469" s="14">
        <f>[1]!i_dq_close(Z$2,$P469)</f>
        <v>2328.6457</v>
      </c>
      <c r="AB469" s="1">
        <v>43095</v>
      </c>
      <c r="AC469">
        <v>1.2125849442566441</v>
      </c>
      <c r="AD469">
        <v>1.3386414448958772</v>
      </c>
      <c r="AE469">
        <v>1.1033210003386897</v>
      </c>
      <c r="AF469">
        <v>1.1682042543055922</v>
      </c>
      <c r="AG469">
        <v>1.6881356071198659</v>
      </c>
      <c r="AH469">
        <v>1.2496877219783631</v>
      </c>
      <c r="AI469">
        <v>1.3173494998366408</v>
      </c>
      <c r="AJ469">
        <v>1.0724570713817421</v>
      </c>
      <c r="AK469">
        <v>1.3722761745118541</v>
      </c>
      <c r="AL469">
        <v>1.034954150422029</v>
      </c>
    </row>
    <row r="470" spans="1:38" x14ac:dyDescent="0.4">
      <c r="A470" s="10">
        <v>43097</v>
      </c>
      <c r="B470" s="11">
        <v>1.3638050551411509</v>
      </c>
      <c r="C470" s="11">
        <v>1.43724979548204</v>
      </c>
      <c r="D470" s="11">
        <v>1.2790966102752499</v>
      </c>
      <c r="E470" s="11">
        <v>1.31939985926229</v>
      </c>
      <c r="P470" s="1">
        <f>A469</f>
        <v>43096</v>
      </c>
      <c r="Q470" s="14">
        <f>[1]!i_dq_close(Q$2,$P470)</f>
        <v>2057.9124999999999</v>
      </c>
      <c r="R470" s="14">
        <f>[1]!i_dq_close(R$2,$P470)</f>
        <v>3418.1954999999998</v>
      </c>
      <c r="S470" s="14">
        <f>[1]!i_dq_close(S$2,$P470)</f>
        <v>3701.1590999999999</v>
      </c>
      <c r="T470" s="14">
        <f>[1]!i_dq_close(T$2,$P470)</f>
        <v>5606.3221999999996</v>
      </c>
      <c r="U470" s="14">
        <f>[1]!i_dq_close(U$2,$P470)</f>
        <v>11139.995199999999</v>
      </c>
      <c r="V470" s="14">
        <f>[1]!i_dq_close(V$2,$P470)</f>
        <v>9974.0864000000001</v>
      </c>
      <c r="W470" s="14">
        <f>[1]!i_dq_close(W$2,$P470)</f>
        <v>6052.0535</v>
      </c>
      <c r="X470" s="14">
        <f>[1]!i_dq_close(X$2,$P470)</f>
        <v>5718.0938999999998</v>
      </c>
      <c r="Y470" s="14">
        <f>[1]!i_dq_close(Y$2,$P470)</f>
        <v>6772.7058999999999</v>
      </c>
      <c r="Z470" s="14">
        <f>[1]!i_dq_close(Z$2,$P470)</f>
        <v>2310.2368999999999</v>
      </c>
      <c r="AB470" s="1">
        <v>43096</v>
      </c>
      <c r="AC470">
        <v>1.2217169842919577</v>
      </c>
      <c r="AD470">
        <v>1.339781016733723</v>
      </c>
      <c r="AE470">
        <v>1.0953728008102983</v>
      </c>
      <c r="AF470">
        <v>1.1591551348799838</v>
      </c>
      <c r="AG470">
        <v>1.6610180151198926</v>
      </c>
      <c r="AH470">
        <v>1.2318566586759294</v>
      </c>
      <c r="AI470">
        <v>1.2971107221242182</v>
      </c>
      <c r="AJ470">
        <v>1.0562829989498856</v>
      </c>
      <c r="AK470">
        <v>1.3452122407275338</v>
      </c>
      <c r="AL470">
        <v>1.0267724575332013</v>
      </c>
    </row>
    <row r="471" spans="1:38" x14ac:dyDescent="0.4">
      <c r="A471" s="10">
        <v>43098</v>
      </c>
      <c r="B471" s="11">
        <v>1.372108521364841</v>
      </c>
      <c r="C471" s="11">
        <v>1.443955022481366</v>
      </c>
      <c r="D471" s="11">
        <v>1.286123009762167</v>
      </c>
      <c r="E471" s="11">
        <v>1.327245086970458</v>
      </c>
      <c r="P471" s="1">
        <f>A470</f>
        <v>43097</v>
      </c>
      <c r="Q471" s="14">
        <f>[1]!i_dq_close(Q$2,$P471)</f>
        <v>2077.1689000000001</v>
      </c>
      <c r="R471" s="14">
        <f>[1]!i_dq_close(R$2,$P471)</f>
        <v>3468.1543000000001</v>
      </c>
      <c r="S471" s="14">
        <f>[1]!i_dq_close(S$2,$P471)</f>
        <v>3704.0702000000001</v>
      </c>
      <c r="T471" s="14">
        <f>[1]!i_dq_close(T$2,$P471)</f>
        <v>5644.7617</v>
      </c>
      <c r="U471" s="14">
        <f>[1]!i_dq_close(U$2,$P471)</f>
        <v>11371.096799999999</v>
      </c>
      <c r="V471" s="14">
        <f>[1]!i_dq_close(V$2,$P471)</f>
        <v>10003.6456</v>
      </c>
      <c r="W471" s="14">
        <f>[1]!i_dq_close(W$2,$P471)</f>
        <v>6056.3077999999996</v>
      </c>
      <c r="X471" s="14">
        <f>[1]!i_dq_close(X$2,$P471)</f>
        <v>5714.3635000000004</v>
      </c>
      <c r="Y471" s="14">
        <f>[1]!i_dq_close(Y$2,$P471)</f>
        <v>6759.5950000000003</v>
      </c>
      <c r="Z471" s="14">
        <f>[1]!i_dq_close(Z$2,$P471)</f>
        <v>2307.3112999999998</v>
      </c>
      <c r="AB471" s="1">
        <v>43097</v>
      </c>
      <c r="AC471">
        <v>1.2331488945098703</v>
      </c>
      <c r="AD471">
        <v>1.3593626503350771</v>
      </c>
      <c r="AE471">
        <v>1.0962343524686529</v>
      </c>
      <c r="AF471">
        <v>1.1671028307521938</v>
      </c>
      <c r="AG471">
        <v>1.6954761916299714</v>
      </c>
      <c r="AH471">
        <v>1.2355073887663699</v>
      </c>
      <c r="AI471">
        <v>1.2980225280335895</v>
      </c>
      <c r="AJ471">
        <v>1.0555938955234305</v>
      </c>
      <c r="AK471">
        <v>1.3426081200957853</v>
      </c>
      <c r="AL471">
        <v>1.0254721902308486</v>
      </c>
    </row>
    <row r="472" spans="1:38" x14ac:dyDescent="0.4">
      <c r="A472" s="10">
        <v>43102</v>
      </c>
      <c r="B472" s="11">
        <v>1.3883882124641771</v>
      </c>
      <c r="C472" s="11">
        <v>1.4606464218523949</v>
      </c>
      <c r="D472" s="11">
        <v>1.2998742165555699</v>
      </c>
      <c r="E472" s="11">
        <v>1.341220745844163</v>
      </c>
      <c r="P472" s="1">
        <f>A471</f>
        <v>43098</v>
      </c>
      <c r="Q472" s="14">
        <f>[1]!i_dq_close(Q$2,$P472)</f>
        <v>2070.3065999999999</v>
      </c>
      <c r="R472" s="14">
        <f>[1]!i_dq_close(R$2,$P472)</f>
        <v>3480.0682999999999</v>
      </c>
      <c r="S472" s="14">
        <f>[1]!i_dq_close(S$2,$P472)</f>
        <v>3730.3126999999999</v>
      </c>
      <c r="T472" s="14">
        <f>[1]!i_dq_close(T$2,$P472)</f>
        <v>5682.2882</v>
      </c>
      <c r="U472" s="14">
        <f>[1]!i_dq_close(U$2,$P472)</f>
        <v>11328.852500000001</v>
      </c>
      <c r="V472" s="14">
        <f>[1]!i_dq_close(V$2,$P472)</f>
        <v>10098.169099999999</v>
      </c>
      <c r="W472" s="14">
        <f>[1]!i_dq_close(W$2,$P472)</f>
        <v>6085.0883000000003</v>
      </c>
      <c r="X472" s="14">
        <f>[1]!i_dq_close(X$2,$P472)</f>
        <v>5780.1454999999996</v>
      </c>
      <c r="Y472" s="14">
        <f>[1]!i_dq_close(Y$2,$P472)</f>
        <v>6822.8561</v>
      </c>
      <c r="Z472" s="14">
        <f>[1]!i_dq_close(Z$2,$P472)</f>
        <v>2312.5106999999998</v>
      </c>
      <c r="AB472" s="1">
        <v>43098</v>
      </c>
      <c r="AC472">
        <v>1.2290749659724292</v>
      </c>
      <c r="AD472">
        <v>1.3640324098714656</v>
      </c>
      <c r="AE472">
        <v>1.104000925033789</v>
      </c>
      <c r="AF472">
        <v>1.1748617560542525</v>
      </c>
      <c r="AG472">
        <v>1.6891773968750037</v>
      </c>
      <c r="AH472">
        <v>1.2471815810890223</v>
      </c>
      <c r="AI472">
        <v>1.3041909294097667</v>
      </c>
      <c r="AJ472">
        <v>1.0677455686949608</v>
      </c>
      <c r="AK472">
        <v>1.3551732022562093</v>
      </c>
      <c r="AL472">
        <v>1.0277830358050397</v>
      </c>
    </row>
    <row r="473" spans="1:38" x14ac:dyDescent="0.4">
      <c r="A473" s="10">
        <v>43103</v>
      </c>
      <c r="B473" s="11">
        <v>1.395712648310073</v>
      </c>
      <c r="C473" s="11">
        <v>1.47056421162377</v>
      </c>
      <c r="D473" s="11">
        <v>1.310119476141409</v>
      </c>
      <c r="E473" s="11">
        <v>1.354156672788589</v>
      </c>
      <c r="P473" s="1">
        <f>A472</f>
        <v>43102</v>
      </c>
      <c r="Q473" s="14">
        <f>[1]!i_dq_close(Q$2,$P473)</f>
        <v>2137.0817000000002</v>
      </c>
      <c r="R473" s="14">
        <f>[1]!i_dq_close(R$2,$P473)</f>
        <v>3559.7235000000001</v>
      </c>
      <c r="S473" s="14">
        <f>[1]!i_dq_close(S$2,$P473)</f>
        <v>3768.4578000000001</v>
      </c>
      <c r="T473" s="14">
        <f>[1]!i_dq_close(T$2,$P473)</f>
        <v>5736.1593000000003</v>
      </c>
      <c r="U473" s="14">
        <f>[1]!i_dq_close(U$2,$P473)</f>
        <v>11374.6163</v>
      </c>
      <c r="V473" s="14">
        <f>[1]!i_dq_close(V$2,$P473)</f>
        <v>10146.8128</v>
      </c>
      <c r="W473" s="14">
        <f>[1]!i_dq_close(W$2,$P473)</f>
        <v>6197.5954000000002</v>
      </c>
      <c r="X473" s="14">
        <f>[1]!i_dq_close(X$2,$P473)</f>
        <v>5817.0982999999997</v>
      </c>
      <c r="Y473" s="14">
        <f>[1]!i_dq_close(Y$2,$P473)</f>
        <v>6817.1764000000003</v>
      </c>
      <c r="Z473" s="14">
        <f>[1]!i_dq_close(Z$2,$P473)</f>
        <v>2332.7489</v>
      </c>
      <c r="AB473" s="1">
        <v>43102</v>
      </c>
      <c r="AC473">
        <v>1.2687172120824044</v>
      </c>
      <c r="AD473">
        <v>1.3952537150437789</v>
      </c>
      <c r="AE473">
        <v>1.1152901195523897</v>
      </c>
      <c r="AF473">
        <v>1.1860000674032922</v>
      </c>
      <c r="AG473">
        <v>1.696000963211939</v>
      </c>
      <c r="AH473">
        <v>1.2531893559713048</v>
      </c>
      <c r="AI473">
        <v>1.3283040945899987</v>
      </c>
      <c r="AJ473">
        <v>1.0745717270418176</v>
      </c>
      <c r="AK473">
        <v>1.3540450856545923</v>
      </c>
      <c r="AL473">
        <v>1.0367777957580335</v>
      </c>
    </row>
    <row r="474" spans="1:38" x14ac:dyDescent="0.4">
      <c r="A474" s="10">
        <v>43104</v>
      </c>
      <c r="B474" s="11">
        <v>1.401539863088098</v>
      </c>
      <c r="C474" s="11">
        <v>1.4792718435083689</v>
      </c>
      <c r="D474" s="11">
        <v>1.317641092529102</v>
      </c>
      <c r="E474" s="11">
        <v>1.361985448592008</v>
      </c>
      <c r="P474" s="1">
        <f>A473</f>
        <v>43103</v>
      </c>
      <c r="Q474" s="14">
        <f>[1]!i_dq_close(Q$2,$P474)</f>
        <v>2142.8209000000002</v>
      </c>
      <c r="R474" s="14">
        <f>[1]!i_dq_close(R$2,$P474)</f>
        <v>3588.9778999999999</v>
      </c>
      <c r="S474" s="14">
        <f>[1]!i_dq_close(S$2,$P474)</f>
        <v>3811.5162999999998</v>
      </c>
      <c r="T474" s="14">
        <f>[1]!i_dq_close(T$2,$P474)</f>
        <v>5764.1994999999997</v>
      </c>
      <c r="U474" s="14">
        <f>[1]!i_dq_close(U$2,$P474)</f>
        <v>11464.220499999999</v>
      </c>
      <c r="V474" s="14">
        <f>[1]!i_dq_close(V$2,$P474)</f>
        <v>10187.9925</v>
      </c>
      <c r="W474" s="14">
        <f>[1]!i_dq_close(W$2,$P474)</f>
        <v>6207.9134999999997</v>
      </c>
      <c r="X474" s="14">
        <f>[1]!i_dq_close(X$2,$P474)</f>
        <v>5893.6965</v>
      </c>
      <c r="Y474" s="14">
        <f>[1]!i_dq_close(Y$2,$P474)</f>
        <v>6998.6525000000001</v>
      </c>
      <c r="Z474" s="14">
        <f>[1]!i_dq_close(Z$2,$P474)</f>
        <v>2361.4128999999998</v>
      </c>
      <c r="AB474" s="1">
        <v>43103</v>
      </c>
      <c r="AC474">
        <v>1.2721243919874043</v>
      </c>
      <c r="AD474">
        <v>1.4067201422203213</v>
      </c>
      <c r="AE474">
        <v>1.1280334544021913</v>
      </c>
      <c r="AF474">
        <v>1.1917976189270099</v>
      </c>
      <c r="AG474">
        <v>1.7093613092227169</v>
      </c>
      <c r="AH474">
        <v>1.2582752842070255</v>
      </c>
      <c r="AI474">
        <v>1.3305155287985611</v>
      </c>
      <c r="AJ474">
        <v>1.0887214380862904</v>
      </c>
      <c r="AK474">
        <v>1.3900903347358338</v>
      </c>
      <c r="AL474">
        <v>1.0495173575418191</v>
      </c>
    </row>
    <row r="475" spans="1:38" x14ac:dyDescent="0.4">
      <c r="A475" s="10">
        <v>43105</v>
      </c>
      <c r="B475" s="11">
        <v>1.401177514727892</v>
      </c>
      <c r="C475" s="11">
        <v>1.478865089167106</v>
      </c>
      <c r="D475" s="11">
        <v>1.3154723025943951</v>
      </c>
      <c r="E475" s="11">
        <v>1.359163964401624</v>
      </c>
      <c r="P475" s="1">
        <f>A474</f>
        <v>43104</v>
      </c>
      <c r="Q475" s="14">
        <f>[1]!i_dq_close(Q$2,$P475)</f>
        <v>2196.8020999999999</v>
      </c>
      <c r="R475" s="14">
        <f>[1]!i_dq_close(R$2,$P475)</f>
        <v>3623.2246</v>
      </c>
      <c r="S475" s="14">
        <f>[1]!i_dq_close(S$2,$P475)</f>
        <v>3810.1821</v>
      </c>
      <c r="T475" s="14">
        <f>[1]!i_dq_close(T$2,$P475)</f>
        <v>5781.8532999999998</v>
      </c>
      <c r="U475" s="14">
        <f>[1]!i_dq_close(U$2,$P475)</f>
        <v>11662.5324</v>
      </c>
      <c r="V475" s="14">
        <f>[1]!i_dq_close(V$2,$P475)</f>
        <v>10236.143</v>
      </c>
      <c r="W475" s="14">
        <f>[1]!i_dq_close(W$2,$P475)</f>
        <v>6203.2713999999996</v>
      </c>
      <c r="X475" s="14">
        <f>[1]!i_dq_close(X$2,$P475)</f>
        <v>5896.3648000000003</v>
      </c>
      <c r="Y475" s="14">
        <f>[1]!i_dq_close(Y$2,$P475)</f>
        <v>7002.8460999999998</v>
      </c>
      <c r="Z475" s="14">
        <f>[1]!i_dq_close(Z$2,$P475)</f>
        <v>2360.4956000000002</v>
      </c>
      <c r="AB475" s="1">
        <v>43104</v>
      </c>
      <c r="AC475">
        <v>1.3041713079143258</v>
      </c>
      <c r="AD475">
        <v>1.4201433295557955</v>
      </c>
      <c r="AE475">
        <v>1.12763859258962</v>
      </c>
      <c r="AF475">
        <v>1.1954476932877278</v>
      </c>
      <c r="AG475">
        <v>1.7389304098012033</v>
      </c>
      <c r="AH475">
        <v>1.2642221460713439</v>
      </c>
      <c r="AI475">
        <v>1.3295206073750849</v>
      </c>
      <c r="AJ475">
        <v>1.0892143435851138</v>
      </c>
      <c r="AK475">
        <v>1.3909232783385841</v>
      </c>
      <c r="AL475">
        <v>1.0491096684536159</v>
      </c>
    </row>
    <row r="476" spans="1:38" x14ac:dyDescent="0.4">
      <c r="A476" s="10">
        <v>43108</v>
      </c>
      <c r="B476" s="11">
        <v>1.401756618894286</v>
      </c>
      <c r="C476" s="11">
        <v>1.486761211171143</v>
      </c>
      <c r="D476" s="11">
        <v>1.3198353729963539</v>
      </c>
      <c r="E476" s="11">
        <v>1.3608889519814129</v>
      </c>
      <c r="P476" s="1">
        <f>A475</f>
        <v>43105</v>
      </c>
      <c r="Q476" s="14">
        <f>[1]!i_dq_close(Q$2,$P476)</f>
        <v>2189.2988</v>
      </c>
      <c r="R476" s="14">
        <f>[1]!i_dq_close(R$2,$P476)</f>
        <v>3616.0551999999998</v>
      </c>
      <c r="S476" s="14">
        <f>[1]!i_dq_close(S$2,$P476)</f>
        <v>3811.2993999999999</v>
      </c>
      <c r="T476" s="14">
        <f>[1]!i_dq_close(T$2,$P476)</f>
        <v>5798.4089000000004</v>
      </c>
      <c r="U476" s="14">
        <f>[1]!i_dq_close(U$2,$P476)</f>
        <v>11705.106299999999</v>
      </c>
      <c r="V476" s="14">
        <f>[1]!i_dq_close(V$2,$P476)</f>
        <v>10250.3657</v>
      </c>
      <c r="W476" s="14">
        <f>[1]!i_dq_close(W$2,$P476)</f>
        <v>6257.5744999999997</v>
      </c>
      <c r="X476" s="14">
        <f>[1]!i_dq_close(X$2,$P476)</f>
        <v>5854.9835999999996</v>
      </c>
      <c r="Y476" s="14">
        <f>[1]!i_dq_close(Y$2,$P476)</f>
        <v>6931.8662000000004</v>
      </c>
      <c r="Z476" s="14">
        <f>[1]!i_dq_close(Z$2,$P476)</f>
        <v>2365.5396999999998</v>
      </c>
      <c r="AB476" s="1">
        <v>43105</v>
      </c>
      <c r="AC476">
        <v>1.2997168381308741</v>
      </c>
      <c r="AD476">
        <v>1.4173332427654493</v>
      </c>
      <c r="AE476">
        <v>1.1279692619819044</v>
      </c>
      <c r="AF476">
        <v>1.1988707053919947</v>
      </c>
      <c r="AG476">
        <v>1.7452783492396253</v>
      </c>
      <c r="AH476">
        <v>1.2659787307846415</v>
      </c>
      <c r="AI476">
        <v>1.3411591583651883</v>
      </c>
      <c r="AJ476">
        <v>1.0815701427726463</v>
      </c>
      <c r="AK476">
        <v>1.3768250682973633</v>
      </c>
      <c r="AL476">
        <v>1.0513514917718403</v>
      </c>
    </row>
    <row r="477" spans="1:38" x14ac:dyDescent="0.4">
      <c r="A477" s="10">
        <v>43109</v>
      </c>
      <c r="B477" s="11">
        <v>1.409760114967781</v>
      </c>
      <c r="C477" s="11">
        <v>1.4939624429208509</v>
      </c>
      <c r="D477" s="11">
        <v>1.3272839617656951</v>
      </c>
      <c r="E477" s="11">
        <v>1.370381554791406</v>
      </c>
      <c r="P477" s="1">
        <f>A476</f>
        <v>43108</v>
      </c>
      <c r="Q477" s="14">
        <f>[1]!i_dq_close(Q$2,$P477)</f>
        <v>2237.0949999999998</v>
      </c>
      <c r="R477" s="14">
        <f>[1]!i_dq_close(R$2,$P477)</f>
        <v>3667.7329</v>
      </c>
      <c r="S477" s="14">
        <f>[1]!i_dq_close(S$2,$P477)</f>
        <v>3812.4418000000001</v>
      </c>
      <c r="T477" s="14">
        <f>[1]!i_dq_close(T$2,$P477)</f>
        <v>5812.9850999999999</v>
      </c>
      <c r="U477" s="14">
        <f>[1]!i_dq_close(U$2,$P477)</f>
        <v>11786.579</v>
      </c>
      <c r="V477" s="14">
        <f>[1]!i_dq_close(V$2,$P477)</f>
        <v>10260.116599999999</v>
      </c>
      <c r="W477" s="14">
        <f>[1]!i_dq_close(W$2,$P477)</f>
        <v>6298.2867999999999</v>
      </c>
      <c r="X477" s="14">
        <f>[1]!i_dq_close(X$2,$P477)</f>
        <v>5829.5501999999997</v>
      </c>
      <c r="Y477" s="14">
        <f>[1]!i_dq_close(Y$2,$P477)</f>
        <v>6880.7939999999999</v>
      </c>
      <c r="Z477" s="14">
        <f>[1]!i_dq_close(Z$2,$P477)</f>
        <v>2370.6648</v>
      </c>
      <c r="AB477" s="1">
        <v>43108</v>
      </c>
      <c r="AC477">
        <v>1.3280919169180503</v>
      </c>
      <c r="AD477">
        <v>1.4375886089223764</v>
      </c>
      <c r="AE477">
        <v>1.1283073598193212</v>
      </c>
      <c r="AF477">
        <v>1.2018844595920364</v>
      </c>
      <c r="AG477">
        <v>1.757426255949716</v>
      </c>
      <c r="AH477">
        <v>1.2671830226477119</v>
      </c>
      <c r="AI477">
        <v>1.3498848513638273</v>
      </c>
      <c r="AJ477">
        <v>1.0768719219152567</v>
      </c>
      <c r="AK477">
        <v>1.3666809767606429</v>
      </c>
      <c r="AL477">
        <v>1.0536293151076652</v>
      </c>
    </row>
    <row r="478" spans="1:38" x14ac:dyDescent="0.4">
      <c r="A478" s="10">
        <v>43110</v>
      </c>
      <c r="B478" s="11">
        <v>1.408371702544001</v>
      </c>
      <c r="C478" s="11">
        <v>1.49266016232334</v>
      </c>
      <c r="D478" s="11">
        <v>1.3247388584307851</v>
      </c>
      <c r="E478" s="11">
        <v>1.3668454897022819</v>
      </c>
      <c r="P478" s="1">
        <f>A477</f>
        <v>43109</v>
      </c>
      <c r="Q478" s="14">
        <f>[1]!i_dq_close(Q$2,$P478)</f>
        <v>2228.8818999999999</v>
      </c>
      <c r="R478" s="14">
        <f>[1]!i_dq_close(R$2,$P478)</f>
        <v>3648.1655000000001</v>
      </c>
      <c r="S478" s="14">
        <f>[1]!i_dq_close(S$2,$P478)</f>
        <v>3803.5101</v>
      </c>
      <c r="T478" s="14">
        <f>[1]!i_dq_close(T$2,$P478)</f>
        <v>5844.3729000000003</v>
      </c>
      <c r="U478" s="14">
        <f>[1]!i_dq_close(U$2,$P478)</f>
        <v>11998.4269</v>
      </c>
      <c r="V478" s="14">
        <f>[1]!i_dq_close(V$2,$P478)</f>
        <v>10407.902400000001</v>
      </c>
      <c r="W478" s="14">
        <f>[1]!i_dq_close(W$2,$P478)</f>
        <v>6312.0501000000004</v>
      </c>
      <c r="X478" s="14">
        <f>[1]!i_dq_close(X$2,$P478)</f>
        <v>5848.2210999999998</v>
      </c>
      <c r="Y478" s="14">
        <f>[1]!i_dq_close(Y$2,$P478)</f>
        <v>6907.2596999999996</v>
      </c>
      <c r="Z478" s="14">
        <f>[1]!i_dq_close(Z$2,$P478)</f>
        <v>2358.0520000000001</v>
      </c>
      <c r="AB478" s="1">
        <v>43109</v>
      </c>
      <c r="AC478">
        <v>1.3232160615239614</v>
      </c>
      <c r="AD478">
        <v>1.4299190560641986</v>
      </c>
      <c r="AE478">
        <v>1.1256639875727736</v>
      </c>
      <c r="AF478">
        <v>1.2083741560890708</v>
      </c>
      <c r="AG478">
        <v>1.7890136284797615</v>
      </c>
      <c r="AH478">
        <v>1.2854354133416357</v>
      </c>
      <c r="AI478">
        <v>1.3528346805419422</v>
      </c>
      <c r="AJ478">
        <v>1.0803209303768166</v>
      </c>
      <c r="AK478">
        <v>1.3719376620685673</v>
      </c>
      <c r="AL478">
        <v>1.0480236234782159</v>
      </c>
    </row>
    <row r="479" spans="1:38" x14ac:dyDescent="0.4">
      <c r="A479" s="10">
        <v>43111</v>
      </c>
      <c r="B479" s="11">
        <v>1.407784112581971</v>
      </c>
      <c r="C479" s="11">
        <v>1.4890521277102959</v>
      </c>
      <c r="D479" s="11">
        <v>1.3209747068255031</v>
      </c>
      <c r="E479" s="11">
        <v>1.3641941018940671</v>
      </c>
      <c r="P479" s="1">
        <f>A478</f>
        <v>43110</v>
      </c>
      <c r="Q479" s="14">
        <f>[1]!i_dq_close(Q$2,$P479)</f>
        <v>2235.3422</v>
      </c>
      <c r="R479" s="14">
        <f>[1]!i_dq_close(R$2,$P479)</f>
        <v>3619.0453000000002</v>
      </c>
      <c r="S479" s="14">
        <f>[1]!i_dq_close(S$2,$P479)</f>
        <v>3774.7156</v>
      </c>
      <c r="T479" s="14">
        <f>[1]!i_dq_close(T$2,$P479)</f>
        <v>5860.2713000000003</v>
      </c>
      <c r="U479" s="14">
        <f>[1]!i_dq_close(U$2,$P479)</f>
        <v>12078.3102</v>
      </c>
      <c r="V479" s="14">
        <f>[1]!i_dq_close(V$2,$P479)</f>
        <v>10337.499</v>
      </c>
      <c r="W479" s="14">
        <f>[1]!i_dq_close(W$2,$P479)</f>
        <v>6357.3689000000004</v>
      </c>
      <c r="X479" s="14">
        <f>[1]!i_dq_close(X$2,$P479)</f>
        <v>5858.3222999999998</v>
      </c>
      <c r="Y479" s="14">
        <f>[1]!i_dq_close(Y$2,$P479)</f>
        <v>6823.915</v>
      </c>
      <c r="Z479" s="14">
        <f>[1]!i_dq_close(Z$2,$P479)</f>
        <v>2351.2053000000001</v>
      </c>
      <c r="AB479" s="1">
        <v>43110</v>
      </c>
      <c r="AC479">
        <v>1.3270513354890214</v>
      </c>
      <c r="AD479">
        <v>1.4185052293350109</v>
      </c>
      <c r="AE479">
        <v>1.1171421404268531</v>
      </c>
      <c r="AF479">
        <v>1.2116612864641991</v>
      </c>
      <c r="AG479">
        <v>1.8009245492678807</v>
      </c>
      <c r="AH479">
        <v>1.2767401911823986</v>
      </c>
      <c r="AI479">
        <v>1.3625476649684354</v>
      </c>
      <c r="AJ479">
        <v>1.0821868888615125</v>
      </c>
      <c r="AK479">
        <v>1.3553835236938649</v>
      </c>
      <c r="AL479">
        <v>1.0449806442127594</v>
      </c>
    </row>
    <row r="480" spans="1:38" x14ac:dyDescent="0.4">
      <c r="A480" s="10">
        <v>43112</v>
      </c>
      <c r="B480" s="11">
        <v>1.4089954976245529</v>
      </c>
      <c r="C480" s="11">
        <v>1.490749663759074</v>
      </c>
      <c r="D480" s="11">
        <v>1.322320751046363</v>
      </c>
      <c r="E480" s="11">
        <v>1.3661472358616751</v>
      </c>
      <c r="P480" s="1">
        <f>A479</f>
        <v>43111</v>
      </c>
      <c r="Q480" s="14">
        <f>[1]!i_dq_close(Q$2,$P480)</f>
        <v>2206.0446999999999</v>
      </c>
      <c r="R480" s="14">
        <f>[1]!i_dq_close(R$2,$P480)</f>
        <v>3606.6547999999998</v>
      </c>
      <c r="S480" s="14">
        <f>[1]!i_dq_close(S$2,$P480)</f>
        <v>3778.5608000000002</v>
      </c>
      <c r="T480" s="14">
        <f>[1]!i_dq_close(T$2,$P480)</f>
        <v>5858.6755999999996</v>
      </c>
      <c r="U480" s="14">
        <f>[1]!i_dq_close(U$2,$P480)</f>
        <v>11999.3608</v>
      </c>
      <c r="V480" s="14">
        <f>[1]!i_dq_close(V$2,$P480)</f>
        <v>10337.018400000001</v>
      </c>
      <c r="W480" s="14">
        <f>[1]!i_dq_close(W$2,$P480)</f>
        <v>6369.6322</v>
      </c>
      <c r="X480" s="14">
        <f>[1]!i_dq_close(X$2,$P480)</f>
        <v>5963.4470000000001</v>
      </c>
      <c r="Y480" s="14">
        <f>[1]!i_dq_close(Y$2,$P480)</f>
        <v>6857.4368999999997</v>
      </c>
      <c r="Z480" s="14">
        <f>[1]!i_dq_close(Z$2,$P480)</f>
        <v>2355.1158</v>
      </c>
      <c r="AB480" s="1">
        <v>43111</v>
      </c>
      <c r="AC480">
        <v>1.3096583446075851</v>
      </c>
      <c r="AD480">
        <v>1.4136487029345053</v>
      </c>
      <c r="AE480">
        <v>1.118280142706646</v>
      </c>
      <c r="AF480">
        <v>1.2113313618214931</v>
      </c>
      <c r="AG480">
        <v>1.7891528767196818</v>
      </c>
      <c r="AH480">
        <v>1.2766808343364262</v>
      </c>
      <c r="AI480">
        <v>1.3651760055669819</v>
      </c>
      <c r="AJ480">
        <v>1.1016061980441942</v>
      </c>
      <c r="AK480">
        <v>1.3620417295687788</v>
      </c>
      <c r="AL480">
        <v>1.0467186450624486</v>
      </c>
    </row>
    <row r="481" spans="1:38" x14ac:dyDescent="0.4">
      <c r="A481" s="10">
        <v>43115</v>
      </c>
      <c r="B481" s="11">
        <v>1.398770345722411</v>
      </c>
      <c r="C481" s="11">
        <v>1.4796132064642411</v>
      </c>
      <c r="D481" s="11">
        <v>1.310840890374555</v>
      </c>
      <c r="E481" s="11">
        <v>1.3552376356170499</v>
      </c>
      <c r="P481" s="1">
        <f>A480</f>
        <v>43112</v>
      </c>
      <c r="Q481" s="14">
        <f>[1]!i_dq_close(Q$2,$P481)</f>
        <v>2203.8908999999999</v>
      </c>
      <c r="R481" s="14">
        <f>[1]!i_dq_close(R$2,$P481)</f>
        <v>3592.7537000000002</v>
      </c>
      <c r="S481" s="14">
        <f>[1]!i_dq_close(S$2,$P481)</f>
        <v>3757.1008999999999</v>
      </c>
      <c r="T481" s="14">
        <f>[1]!i_dq_close(T$2,$P481)</f>
        <v>5893.4535999999998</v>
      </c>
      <c r="U481" s="14">
        <f>[1]!i_dq_close(U$2,$P481)</f>
        <v>12113.875700000001</v>
      </c>
      <c r="V481" s="14">
        <f>[1]!i_dq_close(V$2,$P481)</f>
        <v>10366.6561</v>
      </c>
      <c r="W481" s="14">
        <f>[1]!i_dq_close(W$2,$P481)</f>
        <v>6407.9566999999997</v>
      </c>
      <c r="X481" s="14">
        <f>[1]!i_dq_close(X$2,$P481)</f>
        <v>5887.8951999999999</v>
      </c>
      <c r="Y481" s="14">
        <f>[1]!i_dq_close(Y$2,$P481)</f>
        <v>6757.5016999999998</v>
      </c>
      <c r="Z481" s="14">
        <f>[1]!i_dq_close(Z$2,$P481)</f>
        <v>2350.7183</v>
      </c>
      <c r="AB481" s="1">
        <v>43112</v>
      </c>
      <c r="AC481">
        <v>1.3083797022742651</v>
      </c>
      <c r="AD481">
        <v>1.4082000883389629</v>
      </c>
      <c r="AE481">
        <v>1.1119289996909056</v>
      </c>
      <c r="AF481">
        <v>1.2185220112067277</v>
      </c>
      <c r="AG481">
        <v>1.806227508125237</v>
      </c>
      <c r="AH481">
        <v>1.2803412596253869</v>
      </c>
      <c r="AI481">
        <v>1.3733899316120919</v>
      </c>
      <c r="AJ481">
        <v>1.0876497847226043</v>
      </c>
      <c r="AK481">
        <v>1.3421923434733993</v>
      </c>
      <c r="AL481">
        <v>1.0447641996624977</v>
      </c>
    </row>
    <row r="482" spans="1:38" x14ac:dyDescent="0.4">
      <c r="A482" s="10">
        <v>43116</v>
      </c>
      <c r="B482" s="11">
        <v>1.4076244239494211</v>
      </c>
      <c r="C482" s="11">
        <v>1.491553439366555</v>
      </c>
      <c r="D482" s="11">
        <v>1.320338970803701</v>
      </c>
      <c r="E482" s="11">
        <v>1.3633323746844459</v>
      </c>
      <c r="P482" s="1">
        <f>A481</f>
        <v>43115</v>
      </c>
      <c r="Q482" s="14">
        <f>[1]!i_dq_close(Q$2,$P482)</f>
        <v>2163.0709999999999</v>
      </c>
      <c r="R482" s="14">
        <f>[1]!i_dq_close(R$2,$P482)</f>
        <v>3509.8883000000001</v>
      </c>
      <c r="S482" s="14">
        <f>[1]!i_dq_close(S$2,$P482)</f>
        <v>3669.194</v>
      </c>
      <c r="T482" s="14">
        <f>[1]!i_dq_close(T$2,$P482)</f>
        <v>5833.5083000000004</v>
      </c>
      <c r="U482" s="14">
        <f>[1]!i_dq_close(U$2,$P482)</f>
        <v>12004.783299999999</v>
      </c>
      <c r="V482" s="14">
        <f>[1]!i_dq_close(V$2,$P482)</f>
        <v>10257.552</v>
      </c>
      <c r="W482" s="14">
        <f>[1]!i_dq_close(W$2,$P482)</f>
        <v>6480.4971999999998</v>
      </c>
      <c r="X482" s="14">
        <f>[1]!i_dq_close(X$2,$P482)</f>
        <v>5710.6741000000002</v>
      </c>
      <c r="Y482" s="14">
        <f>[1]!i_dq_close(Y$2,$P482)</f>
        <v>6610.6052</v>
      </c>
      <c r="Z482" s="14">
        <f>[1]!i_dq_close(Z$2,$P482)</f>
        <v>2315.7087999999999</v>
      </c>
      <c r="AB482" s="1">
        <v>43115</v>
      </c>
      <c r="AC482">
        <v>1.2841462301868469</v>
      </c>
      <c r="AD482">
        <v>1.3757205271599589</v>
      </c>
      <c r="AE482">
        <v>1.085912601945791</v>
      </c>
      <c r="AF482">
        <v>1.2061278069801278</v>
      </c>
      <c r="AG482">
        <v>1.7899613932428295</v>
      </c>
      <c r="AH482">
        <v>1.2668662798945272</v>
      </c>
      <c r="AI482">
        <v>1.3889372264828745</v>
      </c>
      <c r="AJ482">
        <v>1.0549123658800776</v>
      </c>
      <c r="AK482">
        <v>1.3130153833576452</v>
      </c>
      <c r="AL482">
        <v>1.0292044142777135</v>
      </c>
    </row>
    <row r="483" spans="1:38" x14ac:dyDescent="0.4">
      <c r="A483" s="10">
        <v>43117</v>
      </c>
      <c r="B483" s="11">
        <v>1.3983813764008051</v>
      </c>
      <c r="C483" s="11">
        <v>1.478954274259088</v>
      </c>
      <c r="D483" s="11">
        <v>1.3089384038408061</v>
      </c>
      <c r="E483" s="11">
        <v>1.350033774051433</v>
      </c>
      <c r="P483" s="1">
        <f>A482</f>
        <v>43116</v>
      </c>
      <c r="Q483" s="14">
        <f>[1]!i_dq_close(Q$2,$P483)</f>
        <v>2155.4411</v>
      </c>
      <c r="R483" s="14">
        <f>[1]!i_dq_close(R$2,$P483)</f>
        <v>3534.7480999999998</v>
      </c>
      <c r="S483" s="14">
        <f>[1]!i_dq_close(S$2,$P483)</f>
        <v>3683.1604000000002</v>
      </c>
      <c r="T483" s="14">
        <f>[1]!i_dq_close(T$2,$P483)</f>
        <v>5849.5165999999999</v>
      </c>
      <c r="U483" s="14">
        <f>[1]!i_dq_close(U$2,$P483)</f>
        <v>12166.1206</v>
      </c>
      <c r="V483" s="14">
        <f>[1]!i_dq_close(V$2,$P483)</f>
        <v>10319.7047</v>
      </c>
      <c r="W483" s="14">
        <f>[1]!i_dq_close(W$2,$P483)</f>
        <v>6598.875</v>
      </c>
      <c r="X483" s="14">
        <f>[1]!i_dq_close(X$2,$P483)</f>
        <v>5695.4013999999997</v>
      </c>
      <c r="Y483" s="14">
        <f>[1]!i_dq_close(Y$2,$P483)</f>
        <v>6635.4180999999999</v>
      </c>
      <c r="Z483" s="14">
        <f>[1]!i_dq_close(Z$2,$P483)</f>
        <v>2319.5176000000001</v>
      </c>
      <c r="AB483" s="1">
        <v>43116</v>
      </c>
      <c r="AC483">
        <v>1.2796166020231377</v>
      </c>
      <c r="AD483">
        <v>1.3854644660656759</v>
      </c>
      <c r="AE483">
        <v>1.0900460137424459</v>
      </c>
      <c r="AF483">
        <v>1.2094376601215864</v>
      </c>
      <c r="AG483">
        <v>1.8140174324959528</v>
      </c>
      <c r="AH483">
        <v>1.2745424934622869</v>
      </c>
      <c r="AI483">
        <v>1.414308633665821</v>
      </c>
      <c r="AJ483">
        <v>1.052091094729203</v>
      </c>
      <c r="AK483">
        <v>1.3179437852845544</v>
      </c>
      <c r="AL483">
        <v>1.0308972151053053</v>
      </c>
    </row>
    <row r="484" spans="1:38" x14ac:dyDescent="0.4">
      <c r="A484" s="10">
        <v>43118</v>
      </c>
      <c r="B484" s="11">
        <v>1.403364921539715</v>
      </c>
      <c r="C484" s="11">
        <v>1.484409243858867</v>
      </c>
      <c r="D484" s="11">
        <v>1.3154797166219481</v>
      </c>
      <c r="E484" s="11">
        <v>1.355818391866715</v>
      </c>
      <c r="P484" s="1">
        <f>A483</f>
        <v>43117</v>
      </c>
      <c r="Q484" s="14">
        <f>[1]!i_dq_close(Q$2,$P484)</f>
        <v>2162.5070000000001</v>
      </c>
      <c r="R484" s="14">
        <f>[1]!i_dq_close(R$2,$P484)</f>
        <v>3500.9308000000001</v>
      </c>
      <c r="S484" s="14">
        <f>[1]!i_dq_close(S$2,$P484)</f>
        <v>3682.8957999999998</v>
      </c>
      <c r="T484" s="14">
        <f>[1]!i_dq_close(T$2,$P484)</f>
        <v>5803.4921000000004</v>
      </c>
      <c r="U484" s="14">
        <f>[1]!i_dq_close(U$2,$P484)</f>
        <v>11964.258</v>
      </c>
      <c r="V484" s="14">
        <f>[1]!i_dq_close(V$2,$P484)</f>
        <v>10258.374900000001</v>
      </c>
      <c r="W484" s="14">
        <f>[1]!i_dq_close(W$2,$P484)</f>
        <v>6648.7039999999997</v>
      </c>
      <c r="X484" s="14">
        <f>[1]!i_dq_close(X$2,$P484)</f>
        <v>5665.6253999999999</v>
      </c>
      <c r="Y484" s="14">
        <f>[1]!i_dq_close(Y$2,$P484)</f>
        <v>6633.3433999999997</v>
      </c>
      <c r="Z484" s="14">
        <f>[1]!i_dq_close(Z$2,$P484)</f>
        <v>2327.2145</v>
      </c>
      <c r="AB484" s="1">
        <v>43117</v>
      </c>
      <c r="AC484">
        <v>1.2838114013838047</v>
      </c>
      <c r="AD484">
        <v>1.3722095844835109</v>
      </c>
      <c r="AE484">
        <v>1.0899677043168676</v>
      </c>
      <c r="AF484">
        <v>1.1999217005313074</v>
      </c>
      <c r="AG484">
        <v>1.7839189082902205</v>
      </c>
      <c r="AH484">
        <v>1.2669679127462763</v>
      </c>
      <c r="AI484">
        <v>1.42498826995336</v>
      </c>
      <c r="AJ484">
        <v>1.0465906809327923</v>
      </c>
      <c r="AK484">
        <v>1.3175317030419402</v>
      </c>
      <c r="AL484">
        <v>1.0343180612221632</v>
      </c>
    </row>
    <row r="485" spans="1:38" x14ac:dyDescent="0.4">
      <c r="A485" s="10">
        <v>43119</v>
      </c>
      <c r="B485" s="11">
        <v>1.3996221432922979</v>
      </c>
      <c r="C485" s="11">
        <v>1.4811714286953681</v>
      </c>
      <c r="D485" s="11">
        <v>1.312690782038235</v>
      </c>
      <c r="E485" s="11">
        <v>1.3514242950463911</v>
      </c>
      <c r="P485" s="1">
        <f>A484</f>
        <v>43118</v>
      </c>
      <c r="Q485" s="14">
        <f>[1]!i_dq_close(Q$2,$P485)</f>
        <v>2168.1682999999998</v>
      </c>
      <c r="R485" s="14">
        <f>[1]!i_dq_close(R$2,$P485)</f>
        <v>3542.2307000000001</v>
      </c>
      <c r="S485" s="14">
        <f>[1]!i_dq_close(S$2,$P485)</f>
        <v>3706.7512000000002</v>
      </c>
      <c r="T485" s="14">
        <f>[1]!i_dq_close(T$2,$P485)</f>
        <v>5804.7398000000003</v>
      </c>
      <c r="U485" s="14">
        <f>[1]!i_dq_close(U$2,$P485)</f>
        <v>11991.7001</v>
      </c>
      <c r="V485" s="14">
        <f>[1]!i_dq_close(V$2,$P485)</f>
        <v>10237.822200000001</v>
      </c>
      <c r="W485" s="14">
        <f>[1]!i_dq_close(W$2,$P485)</f>
        <v>6705.2496000000001</v>
      </c>
      <c r="X485" s="14">
        <f>[1]!i_dq_close(X$2,$P485)</f>
        <v>5640.6867000000002</v>
      </c>
      <c r="Y485" s="14">
        <f>[1]!i_dq_close(Y$2,$P485)</f>
        <v>6605.9287000000004</v>
      </c>
      <c r="Z485" s="14">
        <f>[1]!i_dq_close(Z$2,$P485)</f>
        <v>2328.5435000000002</v>
      </c>
      <c r="AB485" s="1">
        <v>43118</v>
      </c>
      <c r="AC485">
        <v>1.2871723345445547</v>
      </c>
      <c r="AD485">
        <v>1.3883973133635592</v>
      </c>
      <c r="AE485">
        <v>1.0970278051140612</v>
      </c>
      <c r="AF485">
        <v>1.2001796731932766</v>
      </c>
      <c r="AG485">
        <v>1.7880106355894139</v>
      </c>
      <c r="AH485">
        <v>1.2644295368656775</v>
      </c>
      <c r="AI485">
        <v>1.4371074463699181</v>
      </c>
      <c r="AJ485">
        <v>1.0419838442339562</v>
      </c>
      <c r="AK485">
        <v>1.3120865249166251</v>
      </c>
      <c r="AL485">
        <v>1.0349087281776006</v>
      </c>
    </row>
    <row r="486" spans="1:38" x14ac:dyDescent="0.4">
      <c r="A486" s="10">
        <v>43122</v>
      </c>
      <c r="B486" s="11">
        <v>1.421460017204162</v>
      </c>
      <c r="C486" s="11">
        <v>1.502930979915533</v>
      </c>
      <c r="D486" s="11">
        <v>1.332789027203034</v>
      </c>
      <c r="E486" s="11">
        <v>1.3750742782453109</v>
      </c>
      <c r="P486" s="1">
        <f>A485</f>
        <v>43119</v>
      </c>
      <c r="Q486" s="14">
        <f>[1]!i_dq_close(Q$2,$P486)</f>
        <v>2179.8620000000001</v>
      </c>
      <c r="R486" s="14">
        <f>[1]!i_dq_close(R$2,$P486)</f>
        <v>3538.7444999999998</v>
      </c>
      <c r="S486" s="14">
        <f>[1]!i_dq_close(S$2,$P486)</f>
        <v>3706.6795999999999</v>
      </c>
      <c r="T486" s="14">
        <f>[1]!i_dq_close(T$2,$P486)</f>
        <v>5775.3171000000002</v>
      </c>
      <c r="U486" s="14">
        <f>[1]!i_dq_close(U$2,$P486)</f>
        <v>11860.991099999999</v>
      </c>
      <c r="V486" s="14">
        <f>[1]!i_dq_close(V$2,$P486)</f>
        <v>10200.4632</v>
      </c>
      <c r="W486" s="14">
        <f>[1]!i_dq_close(W$2,$P486)</f>
        <v>6758.1826000000001</v>
      </c>
      <c r="X486" s="14">
        <f>[1]!i_dq_close(X$2,$P486)</f>
        <v>5665.9417999999996</v>
      </c>
      <c r="Y486" s="14">
        <f>[1]!i_dq_close(Y$2,$P486)</f>
        <v>6583.7920000000004</v>
      </c>
      <c r="Z486" s="14">
        <f>[1]!i_dq_close(Z$2,$P486)</f>
        <v>2334.0661</v>
      </c>
      <c r="AB486" s="1">
        <v>43119</v>
      </c>
      <c r="AC486">
        <v>1.2941145110944396</v>
      </c>
      <c r="AD486">
        <v>1.3870308775992686</v>
      </c>
      <c r="AE486">
        <v>1.0970066148084248</v>
      </c>
      <c r="AF486">
        <v>1.1940962779529827</v>
      </c>
      <c r="AG486">
        <v>1.7685213988491406</v>
      </c>
      <c r="AH486">
        <v>1.2598154869100371</v>
      </c>
      <c r="AI486">
        <v>1.4484523496914437</v>
      </c>
      <c r="AJ486">
        <v>1.0466491283711716</v>
      </c>
      <c r="AK486">
        <v>1.3076896767072097</v>
      </c>
      <c r="AL486">
        <v>1.0373632182664623</v>
      </c>
    </row>
    <row r="487" spans="1:38" x14ac:dyDescent="0.4">
      <c r="A487" s="10">
        <v>43123</v>
      </c>
      <c r="B487" s="11">
        <v>1.4311760920120731</v>
      </c>
      <c r="C487" s="11">
        <v>1.514237452816305</v>
      </c>
      <c r="D487" s="11">
        <v>1.341231083450892</v>
      </c>
      <c r="E487" s="11">
        <v>1.384619131896891</v>
      </c>
      <c r="P487" s="1">
        <f>A486</f>
        <v>43122</v>
      </c>
      <c r="Q487" s="14">
        <f>[1]!i_dq_close(Q$2,$P487)</f>
        <v>2193.1952000000001</v>
      </c>
      <c r="R487" s="14">
        <f>[1]!i_dq_close(R$2,$P487)</f>
        <v>3578.5655999999999</v>
      </c>
      <c r="S487" s="14">
        <f>[1]!i_dq_close(S$2,$P487)</f>
        <v>3730.6608000000001</v>
      </c>
      <c r="T487" s="14">
        <f>[1]!i_dq_close(T$2,$P487)</f>
        <v>5938.5159999999996</v>
      </c>
      <c r="U487" s="14">
        <f>[1]!i_dq_close(U$2,$P487)</f>
        <v>12200.2107</v>
      </c>
      <c r="V487" s="14">
        <f>[1]!i_dq_close(V$2,$P487)</f>
        <v>10340.8459</v>
      </c>
      <c r="W487" s="14">
        <f>[1]!i_dq_close(W$2,$P487)</f>
        <v>6742.1965</v>
      </c>
      <c r="X487" s="14">
        <f>[1]!i_dq_close(X$2,$P487)</f>
        <v>5763.1409000000003</v>
      </c>
      <c r="Y487" s="14">
        <f>[1]!i_dq_close(Y$2,$P487)</f>
        <v>6627.1774999999998</v>
      </c>
      <c r="Z487" s="14">
        <f>[1]!i_dq_close(Z$2,$P487)</f>
        <v>2347.6849000000002</v>
      </c>
      <c r="AB487" s="1">
        <v>43122</v>
      </c>
      <c r="AC487">
        <v>1.3020300064787</v>
      </c>
      <c r="AD487">
        <v>1.4026389824737426</v>
      </c>
      <c r="AE487">
        <v>1.1041039466174767</v>
      </c>
      <c r="AF487">
        <v>1.2278390483812973</v>
      </c>
      <c r="AG487">
        <v>1.8191004032890854</v>
      </c>
      <c r="AH487">
        <v>1.277153552455359</v>
      </c>
      <c r="AI487">
        <v>1.4450261173035526</v>
      </c>
      <c r="AJ487">
        <v>1.064604369862262</v>
      </c>
      <c r="AK487">
        <v>1.3163070161475776</v>
      </c>
      <c r="AL487">
        <v>1.0434160212256105</v>
      </c>
    </row>
    <row r="488" spans="1:38" x14ac:dyDescent="0.4">
      <c r="A488" s="10">
        <v>43124</v>
      </c>
      <c r="B488" s="11">
        <v>1.43460890136599</v>
      </c>
      <c r="C488" s="11">
        <v>1.5146250664279259</v>
      </c>
      <c r="D488" s="11">
        <v>1.3425881921485141</v>
      </c>
      <c r="E488" s="11">
        <v>1.384250507516001</v>
      </c>
      <c r="P488" s="1">
        <f>A487</f>
        <v>43123</v>
      </c>
      <c r="Q488" s="14">
        <f>[1]!i_dq_close(Q$2,$P488)</f>
        <v>2217.6016</v>
      </c>
      <c r="R488" s="14">
        <f>[1]!i_dq_close(R$2,$P488)</f>
        <v>3590.7782000000002</v>
      </c>
      <c r="S488" s="14">
        <f>[1]!i_dq_close(S$2,$P488)</f>
        <v>3747.2323999999999</v>
      </c>
      <c r="T488" s="14">
        <f>[1]!i_dq_close(T$2,$P488)</f>
        <v>5956.3033999999998</v>
      </c>
      <c r="U488" s="14">
        <f>[1]!i_dq_close(U$2,$P488)</f>
        <v>12235.147199999999</v>
      </c>
      <c r="V488" s="14">
        <f>[1]!i_dq_close(V$2,$P488)</f>
        <v>10328.2911</v>
      </c>
      <c r="W488" s="14">
        <f>[1]!i_dq_close(W$2,$P488)</f>
        <v>6877.5438999999997</v>
      </c>
      <c r="X488" s="14">
        <f>[1]!i_dq_close(X$2,$P488)</f>
        <v>5749.6711999999998</v>
      </c>
      <c r="Y488" s="14">
        <f>[1]!i_dq_close(Y$2,$P488)</f>
        <v>6592.5907999999999</v>
      </c>
      <c r="Z488" s="14">
        <f>[1]!i_dq_close(Z$2,$P488)</f>
        <v>2346.7451999999998</v>
      </c>
      <c r="AB488" s="1">
        <v>43123</v>
      </c>
      <c r="AC488">
        <v>1.3165193073626895</v>
      </c>
      <c r="AD488">
        <v>1.4074257799652736</v>
      </c>
      <c r="AE488">
        <v>1.1090083777471484</v>
      </c>
      <c r="AF488">
        <v>1.2315167456863443</v>
      </c>
      <c r="AG488">
        <v>1.8243095757207968</v>
      </c>
      <c r="AH488">
        <v>1.2756029629218311</v>
      </c>
      <c r="AI488">
        <v>1.4740345462197271</v>
      </c>
      <c r="AJ488">
        <v>1.0621161604414695</v>
      </c>
      <c r="AK488">
        <v>1.3094373169618547</v>
      </c>
      <c r="AL488">
        <v>1.0429983765769839</v>
      </c>
    </row>
    <row r="489" spans="1:38" x14ac:dyDescent="0.4">
      <c r="A489" s="10">
        <v>43125</v>
      </c>
      <c r="B489" s="11">
        <v>1.4295176832809251</v>
      </c>
      <c r="C489" s="11">
        <v>1.5100517889010681</v>
      </c>
      <c r="D489" s="11">
        <v>1.3368710920306719</v>
      </c>
      <c r="E489" s="11">
        <v>1.3764742355923789</v>
      </c>
      <c r="P489" s="1">
        <f>A488</f>
        <v>43124</v>
      </c>
      <c r="Q489" s="14">
        <f>[1]!i_dq_close(Q$2,$P489)</f>
        <v>2230.5735</v>
      </c>
      <c r="R489" s="14">
        <f>[1]!i_dq_close(R$2,$P489)</f>
        <v>3585.1334000000002</v>
      </c>
      <c r="S489" s="14">
        <f>[1]!i_dq_close(S$2,$P489)</f>
        <v>3763.3530000000001</v>
      </c>
      <c r="T489" s="14">
        <f>[1]!i_dq_close(T$2,$P489)</f>
        <v>5959.4426000000003</v>
      </c>
      <c r="U489" s="14">
        <f>[1]!i_dq_close(U$2,$P489)</f>
        <v>12122.5275</v>
      </c>
      <c r="V489" s="14">
        <f>[1]!i_dq_close(V$2,$P489)</f>
        <v>10396.6173</v>
      </c>
      <c r="W489" s="14">
        <f>[1]!i_dq_close(W$2,$P489)</f>
        <v>6912.0784000000003</v>
      </c>
      <c r="X489" s="14">
        <f>[1]!i_dq_close(X$2,$P489)</f>
        <v>5859.9224999999997</v>
      </c>
      <c r="Y489" s="14">
        <f>[1]!i_dq_close(Y$2,$P489)</f>
        <v>6648.6751999999997</v>
      </c>
      <c r="Z489" s="14">
        <f>[1]!i_dq_close(Z$2,$P489)</f>
        <v>2354.6658000000002</v>
      </c>
      <c r="AB489" s="1">
        <v>43124</v>
      </c>
      <c r="AC489">
        <v>1.3242203104658519</v>
      </c>
      <c r="AD489">
        <v>1.4052132687489729</v>
      </c>
      <c r="AE489">
        <v>1.11377933362763</v>
      </c>
      <c r="AF489">
        <v>1.2321658021746453</v>
      </c>
      <c r="AG489">
        <v>1.8075175262451024</v>
      </c>
      <c r="AH489">
        <v>1.2840416390127081</v>
      </c>
      <c r="AI489">
        <v>1.4814361777871281</v>
      </c>
      <c r="AJ489">
        <v>1.082482488074201</v>
      </c>
      <c r="AK489">
        <v>1.3205769445357995</v>
      </c>
      <c r="AL489">
        <v>1.0465186449646708</v>
      </c>
    </row>
    <row r="490" spans="1:38" x14ac:dyDescent="0.4">
      <c r="A490" s="10">
        <v>43126</v>
      </c>
      <c r="B490" s="11">
        <v>1.4318052460526389</v>
      </c>
      <c r="C490" s="11">
        <v>1.514185291922957</v>
      </c>
      <c r="D490" s="11">
        <v>1.3402307879256989</v>
      </c>
      <c r="E490" s="11">
        <v>1.380451141793779</v>
      </c>
      <c r="P490" s="1">
        <f>A489</f>
        <v>43125</v>
      </c>
      <c r="Q490" s="14">
        <f>[1]!i_dq_close(Q$2,$P490)</f>
        <v>2243.7683999999999</v>
      </c>
      <c r="R490" s="14">
        <f>[1]!i_dq_close(R$2,$P490)</f>
        <v>3616.4585000000002</v>
      </c>
      <c r="S490" s="14">
        <f>[1]!i_dq_close(S$2,$P490)</f>
        <v>3767.4349999999999</v>
      </c>
      <c r="T490" s="14">
        <f>[1]!i_dq_close(T$2,$P490)</f>
        <v>5962.5084999999999</v>
      </c>
      <c r="U490" s="14">
        <f>[1]!i_dq_close(U$2,$P490)</f>
        <v>12036.570100000001</v>
      </c>
      <c r="V490" s="14">
        <f>[1]!i_dq_close(V$2,$P490)</f>
        <v>10313.283600000001</v>
      </c>
      <c r="W490" s="14">
        <f>[1]!i_dq_close(W$2,$P490)</f>
        <v>6820.3204999999998</v>
      </c>
      <c r="X490" s="14">
        <f>[1]!i_dq_close(X$2,$P490)</f>
        <v>5819.2584999999999</v>
      </c>
      <c r="Y490" s="14">
        <f>[1]!i_dq_close(Y$2,$P490)</f>
        <v>6612.6866</v>
      </c>
      <c r="Z490" s="14">
        <f>[1]!i_dq_close(Z$2,$P490)</f>
        <v>2358.8789000000002</v>
      </c>
      <c r="AB490" s="1">
        <v>43125</v>
      </c>
      <c r="AC490">
        <v>1.3320537015531959</v>
      </c>
      <c r="AD490">
        <v>1.4174913184764639</v>
      </c>
      <c r="AE490">
        <v>1.1149874178120973</v>
      </c>
      <c r="AF490">
        <v>1.232799703260107</v>
      </c>
      <c r="AG490">
        <v>1.7947009327574441</v>
      </c>
      <c r="AH490">
        <v>1.2737494509244738</v>
      </c>
      <c r="AI490">
        <v>1.4617700998303482</v>
      </c>
      <c r="AJ490">
        <v>1.074970773048098</v>
      </c>
      <c r="AK490">
        <v>1.3134287963714675</v>
      </c>
      <c r="AL490">
        <v>1.0483911347689994</v>
      </c>
    </row>
    <row r="491" spans="1:38" x14ac:dyDescent="0.4">
      <c r="A491" s="10">
        <v>43129</v>
      </c>
      <c r="B491" s="11">
        <v>1.408037701445682</v>
      </c>
      <c r="C491" s="11">
        <v>1.492003257817174</v>
      </c>
      <c r="D491" s="11">
        <v>1.319198357470742</v>
      </c>
      <c r="E491" s="11">
        <v>1.35601150679089</v>
      </c>
      <c r="P491" s="1">
        <f>A490</f>
        <v>43126</v>
      </c>
      <c r="Q491" s="14">
        <f>[1]!i_dq_close(Q$2,$P491)</f>
        <v>2243.2953000000002</v>
      </c>
      <c r="R491" s="14">
        <f>[1]!i_dq_close(R$2,$P491)</f>
        <v>3599.6716999999999</v>
      </c>
      <c r="S491" s="14">
        <f>[1]!i_dq_close(S$2,$P491)</f>
        <v>3773.8723</v>
      </c>
      <c r="T491" s="14">
        <f>[1]!i_dq_close(T$2,$P491)</f>
        <v>5992.7037</v>
      </c>
      <c r="U491" s="14">
        <f>[1]!i_dq_close(U$2,$P491)</f>
        <v>12097.904699999999</v>
      </c>
      <c r="V491" s="14">
        <f>[1]!i_dq_close(V$2,$P491)</f>
        <v>10315.902899999999</v>
      </c>
      <c r="W491" s="14">
        <f>[1]!i_dq_close(W$2,$P491)</f>
        <v>6854.3963000000003</v>
      </c>
      <c r="X491" s="14">
        <f>[1]!i_dq_close(X$2,$P491)</f>
        <v>5804.7235000000001</v>
      </c>
      <c r="Y491" s="14">
        <f>[1]!i_dq_close(Y$2,$P491)</f>
        <v>6534.2366000000002</v>
      </c>
      <c r="Z491" s="14">
        <f>[1]!i_dq_close(Z$2,$P491)</f>
        <v>2354.2267000000002</v>
      </c>
      <c r="AB491" s="1">
        <v>43126</v>
      </c>
      <c r="AC491">
        <v>1.3317728371795803</v>
      </c>
      <c r="AD491">
        <v>1.4109116374805388</v>
      </c>
      <c r="AE491">
        <v>1.1168925624276467</v>
      </c>
      <c r="AF491">
        <v>1.2390428194921224</v>
      </c>
      <c r="AG491">
        <v>1.8038461678963398</v>
      </c>
      <c r="AH491">
        <v>1.2740729494401941</v>
      </c>
      <c r="AI491">
        <v>1.4690734201901172</v>
      </c>
      <c r="AJ491">
        <v>1.0722857745751391</v>
      </c>
      <c r="AK491">
        <v>1.2978468558822054</v>
      </c>
      <c r="AL491">
        <v>1.0463234893137059</v>
      </c>
    </row>
    <row r="492" spans="1:38" x14ac:dyDescent="0.4">
      <c r="A492" s="10">
        <v>43130</v>
      </c>
      <c r="B492" s="11">
        <v>1.4005452158141301</v>
      </c>
      <c r="C492" s="11">
        <v>1.481532849162029</v>
      </c>
      <c r="D492" s="11">
        <v>1.3095630641054179</v>
      </c>
      <c r="E492" s="11">
        <v>1.3471742955278141</v>
      </c>
      <c r="P492" s="1">
        <f>A491</f>
        <v>43129</v>
      </c>
      <c r="Q492" s="14">
        <f>[1]!i_dq_close(Q$2,$P492)</f>
        <v>2278.9944</v>
      </c>
      <c r="R492" s="14">
        <f>[1]!i_dq_close(R$2,$P492)</f>
        <v>3596.9418999999998</v>
      </c>
      <c r="S492" s="14">
        <f>[1]!i_dq_close(S$2,$P492)</f>
        <v>3728.1129000000001</v>
      </c>
      <c r="T492" s="14">
        <f>[1]!i_dq_close(T$2,$P492)</f>
        <v>5883.1118999999999</v>
      </c>
      <c r="U492" s="14">
        <f>[1]!i_dq_close(U$2,$P492)</f>
        <v>11752.0823</v>
      </c>
      <c r="V492" s="14">
        <f>[1]!i_dq_close(V$2,$P492)</f>
        <v>10103.849200000001</v>
      </c>
      <c r="W492" s="14">
        <f>[1]!i_dq_close(W$2,$P492)</f>
        <v>6764.3243000000002</v>
      </c>
      <c r="X492" s="14">
        <f>[1]!i_dq_close(X$2,$P492)</f>
        <v>5660.3756000000003</v>
      </c>
      <c r="Y492" s="14">
        <f>[1]!i_dq_close(Y$2,$P492)</f>
        <v>6300.9016000000001</v>
      </c>
      <c r="Z492" s="14">
        <f>[1]!i_dq_close(Z$2,$P492)</f>
        <v>2345.2301000000002</v>
      </c>
      <c r="AB492" s="1">
        <v>43129</v>
      </c>
      <c r="AC492">
        <v>1.352966253709164</v>
      </c>
      <c r="AD492">
        <v>1.4098416769649744</v>
      </c>
      <c r="AE492">
        <v>1.1033498854480488</v>
      </c>
      <c r="AF492">
        <v>1.2163837761515985</v>
      </c>
      <c r="AG492">
        <v>1.7522826594639487</v>
      </c>
      <c r="AH492">
        <v>1.2478831058930331</v>
      </c>
      <c r="AI492">
        <v>1.4497686739642002</v>
      </c>
      <c r="AJ492">
        <v>1.0456209041881526</v>
      </c>
      <c r="AK492">
        <v>1.2515012588897005</v>
      </c>
      <c r="AL492">
        <v>1.0423249984699994</v>
      </c>
    </row>
    <row r="493" spans="1:38" x14ac:dyDescent="0.4">
      <c r="A493" s="10">
        <v>43131</v>
      </c>
      <c r="B493" s="11">
        <v>1.4002505586190379</v>
      </c>
      <c r="C493" s="11">
        <v>1.4855900845021399</v>
      </c>
      <c r="D493" s="11">
        <v>1.3116094455276099</v>
      </c>
      <c r="E493" s="11">
        <v>1.3535392664515</v>
      </c>
      <c r="P493" s="1">
        <f>A492</f>
        <v>43130</v>
      </c>
      <c r="Q493" s="14">
        <f>[1]!i_dq_close(Q$2,$P493)</f>
        <v>2262.0084999999999</v>
      </c>
      <c r="R493" s="14">
        <f>[1]!i_dq_close(R$2,$P493)</f>
        <v>3583.038</v>
      </c>
      <c r="S493" s="14">
        <f>[1]!i_dq_close(S$2,$P493)</f>
        <v>3712.1822999999999</v>
      </c>
      <c r="T493" s="14">
        <f>[1]!i_dq_close(T$2,$P493)</f>
        <v>5854.6181999999999</v>
      </c>
      <c r="U493" s="14">
        <f>[1]!i_dq_close(U$2,$P493)</f>
        <v>11690.205400000001</v>
      </c>
      <c r="V493" s="14">
        <f>[1]!i_dq_close(V$2,$P493)</f>
        <v>10100.231900000001</v>
      </c>
      <c r="W493" s="14">
        <f>[1]!i_dq_close(W$2,$P493)</f>
        <v>6655.4443000000001</v>
      </c>
      <c r="X493" s="14">
        <f>[1]!i_dq_close(X$2,$P493)</f>
        <v>5646.0133999999998</v>
      </c>
      <c r="Y493" s="14">
        <f>[1]!i_dq_close(Y$2,$P493)</f>
        <v>6270.1850000000004</v>
      </c>
      <c r="Z493" s="14">
        <f>[1]!i_dq_close(Z$2,$P493)</f>
        <v>2335.3089</v>
      </c>
      <c r="AB493" s="1">
        <v>43130</v>
      </c>
      <c r="AC493">
        <v>1.3428822668907328</v>
      </c>
      <c r="AD493">
        <v>1.4043919648936305</v>
      </c>
      <c r="AE493">
        <v>1.0986351608255411</v>
      </c>
      <c r="AF493">
        <v>1.2104924596185014</v>
      </c>
      <c r="AG493">
        <v>1.7430565652175374</v>
      </c>
      <c r="AH493">
        <v>1.2474363486751061</v>
      </c>
      <c r="AI493">
        <v>1.4264328896019363</v>
      </c>
      <c r="AJ493">
        <v>1.042967826440073</v>
      </c>
      <c r="AK493">
        <v>1.2454002489058578</v>
      </c>
      <c r="AL493">
        <v>1.0379155740920585</v>
      </c>
    </row>
    <row r="494" spans="1:38" x14ac:dyDescent="0.4">
      <c r="A494" s="10">
        <v>43132</v>
      </c>
      <c r="B494" s="11">
        <v>1.38036472383013</v>
      </c>
      <c r="C494" s="11">
        <v>1.4660939824523691</v>
      </c>
      <c r="D494" s="11">
        <v>1.295091333704915</v>
      </c>
      <c r="E494" s="11">
        <v>1.3377715803111341</v>
      </c>
      <c r="P494" s="1">
        <f>A493</f>
        <v>43131</v>
      </c>
      <c r="Q494" s="14">
        <f>[1]!i_dq_close(Q$2,$P494)</f>
        <v>2229.5464999999999</v>
      </c>
      <c r="R494" s="14">
        <f>[1]!i_dq_close(R$2,$P494)</f>
        <v>3531.1801</v>
      </c>
      <c r="S494" s="14">
        <f>[1]!i_dq_close(S$2,$P494)</f>
        <v>3646.8719000000001</v>
      </c>
      <c r="T494" s="14">
        <f>[1]!i_dq_close(T$2,$P494)</f>
        <v>5815.2136</v>
      </c>
      <c r="U494" s="14">
        <f>[1]!i_dq_close(U$2,$P494)</f>
        <v>11754.052100000001</v>
      </c>
      <c r="V494" s="14">
        <f>[1]!i_dq_close(V$2,$P494)</f>
        <v>10028.7276</v>
      </c>
      <c r="W494" s="14">
        <f>[1]!i_dq_close(W$2,$P494)</f>
        <v>6713.5870999999997</v>
      </c>
      <c r="X494" s="14">
        <f>[1]!i_dq_close(X$2,$P494)</f>
        <v>5490.5625</v>
      </c>
      <c r="Y494" s="14">
        <f>[1]!i_dq_close(Y$2,$P494)</f>
        <v>6162.8143</v>
      </c>
      <c r="Z494" s="14">
        <f>[1]!i_dq_close(Z$2,$P494)</f>
        <v>2295.4618</v>
      </c>
      <c r="AB494" s="1">
        <v>43131</v>
      </c>
      <c r="AC494">
        <v>1.3236106133369079</v>
      </c>
      <c r="AD494">
        <v>1.3840659683297489</v>
      </c>
      <c r="AE494">
        <v>1.0793062874004455</v>
      </c>
      <c r="AF494">
        <v>1.2023452210548864</v>
      </c>
      <c r="AG494">
        <v>1.7525763645533534</v>
      </c>
      <c r="AH494">
        <v>1.2386051590757297</v>
      </c>
      <c r="AI494">
        <v>1.4388943870580184</v>
      </c>
      <c r="AJ494">
        <v>1.0142519386437117</v>
      </c>
      <c r="AK494">
        <v>1.224074004703303</v>
      </c>
      <c r="AL494">
        <v>1.0202057432116967</v>
      </c>
    </row>
    <row r="495" spans="1:38" x14ac:dyDescent="0.4">
      <c r="A495" s="10">
        <v>43133</v>
      </c>
      <c r="B495" s="11">
        <v>1.390518260157807</v>
      </c>
      <c r="C495" s="11">
        <v>1.478965675878944</v>
      </c>
      <c r="D495" s="11">
        <v>1.3065260193301409</v>
      </c>
      <c r="E495" s="11">
        <v>1.3484148214318881</v>
      </c>
      <c r="P495" s="1">
        <f>A494</f>
        <v>43132</v>
      </c>
      <c r="Q495" s="14">
        <f>[1]!i_dq_close(Q$2,$P495)</f>
        <v>2182.4295000000002</v>
      </c>
      <c r="R495" s="14">
        <f>[1]!i_dq_close(R$2,$P495)</f>
        <v>3432.8148000000001</v>
      </c>
      <c r="S495" s="14">
        <f>[1]!i_dq_close(S$2,$P495)</f>
        <v>3536.5311000000002</v>
      </c>
      <c r="T495" s="14">
        <f>[1]!i_dq_close(T$2,$P495)</f>
        <v>5674.8305</v>
      </c>
      <c r="U495" s="14">
        <f>[1]!i_dq_close(U$2,$P495)</f>
        <v>11462.9517</v>
      </c>
      <c r="V495" s="14">
        <f>[1]!i_dq_close(V$2,$P495)</f>
        <v>9769.3989000000001</v>
      </c>
      <c r="W495" s="14">
        <f>[1]!i_dq_close(W$2,$P495)</f>
        <v>6713.6737000000003</v>
      </c>
      <c r="X495" s="14">
        <f>[1]!i_dq_close(X$2,$P495)</f>
        <v>5301.6469999999999</v>
      </c>
      <c r="Y495" s="14">
        <f>[1]!i_dq_close(Y$2,$P495)</f>
        <v>5948.0918000000001</v>
      </c>
      <c r="Z495" s="14">
        <f>[1]!i_dq_close(Z$2,$P495)</f>
        <v>2250.3551000000002</v>
      </c>
      <c r="AB495" s="1">
        <v>43132</v>
      </c>
      <c r="AC495">
        <v>1.2956387539167995</v>
      </c>
      <c r="AD495">
        <v>1.3455111338724108</v>
      </c>
      <c r="AE495">
        <v>1.0466504874539777</v>
      </c>
      <c r="AF495">
        <v>1.1733198127015507</v>
      </c>
      <c r="AG495">
        <v>1.7091721260480615</v>
      </c>
      <c r="AH495">
        <v>1.2065765829165365</v>
      </c>
      <c r="AI495">
        <v>1.4389129476653455</v>
      </c>
      <c r="AJ495">
        <v>0.97935425518872032</v>
      </c>
      <c r="AK495">
        <v>1.1814252702647356</v>
      </c>
      <c r="AL495">
        <v>1.0001583111885077</v>
      </c>
    </row>
    <row r="496" spans="1:38" x14ac:dyDescent="0.4">
      <c r="A496" s="10">
        <v>43136</v>
      </c>
      <c r="B496" s="11">
        <v>1.3860980474870359</v>
      </c>
      <c r="C496" s="11">
        <v>1.4730027068618481</v>
      </c>
      <c r="D496" s="11">
        <v>1.302077088789483</v>
      </c>
      <c r="E496" s="11">
        <v>1.3378487714829399</v>
      </c>
      <c r="P496" s="1">
        <f>A495</f>
        <v>43133</v>
      </c>
      <c r="Q496" s="14">
        <f>[1]!i_dq_close(Q$2,$P496)</f>
        <v>2276.3247000000001</v>
      </c>
      <c r="R496" s="14">
        <f>[1]!i_dq_close(R$2,$P496)</f>
        <v>3489.07</v>
      </c>
      <c r="S496" s="14">
        <f>[1]!i_dq_close(S$2,$P496)</f>
        <v>3525.4760000000001</v>
      </c>
      <c r="T496" s="14">
        <f>[1]!i_dq_close(T$2,$P496)</f>
        <v>5688.1953000000003</v>
      </c>
      <c r="U496" s="14">
        <f>[1]!i_dq_close(U$2,$P496)</f>
        <v>11410.536700000001</v>
      </c>
      <c r="V496" s="14">
        <f>[1]!i_dq_close(V$2,$P496)</f>
        <v>9764.2139999999999</v>
      </c>
      <c r="W496" s="14">
        <f>[1]!i_dq_close(W$2,$P496)</f>
        <v>6708.5331999999999</v>
      </c>
      <c r="X496" s="14">
        <f>[1]!i_dq_close(X$2,$P496)</f>
        <v>5328.5821999999998</v>
      </c>
      <c r="Y496" s="14">
        <f>[1]!i_dq_close(Y$2,$P496)</f>
        <v>6001.6550999999999</v>
      </c>
      <c r="Z496" s="14">
        <f>[1]!i_dq_close(Z$2,$P496)</f>
        <v>2250.4249</v>
      </c>
      <c r="AB496" s="1">
        <v>43133</v>
      </c>
      <c r="AC496">
        <v>1.3513813380079551</v>
      </c>
      <c r="AD496">
        <v>1.3675606769873554</v>
      </c>
      <c r="AE496">
        <v>1.0433786865064751</v>
      </c>
      <c r="AF496">
        <v>1.1760830995755454</v>
      </c>
      <c r="AG496">
        <v>1.7013568390843374</v>
      </c>
      <c r="AH496">
        <v>1.2059362181419173</v>
      </c>
      <c r="AI496">
        <v>1.4378112063031649</v>
      </c>
      <c r="AJ496">
        <v>0.98432989817935301</v>
      </c>
      <c r="AK496">
        <v>1.1920641504815426</v>
      </c>
      <c r="AL496">
        <v>1.0001893334258962</v>
      </c>
    </row>
    <row r="497" spans="1:38" x14ac:dyDescent="0.4">
      <c r="A497" s="10">
        <v>43137</v>
      </c>
      <c r="B497" s="11">
        <v>1.339899168145241</v>
      </c>
      <c r="C497" s="11">
        <v>1.4259840795782219</v>
      </c>
      <c r="D497" s="11">
        <v>1.259125413974457</v>
      </c>
      <c r="E497" s="11">
        <v>1.293658172469409</v>
      </c>
      <c r="P497" s="1">
        <f>A496</f>
        <v>43136</v>
      </c>
      <c r="Q497" s="14">
        <f>[1]!i_dq_close(Q$2,$P497)</f>
        <v>2301.9047</v>
      </c>
      <c r="R497" s="14">
        <f>[1]!i_dq_close(R$2,$P497)</f>
        <v>3504.5511999999999</v>
      </c>
      <c r="S497" s="14">
        <f>[1]!i_dq_close(S$2,$P497)</f>
        <v>3519.0673000000002</v>
      </c>
      <c r="T497" s="14">
        <f>[1]!i_dq_close(T$2,$P497)</f>
        <v>5625.5527000000002</v>
      </c>
      <c r="U497" s="14">
        <f>[1]!i_dq_close(U$2,$P497)</f>
        <v>11123.3729</v>
      </c>
      <c r="V497" s="14">
        <f>[1]!i_dq_close(V$2,$P497)</f>
        <v>9664.7656999999999</v>
      </c>
      <c r="W497" s="14">
        <f>[1]!i_dq_close(W$2,$P497)</f>
        <v>6826.4378999999999</v>
      </c>
      <c r="X497" s="14">
        <f>[1]!i_dq_close(X$2,$P497)</f>
        <v>5268.2263000000003</v>
      </c>
      <c r="Y497" s="14">
        <f>[1]!i_dq_close(Y$2,$P497)</f>
        <v>5955.2923000000001</v>
      </c>
      <c r="Z497" s="14">
        <f>[1]!i_dq_close(Z$2,$P497)</f>
        <v>2249.4407000000001</v>
      </c>
      <c r="AB497" s="1">
        <v>43136</v>
      </c>
      <c r="AC497">
        <v>1.366567367762956</v>
      </c>
      <c r="AD497">
        <v>1.373628620695156</v>
      </c>
      <c r="AE497">
        <v>1.0414820061750207</v>
      </c>
      <c r="AF497">
        <v>1.1631312054706662</v>
      </c>
      <c r="AG497">
        <v>1.6585395634458087</v>
      </c>
      <c r="AH497">
        <v>1.1936537848807616</v>
      </c>
      <c r="AI497">
        <v>1.4630812159881157</v>
      </c>
      <c r="AJ497">
        <v>0.97318056901980232</v>
      </c>
      <c r="AK497">
        <v>1.1828554520683421</v>
      </c>
      <c r="AL497">
        <v>0.99975191098982319</v>
      </c>
    </row>
    <row r="498" spans="1:38" x14ac:dyDescent="0.4">
      <c r="A498" s="10">
        <v>43138</v>
      </c>
      <c r="B498" s="11">
        <v>1.3149346440144309</v>
      </c>
      <c r="C498" s="11">
        <v>1.396437352805717</v>
      </c>
      <c r="D498" s="11">
        <v>1.231319076976358</v>
      </c>
      <c r="E498" s="11">
        <v>1.2633010843016119</v>
      </c>
      <c r="P498" s="1">
        <f>A497</f>
        <v>43137</v>
      </c>
      <c r="Q498" s="14">
        <f>[1]!i_dq_close(Q$2,$P498)</f>
        <v>2195.2075</v>
      </c>
      <c r="R498" s="14">
        <f>[1]!i_dq_close(R$2,$P498)</f>
        <v>3344.9380000000001</v>
      </c>
      <c r="S498" s="14">
        <f>[1]!i_dq_close(S$2,$P498)</f>
        <v>3375.9643999999998</v>
      </c>
      <c r="T498" s="14">
        <f>[1]!i_dq_close(T$2,$P498)</f>
        <v>5433.6412</v>
      </c>
      <c r="U498" s="14">
        <f>[1]!i_dq_close(U$2,$P498)</f>
        <v>10755.927100000001</v>
      </c>
      <c r="V498" s="14">
        <f>[1]!i_dq_close(V$2,$P498)</f>
        <v>9273.8747999999996</v>
      </c>
      <c r="W498" s="14">
        <f>[1]!i_dq_close(W$2,$P498)</f>
        <v>6626.3292000000001</v>
      </c>
      <c r="X498" s="14">
        <f>[1]!i_dq_close(X$2,$P498)</f>
        <v>4970.6112000000003</v>
      </c>
      <c r="Y498" s="14">
        <f>[1]!i_dq_close(Y$2,$P498)</f>
        <v>5698.2148999999999</v>
      </c>
      <c r="Z498" s="14">
        <f>[1]!i_dq_close(Z$2,$P498)</f>
        <v>2195.2773000000002</v>
      </c>
      <c r="AB498" s="1">
        <v>43137</v>
      </c>
      <c r="AC498">
        <v>1.3032246447772138</v>
      </c>
      <c r="AD498">
        <v>1.3110673261816845</v>
      </c>
      <c r="AE498">
        <v>0.99913013203454515</v>
      </c>
      <c r="AF498">
        <v>1.1234518590593023</v>
      </c>
      <c r="AG498">
        <v>1.6037519192482474</v>
      </c>
      <c r="AH498">
        <v>1.1453765253233521</v>
      </c>
      <c r="AI498">
        <v>1.4201927748399437</v>
      </c>
      <c r="AJ498">
        <v>0.91820319791353733</v>
      </c>
      <c r="AK498">
        <v>1.1317940786083771</v>
      </c>
      <c r="AL498">
        <v>0.97567927699875767</v>
      </c>
    </row>
    <row r="499" spans="1:38" x14ac:dyDescent="0.4">
      <c r="A499" s="10">
        <v>43139</v>
      </c>
      <c r="B499" s="11">
        <v>1.317669527899318</v>
      </c>
      <c r="C499" s="11">
        <v>1.394790435431382</v>
      </c>
      <c r="D499" s="11">
        <v>1.230982861858344</v>
      </c>
      <c r="E499" s="11">
        <v>1.2682047787141619</v>
      </c>
      <c r="P499" s="1">
        <f>A498</f>
        <v>43138</v>
      </c>
      <c r="Q499" s="14">
        <f>[1]!i_dq_close(Q$2,$P499)</f>
        <v>2163.4643000000001</v>
      </c>
      <c r="R499" s="14">
        <f>[1]!i_dq_close(R$2,$P499)</f>
        <v>3324.2271000000001</v>
      </c>
      <c r="S499" s="14">
        <f>[1]!i_dq_close(S$2,$P499)</f>
        <v>3364.6684</v>
      </c>
      <c r="T499" s="14">
        <f>[1]!i_dq_close(T$2,$P499)</f>
        <v>5373.1522000000004</v>
      </c>
      <c r="U499" s="14">
        <f>[1]!i_dq_close(U$2,$P499)</f>
        <v>10508.683199999999</v>
      </c>
      <c r="V499" s="14">
        <f>[1]!i_dq_close(V$2,$P499)</f>
        <v>9239.8652999999995</v>
      </c>
      <c r="W499" s="14">
        <f>[1]!i_dq_close(W$2,$P499)</f>
        <v>6421.2755999999999</v>
      </c>
      <c r="X499" s="14">
        <f>[1]!i_dq_close(X$2,$P499)</f>
        <v>5011.0906999999997</v>
      </c>
      <c r="Y499" s="14">
        <f>[1]!i_dq_close(Y$2,$P499)</f>
        <v>5714.0280000000002</v>
      </c>
      <c r="Z499" s="14">
        <f>[1]!i_dq_close(Z$2,$P499)</f>
        <v>2194.7388000000001</v>
      </c>
      <c r="AB499" s="1">
        <v>43138</v>
      </c>
      <c r="AC499">
        <v>1.2843797198468407</v>
      </c>
      <c r="AD499">
        <v>1.3029495720451905</v>
      </c>
      <c r="AE499">
        <v>0.99578703577101157</v>
      </c>
      <c r="AF499">
        <v>1.1109452402007296</v>
      </c>
      <c r="AG499">
        <v>1.5668868609914448</v>
      </c>
      <c r="AH499">
        <v>1.1411761577555277</v>
      </c>
      <c r="AI499">
        <v>1.3762445144403668</v>
      </c>
      <c r="AJ499">
        <v>0.9256808309156801</v>
      </c>
      <c r="AK499">
        <v>1.134934917144397</v>
      </c>
      <c r="AL499">
        <v>0.9754399435484169</v>
      </c>
    </row>
    <row r="500" spans="1:38" x14ac:dyDescent="0.4">
      <c r="A500" s="10">
        <v>43140</v>
      </c>
      <c r="B500" s="11">
        <v>1.2730242539322201</v>
      </c>
      <c r="C500" s="11">
        <v>1.3463980871872729</v>
      </c>
      <c r="D500" s="11">
        <v>1.1895941737329201</v>
      </c>
      <c r="E500" s="11">
        <v>1.229623756503152</v>
      </c>
      <c r="P500" s="1">
        <f>A499</f>
        <v>43139</v>
      </c>
      <c r="Q500" s="14">
        <f>[1]!i_dq_close(Q$2,$P500)</f>
        <v>2102.0990999999999</v>
      </c>
      <c r="R500" s="14">
        <f>[1]!i_dq_close(R$2,$P500)</f>
        <v>3312.8793999999998</v>
      </c>
      <c r="S500" s="14">
        <f>[1]!i_dq_close(S$2,$P500)</f>
        <v>3370.1446999999998</v>
      </c>
      <c r="T500" s="14">
        <f>[1]!i_dq_close(T$2,$P500)</f>
        <v>5420.7664999999997</v>
      </c>
      <c r="U500" s="14">
        <f>[1]!i_dq_close(U$2,$P500)</f>
        <v>10654.6132</v>
      </c>
      <c r="V500" s="14">
        <f>[1]!i_dq_close(V$2,$P500)</f>
        <v>9376.6785</v>
      </c>
      <c r="W500" s="14">
        <f>[1]!i_dq_close(W$2,$P500)</f>
        <v>6275.4946</v>
      </c>
      <c r="X500" s="14">
        <f>[1]!i_dq_close(X$2,$P500)</f>
        <v>5141.0213999999996</v>
      </c>
      <c r="Y500" s="14">
        <f>[1]!i_dq_close(Y$2,$P500)</f>
        <v>5843.0115999999998</v>
      </c>
      <c r="Z500" s="14">
        <f>[1]!i_dq_close(Z$2,$P500)</f>
        <v>2192.4985000000001</v>
      </c>
      <c r="AB500" s="1">
        <v>43139</v>
      </c>
      <c r="AC500">
        <v>1.2479491587396641</v>
      </c>
      <c r="AD500">
        <v>1.2985017769897029</v>
      </c>
      <c r="AE500">
        <v>0.99740776860280944</v>
      </c>
      <c r="AF500">
        <v>1.1207899045581786</v>
      </c>
      <c r="AG500">
        <v>1.5886456099491144</v>
      </c>
      <c r="AH500">
        <v>1.1580733696560344</v>
      </c>
      <c r="AI500">
        <v>1.344999896695003</v>
      </c>
      <c r="AJ500">
        <v>0.94968246360164532</v>
      </c>
      <c r="AK500">
        <v>1.1605539710550508</v>
      </c>
      <c r="AL500">
        <v>0.97444425417274649</v>
      </c>
    </row>
    <row r="501" spans="1:38" x14ac:dyDescent="0.4">
      <c r="A501" s="10">
        <v>43143</v>
      </c>
      <c r="B501" s="11">
        <v>1.3033448087577759</v>
      </c>
      <c r="C501" s="11">
        <v>1.3760230117458581</v>
      </c>
      <c r="D501" s="11">
        <v>1.2168572489013469</v>
      </c>
      <c r="E501" s="11">
        <v>1.2633491189902</v>
      </c>
      <c r="P501" s="1">
        <f>A500</f>
        <v>43140</v>
      </c>
      <c r="Q501" s="14">
        <f>[1]!i_dq_close(Q$2,$P501)</f>
        <v>1974.8903</v>
      </c>
      <c r="R501" s="14">
        <f>[1]!i_dq_close(R$2,$P501)</f>
        <v>3164.0562</v>
      </c>
      <c r="S501" s="14">
        <f>[1]!i_dq_close(S$2,$P501)</f>
        <v>3247.0664000000002</v>
      </c>
      <c r="T501" s="14">
        <f>[1]!i_dq_close(T$2,$P501)</f>
        <v>5254.7138000000004</v>
      </c>
      <c r="U501" s="14">
        <f>[1]!i_dq_close(U$2,$P501)</f>
        <v>10419.066699999999</v>
      </c>
      <c r="V501" s="14">
        <f>[1]!i_dq_close(V$2,$P501)</f>
        <v>9101.4025000000001</v>
      </c>
      <c r="W501" s="14">
        <f>[1]!i_dq_close(W$2,$P501)</f>
        <v>5958.4998999999998</v>
      </c>
      <c r="X501" s="14">
        <f>[1]!i_dq_close(X$2,$P501)</f>
        <v>5004.9345000000003</v>
      </c>
      <c r="Y501" s="14">
        <f>[1]!i_dq_close(Y$2,$P501)</f>
        <v>5693.9777999999997</v>
      </c>
      <c r="Z501" s="14">
        <f>[1]!i_dq_close(Z$2,$P501)</f>
        <v>2119.3573999999999</v>
      </c>
      <c r="AB501" s="1">
        <v>43140</v>
      </c>
      <c r="AC501">
        <v>1.1724293533488135</v>
      </c>
      <c r="AD501">
        <v>1.2401696838693517</v>
      </c>
      <c r="AE501">
        <v>0.96098225471718102</v>
      </c>
      <c r="AF501">
        <v>1.0864570865361096</v>
      </c>
      <c r="AG501">
        <v>1.5535246810012782</v>
      </c>
      <c r="AH501">
        <v>1.1240752108298109</v>
      </c>
      <c r="AI501">
        <v>1.2770597794725511</v>
      </c>
      <c r="AJ501">
        <v>0.92454361814655528</v>
      </c>
      <c r="AK501">
        <v>1.1309524949239023</v>
      </c>
      <c r="AL501">
        <v>0.94193708272479593</v>
      </c>
    </row>
    <row r="502" spans="1:38" x14ac:dyDescent="0.4">
      <c r="A502" s="10">
        <v>43144</v>
      </c>
      <c r="B502" s="11">
        <v>1.315598697039583</v>
      </c>
      <c r="C502" s="11">
        <v>1.3886526994963491</v>
      </c>
      <c r="D502" s="11">
        <v>1.2287689431181921</v>
      </c>
      <c r="E502" s="11">
        <v>1.274909225909215</v>
      </c>
      <c r="P502" s="1">
        <f>A501</f>
        <v>43143</v>
      </c>
      <c r="Q502" s="14">
        <f>[1]!i_dq_close(Q$2,$P502)</f>
        <v>1978.7701999999999</v>
      </c>
      <c r="R502" s="14">
        <f>[1]!i_dq_close(R$2,$P502)</f>
        <v>3245.5356000000002</v>
      </c>
      <c r="S502" s="14">
        <f>[1]!i_dq_close(S$2,$P502)</f>
        <v>3308.4805000000001</v>
      </c>
      <c r="T502" s="14">
        <f>[1]!i_dq_close(T$2,$P502)</f>
        <v>5399.0096999999996</v>
      </c>
      <c r="U502" s="14">
        <f>[1]!i_dq_close(U$2,$P502)</f>
        <v>10686.73</v>
      </c>
      <c r="V502" s="14">
        <f>[1]!i_dq_close(V$2,$P502)</f>
        <v>9369.5458999999992</v>
      </c>
      <c r="W502" s="14">
        <f>[1]!i_dq_close(W$2,$P502)</f>
        <v>5950.2673999999997</v>
      </c>
      <c r="X502" s="14">
        <f>[1]!i_dq_close(X$2,$P502)</f>
        <v>5179.6535000000003</v>
      </c>
      <c r="Y502" s="14">
        <f>[1]!i_dq_close(Y$2,$P502)</f>
        <v>5868.4438</v>
      </c>
      <c r="Z502" s="14">
        <f>[1]!i_dq_close(Z$2,$P502)</f>
        <v>2134.4639999999999</v>
      </c>
      <c r="AB502" s="1">
        <v>43143</v>
      </c>
      <c r="AC502">
        <v>1.1747327261731459</v>
      </c>
      <c r="AD502">
        <v>1.2721059945264963</v>
      </c>
      <c r="AE502">
        <v>0.97915800261362884</v>
      </c>
      <c r="AF502">
        <v>1.1162914998038893</v>
      </c>
      <c r="AG502">
        <v>1.5934343537887889</v>
      </c>
      <c r="AH502">
        <v>1.1571924528029707</v>
      </c>
      <c r="AI502">
        <v>1.2752953429850205</v>
      </c>
      <c r="AJ502">
        <v>0.95681883302078552</v>
      </c>
      <c r="AK502">
        <v>1.1656053799385564</v>
      </c>
      <c r="AL502">
        <v>0.94865113045166372</v>
      </c>
    </row>
    <row r="503" spans="1:38" x14ac:dyDescent="0.4">
      <c r="A503" s="10">
        <v>43145</v>
      </c>
      <c r="B503" s="11">
        <v>1.324139988352161</v>
      </c>
      <c r="C503" s="11">
        <v>1.398010464056354</v>
      </c>
      <c r="D503" s="11">
        <v>1.2377820839059039</v>
      </c>
      <c r="E503" s="11">
        <v>1.284940109031057</v>
      </c>
      <c r="P503" s="1">
        <f>A502</f>
        <v>43144</v>
      </c>
      <c r="Q503" s="14">
        <f>[1]!i_dq_close(Q$2,$P503)</f>
        <v>1990.52</v>
      </c>
      <c r="R503" s="14">
        <f>[1]!i_dq_close(R$2,$P503)</f>
        <v>3267.0066999999999</v>
      </c>
      <c r="S503" s="14">
        <f>[1]!i_dq_close(S$2,$P503)</f>
        <v>3321.2487000000001</v>
      </c>
      <c r="T503" s="14">
        <f>[1]!i_dq_close(T$2,$P503)</f>
        <v>5430.8329999999996</v>
      </c>
      <c r="U503" s="14">
        <f>[1]!i_dq_close(U$2,$P503)</f>
        <v>10755.0028</v>
      </c>
      <c r="V503" s="14">
        <f>[1]!i_dq_close(V$2,$P503)</f>
        <v>9434.2471999999998</v>
      </c>
      <c r="W503" s="14">
        <f>[1]!i_dq_close(W$2,$P503)</f>
        <v>6049.1293999999998</v>
      </c>
      <c r="X503" s="14">
        <f>[1]!i_dq_close(X$2,$P503)</f>
        <v>5190.3828999999996</v>
      </c>
      <c r="Y503" s="14">
        <f>[1]!i_dq_close(Y$2,$P503)</f>
        <v>5883.2340999999997</v>
      </c>
      <c r="Z503" s="14">
        <f>[1]!i_dq_close(Z$2,$P503)</f>
        <v>2142.0381000000002</v>
      </c>
      <c r="AB503" s="1">
        <v>43144</v>
      </c>
      <c r="AC503">
        <v>1.1817082075029079</v>
      </c>
      <c r="AD503">
        <v>1.2805217133431617</v>
      </c>
      <c r="AE503">
        <v>0.98293680234026204</v>
      </c>
      <c r="AF503">
        <v>1.1228712396561273</v>
      </c>
      <c r="AG503">
        <v>1.6036141024068744</v>
      </c>
      <c r="AH503">
        <v>1.1651834330324973</v>
      </c>
      <c r="AI503">
        <v>1.2964840122872077</v>
      </c>
      <c r="AJ503">
        <v>0.95880083664072124</v>
      </c>
      <c r="AK503">
        <v>1.168543067311639</v>
      </c>
      <c r="AL503">
        <v>0.95201739876406166</v>
      </c>
    </row>
    <row r="504" spans="1:38" x14ac:dyDescent="0.4">
      <c r="A504" s="10">
        <v>43153</v>
      </c>
      <c r="B504" s="11">
        <v>1.3534987786215069</v>
      </c>
      <c r="C504" s="11">
        <v>1.429667060341173</v>
      </c>
      <c r="D504" s="11">
        <v>1.266394604567858</v>
      </c>
      <c r="E504" s="11">
        <v>1.315482642276719</v>
      </c>
      <c r="P504" s="1">
        <f>A503</f>
        <v>43145</v>
      </c>
      <c r="Q504" s="14">
        <f>[1]!i_dq_close(Q$2,$P504)</f>
        <v>2005.8993</v>
      </c>
      <c r="R504" s="14">
        <f>[1]!i_dq_close(R$2,$P504)</f>
        <v>3305.1981999999998</v>
      </c>
      <c r="S504" s="14">
        <f>[1]!i_dq_close(S$2,$P504)</f>
        <v>3327.8980000000001</v>
      </c>
      <c r="T504" s="14">
        <f>[1]!i_dq_close(T$2,$P504)</f>
        <v>5486.5771999999997</v>
      </c>
      <c r="U504" s="14">
        <f>[1]!i_dq_close(U$2,$P504)</f>
        <v>10864.781800000001</v>
      </c>
      <c r="V504" s="14">
        <f>[1]!i_dq_close(V$2,$P504)</f>
        <v>9472.9339999999993</v>
      </c>
      <c r="W504" s="14">
        <f>[1]!i_dq_close(W$2,$P504)</f>
        <v>6077.5868</v>
      </c>
      <c r="X504" s="14">
        <f>[1]!i_dq_close(X$2,$P504)</f>
        <v>5181.9656000000004</v>
      </c>
      <c r="Y504" s="14">
        <f>[1]!i_dq_close(Y$2,$P504)</f>
        <v>5899.7197999999999</v>
      </c>
      <c r="Z504" s="14">
        <f>[1]!i_dq_close(Z$2,$P504)</f>
        <v>2145.1705000000002</v>
      </c>
      <c r="AB504" s="1">
        <v>43145</v>
      </c>
      <c r="AC504">
        <v>1.1908384071671412</v>
      </c>
      <c r="AD504">
        <v>1.2954910873010252</v>
      </c>
      <c r="AE504">
        <v>0.9849046892015505</v>
      </c>
      <c r="AF504">
        <v>1.1343968304738967</v>
      </c>
      <c r="AG504">
        <v>1.6199825921062099</v>
      </c>
      <c r="AH504">
        <v>1.1699614738747004</v>
      </c>
      <c r="AI504">
        <v>1.3025831650233455</v>
      </c>
      <c r="AJ504">
        <v>0.95724593896982779</v>
      </c>
      <c r="AK504">
        <v>1.17181749938715</v>
      </c>
      <c r="AL504">
        <v>0.95340957722246</v>
      </c>
    </row>
    <row r="505" spans="1:38" x14ac:dyDescent="0.4">
      <c r="A505" s="10">
        <v>43154</v>
      </c>
      <c r="B505" s="11">
        <v>1.3534624948103859</v>
      </c>
      <c r="C505" s="11">
        <v>1.432990750211788</v>
      </c>
      <c r="D505" s="11">
        <v>1.2691541974831</v>
      </c>
      <c r="E505" s="11">
        <v>1.3170198463459459</v>
      </c>
      <c r="P505" s="1">
        <f>A504</f>
        <v>43153</v>
      </c>
      <c r="Q505" s="14">
        <f>[1]!i_dq_close(Q$2,$P505)</f>
        <v>2046.7556999999999</v>
      </c>
      <c r="R505" s="14">
        <f>[1]!i_dq_close(R$2,$P505)</f>
        <v>3389.5342999999998</v>
      </c>
      <c r="S505" s="14">
        <f>[1]!i_dq_close(S$2,$P505)</f>
        <v>3390.5994999999998</v>
      </c>
      <c r="T505" s="14">
        <f>[1]!i_dq_close(T$2,$P505)</f>
        <v>5588.5432000000001</v>
      </c>
      <c r="U505" s="14">
        <f>[1]!i_dq_close(U$2,$P505)</f>
        <v>11171.4745</v>
      </c>
      <c r="V505" s="14">
        <f>[1]!i_dq_close(V$2,$P505)</f>
        <v>9628.0499999999993</v>
      </c>
      <c r="W505" s="14">
        <f>[1]!i_dq_close(W$2,$P505)</f>
        <v>6181.6233000000002</v>
      </c>
      <c r="X505" s="14">
        <f>[1]!i_dq_close(X$2,$P505)</f>
        <v>5313.4197999999997</v>
      </c>
      <c r="Y505" s="14">
        <f>[1]!i_dq_close(Y$2,$P505)</f>
        <v>5988.1858000000002</v>
      </c>
      <c r="Z505" s="14">
        <f>[1]!i_dq_close(Z$2,$P505)</f>
        <v>2168.0762</v>
      </c>
      <c r="AB505" s="1">
        <v>43153</v>
      </c>
      <c r="AC505">
        <v>1.2150935481398626</v>
      </c>
      <c r="AD505">
        <v>1.3285470976448914</v>
      </c>
      <c r="AE505">
        <v>1.0034614482638686</v>
      </c>
      <c r="AF505">
        <v>1.1554791743468857</v>
      </c>
      <c r="AG505">
        <v>1.6657117051497918</v>
      </c>
      <c r="AH505">
        <v>1.1891191861507016</v>
      </c>
      <c r="AI505">
        <v>1.3248808627621835</v>
      </c>
      <c r="AJ505">
        <v>0.98152900235228768</v>
      </c>
      <c r="AK505">
        <v>1.1893888435212874</v>
      </c>
      <c r="AL505">
        <v>0.96358989331061451</v>
      </c>
    </row>
    <row r="506" spans="1:38" x14ac:dyDescent="0.4">
      <c r="A506" s="10">
        <v>43157</v>
      </c>
      <c r="B506" s="11">
        <v>1.3762677536270369</v>
      </c>
      <c r="C506" s="11">
        <v>1.451785722502436</v>
      </c>
      <c r="D506" s="11">
        <v>1.28637972942353</v>
      </c>
      <c r="E506" s="11">
        <v>1.336536028838812</v>
      </c>
      <c r="P506" s="1">
        <f>A505</f>
        <v>43154</v>
      </c>
      <c r="Q506" s="14">
        <f>[1]!i_dq_close(Q$2,$P506)</f>
        <v>2076.8937000000001</v>
      </c>
      <c r="R506" s="14">
        <f>[1]!i_dq_close(R$2,$P506)</f>
        <v>3418.2494999999999</v>
      </c>
      <c r="S506" s="14">
        <f>[1]!i_dq_close(S$2,$P506)</f>
        <v>3406.6819999999998</v>
      </c>
      <c r="T506" s="14">
        <f>[1]!i_dq_close(T$2,$P506)</f>
        <v>5570.6232</v>
      </c>
      <c r="U506" s="14">
        <f>[1]!i_dq_close(U$2,$P506)</f>
        <v>11145.968000000001</v>
      </c>
      <c r="V506" s="14">
        <f>[1]!i_dq_close(V$2,$P506)</f>
        <v>9628.3096999999998</v>
      </c>
      <c r="W506" s="14">
        <f>[1]!i_dq_close(W$2,$P506)</f>
        <v>6244.2058999999999</v>
      </c>
      <c r="X506" s="14">
        <f>[1]!i_dq_close(X$2,$P506)</f>
        <v>5291.7444999999998</v>
      </c>
      <c r="Y506" s="14">
        <f>[1]!i_dq_close(Y$2,$P506)</f>
        <v>6015.3046000000004</v>
      </c>
      <c r="Z506" s="14">
        <f>[1]!i_dq_close(Z$2,$P506)</f>
        <v>2182.3859000000002</v>
      </c>
      <c r="AB506" s="1">
        <v>43154</v>
      </c>
      <c r="AC506">
        <v>1.2329855170513646</v>
      </c>
      <c r="AD506">
        <v>1.3398021823384709</v>
      </c>
      <c r="AE506">
        <v>1.0082211282973566</v>
      </c>
      <c r="AF506">
        <v>1.1517740608560756</v>
      </c>
      <c r="AG506">
        <v>1.6619085835826788</v>
      </c>
      <c r="AH506">
        <v>1.1891512605845322</v>
      </c>
      <c r="AI506">
        <v>1.338293923548644</v>
      </c>
      <c r="AJ506">
        <v>0.97752500184310787</v>
      </c>
      <c r="AK506">
        <v>1.1947752492286194</v>
      </c>
      <c r="AL506">
        <v>0.9699497630865509</v>
      </c>
    </row>
    <row r="507" spans="1:38" x14ac:dyDescent="0.4">
      <c r="A507" s="10">
        <v>43158</v>
      </c>
      <c r="B507" s="11">
        <v>1.3658328796204571</v>
      </c>
      <c r="C507" s="11">
        <v>1.435926223507936</v>
      </c>
      <c r="D507" s="11">
        <v>1.2716343312909539</v>
      </c>
      <c r="E507" s="11">
        <v>1.320704555670529</v>
      </c>
      <c r="P507" s="1">
        <f>A506</f>
        <v>43157</v>
      </c>
      <c r="Q507" s="14">
        <f>[1]!i_dq_close(Q$2,$P507)</f>
        <v>2100.0183000000002</v>
      </c>
      <c r="R507" s="14">
        <f>[1]!i_dq_close(R$2,$P507)</f>
        <v>3481.0839999999998</v>
      </c>
      <c r="S507" s="14">
        <f>[1]!i_dq_close(S$2,$P507)</f>
        <v>3476.8162000000002</v>
      </c>
      <c r="T507" s="14">
        <f>[1]!i_dq_close(T$2,$P507)</f>
        <v>5651.3361999999997</v>
      </c>
      <c r="U507" s="14">
        <f>[1]!i_dq_close(U$2,$P507)</f>
        <v>11187.0519</v>
      </c>
      <c r="V507" s="14">
        <f>[1]!i_dq_close(V$2,$P507)</f>
        <v>9798.2482</v>
      </c>
      <c r="W507" s="14">
        <f>[1]!i_dq_close(W$2,$P507)</f>
        <v>6274.6394</v>
      </c>
      <c r="X507" s="14">
        <f>[1]!i_dq_close(X$2,$P507)</f>
        <v>5506.6221999999998</v>
      </c>
      <c r="Y507" s="14">
        <f>[1]!i_dq_close(Y$2,$P507)</f>
        <v>6263.1578</v>
      </c>
      <c r="Z507" s="14">
        <f>[1]!i_dq_close(Z$2,$P507)</f>
        <v>2205.8429000000001</v>
      </c>
      <c r="AB507" s="1">
        <v>43157</v>
      </c>
      <c r="AC507">
        <v>1.2467138541769509</v>
      </c>
      <c r="AD507">
        <v>1.3644305192185455</v>
      </c>
      <c r="AE507">
        <v>1.0289776245762088</v>
      </c>
      <c r="AF507">
        <v>1.1684621649399913</v>
      </c>
      <c r="AG507">
        <v>1.6680343580382535</v>
      </c>
      <c r="AH507">
        <v>1.2101396363008685</v>
      </c>
      <c r="AI507">
        <v>1.3448166053395052</v>
      </c>
      <c r="AJ507">
        <v>1.0172185894848662</v>
      </c>
      <c r="AK507">
        <v>1.2440044883933512</v>
      </c>
      <c r="AL507">
        <v>0.98037510151671636</v>
      </c>
    </row>
    <row r="508" spans="1:38" x14ac:dyDescent="0.4">
      <c r="A508" s="10">
        <v>43159</v>
      </c>
      <c r="B508" s="11">
        <v>1.360720055497276</v>
      </c>
      <c r="C508" s="11">
        <v>1.4310110988103371</v>
      </c>
      <c r="D508" s="11">
        <v>1.2662189949364659</v>
      </c>
      <c r="E508" s="11">
        <v>1.3157326330977781</v>
      </c>
      <c r="P508" s="1">
        <f>A507</f>
        <v>43158</v>
      </c>
      <c r="Q508" s="14">
        <f>[1]!i_dq_close(Q$2,$P508)</f>
        <v>2050.0608999999999</v>
      </c>
      <c r="R508" s="14">
        <f>[1]!i_dq_close(R$2,$P508)</f>
        <v>3428.7195999999999</v>
      </c>
      <c r="S508" s="14">
        <f>[1]!i_dq_close(S$2,$P508)</f>
        <v>3480.5212000000001</v>
      </c>
      <c r="T508" s="14">
        <f>[1]!i_dq_close(T$2,$P508)</f>
        <v>5591.7331999999997</v>
      </c>
      <c r="U508" s="14">
        <f>[1]!i_dq_close(U$2,$P508)</f>
        <v>11040.7093</v>
      </c>
      <c r="V508" s="14">
        <f>[1]!i_dq_close(V$2,$P508)</f>
        <v>9758.8755999999994</v>
      </c>
      <c r="W508" s="14">
        <f>[1]!i_dq_close(W$2,$P508)</f>
        <v>6162.9988999999996</v>
      </c>
      <c r="X508" s="14">
        <f>[1]!i_dq_close(X$2,$P508)</f>
        <v>5555.5320000000002</v>
      </c>
      <c r="Y508" s="14">
        <f>[1]!i_dq_close(Y$2,$P508)</f>
        <v>6284.9638999999997</v>
      </c>
      <c r="Z508" s="14">
        <f>[1]!i_dq_close(Z$2,$P508)</f>
        <v>2211.3391000000001</v>
      </c>
      <c r="AB508" s="1">
        <v>43158</v>
      </c>
      <c r="AC508">
        <v>1.2170557399125848</v>
      </c>
      <c r="AD508">
        <v>1.3439059971212426</v>
      </c>
      <c r="AE508">
        <v>1.0300741341066966</v>
      </c>
      <c r="AF508">
        <v>1.1561387341703058</v>
      </c>
      <c r="AG508">
        <v>1.646214088763857</v>
      </c>
      <c r="AH508">
        <v>1.2052768952402553</v>
      </c>
      <c r="AI508">
        <v>1.3208891748279756</v>
      </c>
      <c r="AJ508">
        <v>1.0262535216013253</v>
      </c>
      <c r="AK508">
        <v>1.2483356719816607</v>
      </c>
      <c r="AL508">
        <v>0.98281785826650858</v>
      </c>
    </row>
    <row r="509" spans="1:38" x14ac:dyDescent="0.4">
      <c r="A509" s="10">
        <v>43160</v>
      </c>
      <c r="B509" s="11">
        <v>1.3735807753895111</v>
      </c>
      <c r="C509" s="11">
        <v>1.441139098245986</v>
      </c>
      <c r="D509" s="11">
        <v>1.275726003020289</v>
      </c>
      <c r="E509" s="11">
        <v>1.327533906572874</v>
      </c>
      <c r="P509" s="1">
        <f>A508</f>
        <v>43159</v>
      </c>
      <c r="Q509" s="14">
        <f>[1]!i_dq_close(Q$2,$P509)</f>
        <v>2038.3343</v>
      </c>
      <c r="R509" s="14">
        <f>[1]!i_dq_close(R$2,$P509)</f>
        <v>3439.2503000000002</v>
      </c>
      <c r="S509" s="14">
        <f>[1]!i_dq_close(S$2,$P509)</f>
        <v>3484.0066999999999</v>
      </c>
      <c r="T509" s="14">
        <f>[1]!i_dq_close(T$2,$P509)</f>
        <v>5574.2221</v>
      </c>
      <c r="U509" s="14">
        <f>[1]!i_dq_close(U$2,$P509)</f>
        <v>10865.9195</v>
      </c>
      <c r="V509" s="14">
        <f>[1]!i_dq_close(V$2,$P509)</f>
        <v>9740.0779999999995</v>
      </c>
      <c r="W509" s="14">
        <f>[1]!i_dq_close(W$2,$P509)</f>
        <v>6098.0330999999996</v>
      </c>
      <c r="X509" s="14">
        <f>[1]!i_dq_close(X$2,$P509)</f>
        <v>5598.9485999999997</v>
      </c>
      <c r="Y509" s="14">
        <f>[1]!i_dq_close(Y$2,$P509)</f>
        <v>6331.3644000000004</v>
      </c>
      <c r="Z509" s="14">
        <f>[1]!i_dq_close(Z$2,$P509)</f>
        <v>2207.6259</v>
      </c>
      <c r="AB509" s="1">
        <v>43159</v>
      </c>
      <c r="AC509">
        <v>1.2100940316825224</v>
      </c>
      <c r="AD509">
        <v>1.3480335644160091</v>
      </c>
      <c r="AE509">
        <v>1.0311056817365254</v>
      </c>
      <c r="AF509">
        <v>1.1525181642568612</v>
      </c>
      <c r="AG509">
        <v>1.6201522277444551</v>
      </c>
      <c r="AH509">
        <v>1.202955284237655</v>
      </c>
      <c r="AI509">
        <v>1.3069653329862969</v>
      </c>
      <c r="AJ509">
        <v>1.0342737145632155</v>
      </c>
      <c r="AK509">
        <v>1.2575518584656891</v>
      </c>
      <c r="AL509">
        <v>0.98116754634857817</v>
      </c>
    </row>
    <row r="510" spans="1:38" x14ac:dyDescent="0.4">
      <c r="A510" s="10">
        <v>43161</v>
      </c>
      <c r="B510" s="11">
        <v>1.36054189859907</v>
      </c>
      <c r="C510" s="11">
        <v>1.430266553621913</v>
      </c>
      <c r="D510" s="11">
        <v>1.2652161108437121</v>
      </c>
      <c r="E510" s="11">
        <v>1.315633097286776</v>
      </c>
      <c r="P510" s="1">
        <f>A509</f>
        <v>43160</v>
      </c>
      <c r="Q510" s="14">
        <f>[1]!i_dq_close(Q$2,$P510)</f>
        <v>2032.5694000000001</v>
      </c>
      <c r="R510" s="14">
        <f>[1]!i_dq_close(R$2,$P510)</f>
        <v>3454.1325000000002</v>
      </c>
      <c r="S510" s="14">
        <f>[1]!i_dq_close(S$2,$P510)</f>
        <v>3508.1788000000001</v>
      </c>
      <c r="T510" s="14">
        <f>[1]!i_dq_close(T$2,$P510)</f>
        <v>5618.1403</v>
      </c>
      <c r="U510" s="14">
        <f>[1]!i_dq_close(U$2,$P510)</f>
        <v>10961.78</v>
      </c>
      <c r="V510" s="14">
        <f>[1]!i_dq_close(V$2,$P510)</f>
        <v>9866.3863000000001</v>
      </c>
      <c r="W510" s="14">
        <f>[1]!i_dq_close(W$2,$P510)</f>
        <v>6115.2267000000002</v>
      </c>
      <c r="X510" s="14">
        <f>[1]!i_dq_close(X$2,$P510)</f>
        <v>5763.6763000000001</v>
      </c>
      <c r="Y510" s="14">
        <f>[1]!i_dq_close(Y$2,$P510)</f>
        <v>6398.8244999999997</v>
      </c>
      <c r="Z510" s="14">
        <f>[1]!i_dq_close(Z$2,$P510)</f>
        <v>2218.9701</v>
      </c>
      <c r="AB510" s="1">
        <v>43160</v>
      </c>
      <c r="AC510">
        <v>1.2066715945075965</v>
      </c>
      <c r="AD510">
        <v>1.3538667266933671</v>
      </c>
      <c r="AE510">
        <v>1.0382595111621415</v>
      </c>
      <c r="AF510">
        <v>1.161598628280974</v>
      </c>
      <c r="AG510">
        <v>1.6344454132063664</v>
      </c>
      <c r="AH510">
        <v>1.2185550809670112</v>
      </c>
      <c r="AI510">
        <v>1.3106503636807407</v>
      </c>
      <c r="AJ510">
        <v>1.0647032723859924</v>
      </c>
      <c r="AK510">
        <v>1.2709509567907327</v>
      </c>
      <c r="AL510">
        <v>0.98620941548015861</v>
      </c>
    </row>
    <row r="511" spans="1:38" x14ac:dyDescent="0.4">
      <c r="A511" s="10">
        <v>43164</v>
      </c>
      <c r="B511" s="11">
        <v>1.363040229809154</v>
      </c>
      <c r="C511" s="11">
        <v>1.430970976463291</v>
      </c>
      <c r="D511" s="11">
        <v>1.264821214815653</v>
      </c>
      <c r="E511" s="11">
        <v>1.317356850989595</v>
      </c>
      <c r="P511" s="1">
        <f>A510</f>
        <v>43161</v>
      </c>
      <c r="Q511" s="14">
        <f>[1]!i_dq_close(Q$2,$P511)</f>
        <v>2009.8367000000001</v>
      </c>
      <c r="R511" s="14">
        <f>[1]!i_dq_close(R$2,$P511)</f>
        <v>3425.1201000000001</v>
      </c>
      <c r="S511" s="14">
        <f>[1]!i_dq_close(S$2,$P511)</f>
        <v>3492.3771000000002</v>
      </c>
      <c r="T511" s="14">
        <f>[1]!i_dq_close(T$2,$P511)</f>
        <v>5631.2530999999999</v>
      </c>
      <c r="U511" s="14">
        <f>[1]!i_dq_close(U$2,$P511)</f>
        <v>10907.3825</v>
      </c>
      <c r="V511" s="14">
        <f>[1]!i_dq_close(V$2,$P511)</f>
        <v>9824.5377000000008</v>
      </c>
      <c r="W511" s="14">
        <f>[1]!i_dq_close(W$2,$P511)</f>
        <v>6060.7903999999999</v>
      </c>
      <c r="X511" s="14">
        <f>[1]!i_dq_close(X$2,$P511)</f>
        <v>5673.5546999999997</v>
      </c>
      <c r="Y511" s="14">
        <f>[1]!i_dq_close(Y$2,$P511)</f>
        <v>6338.1139999999996</v>
      </c>
      <c r="Z511" s="14">
        <f>[1]!i_dq_close(Z$2,$P511)</f>
        <v>2230.6990999999998</v>
      </c>
      <c r="AB511" s="1">
        <v>43161</v>
      </c>
      <c r="AC511">
        <v>1.1931759159066775</v>
      </c>
      <c r="AD511">
        <v>1.3424951527825462</v>
      </c>
      <c r="AE511">
        <v>1.033582935008859</v>
      </c>
      <c r="AF511">
        <v>1.1643098119965041</v>
      </c>
      <c r="AG511">
        <v>1.6263345275322427</v>
      </c>
      <c r="AH511">
        <v>1.213386539759441</v>
      </c>
      <c r="AI511">
        <v>1.2989832645047716</v>
      </c>
      <c r="AJ511">
        <v>1.0480554321121274</v>
      </c>
      <c r="AK511">
        <v>1.2588924813532139</v>
      </c>
      <c r="AL511">
        <v>0.99142230691757216</v>
      </c>
    </row>
    <row r="512" spans="1:38" x14ac:dyDescent="0.4">
      <c r="A512" s="10">
        <v>43165</v>
      </c>
      <c r="B512" s="11">
        <v>1.3786625386349849</v>
      </c>
      <c r="C512" s="11">
        <v>1.4492363453874371</v>
      </c>
      <c r="D512" s="11">
        <v>1.2799719433444889</v>
      </c>
      <c r="E512" s="11">
        <v>1.3316630649343011</v>
      </c>
      <c r="P512" s="1">
        <f>A511</f>
        <v>43164</v>
      </c>
      <c r="Q512" s="14">
        <f>[1]!i_dq_close(Q$2,$P512)</f>
        <v>1999.9001000000001</v>
      </c>
      <c r="R512" s="14">
        <f>[1]!i_dq_close(R$2,$P512)</f>
        <v>3399.8265999999999</v>
      </c>
      <c r="S512" s="14">
        <f>[1]!i_dq_close(S$2,$P512)</f>
        <v>3507.2977999999998</v>
      </c>
      <c r="T512" s="14">
        <f>[1]!i_dq_close(T$2,$P512)</f>
        <v>5638.8311000000003</v>
      </c>
      <c r="U512" s="14">
        <f>[1]!i_dq_close(U$2,$P512)</f>
        <v>10818.8894</v>
      </c>
      <c r="V512" s="14">
        <f>[1]!i_dq_close(V$2,$P512)</f>
        <v>9904.6321000000007</v>
      </c>
      <c r="W512" s="14">
        <f>[1]!i_dq_close(W$2,$P512)</f>
        <v>6061.7808999999997</v>
      </c>
      <c r="X512" s="14">
        <f>[1]!i_dq_close(X$2,$P512)</f>
        <v>5761.4763000000003</v>
      </c>
      <c r="Y512" s="14">
        <f>[1]!i_dq_close(Y$2,$P512)</f>
        <v>6383.4641000000001</v>
      </c>
      <c r="Z512" s="14">
        <f>[1]!i_dq_close(Z$2,$P512)</f>
        <v>2237.8393000000001</v>
      </c>
      <c r="AB512" s="1">
        <v>43164</v>
      </c>
      <c r="AC512">
        <v>1.187276873558611</v>
      </c>
      <c r="AD512">
        <v>1.3325812227142528</v>
      </c>
      <c r="AE512">
        <v>1.0379987756975368</v>
      </c>
      <c r="AF512">
        <v>1.1658766284046158</v>
      </c>
      <c r="AG512">
        <v>1.6131398509929022</v>
      </c>
      <c r="AH512">
        <v>1.2232786557895021</v>
      </c>
      <c r="AI512">
        <v>1.2991955541301465</v>
      </c>
      <c r="AJ512">
        <v>1.0642968742683103</v>
      </c>
      <c r="AK512">
        <v>1.2679000346914178</v>
      </c>
      <c r="AL512">
        <v>0.99459573069124618</v>
      </c>
    </row>
    <row r="513" spans="1:38" x14ac:dyDescent="0.4">
      <c r="A513" s="10">
        <v>43166</v>
      </c>
      <c r="B513" s="11">
        <v>1.368560584304499</v>
      </c>
      <c r="C513" s="11">
        <v>1.439062997433028</v>
      </c>
      <c r="D513" s="11">
        <v>1.2699725589420769</v>
      </c>
      <c r="E513" s="11">
        <v>1.322753028120913</v>
      </c>
      <c r="P513" s="1">
        <f>A512</f>
        <v>43165</v>
      </c>
      <c r="Q513" s="14">
        <f>[1]!i_dq_close(Q$2,$P513)</f>
        <v>2041.7583999999999</v>
      </c>
      <c r="R513" s="14">
        <f>[1]!i_dq_close(R$2,$P513)</f>
        <v>3454.0583000000001</v>
      </c>
      <c r="S513" s="14">
        <f>[1]!i_dq_close(S$2,$P513)</f>
        <v>3539.2103000000002</v>
      </c>
      <c r="T513" s="14">
        <f>[1]!i_dq_close(T$2,$P513)</f>
        <v>5671.0517</v>
      </c>
      <c r="U513" s="14">
        <f>[1]!i_dq_close(U$2,$P513)</f>
        <v>10884.9678</v>
      </c>
      <c r="V513" s="14">
        <f>[1]!i_dq_close(V$2,$P513)</f>
        <v>10112.769</v>
      </c>
      <c r="W513" s="14">
        <f>[1]!i_dq_close(W$2,$P513)</f>
        <v>6157.1508999999996</v>
      </c>
      <c r="X513" s="14">
        <f>[1]!i_dq_close(X$2,$P513)</f>
        <v>5806.5529999999999</v>
      </c>
      <c r="Y513" s="14">
        <f>[1]!i_dq_close(Y$2,$P513)</f>
        <v>6454.2725</v>
      </c>
      <c r="Z513" s="14">
        <f>[1]!i_dq_close(Z$2,$P513)</f>
        <v>2252.7901999999999</v>
      </c>
      <c r="AB513" s="1">
        <v>43165</v>
      </c>
      <c r="AC513">
        <v>1.2121268105912049</v>
      </c>
      <c r="AD513">
        <v>1.3538376435846211</v>
      </c>
      <c r="AE513">
        <v>1.0474434073822052</v>
      </c>
      <c r="AF513">
        <v>1.1725385134348614</v>
      </c>
      <c r="AG513">
        <v>1.6229924057597391</v>
      </c>
      <c r="AH513">
        <v>1.2489847521575028</v>
      </c>
      <c r="AI513">
        <v>1.3196357980190987</v>
      </c>
      <c r="AJ513">
        <v>1.0726237315552751</v>
      </c>
      <c r="AK513">
        <v>1.2819641809621618</v>
      </c>
      <c r="AL513">
        <v>1.0012405783842826</v>
      </c>
    </row>
    <row r="514" spans="1:38" x14ac:dyDescent="0.4">
      <c r="A514" s="10">
        <v>43167</v>
      </c>
      <c r="B514" s="11">
        <v>1.379585087195738</v>
      </c>
      <c r="C514" s="11">
        <v>1.451872935581378</v>
      </c>
      <c r="D514" s="11">
        <v>1.2791177677603209</v>
      </c>
      <c r="E514" s="11">
        <v>1.3322766316824839</v>
      </c>
      <c r="P514" s="1">
        <f>A513</f>
        <v>43166</v>
      </c>
      <c r="Q514" s="14">
        <f>[1]!i_dq_close(Q$2,$P514)</f>
        <v>2011.3081</v>
      </c>
      <c r="R514" s="14">
        <f>[1]!i_dq_close(R$2,$P514)</f>
        <v>3409.9884000000002</v>
      </c>
      <c r="S514" s="14">
        <f>[1]!i_dq_close(S$2,$P514)</f>
        <v>3510.4584</v>
      </c>
      <c r="T514" s="14">
        <f>[1]!i_dq_close(T$2,$P514)</f>
        <v>5640.7064</v>
      </c>
      <c r="U514" s="14">
        <f>[1]!i_dq_close(U$2,$P514)</f>
        <v>10799.2268</v>
      </c>
      <c r="V514" s="14">
        <f>[1]!i_dq_close(V$2,$P514)</f>
        <v>10062.2145</v>
      </c>
      <c r="W514" s="14">
        <f>[1]!i_dq_close(W$2,$P514)</f>
        <v>6132.6661000000004</v>
      </c>
      <c r="X514" s="14">
        <f>[1]!i_dq_close(X$2,$P514)</f>
        <v>5746.9279999999999</v>
      </c>
      <c r="Y514" s="14">
        <f>[1]!i_dq_close(Y$2,$P514)</f>
        <v>6364.6158999999998</v>
      </c>
      <c r="Z514" s="14">
        <f>[1]!i_dq_close(Z$2,$P514)</f>
        <v>2263.6275999999998</v>
      </c>
      <c r="AB514" s="1">
        <v>43166</v>
      </c>
      <c r="AC514">
        <v>1.1940494391350398</v>
      </c>
      <c r="AD514">
        <v>1.3365641975721405</v>
      </c>
      <c r="AE514">
        <v>1.0389341678762305</v>
      </c>
      <c r="AF514">
        <v>1.1662643627421891</v>
      </c>
      <c r="AG514">
        <v>1.6102080783809989</v>
      </c>
      <c r="AH514">
        <v>1.2427409825576092</v>
      </c>
      <c r="AI514">
        <v>1.3143880756370896</v>
      </c>
      <c r="AJ514">
        <v>1.0616094189340033</v>
      </c>
      <c r="AK514">
        <v>1.2641563567981136</v>
      </c>
      <c r="AL514">
        <v>1.0060572029612991</v>
      </c>
    </row>
    <row r="515" spans="1:38" x14ac:dyDescent="0.4">
      <c r="A515" s="10">
        <v>43168</v>
      </c>
      <c r="B515" s="11">
        <v>1.395011187346539</v>
      </c>
      <c r="C515" s="11">
        <v>1.464401085214986</v>
      </c>
      <c r="D515" s="11">
        <v>1.29048193421111</v>
      </c>
      <c r="E515" s="11">
        <v>1.3479663188854041</v>
      </c>
      <c r="P515" s="1">
        <f>A514</f>
        <v>43167</v>
      </c>
      <c r="Q515" s="14">
        <f>[1]!i_dq_close(Q$2,$P515)</f>
        <v>2017.7665</v>
      </c>
      <c r="R515" s="14">
        <f>[1]!i_dq_close(R$2,$P515)</f>
        <v>3429.1064000000001</v>
      </c>
      <c r="S515" s="14">
        <f>[1]!i_dq_close(S$2,$P515)</f>
        <v>3531.2591000000002</v>
      </c>
      <c r="T515" s="14">
        <f>[1]!i_dq_close(T$2,$P515)</f>
        <v>5707.8293999999996</v>
      </c>
      <c r="U515" s="14">
        <f>[1]!i_dq_close(U$2,$P515)</f>
        <v>10951.5378</v>
      </c>
      <c r="V515" s="14">
        <f>[1]!i_dq_close(V$2,$P515)</f>
        <v>10307.407300000001</v>
      </c>
      <c r="W515" s="14">
        <f>[1]!i_dq_close(W$2,$P515)</f>
        <v>6168.8217000000004</v>
      </c>
      <c r="X515" s="14">
        <f>[1]!i_dq_close(X$2,$P515)</f>
        <v>5762.1140999999998</v>
      </c>
      <c r="Y515" s="14">
        <f>[1]!i_dq_close(Y$2,$P515)</f>
        <v>6362.4492</v>
      </c>
      <c r="Z515" s="14">
        <f>[1]!i_dq_close(Z$2,$P515)</f>
        <v>2297.7406999999998</v>
      </c>
      <c r="AB515" s="1">
        <v>43167</v>
      </c>
      <c r="AC515">
        <v>1.1978835851307277</v>
      </c>
      <c r="AD515">
        <v>1.3440576055641398</v>
      </c>
      <c r="AE515">
        <v>1.045090218022201</v>
      </c>
      <c r="AF515">
        <v>1.1801426179231969</v>
      </c>
      <c r="AG515">
        <v>1.6329182600605139</v>
      </c>
      <c r="AH515">
        <v>1.2730236942994482</v>
      </c>
      <c r="AI515">
        <v>1.3221371506287158</v>
      </c>
      <c r="AJ515">
        <v>1.0644146927771545</v>
      </c>
      <c r="AK515">
        <v>1.2637260012792086</v>
      </c>
      <c r="AL515">
        <v>1.0212185881513096</v>
      </c>
    </row>
    <row r="516" spans="1:38" x14ac:dyDescent="0.4">
      <c r="A516" s="10">
        <v>43171</v>
      </c>
      <c r="B516" s="11">
        <v>1.407569115498283</v>
      </c>
      <c r="C516" s="11">
        <v>1.4735100494369959</v>
      </c>
      <c r="D516" s="11">
        <v>1.3025065906762769</v>
      </c>
      <c r="E516" s="11">
        <v>1.3604374826116361</v>
      </c>
      <c r="P516" s="1">
        <f>A515</f>
        <v>43168</v>
      </c>
      <c r="Q516" s="14">
        <f>[1]!i_dq_close(Q$2,$P516)</f>
        <v>2017.0102999999999</v>
      </c>
      <c r="R516" s="14">
        <f>[1]!i_dq_close(R$2,$P516)</f>
        <v>3439.4742000000001</v>
      </c>
      <c r="S516" s="14">
        <f>[1]!i_dq_close(S$2,$P516)</f>
        <v>3573.5803999999998</v>
      </c>
      <c r="T516" s="14">
        <f>[1]!i_dq_close(T$2,$P516)</f>
        <v>5775.1001999999999</v>
      </c>
      <c r="U516" s="14">
        <f>[1]!i_dq_close(U$2,$P516)</f>
        <v>11052.238600000001</v>
      </c>
      <c r="V516" s="14">
        <f>[1]!i_dq_close(V$2,$P516)</f>
        <v>10403.1273</v>
      </c>
      <c r="W516" s="14">
        <f>[1]!i_dq_close(W$2,$P516)</f>
        <v>6194.3663999999999</v>
      </c>
      <c r="X516" s="14">
        <f>[1]!i_dq_close(X$2,$P516)</f>
        <v>5957.9367000000002</v>
      </c>
      <c r="Y516" s="14">
        <f>[1]!i_dq_close(Y$2,$P516)</f>
        <v>6537.5352000000003</v>
      </c>
      <c r="Z516" s="14">
        <f>[1]!i_dq_close(Z$2,$P516)</f>
        <v>2299.6642999999999</v>
      </c>
      <c r="AB516" s="1">
        <v>43168</v>
      </c>
      <c r="AC516">
        <v>1.1974346533206912</v>
      </c>
      <c r="AD516">
        <v>1.3481213232845837</v>
      </c>
      <c r="AE516">
        <v>1.0576153755910644</v>
      </c>
      <c r="AF516">
        <v>1.1940514320201614</v>
      </c>
      <c r="AG516">
        <v>1.6479331536878457</v>
      </c>
      <c r="AH516">
        <v>1.2848456612084633</v>
      </c>
      <c r="AI516">
        <v>1.327612036841048</v>
      </c>
      <c r="AJ516">
        <v>1.1005883000678927</v>
      </c>
      <c r="AK516">
        <v>1.2985020322862573</v>
      </c>
      <c r="AL516">
        <v>1.0220735219026107</v>
      </c>
    </row>
    <row r="517" spans="1:38" x14ac:dyDescent="0.4">
      <c r="A517" s="10">
        <v>43172</v>
      </c>
      <c r="B517" s="11">
        <v>1.3959041746600389</v>
      </c>
      <c r="C517" s="11">
        <v>1.4612236709022211</v>
      </c>
      <c r="D517" s="11">
        <v>1.292009291809989</v>
      </c>
      <c r="E517" s="11">
        <v>1.3489375881523269</v>
      </c>
      <c r="P517" s="1">
        <f>A516</f>
        <v>43171</v>
      </c>
      <c r="Q517" s="14">
        <f>[1]!i_dq_close(Q$2,$P517)</f>
        <v>2036.4286999999999</v>
      </c>
      <c r="R517" s="14">
        <f>[1]!i_dq_close(R$2,$P517)</f>
        <v>3511.66</v>
      </c>
      <c r="S517" s="14">
        <f>[1]!i_dq_close(S$2,$P517)</f>
        <v>3619.5070000000001</v>
      </c>
      <c r="T517" s="14">
        <f>[1]!i_dq_close(T$2,$P517)</f>
        <v>5846.9666999999999</v>
      </c>
      <c r="U517" s="14">
        <f>[1]!i_dq_close(U$2,$P517)</f>
        <v>11052.8933</v>
      </c>
      <c r="V517" s="14">
        <f>[1]!i_dq_close(V$2,$P517)</f>
        <v>10489.0483</v>
      </c>
      <c r="W517" s="14">
        <f>[1]!i_dq_close(W$2,$P517)</f>
        <v>6178.7605999999996</v>
      </c>
      <c r="X517" s="14">
        <f>[1]!i_dq_close(X$2,$P517)</f>
        <v>6070.5348999999997</v>
      </c>
      <c r="Y517" s="14">
        <f>[1]!i_dq_close(Y$2,$P517)</f>
        <v>6629.607</v>
      </c>
      <c r="Z517" s="14">
        <f>[1]!i_dq_close(Z$2,$P517)</f>
        <v>2302.1464999999998</v>
      </c>
      <c r="AB517" s="1">
        <v>43171</v>
      </c>
      <c r="AC517">
        <v>1.2089627377692649</v>
      </c>
      <c r="AD517">
        <v>1.3764149549735074</v>
      </c>
      <c r="AE517">
        <v>1.0712075360776792</v>
      </c>
      <c r="AF517">
        <v>1.2089104464558376</v>
      </c>
      <c r="AG517">
        <v>1.6480307720866845</v>
      </c>
      <c r="AH517">
        <v>1.2954573956295823</v>
      </c>
      <c r="AI517">
        <v>1.3242673125243634</v>
      </c>
      <c r="AJ517">
        <v>1.1213881621289823</v>
      </c>
      <c r="AK517">
        <v>1.3167895696774523</v>
      </c>
      <c r="AL517">
        <v>1.023176722441953</v>
      </c>
    </row>
    <row r="518" spans="1:38" x14ac:dyDescent="0.4">
      <c r="A518" s="10">
        <v>43173</v>
      </c>
      <c r="B518" s="11">
        <v>1.386666375024042</v>
      </c>
      <c r="C518" s="11">
        <v>1.4548290201224019</v>
      </c>
      <c r="D518" s="11">
        <v>1.285605629229174</v>
      </c>
      <c r="E518" s="11">
        <v>1.3406335301075429</v>
      </c>
      <c r="P518" s="1">
        <f>A517</f>
        <v>43172</v>
      </c>
      <c r="Q518" s="14">
        <f>[1]!i_dq_close(Q$2,$P518)</f>
        <v>2027.3773000000001</v>
      </c>
      <c r="R518" s="14">
        <f>[1]!i_dq_close(R$2,$P518)</f>
        <v>3497.6642999999999</v>
      </c>
      <c r="S518" s="14">
        <f>[1]!i_dq_close(S$2,$P518)</f>
        <v>3592.6480000000001</v>
      </c>
      <c r="T518" s="14">
        <f>[1]!i_dq_close(T$2,$P518)</f>
        <v>5830.2637000000004</v>
      </c>
      <c r="U518" s="14">
        <f>[1]!i_dq_close(U$2,$P518)</f>
        <v>10968.8228</v>
      </c>
      <c r="V518" s="14">
        <f>[1]!i_dq_close(V$2,$P518)</f>
        <v>10348.586300000001</v>
      </c>
      <c r="W518" s="14">
        <f>[1]!i_dq_close(W$2,$P518)</f>
        <v>6132.9408999999996</v>
      </c>
      <c r="X518" s="14">
        <f>[1]!i_dq_close(X$2,$P518)</f>
        <v>6025.5666000000001</v>
      </c>
      <c r="Y518" s="14">
        <f>[1]!i_dq_close(Y$2,$P518)</f>
        <v>6540.5654999999997</v>
      </c>
      <c r="Z518" s="14">
        <f>[1]!i_dq_close(Z$2,$P518)</f>
        <v>2286.5</v>
      </c>
      <c r="AB518" s="1">
        <v>43172</v>
      </c>
      <c r="AC518">
        <v>1.2035892104149093</v>
      </c>
      <c r="AD518">
        <v>1.3709292613740922</v>
      </c>
      <c r="AE518">
        <v>1.0632585078781176</v>
      </c>
      <c r="AF518">
        <v>1.2054569581390406</v>
      </c>
      <c r="AG518">
        <v>1.6354955229655597</v>
      </c>
      <c r="AH518">
        <v>1.2781095360811692</v>
      </c>
      <c r="AI518">
        <v>1.3144469723448664</v>
      </c>
      <c r="AJ518">
        <v>1.1130813291856343</v>
      </c>
      <c r="AK518">
        <v>1.2991039182552133</v>
      </c>
      <c r="AL518">
        <v>1.0162227190422182</v>
      </c>
    </row>
    <row r="519" spans="1:38" x14ac:dyDescent="0.4">
      <c r="A519" s="10">
        <v>43174</v>
      </c>
      <c r="B519" s="11">
        <v>1.3901547333514901</v>
      </c>
      <c r="C519" s="11">
        <v>1.460876872634741</v>
      </c>
      <c r="D519" s="11">
        <v>1.2917470179806181</v>
      </c>
      <c r="E519" s="11">
        <v>1.3489659995786449</v>
      </c>
      <c r="P519" s="1">
        <f>A518</f>
        <v>43173</v>
      </c>
      <c r="Q519" s="14">
        <f>[1]!i_dq_close(Q$2,$P519)</f>
        <v>2031.5402999999999</v>
      </c>
      <c r="R519" s="14">
        <f>[1]!i_dq_close(R$2,$P519)</f>
        <v>3506.5727999999999</v>
      </c>
      <c r="S519" s="14">
        <f>[1]!i_dq_close(S$2,$P519)</f>
        <v>3556.4738000000002</v>
      </c>
      <c r="T519" s="14">
        <f>[1]!i_dq_close(T$2,$P519)</f>
        <v>5773.4030000000002</v>
      </c>
      <c r="U519" s="14">
        <f>[1]!i_dq_close(U$2,$P519)</f>
        <v>11003.710300000001</v>
      </c>
      <c r="V519" s="14">
        <f>[1]!i_dq_close(V$2,$P519)</f>
        <v>10269.1387</v>
      </c>
      <c r="W519" s="14">
        <f>[1]!i_dq_close(W$2,$P519)</f>
        <v>6090.1329999999998</v>
      </c>
      <c r="X519" s="14">
        <f>[1]!i_dq_close(X$2,$P519)</f>
        <v>5909.9767000000002</v>
      </c>
      <c r="Y519" s="14">
        <f>[1]!i_dq_close(Y$2,$P519)</f>
        <v>6465.0707000000002</v>
      </c>
      <c r="Z519" s="14">
        <f>[1]!i_dq_close(Z$2,$P519)</f>
        <v>2278.0781999999999</v>
      </c>
      <c r="AB519" s="1">
        <v>43173</v>
      </c>
      <c r="AC519">
        <v>1.2060606506756626</v>
      </c>
      <c r="AD519">
        <v>1.3744209982240099</v>
      </c>
      <c r="AE519">
        <v>1.0525526090770982</v>
      </c>
      <c r="AF519">
        <v>1.1937005213830743</v>
      </c>
      <c r="AG519">
        <v>1.6406973893005197</v>
      </c>
      <c r="AH519">
        <v>1.2682973035466862</v>
      </c>
      <c r="AI519">
        <v>1.3052721383679986</v>
      </c>
      <c r="AJ519">
        <v>1.0917288211024219</v>
      </c>
      <c r="AK519">
        <v>1.2841089471800222</v>
      </c>
      <c r="AL519">
        <v>1.012479694990073</v>
      </c>
    </row>
    <row r="520" spans="1:38" x14ac:dyDescent="0.4">
      <c r="A520" s="10">
        <v>43175</v>
      </c>
      <c r="B520" s="11">
        <v>1.376831098653988</v>
      </c>
      <c r="C520" s="11">
        <v>1.4473388749830689</v>
      </c>
      <c r="D520" s="11">
        <v>1.2794440265005591</v>
      </c>
      <c r="E520" s="11">
        <v>1.3336764082439869</v>
      </c>
      <c r="P520" s="1">
        <f>A519</f>
        <v>43174</v>
      </c>
      <c r="Q520" s="14">
        <f>[1]!i_dq_close(Q$2,$P520)</f>
        <v>2029.4365</v>
      </c>
      <c r="R520" s="14">
        <f>[1]!i_dq_close(R$2,$P520)</f>
        <v>3493.3281999999999</v>
      </c>
      <c r="S520" s="14">
        <f>[1]!i_dq_close(S$2,$P520)</f>
        <v>3551.6943999999999</v>
      </c>
      <c r="T520" s="14">
        <f>[1]!i_dq_close(T$2,$P520)</f>
        <v>5793.0803999999998</v>
      </c>
      <c r="U520" s="14">
        <f>[1]!i_dq_close(U$2,$P520)</f>
        <v>11140.2372</v>
      </c>
      <c r="V520" s="14">
        <f>[1]!i_dq_close(V$2,$P520)</f>
        <v>10289.266600000001</v>
      </c>
      <c r="W520" s="14">
        <f>[1]!i_dq_close(W$2,$P520)</f>
        <v>6105.2714999999998</v>
      </c>
      <c r="X520" s="14">
        <f>[1]!i_dq_close(X$2,$P520)</f>
        <v>5910.8046000000004</v>
      </c>
      <c r="Y520" s="14">
        <f>[1]!i_dq_close(Y$2,$P520)</f>
        <v>6448.0212000000001</v>
      </c>
      <c r="Z520" s="14">
        <f>[1]!i_dq_close(Z$2,$P520)</f>
        <v>2277.9603000000002</v>
      </c>
      <c r="AB520" s="1">
        <v>43174</v>
      </c>
      <c r="AC520">
        <v>1.2048116917468679</v>
      </c>
      <c r="AD520">
        <v>1.3692297025084104</v>
      </c>
      <c r="AE520">
        <v>1.0511381265804682</v>
      </c>
      <c r="AF520">
        <v>1.1977689923766048</v>
      </c>
      <c r="AG520">
        <v>1.6610540982916033</v>
      </c>
      <c r="AH520">
        <v>1.2707832142001338</v>
      </c>
      <c r="AI520">
        <v>1.3085167082758618</v>
      </c>
      <c r="AJ520">
        <v>1.0918817561031624</v>
      </c>
      <c r="AK520">
        <v>1.2807225317004598</v>
      </c>
      <c r="AL520">
        <v>1.0124272949644553</v>
      </c>
    </row>
    <row r="521" spans="1:38" x14ac:dyDescent="0.4">
      <c r="A521" s="10">
        <v>43178</v>
      </c>
      <c r="B521" s="11">
        <v>1.3831921947942289</v>
      </c>
      <c r="C521" s="11">
        <v>1.4511637868744489</v>
      </c>
      <c r="D521" s="11">
        <v>1.282780750809922</v>
      </c>
      <c r="E521" s="11">
        <v>1.3389933609807301</v>
      </c>
      <c r="P521" s="1">
        <f>A520</f>
        <v>43175</v>
      </c>
      <c r="Q521" s="14">
        <f>[1]!i_dq_close(Q$2,$P521)</f>
        <v>2003.663</v>
      </c>
      <c r="R521" s="14">
        <f>[1]!i_dq_close(R$2,$P521)</f>
        <v>3460.1961999999999</v>
      </c>
      <c r="S521" s="14">
        <f>[1]!i_dq_close(S$2,$P521)</f>
        <v>3537.0466000000001</v>
      </c>
      <c r="T521" s="14">
        <f>[1]!i_dq_close(T$2,$P521)</f>
        <v>5759.5147999999999</v>
      </c>
      <c r="U521" s="14">
        <f>[1]!i_dq_close(U$2,$P521)</f>
        <v>11025.7785</v>
      </c>
      <c r="V521" s="14">
        <f>[1]!i_dq_close(V$2,$P521)</f>
        <v>10270.9233</v>
      </c>
      <c r="W521" s="14">
        <f>[1]!i_dq_close(W$2,$P521)</f>
        <v>6070.4079000000002</v>
      </c>
      <c r="X521" s="14">
        <f>[1]!i_dq_close(X$2,$P521)</f>
        <v>5838.1904999999997</v>
      </c>
      <c r="Y521" s="14">
        <f>[1]!i_dq_close(Y$2,$P521)</f>
        <v>6374.9152999999997</v>
      </c>
      <c r="Z521" s="14">
        <f>[1]!i_dq_close(Z$2,$P521)</f>
        <v>2270.1621</v>
      </c>
      <c r="AB521" s="1">
        <v>43175</v>
      </c>
      <c r="AC521">
        <v>1.1895107872163551</v>
      </c>
      <c r="AD521">
        <v>1.3562434281287203</v>
      </c>
      <c r="AE521">
        <v>1.0468030517354801</v>
      </c>
      <c r="AF521">
        <v>1.190829017075983</v>
      </c>
      <c r="AG521">
        <v>1.6439878465317102</v>
      </c>
      <c r="AH521">
        <v>1.2685177118432371</v>
      </c>
      <c r="AI521">
        <v>1.3010445421141037</v>
      </c>
      <c r="AJ521">
        <v>1.07846801357717</v>
      </c>
      <c r="AK521">
        <v>1.2662020500788669</v>
      </c>
      <c r="AL521">
        <v>1.0089614266033642</v>
      </c>
    </row>
    <row r="522" spans="1:38" x14ac:dyDescent="0.4">
      <c r="A522" s="10">
        <v>43179</v>
      </c>
      <c r="B522" s="11">
        <v>1.3872415440340531</v>
      </c>
      <c r="C522" s="11">
        <v>1.453670313430476</v>
      </c>
      <c r="D522" s="11">
        <v>1.2874185418710029</v>
      </c>
      <c r="E522" s="11">
        <v>1.3420886631209441</v>
      </c>
      <c r="P522" s="1">
        <f>A521</f>
        <v>43178</v>
      </c>
      <c r="Q522" s="14">
        <f>[1]!i_dq_close(Q$2,$P522)</f>
        <v>1976.2882</v>
      </c>
      <c r="R522" s="14">
        <f>[1]!i_dq_close(R$2,$P522)</f>
        <v>3432.6788999999999</v>
      </c>
      <c r="S522" s="14">
        <f>[1]!i_dq_close(S$2,$P522)</f>
        <v>3535.2312000000002</v>
      </c>
      <c r="T522" s="14">
        <f>[1]!i_dq_close(T$2,$P522)</f>
        <v>5755.9859999999999</v>
      </c>
      <c r="U522" s="14">
        <f>[1]!i_dq_close(U$2,$P522)</f>
        <v>11023.9966</v>
      </c>
      <c r="V522" s="14">
        <f>[1]!i_dq_close(V$2,$P522)</f>
        <v>10482.619500000001</v>
      </c>
      <c r="W522" s="14">
        <f>[1]!i_dq_close(W$2,$P522)</f>
        <v>6099.5564000000004</v>
      </c>
      <c r="X522" s="14">
        <f>[1]!i_dq_close(X$2,$P522)</f>
        <v>5896.5924999999997</v>
      </c>
      <c r="Y522" s="14">
        <f>[1]!i_dq_close(Y$2,$P522)</f>
        <v>6387.4902000000002</v>
      </c>
      <c r="Z522" s="14">
        <f>[1]!i_dq_close(Z$2,$P522)</f>
        <v>2272.2959000000001</v>
      </c>
      <c r="AB522" s="1">
        <v>43178</v>
      </c>
      <c r="AC522">
        <v>1.1732592419725238</v>
      </c>
      <c r="AD522">
        <v>1.3454578671004622</v>
      </c>
      <c r="AE522">
        <v>1.0462657768632404</v>
      </c>
      <c r="AF522">
        <v>1.1900994074506275</v>
      </c>
      <c r="AG522">
        <v>1.6437221580867869</v>
      </c>
      <c r="AH522">
        <v>1.2946634020977743</v>
      </c>
      <c r="AI522">
        <v>1.3072918153551347</v>
      </c>
      <c r="AJ522">
        <v>1.0892564057902938</v>
      </c>
      <c r="AK522">
        <v>1.2686997090139649</v>
      </c>
      <c r="AL522">
        <v>1.0099097826225605</v>
      </c>
    </row>
    <row r="523" spans="1:38" x14ac:dyDescent="0.4">
      <c r="A523" s="10">
        <v>43180</v>
      </c>
      <c r="B523" s="11">
        <v>1.3766235682798931</v>
      </c>
      <c r="C523" s="11">
        <v>1.4428559530507361</v>
      </c>
      <c r="D523" s="11">
        <v>1.277056627759722</v>
      </c>
      <c r="E523" s="11">
        <v>1.3298397872728489</v>
      </c>
      <c r="P523" s="1">
        <f>A522</f>
        <v>43179</v>
      </c>
      <c r="Q523" s="14">
        <f>[1]!i_dq_close(Q$2,$P523)</f>
        <v>1991.9992999999999</v>
      </c>
      <c r="R523" s="14">
        <f>[1]!i_dq_close(R$2,$P523)</f>
        <v>3431.9252999999999</v>
      </c>
      <c r="S523" s="14">
        <f>[1]!i_dq_close(S$2,$P523)</f>
        <v>3537.5419999999999</v>
      </c>
      <c r="T523" s="14">
        <f>[1]!i_dq_close(T$2,$P523)</f>
        <v>5722.4022999999997</v>
      </c>
      <c r="U523" s="14">
        <f>[1]!i_dq_close(U$2,$P523)</f>
        <v>10978.4797</v>
      </c>
      <c r="V523" s="14">
        <f>[1]!i_dq_close(V$2,$P523)</f>
        <v>10727.015299999999</v>
      </c>
      <c r="W523" s="14">
        <f>[1]!i_dq_close(W$2,$P523)</f>
        <v>6104.6527999999998</v>
      </c>
      <c r="X523" s="14">
        <f>[1]!i_dq_close(X$2,$P523)</f>
        <v>5909.5514000000003</v>
      </c>
      <c r="Y523" s="14">
        <f>[1]!i_dq_close(Y$2,$P523)</f>
        <v>6397.6494000000002</v>
      </c>
      <c r="Z523" s="14">
        <f>[1]!i_dq_close(Z$2,$P523)</f>
        <v>2276.1115</v>
      </c>
      <c r="AB523" s="1">
        <v>43179</v>
      </c>
      <c r="AC523">
        <v>1.1825864207091852</v>
      </c>
      <c r="AD523">
        <v>1.3451624893275378</v>
      </c>
      <c r="AE523">
        <v>1.0469496673417968</v>
      </c>
      <c r="AF523">
        <v>1.1831556898199731</v>
      </c>
      <c r="AG523">
        <v>1.6369354055312371</v>
      </c>
      <c r="AH523">
        <v>1.3248476797858468</v>
      </c>
      <c r="AI523">
        <v>1.3083841049530758</v>
      </c>
      <c r="AJ523">
        <v>1.0916502569572173</v>
      </c>
      <c r="AK523">
        <v>1.2707175554106316</v>
      </c>
      <c r="AL523">
        <v>1.0116056056738516</v>
      </c>
    </row>
    <row r="524" spans="1:38" x14ac:dyDescent="0.4">
      <c r="A524" s="10">
        <v>43181</v>
      </c>
      <c r="B524" s="11">
        <v>1.363334133668767</v>
      </c>
      <c r="C524" s="11">
        <v>1.428984622265332</v>
      </c>
      <c r="D524" s="11">
        <v>1.264096773473629</v>
      </c>
      <c r="E524" s="11">
        <v>1.315647439423673</v>
      </c>
      <c r="P524" s="1">
        <f>A523</f>
        <v>43180</v>
      </c>
      <c r="Q524" s="14">
        <f>[1]!i_dq_close(Q$2,$P524)</f>
        <v>1985.9887000000001</v>
      </c>
      <c r="R524" s="14">
        <f>[1]!i_dq_close(R$2,$P524)</f>
        <v>3404.8319000000001</v>
      </c>
      <c r="S524" s="14">
        <f>[1]!i_dq_close(S$2,$P524)</f>
        <v>3527.1893</v>
      </c>
      <c r="T524" s="14">
        <f>[1]!i_dq_close(T$2,$P524)</f>
        <v>5677.9848000000002</v>
      </c>
      <c r="U524" s="14">
        <f>[1]!i_dq_close(U$2,$P524)</f>
        <v>10932.6697</v>
      </c>
      <c r="V524" s="14">
        <f>[1]!i_dq_close(V$2,$P524)</f>
        <v>10602.3989</v>
      </c>
      <c r="W524" s="14">
        <f>[1]!i_dq_close(W$2,$P524)</f>
        <v>6103.9624999999996</v>
      </c>
      <c r="X524" s="14">
        <f>[1]!i_dq_close(X$2,$P524)</f>
        <v>5842.3495999999996</v>
      </c>
      <c r="Y524" s="14">
        <f>[1]!i_dq_close(Y$2,$P524)</f>
        <v>6330.8380999999999</v>
      </c>
      <c r="Z524" s="14">
        <f>[1]!i_dq_close(Z$2,$P524)</f>
        <v>2268.2381999999998</v>
      </c>
      <c r="AB524" s="1">
        <v>43180</v>
      </c>
      <c r="AC524">
        <v>1.1790181192844233</v>
      </c>
      <c r="AD524">
        <v>1.3345430782965499</v>
      </c>
      <c r="AE524">
        <v>1.0438857444764036</v>
      </c>
      <c r="AF524">
        <v>1.1739719912441882</v>
      </c>
      <c r="AG524">
        <v>1.6301049505887932</v>
      </c>
      <c r="AH524">
        <v>1.3094568423733877</v>
      </c>
      <c r="AI524">
        <v>1.3082361559087585</v>
      </c>
      <c r="AJ524">
        <v>1.0792363092186481</v>
      </c>
      <c r="AK524">
        <v>1.2574473234079517</v>
      </c>
      <c r="AL524">
        <v>1.0081063595186646</v>
      </c>
    </row>
    <row r="525" spans="1:38" x14ac:dyDescent="0.4">
      <c r="A525" s="10">
        <v>43182</v>
      </c>
      <c r="B525" s="11">
        <v>1.3188660052790619</v>
      </c>
      <c r="C525" s="11">
        <v>1.3854029033700801</v>
      </c>
      <c r="D525" s="11">
        <v>1.223477507140182</v>
      </c>
      <c r="E525" s="11">
        <v>1.270530730032557</v>
      </c>
      <c r="P525" s="1">
        <f>A524</f>
        <v>43181</v>
      </c>
      <c r="Q525" s="14">
        <f>[1]!i_dq_close(Q$2,$P525)</f>
        <v>1985.7035000000001</v>
      </c>
      <c r="R525" s="14">
        <f>[1]!i_dq_close(R$2,$P525)</f>
        <v>3396.1774</v>
      </c>
      <c r="S525" s="14">
        <f>[1]!i_dq_close(S$2,$P525)</f>
        <v>3515.4576999999999</v>
      </c>
      <c r="T525" s="14">
        <f>[1]!i_dq_close(T$2,$P525)</f>
        <v>5637.4885000000004</v>
      </c>
      <c r="U525" s="14">
        <f>[1]!i_dq_close(U$2,$P525)</f>
        <v>10759.286400000001</v>
      </c>
      <c r="V525" s="14">
        <f>[1]!i_dq_close(V$2,$P525)</f>
        <v>10496.135</v>
      </c>
      <c r="W525" s="14">
        <f>[1]!i_dq_close(W$2,$P525)</f>
        <v>6057.7366000000002</v>
      </c>
      <c r="X525" s="14">
        <f>[1]!i_dq_close(X$2,$P525)</f>
        <v>5820.3670000000002</v>
      </c>
      <c r="Y525" s="14">
        <f>[1]!i_dq_close(Y$2,$P525)</f>
        <v>6289.8575000000001</v>
      </c>
      <c r="Z525" s="14">
        <f>[1]!i_dq_close(Z$2,$P525)</f>
        <v>2262.0729999999999</v>
      </c>
      <c r="AB525" s="1">
        <v>43181</v>
      </c>
      <c r="AC525">
        <v>1.1788488051450128</v>
      </c>
      <c r="AD525">
        <v>1.3311508981800755</v>
      </c>
      <c r="AE525">
        <v>1.0404137306551153</v>
      </c>
      <c r="AF525">
        <v>1.1655990343547964</v>
      </c>
      <c r="AG525">
        <v>1.6042528043669586</v>
      </c>
      <c r="AH525">
        <v>1.2963326435703901</v>
      </c>
      <c r="AI525">
        <v>1.2983287566219146</v>
      </c>
      <c r="AJ525">
        <v>1.0751755422814848</v>
      </c>
      <c r="AK525">
        <v>1.2493076513822761</v>
      </c>
      <c r="AL525">
        <v>1.0053662692901759</v>
      </c>
    </row>
    <row r="526" spans="1:38" x14ac:dyDescent="0.4">
      <c r="A526" s="10">
        <v>43185</v>
      </c>
      <c r="B526" s="11">
        <v>1.330921136717675</v>
      </c>
      <c r="C526" s="11">
        <v>1.393525176995019</v>
      </c>
      <c r="D526" s="11">
        <v>1.2339388151383439</v>
      </c>
      <c r="E526" s="11">
        <v>1.2843933587563769</v>
      </c>
      <c r="P526" s="1">
        <f>A525</f>
        <v>43182</v>
      </c>
      <c r="Q526" s="14">
        <f>[1]!i_dq_close(Q$2,$P526)</f>
        <v>1915.6133</v>
      </c>
      <c r="R526" s="14">
        <f>[1]!i_dq_close(R$2,$P526)</f>
        <v>3219.7429999999999</v>
      </c>
      <c r="S526" s="14">
        <f>[1]!i_dq_close(S$2,$P526)</f>
        <v>3372.5778</v>
      </c>
      <c r="T526" s="14">
        <f>[1]!i_dq_close(T$2,$P526)</f>
        <v>5429.4237999999996</v>
      </c>
      <c r="U526" s="14">
        <f>[1]!i_dq_close(U$2,$P526)</f>
        <v>10606.2356</v>
      </c>
      <c r="V526" s="14">
        <f>[1]!i_dq_close(V$2,$P526)</f>
        <v>10168.826999999999</v>
      </c>
      <c r="W526" s="14">
        <f>[1]!i_dq_close(W$2,$P526)</f>
        <v>5859.6610000000001</v>
      </c>
      <c r="X526" s="14">
        <f>[1]!i_dq_close(X$2,$P526)</f>
        <v>5479.6566000000003</v>
      </c>
      <c r="Y526" s="14">
        <f>[1]!i_dq_close(Y$2,$P526)</f>
        <v>5880.3078999999998</v>
      </c>
      <c r="Z526" s="14">
        <f>[1]!i_dq_close(Z$2,$P526)</f>
        <v>2190.1961000000001</v>
      </c>
      <c r="AB526" s="1">
        <v>43182</v>
      </c>
      <c r="AC526">
        <v>1.1372384899482197</v>
      </c>
      <c r="AD526">
        <v>1.2619964393965435</v>
      </c>
      <c r="AE526">
        <v>0.99812785425426165</v>
      </c>
      <c r="AF526">
        <v>1.1225798754858567</v>
      </c>
      <c r="AG526">
        <v>1.5814323155368992</v>
      </c>
      <c r="AH526">
        <v>1.2559082354523792</v>
      </c>
      <c r="AI526">
        <v>1.2558760610944892</v>
      </c>
      <c r="AJ526">
        <v>1.0122373308111527</v>
      </c>
      <c r="AK526">
        <v>1.167961857952051</v>
      </c>
      <c r="AL526">
        <v>0.97342096478358286</v>
      </c>
    </row>
    <row r="527" spans="1:38" x14ac:dyDescent="0.4">
      <c r="A527" s="10">
        <v>43186</v>
      </c>
      <c r="B527" s="11">
        <v>1.350864205710598</v>
      </c>
      <c r="C527" s="11">
        <v>1.412770572354469</v>
      </c>
      <c r="D527" s="11">
        <v>1.251873314275936</v>
      </c>
      <c r="E527" s="11">
        <v>1.304983652918527</v>
      </c>
      <c r="P527" s="1">
        <f>A526</f>
        <v>43185</v>
      </c>
      <c r="Q527" s="14">
        <f>[1]!i_dq_close(Q$2,$P527)</f>
        <v>1897.4293</v>
      </c>
      <c r="R527" s="14">
        <f>[1]!i_dq_close(R$2,$P527)</f>
        <v>3258.8063999999999</v>
      </c>
      <c r="S527" s="14">
        <f>[1]!i_dq_close(S$2,$P527)</f>
        <v>3399.4310999999998</v>
      </c>
      <c r="T527" s="14">
        <f>[1]!i_dq_close(T$2,$P527)</f>
        <v>5432.2700999999997</v>
      </c>
      <c r="U527" s="14">
        <f>[1]!i_dq_close(U$2,$P527)</f>
        <v>10523.500599999999</v>
      </c>
      <c r="V527" s="14">
        <f>[1]!i_dq_close(V$2,$P527)</f>
        <v>10453.865900000001</v>
      </c>
      <c r="W527" s="14">
        <f>[1]!i_dq_close(W$2,$P527)</f>
        <v>5766.8053</v>
      </c>
      <c r="X527" s="14">
        <f>[1]!i_dq_close(X$2,$P527)</f>
        <v>5642.0771000000004</v>
      </c>
      <c r="Y527" s="14">
        <f>[1]!i_dq_close(Y$2,$P527)</f>
        <v>5975.3783000000003</v>
      </c>
      <c r="Z527" s="14">
        <f>[1]!i_dq_close(Z$2,$P527)</f>
        <v>2191.2397999999998</v>
      </c>
      <c r="AB527" s="1">
        <v>43185</v>
      </c>
      <c r="AC527">
        <v>1.12644322939056</v>
      </c>
      <c r="AD527">
        <v>1.2773075594799548</v>
      </c>
      <c r="AE527">
        <v>1.0060751955160838</v>
      </c>
      <c r="AF527">
        <v>1.1231683723903709</v>
      </c>
      <c r="AG527">
        <v>1.5690961948282527</v>
      </c>
      <c r="AH527">
        <v>1.2911121682102371</v>
      </c>
      <c r="AI527">
        <v>1.2359746963626095</v>
      </c>
      <c r="AJ527">
        <v>1.0422406878443313</v>
      </c>
      <c r="AK527">
        <v>1.1868449849767848</v>
      </c>
      <c r="AL527">
        <v>0.97388483167702877</v>
      </c>
    </row>
    <row r="528" spans="1:38" x14ac:dyDescent="0.4">
      <c r="A528" s="10">
        <v>43187</v>
      </c>
      <c r="B528" s="11">
        <v>1.333115144128687</v>
      </c>
      <c r="C528" s="11">
        <v>1.3914833519249179</v>
      </c>
      <c r="D528" s="11">
        <v>1.233348921102658</v>
      </c>
      <c r="E528" s="11">
        <v>1.2842057290791691</v>
      </c>
      <c r="P528" s="1">
        <f>A527</f>
        <v>43186</v>
      </c>
      <c r="Q528" s="14">
        <f>[1]!i_dq_close(Q$2,$P528)</f>
        <v>1913.6514999999999</v>
      </c>
      <c r="R528" s="14">
        <f>[1]!i_dq_close(R$2,$P528)</f>
        <v>3318.4861999999998</v>
      </c>
      <c r="S528" s="14">
        <f>[1]!i_dq_close(S$2,$P528)</f>
        <v>3464.5765999999999</v>
      </c>
      <c r="T528" s="14">
        <f>[1]!i_dq_close(T$2,$P528)</f>
        <v>5489.9868999999999</v>
      </c>
      <c r="U528" s="14">
        <f>[1]!i_dq_close(U$2,$P528)</f>
        <v>10625.785900000001</v>
      </c>
      <c r="V528" s="14">
        <f>[1]!i_dq_close(V$2,$P528)</f>
        <v>10609.9372</v>
      </c>
      <c r="W528" s="14">
        <f>[1]!i_dq_close(W$2,$P528)</f>
        <v>5793.3122000000003</v>
      </c>
      <c r="X528" s="14">
        <f>[1]!i_dq_close(X$2,$P528)</f>
        <v>5859.2574000000004</v>
      </c>
      <c r="Y528" s="14">
        <f>[1]!i_dq_close(Y$2,$P528)</f>
        <v>6177.6032999999998</v>
      </c>
      <c r="Z528" s="14">
        <f>[1]!i_dq_close(Z$2,$P528)</f>
        <v>2220.7918</v>
      </c>
      <c r="AB528" s="1">
        <v>43186</v>
      </c>
      <c r="AC528">
        <v>1.1360738318882759</v>
      </c>
      <c r="AD528">
        <v>1.3006993938915516</v>
      </c>
      <c r="AE528">
        <v>1.025355266128338</v>
      </c>
      <c r="AF528">
        <v>1.1351018151541208</v>
      </c>
      <c r="AG528">
        <v>1.584347343767881</v>
      </c>
      <c r="AH528">
        <v>1.3103878654944723</v>
      </c>
      <c r="AI528">
        <v>1.2416558067824488</v>
      </c>
      <c r="AJ528">
        <v>1.0823596265341691</v>
      </c>
      <c r="AK528">
        <v>1.2270114338670466</v>
      </c>
      <c r="AL528">
        <v>0.98701906032042941</v>
      </c>
    </row>
    <row r="529" spans="1:38" x14ac:dyDescent="0.4">
      <c r="A529" s="10">
        <v>43188</v>
      </c>
      <c r="B529" s="11">
        <v>1.3433315435184789</v>
      </c>
      <c r="C529" s="11">
        <v>1.405480432110187</v>
      </c>
      <c r="D529" s="11">
        <v>1.2414669970067751</v>
      </c>
      <c r="E529" s="11">
        <v>1.2913917529102079</v>
      </c>
      <c r="P529" s="1">
        <f>A528</f>
        <v>43187</v>
      </c>
      <c r="Q529" s="14">
        <f>[1]!i_dq_close(Q$2,$P529)</f>
        <v>1881.8023000000001</v>
      </c>
      <c r="R529" s="14">
        <f>[1]!i_dq_close(R$2,$P529)</f>
        <v>3269.1747</v>
      </c>
      <c r="S529" s="14">
        <f>[1]!i_dq_close(S$2,$P529)</f>
        <v>3433.4153999999999</v>
      </c>
      <c r="T529" s="14">
        <f>[1]!i_dq_close(T$2,$P529)</f>
        <v>5385.8449000000001</v>
      </c>
      <c r="U529" s="14">
        <f>[1]!i_dq_close(U$2,$P529)</f>
        <v>10282.239</v>
      </c>
      <c r="V529" s="14">
        <f>[1]!i_dq_close(V$2,$P529)</f>
        <v>10516.8976</v>
      </c>
      <c r="W529" s="14">
        <f>[1]!i_dq_close(W$2,$P529)</f>
        <v>5741.0249999999996</v>
      </c>
      <c r="X529" s="14">
        <f>[1]!i_dq_close(X$2,$P529)</f>
        <v>5809.5743000000002</v>
      </c>
      <c r="Y529" s="14">
        <f>[1]!i_dq_close(Y$2,$P529)</f>
        <v>6142.5142999999998</v>
      </c>
      <c r="Z529" s="14">
        <f>[1]!i_dq_close(Z$2,$P529)</f>
        <v>2207.6486</v>
      </c>
      <c r="AB529" s="1">
        <v>43187</v>
      </c>
      <c r="AC529">
        <v>1.1171659781403098</v>
      </c>
      <c r="AD529">
        <v>1.2813714731782206</v>
      </c>
      <c r="AE529">
        <v>1.0161329846758576</v>
      </c>
      <c r="AF529">
        <v>1.113569564642962</v>
      </c>
      <c r="AG529">
        <v>1.5331231215223817</v>
      </c>
      <c r="AH529">
        <v>1.2988969433002806</v>
      </c>
      <c r="AI529">
        <v>1.2304493150107132</v>
      </c>
      <c r="AJ529">
        <v>1.0731818454793447</v>
      </c>
      <c r="AK529">
        <v>1.2200419665652273</v>
      </c>
      <c r="AL529">
        <v>0.98117763524239943</v>
      </c>
    </row>
    <row r="530" spans="1:38" x14ac:dyDescent="0.4">
      <c r="A530" s="10">
        <v>43189</v>
      </c>
      <c r="B530" s="11">
        <v>1.3591800858337471</v>
      </c>
      <c r="C530" s="11">
        <v>1.4187336390906311</v>
      </c>
      <c r="D530" s="11">
        <v>1.2566858202425031</v>
      </c>
      <c r="E530" s="11">
        <v>1.308029197969909</v>
      </c>
      <c r="P530" s="1">
        <f>A529</f>
        <v>43188</v>
      </c>
      <c r="Q530" s="14">
        <f>[1]!i_dq_close(Q$2,$P530)</f>
        <v>1915.1527000000001</v>
      </c>
      <c r="R530" s="14">
        <f>[1]!i_dq_close(R$2,$P530)</f>
        <v>3312.3470000000002</v>
      </c>
      <c r="S530" s="14">
        <f>[1]!i_dq_close(S$2,$P530)</f>
        <v>3459.4994999999999</v>
      </c>
      <c r="T530" s="14">
        <f>[1]!i_dq_close(T$2,$P530)</f>
        <v>5449.4207999999999</v>
      </c>
      <c r="U530" s="14">
        <f>[1]!i_dq_close(U$2,$P530)</f>
        <v>10493.748799999999</v>
      </c>
      <c r="V530" s="14">
        <f>[1]!i_dq_close(V$2,$P530)</f>
        <v>10465.2811</v>
      </c>
      <c r="W530" s="14">
        <f>[1]!i_dq_close(W$2,$P530)</f>
        <v>5869.9196000000002</v>
      </c>
      <c r="X530" s="14">
        <f>[1]!i_dq_close(X$2,$P530)</f>
        <v>5812.3347000000003</v>
      </c>
      <c r="Y530" s="14">
        <f>[1]!i_dq_close(Y$2,$P530)</f>
        <v>6167.1792999999998</v>
      </c>
      <c r="Z530" s="14">
        <f>[1]!i_dq_close(Z$2,$P530)</f>
        <v>2218.9576000000002</v>
      </c>
      <c r="AB530" s="1">
        <v>43188</v>
      </c>
      <c r="AC530">
        <v>1.1369650464257353</v>
      </c>
      <c r="AD530">
        <v>1.2982930998051159</v>
      </c>
      <c r="AE530">
        <v>1.0238526781290831</v>
      </c>
      <c r="AF530">
        <v>1.1267144265168687</v>
      </c>
      <c r="AG530">
        <v>1.5646600819848429</v>
      </c>
      <c r="AH530">
        <v>1.2925220106325082</v>
      </c>
      <c r="AI530">
        <v>1.2580747429227288</v>
      </c>
      <c r="AJ530">
        <v>1.0736917642811856</v>
      </c>
      <c r="AK530">
        <v>1.2249409922142733</v>
      </c>
      <c r="AL530">
        <v>0.98620385992188708</v>
      </c>
    </row>
    <row r="531" spans="1:38" x14ac:dyDescent="0.4">
      <c r="A531" s="10">
        <v>43192</v>
      </c>
      <c r="B531" s="11">
        <v>1.360281638785718</v>
      </c>
      <c r="C531" s="11">
        <v>1.4183614371550559</v>
      </c>
      <c r="D531" s="11">
        <v>1.256441725642776</v>
      </c>
      <c r="E531" s="11">
        <v>1.3041520418319461</v>
      </c>
      <c r="P531" s="1">
        <f>A530</f>
        <v>43189</v>
      </c>
      <c r="Q531" s="14">
        <f>[1]!i_dq_close(Q$2,$P531)</f>
        <v>1909.8722</v>
      </c>
      <c r="R531" s="14">
        <f>[1]!i_dq_close(R$2,$P531)</f>
        <v>3327.7121000000002</v>
      </c>
      <c r="S531" s="14">
        <f>[1]!i_dq_close(S$2,$P531)</f>
        <v>3501.9908</v>
      </c>
      <c r="T531" s="14">
        <f>[1]!i_dq_close(T$2,$P531)</f>
        <v>5480.9872999999998</v>
      </c>
      <c r="U531" s="14">
        <f>[1]!i_dq_close(U$2,$P531)</f>
        <v>10505.175999999999</v>
      </c>
      <c r="V531" s="14">
        <f>[1]!i_dq_close(V$2,$P531)</f>
        <v>10761.9962</v>
      </c>
      <c r="W531" s="14">
        <f>[1]!i_dq_close(W$2,$P531)</f>
        <v>5823.3895000000002</v>
      </c>
      <c r="X531" s="14">
        <f>[1]!i_dq_close(X$2,$P531)</f>
        <v>5970.2200999999995</v>
      </c>
      <c r="Y531" s="14">
        <f>[1]!i_dq_close(Y$2,$P531)</f>
        <v>6294.3055000000004</v>
      </c>
      <c r="Z531" s="14">
        <f>[1]!i_dq_close(Z$2,$P531)</f>
        <v>2227.1747999999998</v>
      </c>
      <c r="AB531" s="1">
        <v>43189</v>
      </c>
      <c r="AC531">
        <v>1.1338301820738477</v>
      </c>
      <c r="AD531">
        <v>1.3043155374627089</v>
      </c>
      <c r="AE531">
        <v>1.0364281478761335</v>
      </c>
      <c r="AF531">
        <v>1.1332410707695284</v>
      </c>
      <c r="AG531">
        <v>1.5663639233888658</v>
      </c>
      <c r="AH531">
        <v>1.3291680208038952</v>
      </c>
      <c r="AI531">
        <v>1.2481021457519486</v>
      </c>
      <c r="AJ531">
        <v>1.1028573685400456</v>
      </c>
      <c r="AK531">
        <v>1.2501911245664219</v>
      </c>
      <c r="AL531">
        <v>0.98985595059624243</v>
      </c>
    </row>
    <row r="532" spans="1:38" x14ac:dyDescent="0.4">
      <c r="A532" s="10">
        <v>43193</v>
      </c>
      <c r="B532" s="11">
        <v>1.3512193648377759</v>
      </c>
      <c r="C532" s="11">
        <v>1.4090198721667999</v>
      </c>
      <c r="D532" s="11">
        <v>1.248680743530322</v>
      </c>
      <c r="E532" s="11">
        <v>1.296122148514361</v>
      </c>
      <c r="P532" s="1">
        <f>A531</f>
        <v>43192</v>
      </c>
      <c r="Q532" s="14">
        <f>[1]!i_dq_close(Q$2,$P532)</f>
        <v>1905.8463999999999</v>
      </c>
      <c r="R532" s="14">
        <f>[1]!i_dq_close(R$2,$P532)</f>
        <v>3329.4897000000001</v>
      </c>
      <c r="S532" s="14">
        <f>[1]!i_dq_close(S$2,$P532)</f>
        <v>3506.5616</v>
      </c>
      <c r="T532" s="14">
        <f>[1]!i_dq_close(T$2,$P532)</f>
        <v>5457.9120999999996</v>
      </c>
      <c r="U532" s="14">
        <f>[1]!i_dq_close(U$2,$P532)</f>
        <v>10526.7016</v>
      </c>
      <c r="V532" s="14">
        <f>[1]!i_dq_close(V$2,$P532)</f>
        <v>10709.1993</v>
      </c>
      <c r="W532" s="14">
        <f>[1]!i_dq_close(W$2,$P532)</f>
        <v>5811.5477000000001</v>
      </c>
      <c r="X532" s="14">
        <f>[1]!i_dq_close(X$2,$P532)</f>
        <v>6026.6562999999996</v>
      </c>
      <c r="Y532" s="14">
        <f>[1]!i_dq_close(Y$2,$P532)</f>
        <v>6332.7071999999998</v>
      </c>
      <c r="Z532" s="14">
        <f>[1]!i_dq_close(Z$2,$P532)</f>
        <v>2219.0151999999998</v>
      </c>
      <c r="AB532" s="1">
        <v>43192</v>
      </c>
      <c r="AC532">
        <v>1.131440193075111</v>
      </c>
      <c r="AD532">
        <v>1.3050122778145541</v>
      </c>
      <c r="AE532">
        <v>1.0377808943705882</v>
      </c>
      <c r="AF532">
        <v>1.1284700755227011</v>
      </c>
      <c r="AG532">
        <v>1.5695734767813365</v>
      </c>
      <c r="AH532">
        <v>1.3226473019917495</v>
      </c>
      <c r="AI532">
        <v>1.2455641434442606</v>
      </c>
      <c r="AJ532">
        <v>1.1132826255623787</v>
      </c>
      <c r="AK532">
        <v>1.2578185688505072</v>
      </c>
      <c r="AL532">
        <v>0.98622945993440259</v>
      </c>
    </row>
    <row r="533" spans="1:38" x14ac:dyDescent="0.4">
      <c r="A533" s="10">
        <v>43194</v>
      </c>
      <c r="B533" s="11">
        <v>1.3430954628455369</v>
      </c>
      <c r="C533" s="11">
        <v>1.4041679452712379</v>
      </c>
      <c r="D533" s="11">
        <v>1.2405032293090981</v>
      </c>
      <c r="E533" s="11">
        <v>1.287113418756161</v>
      </c>
      <c r="P533" s="1">
        <f>A532</f>
        <v>43193</v>
      </c>
      <c r="Q533" s="14">
        <f>[1]!i_dq_close(Q$2,$P533)</f>
        <v>1882.8061</v>
      </c>
      <c r="R533" s="14">
        <f>[1]!i_dq_close(R$2,$P533)</f>
        <v>3292.3591999999999</v>
      </c>
      <c r="S533" s="14">
        <f>[1]!i_dq_close(S$2,$P533)</f>
        <v>3474.4787999999999</v>
      </c>
      <c r="T533" s="14">
        <f>[1]!i_dq_close(T$2,$P533)</f>
        <v>5397.4512999999997</v>
      </c>
      <c r="U533" s="14">
        <f>[1]!i_dq_close(U$2,$P533)</f>
        <v>10588.0344</v>
      </c>
      <c r="V533" s="14">
        <f>[1]!i_dq_close(V$2,$P533)</f>
        <v>10698.9779</v>
      </c>
      <c r="W533" s="14">
        <f>[1]!i_dq_close(W$2,$P533)</f>
        <v>5777.6325999999999</v>
      </c>
      <c r="X533" s="14">
        <f>[1]!i_dq_close(X$2,$P533)</f>
        <v>5944.2781000000004</v>
      </c>
      <c r="Y533" s="14">
        <f>[1]!i_dq_close(Y$2,$P533)</f>
        <v>6250.9840999999997</v>
      </c>
      <c r="Z533" s="14">
        <f>[1]!i_dq_close(Z$2,$P533)</f>
        <v>2193.3310999999999</v>
      </c>
      <c r="AB533" s="1">
        <v>43193</v>
      </c>
      <c r="AC533">
        <v>1.1177619021695542</v>
      </c>
      <c r="AD533">
        <v>1.29045876879442</v>
      </c>
      <c r="AE533">
        <v>1.0282858617215358</v>
      </c>
      <c r="AF533">
        <v>1.1159692872556708</v>
      </c>
      <c r="AG533">
        <v>1.5787184435330048</v>
      </c>
      <c r="AH533">
        <v>1.3213849006904141</v>
      </c>
      <c r="AI533">
        <v>1.2382952652276493</v>
      </c>
      <c r="AJ533">
        <v>1.0980651958269048</v>
      </c>
      <c r="AK533">
        <v>1.2415865168326865</v>
      </c>
      <c r="AL533">
        <v>0.97481429879810155</v>
      </c>
    </row>
    <row r="534" spans="1:38" x14ac:dyDescent="0.4">
      <c r="A534" s="10">
        <v>43199</v>
      </c>
      <c r="B534" s="11">
        <v>1.3429143442495439</v>
      </c>
      <c r="C534" s="11">
        <v>1.4025109396878159</v>
      </c>
      <c r="D534" s="11">
        <v>1.239860071959253</v>
      </c>
      <c r="E534" s="11">
        <v>1.2860881197358041</v>
      </c>
      <c r="P534" s="1">
        <f>A533</f>
        <v>43194</v>
      </c>
      <c r="Q534" s="14">
        <f>[1]!i_dq_close(Q$2,$P534)</f>
        <v>1870.0135</v>
      </c>
      <c r="R534" s="14">
        <f>[1]!i_dq_close(R$2,$P534)</f>
        <v>3268.0538999999999</v>
      </c>
      <c r="S534" s="14">
        <f>[1]!i_dq_close(S$2,$P534)</f>
        <v>3452.6514000000002</v>
      </c>
      <c r="T534" s="14">
        <f>[1]!i_dq_close(T$2,$P534)</f>
        <v>5401.5114999999996</v>
      </c>
      <c r="U534" s="14">
        <f>[1]!i_dq_close(U$2,$P534)</f>
        <v>10835.347599999999</v>
      </c>
      <c r="V534" s="14">
        <f>[1]!i_dq_close(V$2,$P534)</f>
        <v>10677.389300000001</v>
      </c>
      <c r="W534" s="14">
        <f>[1]!i_dq_close(W$2,$P534)</f>
        <v>5756.6809000000003</v>
      </c>
      <c r="X534" s="14">
        <f>[1]!i_dq_close(X$2,$P534)</f>
        <v>5820.0684000000001</v>
      </c>
      <c r="Y534" s="14">
        <f>[1]!i_dq_close(Y$2,$P534)</f>
        <v>6152.5622000000003</v>
      </c>
      <c r="Z534" s="14">
        <f>[1]!i_dq_close(Z$2,$P534)</f>
        <v>2184.9495999999999</v>
      </c>
      <c r="AB534" s="1">
        <v>43194</v>
      </c>
      <c r="AC534">
        <v>1.1101673437550184</v>
      </c>
      <c r="AD534">
        <v>1.2809321692930111</v>
      </c>
      <c r="AE534">
        <v>1.0218259556147149</v>
      </c>
      <c r="AF534">
        <v>1.1168087683826455</v>
      </c>
      <c r="AG534">
        <v>1.6155938346980698</v>
      </c>
      <c r="AH534">
        <v>1.3187185852410623</v>
      </c>
      <c r="AI534">
        <v>1.2338047770459555</v>
      </c>
      <c r="AJ534">
        <v>1.0751203829733302</v>
      </c>
      <c r="AK534">
        <v>1.2220377062700338</v>
      </c>
      <c r="AL534">
        <v>0.97108918586582416</v>
      </c>
    </row>
    <row r="535" spans="1:38" x14ac:dyDescent="0.4">
      <c r="A535" s="10">
        <v>43200</v>
      </c>
      <c r="B535" s="11">
        <v>1.3562806554461879</v>
      </c>
      <c r="C535" s="11">
        <v>1.4183706539997301</v>
      </c>
      <c r="D535" s="11">
        <v>1.251171105146597</v>
      </c>
      <c r="E535" s="11">
        <v>1.299955311555006</v>
      </c>
      <c r="P535" s="1">
        <f>A534</f>
        <v>43199</v>
      </c>
      <c r="Q535" s="14">
        <f>[1]!i_dq_close(Q$2,$P535)</f>
        <v>1871.9666</v>
      </c>
      <c r="R535" s="14">
        <f>[1]!i_dq_close(R$2,$P535)</f>
        <v>3279.6649000000002</v>
      </c>
      <c r="S535" s="14">
        <f>[1]!i_dq_close(S$2,$P535)</f>
        <v>3452.8389999999999</v>
      </c>
      <c r="T535" s="14">
        <f>[1]!i_dq_close(T$2,$P535)</f>
        <v>5359.3828000000003</v>
      </c>
      <c r="U535" s="14">
        <f>[1]!i_dq_close(U$2,$P535)</f>
        <v>10730.5569</v>
      </c>
      <c r="V535" s="14">
        <f>[1]!i_dq_close(V$2,$P535)</f>
        <v>10693.8768</v>
      </c>
      <c r="W535" s="14">
        <f>[1]!i_dq_close(W$2,$P535)</f>
        <v>5768.5936000000002</v>
      </c>
      <c r="X535" s="14">
        <f>[1]!i_dq_close(X$2,$P535)</f>
        <v>5842.5944</v>
      </c>
      <c r="Y535" s="14">
        <f>[1]!i_dq_close(Y$2,$P535)</f>
        <v>6194.6715999999997</v>
      </c>
      <c r="Z535" s="14">
        <f>[1]!i_dq_close(Z$2,$P535)</f>
        <v>2180.2626</v>
      </c>
      <c r="AB535" s="1">
        <v>43199</v>
      </c>
      <c r="AC535">
        <v>1.1113268369025746</v>
      </c>
      <c r="AD535">
        <v>1.2854831662694262</v>
      </c>
      <c r="AE535">
        <v>1.0218814765831141</v>
      </c>
      <c r="AF535">
        <v>1.1080982988112003</v>
      </c>
      <c r="AG535">
        <v>1.5999691205584243</v>
      </c>
      <c r="AH535">
        <v>1.3207548856945974</v>
      </c>
      <c r="AI535">
        <v>1.2363579750471709</v>
      </c>
      <c r="AJ535">
        <v>1.0792815302455612</v>
      </c>
      <c r="AK535">
        <v>1.2304015834508946</v>
      </c>
      <c r="AL535">
        <v>0.96900607373630265</v>
      </c>
    </row>
    <row r="536" spans="1:38" x14ac:dyDescent="0.4">
      <c r="A536" s="10">
        <v>43201</v>
      </c>
      <c r="B536" s="11">
        <v>1.362530500412191</v>
      </c>
      <c r="C536" s="11">
        <v>1.425215060243183</v>
      </c>
      <c r="D536" s="11">
        <v>1.2568607456697869</v>
      </c>
      <c r="E536" s="11">
        <v>1.3052158470535209</v>
      </c>
      <c r="P536" s="1">
        <f>A535</f>
        <v>43200</v>
      </c>
      <c r="Q536" s="14">
        <f>[1]!i_dq_close(Q$2,$P536)</f>
        <v>1898.9357</v>
      </c>
      <c r="R536" s="14">
        <f>[1]!i_dq_close(R$2,$P536)</f>
        <v>3332.3164000000002</v>
      </c>
      <c r="S536" s="14">
        <f>[1]!i_dq_close(S$2,$P536)</f>
        <v>3467.2147</v>
      </c>
      <c r="T536" s="14">
        <f>[1]!i_dq_close(T$2,$P536)</f>
        <v>5416.9405999999999</v>
      </c>
      <c r="U536" s="14">
        <f>[1]!i_dq_close(U$2,$P536)</f>
        <v>10763.875400000001</v>
      </c>
      <c r="V536" s="14">
        <f>[1]!i_dq_close(V$2,$P536)</f>
        <v>10787.908299999999</v>
      </c>
      <c r="W536" s="14">
        <f>[1]!i_dq_close(W$2,$P536)</f>
        <v>5916.1554999999998</v>
      </c>
      <c r="X536" s="14">
        <f>[1]!i_dq_close(X$2,$P536)</f>
        <v>5842.7019</v>
      </c>
      <c r="Y536" s="14">
        <f>[1]!i_dq_close(Y$2,$P536)</f>
        <v>6231.2941000000001</v>
      </c>
      <c r="Z536" s="14">
        <f>[1]!i_dq_close(Z$2,$P536)</f>
        <v>2195.2709</v>
      </c>
      <c r="AB536" s="1">
        <v>43200</v>
      </c>
      <c r="AC536">
        <v>1.1273375310020897</v>
      </c>
      <c r="AD536">
        <v>1.3061202188319714</v>
      </c>
      <c r="AE536">
        <v>1.0261360223476041</v>
      </c>
      <c r="AF536">
        <v>1.1199988669630618</v>
      </c>
      <c r="AG536">
        <v>1.6049370426933256</v>
      </c>
      <c r="AH536">
        <v>1.3323683132061424</v>
      </c>
      <c r="AI536">
        <v>1.26798428546677</v>
      </c>
      <c r="AJ536">
        <v>1.0793013883354023</v>
      </c>
      <c r="AK536">
        <v>1.2376756384613217</v>
      </c>
      <c r="AL536">
        <v>0.97567643255292258</v>
      </c>
    </row>
    <row r="537" spans="1:38" x14ac:dyDescent="0.4">
      <c r="A537" s="10">
        <v>43202</v>
      </c>
      <c r="B537" s="11">
        <v>1.354285774621655</v>
      </c>
      <c r="C537" s="11">
        <v>1.416132256803317</v>
      </c>
      <c r="D537" s="11">
        <v>1.2482038367227011</v>
      </c>
      <c r="E537" s="11">
        <v>1.295625949588449</v>
      </c>
      <c r="P537" s="1">
        <f>A536</f>
        <v>43201</v>
      </c>
      <c r="Q537" s="14">
        <f>[1]!i_dq_close(Q$2,$P537)</f>
        <v>1908.5435</v>
      </c>
      <c r="R537" s="14">
        <f>[1]!i_dq_close(R$2,$P537)</f>
        <v>3350.0129000000002</v>
      </c>
      <c r="S537" s="14">
        <f>[1]!i_dq_close(S$2,$P537)</f>
        <v>3481.3047000000001</v>
      </c>
      <c r="T537" s="14">
        <f>[1]!i_dq_close(T$2,$P537)</f>
        <v>5436.5331999999999</v>
      </c>
      <c r="U537" s="14">
        <f>[1]!i_dq_close(U$2,$P537)</f>
        <v>10827.011699999999</v>
      </c>
      <c r="V537" s="14">
        <f>[1]!i_dq_close(V$2,$P537)</f>
        <v>10781.1538</v>
      </c>
      <c r="W537" s="14">
        <f>[1]!i_dq_close(W$2,$P537)</f>
        <v>5944.0239000000001</v>
      </c>
      <c r="X537" s="14">
        <f>[1]!i_dq_close(X$2,$P537)</f>
        <v>5868.5290000000005</v>
      </c>
      <c r="Y537" s="14">
        <f>[1]!i_dq_close(Y$2,$P537)</f>
        <v>6257.6526999999996</v>
      </c>
      <c r="Z537" s="14">
        <f>[1]!i_dq_close(Z$2,$P537)</f>
        <v>2207.5607</v>
      </c>
      <c r="AB537" s="1">
        <v>43201</v>
      </c>
      <c r="AC537">
        <v>1.1330413752819997</v>
      </c>
      <c r="AD537">
        <v>1.3130564618767675</v>
      </c>
      <c r="AE537">
        <v>1.030306014057341</v>
      </c>
      <c r="AF537">
        <v>1.1240498048302521</v>
      </c>
      <c r="AG537">
        <v>1.6143509185366482</v>
      </c>
      <c r="AH537">
        <v>1.3315340938634037</v>
      </c>
      <c r="AI537">
        <v>1.2739572003539974</v>
      </c>
      <c r="AJ537">
        <v>1.0840723359832154</v>
      </c>
      <c r="AK537">
        <v>1.2429110512921728</v>
      </c>
      <c r="AL537">
        <v>0.98113856855663351</v>
      </c>
    </row>
    <row r="538" spans="1:38" x14ac:dyDescent="0.4">
      <c r="A538" s="10">
        <v>43203</v>
      </c>
      <c r="B538" s="11">
        <v>1.3484905937011811</v>
      </c>
      <c r="C538" s="11">
        <v>1.4085606566118101</v>
      </c>
      <c r="D538" s="11">
        <v>1.242657475866882</v>
      </c>
      <c r="E538" s="11">
        <v>1.2900998865839599</v>
      </c>
      <c r="P538" s="1">
        <f>A537</f>
        <v>43202</v>
      </c>
      <c r="Q538" s="14">
        <f>[1]!i_dq_close(Q$2,$P538)</f>
        <v>1897.5661</v>
      </c>
      <c r="R538" s="14">
        <f>[1]!i_dq_close(R$2,$P538)</f>
        <v>3317.7669999999998</v>
      </c>
      <c r="S538" s="14">
        <f>[1]!i_dq_close(S$2,$P538)</f>
        <v>3452.8301000000001</v>
      </c>
      <c r="T538" s="14">
        <f>[1]!i_dq_close(T$2,$P538)</f>
        <v>5400.2379000000001</v>
      </c>
      <c r="U538" s="14">
        <f>[1]!i_dq_close(U$2,$P538)</f>
        <v>10731.6929</v>
      </c>
      <c r="V538" s="14">
        <f>[1]!i_dq_close(V$2,$P538)</f>
        <v>10838.5617</v>
      </c>
      <c r="W538" s="14">
        <f>[1]!i_dq_close(W$2,$P538)</f>
        <v>5873.4746999999998</v>
      </c>
      <c r="X538" s="14">
        <f>[1]!i_dq_close(X$2,$P538)</f>
        <v>5830.8895000000002</v>
      </c>
      <c r="Y538" s="14">
        <f>[1]!i_dq_close(Y$2,$P538)</f>
        <v>6211.2557999999999</v>
      </c>
      <c r="Z538" s="14">
        <f>[1]!i_dq_close(Z$2,$P538)</f>
        <v>2192.3145</v>
      </c>
      <c r="AB538" s="1">
        <v>43202</v>
      </c>
      <c r="AC538">
        <v>1.1265244431853403</v>
      </c>
      <c r="AD538">
        <v>1.3004174993927626</v>
      </c>
      <c r="AE538">
        <v>1.0218788425926091</v>
      </c>
      <c r="AF538">
        <v>1.1165454406738344</v>
      </c>
      <c r="AG538">
        <v>1.6001385027198436</v>
      </c>
      <c r="AH538">
        <v>1.3386242975211144</v>
      </c>
      <c r="AI538">
        <v>1.2588366922888776</v>
      </c>
      <c r="AJ538">
        <v>1.0771193260057168</v>
      </c>
      <c r="AK538">
        <v>1.2336955798493907</v>
      </c>
      <c r="AL538">
        <v>0.9743624763549884</v>
      </c>
    </row>
    <row r="539" spans="1:38" x14ac:dyDescent="0.4">
      <c r="A539" s="10">
        <v>43206</v>
      </c>
      <c r="B539" s="11">
        <v>1.3424072706234049</v>
      </c>
      <c r="C539" s="11">
        <v>1.39935312945899</v>
      </c>
      <c r="D539" s="11">
        <v>1.239452881039631</v>
      </c>
      <c r="E539" s="11">
        <v>1.286690571720454</v>
      </c>
      <c r="P539" s="1">
        <f>A538</f>
        <v>43203</v>
      </c>
      <c r="Q539" s="14">
        <f>[1]!i_dq_close(Q$2,$P539)</f>
        <v>1890.2046</v>
      </c>
      <c r="R539" s="14">
        <f>[1]!i_dq_close(R$2,$P539)</f>
        <v>3304.2219</v>
      </c>
      <c r="S539" s="14">
        <f>[1]!i_dq_close(S$2,$P539)</f>
        <v>3448.0657000000001</v>
      </c>
      <c r="T539" s="14">
        <f>[1]!i_dq_close(T$2,$P539)</f>
        <v>5381.9305999999997</v>
      </c>
      <c r="U539" s="14">
        <f>[1]!i_dq_close(U$2,$P539)</f>
        <v>10622.937099999999</v>
      </c>
      <c r="V539" s="14">
        <f>[1]!i_dq_close(V$2,$P539)</f>
        <v>10639.869199999999</v>
      </c>
      <c r="W539" s="14">
        <f>[1]!i_dq_close(W$2,$P539)</f>
        <v>5822.598</v>
      </c>
      <c r="X539" s="14">
        <f>[1]!i_dq_close(X$2,$P539)</f>
        <v>5863.4058000000005</v>
      </c>
      <c r="Y539" s="14">
        <f>[1]!i_dq_close(Y$2,$P539)</f>
        <v>6184.0748000000003</v>
      </c>
      <c r="Z539" s="14">
        <f>[1]!i_dq_close(Z$2,$P539)</f>
        <v>2181.7017000000001</v>
      </c>
      <c r="AB539" s="1">
        <v>43203</v>
      </c>
      <c r="AC539">
        <v>1.1221541555371215</v>
      </c>
      <c r="AD539">
        <v>1.2951084210062984</v>
      </c>
      <c r="AE539">
        <v>1.020468799405819</v>
      </c>
      <c r="AF539">
        <v>1.1127602495906697</v>
      </c>
      <c r="AG539">
        <v>1.5839225762489977</v>
      </c>
      <c r="AH539">
        <v>1.3140846385149554</v>
      </c>
      <c r="AI539">
        <v>1.2479325069447962</v>
      </c>
      <c r="AJ539">
        <v>1.083125945602984</v>
      </c>
      <c r="AK539">
        <v>1.2282968198183057</v>
      </c>
      <c r="AL539">
        <v>0.96964567404899626</v>
      </c>
    </row>
    <row r="540" spans="1:38" x14ac:dyDescent="0.4">
      <c r="A540" s="10">
        <v>43207</v>
      </c>
      <c r="B540" s="11">
        <v>1.3159905216653189</v>
      </c>
      <c r="C540" s="11">
        <v>1.373417410438871</v>
      </c>
      <c r="D540" s="11">
        <v>1.214159150135125</v>
      </c>
      <c r="E540" s="11">
        <v>1.256504232676261</v>
      </c>
      <c r="P540" s="1">
        <f>A539</f>
        <v>43206</v>
      </c>
      <c r="Q540" s="14">
        <f>[1]!i_dq_close(Q$2,$P540)</f>
        <v>1857.8364999999999</v>
      </c>
      <c r="R540" s="14">
        <f>[1]!i_dq_close(R$2,$P540)</f>
        <v>3263.7656000000002</v>
      </c>
      <c r="S540" s="14">
        <f>[1]!i_dq_close(S$2,$P540)</f>
        <v>3422.3375999999998</v>
      </c>
      <c r="T540" s="14">
        <f>[1]!i_dq_close(T$2,$P540)</f>
        <v>5310.5567000000001</v>
      </c>
      <c r="U540" s="14">
        <f>[1]!i_dq_close(U$2,$P540)</f>
        <v>10593.7844</v>
      </c>
      <c r="V540" s="14">
        <f>[1]!i_dq_close(V$2,$P540)</f>
        <v>10655.053599999999</v>
      </c>
      <c r="W540" s="14">
        <f>[1]!i_dq_close(W$2,$P540)</f>
        <v>5663.9885999999997</v>
      </c>
      <c r="X540" s="14">
        <f>[1]!i_dq_close(X$2,$P540)</f>
        <v>5940.3055000000004</v>
      </c>
      <c r="Y540" s="14">
        <f>[1]!i_dq_close(Y$2,$P540)</f>
        <v>6191.7031999999999</v>
      </c>
      <c r="Z540" s="14">
        <f>[1]!i_dq_close(Z$2,$P540)</f>
        <v>2157.4110999999998</v>
      </c>
      <c r="AB540" s="1">
        <v>43206</v>
      </c>
      <c r="AC540">
        <v>1.1029382474169946</v>
      </c>
      <c r="AD540">
        <v>1.2792513459070876</v>
      </c>
      <c r="AE540">
        <v>1.0128544655727969</v>
      </c>
      <c r="AF540">
        <v>1.0980030844242776</v>
      </c>
      <c r="AG540">
        <v>1.5795757916211746</v>
      </c>
      <c r="AH540">
        <v>1.3159599986730546</v>
      </c>
      <c r="AI540">
        <v>1.2139384331366765</v>
      </c>
      <c r="AJ540">
        <v>1.097331351662221</v>
      </c>
      <c r="AK540">
        <v>1.229811992218921</v>
      </c>
      <c r="AL540">
        <v>0.95884984654881378</v>
      </c>
    </row>
    <row r="541" spans="1:38" x14ac:dyDescent="0.4">
      <c r="A541" s="10">
        <v>43208</v>
      </c>
      <c r="B541" s="11">
        <v>1.3290696458210689</v>
      </c>
      <c r="C541" s="11">
        <v>1.3846631453212139</v>
      </c>
      <c r="D541" s="11">
        <v>1.225957755621724</v>
      </c>
      <c r="E541" s="11">
        <v>1.270248619623497</v>
      </c>
      <c r="P541" s="1">
        <f>A540</f>
        <v>43207</v>
      </c>
      <c r="Q541" s="14">
        <f>[1]!i_dq_close(Q$2,$P541)</f>
        <v>1834.5088000000001</v>
      </c>
      <c r="R541" s="14">
        <f>[1]!i_dq_close(R$2,$P541)</f>
        <v>3206.5826999999999</v>
      </c>
      <c r="S541" s="14">
        <f>[1]!i_dq_close(S$2,$P541)</f>
        <v>3356.7213000000002</v>
      </c>
      <c r="T541" s="14">
        <f>[1]!i_dq_close(T$2,$P541)</f>
        <v>5214.1684999999998</v>
      </c>
      <c r="U541" s="14">
        <f>[1]!i_dq_close(U$2,$P541)</f>
        <v>10452.533799999999</v>
      </c>
      <c r="V541" s="14">
        <f>[1]!i_dq_close(V$2,$P541)</f>
        <v>10387.3624</v>
      </c>
      <c r="W541" s="14">
        <f>[1]!i_dq_close(W$2,$P541)</f>
        <v>5621.8428000000004</v>
      </c>
      <c r="X541" s="14">
        <f>[1]!i_dq_close(X$2,$P541)</f>
        <v>5717.4232000000002</v>
      </c>
      <c r="Y541" s="14">
        <f>[1]!i_dq_close(Y$2,$P541)</f>
        <v>6037.29</v>
      </c>
      <c r="Z541" s="14">
        <f>[1]!i_dq_close(Z$2,$P541)</f>
        <v>2140.3771999999999</v>
      </c>
      <c r="AB541" s="1">
        <v>43207</v>
      </c>
      <c r="AC541">
        <v>1.0890893363022278</v>
      </c>
      <c r="AD541">
        <v>1.2568381855416892</v>
      </c>
      <c r="AE541">
        <v>0.99343505982236369</v>
      </c>
      <c r="AF541">
        <v>1.0780739984770162</v>
      </c>
      <c r="AG541">
        <v>1.5585147599928577</v>
      </c>
      <c r="AH541">
        <v>1.2828986059835998</v>
      </c>
      <c r="AI541">
        <v>1.2049055042188304</v>
      </c>
      <c r="AJ541">
        <v>1.0561591029419179</v>
      </c>
      <c r="AK541">
        <v>1.1991420458434394</v>
      </c>
      <c r="AL541">
        <v>0.95127922062539672</v>
      </c>
    </row>
    <row r="542" spans="1:38" x14ac:dyDescent="0.4">
      <c r="A542" s="10">
        <v>43209</v>
      </c>
      <c r="B542" s="11">
        <v>1.336677522813762</v>
      </c>
      <c r="C542" s="11">
        <v>1.3949185810841229</v>
      </c>
      <c r="D542" s="11">
        <v>1.233491144326758</v>
      </c>
      <c r="E542" s="11">
        <v>1.277878290169379</v>
      </c>
      <c r="P542" s="1">
        <f>A541</f>
        <v>43208</v>
      </c>
      <c r="Q542" s="14">
        <f>[1]!i_dq_close(Q$2,$P542)</f>
        <v>1859.2548999999999</v>
      </c>
      <c r="R542" s="14">
        <f>[1]!i_dq_close(R$2,$P542)</f>
        <v>3224.0295999999998</v>
      </c>
      <c r="S542" s="14">
        <f>[1]!i_dq_close(S$2,$P542)</f>
        <v>3388.4499000000001</v>
      </c>
      <c r="T542" s="14">
        <f>[1]!i_dq_close(T$2,$P542)</f>
        <v>5210.6274999999996</v>
      </c>
      <c r="U542" s="14">
        <f>[1]!i_dq_close(U$2,$P542)</f>
        <v>10434.5784</v>
      </c>
      <c r="V542" s="14">
        <f>[1]!i_dq_close(V$2,$P542)</f>
        <v>10462.0689</v>
      </c>
      <c r="W542" s="14">
        <f>[1]!i_dq_close(W$2,$P542)</f>
        <v>5675.8555999999999</v>
      </c>
      <c r="X542" s="14">
        <f>[1]!i_dq_close(X$2,$P542)</f>
        <v>5874.4474</v>
      </c>
      <c r="Y542" s="14">
        <f>[1]!i_dq_close(Y$2,$P542)</f>
        <v>6055.6009999999997</v>
      </c>
      <c r="Z542" s="14">
        <f>[1]!i_dq_close(Z$2,$P542)</f>
        <v>2143.4702000000002</v>
      </c>
      <c r="AB542" s="1">
        <v>43208</v>
      </c>
      <c r="AC542">
        <v>1.1037803062365603</v>
      </c>
      <c r="AD542">
        <v>1.2636765964578733</v>
      </c>
      <c r="AE542">
        <v>1.0028252655683931</v>
      </c>
      <c r="AF542">
        <v>1.0773418663971637</v>
      </c>
      <c r="AG542">
        <v>1.5558375377559324</v>
      </c>
      <c r="AH542">
        <v>1.2921252855791741</v>
      </c>
      <c r="AI542">
        <v>1.2164818364525012</v>
      </c>
      <c r="AJ542">
        <v>1.0851656208103471</v>
      </c>
      <c r="AK542">
        <v>1.2027790236930107</v>
      </c>
      <c r="AL542">
        <v>0.95265388796412309</v>
      </c>
    </row>
    <row r="543" spans="1:38" x14ac:dyDescent="0.4">
      <c r="A543" s="10">
        <v>43210</v>
      </c>
      <c r="B543" s="11">
        <v>1.315599529285411</v>
      </c>
      <c r="C543" s="11">
        <v>1.3741961258623221</v>
      </c>
      <c r="D543" s="11">
        <v>1.2155755230701899</v>
      </c>
      <c r="E543" s="11">
        <v>1.2595612007338579</v>
      </c>
      <c r="P543" s="1">
        <f>A542</f>
        <v>43209</v>
      </c>
      <c r="Q543" s="14">
        <f>[1]!i_dq_close(Q$2,$P543)</f>
        <v>1890.8998999999999</v>
      </c>
      <c r="R543" s="14">
        <f>[1]!i_dq_close(R$2,$P543)</f>
        <v>3270.2419</v>
      </c>
      <c r="S543" s="14">
        <f>[1]!i_dq_close(S$2,$P543)</f>
        <v>3414.0778</v>
      </c>
      <c r="T543" s="14">
        <f>[1]!i_dq_close(T$2,$P543)</f>
        <v>5281.8796000000002</v>
      </c>
      <c r="U543" s="14">
        <f>[1]!i_dq_close(U$2,$P543)</f>
        <v>10632.151599999999</v>
      </c>
      <c r="V543" s="14">
        <f>[1]!i_dq_close(V$2,$P543)</f>
        <v>10517.843699999999</v>
      </c>
      <c r="W543" s="14">
        <f>[1]!i_dq_close(W$2,$P543)</f>
        <v>5705.4607999999998</v>
      </c>
      <c r="X543" s="14">
        <f>[1]!i_dq_close(X$2,$P543)</f>
        <v>5862.8573999999999</v>
      </c>
      <c r="Y543" s="14">
        <f>[1]!i_dq_close(Y$2,$P543)</f>
        <v>6068.0093999999999</v>
      </c>
      <c r="Z543" s="14">
        <f>[1]!i_dq_close(Z$2,$P543)</f>
        <v>2145.6136000000001</v>
      </c>
      <c r="AB543" s="1">
        <v>43209</v>
      </c>
      <c r="AC543">
        <v>1.1225669329604464</v>
      </c>
      <c r="AD543">
        <v>1.2817897682409396</v>
      </c>
      <c r="AE543">
        <v>1.0104099448116839</v>
      </c>
      <c r="AF543">
        <v>1.0920738483702981</v>
      </c>
      <c r="AG543">
        <v>1.5852964951982915</v>
      </c>
      <c r="AH543">
        <v>1.2990137920559495</v>
      </c>
      <c r="AI543">
        <v>1.2228269922497246</v>
      </c>
      <c r="AJ543">
        <v>1.0830246416358307</v>
      </c>
      <c r="AK543">
        <v>1.2052436119704737</v>
      </c>
      <c r="AL543">
        <v>0.95360651065207191</v>
      </c>
    </row>
    <row r="544" spans="1:38" x14ac:dyDescent="0.4">
      <c r="A544" s="10">
        <v>43213</v>
      </c>
      <c r="B544" s="11">
        <v>1.3021105205065859</v>
      </c>
      <c r="C544" s="11">
        <v>1.364250719694396</v>
      </c>
      <c r="D544" s="11">
        <v>1.200661485939597</v>
      </c>
      <c r="E544" s="11">
        <v>1.2430099267331181</v>
      </c>
      <c r="P544" s="1">
        <f>A543</f>
        <v>43210</v>
      </c>
      <c r="Q544" s="14">
        <f>[1]!i_dq_close(Q$2,$P544)</f>
        <v>1856.8299</v>
      </c>
      <c r="R544" s="14">
        <f>[1]!i_dq_close(R$2,$P544)</f>
        <v>3195.3923</v>
      </c>
      <c r="S544" s="14">
        <f>[1]!i_dq_close(S$2,$P544)</f>
        <v>3352.9178999999999</v>
      </c>
      <c r="T544" s="14">
        <f>[1]!i_dq_close(T$2,$P544)</f>
        <v>5202.9857000000002</v>
      </c>
      <c r="U544" s="14">
        <f>[1]!i_dq_close(U$2,$P544)</f>
        <v>10503.3809</v>
      </c>
      <c r="V544" s="14">
        <f>[1]!i_dq_close(V$2,$P544)</f>
        <v>10406.4763</v>
      </c>
      <c r="W544" s="14">
        <f>[1]!i_dq_close(W$2,$P544)</f>
        <v>5620.6935999999996</v>
      </c>
      <c r="X544" s="14">
        <f>[1]!i_dq_close(X$2,$P544)</f>
        <v>5729.2718000000004</v>
      </c>
      <c r="Y544" s="14">
        <f>[1]!i_dq_close(Y$2,$P544)</f>
        <v>5943.6810999999998</v>
      </c>
      <c r="Z544" s="14">
        <f>[1]!i_dq_close(Z$2,$P544)</f>
        <v>2115.3343</v>
      </c>
      <c r="AB544" s="1">
        <v>43210</v>
      </c>
      <c r="AC544">
        <v>1.1023406611170969</v>
      </c>
      <c r="AD544">
        <v>1.2524520451089207</v>
      </c>
      <c r="AE544">
        <v>0.99230942841932512</v>
      </c>
      <c r="AF544">
        <v>1.0757618587925837</v>
      </c>
      <c r="AG544">
        <v>1.5660962667709402</v>
      </c>
      <c r="AH544">
        <v>1.2852592818434225</v>
      </c>
      <c r="AI544">
        <v>1.204659201101737</v>
      </c>
      <c r="AJ544">
        <v>1.0583478523679037</v>
      </c>
      <c r="AK544">
        <v>1.1805492057023903</v>
      </c>
      <c r="AL544">
        <v>0.94014903740619604</v>
      </c>
    </row>
    <row r="545" spans="1:38" x14ac:dyDescent="0.4">
      <c r="A545" s="10">
        <v>43214</v>
      </c>
      <c r="B545" s="11">
        <v>1.3330328584636979</v>
      </c>
      <c r="C545" s="11">
        <v>1.395011853027041</v>
      </c>
      <c r="D545" s="11">
        <v>1.2285992746232079</v>
      </c>
      <c r="E545" s="11">
        <v>1.2745324639530451</v>
      </c>
      <c r="P545" s="1">
        <f>A544</f>
        <v>43213</v>
      </c>
      <c r="Q545" s="14">
        <f>[1]!i_dq_close(Q$2,$P545)</f>
        <v>1858.989</v>
      </c>
      <c r="R545" s="14">
        <f>[1]!i_dq_close(R$2,$P545)</f>
        <v>3176.4065000000001</v>
      </c>
      <c r="S545" s="14">
        <f>[1]!i_dq_close(S$2,$P545)</f>
        <v>3328.3582000000001</v>
      </c>
      <c r="T545" s="14">
        <f>[1]!i_dq_close(T$2,$P545)</f>
        <v>5194.7659999999996</v>
      </c>
      <c r="U545" s="14">
        <f>[1]!i_dq_close(U$2,$P545)</f>
        <v>10454.142</v>
      </c>
      <c r="V545" s="14">
        <f>[1]!i_dq_close(V$2,$P545)</f>
        <v>10317.9799</v>
      </c>
      <c r="W545" s="14">
        <f>[1]!i_dq_close(W$2,$P545)</f>
        <v>5647.6656999999996</v>
      </c>
      <c r="X545" s="14">
        <f>[1]!i_dq_close(X$2,$P545)</f>
        <v>5635.4660999999996</v>
      </c>
      <c r="Y545" s="14">
        <f>[1]!i_dq_close(Y$2,$P545)</f>
        <v>5952.3253000000004</v>
      </c>
      <c r="Z545" s="14">
        <f>[1]!i_dq_close(Z$2,$P545)</f>
        <v>2111.5</v>
      </c>
      <c r="AB545" s="1">
        <v>43213</v>
      </c>
      <c r="AC545">
        <v>1.1036224498912963</v>
      </c>
      <c r="AD545">
        <v>1.2450104536529893</v>
      </c>
      <c r="AE545">
        <v>0.98504088722744265</v>
      </c>
      <c r="AF545">
        <v>1.0740623654130963</v>
      </c>
      <c r="AG545">
        <v>1.5587545490703179</v>
      </c>
      <c r="AH545">
        <v>1.2743294708074115</v>
      </c>
      <c r="AI545">
        <v>1.2104400158463862</v>
      </c>
      <c r="AJ545">
        <v>1.0410194615006962</v>
      </c>
      <c r="AK545">
        <v>1.1822661389079645</v>
      </c>
      <c r="AL545">
        <v>0.9384449032397304</v>
      </c>
    </row>
    <row r="546" spans="1:38" x14ac:dyDescent="0.4">
      <c r="A546" s="10">
        <v>43215</v>
      </c>
      <c r="B546" s="11">
        <v>1.3367414523319909</v>
      </c>
      <c r="C546" s="11">
        <v>1.3964850296440261</v>
      </c>
      <c r="D546" s="11">
        <v>1.2323569021120131</v>
      </c>
      <c r="E546" s="11">
        <v>1.277991931245587</v>
      </c>
      <c r="P546" s="1">
        <f>A545</f>
        <v>43214</v>
      </c>
      <c r="Q546" s="14">
        <f>[1]!i_dq_close(Q$2,$P546)</f>
        <v>1887.0438999999999</v>
      </c>
      <c r="R546" s="14">
        <f>[1]!i_dq_close(R$2,$P546)</f>
        <v>3239.6217000000001</v>
      </c>
      <c r="S546" s="14">
        <f>[1]!i_dq_close(S$2,$P546)</f>
        <v>3394.2435</v>
      </c>
      <c r="T546" s="14">
        <f>[1]!i_dq_close(T$2,$P546)</f>
        <v>5293.8173999999999</v>
      </c>
      <c r="U546" s="14">
        <f>[1]!i_dq_close(U$2,$P546)</f>
        <v>10688.490100000001</v>
      </c>
      <c r="V546" s="14">
        <f>[1]!i_dq_close(V$2,$P546)</f>
        <v>10523.497799999999</v>
      </c>
      <c r="W546" s="14">
        <f>[1]!i_dq_close(W$2,$P546)</f>
        <v>5776.5832</v>
      </c>
      <c r="X546" s="14">
        <f>[1]!i_dq_close(X$2,$P546)</f>
        <v>5789.308</v>
      </c>
      <c r="Y546" s="14">
        <f>[1]!i_dq_close(Y$2,$P546)</f>
        <v>6087.6062000000002</v>
      </c>
      <c r="Z546" s="14">
        <f>[1]!i_dq_close(Z$2,$P546)</f>
        <v>2135.8274999999999</v>
      </c>
      <c r="AB546" s="1">
        <v>43214</v>
      </c>
      <c r="AC546">
        <v>1.1202777488034767</v>
      </c>
      <c r="AD546">
        <v>1.2697880080465358</v>
      </c>
      <c r="AE546">
        <v>1.0045399046010073</v>
      </c>
      <c r="AF546">
        <v>1.0945420907715588</v>
      </c>
      <c r="AG546">
        <v>1.5936967917661782</v>
      </c>
      <c r="AH546">
        <v>1.2997121057114056</v>
      </c>
      <c r="AI546">
        <v>1.2380703518173835</v>
      </c>
      <c r="AJ546">
        <v>1.0694381244918985</v>
      </c>
      <c r="AK546">
        <v>1.2091359787184657</v>
      </c>
      <c r="AL546">
        <v>0.9492571307479305</v>
      </c>
    </row>
    <row r="547" spans="1:38" x14ac:dyDescent="0.4">
      <c r="A547" s="10">
        <v>43216</v>
      </c>
      <c r="B547" s="11">
        <v>1.315912004539187</v>
      </c>
      <c r="C547" s="11">
        <v>1.374647000902838</v>
      </c>
      <c r="D547" s="11">
        <v>1.2142949318371239</v>
      </c>
      <c r="E547" s="11">
        <v>1.2545772020412169</v>
      </c>
      <c r="P547" s="1">
        <f>A546</f>
        <v>43215</v>
      </c>
      <c r="Q547" s="14">
        <f>[1]!i_dq_close(Q$2,$P547)</f>
        <v>1863.8538000000001</v>
      </c>
      <c r="R547" s="14">
        <f>[1]!i_dq_close(R$2,$P547)</f>
        <v>3225.6795999999999</v>
      </c>
      <c r="S547" s="14">
        <f>[1]!i_dq_close(S$2,$P547)</f>
        <v>3396.4209999999998</v>
      </c>
      <c r="T547" s="14">
        <f>[1]!i_dq_close(T$2,$P547)</f>
        <v>5290.1268</v>
      </c>
      <c r="U547" s="14">
        <f>[1]!i_dq_close(U$2,$P547)</f>
        <v>10702.721799999999</v>
      </c>
      <c r="V547" s="14">
        <f>[1]!i_dq_close(V$2,$P547)</f>
        <v>10749.986500000001</v>
      </c>
      <c r="W547" s="14">
        <f>[1]!i_dq_close(W$2,$P547)</f>
        <v>5717.5936000000002</v>
      </c>
      <c r="X547" s="14">
        <f>[1]!i_dq_close(X$2,$P547)</f>
        <v>5801.1064999999999</v>
      </c>
      <c r="Y547" s="14">
        <f>[1]!i_dq_close(Y$2,$P547)</f>
        <v>6184.5978999999998</v>
      </c>
      <c r="Z547" s="14">
        <f>[1]!i_dq_close(Z$2,$P547)</f>
        <v>2130.0045</v>
      </c>
      <c r="AB547" s="1">
        <v>43215</v>
      </c>
      <c r="AC547">
        <v>1.1065105264179629</v>
      </c>
      <c r="AD547">
        <v>1.2643233232696109</v>
      </c>
      <c r="AE547">
        <v>1.0051843444127853</v>
      </c>
      <c r="AF547">
        <v>1.0937790276103321</v>
      </c>
      <c r="AG547">
        <v>1.5958187953812049</v>
      </c>
      <c r="AH547">
        <v>1.3276847542348691</v>
      </c>
      <c r="AI547">
        <v>1.2254273633418489</v>
      </c>
      <c r="AJ547">
        <v>1.071617619124386</v>
      </c>
      <c r="AK547">
        <v>1.228400719283824</v>
      </c>
      <c r="AL547">
        <v>0.94666912948268556</v>
      </c>
    </row>
    <row r="548" spans="1:38" x14ac:dyDescent="0.4">
      <c r="A548" s="10">
        <v>43217</v>
      </c>
      <c r="B548" s="11">
        <v>1.320159686696377</v>
      </c>
      <c r="C548" s="11">
        <v>1.377308173976556</v>
      </c>
      <c r="D548" s="11">
        <v>1.2157646702381519</v>
      </c>
      <c r="E548" s="11">
        <v>1.2580257021513359</v>
      </c>
      <c r="P548" s="1">
        <f>A547</f>
        <v>43216</v>
      </c>
      <c r="Q548" s="14">
        <f>[1]!i_dq_close(Q$2,$P548)</f>
        <v>1843.0320999999999</v>
      </c>
      <c r="R548" s="14">
        <f>[1]!i_dq_close(R$2,$P548)</f>
        <v>3162.0118000000002</v>
      </c>
      <c r="S548" s="14">
        <f>[1]!i_dq_close(S$2,$P548)</f>
        <v>3346.4106000000002</v>
      </c>
      <c r="T548" s="14">
        <f>[1]!i_dq_close(T$2,$P548)</f>
        <v>5157.7461000000003</v>
      </c>
      <c r="U548" s="14">
        <f>[1]!i_dq_close(U$2,$P548)</f>
        <v>10480.67</v>
      </c>
      <c r="V548" s="14">
        <f>[1]!i_dq_close(V$2,$P548)</f>
        <v>10561.16</v>
      </c>
      <c r="W548" s="14">
        <f>[1]!i_dq_close(W$2,$P548)</f>
        <v>5629.0888999999997</v>
      </c>
      <c r="X548" s="14">
        <f>[1]!i_dq_close(X$2,$P548)</f>
        <v>5661.3815000000004</v>
      </c>
      <c r="Y548" s="14">
        <f>[1]!i_dq_close(Y$2,$P548)</f>
        <v>6028.9174999999996</v>
      </c>
      <c r="Z548" s="14">
        <f>[1]!i_dq_close(Z$2,$P548)</f>
        <v>2104.4544000000001</v>
      </c>
      <c r="AB548" s="1">
        <v>43216</v>
      </c>
      <c r="AC548">
        <v>1.0941493475379902</v>
      </c>
      <c r="AD548">
        <v>1.2393683697518267</v>
      </c>
      <c r="AE548">
        <v>0.99038356702452246</v>
      </c>
      <c r="AF548">
        <v>1.0664081840002366</v>
      </c>
      <c r="AG548">
        <v>1.5627099803890945</v>
      </c>
      <c r="AH548">
        <v>1.3043636025994199</v>
      </c>
      <c r="AI548">
        <v>1.2064585298164368</v>
      </c>
      <c r="AJ548">
        <v>1.0458067204911419</v>
      </c>
      <c r="AK548">
        <v>1.1974790783896936</v>
      </c>
      <c r="AL548">
        <v>0.93531352393105616</v>
      </c>
    </row>
    <row r="549" spans="1:38" x14ac:dyDescent="0.4">
      <c r="A549" s="10">
        <v>43222</v>
      </c>
      <c r="B549" s="11">
        <v>1.324009425392487</v>
      </c>
      <c r="C549" s="11">
        <v>1.3814410933598571</v>
      </c>
      <c r="D549" s="11">
        <v>1.2200748168719939</v>
      </c>
      <c r="E549" s="11">
        <v>1.2624341728606889</v>
      </c>
      <c r="P549" s="1">
        <f>A548</f>
        <v>43217</v>
      </c>
      <c r="Q549" s="14">
        <f>[1]!i_dq_close(Q$2,$P549)</f>
        <v>1858.8878</v>
      </c>
      <c r="R549" s="14">
        <f>[1]!i_dq_close(R$2,$P549)</f>
        <v>3168.8422</v>
      </c>
      <c r="S549" s="14">
        <f>[1]!i_dq_close(S$2,$P549)</f>
        <v>3359.2874999999999</v>
      </c>
      <c r="T549" s="14">
        <f>[1]!i_dq_close(T$2,$P549)</f>
        <v>5156.6345000000001</v>
      </c>
      <c r="U549" s="14">
        <f>[1]!i_dq_close(U$2,$P549)</f>
        <v>10341.6023</v>
      </c>
      <c r="V549" s="14">
        <f>[1]!i_dq_close(V$2,$P549)</f>
        <v>10772.234899999999</v>
      </c>
      <c r="W549" s="14">
        <f>[1]!i_dq_close(W$2,$P549)</f>
        <v>5637.2417999999998</v>
      </c>
      <c r="X549" s="14">
        <f>[1]!i_dq_close(X$2,$P549)</f>
        <v>5641.0219999999999</v>
      </c>
      <c r="Y549" s="14">
        <f>[1]!i_dq_close(Y$2,$P549)</f>
        <v>6018.0158000000001</v>
      </c>
      <c r="Z549" s="14">
        <f>[1]!i_dq_close(Z$2,$P549)</f>
        <v>2119.9528</v>
      </c>
      <c r="AB549" s="1">
        <v>43217</v>
      </c>
      <c r="AC549">
        <v>1.1035623706805378</v>
      </c>
      <c r="AD549">
        <v>1.2420455835790341</v>
      </c>
      <c r="AE549">
        <v>0.99419453694979631</v>
      </c>
      <c r="AF549">
        <v>1.0661783511790097</v>
      </c>
      <c r="AG549">
        <v>1.5419744279158503</v>
      </c>
      <c r="AH549">
        <v>1.3304325587540762</v>
      </c>
      <c r="AI549">
        <v>1.2082059059766783</v>
      </c>
      <c r="AJ549">
        <v>1.0420457830016192</v>
      </c>
      <c r="AK549">
        <v>1.1953137547360062</v>
      </c>
      <c r="AL549">
        <v>0.94220170507638912</v>
      </c>
    </row>
    <row r="550" spans="1:38" x14ac:dyDescent="0.4">
      <c r="A550" s="10">
        <v>43223</v>
      </c>
      <c r="B550" s="11">
        <v>1.3349813518405069</v>
      </c>
      <c r="C550" s="11">
        <v>1.3917434823750059</v>
      </c>
      <c r="D550" s="11">
        <v>1.2284138913470739</v>
      </c>
      <c r="E550" s="11">
        <v>1.272027666345064</v>
      </c>
      <c r="P550" s="1">
        <f>A549</f>
        <v>43222</v>
      </c>
      <c r="Q550" s="14">
        <f>[1]!i_dq_close(Q$2,$P550)</f>
        <v>1836.9404999999999</v>
      </c>
      <c r="R550" s="14">
        <f>[1]!i_dq_close(R$2,$P550)</f>
        <v>3167.0246999999999</v>
      </c>
      <c r="S550" s="14">
        <f>[1]!i_dq_close(S$2,$P550)</f>
        <v>3348.2249000000002</v>
      </c>
      <c r="T550" s="14">
        <f>[1]!i_dq_close(T$2,$P550)</f>
        <v>5182.7866999999997</v>
      </c>
      <c r="U550" s="14">
        <f>[1]!i_dq_close(U$2,$P550)</f>
        <v>10415.164500000001</v>
      </c>
      <c r="V550" s="14">
        <f>[1]!i_dq_close(V$2,$P550)</f>
        <v>10877.5885</v>
      </c>
      <c r="W550" s="14">
        <f>[1]!i_dq_close(W$2,$P550)</f>
        <v>5634.1026000000002</v>
      </c>
      <c r="X550" s="14">
        <f>[1]!i_dq_close(X$2,$P550)</f>
        <v>5592.7103999999999</v>
      </c>
      <c r="Y550" s="14">
        <f>[1]!i_dq_close(Y$2,$P550)</f>
        <v>5965.5844999999999</v>
      </c>
      <c r="Z550" s="14">
        <f>[1]!i_dq_close(Z$2,$P550)</f>
        <v>2116.4535999999998</v>
      </c>
      <c r="AB550" s="1">
        <v>43222</v>
      </c>
      <c r="AC550">
        <v>1.0905329589978978</v>
      </c>
      <c r="AD550">
        <v>1.241333204197014</v>
      </c>
      <c r="AE550">
        <v>0.99092051634737377</v>
      </c>
      <c r="AF550">
        <v>1.0715855425313738</v>
      </c>
      <c r="AG550">
        <v>1.5529428473126425</v>
      </c>
      <c r="AH550">
        <v>1.3434443303059531</v>
      </c>
      <c r="AI550">
        <v>1.2075330946773579</v>
      </c>
      <c r="AJ550">
        <v>1.0331213542278861</v>
      </c>
      <c r="AK550">
        <v>1.1848997152666032</v>
      </c>
      <c r="AL550">
        <v>0.94064650431606867</v>
      </c>
    </row>
    <row r="551" spans="1:38" x14ac:dyDescent="0.4">
      <c r="A551" s="10">
        <v>43224</v>
      </c>
      <c r="B551" s="11">
        <v>1.336062373056262</v>
      </c>
      <c r="C551" s="11">
        <v>1.3924278727133359</v>
      </c>
      <c r="D551" s="11">
        <v>1.2289508098828821</v>
      </c>
      <c r="E551" s="11">
        <v>1.2723547125526831</v>
      </c>
      <c r="P551" s="1">
        <f>A550</f>
        <v>43223</v>
      </c>
      <c r="Q551" s="14">
        <f>[1]!i_dq_close(Q$2,$P551)</f>
        <v>1855.9519</v>
      </c>
      <c r="R551" s="14">
        <f>[1]!i_dq_close(R$2,$P551)</f>
        <v>3183.2132000000001</v>
      </c>
      <c r="S551" s="14">
        <f>[1]!i_dq_close(S$2,$P551)</f>
        <v>3370.8575000000001</v>
      </c>
      <c r="T551" s="14">
        <f>[1]!i_dq_close(T$2,$P551)</f>
        <v>5242.3549999999996</v>
      </c>
      <c r="U551" s="14">
        <f>[1]!i_dq_close(U$2,$P551)</f>
        <v>10562.971299999999</v>
      </c>
      <c r="V551" s="14">
        <f>[1]!i_dq_close(V$2,$P551)</f>
        <v>10866.2065</v>
      </c>
      <c r="W551" s="14">
        <f>[1]!i_dq_close(W$2,$P551)</f>
        <v>5662.4696000000004</v>
      </c>
      <c r="X551" s="14">
        <f>[1]!i_dq_close(X$2,$P551)</f>
        <v>5717.8816999999999</v>
      </c>
      <c r="Y551" s="14">
        <f>[1]!i_dq_close(Y$2,$P551)</f>
        <v>6054.6316999999999</v>
      </c>
      <c r="Z551" s="14">
        <f>[1]!i_dq_close(Z$2,$P551)</f>
        <v>2127.1262999999999</v>
      </c>
      <c r="AB551" s="1">
        <v>43223</v>
      </c>
      <c r="AC551">
        <v>1.1018194205336376</v>
      </c>
      <c r="AD551">
        <v>1.2476783781314464</v>
      </c>
      <c r="AE551">
        <v>0.99761872460640777</v>
      </c>
      <c r="AF551">
        <v>1.0839017987788424</v>
      </c>
      <c r="AG551">
        <v>1.5749814346862907</v>
      </c>
      <c r="AH551">
        <v>1.3420385882733745</v>
      </c>
      <c r="AI551">
        <v>1.2136128723684338</v>
      </c>
      <c r="AJ551">
        <v>1.0562438000041712</v>
      </c>
      <c r="AK551">
        <v>1.2025864988374819</v>
      </c>
      <c r="AL551">
        <v>0.94538992885729844</v>
      </c>
    </row>
    <row r="552" spans="1:38" x14ac:dyDescent="0.4">
      <c r="A552" s="10">
        <v>43227</v>
      </c>
      <c r="B552" s="11">
        <v>1.3604631732487</v>
      </c>
      <c r="C552" s="11">
        <v>1.4184393034461611</v>
      </c>
      <c r="D552" s="11">
        <v>1.251124986237492</v>
      </c>
      <c r="E552" s="11">
        <v>1.297627521179765</v>
      </c>
      <c r="P552" s="1">
        <f>A551</f>
        <v>43224</v>
      </c>
      <c r="Q552" s="14">
        <f>[1]!i_dq_close(Q$2,$P552)</f>
        <v>1857.8766000000001</v>
      </c>
      <c r="R552" s="14">
        <f>[1]!i_dq_close(R$2,$P552)</f>
        <v>3184.7460000000001</v>
      </c>
      <c r="S552" s="14">
        <f>[1]!i_dq_close(S$2,$P552)</f>
        <v>3362.0607</v>
      </c>
      <c r="T552" s="14">
        <f>[1]!i_dq_close(T$2,$P552)</f>
        <v>5214.1692000000003</v>
      </c>
      <c r="U552" s="14">
        <f>[1]!i_dq_close(U$2,$P552)</f>
        <v>10560.933199999999</v>
      </c>
      <c r="V552" s="14">
        <f>[1]!i_dq_close(V$2,$P552)</f>
        <v>11005.316500000001</v>
      </c>
      <c r="W552" s="14">
        <f>[1]!i_dq_close(W$2,$P552)</f>
        <v>5620.8813</v>
      </c>
      <c r="X552" s="14">
        <f>[1]!i_dq_close(X$2,$P552)</f>
        <v>5662.6071000000002</v>
      </c>
      <c r="Y552" s="14">
        <f>[1]!i_dq_close(Y$2,$P552)</f>
        <v>6023.5177999999996</v>
      </c>
      <c r="Z552" s="14">
        <f>[1]!i_dq_close(Z$2,$P552)</f>
        <v>2133.2572</v>
      </c>
      <c r="AB552" s="1">
        <v>43224</v>
      </c>
      <c r="AC552">
        <v>1.1029620535074238</v>
      </c>
      <c r="AD552">
        <v>1.2482791677417684</v>
      </c>
      <c r="AE552">
        <v>0.99501527655302147</v>
      </c>
      <c r="AF552">
        <v>1.0780741432080121</v>
      </c>
      <c r="AG552">
        <v>1.5746775457926387</v>
      </c>
      <c r="AH552">
        <v>1.3592194680969552</v>
      </c>
      <c r="AI552">
        <v>1.204699430039327</v>
      </c>
      <c r="AJ552">
        <v>1.0460331211879741</v>
      </c>
      <c r="AK552">
        <v>1.1964065761072225</v>
      </c>
      <c r="AL552">
        <v>0.94811477463388982</v>
      </c>
    </row>
    <row r="553" spans="1:38" x14ac:dyDescent="0.4">
      <c r="A553" s="10">
        <v>43228</v>
      </c>
      <c r="B553" s="11">
        <v>1.3666131305882721</v>
      </c>
      <c r="C553" s="11">
        <v>1.4265579504409669</v>
      </c>
      <c r="D553" s="11">
        <v>1.255654807263076</v>
      </c>
      <c r="E553" s="11">
        <v>1.304104911166396</v>
      </c>
      <c r="P553" s="1">
        <f>A552</f>
        <v>43227</v>
      </c>
      <c r="Q553" s="14">
        <f>[1]!i_dq_close(Q$2,$P553)</f>
        <v>1901.7485999999999</v>
      </c>
      <c r="R553" s="14">
        <f>[1]!i_dq_close(R$2,$P553)</f>
        <v>3247.192</v>
      </c>
      <c r="S553" s="14">
        <f>[1]!i_dq_close(S$2,$P553)</f>
        <v>3408.9623999999999</v>
      </c>
      <c r="T553" s="14">
        <f>[1]!i_dq_close(T$2,$P553)</f>
        <v>5293.1107000000002</v>
      </c>
      <c r="U553" s="14">
        <f>[1]!i_dq_close(U$2,$P553)</f>
        <v>10912.9213</v>
      </c>
      <c r="V553" s="14">
        <f>[1]!i_dq_close(V$2,$P553)</f>
        <v>11233.3163</v>
      </c>
      <c r="W553" s="14">
        <f>[1]!i_dq_close(W$2,$P553)</f>
        <v>5679.5456999999997</v>
      </c>
      <c r="X553" s="14">
        <f>[1]!i_dq_close(X$2,$P553)</f>
        <v>5769.6032999999998</v>
      </c>
      <c r="Y553" s="14">
        <f>[1]!i_dq_close(Y$2,$P553)</f>
        <v>6096.4503999999997</v>
      </c>
      <c r="Z553" s="14">
        <f>[1]!i_dq_close(Z$2,$P553)</f>
        <v>2150.1451000000002</v>
      </c>
      <c r="AB553" s="1">
        <v>43227</v>
      </c>
      <c r="AC553">
        <v>1.1290074599738584</v>
      </c>
      <c r="AD553">
        <v>1.2727552298543521</v>
      </c>
      <c r="AE553">
        <v>1.0088960217746372</v>
      </c>
      <c r="AF553">
        <v>1.0943959744934364</v>
      </c>
      <c r="AG553">
        <v>1.6271603848523739</v>
      </c>
      <c r="AH553">
        <v>1.3873787461042901</v>
      </c>
      <c r="AI553">
        <v>1.2172727197908111</v>
      </c>
      <c r="AJ553">
        <v>1.0657981458603114</v>
      </c>
      <c r="AK553">
        <v>1.2108926364377153</v>
      </c>
      <c r="AL553">
        <v>0.95562051163669459</v>
      </c>
    </row>
    <row r="554" spans="1:38" x14ac:dyDescent="0.4">
      <c r="A554" s="10">
        <v>43229</v>
      </c>
      <c r="B554" s="11">
        <v>1.364847084658342</v>
      </c>
      <c r="C554" s="11">
        <v>1.424197310380573</v>
      </c>
      <c r="D554" s="11">
        <v>1.2528499269155311</v>
      </c>
      <c r="E554" s="11">
        <v>1.302282854440838</v>
      </c>
      <c r="P554" s="1">
        <f>A553</f>
        <v>43228</v>
      </c>
      <c r="Q554" s="14">
        <f>[1]!i_dq_close(Q$2,$P554)</f>
        <v>1904.3485000000001</v>
      </c>
      <c r="R554" s="14">
        <f>[1]!i_dq_close(R$2,$P554)</f>
        <v>3262.8851</v>
      </c>
      <c r="S554" s="14">
        <f>[1]!i_dq_close(S$2,$P554)</f>
        <v>3430.9566</v>
      </c>
      <c r="T554" s="14">
        <f>[1]!i_dq_close(T$2,$P554)</f>
        <v>5359.5241999999998</v>
      </c>
      <c r="U554" s="14">
        <f>[1]!i_dq_close(U$2,$P554)</f>
        <v>11020.0306</v>
      </c>
      <c r="V554" s="14">
        <f>[1]!i_dq_close(V$2,$P554)</f>
        <v>11210.311900000001</v>
      </c>
      <c r="W554" s="14">
        <f>[1]!i_dq_close(W$2,$P554)</f>
        <v>5764.8604999999998</v>
      </c>
      <c r="X554" s="14">
        <f>[1]!i_dq_close(X$2,$P554)</f>
        <v>5807.3128999999999</v>
      </c>
      <c r="Y554" s="14">
        <f>[1]!i_dq_close(Y$2,$P554)</f>
        <v>6131.9389000000001</v>
      </c>
      <c r="Z554" s="14">
        <f>[1]!i_dq_close(Z$2,$P554)</f>
        <v>2153.9494</v>
      </c>
      <c r="AB554" s="1">
        <v>43228</v>
      </c>
      <c r="AC554">
        <v>1.1305509376423506</v>
      </c>
      <c r="AD554">
        <v>1.2789062289630058</v>
      </c>
      <c r="AE554">
        <v>1.0154052930068795</v>
      </c>
      <c r="AF554">
        <v>1.1081275344723387</v>
      </c>
      <c r="AG554">
        <v>1.6431308115619727</v>
      </c>
      <c r="AH554">
        <v>1.3845375712655756</v>
      </c>
      <c r="AI554">
        <v>1.2355578757029131</v>
      </c>
      <c r="AJ554">
        <v>1.0727641051596508</v>
      </c>
      <c r="AK554">
        <v>1.2179414534556017</v>
      </c>
      <c r="AL554">
        <v>0.95731131246330825</v>
      </c>
    </row>
    <row r="555" spans="1:38" x14ac:dyDescent="0.4">
      <c r="A555" s="10">
        <v>43230</v>
      </c>
      <c r="B555" s="11">
        <v>1.3703068067667441</v>
      </c>
      <c r="C555" s="11">
        <v>1.431587619907666</v>
      </c>
      <c r="D555" s="11">
        <v>1.255943551842873</v>
      </c>
      <c r="E555" s="11">
        <v>1.306534868339376</v>
      </c>
      <c r="P555" s="1">
        <f>A554</f>
        <v>43229</v>
      </c>
      <c r="Q555" s="14">
        <f>[1]!i_dq_close(Q$2,$P555)</f>
        <v>1913.6917000000001</v>
      </c>
      <c r="R555" s="14">
        <f>[1]!i_dq_close(R$2,$P555)</f>
        <v>3259.6005</v>
      </c>
      <c r="S555" s="14">
        <f>[1]!i_dq_close(S$2,$P555)</f>
        <v>3428.3915000000002</v>
      </c>
      <c r="T555" s="14">
        <f>[1]!i_dq_close(T$2,$P555)</f>
        <v>5359.21</v>
      </c>
      <c r="U555" s="14">
        <f>[1]!i_dq_close(U$2,$P555)</f>
        <v>11013.367200000001</v>
      </c>
      <c r="V555" s="14">
        <f>[1]!i_dq_close(V$2,$P555)</f>
        <v>11214.152700000001</v>
      </c>
      <c r="W555" s="14">
        <f>[1]!i_dq_close(W$2,$P555)</f>
        <v>5743.0025999999998</v>
      </c>
      <c r="X555" s="14">
        <f>[1]!i_dq_close(X$2,$P555)</f>
        <v>5791.7664999999997</v>
      </c>
      <c r="Y555" s="14">
        <f>[1]!i_dq_close(Y$2,$P555)</f>
        <v>6118.1521000000002</v>
      </c>
      <c r="Z555" s="14">
        <f>[1]!i_dq_close(Z$2,$P555)</f>
        <v>2153.9195</v>
      </c>
      <c r="AB555" s="1">
        <v>43229</v>
      </c>
      <c r="AC555">
        <v>1.1360976973455141</v>
      </c>
      <c r="AD555">
        <v>1.2776188114564402</v>
      </c>
      <c r="AE555">
        <v>1.014646141428835</v>
      </c>
      <c r="AF555">
        <v>1.1080625709311103</v>
      </c>
      <c r="AG555">
        <v>1.6421372718661971</v>
      </c>
      <c r="AH555">
        <v>1.3850119320104999</v>
      </c>
      <c r="AI555">
        <v>1.2308731655540159</v>
      </c>
      <c r="AJ555">
        <v>1.0698922743884083</v>
      </c>
      <c r="AK555">
        <v>1.2152030838298864</v>
      </c>
      <c r="AL555">
        <v>0.9572980235679226</v>
      </c>
    </row>
    <row r="556" spans="1:38" x14ac:dyDescent="0.4">
      <c r="A556" s="10">
        <v>43231</v>
      </c>
      <c r="B556" s="11">
        <v>1.3590831094864431</v>
      </c>
      <c r="C556" s="11">
        <v>1.420208825010242</v>
      </c>
      <c r="D556" s="11">
        <v>1.2451503805179689</v>
      </c>
      <c r="E556" s="11">
        <v>1.2955287943935241</v>
      </c>
      <c r="P556" s="1">
        <f>A555</f>
        <v>43230</v>
      </c>
      <c r="Q556" s="14">
        <f>[1]!i_dq_close(Q$2,$P556)</f>
        <v>1935.451</v>
      </c>
      <c r="R556" s="14">
        <f>[1]!i_dq_close(R$2,$P556)</f>
        <v>3269.3508000000002</v>
      </c>
      <c r="S556" s="14">
        <f>[1]!i_dq_close(S$2,$P556)</f>
        <v>3435.9843000000001</v>
      </c>
      <c r="T556" s="14">
        <f>[1]!i_dq_close(T$2,$P556)</f>
        <v>5389.7115000000003</v>
      </c>
      <c r="U556" s="14">
        <f>[1]!i_dq_close(U$2,$P556)</f>
        <v>11137.989100000001</v>
      </c>
      <c r="V556" s="14">
        <f>[1]!i_dq_close(V$2,$P556)</f>
        <v>11447.5458</v>
      </c>
      <c r="W556" s="14">
        <f>[1]!i_dq_close(W$2,$P556)</f>
        <v>5763.1490000000003</v>
      </c>
      <c r="X556" s="14">
        <f>[1]!i_dq_close(X$2,$P556)</f>
        <v>5769.1961000000001</v>
      </c>
      <c r="Y556" s="14">
        <f>[1]!i_dq_close(Y$2,$P556)</f>
        <v>6114.5344999999998</v>
      </c>
      <c r="Z556" s="14">
        <f>[1]!i_dq_close(Z$2,$P556)</f>
        <v>2155.6498999999999</v>
      </c>
      <c r="AB556" s="1">
        <v>43230</v>
      </c>
      <c r="AC556">
        <v>1.14901549942714</v>
      </c>
      <c r="AD556">
        <v>1.281440496567037</v>
      </c>
      <c r="AE556">
        <v>1.0168932608790615</v>
      </c>
      <c r="AF556">
        <v>1.114369017311688</v>
      </c>
      <c r="AG556">
        <v>1.6607188975547316</v>
      </c>
      <c r="AH556">
        <v>1.4138373133831754</v>
      </c>
      <c r="AI556">
        <v>1.235191057233626</v>
      </c>
      <c r="AJ556">
        <v>1.065722925263257</v>
      </c>
      <c r="AK556">
        <v>1.2144845468265217</v>
      </c>
      <c r="AL556">
        <v>0.9580670906105776</v>
      </c>
    </row>
    <row r="557" spans="1:38" x14ac:dyDescent="0.4">
      <c r="A557" s="10">
        <v>43234</v>
      </c>
      <c r="B557" s="11">
        <v>1.364239881410791</v>
      </c>
      <c r="C557" s="11">
        <v>1.426585069671001</v>
      </c>
      <c r="D557" s="11">
        <v>1.248920858632689</v>
      </c>
      <c r="E557" s="11">
        <v>1.3009730393755961</v>
      </c>
      <c r="P557" s="1">
        <f>A556</f>
        <v>43231</v>
      </c>
      <c r="Q557" s="14">
        <f>[1]!i_dq_close(Q$2,$P557)</f>
        <v>1936.0518</v>
      </c>
      <c r="R557" s="14">
        <f>[1]!i_dq_close(R$2,$P557)</f>
        <v>3267.3683000000001</v>
      </c>
      <c r="S557" s="14">
        <f>[1]!i_dq_close(S$2,$P557)</f>
        <v>3414.0437000000002</v>
      </c>
      <c r="T557" s="14">
        <f>[1]!i_dq_close(T$2,$P557)</f>
        <v>5357.1677</v>
      </c>
      <c r="U557" s="14">
        <f>[1]!i_dq_close(U$2,$P557)</f>
        <v>11080.7711</v>
      </c>
      <c r="V557" s="14">
        <f>[1]!i_dq_close(V$2,$P557)</f>
        <v>11186.8207</v>
      </c>
      <c r="W557" s="14">
        <f>[1]!i_dq_close(W$2,$P557)</f>
        <v>5744.1602000000003</v>
      </c>
      <c r="X557" s="14">
        <f>[1]!i_dq_close(X$2,$P557)</f>
        <v>5679.6680999999999</v>
      </c>
      <c r="Y557" s="14">
        <f>[1]!i_dq_close(Y$2,$P557)</f>
        <v>6050.107</v>
      </c>
      <c r="Z557" s="14">
        <f>[1]!i_dq_close(Z$2,$P557)</f>
        <v>2147.3328999999999</v>
      </c>
      <c r="AB557" s="1">
        <v>43231</v>
      </c>
      <c r="AC557">
        <v>1.1493721752159125</v>
      </c>
      <c r="AD557">
        <v>1.2806634445038432</v>
      </c>
      <c r="AE557">
        <v>1.0103998527806475</v>
      </c>
      <c r="AF557">
        <v>1.1076403079131258</v>
      </c>
      <c r="AG557">
        <v>1.6521874640053589</v>
      </c>
      <c r="AH557">
        <v>1.3816362738454644</v>
      </c>
      <c r="AI557">
        <v>1.2311212690071549</v>
      </c>
      <c r="AJ557">
        <v>1.0491847385905992</v>
      </c>
      <c r="AK557">
        <v>1.2016877913023416</v>
      </c>
      <c r="AL557">
        <v>0.95437064435898167</v>
      </c>
    </row>
    <row r="558" spans="1:38" x14ac:dyDescent="0.4">
      <c r="A558" s="10">
        <v>43235</v>
      </c>
      <c r="B558" s="11">
        <v>1.3772267582842439</v>
      </c>
      <c r="C558" s="11">
        <v>1.4377425181304211</v>
      </c>
      <c r="D558" s="11">
        <v>1.2611811504673831</v>
      </c>
      <c r="E558" s="11">
        <v>1.313946699909663</v>
      </c>
      <c r="P558" s="1">
        <f>A557</f>
        <v>43234</v>
      </c>
      <c r="Q558" s="14">
        <f>[1]!i_dq_close(Q$2,$P558)</f>
        <v>1924.0851</v>
      </c>
      <c r="R558" s="14">
        <f>[1]!i_dq_close(R$2,$P558)</f>
        <v>3261.2379000000001</v>
      </c>
      <c r="S558" s="14">
        <f>[1]!i_dq_close(S$2,$P558)</f>
        <v>3403.0754000000002</v>
      </c>
      <c r="T558" s="14">
        <f>[1]!i_dq_close(T$2,$P558)</f>
        <v>5391.5640999999996</v>
      </c>
      <c r="U558" s="14">
        <f>[1]!i_dq_close(U$2,$P558)</f>
        <v>11253.992</v>
      </c>
      <c r="V558" s="14">
        <f>[1]!i_dq_close(V$2,$P558)</f>
        <v>11196.193499999999</v>
      </c>
      <c r="W558" s="14">
        <f>[1]!i_dq_close(W$2,$P558)</f>
        <v>5777.4128000000001</v>
      </c>
      <c r="X558" s="14">
        <f>[1]!i_dq_close(X$2,$P558)</f>
        <v>5670.2341999999999</v>
      </c>
      <c r="Y558" s="14">
        <f>[1]!i_dq_close(Y$2,$P558)</f>
        <v>6056.1445000000003</v>
      </c>
      <c r="Z558" s="14">
        <f>[1]!i_dq_close(Z$2,$P558)</f>
        <v>2144.0095999999999</v>
      </c>
      <c r="AB558" s="1">
        <v>43234</v>
      </c>
      <c r="AC558">
        <v>1.1422679272773213</v>
      </c>
      <c r="AD558">
        <v>1.2782605996270699</v>
      </c>
      <c r="AE558">
        <v>1.0071537406394193</v>
      </c>
      <c r="AF558">
        <v>1.114752058229828</v>
      </c>
      <c r="AG558">
        <v>1.6780153957351034</v>
      </c>
      <c r="AH558">
        <v>1.3827938681982099</v>
      </c>
      <c r="AI558">
        <v>1.2382481564344567</v>
      </c>
      <c r="AJ558">
        <v>1.0474420480440529</v>
      </c>
      <c r="AK558">
        <v>1.2028869750589244</v>
      </c>
      <c r="AL558">
        <v>0.95289362141465928</v>
      </c>
    </row>
    <row r="559" spans="1:38" x14ac:dyDescent="0.4">
      <c r="A559" s="10">
        <v>43236</v>
      </c>
      <c r="B559" s="11">
        <v>1.373563058078451</v>
      </c>
      <c r="C559" s="11">
        <v>1.432596730514998</v>
      </c>
      <c r="D559" s="11">
        <v>1.256630917218382</v>
      </c>
      <c r="E559" s="11">
        <v>1.31057689067514</v>
      </c>
      <c r="P559" s="1">
        <f>A558</f>
        <v>43235</v>
      </c>
      <c r="Q559" s="14">
        <f>[1]!i_dq_close(Q$2,$P559)</f>
        <v>1925.0735999999999</v>
      </c>
      <c r="R559" s="14">
        <f>[1]!i_dq_close(R$2,$P559)</f>
        <v>3281.8753000000002</v>
      </c>
      <c r="S559" s="14">
        <f>[1]!i_dq_close(S$2,$P559)</f>
        <v>3428.3155999999999</v>
      </c>
      <c r="T559" s="14">
        <f>[1]!i_dq_close(T$2,$P559)</f>
        <v>5423.5879000000004</v>
      </c>
      <c r="U559" s="14">
        <f>[1]!i_dq_close(U$2,$P559)</f>
        <v>11359.422500000001</v>
      </c>
      <c r="V559" s="14">
        <f>[1]!i_dq_close(V$2,$P559)</f>
        <v>11422.062099999999</v>
      </c>
      <c r="W559" s="14">
        <f>[1]!i_dq_close(W$2,$P559)</f>
        <v>5768.6652999999997</v>
      </c>
      <c r="X559" s="14">
        <f>[1]!i_dq_close(X$2,$P559)</f>
        <v>5739.7930999999999</v>
      </c>
      <c r="Y559" s="14">
        <f>[1]!i_dq_close(Y$2,$P559)</f>
        <v>6083.0021999999999</v>
      </c>
      <c r="Z559" s="14">
        <f>[1]!i_dq_close(Z$2,$P559)</f>
        <v>2167.1057999999998</v>
      </c>
      <c r="AB559" s="1">
        <v>43235</v>
      </c>
      <c r="AC559">
        <v>1.1428547681847807</v>
      </c>
      <c r="AD559">
        <v>1.2863495450237685</v>
      </c>
      <c r="AE559">
        <v>1.0146236785210445</v>
      </c>
      <c r="AF559">
        <v>1.1213732531744161</v>
      </c>
      <c r="AG559">
        <v>1.6937355066237596</v>
      </c>
      <c r="AH559">
        <v>1.4106899308286489</v>
      </c>
      <c r="AI559">
        <v>1.2363733422012742</v>
      </c>
      <c r="AJ559">
        <v>1.060291414420435</v>
      </c>
      <c r="AK559">
        <v>1.2082215204136528</v>
      </c>
      <c r="AL559">
        <v>0.96315860421087307</v>
      </c>
    </row>
    <row r="560" spans="1:38" x14ac:dyDescent="0.4">
      <c r="A560" s="10">
        <v>43237</v>
      </c>
      <c r="B560" s="11">
        <v>1.360946088650713</v>
      </c>
      <c r="C560" s="11">
        <v>1.421217224680551</v>
      </c>
      <c r="D560" s="11">
        <v>1.245561354238975</v>
      </c>
      <c r="E560" s="11">
        <v>1.297101353434206</v>
      </c>
      <c r="P560" s="1">
        <f>A559</f>
        <v>43236</v>
      </c>
      <c r="Q560" s="14">
        <f>[1]!i_dq_close(Q$2,$P560)</f>
        <v>1915.5940000000001</v>
      </c>
      <c r="R560" s="14">
        <f>[1]!i_dq_close(R$2,$P560)</f>
        <v>3256.9919</v>
      </c>
      <c r="S560" s="14">
        <f>[1]!i_dq_close(S$2,$P560)</f>
        <v>3408.5549000000001</v>
      </c>
      <c r="T560" s="14">
        <f>[1]!i_dq_close(T$2,$P560)</f>
        <v>5395.1252999999997</v>
      </c>
      <c r="U560" s="14">
        <f>[1]!i_dq_close(U$2,$P560)</f>
        <v>11430.777400000001</v>
      </c>
      <c r="V560" s="14">
        <f>[1]!i_dq_close(V$2,$P560)</f>
        <v>11539.9223</v>
      </c>
      <c r="W560" s="14">
        <f>[1]!i_dq_close(W$2,$P560)</f>
        <v>5689.7157999999999</v>
      </c>
      <c r="X560" s="14">
        <f>[1]!i_dq_close(X$2,$P560)</f>
        <v>5679.2681000000002</v>
      </c>
      <c r="Y560" s="14">
        <f>[1]!i_dq_close(Y$2,$P560)</f>
        <v>6043.0661</v>
      </c>
      <c r="Z560" s="14">
        <f>[1]!i_dq_close(Z$2,$P560)</f>
        <v>2167.1349</v>
      </c>
      <c r="AB560" s="1">
        <v>43236</v>
      </c>
      <c r="AC560">
        <v>1.1372270321540729</v>
      </c>
      <c r="AD560">
        <v>1.2765963559648652</v>
      </c>
      <c r="AE560">
        <v>1.0087754205239829</v>
      </c>
      <c r="AF560">
        <v>1.1154883668327005</v>
      </c>
      <c r="AG560">
        <v>1.7043748087275055</v>
      </c>
      <c r="AH560">
        <v>1.4252463389386567</v>
      </c>
      <c r="AI560">
        <v>1.2194524337928561</v>
      </c>
      <c r="AJ560">
        <v>1.0491108480237479</v>
      </c>
      <c r="AK560">
        <v>1.2002893096606482</v>
      </c>
      <c r="AL560">
        <v>0.96317153755052942</v>
      </c>
    </row>
    <row r="561" spans="1:38" x14ac:dyDescent="0.4">
      <c r="A561" s="10">
        <v>43238</v>
      </c>
      <c r="B561" s="11">
        <v>1.3669895775830989</v>
      </c>
      <c r="C561" s="11">
        <v>1.430140340827684</v>
      </c>
      <c r="D561" s="11">
        <v>1.2512095826854721</v>
      </c>
      <c r="E561" s="11">
        <v>1.3015959138841819</v>
      </c>
      <c r="P561" s="1">
        <f>A560</f>
        <v>43237</v>
      </c>
      <c r="Q561" s="14">
        <f>[1]!i_dq_close(Q$2,$P561)</f>
        <v>1927.3747000000001</v>
      </c>
      <c r="R561" s="14">
        <f>[1]!i_dq_close(R$2,$P561)</f>
        <v>3260.1345999999999</v>
      </c>
      <c r="S561" s="14">
        <f>[1]!i_dq_close(S$2,$P561)</f>
        <v>3386.5131999999999</v>
      </c>
      <c r="T561" s="14">
        <f>[1]!i_dq_close(T$2,$P561)</f>
        <v>5350.2064</v>
      </c>
      <c r="U561" s="14">
        <f>[1]!i_dq_close(U$2,$P561)</f>
        <v>11287.402899999999</v>
      </c>
      <c r="V561" s="14">
        <f>[1]!i_dq_close(V$2,$P561)</f>
        <v>11389.160900000001</v>
      </c>
      <c r="W561" s="14">
        <f>[1]!i_dq_close(W$2,$P561)</f>
        <v>5663.0346</v>
      </c>
      <c r="X561" s="14">
        <f>[1]!i_dq_close(X$2,$P561)</f>
        <v>5649.7901000000002</v>
      </c>
      <c r="Y561" s="14">
        <f>[1]!i_dq_close(Y$2,$P561)</f>
        <v>5992.8775999999998</v>
      </c>
      <c r="Z561" s="14">
        <f>[1]!i_dq_close(Z$2,$P561)</f>
        <v>2161.1010000000001</v>
      </c>
      <c r="AB561" s="1">
        <v>43237</v>
      </c>
      <c r="AC561">
        <v>1.1442208578278315</v>
      </c>
      <c r="AD561">
        <v>1.2778281549656214</v>
      </c>
      <c r="AE561">
        <v>1.0022520914772473</v>
      </c>
      <c r="AF561">
        <v>1.1062009995122566</v>
      </c>
      <c r="AG561">
        <v>1.6829970950810211</v>
      </c>
      <c r="AH561">
        <v>1.4066264446432448</v>
      </c>
      <c r="AI561">
        <v>1.213733966400071</v>
      </c>
      <c r="AJ561">
        <v>1.0436654826996414</v>
      </c>
      <c r="AK561">
        <v>1.1903207408876035</v>
      </c>
      <c r="AL561">
        <v>0.96048980290612584</v>
      </c>
    </row>
    <row r="562" spans="1:38" x14ac:dyDescent="0.4">
      <c r="A562" s="10">
        <v>43241</v>
      </c>
      <c r="B562" s="11">
        <v>1.379528476254781</v>
      </c>
      <c r="C562" s="11">
        <v>1.437939227266622</v>
      </c>
      <c r="D562" s="11">
        <v>1.2624439010752431</v>
      </c>
      <c r="E562" s="11">
        <v>1.314338293536333</v>
      </c>
      <c r="P562" s="1">
        <f>A561</f>
        <v>43238</v>
      </c>
      <c r="Q562" s="14">
        <f>[1]!i_dq_close(Q$2,$P562)</f>
        <v>2017.0036</v>
      </c>
      <c r="R562" s="14">
        <f>[1]!i_dq_close(R$2,$P562)</f>
        <v>3282.5046000000002</v>
      </c>
      <c r="S562" s="14">
        <f>[1]!i_dq_close(S$2,$P562)</f>
        <v>3400.9775</v>
      </c>
      <c r="T562" s="14">
        <f>[1]!i_dq_close(T$2,$P562)</f>
        <v>5381.6688000000004</v>
      </c>
      <c r="U562" s="14">
        <f>[1]!i_dq_close(U$2,$P562)</f>
        <v>11361.3884</v>
      </c>
      <c r="V562" s="14">
        <f>[1]!i_dq_close(V$2,$P562)</f>
        <v>11407.497100000001</v>
      </c>
      <c r="W562" s="14">
        <f>[1]!i_dq_close(W$2,$P562)</f>
        <v>5731.2645000000002</v>
      </c>
      <c r="X562" s="14">
        <f>[1]!i_dq_close(X$2,$P562)</f>
        <v>5651.5316000000003</v>
      </c>
      <c r="Y562" s="14">
        <f>[1]!i_dq_close(Y$2,$P562)</f>
        <v>6014.8464000000004</v>
      </c>
      <c r="Z562" s="14">
        <f>[1]!i_dq_close(Z$2,$P562)</f>
        <v>2173.1093999999998</v>
      </c>
      <c r="AB562" s="1">
        <v>43238</v>
      </c>
      <c r="AC562">
        <v>1.197430675744485</v>
      </c>
      <c r="AD562">
        <v>1.2865962027102087</v>
      </c>
      <c r="AE562">
        <v>1.0065328587651923</v>
      </c>
      <c r="AF562">
        <v>1.1127061201982649</v>
      </c>
      <c r="AG562">
        <v>1.6940286302075043</v>
      </c>
      <c r="AH562">
        <v>1.4088910701095745</v>
      </c>
      <c r="AI562">
        <v>1.2283573888234622</v>
      </c>
      <c r="AJ562">
        <v>1.0439871837550703</v>
      </c>
      <c r="AK562">
        <v>1.1946842403677886</v>
      </c>
      <c r="AL562">
        <v>0.96582687218202634</v>
      </c>
    </row>
    <row r="563" spans="1:38" x14ac:dyDescent="0.4">
      <c r="A563" s="10">
        <v>43242</v>
      </c>
      <c r="B563" s="11">
        <v>1.38187966445304</v>
      </c>
      <c r="C563" s="11">
        <v>1.439949010002211</v>
      </c>
      <c r="D563" s="11">
        <v>1.266365979208774</v>
      </c>
      <c r="E563" s="11">
        <v>1.3189406670507231</v>
      </c>
      <c r="P563" s="1">
        <f>A562</f>
        <v>43241</v>
      </c>
      <c r="Q563" s="14">
        <f>[1]!i_dq_close(Q$2,$P563)</f>
        <v>2013.2207000000001</v>
      </c>
      <c r="R563" s="14">
        <f>[1]!i_dq_close(R$2,$P563)</f>
        <v>3326.5023999999999</v>
      </c>
      <c r="S563" s="14">
        <f>[1]!i_dq_close(S$2,$P563)</f>
        <v>3435.2559000000001</v>
      </c>
      <c r="T563" s="14">
        <f>[1]!i_dq_close(T$2,$P563)</f>
        <v>5423.6417000000001</v>
      </c>
      <c r="U563" s="14">
        <f>[1]!i_dq_close(U$2,$P563)</f>
        <v>11351.856</v>
      </c>
      <c r="V563" s="14">
        <f>[1]!i_dq_close(V$2,$P563)</f>
        <v>11438.2093</v>
      </c>
      <c r="W563" s="14">
        <f>[1]!i_dq_close(W$2,$P563)</f>
        <v>5745.6872999999996</v>
      </c>
      <c r="X563" s="14">
        <f>[1]!i_dq_close(X$2,$P563)</f>
        <v>5773.9115000000002</v>
      </c>
      <c r="Y563" s="14">
        <f>[1]!i_dq_close(Y$2,$P563)</f>
        <v>6180.8068000000003</v>
      </c>
      <c r="Z563" s="14">
        <f>[1]!i_dq_close(Z$2,$P563)</f>
        <v>2191.7525000000001</v>
      </c>
      <c r="AB563" s="1">
        <v>43241</v>
      </c>
      <c r="AC563">
        <v>1.195184888724931</v>
      </c>
      <c r="AD563">
        <v>1.3038413887207942</v>
      </c>
      <c r="AE563">
        <v>1.0166776879932296</v>
      </c>
      <c r="AF563">
        <v>1.121384376785231</v>
      </c>
      <c r="AG563">
        <v>1.6926073110917359</v>
      </c>
      <c r="AH563">
        <v>1.4126842022878348</v>
      </c>
      <c r="AI563">
        <v>1.2314485658137273</v>
      </c>
      <c r="AJ563">
        <v>1.0665939842105834</v>
      </c>
      <c r="AK563">
        <v>1.227647721264846</v>
      </c>
      <c r="AL563">
        <v>0.97411269845509707</v>
      </c>
    </row>
    <row r="564" spans="1:38" x14ac:dyDescent="0.4">
      <c r="A564" s="10">
        <v>43243</v>
      </c>
      <c r="B564" s="11">
        <v>1.3678928034822599</v>
      </c>
      <c r="C564" s="11">
        <v>1.421642337854544</v>
      </c>
      <c r="D564" s="11">
        <v>1.2538474837884599</v>
      </c>
      <c r="E564" s="11">
        <v>1.3058594304615909</v>
      </c>
      <c r="P564" s="1">
        <f>A563</f>
        <v>43242</v>
      </c>
      <c r="Q564" s="14">
        <f>[1]!i_dq_close(Q$2,$P564)</f>
        <v>2008.3678</v>
      </c>
      <c r="R564" s="14">
        <f>[1]!i_dq_close(R$2,$P564)</f>
        <v>3321.8395</v>
      </c>
      <c r="S564" s="14">
        <f>[1]!i_dq_close(S$2,$P564)</f>
        <v>3431.3779</v>
      </c>
      <c r="T564" s="14">
        <f>[1]!i_dq_close(T$2,$P564)</f>
        <v>5406.4817999999996</v>
      </c>
      <c r="U564" s="14">
        <f>[1]!i_dq_close(U$2,$P564)</f>
        <v>11463.2004</v>
      </c>
      <c r="V564" s="14">
        <f>[1]!i_dq_close(V$2,$P564)</f>
        <v>11651.196599999999</v>
      </c>
      <c r="W564" s="14">
        <f>[1]!i_dq_close(W$2,$P564)</f>
        <v>5691.6948000000002</v>
      </c>
      <c r="X564" s="14">
        <f>[1]!i_dq_close(X$2,$P564)</f>
        <v>5783.8113000000003</v>
      </c>
      <c r="Y564" s="14">
        <f>[1]!i_dq_close(Y$2,$P564)</f>
        <v>6242.3455999999996</v>
      </c>
      <c r="Z564" s="14">
        <f>[1]!i_dq_close(Z$2,$P564)</f>
        <v>2199.7429999999999</v>
      </c>
      <c r="AB564" s="1">
        <v>43242</v>
      </c>
      <c r="AC564">
        <v>1.1923038768485414</v>
      </c>
      <c r="AD564">
        <v>1.3020137387508242</v>
      </c>
      <c r="AE564">
        <v>1.0155299784225864</v>
      </c>
      <c r="AF564">
        <v>1.117836420479932</v>
      </c>
      <c r="AG564">
        <v>1.709209208216675</v>
      </c>
      <c r="AH564">
        <v>1.4389893507692442</v>
      </c>
      <c r="AI564">
        <v>1.2198765843921666</v>
      </c>
      <c r="AJ564">
        <v>1.0684227387948697</v>
      </c>
      <c r="AK564">
        <v>1.2398707157757523</v>
      </c>
      <c r="AL564">
        <v>0.9776640335246386</v>
      </c>
    </row>
    <row r="565" spans="1:38" x14ac:dyDescent="0.4">
      <c r="A565" s="10">
        <v>43244</v>
      </c>
      <c r="B565" s="11">
        <v>1.3609246309079059</v>
      </c>
      <c r="C565" s="11">
        <v>1.414550019122655</v>
      </c>
      <c r="D565" s="11">
        <v>1.24672806316381</v>
      </c>
      <c r="E565" s="11">
        <v>1.2976439581980139</v>
      </c>
      <c r="P565" s="1">
        <f>A564</f>
        <v>43243</v>
      </c>
      <c r="Q565" s="14">
        <f>[1]!i_dq_close(Q$2,$P565)</f>
        <v>1930.1515999999999</v>
      </c>
      <c r="R565" s="14">
        <f>[1]!i_dq_close(R$2,$P565)</f>
        <v>3256.4839000000002</v>
      </c>
      <c r="S565" s="14">
        <f>[1]!i_dq_close(S$2,$P565)</f>
        <v>3390.3159999999998</v>
      </c>
      <c r="T565" s="14">
        <f>[1]!i_dq_close(T$2,$P565)</f>
        <v>5363.4337999999998</v>
      </c>
      <c r="U565" s="14">
        <f>[1]!i_dq_close(U$2,$P565)</f>
        <v>11277.3505</v>
      </c>
      <c r="V565" s="14">
        <f>[1]!i_dq_close(V$2,$P565)</f>
        <v>11592.778399999999</v>
      </c>
      <c r="W565" s="14">
        <f>[1]!i_dq_close(W$2,$P565)</f>
        <v>5614.4602000000004</v>
      </c>
      <c r="X565" s="14">
        <f>[1]!i_dq_close(X$2,$P565)</f>
        <v>5728.1724000000004</v>
      </c>
      <c r="Y565" s="14">
        <f>[1]!i_dq_close(Y$2,$P565)</f>
        <v>6150.2132000000001</v>
      </c>
      <c r="Z565" s="14">
        <f>[1]!i_dq_close(Z$2,$P565)</f>
        <v>2224.5542999999998</v>
      </c>
      <c r="AB565" s="1">
        <v>43243</v>
      </c>
      <c r="AC565">
        <v>1.1458694147483419</v>
      </c>
      <c r="AD565">
        <v>1.2763972424979788</v>
      </c>
      <c r="AE565">
        <v>1.0033775453078921</v>
      </c>
      <c r="AF565">
        <v>1.1089358777593739</v>
      </c>
      <c r="AG565">
        <v>1.6814982418772793</v>
      </c>
      <c r="AH565">
        <v>1.4317743692890494</v>
      </c>
      <c r="AI565">
        <v>1.2033232231604831</v>
      </c>
      <c r="AJ565">
        <v>1.0581447641449129</v>
      </c>
      <c r="AK565">
        <v>1.2215711418569135</v>
      </c>
      <c r="AL565">
        <v>0.98869128336018286</v>
      </c>
    </row>
    <row r="566" spans="1:38" x14ac:dyDescent="0.4">
      <c r="A566" s="10">
        <v>43245</v>
      </c>
      <c r="B566" s="11">
        <v>1.3537883815661109</v>
      </c>
      <c r="C566" s="11">
        <v>1.40866905016961</v>
      </c>
      <c r="D566" s="11">
        <v>1.2386864319812869</v>
      </c>
      <c r="E566" s="11">
        <v>1.288687883769243</v>
      </c>
      <c r="P566" s="1">
        <f>A565</f>
        <v>43244</v>
      </c>
      <c r="Q566" s="14">
        <f>[1]!i_dq_close(Q$2,$P566)</f>
        <v>1928.5717</v>
      </c>
      <c r="R566" s="14">
        <f>[1]!i_dq_close(R$2,$P566)</f>
        <v>3248.4837000000002</v>
      </c>
      <c r="S566" s="14">
        <f>[1]!i_dq_close(S$2,$P566)</f>
        <v>3371.1062999999999</v>
      </c>
      <c r="T566" s="14">
        <f>[1]!i_dq_close(T$2,$P566)</f>
        <v>5329.5043999999998</v>
      </c>
      <c r="U566" s="14">
        <f>[1]!i_dq_close(U$2,$P566)</f>
        <v>11184.6885</v>
      </c>
      <c r="V566" s="14">
        <f>[1]!i_dq_close(V$2,$P566)</f>
        <v>11645.946900000001</v>
      </c>
      <c r="W566" s="14">
        <f>[1]!i_dq_close(W$2,$P566)</f>
        <v>5576.7120000000004</v>
      </c>
      <c r="X566" s="14">
        <f>[1]!i_dq_close(X$2,$P566)</f>
        <v>5673.3644000000004</v>
      </c>
      <c r="Y566" s="14">
        <f>[1]!i_dq_close(Y$2,$P566)</f>
        <v>6140.9534000000003</v>
      </c>
      <c r="Z566" s="14">
        <f>[1]!i_dq_close(Z$2,$P566)</f>
        <v>2208.7073999999998</v>
      </c>
      <c r="AB566" s="1">
        <v>43244</v>
      </c>
      <c r="AC566">
        <v>1.1449314785321603</v>
      </c>
      <c r="AD566">
        <v>1.2732615189590317</v>
      </c>
      <c r="AE566">
        <v>0.99769235795895439</v>
      </c>
      <c r="AF566">
        <v>1.1019206836926831</v>
      </c>
      <c r="AG566">
        <v>1.6676819656084134</v>
      </c>
      <c r="AH566">
        <v>1.4383409828243816</v>
      </c>
      <c r="AI566">
        <v>1.1952328130276431</v>
      </c>
      <c r="AJ566">
        <v>1.048020278674948</v>
      </c>
      <c r="AK566">
        <v>1.2197319365982462</v>
      </c>
      <c r="AL566">
        <v>0.98164821325023743</v>
      </c>
    </row>
    <row r="567" spans="1:38" x14ac:dyDescent="0.4">
      <c r="A567" s="10">
        <v>43248</v>
      </c>
      <c r="B567" s="11">
        <v>1.359209182246208</v>
      </c>
      <c r="C567" s="11">
        <v>1.4141785036992189</v>
      </c>
      <c r="D567" s="11">
        <v>1.2415954697501821</v>
      </c>
      <c r="E567" s="11">
        <v>1.2947624166176721</v>
      </c>
      <c r="P567" s="1">
        <f>A566</f>
        <v>43245</v>
      </c>
      <c r="Q567" s="14">
        <f>[1]!i_dq_close(Q$2,$P567)</f>
        <v>1905.6398999999999</v>
      </c>
      <c r="R567" s="14">
        <f>[1]!i_dq_close(R$2,$P567)</f>
        <v>3203.7332999999999</v>
      </c>
      <c r="S567" s="14">
        <f>[1]!i_dq_close(S$2,$P567)</f>
        <v>3341.8825999999999</v>
      </c>
      <c r="T567" s="14">
        <f>[1]!i_dq_close(T$2,$P567)</f>
        <v>5319.9344000000001</v>
      </c>
      <c r="U567" s="14">
        <f>[1]!i_dq_close(U$2,$P567)</f>
        <v>11243.797200000001</v>
      </c>
      <c r="V567" s="14">
        <f>[1]!i_dq_close(V$2,$P567)</f>
        <v>11700.830400000001</v>
      </c>
      <c r="W567" s="14">
        <f>[1]!i_dq_close(W$2,$P567)</f>
        <v>5553.3859000000002</v>
      </c>
      <c r="X567" s="14">
        <f>[1]!i_dq_close(X$2,$P567)</f>
        <v>5541.9439000000002</v>
      </c>
      <c r="Y567" s="14">
        <f>[1]!i_dq_close(Y$2,$P567)</f>
        <v>6015.3975</v>
      </c>
      <c r="Z567" s="14">
        <f>[1]!i_dq_close(Z$2,$P567)</f>
        <v>2204.8890000000001</v>
      </c>
      <c r="AB567" s="1">
        <v>43245</v>
      </c>
      <c r="AC567">
        <v>1.1313176006144228</v>
      </c>
      <c r="AD567">
        <v>1.255721347131165</v>
      </c>
      <c r="AE567">
        <v>0.98904348736081127</v>
      </c>
      <c r="AF567">
        <v>1.0999420042224235</v>
      </c>
      <c r="AG567">
        <v>1.6764953101195779</v>
      </c>
      <c r="AH567">
        <v>1.4451194086585955</v>
      </c>
      <c r="AI567">
        <v>1.1902334298570645</v>
      </c>
      <c r="AJ567">
        <v>1.023743440572745</v>
      </c>
      <c r="AK567">
        <v>1.1947937012652217</v>
      </c>
      <c r="AL567">
        <v>0.97995114575389353</v>
      </c>
    </row>
    <row r="568" spans="1:38" x14ac:dyDescent="0.4">
      <c r="A568" s="10">
        <v>43249</v>
      </c>
      <c r="B568" s="11">
        <v>1.345893043150842</v>
      </c>
      <c r="C568" s="11">
        <v>1.401408732365069</v>
      </c>
      <c r="D568" s="11">
        <v>1.2280434199852199</v>
      </c>
      <c r="E568" s="11">
        <v>1.279735961681006</v>
      </c>
      <c r="P568" s="1">
        <f>A567</f>
        <v>43248</v>
      </c>
      <c r="Q568" s="14">
        <f>[1]!i_dq_close(Q$2,$P568)</f>
        <v>1889.8424</v>
      </c>
      <c r="R568" s="14">
        <f>[1]!i_dq_close(R$2,$P568)</f>
        <v>3173.9088999999999</v>
      </c>
      <c r="S568" s="14">
        <f>[1]!i_dq_close(S$2,$P568)</f>
        <v>3317.7606999999998</v>
      </c>
      <c r="T568" s="14">
        <f>[1]!i_dq_close(T$2,$P568)</f>
        <v>5341.4075000000003</v>
      </c>
      <c r="U568" s="14">
        <f>[1]!i_dq_close(U$2,$P568)</f>
        <v>11530.286599999999</v>
      </c>
      <c r="V568" s="14">
        <f>[1]!i_dq_close(V$2,$P568)</f>
        <v>11808.1253</v>
      </c>
      <c r="W568" s="14">
        <f>[1]!i_dq_close(W$2,$P568)</f>
        <v>5546.3906999999999</v>
      </c>
      <c r="X568" s="14">
        <f>[1]!i_dq_close(X$2,$P568)</f>
        <v>5499.3158000000003</v>
      </c>
      <c r="Y568" s="14">
        <f>[1]!i_dq_close(Y$2,$P568)</f>
        <v>6012.2088999999996</v>
      </c>
      <c r="Z568" s="14">
        <f>[1]!i_dq_close(Z$2,$P568)</f>
        <v>2181.5223000000001</v>
      </c>
      <c r="AB568" s="1">
        <v>43248</v>
      </c>
      <c r="AC568">
        <v>1.1219391289547422</v>
      </c>
      <c r="AD568">
        <v>1.2440315052378403</v>
      </c>
      <c r="AE568">
        <v>0.98190451482545982</v>
      </c>
      <c r="AF568">
        <v>1.1043817515717269</v>
      </c>
      <c r="AG568">
        <v>1.7192120300101652</v>
      </c>
      <c r="AH568">
        <v>1.4583709418523489</v>
      </c>
      <c r="AI568">
        <v>1.1887341785825336</v>
      </c>
      <c r="AJ568">
        <v>1.0158689043907605</v>
      </c>
      <c r="AK568">
        <v>1.1941603733436912</v>
      </c>
      <c r="AL568">
        <v>0.96956594067668211</v>
      </c>
    </row>
    <row r="569" spans="1:38" x14ac:dyDescent="0.4">
      <c r="A569" s="10">
        <v>43250</v>
      </c>
      <c r="B569" s="11">
        <v>1.323483693255181</v>
      </c>
      <c r="C569" s="11">
        <v>1.380471371789453</v>
      </c>
      <c r="D569" s="11">
        <v>1.210048892757881</v>
      </c>
      <c r="E569" s="11">
        <v>1.2599283630915761</v>
      </c>
      <c r="P569" s="1">
        <f>A568</f>
        <v>43249</v>
      </c>
      <c r="Q569" s="14">
        <f>[1]!i_dq_close(Q$2,$P569)</f>
        <v>1890.2596000000001</v>
      </c>
      <c r="R569" s="14">
        <f>[1]!i_dq_close(R$2,$P569)</f>
        <v>3152.5430999999999</v>
      </c>
      <c r="S569" s="14">
        <f>[1]!i_dq_close(S$2,$P569)</f>
        <v>3301.6235999999999</v>
      </c>
      <c r="T569" s="14">
        <f>[1]!i_dq_close(T$2,$P569)</f>
        <v>5320.3136999999997</v>
      </c>
      <c r="U569" s="14">
        <f>[1]!i_dq_close(U$2,$P569)</f>
        <v>11419.593000000001</v>
      </c>
      <c r="V569" s="14">
        <f>[1]!i_dq_close(V$2,$P569)</f>
        <v>11410.591</v>
      </c>
      <c r="W569" s="14">
        <f>[1]!i_dq_close(W$2,$P569)</f>
        <v>5505.6337000000003</v>
      </c>
      <c r="X569" s="14">
        <f>[1]!i_dq_close(X$2,$P569)</f>
        <v>5479.9044000000004</v>
      </c>
      <c r="Y569" s="14">
        <f>[1]!i_dq_close(Y$2,$P569)</f>
        <v>5961.0949000000001</v>
      </c>
      <c r="Z569" s="14">
        <f>[1]!i_dq_close(Z$2,$P569)</f>
        <v>2177.3854000000001</v>
      </c>
      <c r="AB569" s="1">
        <v>43249</v>
      </c>
      <c r="AC569">
        <v>1.1221868072820991</v>
      </c>
      <c r="AD569">
        <v>1.235657059350433</v>
      </c>
      <c r="AE569">
        <v>0.9771286757041544</v>
      </c>
      <c r="AF569">
        <v>1.1000204277462551</v>
      </c>
      <c r="AG569">
        <v>1.7027071697784055</v>
      </c>
      <c r="AH569">
        <v>1.4092731844369857</v>
      </c>
      <c r="AI569">
        <v>1.1799989052242237</v>
      </c>
      <c r="AJ569">
        <v>1.0122831060173172</v>
      </c>
      <c r="AK569">
        <v>1.1840079793836129</v>
      </c>
      <c r="AL569">
        <v>0.9677273175555775</v>
      </c>
    </row>
    <row r="570" spans="1:38" x14ac:dyDescent="0.4">
      <c r="A570" s="10">
        <v>43251</v>
      </c>
      <c r="B570" s="11">
        <v>1.3463491275241839</v>
      </c>
      <c r="C570" s="11">
        <v>1.406600878032418</v>
      </c>
      <c r="D570" s="11">
        <v>1.230022155156832</v>
      </c>
      <c r="E570" s="11">
        <v>1.2824808683002289</v>
      </c>
      <c r="P570" s="1">
        <f>A569</f>
        <v>43250</v>
      </c>
      <c r="Q570" s="14">
        <f>[1]!i_dq_close(Q$2,$P570)</f>
        <v>1820.0344</v>
      </c>
      <c r="R570" s="14">
        <f>[1]!i_dq_close(R$2,$P570)</f>
        <v>3059.0911000000001</v>
      </c>
      <c r="S570" s="14">
        <f>[1]!i_dq_close(S$2,$P570)</f>
        <v>3196.8058000000001</v>
      </c>
      <c r="T570" s="14">
        <f>[1]!i_dq_close(T$2,$P570)</f>
        <v>5215.9321</v>
      </c>
      <c r="U570" s="14">
        <f>[1]!i_dq_close(U$2,$P570)</f>
        <v>11430.8719</v>
      </c>
      <c r="V570" s="14">
        <f>[1]!i_dq_close(V$2,$P570)</f>
        <v>11209.2021</v>
      </c>
      <c r="W570" s="14">
        <f>[1]!i_dq_close(W$2,$P570)</f>
        <v>5355.0884999999998</v>
      </c>
      <c r="X570" s="14">
        <f>[1]!i_dq_close(X$2,$P570)</f>
        <v>5292.7199000000001</v>
      </c>
      <c r="Y570" s="14">
        <f>[1]!i_dq_close(Y$2,$P570)</f>
        <v>5738.2503999999999</v>
      </c>
      <c r="Z570" s="14">
        <f>[1]!i_dq_close(Z$2,$P570)</f>
        <v>2125.6837</v>
      </c>
      <c r="AB570" s="1">
        <v>43250</v>
      </c>
      <c r="AC570">
        <v>1.0804963468930886</v>
      </c>
      <c r="AD570">
        <v>1.1990280205561923</v>
      </c>
      <c r="AE570">
        <v>0.94610742964078642</v>
      </c>
      <c r="AF570">
        <v>1.0784386378828419</v>
      </c>
      <c r="AG570">
        <v>1.7043888990569545</v>
      </c>
      <c r="AH570">
        <v>1.3844005046245851</v>
      </c>
      <c r="AI570">
        <v>1.1477331968850071</v>
      </c>
      <c r="AJ570">
        <v>0.97770518399037476</v>
      </c>
      <c r="AK570">
        <v>1.1397460324446786</v>
      </c>
      <c r="AL570">
        <v>0.94474877298828897</v>
      </c>
    </row>
    <row r="571" spans="1:38" x14ac:dyDescent="0.4">
      <c r="A571" s="10">
        <v>43252</v>
      </c>
      <c r="B571" s="11">
        <v>1.3262757481608829</v>
      </c>
      <c r="C571" s="11">
        <v>1.38886981563482</v>
      </c>
      <c r="D571" s="11">
        <v>1.2124855528235221</v>
      </c>
      <c r="E571" s="11">
        <v>1.261360148721026</v>
      </c>
      <c r="P571" s="1">
        <f>A570</f>
        <v>43251</v>
      </c>
      <c r="Q571" s="14">
        <f>[1]!i_dq_close(Q$2,$P571)</f>
        <v>1854.164</v>
      </c>
      <c r="R571" s="14">
        <f>[1]!i_dq_close(R$2,$P571)</f>
        <v>3098.7379000000001</v>
      </c>
      <c r="S571" s="14">
        <f>[1]!i_dq_close(S$2,$P571)</f>
        <v>3229.9585000000002</v>
      </c>
      <c r="T571" s="14">
        <f>[1]!i_dq_close(T$2,$P571)</f>
        <v>5369.2897999999996</v>
      </c>
      <c r="U571" s="14">
        <f>[1]!i_dq_close(U$2,$P571)</f>
        <v>11817.675999999999</v>
      </c>
      <c r="V571" s="14">
        <f>[1]!i_dq_close(V$2,$P571)</f>
        <v>11491.6315</v>
      </c>
      <c r="W571" s="14">
        <f>[1]!i_dq_close(W$2,$P571)</f>
        <v>5431.1278000000002</v>
      </c>
      <c r="X571" s="14">
        <f>[1]!i_dq_close(X$2,$P571)</f>
        <v>5354.5190000000002</v>
      </c>
      <c r="Y571" s="14">
        <f>[1]!i_dq_close(Y$2,$P571)</f>
        <v>5791.5541999999996</v>
      </c>
      <c r="Z571" s="14">
        <f>[1]!i_dq_close(Z$2,$P571)</f>
        <v>2155.1291000000001</v>
      </c>
      <c r="AB571" s="1">
        <v>43251</v>
      </c>
      <c r="AC571">
        <v>1.1007580013546319</v>
      </c>
      <c r="AD571">
        <v>1.2145678075620081</v>
      </c>
      <c r="AE571">
        <v>0.95591910346302866</v>
      </c>
      <c r="AF571">
        <v>1.110146655917978</v>
      </c>
      <c r="AG571">
        <v>1.7620629435145529</v>
      </c>
      <c r="AH571">
        <v>1.4192821492227155</v>
      </c>
      <c r="AI571">
        <v>1.1640303745839187</v>
      </c>
      <c r="AJ571">
        <v>0.98912111031512506</v>
      </c>
      <c r="AK571">
        <v>1.1503333701049914</v>
      </c>
      <c r="AL571">
        <v>0.95783562383074949</v>
      </c>
    </row>
    <row r="572" spans="1:38" x14ac:dyDescent="0.4">
      <c r="A572" s="10">
        <v>43255</v>
      </c>
      <c r="B572" s="11">
        <v>1.330958860525808</v>
      </c>
      <c r="C572" s="11">
        <v>1.3955171443612231</v>
      </c>
      <c r="D572" s="11">
        <v>1.2153791827052991</v>
      </c>
      <c r="E572" s="11">
        <v>1.264165669426446</v>
      </c>
      <c r="P572" s="1">
        <f>A571</f>
        <v>43252</v>
      </c>
      <c r="Q572" s="14">
        <f>[1]!i_dq_close(Q$2,$P572)</f>
        <v>1856.143</v>
      </c>
      <c r="R572" s="14">
        <f>[1]!i_dq_close(R$2,$P572)</f>
        <v>3081.3227000000002</v>
      </c>
      <c r="S572" s="14">
        <f>[1]!i_dq_close(S$2,$P572)</f>
        <v>3201.8474999999999</v>
      </c>
      <c r="T572" s="14">
        <f>[1]!i_dq_close(T$2,$P572)</f>
        <v>5310.0852000000004</v>
      </c>
      <c r="U572" s="14">
        <f>[1]!i_dq_close(U$2,$P572)</f>
        <v>11619.9375</v>
      </c>
      <c r="V572" s="14">
        <f>[1]!i_dq_close(V$2,$P572)</f>
        <v>11136.9022</v>
      </c>
      <c r="W572" s="14">
        <f>[1]!i_dq_close(W$2,$P572)</f>
        <v>5430.7421999999997</v>
      </c>
      <c r="X572" s="14">
        <f>[1]!i_dq_close(X$2,$P572)</f>
        <v>5273.5667000000003</v>
      </c>
      <c r="Y572" s="14">
        <f>[1]!i_dq_close(Y$2,$P572)</f>
        <v>5744.6202999999996</v>
      </c>
      <c r="Z572" s="14">
        <f>[1]!i_dq_close(Z$2,$P572)</f>
        <v>2146.8474999999999</v>
      </c>
      <c r="AB572" s="1">
        <v>43252</v>
      </c>
      <c r="AC572">
        <v>1.1019328705057323</v>
      </c>
      <c r="AD572">
        <v>1.2077418216397222</v>
      </c>
      <c r="AE572">
        <v>0.94759954086881903</v>
      </c>
      <c r="AF572">
        <v>1.0979055977607222</v>
      </c>
      <c r="AG572">
        <v>1.7325793391784592</v>
      </c>
      <c r="AH572">
        <v>1.3754710538794417</v>
      </c>
      <c r="AI572">
        <v>1.1639477305863977</v>
      </c>
      <c r="AJ572">
        <v>0.97416708197783408</v>
      </c>
      <c r="AK572">
        <v>1.1410112383429902</v>
      </c>
      <c r="AL572">
        <v>0.95415491092017857</v>
      </c>
    </row>
    <row r="573" spans="1:38" x14ac:dyDescent="0.4">
      <c r="A573" s="10">
        <v>43256</v>
      </c>
      <c r="B573" s="11">
        <v>1.35393329470361</v>
      </c>
      <c r="C573" s="11">
        <v>1.4153448479339359</v>
      </c>
      <c r="D573" s="11">
        <v>1.2352873874207899</v>
      </c>
      <c r="E573" s="11">
        <v>1.28795480944351</v>
      </c>
      <c r="P573" s="1">
        <f>A572</f>
        <v>43255</v>
      </c>
      <c r="Q573" s="14">
        <f>[1]!i_dq_close(Q$2,$P573)</f>
        <v>1856.788</v>
      </c>
      <c r="R573" s="14">
        <f>[1]!i_dq_close(R$2,$P573)</f>
        <v>3087.9650000000001</v>
      </c>
      <c r="S573" s="14">
        <f>[1]!i_dq_close(S$2,$P573)</f>
        <v>3189.1289000000002</v>
      </c>
      <c r="T573" s="14">
        <f>[1]!i_dq_close(T$2,$P573)</f>
        <v>5332.8747999999996</v>
      </c>
      <c r="U573" s="14">
        <f>[1]!i_dq_close(U$2,$P573)</f>
        <v>11796.3999</v>
      </c>
      <c r="V573" s="14">
        <f>[1]!i_dq_close(V$2,$P573)</f>
        <v>11111.060100000001</v>
      </c>
      <c r="W573" s="14">
        <f>[1]!i_dq_close(W$2,$P573)</f>
        <v>5495.5784000000003</v>
      </c>
      <c r="X573" s="14">
        <f>[1]!i_dq_close(X$2,$P573)</f>
        <v>5263.9471999999996</v>
      </c>
      <c r="Y573" s="14">
        <f>[1]!i_dq_close(Y$2,$P573)</f>
        <v>5753.3831</v>
      </c>
      <c r="Z573" s="14">
        <f>[1]!i_dq_close(Z$2,$P573)</f>
        <v>2144.5572999999999</v>
      </c>
      <c r="AB573" s="1">
        <v>43255</v>
      </c>
      <c r="AC573">
        <v>1.1023157864241049</v>
      </c>
      <c r="AD573">
        <v>1.2103453086103915</v>
      </c>
      <c r="AE573">
        <v>0.94383542046005697</v>
      </c>
      <c r="AF573">
        <v>1.1026175427612894</v>
      </c>
      <c r="AG573">
        <v>1.7588905915739086</v>
      </c>
      <c r="AH573">
        <v>1.3722794068771489</v>
      </c>
      <c r="AI573">
        <v>1.1778437958148016</v>
      </c>
      <c r="AJ573">
        <v>0.97239010620826871</v>
      </c>
      <c r="AK573">
        <v>1.142751728185174</v>
      </c>
      <c r="AL573">
        <v>0.95313704375588804</v>
      </c>
    </row>
    <row r="574" spans="1:38" x14ac:dyDescent="0.4">
      <c r="A574" s="10">
        <v>43257</v>
      </c>
      <c r="B574" s="11">
        <v>1.3581301135832791</v>
      </c>
      <c r="C574" s="11">
        <v>1.4183770388811661</v>
      </c>
      <c r="D574" s="11">
        <v>1.239253351039737</v>
      </c>
      <c r="E574" s="11">
        <v>1.290687123235041</v>
      </c>
      <c r="P574" s="1">
        <f>A573</f>
        <v>43256</v>
      </c>
      <c r="Q574" s="14">
        <f>[1]!i_dq_close(Q$2,$P574)</f>
        <v>1846.4142999999999</v>
      </c>
      <c r="R574" s="14">
        <f>[1]!i_dq_close(R$2,$P574)</f>
        <v>3132.3233</v>
      </c>
      <c r="S574" s="14">
        <f>[1]!i_dq_close(S$2,$P574)</f>
        <v>3219.8485999999998</v>
      </c>
      <c r="T574" s="14">
        <f>[1]!i_dq_close(T$2,$P574)</f>
        <v>5390.6360000000004</v>
      </c>
      <c r="U574" s="14">
        <f>[1]!i_dq_close(U$2,$P574)</f>
        <v>11934.5563</v>
      </c>
      <c r="V574" s="14">
        <f>[1]!i_dq_close(V$2,$P574)</f>
        <v>11431.959199999999</v>
      </c>
      <c r="W574" s="14">
        <f>[1]!i_dq_close(W$2,$P574)</f>
        <v>5513.9222</v>
      </c>
      <c r="X574" s="14">
        <f>[1]!i_dq_close(X$2,$P574)</f>
        <v>5427.1931000000004</v>
      </c>
      <c r="Y574" s="14">
        <f>[1]!i_dq_close(Y$2,$P574)</f>
        <v>5879.3966</v>
      </c>
      <c r="Z574" s="14">
        <f>[1]!i_dq_close(Z$2,$P574)</f>
        <v>2152.0504999999998</v>
      </c>
      <c r="AB574" s="1">
        <v>43256</v>
      </c>
      <c r="AC574">
        <v>1.0961572517536806</v>
      </c>
      <c r="AD574">
        <v>1.2277317946304507</v>
      </c>
      <c r="AE574">
        <v>0.9529270382262458</v>
      </c>
      <c r="AF574">
        <v>1.1145601656053405</v>
      </c>
      <c r="AG574">
        <v>1.779490265557979</v>
      </c>
      <c r="AH574">
        <v>1.4119122792270526</v>
      </c>
      <c r="AI574">
        <v>1.1817753439520582</v>
      </c>
      <c r="AJ574">
        <v>1.0025459364261451</v>
      </c>
      <c r="AK574">
        <v>1.1677808532054881</v>
      </c>
      <c r="AL574">
        <v>0.95646735649515202</v>
      </c>
    </row>
    <row r="575" spans="1:38" x14ac:dyDescent="0.4">
      <c r="A575" s="10">
        <v>43258</v>
      </c>
      <c r="B575" s="11">
        <v>1.3517770335281849</v>
      </c>
      <c r="C575" s="11">
        <v>1.412911347728427</v>
      </c>
      <c r="D575" s="11">
        <v>1.2329354003144239</v>
      </c>
      <c r="E575" s="11">
        <v>1.283353739780394</v>
      </c>
      <c r="P575" s="1">
        <f>A574</f>
        <v>43257</v>
      </c>
      <c r="Q575" s="14">
        <f>[1]!i_dq_close(Q$2,$P575)</f>
        <v>1853.1873000000001</v>
      </c>
      <c r="R575" s="14">
        <f>[1]!i_dq_close(R$2,$P575)</f>
        <v>3147.7159000000001</v>
      </c>
      <c r="S575" s="14">
        <f>[1]!i_dq_close(S$2,$P575)</f>
        <v>3223.3224</v>
      </c>
      <c r="T575" s="14">
        <f>[1]!i_dq_close(T$2,$P575)</f>
        <v>5382.4227000000001</v>
      </c>
      <c r="U575" s="14">
        <f>[1]!i_dq_close(U$2,$P575)</f>
        <v>11918.398800000001</v>
      </c>
      <c r="V575" s="14">
        <f>[1]!i_dq_close(V$2,$P575)</f>
        <v>11517.464</v>
      </c>
      <c r="W575" s="14">
        <f>[1]!i_dq_close(W$2,$P575)</f>
        <v>5474.6597000000002</v>
      </c>
      <c r="X575" s="14">
        <f>[1]!i_dq_close(X$2,$P575)</f>
        <v>5416.8944000000001</v>
      </c>
      <c r="Y575" s="14">
        <f>[1]!i_dq_close(Y$2,$P575)</f>
        <v>5871.0978999999998</v>
      </c>
      <c r="Z575" s="14">
        <f>[1]!i_dq_close(Z$2,$P575)</f>
        <v>2155.181</v>
      </c>
      <c r="AB575" s="1">
        <v>43257</v>
      </c>
      <c r="AC575">
        <v>1.1001781657306402</v>
      </c>
      <c r="AD575">
        <v>1.2337650110682394</v>
      </c>
      <c r="AE575">
        <v>0.95395512319439946</v>
      </c>
      <c r="AF575">
        <v>1.1128619954806713</v>
      </c>
      <c r="AG575">
        <v>1.7770811174302223</v>
      </c>
      <c r="AH575">
        <v>1.4224726105701575</v>
      </c>
      <c r="AI575">
        <v>1.173360380381858</v>
      </c>
      <c r="AJ575">
        <v>1.0006434944740663</v>
      </c>
      <c r="AK575">
        <v>1.1661325440972887</v>
      </c>
      <c r="AL575">
        <v>0.9578586905086931</v>
      </c>
    </row>
    <row r="576" spans="1:38" x14ac:dyDescent="0.4">
      <c r="A576" s="10">
        <v>43259</v>
      </c>
      <c r="B576" s="11">
        <v>1.341325227525715</v>
      </c>
      <c r="C576" s="11">
        <v>1.4010931559728339</v>
      </c>
      <c r="D576" s="11">
        <v>1.2259973168519569</v>
      </c>
      <c r="E576" s="11">
        <v>1.2767211132577829</v>
      </c>
      <c r="P576" s="1">
        <f>A575</f>
        <v>43258</v>
      </c>
      <c r="Q576" s="14">
        <f>[1]!i_dq_close(Q$2,$P576)</f>
        <v>1854.4168</v>
      </c>
      <c r="R576" s="14">
        <f>[1]!i_dq_close(R$2,$P576)</f>
        <v>3155.0304999999998</v>
      </c>
      <c r="S576" s="14">
        <f>[1]!i_dq_close(S$2,$P576)</f>
        <v>3203.2575000000002</v>
      </c>
      <c r="T576" s="14">
        <f>[1]!i_dq_close(T$2,$P576)</f>
        <v>5341.2701999999999</v>
      </c>
      <c r="U576" s="14">
        <f>[1]!i_dq_close(U$2,$P576)</f>
        <v>11824.250700000001</v>
      </c>
      <c r="V576" s="14">
        <f>[1]!i_dq_close(V$2,$P576)</f>
        <v>11369.111199999999</v>
      </c>
      <c r="W576" s="14">
        <f>[1]!i_dq_close(W$2,$P576)</f>
        <v>5501.9377999999997</v>
      </c>
      <c r="X576" s="14">
        <f>[1]!i_dq_close(X$2,$P576)</f>
        <v>5375.2084999999997</v>
      </c>
      <c r="Y576" s="14">
        <f>[1]!i_dq_close(Y$2,$P576)</f>
        <v>5821.1113999999998</v>
      </c>
      <c r="Z576" s="14">
        <f>[1]!i_dq_close(Z$2,$P576)</f>
        <v>2133.8710000000001</v>
      </c>
      <c r="AB576" s="1">
        <v>43258</v>
      </c>
      <c r="AC576">
        <v>1.1009080806479103</v>
      </c>
      <c r="AD576">
        <v>1.2366320098180186</v>
      </c>
      <c r="AE576">
        <v>0.94801683599378217</v>
      </c>
      <c r="AF576">
        <v>1.1043533636207064</v>
      </c>
      <c r="AG576">
        <v>1.7630432576841688</v>
      </c>
      <c r="AH576">
        <v>1.4041501921366035</v>
      </c>
      <c r="AI576">
        <v>1.1792067787967393</v>
      </c>
      <c r="AJ576">
        <v>0.9929430075222998</v>
      </c>
      <c r="AK576">
        <v>1.1562040970830567</v>
      </c>
      <c r="AL576">
        <v>0.94838757476725877</v>
      </c>
    </row>
    <row r="577" spans="1:38" x14ac:dyDescent="0.4">
      <c r="A577" s="10">
        <v>43262</v>
      </c>
      <c r="B577" s="11">
        <v>1.3336368650059169</v>
      </c>
      <c r="C577" s="11">
        <v>1.394516767154808</v>
      </c>
      <c r="D577" s="11">
        <v>1.217941025882338</v>
      </c>
      <c r="E577" s="11">
        <v>1.268097388892903</v>
      </c>
      <c r="P577" s="1">
        <f>A576</f>
        <v>43259</v>
      </c>
      <c r="Q577" s="14">
        <f>[1]!i_dq_close(Q$2,$P577)</f>
        <v>1827.5157999999999</v>
      </c>
      <c r="R577" s="14">
        <f>[1]!i_dq_close(R$2,$P577)</f>
        <v>3101.0227</v>
      </c>
      <c r="S577" s="14">
        <f>[1]!i_dq_close(S$2,$P577)</f>
        <v>3161.3836999999999</v>
      </c>
      <c r="T577" s="14">
        <f>[1]!i_dq_close(T$2,$P577)</f>
        <v>5304.183</v>
      </c>
      <c r="U577" s="14">
        <f>[1]!i_dq_close(U$2,$P577)</f>
        <v>11692.7644</v>
      </c>
      <c r="V577" s="14">
        <f>[1]!i_dq_close(V$2,$P577)</f>
        <v>11304.379199999999</v>
      </c>
      <c r="W577" s="14">
        <f>[1]!i_dq_close(W$2,$P577)</f>
        <v>5392.4754000000003</v>
      </c>
      <c r="X577" s="14">
        <f>[1]!i_dq_close(X$2,$P577)</f>
        <v>5334.0803999999998</v>
      </c>
      <c r="Y577" s="14">
        <f>[1]!i_dq_close(Y$2,$P577)</f>
        <v>5771.5995000000003</v>
      </c>
      <c r="Z577" s="14">
        <f>[1]!i_dq_close(Z$2,$P577)</f>
        <v>2105.3296</v>
      </c>
      <c r="AB577" s="1">
        <v>43259</v>
      </c>
      <c r="AC577">
        <v>1.0849378153453584</v>
      </c>
      <c r="AD577">
        <v>1.2154633478162251</v>
      </c>
      <c r="AE577">
        <v>0.93562411783514621</v>
      </c>
      <c r="AF577">
        <v>1.0966852673563994</v>
      </c>
      <c r="AG577">
        <v>1.7434381223927766</v>
      </c>
      <c r="AH577">
        <v>1.3961554202816686</v>
      </c>
      <c r="AI577">
        <v>1.155746171135315</v>
      </c>
      <c r="AJ577">
        <v>0.98534556096600756</v>
      </c>
      <c r="AK577">
        <v>1.1463699163397769</v>
      </c>
      <c r="AL577">
        <v>0.93570250189900095</v>
      </c>
    </row>
    <row r="578" spans="1:38" x14ac:dyDescent="0.4">
      <c r="A578" s="10">
        <v>43263</v>
      </c>
      <c r="B578" s="11">
        <v>1.351202481838476</v>
      </c>
      <c r="C578" s="11">
        <v>1.4132303891039519</v>
      </c>
      <c r="D578" s="11">
        <v>1.233177752882104</v>
      </c>
      <c r="E578" s="11">
        <v>1.285198569146625</v>
      </c>
      <c r="P578" s="1">
        <f>A577</f>
        <v>43262</v>
      </c>
      <c r="Q578" s="14">
        <f>[1]!i_dq_close(Q$2,$P578)</f>
        <v>1805.9701</v>
      </c>
      <c r="R578" s="14">
        <f>[1]!i_dq_close(R$2,$P578)</f>
        <v>3105.5544</v>
      </c>
      <c r="S578" s="14">
        <f>[1]!i_dq_close(S$2,$P578)</f>
        <v>3143.6500999999998</v>
      </c>
      <c r="T578" s="14">
        <f>[1]!i_dq_close(T$2,$P578)</f>
        <v>5299.3554999999997</v>
      </c>
      <c r="U578" s="14">
        <f>[1]!i_dq_close(U$2,$P578)</f>
        <v>11562.3076</v>
      </c>
      <c r="V578" s="14">
        <f>[1]!i_dq_close(V$2,$P578)</f>
        <v>11047.754499999999</v>
      </c>
      <c r="W578" s="14">
        <f>[1]!i_dq_close(W$2,$P578)</f>
        <v>5418.7794999999996</v>
      </c>
      <c r="X578" s="14">
        <f>[1]!i_dq_close(X$2,$P578)</f>
        <v>5303.1481000000003</v>
      </c>
      <c r="Y578" s="14">
        <f>[1]!i_dq_close(Y$2,$P578)</f>
        <v>5727.3086000000003</v>
      </c>
      <c r="Z578" s="14">
        <f>[1]!i_dq_close(Z$2,$P578)</f>
        <v>2104.3285000000001</v>
      </c>
      <c r="AB578" s="1">
        <v>43262</v>
      </c>
      <c r="AC578">
        <v>1.0721468207678633</v>
      </c>
      <c r="AD578">
        <v>1.217239573205771</v>
      </c>
      <c r="AE578">
        <v>0.93037578816986666</v>
      </c>
      <c r="AF578">
        <v>1.0956871403822428</v>
      </c>
      <c r="AG578">
        <v>1.7239864896851707</v>
      </c>
      <c r="AH578">
        <v>1.3644608035721408</v>
      </c>
      <c r="AI578">
        <v>1.1613838162991965</v>
      </c>
      <c r="AJ578">
        <v>0.97963154801347163</v>
      </c>
      <c r="AK578">
        <v>1.1375727440259993</v>
      </c>
      <c r="AL578">
        <v>0.93525756834814455</v>
      </c>
    </row>
    <row r="579" spans="1:38" x14ac:dyDescent="0.4">
      <c r="A579" s="10">
        <v>43264</v>
      </c>
      <c r="B579" s="11">
        <v>1.338345118580041</v>
      </c>
      <c r="C579" s="11">
        <v>1.4009216189812119</v>
      </c>
      <c r="D579" s="11">
        <v>1.221818787994176</v>
      </c>
      <c r="E579" s="11">
        <v>1.27092063388148</v>
      </c>
      <c r="P579" s="1">
        <f>A578</f>
        <v>43263</v>
      </c>
      <c r="Q579" s="14">
        <f>[1]!i_dq_close(Q$2,$P579)</f>
        <v>1834.7532000000001</v>
      </c>
      <c r="R579" s="14">
        <f>[1]!i_dq_close(R$2,$P579)</f>
        <v>3124.1893</v>
      </c>
      <c r="S579" s="14">
        <f>[1]!i_dq_close(S$2,$P579)</f>
        <v>3174.0938999999998</v>
      </c>
      <c r="T579" s="14">
        <f>[1]!i_dq_close(T$2,$P579)</f>
        <v>5372.8846000000003</v>
      </c>
      <c r="U579" s="14">
        <f>[1]!i_dq_close(U$2,$P579)</f>
        <v>11899.6752</v>
      </c>
      <c r="V579" s="14">
        <f>[1]!i_dq_close(V$2,$P579)</f>
        <v>11221.286899999999</v>
      </c>
      <c r="W579" s="14">
        <f>[1]!i_dq_close(W$2,$P579)</f>
        <v>5444.6682000000001</v>
      </c>
      <c r="X579" s="14">
        <f>[1]!i_dq_close(X$2,$P579)</f>
        <v>5341.5905000000002</v>
      </c>
      <c r="Y579" s="14">
        <f>[1]!i_dq_close(Y$2,$P579)</f>
        <v>5762.1225000000004</v>
      </c>
      <c r="Z579" s="14">
        <f>[1]!i_dq_close(Z$2,$P579)</f>
        <v>2119.8411000000001</v>
      </c>
      <c r="AB579" s="1">
        <v>43263</v>
      </c>
      <c r="AC579">
        <v>1.0892344287835463</v>
      </c>
      <c r="AD579">
        <v>1.2245436274264063</v>
      </c>
      <c r="AE579">
        <v>0.939385752230398</v>
      </c>
      <c r="AF579">
        <v>1.1108899116086457</v>
      </c>
      <c r="AG579">
        <v>1.774289353488717</v>
      </c>
      <c r="AH579">
        <v>1.3858930464727051</v>
      </c>
      <c r="AI579">
        <v>1.1669324305591098</v>
      </c>
      <c r="AJ579">
        <v>0.98673287483128247</v>
      </c>
      <c r="AK579">
        <v>1.1444875702592576</v>
      </c>
      <c r="AL579">
        <v>0.94215206060767409</v>
      </c>
    </row>
    <row r="580" spans="1:38" x14ac:dyDescent="0.4">
      <c r="A580" s="10">
        <v>43265</v>
      </c>
      <c r="B580" s="11">
        <v>1.3306973870486829</v>
      </c>
      <c r="C580" s="11">
        <v>1.3939172945073961</v>
      </c>
      <c r="D580" s="11">
        <v>1.2159027521253809</v>
      </c>
      <c r="E580" s="11">
        <v>1.262303550648489</v>
      </c>
      <c r="P580" s="1">
        <f>A579</f>
        <v>43264</v>
      </c>
      <c r="Q580" s="14">
        <f>[1]!i_dq_close(Q$2,$P580)</f>
        <v>1819.4281000000001</v>
      </c>
      <c r="R580" s="14">
        <f>[1]!i_dq_close(R$2,$P580)</f>
        <v>3088.7959000000001</v>
      </c>
      <c r="S580" s="14">
        <f>[1]!i_dq_close(S$2,$P580)</f>
        <v>3129.7921000000001</v>
      </c>
      <c r="T580" s="14">
        <f>[1]!i_dq_close(T$2,$P580)</f>
        <v>5312.2790000000005</v>
      </c>
      <c r="U580" s="14">
        <f>[1]!i_dq_close(U$2,$P580)</f>
        <v>11743.0162</v>
      </c>
      <c r="V580" s="14">
        <f>[1]!i_dq_close(V$2,$P580)</f>
        <v>11004.320299999999</v>
      </c>
      <c r="W580" s="14">
        <f>[1]!i_dq_close(W$2,$P580)</f>
        <v>5406.9549999999999</v>
      </c>
      <c r="X580" s="14">
        <f>[1]!i_dq_close(X$2,$P580)</f>
        <v>5239.2649000000001</v>
      </c>
      <c r="Y580" s="14">
        <f>[1]!i_dq_close(Y$2,$P580)</f>
        <v>5591.3743999999997</v>
      </c>
      <c r="Z580" s="14">
        <f>[1]!i_dq_close(Z$2,$P580)</f>
        <v>2113.5427</v>
      </c>
      <c r="AB580" s="1">
        <v>43264</v>
      </c>
      <c r="AC580">
        <v>1.0801364059298182</v>
      </c>
      <c r="AD580">
        <v>1.2106709845545567</v>
      </c>
      <c r="AE580">
        <v>0.92627445778565565</v>
      </c>
      <c r="AF580">
        <v>1.098359184701355</v>
      </c>
      <c r="AG580">
        <v>1.7509308675505304</v>
      </c>
      <c r="AH580">
        <v>1.3590964317050331</v>
      </c>
      <c r="AI580">
        <v>1.1588495218264596</v>
      </c>
      <c r="AJ580">
        <v>0.9678306333627843</v>
      </c>
      <c r="AK580">
        <v>1.1105731440915763</v>
      </c>
      <c r="AL580">
        <v>0.93935277035024323</v>
      </c>
    </row>
    <row r="581" spans="1:38" x14ac:dyDescent="0.4">
      <c r="A581" s="10">
        <v>43266</v>
      </c>
      <c r="B581" s="11">
        <v>1.315813706441971</v>
      </c>
      <c r="C581" s="11">
        <v>1.3822787037143101</v>
      </c>
      <c r="D581" s="11">
        <v>1.2029474295619891</v>
      </c>
      <c r="E581" s="11">
        <v>1.246857223642303</v>
      </c>
      <c r="P581" s="1">
        <f>A580</f>
        <v>43265</v>
      </c>
      <c r="Q581" s="14">
        <f>[1]!i_dq_close(Q$2,$P581)</f>
        <v>1822.1034999999999</v>
      </c>
      <c r="R581" s="14">
        <f>[1]!i_dq_close(R$2,$P581)</f>
        <v>3084.7772</v>
      </c>
      <c r="S581" s="14">
        <f>[1]!i_dq_close(S$2,$P581)</f>
        <v>3113.8542000000002</v>
      </c>
      <c r="T581" s="14">
        <f>[1]!i_dq_close(T$2,$P581)</f>
        <v>5269.2627000000002</v>
      </c>
      <c r="U581" s="14">
        <f>[1]!i_dq_close(U$2,$P581)</f>
        <v>11569.3974</v>
      </c>
      <c r="V581" s="14">
        <f>[1]!i_dq_close(V$2,$P581)</f>
        <v>10924.4347</v>
      </c>
      <c r="W581" s="14">
        <f>[1]!i_dq_close(W$2,$P581)</f>
        <v>5424.8981000000003</v>
      </c>
      <c r="X581" s="14">
        <f>[1]!i_dq_close(X$2,$P581)</f>
        <v>5218.0072</v>
      </c>
      <c r="Y581" s="14">
        <f>[1]!i_dq_close(Y$2,$P581)</f>
        <v>5507.1072999999997</v>
      </c>
      <c r="Z581" s="14">
        <f>[1]!i_dq_close(Z$2,$P581)</f>
        <v>2113.6480000000001</v>
      </c>
      <c r="AB581" s="1">
        <v>43265</v>
      </c>
      <c r="AC581">
        <v>1.0817247055391428</v>
      </c>
      <c r="AD581">
        <v>1.2090958324101144</v>
      </c>
      <c r="AE581">
        <v>0.92155757269902583</v>
      </c>
      <c r="AF581">
        <v>1.0894651962273179</v>
      </c>
      <c r="AG581">
        <v>1.7250436073330846</v>
      </c>
      <c r="AH581">
        <v>1.3492301036679788</v>
      </c>
      <c r="AI581">
        <v>1.1626951896478277</v>
      </c>
      <c r="AJ581">
        <v>0.96390377460539711</v>
      </c>
      <c r="AK581">
        <v>1.0938357962598018</v>
      </c>
      <c r="AL581">
        <v>0.93939957037312338</v>
      </c>
    </row>
    <row r="582" spans="1:38" x14ac:dyDescent="0.4">
      <c r="A582" s="10">
        <v>43270</v>
      </c>
      <c r="B582" s="11">
        <v>1.265307464079938</v>
      </c>
      <c r="C582" s="11">
        <v>1.3335399859755841</v>
      </c>
      <c r="D582" s="11">
        <v>1.1609292652508401</v>
      </c>
      <c r="E582" s="11">
        <v>1.197720142005563</v>
      </c>
      <c r="P582" s="1">
        <f>A581</f>
        <v>43266</v>
      </c>
      <c r="Q582" s="14">
        <f>[1]!i_dq_close(Q$2,$P582)</f>
        <v>1819.0995</v>
      </c>
      <c r="R582" s="14">
        <f>[1]!i_dq_close(R$2,$P582)</f>
        <v>3034.1026999999999</v>
      </c>
      <c r="S582" s="14">
        <f>[1]!i_dq_close(S$2,$P582)</f>
        <v>3066.4387999999999</v>
      </c>
      <c r="T582" s="14">
        <f>[1]!i_dq_close(T$2,$P582)</f>
        <v>5198.6572999999999</v>
      </c>
      <c r="U582" s="14">
        <f>[1]!i_dq_close(U$2,$P582)</f>
        <v>11382.9822</v>
      </c>
      <c r="V582" s="14">
        <f>[1]!i_dq_close(V$2,$P582)</f>
        <v>10726.7803</v>
      </c>
      <c r="W582" s="14">
        <f>[1]!i_dq_close(W$2,$P582)</f>
        <v>5431.1063000000004</v>
      </c>
      <c r="X582" s="14">
        <f>[1]!i_dq_close(X$2,$P582)</f>
        <v>5100.5973000000004</v>
      </c>
      <c r="Y582" s="14">
        <f>[1]!i_dq_close(Y$2,$P582)</f>
        <v>5318.3666999999996</v>
      </c>
      <c r="Z582" s="14">
        <f>[1]!i_dq_close(Z$2,$P582)</f>
        <v>2099.8090000000002</v>
      </c>
      <c r="AB582" s="1">
        <v>43266</v>
      </c>
      <c r="AC582">
        <v>1.0799413265952797</v>
      </c>
      <c r="AD582">
        <v>1.1892336761547238</v>
      </c>
      <c r="AE582">
        <v>0.90752479591308843</v>
      </c>
      <c r="AF582">
        <v>1.074866925018386</v>
      </c>
      <c r="AG582">
        <v>1.6972483524938207</v>
      </c>
      <c r="AH582">
        <v>1.3248186559431432</v>
      </c>
      <c r="AI582">
        <v>1.164025766580945</v>
      </c>
      <c r="AJ582">
        <v>0.9422150644430114</v>
      </c>
      <c r="AK582">
        <v>1.0563476535305776</v>
      </c>
      <c r="AL582">
        <v>0.93324890069946265</v>
      </c>
    </row>
    <row r="583" spans="1:38" x14ac:dyDescent="0.4">
      <c r="A583" s="10">
        <v>43271</v>
      </c>
      <c r="B583" s="11">
        <v>1.2796924284048941</v>
      </c>
      <c r="C583" s="11">
        <v>1.348680796512322</v>
      </c>
      <c r="D583" s="11">
        <v>1.1745739530754611</v>
      </c>
      <c r="E583" s="11">
        <v>1.2144064035095901</v>
      </c>
      <c r="P583" s="1">
        <f>A582</f>
        <v>43270</v>
      </c>
      <c r="Q583" s="14">
        <f>[1]!i_dq_close(Q$2,$P583)</f>
        <v>1735.5068000000001</v>
      </c>
      <c r="R583" s="14">
        <f>[1]!i_dq_close(R$2,$P583)</f>
        <v>2841.6541999999999</v>
      </c>
      <c r="S583" s="14">
        <f>[1]!i_dq_close(S$2,$P583)</f>
        <v>2900.3204999999998</v>
      </c>
      <c r="T583" s="14">
        <f>[1]!i_dq_close(T$2,$P583)</f>
        <v>4949.4814999999999</v>
      </c>
      <c r="U583" s="14">
        <f>[1]!i_dq_close(U$2,$P583)</f>
        <v>10899.908600000001</v>
      </c>
      <c r="V583" s="14">
        <f>[1]!i_dq_close(V$2,$P583)</f>
        <v>10295.2523</v>
      </c>
      <c r="W583" s="14">
        <f>[1]!i_dq_close(W$2,$P583)</f>
        <v>5253.7873</v>
      </c>
      <c r="X583" s="14">
        <f>[1]!i_dq_close(X$2,$P583)</f>
        <v>4751.1090999999997</v>
      </c>
      <c r="Y583" s="14">
        <f>[1]!i_dq_close(Y$2,$P583)</f>
        <v>4916.8603999999996</v>
      </c>
      <c r="Z583" s="14">
        <f>[1]!i_dq_close(Z$2,$P583)</f>
        <v>1992.3624</v>
      </c>
      <c r="AB583" s="1">
        <v>43270</v>
      </c>
      <c r="AC583">
        <v>1.0303150080065047</v>
      </c>
      <c r="AD583">
        <v>1.1138024005009821</v>
      </c>
      <c r="AE583">
        <v>0.85836142232646107</v>
      </c>
      <c r="AF583">
        <v>1.0233476940940862</v>
      </c>
      <c r="AG583">
        <v>1.6252201390320391</v>
      </c>
      <c r="AH583">
        <v>1.2715224823502307</v>
      </c>
      <c r="AI583">
        <v>1.126021744287298</v>
      </c>
      <c r="AJ583">
        <v>0.87765536142841105</v>
      </c>
      <c r="AK583">
        <v>0.97659944100458829</v>
      </c>
      <c r="AL583">
        <v>0.88549483290858499</v>
      </c>
    </row>
    <row r="584" spans="1:38" x14ac:dyDescent="0.4">
      <c r="A584" s="10">
        <v>43272</v>
      </c>
      <c r="B584" s="11">
        <v>1.262583222272244</v>
      </c>
      <c r="C584" s="11">
        <v>1.3345693312804989</v>
      </c>
      <c r="D584" s="11">
        <v>1.1596832411687139</v>
      </c>
      <c r="E584" s="11">
        <v>1.196893337661959</v>
      </c>
      <c r="P584" s="1">
        <f>A583</f>
        <v>43271</v>
      </c>
      <c r="Q584" s="14">
        <f>[1]!i_dq_close(Q$2,$P584)</f>
        <v>1737.7738999999999</v>
      </c>
      <c r="R584" s="14">
        <f>[1]!i_dq_close(R$2,$P584)</f>
        <v>2857.0353</v>
      </c>
      <c r="S584" s="14">
        <f>[1]!i_dq_close(S$2,$P584)</f>
        <v>2921.9131000000002</v>
      </c>
      <c r="T584" s="14">
        <f>[1]!i_dq_close(T$2,$P584)</f>
        <v>4987.9502000000002</v>
      </c>
      <c r="U584" s="14">
        <f>[1]!i_dq_close(U$2,$P584)</f>
        <v>11120.85</v>
      </c>
      <c r="V584" s="14">
        <f>[1]!i_dq_close(V$2,$P584)</f>
        <v>10542.660099999999</v>
      </c>
      <c r="W584" s="14">
        <f>[1]!i_dq_close(W$2,$P584)</f>
        <v>5242.2569000000003</v>
      </c>
      <c r="X584" s="14">
        <f>[1]!i_dq_close(X$2,$P584)</f>
        <v>4793.5018</v>
      </c>
      <c r="Y584" s="14">
        <f>[1]!i_dq_close(Y$2,$P584)</f>
        <v>4896.8818000000001</v>
      </c>
      <c r="Z584" s="14">
        <f>[1]!i_dq_close(Z$2,$P584)</f>
        <v>1999.0134</v>
      </c>
      <c r="AB584" s="1">
        <v>43271</v>
      </c>
      <c r="AC584">
        <v>1.0316609129344783</v>
      </c>
      <c r="AD584">
        <v>1.1198311094488709</v>
      </c>
      <c r="AE584">
        <v>0.86475183843658643</v>
      </c>
      <c r="AF584">
        <v>1.0313014273164041</v>
      </c>
      <c r="AG584">
        <v>1.658163388925523</v>
      </c>
      <c r="AH584">
        <v>1.3020787592477681</v>
      </c>
      <c r="AI584">
        <v>1.1235504830087284</v>
      </c>
      <c r="AJ584">
        <v>0.88548641301180375</v>
      </c>
      <c r="AK584">
        <v>0.9726312401599897</v>
      </c>
      <c r="AL584">
        <v>0.88845083435374128</v>
      </c>
    </row>
    <row r="585" spans="1:38" x14ac:dyDescent="0.4">
      <c r="A585" s="10">
        <v>43273</v>
      </c>
      <c r="B585" s="11">
        <v>1.275434220953664</v>
      </c>
      <c r="C585" s="11">
        <v>1.3463908643836751</v>
      </c>
      <c r="D585" s="11">
        <v>1.1700778750294141</v>
      </c>
      <c r="E585" s="11">
        <v>1.209846923640191</v>
      </c>
      <c r="P585" s="1">
        <f>A584</f>
        <v>43272</v>
      </c>
      <c r="Q585" s="14">
        <f>[1]!i_dq_close(Q$2,$P585)</f>
        <v>1734.0888</v>
      </c>
      <c r="R585" s="14">
        <f>[1]!i_dq_close(R$2,$P585)</f>
        <v>2821.7883000000002</v>
      </c>
      <c r="S585" s="14">
        <f>[1]!i_dq_close(S$2,$P585)</f>
        <v>2864.6795000000002</v>
      </c>
      <c r="T585" s="14">
        <f>[1]!i_dq_close(T$2,$P585)</f>
        <v>4905.2532000000001</v>
      </c>
      <c r="U585" s="14">
        <f>[1]!i_dq_close(U$2,$P585)</f>
        <v>10966.946099999999</v>
      </c>
      <c r="V585" s="14">
        <f>[1]!i_dq_close(V$2,$P585)</f>
        <v>10465.554400000001</v>
      </c>
      <c r="W585" s="14">
        <f>[1]!i_dq_close(W$2,$P585)</f>
        <v>5192.4557000000004</v>
      </c>
      <c r="X585" s="14">
        <f>[1]!i_dq_close(X$2,$P585)</f>
        <v>4592.7160999999996</v>
      </c>
      <c r="Y585" s="14">
        <f>[1]!i_dq_close(Y$2,$P585)</f>
        <v>4734.9237000000003</v>
      </c>
      <c r="Z585" s="14">
        <f>[1]!i_dq_close(Z$2,$P585)</f>
        <v>1974.0858000000001</v>
      </c>
      <c r="AB585" s="1">
        <v>43272</v>
      </c>
      <c r="AC585">
        <v>1.0294731866541751</v>
      </c>
      <c r="AD585">
        <v>1.1060158488832263</v>
      </c>
      <c r="AE585">
        <v>0.84781332619255556</v>
      </c>
      <c r="AF585">
        <v>1.0142031142388628</v>
      </c>
      <c r="AG585">
        <v>1.6352156994599825</v>
      </c>
      <c r="AH585">
        <v>1.2925557647440442</v>
      </c>
      <c r="AI585">
        <v>1.1128768049761975</v>
      </c>
      <c r="AJ585">
        <v>0.8483959900402166</v>
      </c>
      <c r="AK585">
        <v>0.94046270636835194</v>
      </c>
      <c r="AL585">
        <v>0.87737189560403783</v>
      </c>
    </row>
    <row r="586" spans="1:38" x14ac:dyDescent="0.4">
      <c r="A586" s="10">
        <v>43276</v>
      </c>
      <c r="B586" s="11">
        <v>1.262308288359439</v>
      </c>
      <c r="C586" s="11">
        <v>1.3338217405054029</v>
      </c>
      <c r="D586" s="11">
        <v>1.159794844040305</v>
      </c>
      <c r="E586" s="11">
        <v>1.203001407346951</v>
      </c>
      <c r="P586" s="1">
        <f>A585</f>
        <v>43273</v>
      </c>
      <c r="Q586" s="14">
        <f>[1]!i_dq_close(Q$2,$P586)</f>
        <v>1746.1018999999999</v>
      </c>
      <c r="R586" s="14">
        <f>[1]!i_dq_close(R$2,$P586)</f>
        <v>2865.22</v>
      </c>
      <c r="S586" s="14">
        <f>[1]!i_dq_close(S$2,$P586)</f>
        <v>2899.0576999999998</v>
      </c>
      <c r="T586" s="14">
        <f>[1]!i_dq_close(T$2,$P586)</f>
        <v>4932.8788999999997</v>
      </c>
      <c r="U586" s="14">
        <f>[1]!i_dq_close(U$2,$P586)</f>
        <v>11022.817499999999</v>
      </c>
      <c r="V586" s="14">
        <f>[1]!i_dq_close(V$2,$P586)</f>
        <v>10563.2878</v>
      </c>
      <c r="W586" s="14">
        <f>[1]!i_dq_close(W$2,$P586)</f>
        <v>5217.0150999999996</v>
      </c>
      <c r="X586" s="14">
        <f>[1]!i_dq_close(X$2,$P586)</f>
        <v>4673.1468000000004</v>
      </c>
      <c r="Y586" s="14">
        <f>[1]!i_dq_close(Y$2,$P586)</f>
        <v>4786.0989</v>
      </c>
      <c r="Z586" s="14">
        <f>[1]!i_dq_close(Z$2,$P586)</f>
        <v>1968.9737</v>
      </c>
      <c r="AB586" s="1">
        <v>43273</v>
      </c>
      <c r="AC586">
        <v>1.0366049807921658</v>
      </c>
      <c r="AD586">
        <v>1.1230391488040394</v>
      </c>
      <c r="AE586">
        <v>0.85798769162872823</v>
      </c>
      <c r="AF586">
        <v>1.0199149643372487</v>
      </c>
      <c r="AG586">
        <v>1.6435463495423064</v>
      </c>
      <c r="AH586">
        <v>1.3046263980568895</v>
      </c>
      <c r="AI586">
        <v>1.1181405160568969</v>
      </c>
      <c r="AJ586">
        <v>0.86325366507833357</v>
      </c>
      <c r="AK586">
        <v>0.95062725602961506</v>
      </c>
      <c r="AL586">
        <v>0.87509985004881552</v>
      </c>
    </row>
    <row r="587" spans="1:38" x14ac:dyDescent="0.4">
      <c r="A587" s="10">
        <v>43277</v>
      </c>
      <c r="B587" s="11">
        <v>1.261914472490167</v>
      </c>
      <c r="C587" s="11">
        <v>1.329152637407621</v>
      </c>
      <c r="D587" s="11">
        <v>1.1601796231582711</v>
      </c>
      <c r="E587" s="11">
        <v>1.204113273064332</v>
      </c>
      <c r="P587" s="1">
        <f>A586</f>
        <v>43276</v>
      </c>
      <c r="Q587" s="14">
        <f>[1]!i_dq_close(Q$2,$P587)</f>
        <v>1728.7009</v>
      </c>
      <c r="R587" s="14">
        <f>[1]!i_dq_close(R$2,$P587)</f>
        <v>2837.0662000000002</v>
      </c>
      <c r="S587" s="14">
        <f>[1]!i_dq_close(S$2,$P587)</f>
        <v>2877.3159999999998</v>
      </c>
      <c r="T587" s="14">
        <f>[1]!i_dq_close(T$2,$P587)</f>
        <v>4910.82</v>
      </c>
      <c r="U587" s="14">
        <f>[1]!i_dq_close(U$2,$P587)</f>
        <v>11040.714599999999</v>
      </c>
      <c r="V587" s="14">
        <f>[1]!i_dq_close(V$2,$P587)</f>
        <v>10546.072200000001</v>
      </c>
      <c r="W587" s="14">
        <f>[1]!i_dq_close(W$2,$P587)</f>
        <v>5101.8022000000001</v>
      </c>
      <c r="X587" s="14">
        <f>[1]!i_dq_close(X$2,$P587)</f>
        <v>4627.8860999999997</v>
      </c>
      <c r="Y587" s="14">
        <f>[1]!i_dq_close(Y$2,$P587)</f>
        <v>4732.4102000000003</v>
      </c>
      <c r="Z587" s="14">
        <f>[1]!i_dq_close(Z$2,$P587)</f>
        <v>1958.7998</v>
      </c>
      <c r="AB587" s="1">
        <v>43276</v>
      </c>
      <c r="AC587">
        <v>1.0262745623493679</v>
      </c>
      <c r="AD587">
        <v>1.1120041080087082</v>
      </c>
      <c r="AE587">
        <v>0.85155314877879318</v>
      </c>
      <c r="AF587">
        <v>1.0153540978203717</v>
      </c>
      <c r="AG587">
        <v>1.6462148790151381</v>
      </c>
      <c r="AH587">
        <v>1.3025001730932577</v>
      </c>
      <c r="AI587">
        <v>1.0934474283442677</v>
      </c>
      <c r="AJ587">
        <v>0.85489281813061702</v>
      </c>
      <c r="AK587">
        <v>0.9399634685427336</v>
      </c>
      <c r="AL587">
        <v>0.870578114504856</v>
      </c>
    </row>
    <row r="588" spans="1:38" x14ac:dyDescent="0.4">
      <c r="A588" s="10">
        <v>43278</v>
      </c>
      <c r="B588" s="11">
        <v>1.23971691848062</v>
      </c>
      <c r="C588" s="11">
        <v>1.3061146419521039</v>
      </c>
      <c r="D588" s="11">
        <v>1.140953687214094</v>
      </c>
      <c r="E588" s="11">
        <v>1.1814735980347919</v>
      </c>
      <c r="P588" s="1">
        <f>A587</f>
        <v>43277</v>
      </c>
      <c r="Q588" s="14">
        <f>[1]!i_dq_close(Q$2,$P588)</f>
        <v>1711.7161000000001</v>
      </c>
      <c r="R588" s="14">
        <f>[1]!i_dq_close(R$2,$P588)</f>
        <v>2831.8298</v>
      </c>
      <c r="S588" s="14">
        <f>[1]!i_dq_close(S$2,$P588)</f>
        <v>2884.1086</v>
      </c>
      <c r="T588" s="14">
        <f>[1]!i_dq_close(T$2,$P588)</f>
        <v>4900.8185999999996</v>
      </c>
      <c r="U588" s="14">
        <f>[1]!i_dq_close(U$2,$P588)</f>
        <v>10985.5085</v>
      </c>
      <c r="V588" s="14">
        <f>[1]!i_dq_close(V$2,$P588)</f>
        <v>10543.8961</v>
      </c>
      <c r="W588" s="14">
        <f>[1]!i_dq_close(W$2,$P588)</f>
        <v>5032.8944000000001</v>
      </c>
      <c r="X588" s="14">
        <f>[1]!i_dq_close(X$2,$P588)</f>
        <v>4745.4854999999998</v>
      </c>
      <c r="Y588" s="14">
        <f>[1]!i_dq_close(Y$2,$P588)</f>
        <v>4801.3963000000003</v>
      </c>
      <c r="Z588" s="14">
        <f>[1]!i_dq_close(Z$2,$P588)</f>
        <v>1949.8594000000001</v>
      </c>
      <c r="AB588" s="1">
        <v>43277</v>
      </c>
      <c r="AC588">
        <v>1.0161912285658363</v>
      </c>
      <c r="AD588">
        <v>1.1099516714772035</v>
      </c>
      <c r="AE588">
        <v>0.85356344584675337</v>
      </c>
      <c r="AF588">
        <v>1.0132862227050263</v>
      </c>
      <c r="AG588">
        <v>1.6379834278342158</v>
      </c>
      <c r="AH588">
        <v>1.3022314123098193</v>
      </c>
      <c r="AI588">
        <v>1.0786787145154837</v>
      </c>
      <c r="AJ588">
        <v>0.87661653394904859</v>
      </c>
      <c r="AK588">
        <v>0.95366566490712235</v>
      </c>
      <c r="AL588">
        <v>0.86660460145113849</v>
      </c>
    </row>
    <row r="589" spans="1:38" x14ac:dyDescent="0.4">
      <c r="A589" s="10">
        <v>43279</v>
      </c>
      <c r="B589" s="11">
        <v>1.2267094954312181</v>
      </c>
      <c r="C589" s="11">
        <v>1.2919777684840159</v>
      </c>
      <c r="D589" s="11">
        <v>1.129325155695075</v>
      </c>
      <c r="E589" s="11">
        <v>1.1686095495851569</v>
      </c>
      <c r="P589" s="1">
        <f>A588</f>
        <v>43278</v>
      </c>
      <c r="Q589" s="14">
        <f>[1]!i_dq_close(Q$2,$P589)</f>
        <v>1723.4416000000001</v>
      </c>
      <c r="R589" s="14">
        <f>[1]!i_dq_close(R$2,$P589)</f>
        <v>2804.2285999999999</v>
      </c>
      <c r="S589" s="14">
        <f>[1]!i_dq_close(S$2,$P589)</f>
        <v>2864.8703</v>
      </c>
      <c r="T589" s="14">
        <f>[1]!i_dq_close(T$2,$P589)</f>
        <v>4813.9678999999996</v>
      </c>
      <c r="U589" s="14">
        <f>[1]!i_dq_close(U$2,$P589)</f>
        <v>10629.6111</v>
      </c>
      <c r="V589" s="14">
        <f>[1]!i_dq_close(V$2,$P589)</f>
        <v>10288.513800000001</v>
      </c>
      <c r="W589" s="14">
        <f>[1]!i_dq_close(W$2,$P589)</f>
        <v>4942.7703000000001</v>
      </c>
      <c r="X589" s="14">
        <f>[1]!i_dq_close(X$2,$P589)</f>
        <v>4707.8507</v>
      </c>
      <c r="Y589" s="14">
        <f>[1]!i_dq_close(Y$2,$P589)</f>
        <v>4749.1553000000004</v>
      </c>
      <c r="Z589" s="14">
        <f>[1]!i_dq_close(Z$2,$P589)</f>
        <v>1941.9480000000001</v>
      </c>
      <c r="AB589" s="1">
        <v>43278</v>
      </c>
      <c r="AC589">
        <v>1.023152283760999</v>
      </c>
      <c r="AD589">
        <v>1.0991332253704578</v>
      </c>
      <c r="AE589">
        <v>0.84786979421372066</v>
      </c>
      <c r="AF589">
        <v>0.99532909657465141</v>
      </c>
      <c r="AG589">
        <v>1.5849176964473359</v>
      </c>
      <c r="AH589">
        <v>1.2706902390989103</v>
      </c>
      <c r="AI589">
        <v>1.0593628019195698</v>
      </c>
      <c r="AJ589">
        <v>0.86966439218571046</v>
      </c>
      <c r="AK589">
        <v>0.94328942331248178</v>
      </c>
      <c r="AL589">
        <v>0.86308842195433966</v>
      </c>
    </row>
    <row r="590" spans="1:38" x14ac:dyDescent="0.4">
      <c r="A590" s="10">
        <v>43280</v>
      </c>
      <c r="B590" s="11">
        <v>1.265002310949739</v>
      </c>
      <c r="C590" s="11">
        <v>1.32959766687338</v>
      </c>
      <c r="D590" s="11">
        <v>1.165687242665844</v>
      </c>
      <c r="E590" s="11">
        <v>1.208331421937697</v>
      </c>
      <c r="P590" s="1">
        <f>A589</f>
        <v>43279</v>
      </c>
      <c r="Q590" s="14">
        <f>[1]!i_dq_close(Q$2,$P590)</f>
        <v>1713.8079</v>
      </c>
      <c r="R590" s="14">
        <f>[1]!i_dq_close(R$2,$P590)</f>
        <v>2766.3362999999999</v>
      </c>
      <c r="S590" s="14">
        <f>[1]!i_dq_close(S$2,$P590)</f>
        <v>2834.0396000000001</v>
      </c>
      <c r="T590" s="14">
        <f>[1]!i_dq_close(T$2,$P590)</f>
        <v>4748.0887000000002</v>
      </c>
      <c r="U590" s="14">
        <f>[1]!i_dq_close(U$2,$P590)</f>
        <v>10406.4396</v>
      </c>
      <c r="V590" s="14">
        <f>[1]!i_dq_close(V$2,$P590)</f>
        <v>10142.3454</v>
      </c>
      <c r="W590" s="14">
        <f>[1]!i_dq_close(W$2,$P590)</f>
        <v>4915.2403999999997</v>
      </c>
      <c r="X590" s="14">
        <f>[1]!i_dq_close(X$2,$P590)</f>
        <v>4677.9030000000002</v>
      </c>
      <c r="Y590" s="14">
        <f>[1]!i_dq_close(Y$2,$P590)</f>
        <v>4737.0164000000004</v>
      </c>
      <c r="Z590" s="14">
        <f>[1]!i_dq_close(Z$2,$P590)</f>
        <v>1925.1033</v>
      </c>
      <c r="AB590" s="1">
        <v>43279</v>
      </c>
      <c r="AC590">
        <v>1.017433063477545</v>
      </c>
      <c r="AD590">
        <v>1.0842811245411228</v>
      </c>
      <c r="AE590">
        <v>0.83874532555471548</v>
      </c>
      <c r="AF590">
        <v>0.9817080076972079</v>
      </c>
      <c r="AG590">
        <v>1.5516419296892561</v>
      </c>
      <c r="AH590">
        <v>1.2526376065462179</v>
      </c>
      <c r="AI590">
        <v>1.0534624362884648</v>
      </c>
      <c r="AJ590">
        <v>0.86413226086347894</v>
      </c>
      <c r="AK590">
        <v>0.94087836381719692</v>
      </c>
      <c r="AL590">
        <v>0.85560188496092149</v>
      </c>
    </row>
    <row r="591" spans="1:38" x14ac:dyDescent="0.4">
      <c r="A591" s="10">
        <v>43283</v>
      </c>
      <c r="B591" s="11">
        <v>1.245602855789762</v>
      </c>
      <c r="C591" s="11">
        <v>1.304733780550924</v>
      </c>
      <c r="D591" s="11">
        <v>1.1492034062825289</v>
      </c>
      <c r="E591" s="11">
        <v>1.190384568443476</v>
      </c>
      <c r="P591" s="1">
        <f>A590</f>
        <v>43280</v>
      </c>
      <c r="Q591" s="14">
        <f>[1]!i_dq_close(Q$2,$P591)</f>
        <v>1741.1863000000001</v>
      </c>
      <c r="R591" s="14">
        <f>[1]!i_dq_close(R$2,$P591)</f>
        <v>2837.5601000000001</v>
      </c>
      <c r="S591" s="14">
        <f>[1]!i_dq_close(S$2,$P591)</f>
        <v>2896.7795000000001</v>
      </c>
      <c r="T591" s="14">
        <f>[1]!i_dq_close(T$2,$P591)</f>
        <v>4891.6475</v>
      </c>
      <c r="U591" s="14">
        <f>[1]!i_dq_close(U$2,$P591)</f>
        <v>10699.597900000001</v>
      </c>
      <c r="V591" s="14">
        <f>[1]!i_dq_close(V$2,$P591)</f>
        <v>10511.4966</v>
      </c>
      <c r="W591" s="14">
        <f>[1]!i_dq_close(W$2,$P591)</f>
        <v>5014.7228999999998</v>
      </c>
      <c r="X591" s="14">
        <f>[1]!i_dq_close(X$2,$P591)</f>
        <v>4902.5598</v>
      </c>
      <c r="Y591" s="14">
        <f>[1]!i_dq_close(Y$2,$P591)</f>
        <v>4886.1248999999998</v>
      </c>
      <c r="Z591" s="14">
        <f>[1]!i_dq_close(Z$2,$P591)</f>
        <v>1950.0947000000001</v>
      </c>
      <c r="AB591" s="1">
        <v>43280</v>
      </c>
      <c r="AC591">
        <v>1.033686745926502</v>
      </c>
      <c r="AD591">
        <v>1.1121976949010217</v>
      </c>
      <c r="AE591">
        <v>0.85731344925022424</v>
      </c>
      <c r="AF591">
        <v>1.0113900192264789</v>
      </c>
      <c r="AG591">
        <v>1.5953530093477035</v>
      </c>
      <c r="AH591">
        <v>1.2982298889409452</v>
      </c>
      <c r="AI591">
        <v>1.0747840946997333</v>
      </c>
      <c r="AJ591">
        <v>0.90563230661097616</v>
      </c>
      <c r="AK591">
        <v>0.97049467705420323</v>
      </c>
      <c r="AL591">
        <v>0.86670917928004321</v>
      </c>
    </row>
    <row r="592" spans="1:38" x14ac:dyDescent="0.4">
      <c r="A592" s="10">
        <v>43284</v>
      </c>
      <c r="B592" s="11">
        <v>1.2478456033860981</v>
      </c>
      <c r="C592" s="11">
        <v>1.304028707549804</v>
      </c>
      <c r="D592" s="11">
        <v>1.15107934816982</v>
      </c>
      <c r="E592" s="11">
        <v>1.1894032847180001</v>
      </c>
      <c r="P592" s="1">
        <f>A591</f>
        <v>43283</v>
      </c>
      <c r="Q592" s="14">
        <f>[1]!i_dq_close(Q$2,$P592)</f>
        <v>1687.5583999999999</v>
      </c>
      <c r="R592" s="14">
        <f>[1]!i_dq_close(R$2,$P592)</f>
        <v>2783.7370999999998</v>
      </c>
      <c r="S592" s="14">
        <f>[1]!i_dq_close(S$2,$P592)</f>
        <v>2844.4308000000001</v>
      </c>
      <c r="T592" s="14">
        <f>[1]!i_dq_close(T$2,$P592)</f>
        <v>4765.8472000000002</v>
      </c>
      <c r="U592" s="14">
        <f>[1]!i_dq_close(U$2,$P592)</f>
        <v>10540.6363</v>
      </c>
      <c r="V592" s="14">
        <f>[1]!i_dq_close(V$2,$P592)</f>
        <v>10468.0635</v>
      </c>
      <c r="W592" s="14">
        <f>[1]!i_dq_close(W$2,$P592)</f>
        <v>4822.6765999999998</v>
      </c>
      <c r="X592" s="14">
        <f>[1]!i_dq_close(X$2,$P592)</f>
        <v>4826.4080999999996</v>
      </c>
      <c r="Y592" s="14">
        <f>[1]!i_dq_close(Y$2,$P592)</f>
        <v>4816.3792999999996</v>
      </c>
      <c r="Z592" s="14">
        <f>[1]!i_dq_close(Z$2,$P592)</f>
        <v>1933.0969</v>
      </c>
      <c r="AB592" s="1">
        <v>43283</v>
      </c>
      <c r="AC592">
        <v>1.001849572935954</v>
      </c>
      <c r="AD592">
        <v>1.0911014663021426</v>
      </c>
      <c r="AE592">
        <v>0.84182064264869827</v>
      </c>
      <c r="AF592">
        <v>0.98537972967971654</v>
      </c>
      <c r="AG592">
        <v>1.5716511965038091</v>
      </c>
      <c r="AH592">
        <v>1.2928656529301223</v>
      </c>
      <c r="AI592">
        <v>1.0336236332341691</v>
      </c>
      <c r="AJ592">
        <v>0.89156507591175094</v>
      </c>
      <c r="AK592">
        <v>0.95664162684913134</v>
      </c>
      <c r="AL592">
        <v>0.85915459780891446</v>
      </c>
    </row>
    <row r="593" spans="1:38" x14ac:dyDescent="0.4">
      <c r="A593" s="10">
        <v>43285</v>
      </c>
      <c r="B593" s="11">
        <v>1.2299634967496289</v>
      </c>
      <c r="C593" s="11">
        <v>1.2864751139592381</v>
      </c>
      <c r="D593" s="11">
        <v>1.1346120377255891</v>
      </c>
      <c r="E593" s="11">
        <v>1.1695663000376171</v>
      </c>
      <c r="P593" s="1">
        <f>A592</f>
        <v>43284</v>
      </c>
      <c r="Q593" s="14">
        <f>[1]!i_dq_close(Q$2,$P593)</f>
        <v>1692.2917</v>
      </c>
      <c r="R593" s="14">
        <f>[1]!i_dq_close(R$2,$P593)</f>
        <v>2800.1302000000001</v>
      </c>
      <c r="S593" s="14">
        <f>[1]!i_dq_close(S$2,$P593)</f>
        <v>2867.4146999999998</v>
      </c>
      <c r="T593" s="14">
        <f>[1]!i_dq_close(T$2,$P593)</f>
        <v>4753.8742000000002</v>
      </c>
      <c r="U593" s="14">
        <f>[1]!i_dq_close(U$2,$P593)</f>
        <v>10388.8379</v>
      </c>
      <c r="V593" s="14">
        <f>[1]!i_dq_close(V$2,$P593)</f>
        <v>10405.5373</v>
      </c>
      <c r="W593" s="14">
        <f>[1]!i_dq_close(W$2,$P593)</f>
        <v>4870.1423999999997</v>
      </c>
      <c r="X593" s="14">
        <f>[1]!i_dq_close(X$2,$P593)</f>
        <v>4933.6908999999996</v>
      </c>
      <c r="Y593" s="14">
        <f>[1]!i_dq_close(Y$2,$P593)</f>
        <v>4965.3919999999998</v>
      </c>
      <c r="Z593" s="14">
        <f>[1]!i_dq_close(Z$2,$P593)</f>
        <v>1954.5871999999999</v>
      </c>
      <c r="AB593" s="1">
        <v>43284</v>
      </c>
      <c r="AC593">
        <v>1.0046595821087196</v>
      </c>
      <c r="AD593">
        <v>1.0975268343612306</v>
      </c>
      <c r="AE593">
        <v>0.84862281954418584</v>
      </c>
      <c r="AF593">
        <v>0.98290420937695577</v>
      </c>
      <c r="AG593">
        <v>1.5490174455425543</v>
      </c>
      <c r="AH593">
        <v>1.2851433099783205</v>
      </c>
      <c r="AI593">
        <v>1.0437967749808841</v>
      </c>
      <c r="AJ593">
        <v>0.91138304317523722</v>
      </c>
      <c r="AK593">
        <v>0.98623891204408709</v>
      </c>
      <c r="AL593">
        <v>0.86870584692285846</v>
      </c>
    </row>
    <row r="594" spans="1:38" x14ac:dyDescent="0.4">
      <c r="A594" s="10">
        <v>43286</v>
      </c>
      <c r="B594" s="11">
        <v>1.2117210944884029</v>
      </c>
      <c r="C594" s="11">
        <v>1.2692631324408901</v>
      </c>
      <c r="D594" s="11">
        <v>1.118085829327595</v>
      </c>
      <c r="E594" s="11">
        <v>1.1526265076478319</v>
      </c>
      <c r="P594" s="1">
        <f>A593</f>
        <v>43285</v>
      </c>
      <c r="Q594" s="14">
        <f>[1]!i_dq_close(Q$2,$P594)</f>
        <v>1682.7464</v>
      </c>
      <c r="R594" s="14">
        <f>[1]!i_dq_close(R$2,$P594)</f>
        <v>2767.5522999999998</v>
      </c>
      <c r="S594" s="14">
        <f>[1]!i_dq_close(S$2,$P594)</f>
        <v>2824.4830000000002</v>
      </c>
      <c r="T594" s="14">
        <f>[1]!i_dq_close(T$2,$P594)</f>
        <v>4661.5045</v>
      </c>
      <c r="U594" s="14">
        <f>[1]!i_dq_close(U$2,$P594)</f>
        <v>10283.8752</v>
      </c>
      <c r="V594" s="14">
        <f>[1]!i_dq_close(V$2,$P594)</f>
        <v>10196.456399999999</v>
      </c>
      <c r="W594" s="14">
        <f>[1]!i_dq_close(W$2,$P594)</f>
        <v>4819.9444999999996</v>
      </c>
      <c r="X594" s="14">
        <f>[1]!i_dq_close(X$2,$P594)</f>
        <v>4792.9638000000004</v>
      </c>
      <c r="Y594" s="14">
        <f>[1]!i_dq_close(Y$2,$P594)</f>
        <v>4870.9611999999997</v>
      </c>
      <c r="Z594" s="14">
        <f>[1]!i_dq_close(Z$2,$P594)</f>
        <v>1959.3922</v>
      </c>
      <c r="AB594" s="1">
        <v>43285</v>
      </c>
      <c r="AC594">
        <v>0.99899284208446604</v>
      </c>
      <c r="AD594">
        <v>1.0847577426035913</v>
      </c>
      <c r="AE594">
        <v>0.83591701166023202</v>
      </c>
      <c r="AF594">
        <v>0.9638059827244948</v>
      </c>
      <c r="AG594">
        <v>1.5333670855122712</v>
      </c>
      <c r="AH594">
        <v>1.2593206242166495</v>
      </c>
      <c r="AI594">
        <v>1.0330380739353433</v>
      </c>
      <c r="AJ594">
        <v>0.8853870301993888</v>
      </c>
      <c r="AK594">
        <v>0.96748282401408814</v>
      </c>
      <c r="AL594">
        <v>0.87084140352246397</v>
      </c>
    </row>
    <row r="595" spans="1:38" x14ac:dyDescent="0.4">
      <c r="A595" s="10">
        <v>43287</v>
      </c>
      <c r="B595" s="11">
        <v>1.214530123362292</v>
      </c>
      <c r="C595" s="11">
        <v>1.273685864631573</v>
      </c>
      <c r="D595" s="11">
        <v>1.1222827013192811</v>
      </c>
      <c r="E595" s="11">
        <v>1.158188161721156</v>
      </c>
      <c r="P595" s="1">
        <f>A594</f>
        <v>43286</v>
      </c>
      <c r="Q595" s="14">
        <f>[1]!i_dq_close(Q$2,$P595)</f>
        <v>1644.6922999999999</v>
      </c>
      <c r="R595" s="14">
        <f>[1]!i_dq_close(R$2,$P595)</f>
        <v>2689.1763999999998</v>
      </c>
      <c r="S595" s="14">
        <f>[1]!i_dq_close(S$2,$P595)</f>
        <v>2766.6194</v>
      </c>
      <c r="T595" s="14">
        <f>[1]!i_dq_close(T$2,$P595)</f>
        <v>4605.8553000000002</v>
      </c>
      <c r="U595" s="14">
        <f>[1]!i_dq_close(U$2,$P595)</f>
        <v>10164.6131</v>
      </c>
      <c r="V595" s="14">
        <f>[1]!i_dq_close(V$2,$P595)</f>
        <v>9934.3101999999999</v>
      </c>
      <c r="W595" s="14">
        <f>[1]!i_dq_close(W$2,$P595)</f>
        <v>4807.6827999999996</v>
      </c>
      <c r="X595" s="14">
        <f>[1]!i_dq_close(X$2,$P595)</f>
        <v>4683.1179000000002</v>
      </c>
      <c r="Y595" s="14">
        <f>[1]!i_dq_close(Y$2,$P595)</f>
        <v>4725.0866999999998</v>
      </c>
      <c r="Z595" s="14">
        <f>[1]!i_dq_close(Z$2,$P595)</f>
        <v>1932.9749999999999</v>
      </c>
      <c r="AB595" s="1">
        <v>43286</v>
      </c>
      <c r="AC595">
        <v>0.97640133720175371</v>
      </c>
      <c r="AD595">
        <v>1.0540378662859784</v>
      </c>
      <c r="AE595">
        <v>0.81879204840291975</v>
      </c>
      <c r="AF595">
        <v>0.95230003397043228</v>
      </c>
      <c r="AG595">
        <v>1.5155846275251232</v>
      </c>
      <c r="AH595">
        <v>1.2269440707092936</v>
      </c>
      <c r="AI595">
        <v>1.0304100762579482</v>
      </c>
      <c r="AJ595">
        <v>0.86509559065616104</v>
      </c>
      <c r="AK595">
        <v>0.93850885616321655</v>
      </c>
      <c r="AL595">
        <v>0.8591004200046497</v>
      </c>
    </row>
    <row r="596" spans="1:38" x14ac:dyDescent="0.4">
      <c r="A596" s="10">
        <v>43290</v>
      </c>
      <c r="B596" s="11">
        <v>1.247547740567613</v>
      </c>
      <c r="C596" s="11">
        <v>1.3079789998002791</v>
      </c>
      <c r="D596" s="11">
        <v>1.15106265995645</v>
      </c>
      <c r="E596" s="11">
        <v>1.189758668114238</v>
      </c>
      <c r="P596" s="1">
        <f>A595</f>
        <v>43287</v>
      </c>
      <c r="Q596" s="14">
        <f>[1]!i_dq_close(Q$2,$P596)</f>
        <v>1643.3013000000001</v>
      </c>
      <c r="R596" s="14">
        <f>[1]!i_dq_close(R$2,$P596)</f>
        <v>2704.4076</v>
      </c>
      <c r="S596" s="14">
        <f>[1]!i_dq_close(S$2,$P596)</f>
        <v>2765.3238999999999</v>
      </c>
      <c r="T596" s="14">
        <f>[1]!i_dq_close(T$2,$P596)</f>
        <v>4634.0077000000001</v>
      </c>
      <c r="U596" s="14">
        <f>[1]!i_dq_close(U$2,$P596)</f>
        <v>10275.4977</v>
      </c>
      <c r="V596" s="14">
        <f>[1]!i_dq_close(V$2,$P596)</f>
        <v>9963.25</v>
      </c>
      <c r="W596" s="14">
        <f>[1]!i_dq_close(W$2,$P596)</f>
        <v>4846.4238999999998</v>
      </c>
      <c r="X596" s="14">
        <f>[1]!i_dq_close(X$2,$P596)</f>
        <v>4709.2856000000002</v>
      </c>
      <c r="Y596" s="14">
        <f>[1]!i_dq_close(Y$2,$P596)</f>
        <v>4748.1742999999997</v>
      </c>
      <c r="Z596" s="14">
        <f>[1]!i_dq_close(Z$2,$P596)</f>
        <v>1926.7112</v>
      </c>
      <c r="AB596" s="1">
        <v>43287</v>
      </c>
      <c r="AC596">
        <v>0.97557554488786768</v>
      </c>
      <c r="AD596">
        <v>1.06000782108291</v>
      </c>
      <c r="AE596">
        <v>0.81840864000973568</v>
      </c>
      <c r="AF596">
        <v>0.95812078380518051</v>
      </c>
      <c r="AG596">
        <v>1.5321179666238116</v>
      </c>
      <c r="AH596">
        <v>1.2305183013607093</v>
      </c>
      <c r="AI596">
        <v>1.0387132903978904</v>
      </c>
      <c r="AJ596">
        <v>0.86992945612164785</v>
      </c>
      <c r="AK596">
        <v>0.9430945745729028</v>
      </c>
      <c r="AL596">
        <v>0.85631650753251476</v>
      </c>
    </row>
    <row r="597" spans="1:38" x14ac:dyDescent="0.4">
      <c r="A597" s="10">
        <v>43291</v>
      </c>
      <c r="B597" s="11">
        <v>1.2555273082681131</v>
      </c>
      <c r="C597" s="11">
        <v>1.31506482551127</v>
      </c>
      <c r="D597" s="11">
        <v>1.158046969441678</v>
      </c>
      <c r="E597" s="11">
        <v>1.1964067827094009</v>
      </c>
      <c r="P597" s="1">
        <f>A596</f>
        <v>43290</v>
      </c>
      <c r="Q597" s="14">
        <f>[1]!i_dq_close(Q$2,$P597)</f>
        <v>1679.0986</v>
      </c>
      <c r="R597" s="14">
        <f>[1]!i_dq_close(R$2,$P597)</f>
        <v>2779.3047999999999</v>
      </c>
      <c r="S597" s="14">
        <f>[1]!i_dq_close(S$2,$P597)</f>
        <v>2812.6749</v>
      </c>
      <c r="T597" s="14">
        <f>[1]!i_dq_close(T$2,$P597)</f>
        <v>4738.6356999999998</v>
      </c>
      <c r="U597" s="14">
        <f>[1]!i_dq_close(U$2,$P597)</f>
        <v>10569.3693</v>
      </c>
      <c r="V597" s="14">
        <f>[1]!i_dq_close(V$2,$P597)</f>
        <v>10299.659600000001</v>
      </c>
      <c r="W597" s="14">
        <f>[1]!i_dq_close(W$2,$P597)</f>
        <v>4986.6112000000003</v>
      </c>
      <c r="X597" s="14">
        <f>[1]!i_dq_close(X$2,$P597)</f>
        <v>4835.1387999999997</v>
      </c>
      <c r="Y597" s="14">
        <f>[1]!i_dq_close(Y$2,$P597)</f>
        <v>4857.4781000000003</v>
      </c>
      <c r="Z597" s="14">
        <f>[1]!i_dq_close(Z$2,$P597)</f>
        <v>1953.7815000000001</v>
      </c>
      <c r="AB597" s="1">
        <v>43290</v>
      </c>
      <c r="AC597">
        <v>0.99682725962393859</v>
      </c>
      <c r="AD597">
        <v>1.0893642013035583</v>
      </c>
      <c r="AE597">
        <v>0.8324223573587598</v>
      </c>
      <c r="AF597">
        <v>0.97975351897909224</v>
      </c>
      <c r="AG597">
        <v>1.5759354021763967</v>
      </c>
      <c r="AH597">
        <v>1.2720668090819285</v>
      </c>
      <c r="AI597">
        <v>1.0687590343649001</v>
      </c>
      <c r="AJ597">
        <v>0.89317786684177247</v>
      </c>
      <c r="AK597">
        <v>0.96480477606238946</v>
      </c>
      <c r="AL597">
        <v>0.86834775785890383</v>
      </c>
    </row>
    <row r="598" spans="1:38" x14ac:dyDescent="0.4">
      <c r="A598" s="10">
        <v>43292</v>
      </c>
      <c r="B598" s="11">
        <v>1.2398669103591911</v>
      </c>
      <c r="C598" s="11">
        <v>1.2989232754277731</v>
      </c>
      <c r="D598" s="11">
        <v>1.145498079924079</v>
      </c>
      <c r="E598" s="11">
        <v>1.1838139195726749</v>
      </c>
      <c r="P598" s="1">
        <f>A597</f>
        <v>43291</v>
      </c>
      <c r="Q598" s="14">
        <f>[1]!i_dq_close(Q$2,$P598)</f>
        <v>1683.6599000000001</v>
      </c>
      <c r="R598" s="14">
        <f>[1]!i_dq_close(R$2,$P598)</f>
        <v>2816.0182</v>
      </c>
      <c r="S598" s="14">
        <f>[1]!i_dq_close(S$2,$P598)</f>
        <v>2832.4630999999999</v>
      </c>
      <c r="T598" s="14">
        <f>[1]!i_dq_close(T$2,$P598)</f>
        <v>4749.0279</v>
      </c>
      <c r="U598" s="14">
        <f>[1]!i_dq_close(U$2,$P598)</f>
        <v>10580.982400000001</v>
      </c>
      <c r="V598" s="14">
        <f>[1]!i_dq_close(V$2,$P598)</f>
        <v>10394.7088</v>
      </c>
      <c r="W598" s="14">
        <f>[1]!i_dq_close(W$2,$P598)</f>
        <v>4981.5697</v>
      </c>
      <c r="X598" s="14">
        <f>[1]!i_dq_close(X$2,$P598)</f>
        <v>4866.4897000000001</v>
      </c>
      <c r="Y598" s="14">
        <f>[1]!i_dq_close(Y$2,$P598)</f>
        <v>4884.9070000000002</v>
      </c>
      <c r="Z598" s="14">
        <f>[1]!i_dq_close(Z$2,$P598)</f>
        <v>1955.694</v>
      </c>
      <c r="AB598" s="1">
        <v>43291</v>
      </c>
      <c r="AC598">
        <v>0.99953515788513825</v>
      </c>
      <c r="AD598">
        <v>1.1037542256247979</v>
      </c>
      <c r="AE598">
        <v>0.83827875409052799</v>
      </c>
      <c r="AF598">
        <v>0.98190219534177081</v>
      </c>
      <c r="AG598">
        <v>1.5776669620168704</v>
      </c>
      <c r="AH598">
        <v>1.2838059283582384</v>
      </c>
      <c r="AI598">
        <v>1.0676785112489711</v>
      </c>
      <c r="AJ598">
        <v>0.89896920627251853</v>
      </c>
      <c r="AK598">
        <v>0.9702527746281755</v>
      </c>
      <c r="AL598">
        <v>0.86919775827445955</v>
      </c>
    </row>
    <row r="599" spans="1:38" x14ac:dyDescent="0.4">
      <c r="A599" s="10">
        <v>43293</v>
      </c>
      <c r="B599" s="11">
        <v>1.2680703492131431</v>
      </c>
      <c r="C599" s="11">
        <v>1.326161363604097</v>
      </c>
      <c r="D599" s="11">
        <v>1.1715469177319919</v>
      </c>
      <c r="E599" s="11">
        <v>1.2122130664617901</v>
      </c>
      <c r="P599" s="1">
        <f>A598</f>
        <v>43292</v>
      </c>
      <c r="Q599" s="14">
        <f>[1]!i_dq_close(Q$2,$P599)</f>
        <v>1642.1467</v>
      </c>
      <c r="R599" s="14">
        <f>[1]!i_dq_close(R$2,$P599)</f>
        <v>2771.0967000000001</v>
      </c>
      <c r="S599" s="14">
        <f>[1]!i_dq_close(S$2,$P599)</f>
        <v>2772.3679999999999</v>
      </c>
      <c r="T599" s="14">
        <f>[1]!i_dq_close(T$2,$P599)</f>
        <v>4659.7824000000001</v>
      </c>
      <c r="U599" s="14">
        <f>[1]!i_dq_close(U$2,$P599)</f>
        <v>10456.772000000001</v>
      </c>
      <c r="V599" s="14">
        <f>[1]!i_dq_close(V$2,$P599)</f>
        <v>10319.7287</v>
      </c>
      <c r="W599" s="14">
        <f>[1]!i_dq_close(W$2,$P599)</f>
        <v>4884.2008999999998</v>
      </c>
      <c r="X599" s="14">
        <f>[1]!i_dq_close(X$2,$P599)</f>
        <v>4709.6710999999996</v>
      </c>
      <c r="Y599" s="14">
        <f>[1]!i_dq_close(Y$2,$P599)</f>
        <v>4734.6127999999999</v>
      </c>
      <c r="Z599" s="14">
        <f>[1]!i_dq_close(Z$2,$P599)</f>
        <v>1920.9590000000001</v>
      </c>
      <c r="AB599" s="1">
        <v>43292</v>
      </c>
      <c r="AC599">
        <v>0.97489009571057583</v>
      </c>
      <c r="AD599">
        <v>1.0861469901863323</v>
      </c>
      <c r="AE599">
        <v>0.8204933695060137</v>
      </c>
      <c r="AF599">
        <v>0.96344992379913075</v>
      </c>
      <c r="AG599">
        <v>1.5591466926306461</v>
      </c>
      <c r="AH599">
        <v>1.274545457599414</v>
      </c>
      <c r="AI599">
        <v>1.0468098731114581</v>
      </c>
      <c r="AJ599">
        <v>0.87000066815545074</v>
      </c>
      <c r="AK599">
        <v>0.94040095461184314</v>
      </c>
      <c r="AL599">
        <v>0.85375997294932016</v>
      </c>
    </row>
    <row r="600" spans="1:38" x14ac:dyDescent="0.4">
      <c r="A600" s="10">
        <v>43294</v>
      </c>
      <c r="B600" s="11">
        <v>1.277685732292696</v>
      </c>
      <c r="C600" s="11">
        <v>1.3366142115378921</v>
      </c>
      <c r="D600" s="11">
        <v>1.181570733109498</v>
      </c>
      <c r="E600" s="11">
        <v>1.2249913694769641</v>
      </c>
      <c r="P600" s="1">
        <f>A599</f>
        <v>43293</v>
      </c>
      <c r="Q600" s="14">
        <f>[1]!i_dq_close(Q$2,$P600)</f>
        <v>1667.0921000000001</v>
      </c>
      <c r="R600" s="14">
        <f>[1]!i_dq_close(R$2,$P600)</f>
        <v>2828.2876999999999</v>
      </c>
      <c r="S600" s="14">
        <f>[1]!i_dq_close(S$2,$P600)</f>
        <v>2836.9803000000002</v>
      </c>
      <c r="T600" s="14">
        <f>[1]!i_dq_close(T$2,$P600)</f>
        <v>4750.7329</v>
      </c>
      <c r="U600" s="14">
        <f>[1]!i_dq_close(U$2,$P600)</f>
        <v>10700.4486</v>
      </c>
      <c r="V600" s="14">
        <f>[1]!i_dq_close(V$2,$P600)</f>
        <v>10586.9825</v>
      </c>
      <c r="W600" s="14">
        <f>[1]!i_dq_close(W$2,$P600)</f>
        <v>4973.1201000000001</v>
      </c>
      <c r="X600" s="14">
        <f>[1]!i_dq_close(X$2,$P600)</f>
        <v>4905.3040000000001</v>
      </c>
      <c r="Y600" s="14">
        <f>[1]!i_dq_close(Y$2,$P600)</f>
        <v>4967.7548999999999</v>
      </c>
      <c r="Z600" s="14">
        <f>[1]!i_dq_close(Z$2,$P600)</f>
        <v>1951.8675000000001</v>
      </c>
      <c r="AB600" s="1">
        <v>43293</v>
      </c>
      <c r="AC600">
        <v>0.98969938369534527</v>
      </c>
      <c r="AD600">
        <v>1.1085633253924425</v>
      </c>
      <c r="AE600">
        <v>0.83961563745115431</v>
      </c>
      <c r="AF600">
        <v>0.98225471869566772</v>
      </c>
      <c r="AG600">
        <v>1.595479852133548</v>
      </c>
      <c r="AH600">
        <v>1.3075528288897253</v>
      </c>
      <c r="AI600">
        <v>1.0658675446476908</v>
      </c>
      <c r="AJ600">
        <v>0.90613923284485942</v>
      </c>
      <c r="AK600">
        <v>0.98670823731090773</v>
      </c>
      <c r="AL600">
        <v>0.86749709077635551</v>
      </c>
    </row>
    <row r="601" spans="1:38" x14ac:dyDescent="0.4">
      <c r="A601" s="10">
        <v>43297</v>
      </c>
      <c r="B601" s="11">
        <v>1.276914388622568</v>
      </c>
      <c r="C601" s="11">
        <v>1.3341440931531749</v>
      </c>
      <c r="D601" s="11">
        <v>1.179572220926804</v>
      </c>
      <c r="E601" s="11">
        <v>1.225774518910596</v>
      </c>
      <c r="P601" s="1">
        <f>A600</f>
        <v>43294</v>
      </c>
      <c r="Q601" s="14">
        <f>[1]!i_dq_close(Q$2,$P601)</f>
        <v>1659.3225</v>
      </c>
      <c r="R601" s="14">
        <f>[1]!i_dq_close(R$2,$P601)</f>
        <v>2853.5936000000002</v>
      </c>
      <c r="S601" s="14">
        <f>[1]!i_dq_close(S$2,$P601)</f>
        <v>2833.8978999999999</v>
      </c>
      <c r="T601" s="14">
        <f>[1]!i_dq_close(T$2,$P601)</f>
        <v>4772.4445999999998</v>
      </c>
      <c r="U601" s="14">
        <f>[1]!i_dq_close(U$2,$P601)</f>
        <v>10854.122100000001</v>
      </c>
      <c r="V601" s="14">
        <f>[1]!i_dq_close(V$2,$P601)</f>
        <v>10770.161400000001</v>
      </c>
      <c r="W601" s="14">
        <f>[1]!i_dq_close(W$2,$P601)</f>
        <v>4952.0366999999997</v>
      </c>
      <c r="X601" s="14">
        <f>[1]!i_dq_close(X$2,$P601)</f>
        <v>4923.7673999999997</v>
      </c>
      <c r="Y601" s="14">
        <f>[1]!i_dq_close(Y$2,$P601)</f>
        <v>4976.0661</v>
      </c>
      <c r="Z601" s="14">
        <f>[1]!i_dq_close(Z$2,$P601)</f>
        <v>1950.1882000000001</v>
      </c>
      <c r="AB601" s="1">
        <v>43294</v>
      </c>
      <c r="AC601">
        <v>0.98508682009939308</v>
      </c>
      <c r="AD601">
        <v>1.118482115710715</v>
      </c>
      <c r="AE601">
        <v>0.83870338887442653</v>
      </c>
      <c r="AF601">
        <v>0.98674379863866013</v>
      </c>
      <c r="AG601">
        <v>1.6183931880339555</v>
      </c>
      <c r="AH601">
        <v>1.330176469656857</v>
      </c>
      <c r="AI601">
        <v>1.0613488297687106</v>
      </c>
      <c r="AJ601">
        <v>0.90954991057486512</v>
      </c>
      <c r="AK601">
        <v>0.98835902920121188</v>
      </c>
      <c r="AL601">
        <v>0.86675073485591481</v>
      </c>
    </row>
    <row r="602" spans="1:38" x14ac:dyDescent="0.4">
      <c r="A602" s="10">
        <v>43298</v>
      </c>
      <c r="B602" s="11">
        <v>1.272556864087395</v>
      </c>
      <c r="C602" s="11">
        <v>1.3300650001601451</v>
      </c>
      <c r="D602" s="11">
        <v>1.1768725422416231</v>
      </c>
      <c r="E602" s="11">
        <v>1.222156827038966</v>
      </c>
      <c r="P602" s="1">
        <f>A601</f>
        <v>43297</v>
      </c>
      <c r="Q602" s="14">
        <f>[1]!i_dq_close(Q$2,$P602)</f>
        <v>1669.8252</v>
      </c>
      <c r="R602" s="14">
        <f>[1]!i_dq_close(R$2,$P602)</f>
        <v>2835.1358</v>
      </c>
      <c r="S602" s="14">
        <f>[1]!i_dq_close(S$2,$P602)</f>
        <v>2831.7651999999998</v>
      </c>
      <c r="T602" s="14">
        <f>[1]!i_dq_close(T$2,$P602)</f>
        <v>4756.4152999999997</v>
      </c>
      <c r="U602" s="14">
        <f>[1]!i_dq_close(U$2,$P602)</f>
        <v>10839.666300000001</v>
      </c>
      <c r="V602" s="14">
        <f>[1]!i_dq_close(V$2,$P602)</f>
        <v>10782.894700000001</v>
      </c>
      <c r="W602" s="14">
        <f>[1]!i_dq_close(W$2,$P602)</f>
        <v>4875.1198000000004</v>
      </c>
      <c r="X602" s="14">
        <f>[1]!i_dq_close(X$2,$P602)</f>
        <v>4950.9621999999999</v>
      </c>
      <c r="Y602" s="14">
        <f>[1]!i_dq_close(Y$2,$P602)</f>
        <v>5058.3338999999996</v>
      </c>
      <c r="Z602" s="14">
        <f>[1]!i_dq_close(Z$2,$P602)</f>
        <v>1950.7873</v>
      </c>
      <c r="AB602" s="1">
        <v>43297</v>
      </c>
      <c r="AC602">
        <v>0.99132193795349188</v>
      </c>
      <c r="AD602">
        <v>1.1112474768345395</v>
      </c>
      <c r="AE602">
        <v>0.83807220780137071</v>
      </c>
      <c r="AF602">
        <v>0.98342960356732945</v>
      </c>
      <c r="AG602">
        <v>1.6162377702090924</v>
      </c>
      <c r="AH602">
        <v>1.3317491049602688</v>
      </c>
      <c r="AI602">
        <v>1.0448635598181797</v>
      </c>
      <c r="AJ602">
        <v>0.91457350854338437</v>
      </c>
      <c r="AK602">
        <v>1.0046992709320279</v>
      </c>
      <c r="AL602">
        <v>0.8670170016527563</v>
      </c>
    </row>
    <row r="603" spans="1:38" x14ac:dyDescent="0.4">
      <c r="A603" s="10">
        <v>43299</v>
      </c>
      <c r="B603" s="11">
        <v>1.263575661179964</v>
      </c>
      <c r="C603" s="11">
        <v>1.32098098558455</v>
      </c>
      <c r="D603" s="11">
        <v>1.167870233033542</v>
      </c>
      <c r="E603" s="11">
        <v>1.212398456458502</v>
      </c>
      <c r="P603" s="1">
        <f>A602</f>
        <v>43298</v>
      </c>
      <c r="Q603" s="14">
        <f>[1]!i_dq_close(Q$2,$P603)</f>
        <v>1647.1749</v>
      </c>
      <c r="R603" s="14">
        <f>[1]!i_dq_close(R$2,$P603)</f>
        <v>2837.6048999999998</v>
      </c>
      <c r="S603" s="14">
        <f>[1]!i_dq_close(S$2,$P603)</f>
        <v>2834.7604999999999</v>
      </c>
      <c r="T603" s="14">
        <f>[1]!i_dq_close(T$2,$P603)</f>
        <v>4722.7829000000002</v>
      </c>
      <c r="U603" s="14">
        <f>[1]!i_dq_close(U$2,$P603)</f>
        <v>10755.9313</v>
      </c>
      <c r="V603" s="14">
        <f>[1]!i_dq_close(V$2,$P603)</f>
        <v>10653.501099999999</v>
      </c>
      <c r="W603" s="14">
        <f>[1]!i_dq_close(W$2,$P603)</f>
        <v>4855.509</v>
      </c>
      <c r="X603" s="14">
        <f>[1]!i_dq_close(X$2,$P603)</f>
        <v>4964.6614</v>
      </c>
      <c r="Y603" s="14">
        <f>[1]!i_dq_close(Y$2,$P603)</f>
        <v>5114.3510999999999</v>
      </c>
      <c r="Z603" s="14">
        <f>[1]!i_dq_close(Z$2,$P603)</f>
        <v>1949.1690000000001</v>
      </c>
      <c r="AB603" s="1">
        <v>43298</v>
      </c>
      <c r="AC603">
        <v>0.97787517760323006</v>
      </c>
      <c r="AD603">
        <v>1.1122152545138493</v>
      </c>
      <c r="AE603">
        <v>0.83895867878562735</v>
      </c>
      <c r="AF603">
        <v>0.97647581679454343</v>
      </c>
      <c r="AG603">
        <v>1.6037525454851118</v>
      </c>
      <c r="AH603">
        <v>1.3157682560526383</v>
      </c>
      <c r="AI603">
        <v>1.0406604609940477</v>
      </c>
      <c r="AJ603">
        <v>0.91710411267690761</v>
      </c>
      <c r="AK603">
        <v>1.0158255510693779</v>
      </c>
      <c r="AL603">
        <v>0.8662977568566812</v>
      </c>
    </row>
    <row r="604" spans="1:38" x14ac:dyDescent="0.4">
      <c r="A604" s="10">
        <v>43300</v>
      </c>
      <c r="B604" s="11">
        <v>1.259079246317802</v>
      </c>
      <c r="C604" s="11">
        <v>1.316135128486015</v>
      </c>
      <c r="D604" s="11">
        <v>1.162285395715958</v>
      </c>
      <c r="E604" s="11">
        <v>1.204986697189856</v>
      </c>
      <c r="P604" s="1">
        <f>A603</f>
        <v>43299</v>
      </c>
      <c r="Q604" s="14">
        <f>[1]!i_dq_close(Q$2,$P604)</f>
        <v>1640.9447</v>
      </c>
      <c r="R604" s="14">
        <f>[1]!i_dq_close(R$2,$P604)</f>
        <v>2818.3926999999999</v>
      </c>
      <c r="S604" s="14">
        <f>[1]!i_dq_close(S$2,$P604)</f>
        <v>2821.8177000000001</v>
      </c>
      <c r="T604" s="14">
        <f>[1]!i_dq_close(T$2,$P604)</f>
        <v>4699.6404000000002</v>
      </c>
      <c r="U604" s="14">
        <f>[1]!i_dq_close(U$2,$P604)</f>
        <v>10674.0844</v>
      </c>
      <c r="V604" s="14">
        <f>[1]!i_dq_close(V$2,$P604)</f>
        <v>10613.078799999999</v>
      </c>
      <c r="W604" s="14">
        <f>[1]!i_dq_close(W$2,$P604)</f>
        <v>4826.7614999999996</v>
      </c>
      <c r="X604" s="14">
        <f>[1]!i_dq_close(X$2,$P604)</f>
        <v>4908.1115</v>
      </c>
      <c r="Y604" s="14">
        <f>[1]!i_dq_close(Y$2,$P604)</f>
        <v>5046.0738000000001</v>
      </c>
      <c r="Z604" s="14">
        <f>[1]!i_dq_close(Z$2,$P604)</f>
        <v>1989.4813999999999</v>
      </c>
      <c r="AB604" s="1">
        <v>43299</v>
      </c>
      <c r="AC604">
        <v>0.97417650666579436</v>
      </c>
      <c r="AD604">
        <v>1.1046849243002348</v>
      </c>
      <c r="AE604">
        <v>0.83512820549245614</v>
      </c>
      <c r="AF604">
        <v>0.97169090669626901</v>
      </c>
      <c r="AG604">
        <v>1.591548844052483</v>
      </c>
      <c r="AH604">
        <v>1.3107758710444237</v>
      </c>
      <c r="AI604">
        <v>1.0344991323666213</v>
      </c>
      <c r="AJ604">
        <v>0.90665785226094697</v>
      </c>
      <c r="AK604">
        <v>1.0022641383814557</v>
      </c>
      <c r="AL604">
        <v>0.8842143878381451</v>
      </c>
    </row>
    <row r="605" spans="1:38" x14ac:dyDescent="0.4">
      <c r="A605" s="10">
        <v>43301</v>
      </c>
      <c r="B605" s="11">
        <v>1.272218671076863</v>
      </c>
      <c r="C605" s="11">
        <v>1.330285977059315</v>
      </c>
      <c r="D605" s="11">
        <v>1.1750190600542481</v>
      </c>
      <c r="E605" s="11">
        <v>1.2176410531668429</v>
      </c>
      <c r="P605" s="1">
        <f>A604</f>
        <v>43300</v>
      </c>
      <c r="Q605" s="14">
        <f>[1]!i_dq_close(Q$2,$P605)</f>
        <v>1637.0382</v>
      </c>
      <c r="R605" s="14">
        <f>[1]!i_dq_close(R$2,$P605)</f>
        <v>2806.5828999999999</v>
      </c>
      <c r="S605" s="14">
        <f>[1]!i_dq_close(S$2,$P605)</f>
        <v>2798.0535</v>
      </c>
      <c r="T605" s="14">
        <f>[1]!i_dq_close(T$2,$P605)</f>
        <v>4682.0259999999998</v>
      </c>
      <c r="U605" s="14">
        <f>[1]!i_dq_close(U$2,$P605)</f>
        <v>10586.4329</v>
      </c>
      <c r="V605" s="14">
        <f>[1]!i_dq_close(V$2,$P605)</f>
        <v>10421.962299999999</v>
      </c>
      <c r="W605" s="14">
        <f>[1]!i_dq_close(W$2,$P605)</f>
        <v>4830.4863999999998</v>
      </c>
      <c r="X605" s="14">
        <f>[1]!i_dq_close(X$2,$P605)</f>
        <v>4872.3076000000001</v>
      </c>
      <c r="Y605" s="14">
        <f>[1]!i_dq_close(Y$2,$P605)</f>
        <v>5051.2731000000003</v>
      </c>
      <c r="Z605" s="14">
        <f>[1]!i_dq_close(Z$2,$P605)</f>
        <v>1986.6402</v>
      </c>
      <c r="AB605" s="1">
        <v>43300</v>
      </c>
      <c r="AC605">
        <v>0.97185734227025444</v>
      </c>
      <c r="AD605">
        <v>1.1000560065418965</v>
      </c>
      <c r="AE605">
        <v>0.82809509569909001</v>
      </c>
      <c r="AF605">
        <v>0.96804897862302508</v>
      </c>
      <c r="AG605">
        <v>1.5784796534524475</v>
      </c>
      <c r="AH605">
        <v>1.2871718913247536</v>
      </c>
      <c r="AI605">
        <v>1.0352974742399772</v>
      </c>
      <c r="AJ605">
        <v>0.90004392609472894</v>
      </c>
      <c r="AK605">
        <v>1.003296836701224</v>
      </c>
      <c r="AL605">
        <v>0.88295163166524215</v>
      </c>
    </row>
    <row r="606" spans="1:38" x14ac:dyDescent="0.4">
      <c r="A606" s="10">
        <v>43304</v>
      </c>
      <c r="B606" s="11">
        <v>1.27486071691736</v>
      </c>
      <c r="C606" s="11">
        <v>1.335895496622389</v>
      </c>
      <c r="D606" s="11">
        <v>1.1776703642879629</v>
      </c>
      <c r="E606" s="11">
        <v>1.2180295025874719</v>
      </c>
      <c r="P606" s="1">
        <f>A605</f>
        <v>43301</v>
      </c>
      <c r="Q606" s="14">
        <f>[1]!i_dq_close(Q$2,$P606)</f>
        <v>1655.6851999999999</v>
      </c>
      <c r="R606" s="14">
        <f>[1]!i_dq_close(R$2,$P606)</f>
        <v>2834.2150000000001</v>
      </c>
      <c r="S606" s="14">
        <f>[1]!i_dq_close(S$2,$P606)</f>
        <v>2825.8456999999999</v>
      </c>
      <c r="T606" s="14">
        <f>[1]!i_dq_close(T$2,$P606)</f>
        <v>4708.2893999999997</v>
      </c>
      <c r="U606" s="14">
        <f>[1]!i_dq_close(U$2,$P606)</f>
        <v>10640.239799999999</v>
      </c>
      <c r="V606" s="14">
        <f>[1]!i_dq_close(V$2,$P606)</f>
        <v>10466.8969</v>
      </c>
      <c r="W606" s="14">
        <f>[1]!i_dq_close(W$2,$P606)</f>
        <v>5006.9368000000004</v>
      </c>
      <c r="X606" s="14">
        <f>[1]!i_dq_close(X$2,$P606)</f>
        <v>4961.9796999999999</v>
      </c>
      <c r="Y606" s="14">
        <f>[1]!i_dq_close(Y$2,$P606)</f>
        <v>5089.3773000000001</v>
      </c>
      <c r="Z606" s="14">
        <f>[1]!i_dq_close(Z$2,$P606)</f>
        <v>2027.7546</v>
      </c>
      <c r="AB606" s="1">
        <v>43301</v>
      </c>
      <c r="AC606">
        <v>0.98292747115381585</v>
      </c>
      <c r="AD606">
        <v>1.1108865640780257</v>
      </c>
      <c r="AE606">
        <v>0.83632030816149938</v>
      </c>
      <c r="AF606">
        <v>0.97347916152785474</v>
      </c>
      <c r="AG606">
        <v>1.5865024782951147</v>
      </c>
      <c r="AH606">
        <v>1.2927215711645974</v>
      </c>
      <c r="AI606">
        <v>1.0731153332134824</v>
      </c>
      <c r="AJ606">
        <v>0.91660873184409486</v>
      </c>
      <c r="AK606">
        <v>1.0108651907712167</v>
      </c>
      <c r="AL606">
        <v>0.90122470726541237</v>
      </c>
    </row>
    <row r="607" spans="1:38" x14ac:dyDescent="0.4">
      <c r="A607" s="10">
        <v>43305</v>
      </c>
      <c r="B607" s="11">
        <v>1.27486071691736</v>
      </c>
      <c r="C607" s="11">
        <v>1.335895496622389</v>
      </c>
      <c r="D607" s="11">
        <v>1.1776703642879629</v>
      </c>
      <c r="E607" s="11">
        <v>1.2180295025874719</v>
      </c>
      <c r="P607" s="1">
        <f>A606</f>
        <v>43304</v>
      </c>
      <c r="Q607" s="14">
        <f>[1]!i_dq_close(Q$2,$P607)</f>
        <v>1684.287</v>
      </c>
      <c r="R607" s="14">
        <f>[1]!i_dq_close(R$2,$P607)</f>
        <v>2893.8971000000001</v>
      </c>
      <c r="S607" s="14">
        <f>[1]!i_dq_close(S$2,$P607)</f>
        <v>2880.8861999999999</v>
      </c>
      <c r="T607" s="14">
        <f>[1]!i_dq_close(T$2,$P607)</f>
        <v>4720.9378999999999</v>
      </c>
      <c r="U607" s="14">
        <f>[1]!i_dq_close(U$2,$P607)</f>
        <v>10610.397000000001</v>
      </c>
      <c r="V607" s="14">
        <f>[1]!i_dq_close(V$2,$P607)</f>
        <v>10057.2606</v>
      </c>
      <c r="W607" s="14">
        <f>[1]!i_dq_close(W$2,$P607)</f>
        <v>5088.4544999999998</v>
      </c>
      <c r="X607" s="14">
        <f>[1]!i_dq_close(X$2,$P607)</f>
        <v>5044.8657000000003</v>
      </c>
      <c r="Y607" s="14">
        <f>[1]!i_dq_close(Y$2,$P607)</f>
        <v>5196.4186</v>
      </c>
      <c r="Z607" s="14">
        <f>[1]!i_dq_close(Z$2,$P607)</f>
        <v>2039.9534000000001</v>
      </c>
      <c r="AB607" s="1">
        <v>43304</v>
      </c>
      <c r="AC607">
        <v>0.99990744714469104</v>
      </c>
      <c r="AD607">
        <v>1.1342792999876026</v>
      </c>
      <c r="AE607">
        <v>0.85260976371151864</v>
      </c>
      <c r="AF607">
        <v>0.97609434724149957</v>
      </c>
      <c r="AG607">
        <v>1.5820527969863099</v>
      </c>
      <c r="AH607">
        <v>1.2421291476028393</v>
      </c>
      <c r="AI607">
        <v>1.0905866729352651</v>
      </c>
      <c r="AJ607">
        <v>0.93191996565418678</v>
      </c>
      <c r="AK607">
        <v>1.0321260086997479</v>
      </c>
      <c r="AL607">
        <v>0.90664639880490616</v>
      </c>
    </row>
    <row r="608" spans="1:38" x14ac:dyDescent="0.4">
      <c r="P608" s="1">
        <f>A607</f>
        <v>43305</v>
      </c>
      <c r="Q608" s="14">
        <f>[1]!i_dq_close(Q$2,$P608)</f>
        <v>1720.2144000000001</v>
      </c>
      <c r="R608" s="14">
        <f>[1]!i_dq_close(R$2,$P608)</f>
        <v>2961.2267000000002</v>
      </c>
      <c r="S608" s="14">
        <f>[1]!i_dq_close(S$2,$P608)</f>
        <v>2951.701</v>
      </c>
      <c r="T608" s="14">
        <f>[1]!i_dq_close(T$2,$P608)</f>
        <v>4799.3212999999996</v>
      </c>
      <c r="U608" s="14">
        <f>[1]!i_dq_close(U$2,$P608)</f>
        <v>10825.473900000001</v>
      </c>
      <c r="V608" s="14">
        <f>[1]!i_dq_close(V$2,$P608)</f>
        <v>10194.399100000001</v>
      </c>
      <c r="W608" s="14">
        <f>[1]!i_dq_close(W$2,$P608)</f>
        <v>5142.6769999999997</v>
      </c>
      <c r="X608" s="14">
        <f>[1]!i_dq_close(X$2,$P608)</f>
        <v>5088.6284999999998</v>
      </c>
      <c r="Y608" s="14">
        <f>[1]!i_dq_close(Y$2,$P608)</f>
        <v>5257.0246999999999</v>
      </c>
      <c r="Z608" s="14">
        <f>[1]!i_dq_close(Z$2,$P608)</f>
        <v>2048.7006999999999</v>
      </c>
      <c r="AB608" s="1">
        <v>43305</v>
      </c>
      <c r="AC608">
        <v>1.021236398099336</v>
      </c>
      <c r="AD608">
        <v>1.160669516680672</v>
      </c>
      <c r="AE608">
        <v>0.87356768627551251</v>
      </c>
      <c r="AF608">
        <v>0.99230078657161003</v>
      </c>
      <c r="AG608">
        <v>1.6141216263818683</v>
      </c>
      <c r="AH608">
        <v>1.259066535911991</v>
      </c>
      <c r="AI608">
        <v>1.1022079492723598</v>
      </c>
      <c r="AJ608">
        <v>0.94000411090168678</v>
      </c>
      <c r="AK608">
        <v>1.0441637479411281</v>
      </c>
      <c r="AL608">
        <v>0.91053408959444371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category</vt:lpstr>
      <vt:lpstr>category2</vt:lpstr>
      <vt:lpstr>回撤结果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汤衡</dc:creator>
  <cp:lastModifiedBy>汤衡</cp:lastModifiedBy>
  <dcterms:created xsi:type="dcterms:W3CDTF">2018-07-12T09:19:35Z</dcterms:created>
  <dcterms:modified xsi:type="dcterms:W3CDTF">2018-08-05T10:03:11Z</dcterms:modified>
</cp:coreProperties>
</file>